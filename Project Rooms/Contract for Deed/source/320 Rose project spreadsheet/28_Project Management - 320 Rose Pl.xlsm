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Contract for Deed\working\spreadsheet-refactor\"/>
    </mc:Choice>
  </mc:AlternateContent>
  <xr:revisionPtr revIDLastSave="0" documentId="13_ncr:1_{672C1DA2-1918-4959-ADD1-326E97C22E91}" xr6:coauthVersionLast="47" xr6:coauthVersionMax="47" xr10:uidLastSave="{00000000-0000-0000-0000-000000000000}"/>
  <bookViews>
    <workbookView xWindow="-120" yWindow="-120" windowWidth="386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8" i="64"/>
  <c r="B20" i="64"/>
  <c r="B18" i="64"/>
  <c r="B15"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I7" i="64" l="1"/>
  <c r="I6" i="64"/>
  <c r="B30" i="64"/>
  <c r="E9" i="64" l="1"/>
  <c r="E7" i="64"/>
  <c r="E3" i="64"/>
  <c r="B49" i="64"/>
  <c r="I2" i="64"/>
  <c r="B29" i="64"/>
  <c r="G8" i="6"/>
  <c r="G7" i="6"/>
  <c r="G6" i="6"/>
  <c r="H6" i="6" s="1"/>
  <c r="I6" i="6" s="1"/>
  <c r="G5" i="6"/>
  <c r="H5" i="6" s="1"/>
  <c r="G4" i="6"/>
  <c r="H4" i="6" s="1"/>
  <c r="F17" i="1"/>
  <c r="E17" i="1"/>
  <c r="D17" i="1"/>
  <c r="E39" i="64"/>
  <c r="I5" i="6" l="1"/>
  <c r="I4" i="64"/>
  <c r="I3" i="64"/>
  <c r="I4" i="6"/>
  <c r="H7" i="6"/>
  <c r="I7" i="6" s="1"/>
  <c r="H8" i="6"/>
  <c r="I8" i="6" s="1"/>
  <c r="I11" i="64"/>
  <c r="B45" i="64"/>
  <c r="B46" i="64"/>
  <c r="C4" i="63"/>
  <c r="P7" i="63" s="1"/>
  <c r="C2" i="63"/>
  <c r="B21"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16" i="64"/>
  <c r="E38" i="64"/>
  <c r="E12" i="64"/>
  <c r="AB7" i="63" l="1"/>
  <c r="R7" i="63"/>
  <c r="AC7" i="63"/>
  <c r="AD7" i="63"/>
  <c r="Q7" i="63"/>
  <c r="B50" i="64"/>
  <c r="I5" i="64"/>
  <c r="AM516" i="63"/>
  <c r="B17"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E11" i="64"/>
  <c r="E34"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3"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0" i="64" l="1"/>
  <c r="B9"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19"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E15" i="64"/>
  <c r="E14" i="64" s="1"/>
  <c r="AM433" i="63" l="1"/>
  <c r="Z433" i="63"/>
  <c r="P433" i="63"/>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E16" i="64"/>
  <c r="P459" i="63" l="1"/>
  <c r="U459" i="63"/>
  <c r="W459" i="63"/>
  <c r="AA17" i="63"/>
  <c r="B14" i="64"/>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7"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2" i="64" s="1"/>
  <c r="B11"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R108" i="63"/>
  <c r="T107" i="63"/>
  <c r="Q471" i="63" l="1"/>
  <c r="V471" i="63" s="1"/>
  <c r="M471" i="63"/>
  <c r="L471" i="63" s="1"/>
  <c r="AP471" i="63"/>
  <c r="AN471" i="63"/>
  <c r="AS471" i="63" s="1"/>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<sst xmlns="http://schemas.openxmlformats.org/spreadsheetml/2006/main" count="4359" uniqueCount="1402">
  <si>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</si>
  <si>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</si>
  <si>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</si>
  <si>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</si>
  <si>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</si>
  <si>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</si>
  <si>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</si>
  <si>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</si>
  <si>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</si>
  <si>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</si>
  <si>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</si>
  <si>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</si>
  <si>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</si>
  <si>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</si>
  <si>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</si>
  <si>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</si>
  <si>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</si>
  <si>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</si>
  <si>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</si>
  <si>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</si>
  <si>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</si>
  <si>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</si>
  <si>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</si>
  <si>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</si>
  <si>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</si>
  <si>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</si>
  <si>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</si>
  <si>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</si>
  <si>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</si>
  <si>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</si>
  <si>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</si>
  <si>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</si>
  <si>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</si>
  <si>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</si>
  <si>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</si>
  <si>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</si>
  <si>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</si>
  <si>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</si>
  <si>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</si>
  <si>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</si>
  <si>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</si>
  <si>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</si>
  <si>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</si>
  <si>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</si>
  <si>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</si>
  <si>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</si>
  <si>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</si>
  <si>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</si>
  <si>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</si>
  <si>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</si>
  <si>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</si>
  <si>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</si>
  <si>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</si>
  <si>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</si>
  <si>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</si>
  <si>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</si>
  <si>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</si>
  <si>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</si>
  <si>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</si>
  <si>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</si>
  <si>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</si>
  <si>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</si>
  <si>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</si>
  <si>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</si>
  <si>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</si>
  <si>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</si>
  <si>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</si>
  <si>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</si>
  <si>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</si>
  <si>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</si>
  <si>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</si>
  <si>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</si>
  <si>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</si>
  <si>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</si>
  <si>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</si>
  <si>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</si>
  <si>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</si>
  <si>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</si>
  <si>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</si>
  <si>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</si>
  <si>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</si>
  <si>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</si>
  <si>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</si>
  <si>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</si>
  <si>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</si>
  <si>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</si>
  <si>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</si>
  <si>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</si>
  <si>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</si>
  <si>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</si>
  <si>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</si>
  <si>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</si>
  <si>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</si>
  <si>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</si>
  <si>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</si>
  <si>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</si>
  <si>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</si>
  <si>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</si>
  <si>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</si>
  <si>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</si>
  <si>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</si>
  <si>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</si>
  <si>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</si>
  <si>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</si>
  <si>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</si>
  <si>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</si>
  <si>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</si>
  <si>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</si>
  <si>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</si>
  <si>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</si>
  <si>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</si>
  <si>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</si>
  <si>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</si>
  <si>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</si>
  <si>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</si>
  <si>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</si>
  <si>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</si>
  <si>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</si>
  <si>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</si>
  <si>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</si>
  <si>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</si>
  <si>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</si>
  <si>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</si>
  <si>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</si>
  <si>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</si>
  <si>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</si>
  <si>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</si>
  <si>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</si>
  <si>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</si>
  <si>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</si>
  <si>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</si>
  <si>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</si>
  <si>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</si>
  <si>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</si>
  <si>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</si>
  <si>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</si>
  <si>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</si>
  <si>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</si>
  <si>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</si>
  <si>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</si>
  <si>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</si>
  <si>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</si>
  <si>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</si>
  <si>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</si>
  <si>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</si>
  <si>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</si>
  <si>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</si>
  <si>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</si>
  <si>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</si>
  <si>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</si>
  <si>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</si>
  <si>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</si>
  <si>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</si>
  <si>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</si>
  <si>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</si>
  <si>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</si>
  <si>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</si>
  <si>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</si>
  <si>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</si>
  <si>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</si>
  <si>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</si>
  <si>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</si>
  <si>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</si>
  <si>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</si>
  <si>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</si>
  <si>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</si>
  <si>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</si>
  <si>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</si>
  <si>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</si>
  <si>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</si>
  <si>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</si>
  <si>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</si>
  <si>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</si>
  <si>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</si>
  <si>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</si>
  <si>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</si>
  <si>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</si>
  <si>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</si>
  <si>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</si>
  <si>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</si>
  <si>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</si>
  <si>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</si>
  <si>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</si>
  <si>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</si>
  <si>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</si>
  <si>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</si>
  <si>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</si>
  <si>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</si>
  <si>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</si>
  <si>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</si>
  <si>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</si>
  <si>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</si>
  <si>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</si>
  <si>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</si>
  <si>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</si>
  <si>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</si>
  <si>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</si>
  <si>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</si>
  <si>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</si>
  <si>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</si>
  <si>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</si>
  <si>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</si>
  <si>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</si>
  <si>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</si>
  <si>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</si>
  <si>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</si>
  <si>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</si>
  <si>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</si>
  <si>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</si>
  <si>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</si>
  <si>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</si>
  <si>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</si>
  <si>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</si>
  <si>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</si>
  <si>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</si>
  <si>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</si>
  <si>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</si>
  <si>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</si>
  <si>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</si>
  <si>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</si>
  <si>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</si>
  <si>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</si>
  <si>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</si>
  <si>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</si>
  <si>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</si>
  <si>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</si>
  <si>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</si>
  <si>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</si>
  <si>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</si>
  <si>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</si>
  <si>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</si>
  <si>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</si>
  <si>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</si>
  <si>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</si>
  <si>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</si>
  <si>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</si>
  <si>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</si>
  <si>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</si>
  <si>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</si>
  <si>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</si>
  <si>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</si>
  <si>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</si>
  <si>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</si>
  <si>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</si>
  <si>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</si>
  <si>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</si>
  <si>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</si>
  <si>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</si>
  <si>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</si>
  <si>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</si>
  <si>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</si>
  <si>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</si>
  <si>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</si>
  <si>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</si>
  <si>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</si>
  <si>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</si>
  <si>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</si>
  <si>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</si>
  <si>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</si>
  <si>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</si>
  <si>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</si>
  <si>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</si>
  <si>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</si>
  <si>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</si>
  <si>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</si>
  <si>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</si>
  <si>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</si>
  <si>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</si>
  <si>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</si>
  <si>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</si>
  <si>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</si>
  <si>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</si>
  <si>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</si>
  <si>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</si>
  <si>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</si>
  <si>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</si>
  <si>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</si>
  <si>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</si>
  <si>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</si>
  <si>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</si>
  <si>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</si>
  <si>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</si>
  <si>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</si>
  <si>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</si>
  <si>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</si>
  <si>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</si>
  <si>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</si>
  <si>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</si>
  <si>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</si>
  <si>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</si>
  <si>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</si>
  <si>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</si>
  <si>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</si>
  <si>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</si>
  <si>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</si>
  <si>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</si>
  <si>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</si>
  <si>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</si>
  <si>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</si>
  <si>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</si>
  <si>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</si>
  <si>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</si>
  <si>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</si>
  <si>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</si>
  <si>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</si>
  <si>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</si>
  <si>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</si>
  <si>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</si>
  <si>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</si>
  <si>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</si>
  <si>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</si>
  <si>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</si>
  <si>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</si>
  <si>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</si>
  <si>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</si>
  <si>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</si>
  <si>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</si>
  <si>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</si>
  <si>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</si>
  <si>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</si>
  <si>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</si>
  <si>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</si>
  <si>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</si>
  <si>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</si>
  <si>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</si>
  <si>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</si>
  <si>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</si>
  <si>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</si>
  <si>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</si>
  <si>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</si>
  <si>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</si>
  <si>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</si>
  <si>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</si>
  <si>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</si>
  <si>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</si>
  <si>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</si>
  <si>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</si>
  <si>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</si>
  <si>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</si>
  <si>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</si>
  <si>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</si>
  <si>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</si>
  <si>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</si>
  <si>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</si>
  <si>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</si>
  <si>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</si>
  <si>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</si>
  <si>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</si>
  <si>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</si>
  <si>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</si>
  <si>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</si>
  <si>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</si>
  <si>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</si>
  <si>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</si>
  <si>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</si>
  <si>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</si>
  <si>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</si>
  <si>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</si>
  <si>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</si>
  <si>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</si>
  <si>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</si>
  <si>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</si>
  <si>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</si>
  <si>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</si>
  <si>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</si>
  <si>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</si>
  <si>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</si>
  <si>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</si>
  <si>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</si>
  <si>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</si>
  <si>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</si>
  <si>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</si>
  <si>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</si>
  <si>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</si>
  <si>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</si>
  <si>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</si>
  <si>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</si>
  <si>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</si>
  <si>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</si>
  <si>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</si>
  <si>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</si>
  <si>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</si>
  <si>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</si>
  <si>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</si>
  <si>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</si>
  <si>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</si>
  <si>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</si>
  <si>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</si>
  <si>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</si>
  <si>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</si>
  <si>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</si>
  <si>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</si>
  <si>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</si>
  <si>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</si>
  <si>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</si>
  <si>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</si>
  <si>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</si>
  <si>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</si>
  <si>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</si>
  <si>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</si>
  <si>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</si>
  <si>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</si>
  <si>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</si>
  <si>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</si>
  <si>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</si>
  <si>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</si>
  <si>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</si>
  <si>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</si>
  <si>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</si>
  <si>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</si>
  <si>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</si>
  <si>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</si>
  <si>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</si>
  <si>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</si>
  <si>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</si>
  <si>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</si>
  <si>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</si>
  <si>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</si>
  <si>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</si>
  <si>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</si>
  <si>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</si>
  <si>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</si>
  <si>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</si>
  <si>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</si>
  <si>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</si>
  <si>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</si>
  <si>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</si>
  <si>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</si>
  <si>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</si>
  <si>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</si>
  <si>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</si>
  <si>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</si>
  <si>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</si>
  <si>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</si>
  <si>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</si>
  <si>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</si>
  <si>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</si>
  <si>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</si>
  <si>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</si>
  <si>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</si>
  <si>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</si>
  <si>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</si>
  <si>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</si>
  <si>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</si>
  <si>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</si>
  <si>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</si>
  <si>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</si>
  <si>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</si>
  <si>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</si>
  <si>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</si>
  <si>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</si>
  <si>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</si>
  <si>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</si>
  <si>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</si>
  <si>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</si>
  <si>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</si>
  <si>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</si>
  <si>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</si>
  <si>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</si>
  <si>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</si>
  <si>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</si>
  <si>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</si>
  <si>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</si>
  <si>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</si>
  <si>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</si>
  <si>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</si>
  <si>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</si>
  <si>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</si>
  <si>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</si>
  <si>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</si>
  <si>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</si>
  <si>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</si>
  <si>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</si>
  <si>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</si>
  <si>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</si>
  <si>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</si>
  <si>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</si>
  <si>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</si>
  <si>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</si>
  <si>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</si>
  <si>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</si>
  <si>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</si>
  <si>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</si>
  <si>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</si>
  <si>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</si>
  <si>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</si>
  <si>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</si>
  <si>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</si>
  <si>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</si>
  <si>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</si>
  <si>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</si>
  <si>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</si>
  <si>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</si>
  <si>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</si>
  <si>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</si>
  <si>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</si>
  <si>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</si>
  <si>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</si>
  <si>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</si>
  <si>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</si>
  <si>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</si>
  <si>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</si>
  <si>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</si>
  <si>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</si>
  <si>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</si>
  <si>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</si>
  <si>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</si>
  <si>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</si>
  <si>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</si>
  <si>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</si>
  <si>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</si>
  <si>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</si>
  <si>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</si>
  <si>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</si>
  <si>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</si>
  <si>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</si>
  <si>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</si>
  <si>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</si>
  <si>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</si>
  <si>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</si>
  <si>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</si>
  <si>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</si>
  <si>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</si>
  <si>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</si>
  <si>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</si>
  <si>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</si>
  <si>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</si>
  <si>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</si>
  <si>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</si>
  <si>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</si>
  <si>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</si>
  <si>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</si>
  <si>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</si>
  <si>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</si>
  <si>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</si>
  <si>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</si>
  <si>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</si>
  <si>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</si>
  <si>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</si>
  <si>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</si>
  <si>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</si>
  <si>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</si>
  <si>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</si>
  <si>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</si>
  <si>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</si>
  <si>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</si>
  <si>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</si>
  <si>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</si>
  <si>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</si>
  <si>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</si>
  <si>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</si>
  <si>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</si>
  <si>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</si>
  <si>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</si>
  <si>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</si>
  <si>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</si>
  <si>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</si>
  <si>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</si>
  <si>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</si>
  <si>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</si>
  <si>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</si>
  <si>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</si>
  <si>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</si>
  <si>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</si>
  <si>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</si>
  <si>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</si>
  <si>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</si>
  <si>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</si>
  <si>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</si>
  <si>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</si>
  <si>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</si>
  <si>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</si>
  <si>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</si>
  <si>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</si>
  <si>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</si>
  <si>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</si>
  <si>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</si>
  <si>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</si>
  <si>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</si>
  <si>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</si>
  <si>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</si>
  <si>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</si>
  <si>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</si>
  <si>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</si>
  <si>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</si>
  <si>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</si>
  <si>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</si>
  <si>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</si>
  <si>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</si>
  <si>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</si>
  <si>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</si>
  <si>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</si>
  <si>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</si>
  <si>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</si>
  <si>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</si>
  <si>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</si>
  <si>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</si>
  <si>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</si>
  <si>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</si>
  <si>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</si>
  <si>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</si>
  <si>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</si>
  <si>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</si>
  <si>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</si>
  <si>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</si>
  <si>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</si>
  <si>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</si>
  <si>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</si>
  <si>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</si>
  <si>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</si>
  <si>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</si>
  <si>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</si>
  <si>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</si>
  <si>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</si>
  <si>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</si>
  <si>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</si>
  <si>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</si>
  <si>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</si>
  <si>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</si>
  <si>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</si>
  <si>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</si>
  <si>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</si>
  <si>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</si>
  <si>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</si>
  <si>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</si>
  <si>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</si>
  <si>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</si>
  <si>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</si>
  <si>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</si>
  <si>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</si>
  <si>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</si>
  <si>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</si>
  <si>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</si>
  <si>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</si>
  <si>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</si>
  <si>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</si>
  <si>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</si>
  <si>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</si>
  <si>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</si>
  <si>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</si>
  <si>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</si>
  <si>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</si>
  <si>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</si>
  <si>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</si>
  <si>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</si>
  <si>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</si>
  <si>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</si>
  <si>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</si>
  <si>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</si>
  <si>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</si>
  <si>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</si>
  <si>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</si>
  <si>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</si>
  <si>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</si>
  <si>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</si>
  <si>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</si>
  <si>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</si>
  <si>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</si>
  <si>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</si>
  <si>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</si>
  <si>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</si>
  <si>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</si>
  <si>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</si>
  <si>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</si>
  <si>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</si>
  <si>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</si>
  <si>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</si>
  <si>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</si>
  <si>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</si>
  <si>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</si>
  <si>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</si>
  <si>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</si>
  <si>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</si>
  <si>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</si>
  <si>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</si>
  <si>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</si>
  <si>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</si>
  <si>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</si>
  <si>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</si>
  <si>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</si>
  <si>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</si>
  <si>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</si>
  <si>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</si>
  <si>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</si>
  <si>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</si>
  <si>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</si>
  <si>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</si>
  <si>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</si>
  <si>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</si>
  <si>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</si>
  <si>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</si>
  <si>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</si>
  <si>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</si>
  <si>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</si>
  <si>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</si>
  <si>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</si>
  <si>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</si>
  <si>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</si>
  <si>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</si>
  <si>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</si>
  <si>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</si>
  <si>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</si>
  <si>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</si>
  <si>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</si>
  <si>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</si>
  <si>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</si>
  <si>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</si>
  <si>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</si>
  <si>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</si>
  <si>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</si>
  <si>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</si>
  <si>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</si>
  <si>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</si>
  <si>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</si>
  <si>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</si>
  <si>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</si>
  <si>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</si>
  <si>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</si>
  <si>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</si>
  <si>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</si>
  <si>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</si>
  <si>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</si>
  <si>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</si>
  <si>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</si>
  <si>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</si>
  <si>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</si>
  <si>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</si>
  <si>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</si>
  <si>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</si>
  <si>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</si>
  <si>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</si>
  <si>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</si>
  <si>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</si>
  <si>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</si>
  <si>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</si>
  <si>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</si>
  <si>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</si>
  <si>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</si>
  <si>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</si>
  <si>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</si>
  <si>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</si>
  <si>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</si>
  <si>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</si>
  <si>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</si>
  <si>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</si>
  <si>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</si>
  <si>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</si>
  <si>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</si>
  <si>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</si>
  <si>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</si>
  <si>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</si>
  <si>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</si>
  <si>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</si>
  <si>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</si>
  <si>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</si>
  <si>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</si>
  <si>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</si>
  <si>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</si>
  <si>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</si>
  <si>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</si>
  <si>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</si>
  <si>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</si>
  <si>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</si>
  <si>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</si>
  <si>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</si>
  <si>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</si>
  <si>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</si>
  <si>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</si>
  <si>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</si>
  <si>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</si>
  <si>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</si>
  <si>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</si>
  <si>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</si>
  <si>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</si>
  <si>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</si>
  <si>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</si>
  <si>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</si>
  <si>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</si>
  <si>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</si>
  <si>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</si>
  <si>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</si>
  <si>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</si>
  <si>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</si>
  <si>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</si>
  <si>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</si>
  <si>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</si>
  <si>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</si>
  <si>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</si>
  <si>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</si>
  <si>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</si>
  <si>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</si>
  <si>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</si>
  <si>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</si>
  <si>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</si>
  <si>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</si>
  <si>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</si>
  <si>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</si>
  <si>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</si>
  <si>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</si>
  <si>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</si>
  <si>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</si>
  <si>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</si>
  <si>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</si>
  <si>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</si>
  <si>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</si>
  <si>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</si>
  <si>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</si>
  <si>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</si>
  <si>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</si>
  <si>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</si>
  <si>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</si>
  <si>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</si>
  <si>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</si>
  <si>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</si>
  <si>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</si>
  <si>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</si>
  <si>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</si>
  <si>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</si>
  <si>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</si>
  <si>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</si>
  <si>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</si>
  <si>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</si>
  <si>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</si>
  <si>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</si>
  <si>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</si>
  <si>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</si>
  <si>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</si>
  <si>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</si>
  <si>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</si>
  <si>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</si>
  <si>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</si>
  <si>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</si>
  <si>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</si>
  <si>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</si>
  <si>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</si>
  <si>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</si>
  <si>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</si>
  <si>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</si>
  <si>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</si>
  <si>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</si>
  <si>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</si>
  <si>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</si>
  <si>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</si>
  <si>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</si>
  <si>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</si>
  <si>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</si>
  <si>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</si>
  <si>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</si>
  <si>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</si>
  <si>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</si>
  <si>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</si>
  <si>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</si>
  <si>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</si>
  <si>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</si>
  <si>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</si>
  <si>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</si>
  <si>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</si>
  <si>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</si>
  <si>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</si>
  <si>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</si>
  <si>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</si>
  <si>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</si>
  <si>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</si>
  <si>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</si>
  <si>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</si>
  <si>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</si>
  <si>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</si>
  <si>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</si>
  <si>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</si>
  <si>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</si>
  <si>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</si>
  <si>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</si>
  <si>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</si>
  <si>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</si>
  <si>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</si>
  <si>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</si>
  <si>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</si>
  <si>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</si>
  <si>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</si>
  <si>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</si>
  <si>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</si>
  <si>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</si>
  <si>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</si>
  <si>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</si>
  <si>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</si>
  <si>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</si>
  <si>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</si>
  <si>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</si>
  <si>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</si>
  <si>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</si>
  <si>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</si>
  <si>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</si>
  <si>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</si>
  <si>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</si>
  <si>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</si>
  <si>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</si>
  <si>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</si>
  <si>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</si>
  <si>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</si>
  <si>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</si>
  <si>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</si>
  <si>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</si>
  <si>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</si>
  <si>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</si>
  <si>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</si>
  <si>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</si>
  <si>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</si>
  <si>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</si>
  <si>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</si>
  <si>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</si>
  <si>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</si>
  <si>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</si>
  <si>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</si>
  <si>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</si>
  <si>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</si>
  <si>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</si>
  <si>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</si>
  <si>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</si>
  <si>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</si>
  <si>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</si>
  <si>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</si>
  <si>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</si>
  <si>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</si>
  <si>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</si>
  <si>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</si>
  <si>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</si>
  <si>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</si>
  <si>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</si>
  <si>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</si>
  <si>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</si>
  <si>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</si>
  <si>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</si>
  <si>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</si>
  <si>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</si>
  <si>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</si>
  <si>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</si>
  <si>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</si>
  <si>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</si>
  <si>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</si>
  <si>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</si>
  <si>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</si>
  <si>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</si>
  <si>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</si>
  <si>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</si>
  <si>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</si>
  <si>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</si>
  <si>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</si>
  <si>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</si>
  <si>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</si>
  <si>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</si>
  <si>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</si>
  <si>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</si>
  <si>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</si>
  <si>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</si>
  <si>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</si>
  <si>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</si>
  <si>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</si>
  <si>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</si>
  <si>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</si>
  <si>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</si>
  <si>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</si>
  <si>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</si>
  <si>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</si>
  <si>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</si>
  <si>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</si>
  <si>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</si>
  <si>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</si>
  <si>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</si>
  <si>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</si>
  <si>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</si>
  <si>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</si>
  <si>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</si>
  <si>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</si>
  <si>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</si>
  <si>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</si>
  <si>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</si>
  <si>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</si>
  <si>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</si>
  <si>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</si>
  <si>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</si>
  <si>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</si>
  <si>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</si>
  <si>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</si>
  <si>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</si>
  <si>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</si>
  <si>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</si>
  <si>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</si>
  <si>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</si>
  <si>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</si>
  <si>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</si>
  <si>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</si>
  <si>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</si>
  <si>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</si>
  <si>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</si>
  <si>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</si>
  <si>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</si>
  <si>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</si>
  <si>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</si>
  <si>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</si>
  <si>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</si>
  <si>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</si>
  <si>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</si>
  <si>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</si>
  <si>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</si>
  <si>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</si>
  <si>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</si>
  <si>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</si>
  <si>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</si>
  <si>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</si>
  <si>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</si>
  <si>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</si>
  <si>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</si>
  <si>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</si>
  <si>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</si>
  <si>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</si>
  <si>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</si>
  <si>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</si>
  <si>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</si>
  <si>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</si>
  <si>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</si>
  <si>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</si>
  <si>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</si>
  <si>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</si>
  <si>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</si>
  <si>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</si>
  <si>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</si>
  <si>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</si>
  <si>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</si>
  <si>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</si>
  <si>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</si>
  <si>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</si>
  <si>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</si>
  <si>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</si>
  <si>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</si>
  <si>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</si>
  <si>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</si>
  <si>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</si>
  <si>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</si>
  <si>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</si>
  <si>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</si>
  <si>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</si>
  <si>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</si>
  <si>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</si>
  <si>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</si>
  <si>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</si>
  <si>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</si>
  <si>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</si>
  <si>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</si>
  <si>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</si>
  <si>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</si>
  <si>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</si>
  <si>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</si>
  <si>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</si>
  <si>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</si>
  <si>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</si>
  <si>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</si>
  <si>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</si>
  <si>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</si>
  <si>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</si>
  <si>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</si>
  <si>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</si>
  <si>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</si>
  <si>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</si>
  <si>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</si>
  <si>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</si>
  <si>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</si>
  <si>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</si>
  <si>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</si>
  <si>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</si>
  <si>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</si>
  <si>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</si>
  <si>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</si>
  <si>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</si>
  <si>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</si>
  <si>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</si>
  <si>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</si>
  <si>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</si>
  <si>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</si>
  <si>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</si>
  <si>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</si>
  <si>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</si>
  <si>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</si>
  <si>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</si>
  <si>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</si>
  <si>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</si>
  <si>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</si>
  <si>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</si>
  <si>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</si>
  <si>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</si>
  <si>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</si>
  <si>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</si>
  <si>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</si>
  <si>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</si>
  <si>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</si>
  <si>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</si>
  <si>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</si>
  <si>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</si>
  <si>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</si>
  <si>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</si>
  <si>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</si>
  <si>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</si>
  <si>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</si>
  <si>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</si>
  <si>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</si>
  <si>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</si>
  <si>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</si>
  <si>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</si>
  <si>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</si>
  <si>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</si>
  <si>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</si>
  <si>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</si>
  <si>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</si>
  <si>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</si>
  <si>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</si>
  <si>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</si>
  <si>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</si>
  <si>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</si>
  <si>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</si>
  <si>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</si>
  <si>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</si>
  <si>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</si>
  <si>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</si>
  <si>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</si>
  <si>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</si>
  <si>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</si>
  <si>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</si>
  <si>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</si>
  <si>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</si>
  <si>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</si>
  <si>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</si>
  <si>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</si>
  <si>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</si>
  <si>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</si>
  <si>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</si>
  <si>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</si>
  <si>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</si>
  <si>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</si>
  <si>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</si>
  <si>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</si>
  <si>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</si>
  <si>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</si>
  <si>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</si>
  <si>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</si>
  <si>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</si>
  <si>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</si>
  <si>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</si>
  <si>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</si>
  <si>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</si>
  <si>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</si>
  <si>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</si>
  <si>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</si>
  <si>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</si>
  <si>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</si>
  <si>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</si>
  <si>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</si>
  <si>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</si>
  <si>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</si>
  <si>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</si>
  <si>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</si>
  <si>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</si>
  <si>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</si>
  <si>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</si>
  <si>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</si>
  <si>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</si>
  <si>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</si>
  <si>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</si>
  <si>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</si>
  <si>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</si>
  <si>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</si>
  <si>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</si>
  <si>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</si>
  <si>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</si>
  <si>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</si>
  <si>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</si>
  <si>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</si>
  <si>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</si>
  <si>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</si>
  <si>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</si>
  <si>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</si>
  <si>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</si>
  <si>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</si>
  <si>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</si>
  <si>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</si>
  <si>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</si>
  <si>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</si>
  <si>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</si>
  <si>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</si>
  <si>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</si>
  <si>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</si>
  <si>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</si>
  <si>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</si>
  <si>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</si>
  <si>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</si>
  <si>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</si>
  <si>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</si>
  <si>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</si>
  <si>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</si>
  <si>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</si>
  <si>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</si>
  <si>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</si>
  <si>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</si>
  <si>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</si>
  <si>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</si>
  <si>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</si>
  <si>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</si>
  <si>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</si>
  <si>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</si>
  <si>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</si>
  <si>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</si>
  <si>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</si>
  <si>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</si>
  <si>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</si>
  <si>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</si>
  <si>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</si>
  <si>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</si>
  <si>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</si>
  <si>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</si>
  <si>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</si>
  <si>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</si>
  <si>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</si>
  <si>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</si>
  <si>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</si>
  <si>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</si>
  <si>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</si>
  <si>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</si>
  <si>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</si>
  <si>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</si>
  <si>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</si>
  <si>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</si>
  <si>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</si>
  <si>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</si>
  <si>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</si>
  <si>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</si>
  <si>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</si>
  <si>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</si>
  <si>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</si>
  <si>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</si>
  <si>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</si>
  <si>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</si>
  <si>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</si>
  <si>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</si>
  <si>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</si>
  <si>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</si>
  <si>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</si>
  <si>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</si>
  <si>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</si>
  <si>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</si>
  <si>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</si>
  <si>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</si>
  <si>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</si>
  <si>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</si>
  <si>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</si>
  <si>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</si>
  <si>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</si>
  <si>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</si>
  <si>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</si>
  <si>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</si>
  <si>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</si>
  <si>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</si>
  <si>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</si>
  <si>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</si>
  <si>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</si>
  <si>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</si>
  <si>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</si>
  <si>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</si>
  <si>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</si>
  <si>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</si>
  <si>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</si>
  <si>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</si>
  <si>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</si>
  <si>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</si>
  <si>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</si>
  <si>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</si>
  <si>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</si>
  <si>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</si>
  <si>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</si>
  <si>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</si>
  <si>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</si>
  <si>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</si>
  <si>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</si>
  <si>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</si>
  <si>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</si>
  <si>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</si>
  <si>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</si>
  <si>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</si>
  <si>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</si>
  <si>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</si>
  <si>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</si>
  <si>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</si>
  <si>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</si>
  <si>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</si>
  <si>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</si>
  <si>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</si>
  <si>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</si>
  <si>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</si>
  <si>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</si>
  <si>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</si>
  <si>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</si>
  <si>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</si>
  <si>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</si>
  <si>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</si>
  <si>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</si>
  <si>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</si>
  <si>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</si>
  <si>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</si>
  <si>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</si>
  <si>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</si>
  <si>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</si>
  <si>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</si>
  <si>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</si>
  <si>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</si>
  <si>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</si>
  <si>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</si>
  <si>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</si>
  <si>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</si>
  <si>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</si>
  <si>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</si>
  <si>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</si>
  <si>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</si>
  <si>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</si>
  <si>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</si>
  <si>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</si>
  <si>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</si>
  <si>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</si>
  <si>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</si>
  <si>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</si>
  <si>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</si>
  <si>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</si>
  <si>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</si>
  <si>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</si>
  <si>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</si>
  <si>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</si>
  <si>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</si>
  <si>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</si>
  <si>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</si>
  <si>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</si>
  <si>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</si>
  <si>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</si>
  <si>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</si>
  <si>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</si>
  <si>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</si>
  <si>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</si>
  <si>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</si>
  <si>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</si>
  <si>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</si>
  <si>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</si>
  <si>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</si>
  <si>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</si>
  <si>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</si>
  <si>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</si>
  <si>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</si>
  <si>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</si>
  <si>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</si>
  <si>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</si>
  <si>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</si>
  <si>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</si>
  <si>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</si>
  <si>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</si>
  <si>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</si>
  <si>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</si>
  <si>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</si>
  <si>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</si>
  <si>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</si>
  <si>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</si>
  <si>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</si>
  <si>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</si>
  <si>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</si>
  <si>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</si>
  <si>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</si>
  <si>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</si>
  <si>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</si>
  <si>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</si>
  <si>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</si>
  <si>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</si>
  <si>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</si>
  <si>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</si>
  <si>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</si>
  <si>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</si>
  <si>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</si>
  <si>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</si>
  <si>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</si>
  <si>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</si>
  <si>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</si>
  <si>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</si>
  <si>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</si>
  <si>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</si>
  <si>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</si>
  <si>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</si>
  <si>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</si>
  <si>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</si>
  <si>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</si>
  <si>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</si>
  <si>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</si>
  <si>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</si>
  <si>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</si>
  <si>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Ever Amarildo Cardoza Bolanos</t>
  </si>
  <si>
    <t>Maria Geraldina Sarmiento</t>
  </si>
  <si>
    <t>José Fabre Jr.</t>
  </si>
  <si>
    <t>Adverse Conditions1</t>
  </si>
  <si>
    <t>Adverse Conditions2</t>
  </si>
  <si>
    <t>Adverse Conditions3</t>
  </si>
  <si>
    <t>100,000 Private Note to Neal Isaacs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</si>
</sst>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4" t="s">
        <v>1</v>
      </c>
      <c r="F1" s="686" t="s">
        <v>2</v>
      </c>
      <c r="G1" s="687"/>
      <c r="H1" s="687"/>
      <c r="P1" s="38" t="s">
        <v>3</v>
      </c>
      <c r="Q1" s="37" t="b">
        <v>0</v>
      </c>
    </row>
    <row r="2" spans="1:18" ht="16.5" customHeight="1" thickBot="1">
      <c r="A2" s="61"/>
      <c r="B2" s="633" t="s">
        <v>4</v>
      </c>
      <c r="C2" s="634"/>
      <c r="D2" s="634"/>
      <c r="E2" s="631" t="s">
        <v>5</v>
      </c>
      <c r="F2" s="632"/>
      <c r="G2" s="372" t="s">
        <v>6</v>
      </c>
      <c r="H2" s="692" t="s">
        <v>7</v>
      </c>
      <c r="I2" s="693"/>
      <c r="J2" s="661" t="s">
        <v>8</v>
      </c>
      <c r="K2" s="618">
        <v>45715</v>
      </c>
      <c r="M2" s="356" t="s">
        <v>9</v>
      </c>
      <c r="N2" s="356"/>
      <c r="P2" s="38" t="s">
        <v>10</v>
      </c>
      <c r="Q2" s="37" t="b">
        <v>0</v>
      </c>
    </row>
    <row r="3" spans="1:18" ht="12" customHeight="1" thickBot="1">
      <c r="A3" s="63" t="s">
        <v>11</v>
      </c>
      <c r="B3" s="64"/>
      <c r="D3" s="617" t="s">
        <v>12</v>
      </c>
      <c r="E3" s="617"/>
      <c r="F3" s="617" t="s">
        <v>13</v>
      </c>
      <c r="G3" s="615"/>
      <c r="H3" s="615"/>
      <c r="I3" s="694"/>
      <c r="J3" s="662"/>
      <c r="K3" s="619"/>
      <c r="Q3" s="37" t="b">
        <v>0</v>
      </c>
      <c r="R3" s="37">
        <v>3</v>
      </c>
    </row>
    <row r="4" spans="1:18" ht="12" customHeight="1" thickBot="1">
      <c r="A4" s="38" t="s">
        <v>15</v>
      </c>
      <c r="B4" s="695">
        <v>330000</v>
      </c>
      <c r="C4" s="696"/>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697">
        <f>+B4</f>
        <v>330000</v>
      </c>
      <c r="C6" s="698"/>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661" t="s">
        <v>22</v>
      </c>
      <c r="K7" s="651">
        <v>0.03</v>
      </c>
      <c r="O7" s="187"/>
      <c r="P7" s="355"/>
    </row>
    <row r="8" spans="1:18" ht="12" customHeight="1" thickBot="1">
      <c r="A8" s="38" t="s">
        <v>23</v>
      </c>
      <c r="B8" s="230"/>
      <c r="C8" s="312"/>
      <c r="D8" s="241"/>
      <c r="E8" s="295"/>
      <c r="F8" s="291"/>
      <c r="G8" s="299">
        <f>+IF($C$1="hold",$K$7,0)*$C$50/12*B4</f>
        <v>0</v>
      </c>
      <c r="H8" s="313"/>
      <c r="I8" s="75"/>
      <c r="J8" s="662"/>
      <c r="K8" s="652"/>
      <c r="M8" s="348" t="s">
        <v>24</v>
      </c>
    </row>
    <row r="9" spans="1:18" ht="12" customHeight="1" thickBot="1">
      <c r="A9" s="84" t="str">
        <f>IF(R3=3,"Delta Mortgages","Monthly Rent:")</f>
        <v>Delta Mortgages</v>
      </c>
      <c r="B9" s="677">
        <v>1736</v>
      </c>
      <c r="C9" s="689"/>
      <c r="D9" s="296"/>
      <c r="E9" s="297"/>
      <c r="F9" s="292"/>
      <c r="G9" s="300"/>
      <c r="H9" s="301"/>
      <c r="I9" s="309">
        <f>IF(OR(C1="Hold",D1="Slow Flip"),IF(C1="hold",+B9,+Amortization!AJ8),"")</f>
        <v>1944.5499999999997</v>
      </c>
      <c r="J9" s="661" t="s">
        <v>25</v>
      </c>
      <c r="K9" s="624">
        <v>1277</v>
      </c>
    </row>
    <row r="10" spans="1:18" ht="12" customHeight="1" thickBot="1">
      <c r="C10" s="663" t="s">
        <v>26</v>
      </c>
      <c r="D10" s="639" t="s">
        <v>26</v>
      </c>
      <c r="E10" s="65">
        <f>SUM(D4:E9)</f>
        <v>19800</v>
      </c>
      <c r="F10" s="620">
        <f>+SUM(F4:G9)</f>
        <v>0</v>
      </c>
      <c r="G10" s="621"/>
      <c r="H10" s="620">
        <f>SUM(H4:I9)</f>
        <v>1944.5499999999997</v>
      </c>
      <c r="I10" s="621"/>
      <c r="J10" s="662"/>
      <c r="K10" s="625"/>
      <c r="M10" s="348" t="s">
        <v>27</v>
      </c>
      <c r="O10" s="403"/>
    </row>
    <row r="11" spans="1:18" ht="12" customHeight="1" thickBot="1">
      <c r="C11" s="66"/>
      <c r="D11" s="67"/>
      <c r="E11" s="60"/>
      <c r="F11" s="628" t="str">
        <f>IF(R3=3,"Profit calcuations based on selling in 5 years","")</f>
        <v>Profit calcuations based on selling in 5 years</v>
      </c>
      <c r="G11" s="629"/>
      <c r="H11" s="629"/>
      <c r="I11" s="630"/>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70" t="s">
        <v>35</v>
      </c>
      <c r="I14" s="671"/>
      <c r="J14" s="589" t="s">
        <v>36</v>
      </c>
      <c r="K14" s="656"/>
      <c r="M14" s="348" t="s">
        <v>37</v>
      </c>
      <c r="N14" s="349">
        <v>0.35</v>
      </c>
      <c r="O14" s="224" t="b">
        <f ca="1">N14&lt;K61/B4</f>
        <v>1</v>
      </c>
      <c r="P14" s="428">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657"/>
      <c r="K15" s="658"/>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657"/>
      <c r="K16" s="658"/>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659"/>
      <c r="K17" s="660"/>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0">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4"/>
      <c r="P20" s="355"/>
    </row>
    <row r="21" spans="1:17" ht="12" customHeight="1" thickBot="1">
      <c r="A21" s="38" t="s">
        <v>46</v>
      </c>
      <c r="B21" s="679">
        <f>-SUM(D14:D20)</f>
        <v>222245</v>
      </c>
      <c r="C21" s="688"/>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26" t="s">
        <v>48</v>
      </c>
      <c r="K22" s="627"/>
      <c r="P22" s="355"/>
    </row>
    <row r="23" spans="1:17" ht="12" customHeight="1" thickBot="1">
      <c r="A23" s="38" t="s">
        <v>49</v>
      </c>
      <c r="B23" s="248">
        <v>6.5000000000000002E-2</v>
      </c>
      <c r="C23" s="249">
        <v>30</v>
      </c>
      <c r="D23" s="241"/>
      <c r="E23" s="242"/>
      <c r="F23" s="246"/>
      <c r="G23" s="247"/>
      <c r="H23" s="286"/>
      <c r="I23" s="284"/>
      <c r="J23" s="626" t="s">
        <v>50</v>
      </c>
      <c r="K23" s="627"/>
      <c r="P23" s="355"/>
    </row>
    <row r="24" spans="1:17" ht="12" customHeight="1" thickBot="1">
      <c r="A24" s="38" t="s">
        <v>51</v>
      </c>
      <c r="B24" s="672"/>
      <c r="C24" s="575"/>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690">
        <v>5000</v>
      </c>
      <c r="C27" s="691">
        <v>5000</v>
      </c>
      <c r="D27" s="268">
        <f>-B27</f>
        <v>-5000</v>
      </c>
      <c r="E27" s="242"/>
      <c r="F27" s="246"/>
      <c r="G27" s="247"/>
      <c r="H27" s="286"/>
      <c r="I27" s="284"/>
    </row>
    <row r="28" spans="1:17" ht="12" customHeight="1" thickBot="1">
      <c r="A28" s="84" t="s">
        <v>55</v>
      </c>
      <c r="B28" s="225">
        <f ca="1">+F72/30.42</f>
        <v>11.900065746219592</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653" t="s">
        <v>57</v>
      </c>
      <c r="K29" s="591"/>
      <c r="Q29" s="87"/>
    </row>
    <row r="30" spans="1:17" ht="12" customHeight="1" thickBot="1">
      <c r="A30" s="84" t="s">
        <v>58</v>
      </c>
      <c r="C30" s="225"/>
      <c r="D30" s="268"/>
      <c r="E30" s="242"/>
      <c r="F30" s="246"/>
      <c r="G30" s="247"/>
      <c r="H30" s="285"/>
      <c r="I30" s="284"/>
      <c r="J30" s="654"/>
      <c r="K30" s="655"/>
      <c r="O30" s="187"/>
      <c r="P30" s="355"/>
    </row>
    <row r="31" spans="1:17" ht="12" customHeight="1">
      <c r="A31" s="84" t="s">
        <v>1202</v>
      </c>
      <c r="B31" s="540">
        <f ca="1">+Carrying!B25/Profit!$B$28</f>
        <v>80.933166298342542</v>
      </c>
      <c r="C31" s="73"/>
      <c r="D31" s="268"/>
      <c r="E31" s="242"/>
      <c r="F31" s="246"/>
      <c r="G31" s="247"/>
      <c r="H31" s="285">
        <f t="shared" ref="H31:H34" ca="1" si="0">IF($R$3=3,-B31,0)</f>
        <v>-80.933166298342542</v>
      </c>
      <c r="I31" s="284">
        <f t="shared" ref="I31:I34" ca="1" si="1">IF($R$3=3,+B31,0)</f>
        <v>80.933166298342542</v>
      </c>
      <c r="J31" s="664" t="s">
        <v>59</v>
      </c>
      <c r="K31" s="665"/>
      <c r="P31" s="355"/>
    </row>
    <row r="32" spans="1:17" ht="12" customHeight="1">
      <c r="A32" s="84" t="s">
        <v>1216</v>
      </c>
      <c r="B32" s="540">
        <f ca="1">+Carrying!E25/Profit!$B$28</f>
        <v>1021.0128464088397</v>
      </c>
      <c r="C32" s="73"/>
      <c r="D32" s="268"/>
      <c r="E32" s="242"/>
      <c r="F32" s="246"/>
      <c r="G32" s="247"/>
      <c r="H32" s="285"/>
      <c r="I32" s="284"/>
      <c r="J32" s="666"/>
      <c r="K32" s="667"/>
      <c r="P32" s="355"/>
    </row>
    <row r="33" spans="1:11" ht="12" customHeight="1">
      <c r="A33" s="84" t="s">
        <v>60</v>
      </c>
      <c r="B33" s="540">
        <f ca="1">+Carrying!H25/Profit!$B$28</f>
        <v>0</v>
      </c>
      <c r="C33" s="73"/>
      <c r="D33" s="268"/>
      <c r="E33" s="242"/>
      <c r="F33" s="246"/>
      <c r="G33" s="247"/>
      <c r="H33" s="285">
        <f t="shared" ca="1" si="0"/>
        <v>0</v>
      </c>
      <c r="I33" s="284">
        <f t="shared" ca="1" si="1"/>
        <v>0</v>
      </c>
      <c r="J33" s="666"/>
      <c r="K33" s="667"/>
    </row>
    <row r="34" spans="1:11" ht="12" customHeight="1" thickBot="1">
      <c r="A34" s="84" t="s">
        <v>1203</v>
      </c>
      <c r="B34" s="540">
        <f ca="1">+Carrying!K25/Profit!$B$28</f>
        <v>0</v>
      </c>
      <c r="C34" s="73"/>
      <c r="D34" s="268"/>
      <c r="E34" s="242"/>
      <c r="F34" s="246"/>
      <c r="G34" s="247"/>
      <c r="H34" s="285">
        <f t="shared" ca="1" si="0"/>
        <v>0</v>
      </c>
      <c r="I34" s="284">
        <f t="shared" ca="1" si="1"/>
        <v>0</v>
      </c>
      <c r="J34" s="668"/>
      <c r="K34" s="669"/>
    </row>
    <row r="35" spans="1:11" ht="12" customHeight="1">
      <c r="A35" s="84" t="s">
        <v>423</v>
      </c>
      <c r="B35" s="540">
        <f ca="1">+Carrying!N25/Profit!$B$28</f>
        <v>0</v>
      </c>
      <c r="C35" s="73"/>
      <c r="D35" s="268"/>
      <c r="E35" s="242"/>
      <c r="F35" s="246"/>
      <c r="G35" s="247"/>
      <c r="H35" s="285"/>
      <c r="I35" s="284"/>
    </row>
    <row r="36" spans="1:11" ht="12" customHeight="1">
      <c r="A36" s="84" t="s">
        <v>1204</v>
      </c>
      <c r="B36" s="540">
        <f ca="1">+Carrying!Q25/Profit!$B$28</f>
        <v>19.138549723756906</v>
      </c>
      <c r="C36" s="73"/>
      <c r="D36" s="268"/>
      <c r="E36" s="242"/>
      <c r="F36" s="246"/>
      <c r="G36" s="247"/>
      <c r="H36" s="285"/>
      <c r="I36" s="284"/>
    </row>
    <row r="37" spans="1:11" ht="12" customHeight="1">
      <c r="A37" s="84" t="s">
        <v>1205</v>
      </c>
      <c r="B37" s="540">
        <f ca="1">+Carrying!T25/Profit!$B$28</f>
        <v>0</v>
      </c>
      <c r="C37" s="73"/>
      <c r="D37" s="268"/>
      <c r="E37" s="242"/>
      <c r="F37" s="246"/>
      <c r="G37" s="247"/>
      <c r="H37" s="285"/>
      <c r="I37" s="284"/>
    </row>
    <row r="38" spans="1:11" ht="12" customHeight="1">
      <c r="A38" s="84" t="s">
        <v>188</v>
      </c>
      <c r="B38" s="540">
        <f ca="1">+Carrying!W25/Profit!$B$28</f>
        <v>0</v>
      </c>
      <c r="C38" s="73"/>
      <c r="D38" s="268"/>
      <c r="E38" s="242"/>
      <c r="F38" s="246"/>
      <c r="G38" s="247"/>
      <c r="H38" s="285"/>
      <c r="I38" s="284"/>
    </row>
    <row r="39" spans="1:11" ht="12" customHeight="1">
      <c r="A39" s="84" t="s">
        <v>424</v>
      </c>
      <c r="B39" s="540">
        <f ca="1">+Carrying!Z25/Profit!$B$28</f>
        <v>0</v>
      </c>
      <c r="C39" s="73"/>
      <c r="D39" s="268"/>
      <c r="E39" s="242"/>
      <c r="F39" s="246"/>
      <c r="G39" s="247"/>
      <c r="H39" s="285"/>
      <c r="I39" s="284"/>
    </row>
    <row r="40" spans="1:11" ht="12" customHeight="1" thickBot="1">
      <c r="A40" s="84" t="s">
        <v>1206</v>
      </c>
      <c r="B40" s="540">
        <f ca="1">+Carrying!AC25/Profit!$B$28</f>
        <v>0</v>
      </c>
      <c r="C40" s="73"/>
      <c r="D40" s="268"/>
      <c r="E40" s="242"/>
      <c r="F40" s="246"/>
      <c r="G40" s="247"/>
      <c r="H40" s="285"/>
      <c r="I40" s="284"/>
    </row>
    <row r="41" spans="1:11" ht="12" customHeight="1" thickBot="1">
      <c r="A41" s="84" t="s">
        <v>1207</v>
      </c>
      <c r="B41" s="540">
        <f ca="1">+Carrying!AF25/Profit!$B$28</f>
        <v>0</v>
      </c>
      <c r="C41" s="73"/>
      <c r="D41" s="268"/>
      <c r="E41" s="242"/>
      <c r="F41" s="246"/>
      <c r="G41" s="247"/>
      <c r="H41" s="285"/>
      <c r="I41" s="284"/>
      <c r="J41" s="682" t="s">
        <v>62</v>
      </c>
      <c r="K41" s="684">
        <f ca="1">IF(+R3=3,-H54,+B42/B28)</f>
        <v>80.933166298342542</v>
      </c>
    </row>
    <row r="42" spans="1:11" ht="12" customHeight="1" thickBot="1">
      <c r="A42" s="38" t="s">
        <v>62</v>
      </c>
      <c r="B42" s="679">
        <f ca="1">+B28*SUM(B31:B41)</f>
        <v>13340.979999999998</v>
      </c>
      <c r="C42" s="680"/>
      <c r="D42" s="241">
        <f ca="1">-B42</f>
        <v>-13340.979999999998</v>
      </c>
      <c r="E42" s="242"/>
      <c r="F42" s="246"/>
      <c r="G42" s="247"/>
      <c r="H42" s="285"/>
      <c r="I42" s="284"/>
      <c r="J42" s="683"/>
      <c r="K42" s="685"/>
    </row>
    <row r="43" spans="1:11" ht="12" customHeight="1" thickBot="1">
      <c r="A43" s="84" t="s">
        <v>63</v>
      </c>
      <c r="B43" s="225">
        <v>0.1031</v>
      </c>
      <c r="C43" s="73" t="b">
        <v>1</v>
      </c>
      <c r="D43" s="268"/>
      <c r="E43" s="242"/>
      <c r="F43" s="246"/>
      <c r="G43" s="247"/>
      <c r="H43" s="285"/>
      <c r="I43" s="284"/>
    </row>
    <row r="44" spans="1:11" ht="12" customHeight="1" thickBot="1">
      <c r="A44" s="84">
        <v>0.65</v>
      </c>
      <c r="B44" s="543"/>
      <c r="C44" s="73">
        <f>IF(C43,+(B6*A44)-SUM(C15:C19)-B44,0)</f>
        <v>17255</v>
      </c>
      <c r="D44" s="268"/>
      <c r="E44" s="242">
        <f>IF(C43,B44,0)</f>
        <v>0</v>
      </c>
      <c r="F44" s="246">
        <f>IF(C43,-E44,0)</f>
        <v>0</v>
      </c>
      <c r="G44" s="247"/>
      <c r="H44" s="285">
        <f>IF($R$3=3,-E44*B43/12,0)</f>
        <v>0</v>
      </c>
      <c r="I44" s="284"/>
      <c r="J44" s="542" t="s">
        <v>1373</v>
      </c>
      <c r="K44" s="542">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3"/>
      <c r="C47" s="534">
        <v>500</v>
      </c>
      <c r="D47" s="268"/>
      <c r="E47" s="242"/>
      <c r="F47" s="246" t="str">
        <f>IF(Q3,-C47,"")</f>
        <v/>
      </c>
      <c r="G47" s="247"/>
      <c r="H47" s="286"/>
      <c r="I47" s="284"/>
      <c r="J47" s="645" t="s">
        <v>61</v>
      </c>
      <c r="K47" s="673">
        <f>+B21</f>
        <v>222245</v>
      </c>
    </row>
    <row r="48" spans="1:11" ht="12" customHeight="1" thickBot="1">
      <c r="A48" s="85" t="s">
        <v>68</v>
      </c>
      <c r="B48" s="322"/>
      <c r="C48" s="86">
        <v>2.4E-2</v>
      </c>
      <c r="D48" s="268"/>
      <c r="E48" s="242"/>
      <c r="F48" s="246" t="str">
        <f>IF(Q4,IF(OR(R3=1,R3=2),-C48*$F$10,0),"")</f>
        <v/>
      </c>
      <c r="G48" s="247"/>
      <c r="H48" s="286"/>
      <c r="I48" s="284"/>
      <c r="J48" s="681"/>
      <c r="K48" s="674"/>
    </row>
    <row r="49" spans="1:15" ht="12" customHeight="1" thickBot="1">
      <c r="A49" s="85" t="s">
        <v>69</v>
      </c>
      <c r="B49" s="323"/>
      <c r="C49" s="123">
        <v>2.5999999999999999E-2</v>
      </c>
      <c r="D49" s="268"/>
      <c r="E49" s="242"/>
      <c r="F49" s="246" t="str">
        <f>IF(Q5,IF(OR(R3=1,R3=2),-C49*$F$10,0),"")</f>
        <v/>
      </c>
      <c r="G49" s="247"/>
      <c r="H49" s="286"/>
      <c r="I49" s="284"/>
      <c r="J49" s="645" t="s">
        <v>64</v>
      </c>
      <c r="K49" s="673">
        <f ca="1">-E55</f>
        <v>61708.057565749987</v>
      </c>
    </row>
    <row r="50" spans="1:15" ht="12" customHeight="1" thickBot="1">
      <c r="A50" s="124" t="s">
        <v>70</v>
      </c>
      <c r="B50" s="122"/>
      <c r="C50" s="151">
        <v>36</v>
      </c>
      <c r="D50" s="268"/>
      <c r="E50" s="242"/>
      <c r="F50" s="246"/>
      <c r="G50" s="247"/>
      <c r="H50" s="286"/>
      <c r="I50" s="284"/>
      <c r="J50" s="646"/>
      <c r="K50" s="674"/>
    </row>
    <row r="51" spans="1:15" ht="12" customHeight="1" thickBot="1">
      <c r="A51" s="38" t="s">
        <v>71</v>
      </c>
      <c r="B51" s="677"/>
      <c r="C51" s="678"/>
      <c r="D51" s="269"/>
      <c r="E51" s="242"/>
      <c r="F51" s="246">
        <f>-C51</f>
        <v>0</v>
      </c>
      <c r="G51" s="247"/>
      <c r="H51" s="287"/>
      <c r="I51" s="284"/>
      <c r="J51" s="581" t="s">
        <v>66</v>
      </c>
      <c r="K51" s="642"/>
    </row>
    <row r="52" spans="1:15" ht="12" customHeight="1" thickBot="1">
      <c r="A52" s="38" t="s">
        <v>72</v>
      </c>
      <c r="B52" s="675">
        <f>+D87</f>
        <v>940</v>
      </c>
      <c r="C52" s="676"/>
      <c r="D52" s="268">
        <f>-B52</f>
        <v>-940</v>
      </c>
      <c r="E52" s="242"/>
      <c r="F52" s="246"/>
      <c r="G52" s="247"/>
      <c r="H52" s="287"/>
      <c r="I52" s="284"/>
      <c r="J52" s="643"/>
      <c r="K52" s="644"/>
    </row>
    <row r="53" spans="1:15" ht="12" customHeight="1" thickBot="1">
      <c r="A53" s="38" t="s">
        <v>73</v>
      </c>
      <c r="B53" s="640">
        <f>+D98</f>
        <v>290</v>
      </c>
      <c r="C53" s="641"/>
      <c r="D53" s="270"/>
      <c r="E53" s="271"/>
      <c r="F53" s="272">
        <f>-B53</f>
        <v>-290</v>
      </c>
      <c r="G53" s="273"/>
      <c r="H53" s="288"/>
      <c r="I53" s="289"/>
    </row>
    <row r="54" spans="1:15" ht="12" customHeight="1" thickBot="1">
      <c r="B54" s="638" t="s">
        <v>74</v>
      </c>
      <c r="C54" s="639"/>
      <c r="D54" s="133">
        <f ca="1">+SUM(D14:D53)</f>
        <v>-278753.05756574997</v>
      </c>
      <c r="E54" s="350"/>
      <c r="F54" s="351">
        <f>+SUM(F14:F53)</f>
        <v>-177535</v>
      </c>
      <c r="G54" s="350"/>
      <c r="H54" s="352">
        <f ca="1">SUM(H15:H53)</f>
        <v>-80.933166298342542</v>
      </c>
      <c r="I54" s="353">
        <f ca="1">SUM(I15:I53)+H10</f>
        <v>2025.4831662983422</v>
      </c>
    </row>
    <row r="55" spans="1:15" ht="12" customHeight="1" thickBot="1">
      <c r="A55" s="39"/>
      <c r="B55" s="649" t="s">
        <v>75</v>
      </c>
      <c r="C55" s="650"/>
      <c r="D55" s="650"/>
      <c r="E55" s="91">
        <f ca="1">+SUM(D10:E53)</f>
        <v>-61708.057565749987</v>
      </c>
      <c r="F55" s="622">
        <f>+SUM(F10:G53)</f>
        <v>133184.84000000014</v>
      </c>
      <c r="G55" s="623"/>
      <c r="H55" s="89"/>
      <c r="I55" s="93">
        <f ca="1">+SUM(H54:I54)</f>
        <v>1944.5499999999997</v>
      </c>
      <c r="O55" s="60"/>
    </row>
    <row r="56" spans="1:15" ht="12" customHeight="1">
      <c r="A56" s="39"/>
      <c r="B56" s="39"/>
      <c r="D56" s="39"/>
      <c r="E56" s="562" t="s">
        <v>76</v>
      </c>
      <c r="F56" s="563"/>
      <c r="G56" s="88">
        <f ca="1">SUM(E55:G55)</f>
        <v>71476.782434250155</v>
      </c>
      <c r="H56" s="89"/>
      <c r="I56" s="90"/>
      <c r="J56" s="608" t="s">
        <v>77</v>
      </c>
      <c r="K56" s="560" t="s">
        <v>78</v>
      </c>
      <c r="O56" s="60"/>
    </row>
    <row r="57" spans="1:15" ht="12" customHeight="1" thickBot="1">
      <c r="A57" s="39"/>
      <c r="B57" s="39"/>
      <c r="E57" s="562" t="s">
        <v>79</v>
      </c>
      <c r="F57" s="563"/>
      <c r="G57" s="563"/>
      <c r="H57" s="354">
        <f>IF(OR(R3=2,R3=3),IF(R3=2,C50,60),0)</f>
        <v>60</v>
      </c>
      <c r="I57" s="134">
        <f ca="1">IF(OR(R3=2,R3=3),+H57*I55,0)</f>
        <v>116672.99999999999</v>
      </c>
      <c r="J57" s="609"/>
      <c r="K57" s="561"/>
      <c r="M57" s="60"/>
    </row>
    <row r="58" spans="1:15" ht="12" customHeight="1" thickBot="1">
      <c r="A58" s="39"/>
      <c r="B58" s="39"/>
      <c r="E58" s="92"/>
      <c r="F58" s="587" t="s">
        <v>80</v>
      </c>
      <c r="G58" s="588"/>
      <c r="H58" s="76"/>
      <c r="I58" s="76">
        <f ca="1">+I57+G56</f>
        <v>188149.78243425014</v>
      </c>
      <c r="J58" s="77">
        <f ca="1">$B$25*$I$58</f>
        <v>0</v>
      </c>
      <c r="K58" s="78">
        <f ca="1">+$I$58-J58</f>
        <v>188149.78243425014</v>
      </c>
    </row>
    <row r="59" spans="1:15" ht="12" customHeight="1" thickTop="1" thickBot="1">
      <c r="A59" s="79" t="s">
        <v>81</v>
      </c>
      <c r="B59" s="603">
        <f>IF(OR(C1="Hold",D1="slow flip"),0.15,0)</f>
        <v>0.15</v>
      </c>
      <c r="C59" s="604"/>
      <c r="D59" s="79"/>
      <c r="E59" s="79"/>
      <c r="H59" s="228"/>
      <c r="I59" s="229" t="s">
        <v>82</v>
      </c>
      <c r="J59" s="88">
        <f ca="1">-I81</f>
        <v>0</v>
      </c>
      <c r="K59" s="108">
        <f ca="1">+I81</f>
        <v>0</v>
      </c>
    </row>
    <row r="60" spans="1:15" ht="12" customHeight="1" thickTop="1" thickBot="1">
      <c r="A60" s="38" t="s">
        <v>83</v>
      </c>
      <c r="B60" s="599">
        <v>0.1</v>
      </c>
      <c r="C60" s="600">
        <v>0.15</v>
      </c>
      <c r="D60" s="601">
        <f ca="1">+K62*B60</f>
        <v>15992.731506911265</v>
      </c>
      <c r="E60" s="602"/>
      <c r="H60" s="564" t="s">
        <v>84</v>
      </c>
      <c r="I60" s="565"/>
      <c r="J60" s="324" t="s">
        <v>85</v>
      </c>
      <c r="K60" s="108">
        <f ca="1">IF(B59="",0,-$B$59*SUM(K58:K59))</f>
        <v>-28222.46736513752</v>
      </c>
    </row>
    <row r="61" spans="1:15" ht="12" customHeight="1">
      <c r="G61" s="39"/>
      <c r="H61" s="564" t="s">
        <v>86</v>
      </c>
      <c r="I61" s="565"/>
      <c r="J61" s="77">
        <f ca="1">SUM(J58:J60)</f>
        <v>0</v>
      </c>
      <c r="K61" s="78">
        <f ca="1">SUM(K58:K60)</f>
        <v>159927.31506911264</v>
      </c>
    </row>
    <row r="62" spans="1:15" ht="12" customHeight="1" thickBot="1">
      <c r="A62" s="64"/>
      <c r="C62" s="38"/>
      <c r="D62" s="38"/>
      <c r="E62" s="38"/>
      <c r="H62" s="587" t="s">
        <v>87</v>
      </c>
      <c r="I62" s="588"/>
      <c r="J62" s="82"/>
      <c r="K62" s="221">
        <f ca="1">SUM(J61:K61)</f>
        <v>159927.31506911264</v>
      </c>
    </row>
    <row r="63" spans="1:15" ht="12" customHeight="1" thickTop="1">
      <c r="A63" s="68" t="s">
        <v>88</v>
      </c>
    </row>
    <row r="64" spans="1:15" ht="12" customHeight="1" thickBot="1">
      <c r="A64" s="38" t="s">
        <v>89</v>
      </c>
      <c r="B64" s="568">
        <f>'Gnatt Chart'!I6</f>
        <v>34882.931014999995</v>
      </c>
      <c r="C64" s="568"/>
      <c r="D64" s="568">
        <f>-B64</f>
        <v>-34882.931014999995</v>
      </c>
      <c r="E64" s="568"/>
    </row>
    <row r="65" spans="1:11" ht="12" customHeight="1" thickBot="1">
      <c r="A65" s="38" t="s">
        <v>90</v>
      </c>
      <c r="B65" s="80">
        <v>0.05</v>
      </c>
      <c r="D65" s="568"/>
      <c r="E65" s="568"/>
      <c r="G65" s="589" t="s">
        <v>91</v>
      </c>
      <c r="H65" s="590"/>
      <c r="I65" s="590"/>
      <c r="J65" s="591"/>
    </row>
    <row r="66" spans="1:11" ht="12" customHeight="1" thickBot="1">
      <c r="A66" s="38" t="s">
        <v>92</v>
      </c>
      <c r="B66" s="616">
        <f>IF(Q12&lt;&gt;"Yes",+B65*SUM(B64:C64),0)</f>
        <v>1744.1465507499997</v>
      </c>
      <c r="C66" s="616"/>
      <c r="D66" s="616">
        <f>-B66</f>
        <v>-1744.1465507499997</v>
      </c>
      <c r="E66" s="616"/>
      <c r="G66" s="592"/>
      <c r="H66" s="593"/>
      <c r="I66" s="593"/>
      <c r="J66" s="594"/>
    </row>
    <row r="67" spans="1:11" ht="12" customHeight="1" thickBot="1">
      <c r="A67" s="38" t="s">
        <v>93</v>
      </c>
      <c r="D67" s="566">
        <f>+SUM(D64:E66)</f>
        <v>-36627.077565749991</v>
      </c>
      <c r="E67" s="567"/>
      <c r="G67" s="605" t="s">
        <v>94</v>
      </c>
      <c r="H67" s="606"/>
      <c r="I67" s="606"/>
      <c r="J67" s="607"/>
    </row>
    <row r="68" spans="1:11" ht="12" customHeight="1" thickTop="1" thickBot="1">
      <c r="A68" s="81" t="s">
        <v>95</v>
      </c>
      <c r="B68" s="79"/>
      <c r="C68" s="79"/>
      <c r="D68" s="38"/>
      <c r="E68" s="38"/>
      <c r="G68" s="584"/>
      <c r="H68" s="585"/>
      <c r="I68" s="585"/>
      <c r="J68" s="586"/>
    </row>
    <row r="69" spans="1:11" ht="12" customHeight="1">
      <c r="A69" s="38" t="s">
        <v>96</v>
      </c>
      <c r="B69" s="636">
        <v>350</v>
      </c>
      <c r="C69" s="637"/>
      <c r="D69" s="568"/>
      <c r="E69" s="568"/>
      <c r="H69" s="37"/>
      <c r="I69" s="37"/>
    </row>
    <row r="70" spans="1:11" ht="12" customHeight="1" thickBot="1">
      <c r="A70" s="38" t="s">
        <v>97</v>
      </c>
      <c r="B70" s="610">
        <v>0</v>
      </c>
      <c r="C70" s="611"/>
      <c r="D70" s="568"/>
      <c r="E70" s="568"/>
      <c r="H70" s="37"/>
      <c r="I70" s="37"/>
    </row>
    <row r="71" spans="1:11" ht="12" customHeight="1" thickBot="1">
      <c r="A71" s="38" t="s">
        <v>98</v>
      </c>
      <c r="B71" s="610">
        <v>250</v>
      </c>
      <c r="C71" s="611"/>
      <c r="F71" s="635" t="s">
        <v>99</v>
      </c>
      <c r="G71" s="571"/>
      <c r="H71" s="571" t="s">
        <v>100</v>
      </c>
      <c r="I71" s="571"/>
      <c r="J71" s="208" t="s">
        <v>101</v>
      </c>
    </row>
    <row r="72" spans="1:11" ht="12" customHeight="1" thickBot="1">
      <c r="A72" s="38" t="s">
        <v>98</v>
      </c>
      <c r="B72" s="610"/>
      <c r="C72" s="611"/>
      <c r="F72" s="572">
        <f ca="1">_xlfn.DAYS(J72,H72)</f>
        <v>362</v>
      </c>
      <c r="G72" s="573"/>
      <c r="H72" s="574">
        <v>45823</v>
      </c>
      <c r="I72" s="575"/>
      <c r="J72" s="402">
        <f ca="1">NOW()</f>
        <v>46185.501314004629</v>
      </c>
    </row>
    <row r="73" spans="1:11" ht="12" customHeight="1">
      <c r="A73" s="38" t="s">
        <v>102</v>
      </c>
      <c r="B73" s="610"/>
      <c r="C73" s="611"/>
      <c r="D73" s="70"/>
      <c r="E73" s="62"/>
      <c r="F73" s="62"/>
      <c r="G73" s="62"/>
      <c r="H73" s="209"/>
      <c r="I73" s="210"/>
      <c r="J73" s="62"/>
      <c r="K73" s="576" t="s">
        <v>103</v>
      </c>
    </row>
    <row r="74" spans="1:11" ht="12" customHeight="1">
      <c r="A74" s="38" t="s">
        <v>102</v>
      </c>
      <c r="B74" s="610"/>
      <c r="C74" s="611"/>
      <c r="D74" s="211"/>
      <c r="G74" s="579" t="s">
        <v>104</v>
      </c>
      <c r="H74" s="579" t="s">
        <v>105</v>
      </c>
      <c r="I74" s="579" t="s">
        <v>106</v>
      </c>
      <c r="J74" s="579" t="s">
        <v>107</v>
      </c>
      <c r="K74" s="577"/>
    </row>
    <row r="75" spans="1:11" ht="12" customHeight="1" thickBot="1">
      <c r="A75" s="38" t="s">
        <v>108</v>
      </c>
      <c r="B75" s="610"/>
      <c r="C75" s="611"/>
      <c r="D75" s="63" t="s">
        <v>109</v>
      </c>
      <c r="E75" s="617" t="s">
        <v>110</v>
      </c>
      <c r="F75" s="617"/>
      <c r="G75" s="580"/>
      <c r="H75" s="580"/>
      <c r="I75" s="580"/>
      <c r="J75" s="580"/>
      <c r="K75" s="578"/>
    </row>
    <row r="76" spans="1:11" ht="12" customHeight="1">
      <c r="A76" s="38" t="s">
        <v>111</v>
      </c>
      <c r="B76" s="610"/>
      <c r="C76" s="611"/>
      <c r="D76" s="277">
        <v>45397</v>
      </c>
      <c r="E76" s="595" t="s">
        <v>112</v>
      </c>
      <c r="F76" s="596"/>
      <c r="G76" s="278"/>
      <c r="H76" s="279">
        <f ca="1">+G76/$G$82</f>
        <v>0</v>
      </c>
      <c r="I76" s="280">
        <f ca="1">+$J$58*H76</f>
        <v>0</v>
      </c>
      <c r="J76" s="281">
        <f ca="1">+G76+I76</f>
        <v>0</v>
      </c>
      <c r="K76" s="282">
        <f>IF(G76="",0,+I76/G76*365/_xlfn.DAYS($J$72,D76))</f>
        <v>0</v>
      </c>
    </row>
    <row r="77" spans="1:11" ht="12" customHeight="1">
      <c r="A77" s="38" t="s">
        <v>113</v>
      </c>
      <c r="B77" s="610"/>
      <c r="C77" s="611"/>
      <c r="D77" s="277">
        <f>+D76+90</f>
        <v>45487</v>
      </c>
      <c r="E77" s="595" t="str">
        <f>+E76</f>
        <v>unknown</v>
      </c>
      <c r="F77" s="596"/>
      <c r="G77" s="278"/>
      <c r="H77" s="279">
        <f ca="1">+G77/$G$82</f>
        <v>0</v>
      </c>
      <c r="I77" s="280">
        <f ca="1">+$J$58*H77</f>
        <v>0</v>
      </c>
      <c r="J77" s="281">
        <f ca="1">+G77+I77</f>
        <v>0</v>
      </c>
      <c r="K77" s="282">
        <f>IF(G77="",0,+I77/G77*365/_xlfn.DAYS($J$72,D77))</f>
        <v>0</v>
      </c>
    </row>
    <row r="78" spans="1:11" ht="12" customHeight="1">
      <c r="A78" s="38" t="s">
        <v>114</v>
      </c>
      <c r="B78" s="610"/>
      <c r="C78" s="611"/>
      <c r="D78" s="277">
        <f>+D77+270</f>
        <v>45757</v>
      </c>
      <c r="E78" s="595" t="str">
        <f>+E77</f>
        <v>unknown</v>
      </c>
      <c r="F78" s="596"/>
      <c r="G78" s="278"/>
      <c r="H78" s="279">
        <f ca="1">+G78/$G$82</f>
        <v>0</v>
      </c>
      <c r="I78" s="280">
        <f ca="1">+$J$58*H78</f>
        <v>0</v>
      </c>
      <c r="J78" s="281">
        <f ca="1">+G78+I78</f>
        <v>0</v>
      </c>
      <c r="K78" s="282">
        <f>IF(G78="",0,+I78/G78*365/_xlfn.DAYS($J$72,D78))</f>
        <v>0</v>
      </c>
    </row>
    <row r="79" spans="1:11" ht="12" customHeight="1" thickBot="1">
      <c r="A79" s="38" t="s">
        <v>115</v>
      </c>
      <c r="B79" s="610"/>
      <c r="C79" s="611"/>
      <c r="D79" s="277">
        <f ca="1">+J72-120</f>
        <v>46065.501314004629</v>
      </c>
      <c r="E79" s="595" t="str">
        <f>+E78</f>
        <v>unknown</v>
      </c>
      <c r="F79" s="596"/>
      <c r="G79" s="278"/>
      <c r="H79" s="279">
        <f ca="1">+G79/$G$82</f>
        <v>0</v>
      </c>
      <c r="I79" s="280">
        <f ca="1">+$J$58*H79</f>
        <v>0</v>
      </c>
      <c r="J79" s="281">
        <f ca="1">+G79+I79</f>
        <v>0</v>
      </c>
      <c r="K79" s="282">
        <f>IF(G79="",0,+I79/G79*365/_xlfn.DAYS($J$72,D79))</f>
        <v>0</v>
      </c>
    </row>
    <row r="80" spans="1:11" ht="12" customHeight="1" thickBot="1">
      <c r="A80" s="38" t="s">
        <v>116</v>
      </c>
      <c r="B80" s="610">
        <v>200</v>
      </c>
      <c r="C80" s="611"/>
      <c r="D80" s="250">
        <v>45422</v>
      </c>
      <c r="E80" s="597" t="str">
        <f>+F1</f>
        <v>Your Home, LLC</v>
      </c>
      <c r="F80" s="598"/>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10"/>
      <c r="C81" s="611"/>
      <c r="D81" s="255" t="str">
        <f>+J71</f>
        <v>End Date</v>
      </c>
      <c r="E81" s="569" t="s">
        <v>118</v>
      </c>
      <c r="F81" s="570"/>
      <c r="G81" s="256">
        <f>+SUM(G75:G78)</f>
        <v>0</v>
      </c>
      <c r="H81" s="257">
        <f ca="1">+SUM(H75:H78)</f>
        <v>0</v>
      </c>
      <c r="I81" s="256">
        <f ca="1">+SUM(I75:I78)</f>
        <v>0</v>
      </c>
      <c r="J81" s="256">
        <f ca="1">+SUM(J75:J78)</f>
        <v>0</v>
      </c>
      <c r="K81" s="258">
        <f>AVERAGE(K75:K78)</f>
        <v>0</v>
      </c>
    </row>
    <row r="82" spans="1:11" ht="12" customHeight="1" thickBot="1">
      <c r="A82" s="38" t="s">
        <v>119</v>
      </c>
      <c r="B82" s="610"/>
      <c r="C82" s="611"/>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10">
        <v>90</v>
      </c>
      <c r="C83" s="611"/>
      <c r="D83" s="568"/>
      <c r="E83" s="568"/>
    </row>
    <row r="84" spans="1:11" ht="12" customHeight="1">
      <c r="A84" s="38" t="s">
        <v>122</v>
      </c>
      <c r="B84" s="610">
        <v>20</v>
      </c>
      <c r="C84" s="611"/>
      <c r="D84" s="568"/>
      <c r="E84" s="568"/>
    </row>
    <row r="85" spans="1:11" ht="12" customHeight="1">
      <c r="A85" s="38" t="s">
        <v>123</v>
      </c>
      <c r="B85" s="610">
        <v>30</v>
      </c>
      <c r="C85" s="611"/>
      <c r="D85" s="568"/>
      <c r="E85" s="568"/>
    </row>
    <row r="86" spans="1:11" ht="12" customHeight="1" thickBot="1">
      <c r="A86" s="38" t="s">
        <v>124</v>
      </c>
      <c r="B86" s="647"/>
      <c r="C86" s="648"/>
      <c r="D86" s="614"/>
      <c r="E86" s="615"/>
    </row>
    <row r="87" spans="1:11" ht="12" customHeight="1" thickBot="1">
      <c r="D87" s="566">
        <f>+SUM(B69:C86)</f>
        <v>940</v>
      </c>
      <c r="E87" s="567"/>
      <c r="G87" s="581" t="s">
        <v>125</v>
      </c>
      <c r="H87" s="582"/>
      <c r="I87" s="582"/>
      <c r="J87" s="583"/>
    </row>
    <row r="88" spans="1:11" ht="12" customHeight="1" thickBot="1">
      <c r="G88" s="584"/>
      <c r="H88" s="585"/>
      <c r="I88" s="585"/>
      <c r="J88" s="586"/>
    </row>
    <row r="89" spans="1:11" ht="12" customHeight="1" thickTop="1" thickBot="1">
      <c r="A89" s="81" t="s">
        <v>126</v>
      </c>
      <c r="B89" s="79"/>
      <c r="C89" s="79"/>
      <c r="D89" s="79"/>
      <c r="E89" s="79"/>
    </row>
    <row r="90" spans="1:11" ht="12" customHeight="1">
      <c r="A90" s="38" t="s">
        <v>96</v>
      </c>
      <c r="B90" s="636"/>
      <c r="C90" s="637"/>
      <c r="D90" s="568"/>
      <c r="E90" s="568"/>
    </row>
    <row r="91" spans="1:11" ht="12" customHeight="1">
      <c r="A91" s="38" t="s">
        <v>98</v>
      </c>
      <c r="B91" s="610">
        <v>250</v>
      </c>
      <c r="C91" s="611"/>
      <c r="D91" s="568"/>
      <c r="E91" s="568"/>
    </row>
    <row r="92" spans="1:11" ht="12" customHeight="1">
      <c r="A92" s="38" t="s">
        <v>127</v>
      </c>
      <c r="B92" s="610">
        <v>0</v>
      </c>
      <c r="C92" s="611"/>
      <c r="D92" s="568"/>
      <c r="E92" s="568"/>
    </row>
    <row r="93" spans="1:11" ht="12" customHeight="1">
      <c r="A93" s="38" t="s">
        <v>128</v>
      </c>
      <c r="B93" s="610"/>
      <c r="C93" s="611"/>
      <c r="D93" s="568"/>
      <c r="E93" s="568"/>
    </row>
    <row r="94" spans="1:11" ht="12" customHeight="1">
      <c r="A94" s="38" t="s">
        <v>121</v>
      </c>
      <c r="B94" s="610"/>
      <c r="C94" s="611"/>
      <c r="D94" s="568"/>
      <c r="E94" s="568"/>
    </row>
    <row r="95" spans="1:11" ht="12" customHeight="1">
      <c r="A95" s="38" t="s">
        <v>129</v>
      </c>
      <c r="B95" s="610">
        <v>40</v>
      </c>
      <c r="C95" s="611"/>
      <c r="D95" s="568"/>
      <c r="E95" s="568"/>
    </row>
    <row r="96" spans="1:11" ht="12" customHeight="1">
      <c r="A96" s="38" t="s">
        <v>130</v>
      </c>
      <c r="B96" s="610"/>
      <c r="C96" s="611"/>
      <c r="D96" s="568"/>
      <c r="E96" s="568"/>
    </row>
    <row r="97" spans="1:10" ht="12" customHeight="1" thickBot="1">
      <c r="A97" s="38" t="s">
        <v>124</v>
      </c>
      <c r="B97" s="612"/>
      <c r="C97" s="613"/>
      <c r="D97" s="614"/>
      <c r="E97" s="615"/>
    </row>
    <row r="98" spans="1:10" ht="12" customHeight="1" thickTop="1" thickBot="1">
      <c r="D98" s="566">
        <f>+SUM(B90:C97)</f>
        <v>290</v>
      </c>
      <c r="E98" s="567"/>
      <c r="G98" s="581" t="s">
        <v>131</v>
      </c>
      <c r="H98" s="582"/>
      <c r="I98" s="582"/>
      <c r="J98" s="583"/>
    </row>
    <row r="99" spans="1:10" ht="12" customHeight="1" thickBot="1">
      <c r="G99" s="584"/>
      <c r="H99" s="585"/>
      <c r="I99" s="585"/>
      <c r="J99" s="586"/>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2"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2" bestFit="1" customWidth="1"/>
    <col min="25" max="25" width="9.140625" style="188" customWidth="1"/>
    <col min="26" max="26" width="15.140625" style="384"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7"/>
      <c r="P1" s="13"/>
      <c r="Q1" s="13"/>
      <c r="R1" s="13"/>
      <c r="S1" s="13"/>
      <c r="T1" s="13"/>
      <c r="Y1" s="233"/>
      <c r="Z1" s="383"/>
      <c r="AA1" s="387"/>
      <c r="AB1" s="13"/>
      <c r="AC1" s="13"/>
      <c r="AD1" s="13"/>
      <c r="AE1" s="13"/>
      <c r="AF1" s="13"/>
      <c r="AJ1" s="395"/>
      <c r="AK1" s="13"/>
      <c r="AP1"/>
      <c r="AQ1"/>
      <c r="AR1" s="238" t="s">
        <v>133</v>
      </c>
      <c r="AS1" s="238" t="s">
        <v>134</v>
      </c>
      <c r="AT1" s="238" t="s">
        <v>135</v>
      </c>
      <c r="AU1" s="395" t="s">
        <v>136</v>
      </c>
      <c r="AV1" s="14"/>
      <c r="AW1"/>
      <c r="AX1" s="188"/>
      <c r="AY1" s="14"/>
    </row>
    <row r="2" spans="1:51" ht="15.75" thickBot="1">
      <c r="B2" s="234" t="s">
        <v>137</v>
      </c>
      <c r="C2" s="398">
        <f>+Profit!C15</f>
        <v>122713</v>
      </c>
      <c r="J2" s="2" t="s">
        <v>1385</v>
      </c>
      <c r="K2" s="699">
        <v>6000</v>
      </c>
      <c r="L2" s="680"/>
      <c r="N2" s="30" t="s">
        <v>1389</v>
      </c>
      <c r="O2" s="558">
        <f>IF($AW$2=1,P2,IF($AW$2=2,Q2,IF($AW$2=3,R2)))</f>
        <v>0.05</v>
      </c>
      <c r="P2" s="535">
        <v>0.05</v>
      </c>
      <c r="Q2" s="535">
        <v>0</v>
      </c>
      <c r="R2" s="535">
        <v>-0.1</v>
      </c>
      <c r="Y2" s="707" t="s">
        <v>138</v>
      </c>
      <c r="Z2" s="667"/>
      <c r="AA2" s="388">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8"/>
      <c r="J3" s="30" t="s">
        <v>1392</v>
      </c>
      <c r="K3" s="700">
        <v>0.06</v>
      </c>
      <c r="L3" s="701"/>
      <c r="N3" s="30" t="s">
        <v>1388</v>
      </c>
      <c r="O3" s="302">
        <f>IF($AW$2=1,P3,IF($AW$2=2,Q3,IF($AW$2=3,R3)))</f>
        <v>346500</v>
      </c>
      <c r="P3" s="526">
        <f>+Profit!$B$4*(1++P2)</f>
        <v>346500</v>
      </c>
      <c r="Q3" s="304">
        <f>+Profit!$B$4*(1++Q2)</f>
        <v>330000</v>
      </c>
      <c r="R3" s="305">
        <f>+Profit!$B$4*(1++R2)</f>
        <v>297000</v>
      </c>
      <c r="Y3" s="30"/>
      <c r="Z3" s="213"/>
      <c r="AA3" s="388"/>
      <c r="AB3" s="231"/>
      <c r="AC3" s="231"/>
      <c r="AD3" s="231"/>
      <c r="AJ3" s="14"/>
      <c r="AK3" s="14"/>
      <c r="AP3" s="30"/>
      <c r="AQ3" s="432"/>
      <c r="AS3" s="188"/>
      <c r="AT3" s="188"/>
      <c r="AU3" s="14"/>
      <c r="AV3" s="14"/>
      <c r="AW3"/>
      <c r="AX3" s="188"/>
    </row>
    <row r="4" spans="1:51" ht="15.75" thickBot="1">
      <c r="B4" s="234" t="s">
        <v>140</v>
      </c>
      <c r="C4" s="369">
        <f>+Profit!B15</f>
        <v>4.4999999999999998E-2</v>
      </c>
      <c r="J4" s="30" t="s">
        <v>1391</v>
      </c>
      <c r="K4" s="702">
        <f ca="1">+Profit!K62</f>
        <v>159927.31506911264</v>
      </c>
      <c r="L4" s="703"/>
      <c r="N4" s="30" t="s">
        <v>1386</v>
      </c>
      <c r="O4" s="302">
        <f>IF($AW$2=1,P4,IF($AW$2=2,Q4,IF($AW$2=3,R4)))</f>
        <v>20790</v>
      </c>
      <c r="P4" s="526">
        <f>+$O$3*$K$3</f>
        <v>20790</v>
      </c>
      <c r="Q4" s="304">
        <f>+$O$3*$K$3</f>
        <v>20790</v>
      </c>
      <c r="R4" s="305">
        <f>+$O$3*$K$3</f>
        <v>20790</v>
      </c>
      <c r="Y4" s="707" t="s">
        <v>141</v>
      </c>
      <c r="Z4" s="667"/>
      <c r="AA4" s="302">
        <f>IF($AW$2=1,AB4,IF($AW$2=2,AC4,IF($AW$2=3,AD4)))</f>
        <v>346500</v>
      </c>
      <c r="AB4" s="526">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8">
        <f>+D5/12</f>
        <v>38.416666666666664</v>
      </c>
      <c r="D5" s="398">
        <f>DATEDIF(C7,C8,"m")</f>
        <v>461</v>
      </c>
      <c r="N5" s="30" t="s">
        <v>1390</v>
      </c>
      <c r="O5" s="302">
        <f>IF($AW$2=1,P5,IF($AW$2=2,Q5,IF($AW$2=3,R5)))</f>
        <v>325710</v>
      </c>
      <c r="P5" s="526">
        <f>+P3-P4</f>
        <v>325710</v>
      </c>
      <c r="Q5" s="304">
        <f>+Q3-Q4</f>
        <v>309210</v>
      </c>
      <c r="R5" s="305">
        <f>+R3-R4</f>
        <v>276210</v>
      </c>
      <c r="U5" s="704" t="s">
        <v>1195</v>
      </c>
      <c r="V5" s="705"/>
      <c r="W5" s="705"/>
      <c r="X5" s="706">
        <v>0</v>
      </c>
      <c r="Y5" s="707" t="s">
        <v>138</v>
      </c>
      <c r="Z5" s="667"/>
      <c r="AA5" s="302">
        <f>IF($AW$2=1,AB5,IF($AW$2=2,AC5,IF($AW$2=3,AD5)))</f>
        <v>20790</v>
      </c>
      <c r="AB5" s="526">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1193</v>
      </c>
      <c r="P6" s="555">
        <v>0.04</v>
      </c>
      <c r="Q6" s="555">
        <v>3.2500000000000001E-2</v>
      </c>
      <c r="R6" s="555">
        <v>0.04</v>
      </c>
      <c r="U6" s="705"/>
      <c r="V6" s="705"/>
      <c r="W6" s="705"/>
      <c r="X6" s="619"/>
      <c r="Y6" s="707" t="s">
        <v>137</v>
      </c>
      <c r="Z6" s="667"/>
      <c r="AA6" s="302">
        <f>IF($AW$2=1,AB6,IF($AW$2=2,AC6,IF($AW$2=3,AD6)))</f>
        <v>325710</v>
      </c>
      <c r="AB6" s="526">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1198</v>
      </c>
      <c r="C7" s="528">
        <v>45870</v>
      </c>
      <c r="N7" s="30" t="s">
        <v>140</v>
      </c>
      <c r="O7" s="369">
        <f>IF($AW$2=1,P7,IF($AW$2=2,Q7,IF($AW$2=3,R7)))</f>
        <v>8.4999999999999992E-2</v>
      </c>
      <c r="P7" s="527">
        <f>+$C$4+P6</f>
        <v>8.4999999999999992E-2</v>
      </c>
      <c r="Q7" s="556">
        <f>+$C$4+Q6</f>
        <v>7.7499999999999999E-2</v>
      </c>
      <c r="R7" s="557">
        <f>+$C$4+R6</f>
        <v>8.4999999999999992E-2</v>
      </c>
      <c r="Y7" s="707" t="s">
        <v>1200</v>
      </c>
      <c r="Z7" s="667"/>
      <c r="AB7" s="527">
        <f>+$C$4+P6</f>
        <v>8.4999999999999992E-2</v>
      </c>
      <c r="AC7" s="357">
        <f>+$C$4+Q6</f>
        <v>7.7499999999999999E-2</v>
      </c>
      <c r="AD7" s="358">
        <f>+$C$4+R6</f>
        <v>8.4999999999999992E-2</v>
      </c>
      <c r="AH7" s="22"/>
      <c r="AI7" s="14" t="s">
        <v>147</v>
      </c>
      <c r="AJ7" s="14" t="s">
        <v>148</v>
      </c>
      <c r="AK7" s="396"/>
      <c r="AP7" s="30" t="s">
        <v>149</v>
      </c>
      <c r="AQ7"/>
      <c r="AR7" s="237">
        <f>SUM(AR4:AR6)</f>
        <v>183259.72057359564</v>
      </c>
      <c r="AS7" s="237">
        <f>SUM(AS4:AS6)</f>
        <v>363097.84861535905</v>
      </c>
      <c r="AT7" s="237">
        <f>SUM(AT4:AT6)</f>
        <v>755049.61093967594</v>
      </c>
      <c r="AU7" s="396">
        <f>SUM(AU4:AU6)</f>
        <v>1154676.0118980408</v>
      </c>
      <c r="AV7" s="14"/>
      <c r="AW7"/>
      <c r="AX7" s="188"/>
      <c r="AY7" s="14"/>
    </row>
    <row r="8" spans="1:51" ht="15.75" thickBot="1">
      <c r="B8" s="234" t="s">
        <v>1199</v>
      </c>
      <c r="C8" s="528">
        <v>59902</v>
      </c>
      <c r="N8" s="30" t="s">
        <v>1191</v>
      </c>
      <c r="O8" s="302">
        <f>ROUND(PMT($O$7/12,$P$9,-$O$5,0), 2)</f>
        <v>2504.4299999999998</v>
      </c>
      <c r="P8" s="526">
        <f t="shared" ref="P8:Q8" si="2">ROUND(PMT(P7/12,$P$9,-P5,0), 2)</f>
        <v>2504.4299999999998</v>
      </c>
      <c r="Q8" s="304">
        <f t="shared" si="2"/>
        <v>2215.2199999999998</v>
      </c>
      <c r="R8" s="305">
        <f>ROUND(PMT(R7/12,$P$9,-R5,0), 2)</f>
        <v>2123.8200000000002</v>
      </c>
      <c r="T8" s="13" t="s">
        <v>158</v>
      </c>
      <c r="Y8" s="707" t="s">
        <v>1201</v>
      </c>
      <c r="Z8" s="667"/>
      <c r="AB8" s="389">
        <f>+O9</f>
        <v>30</v>
      </c>
      <c r="AG8" s="30" t="s">
        <v>150</v>
      </c>
      <c r="AH8"/>
      <c r="AI8" s="188">
        <f>_xlfn.XLOOKUP(12,$M:$M,AS:AS)</f>
        <v>1944.5499999999997</v>
      </c>
      <c r="AJ8" s="188">
        <f>_xlfn.XLOOKUP(12,$M:$M,$AP:$AP)</f>
        <v>1944.5499999999997</v>
      </c>
      <c r="AK8" s="14"/>
      <c r="AP8" s="188"/>
      <c r="AQ8" s="188"/>
      <c r="AR8" s="188"/>
      <c r="AU8"/>
    </row>
    <row r="9" spans="1:51" ht="15.75" thickBot="1">
      <c r="N9" s="30" t="s">
        <v>1192</v>
      </c>
      <c r="O9" s="389">
        <v>30</v>
      </c>
      <c r="P9" s="388">
        <f>+O9*12</f>
        <v>360</v>
      </c>
      <c r="S9" s="387" t="s">
        <v>1189</v>
      </c>
      <c r="T9" s="389">
        <v>51.5</v>
      </c>
      <c r="Y9" s="373" t="str">
        <f>+"Payment at "&amp;AA9</f>
        <v>Payment at 0.085</v>
      </c>
      <c r="Z9" s="302">
        <f>ROUND(PMT($AA$9/12,$AC$9,-$AB$9,0), 2)</f>
        <v>2504.4299999999998</v>
      </c>
      <c r="AA9" s="231">
        <f>+AA10</f>
        <v>8.4999999999999992E-2</v>
      </c>
      <c r="AB9" s="302">
        <f>+AA6</f>
        <v>325710</v>
      </c>
      <c r="AC9" s="398">
        <f>+AB8*12</f>
        <v>360</v>
      </c>
      <c r="AG9" s="30" t="s">
        <v>151</v>
      </c>
      <c r="AH9"/>
      <c r="AI9" s="188">
        <f>+AI8*60</f>
        <v>116672.99999999999</v>
      </c>
      <c r="AJ9" s="188">
        <f>+AJ8*60</f>
        <v>116672.99999999999</v>
      </c>
      <c r="AK9" s="396"/>
      <c r="AQ9" s="387" t="s">
        <v>152</v>
      </c>
      <c r="AR9" s="188">
        <f>-_xlfn.XLOOKUP(5,$L:$L,$K:$K)</f>
        <v>-114358.53999999998</v>
      </c>
      <c r="AS9" s="396"/>
      <c r="AU9"/>
    </row>
    <row r="10" spans="1:51" ht="15.75" thickBot="1">
      <c r="S10" s="387" t="s">
        <v>1190</v>
      </c>
      <c r="T10" s="389">
        <f>1741.16/12</f>
        <v>145.09666666666666</v>
      </c>
      <c r="Y10" s="373" t="str">
        <f>+"Payment at "&amp;AA10</f>
        <v>Payment at 0.085</v>
      </c>
      <c r="Z10" s="302">
        <f>ROUND(PMT($AA$10/12,$AC$10,-$AB$10,0), 2)</f>
        <v>2545.85</v>
      </c>
      <c r="AA10" s="529">
        <f>IF($AW$2=1,AB7,IF($AW$2=2,AC7,IF($AW$2=3,AD7)))</f>
        <v>8.4999999999999992E-2</v>
      </c>
      <c r="AB10" s="303">
        <v>316165</v>
      </c>
      <c r="AC10" s="398">
        <f>+AC9-60</f>
        <v>300</v>
      </c>
      <c r="AG10" s="30" t="s">
        <v>153</v>
      </c>
      <c r="AH10"/>
      <c r="AI10" s="188">
        <f>-_xlfn.XLOOKUP(5,$L:$L,$K:$K)</f>
        <v>-114358.53999999998</v>
      </c>
      <c r="AJ10" s="188">
        <f>-_xlfn.XLOOKUP(5,$L:$L,$K:$K)</f>
        <v>-114358.53999999998</v>
      </c>
      <c r="AK10" s="14"/>
      <c r="AQ10" s="387" t="s">
        <v>154</v>
      </c>
      <c r="AR10" s="236">
        <f>_xlfn.XLOOKUP(5,$L:$L,$W:$W)</f>
        <v>310719.84000000014</v>
      </c>
    </row>
    <row r="11" spans="1:51" ht="15" customHeight="1" thickBot="1">
      <c r="N11" s="30" t="s">
        <v>1194</v>
      </c>
      <c r="O11" s="528">
        <v>46204</v>
      </c>
      <c r="P11" s="30" t="s">
        <v>1374</v>
      </c>
      <c r="Q11" s="550">
        <f>EDATE(O11, P9-1)</f>
        <v>57132</v>
      </c>
      <c r="S11" s="387" t="s">
        <v>1384</v>
      </c>
      <c r="T11" s="388">
        <f>+O8+T9+T10</f>
        <v>2701.0266666666666</v>
      </c>
      <c r="AB11" s="302">
        <f>_xlfn.XLOOKUP(60,$M:$M,AL:AL)</f>
        <v>310719.84000000014</v>
      </c>
      <c r="AG11" s="30" t="s">
        <v>155</v>
      </c>
      <c r="AH11"/>
      <c r="AI11" s="236">
        <f>_xlfn.XLOOKUP(5,$L:$L,$W:$W)</f>
        <v>310719.84000000014</v>
      </c>
      <c r="AJ11" s="236">
        <f>_xlfn.XLOOKUP(5,$L:$L,$AL:$AL)</f>
        <v>310719.84000000014</v>
      </c>
      <c r="AK11" s="14"/>
      <c r="AQ11" s="387" t="s">
        <v>156</v>
      </c>
      <c r="AR11" s="359">
        <f>SUM(AR9:AR10)</f>
        <v>196361.30000000016</v>
      </c>
    </row>
    <row r="12" spans="1:51" ht="15.75" thickBot="1">
      <c r="Y12" s="709"/>
      <c r="Z12" s="710"/>
      <c r="AC12" s="387"/>
      <c r="AG12" s="30" t="s">
        <v>157</v>
      </c>
      <c r="AH12"/>
      <c r="AI12" s="359">
        <f>SUM(AI9:AI11)</f>
        <v>313034.30000000016</v>
      </c>
      <c r="AJ12" s="359">
        <f>SUM(AJ9:AJ11)</f>
        <v>313034.30000000016</v>
      </c>
      <c r="AK12" s="14"/>
      <c r="AP12" s="359"/>
      <c r="AQ12" s="359"/>
      <c r="AR12" s="188"/>
    </row>
    <row r="13" spans="1:51" ht="15.75" thickBot="1">
      <c r="N13" s="719" t="str">
        <f>"Mortgage Fixed at "&amp; O7</f>
        <v>Mortgage Fixed at 0.085</v>
      </c>
      <c r="O13" s="720"/>
      <c r="P13" s="720"/>
      <c r="Q13" s="720"/>
      <c r="R13" s="720"/>
      <c r="S13" s="720"/>
      <c r="T13" s="720"/>
      <c r="U13" s="720"/>
      <c r="V13" s="720"/>
      <c r="W13" s="721"/>
      <c r="Y13" s="719" t="str">
        <f>"Mortgage Reduced to "&amp;AA9&amp;"% for 1st 5 years then "&amp;AA10 &amp; "%"</f>
        <v>Mortgage Reduced to 0.085% for 1st 5 years then 0.085%</v>
      </c>
      <c r="Z13" s="720"/>
      <c r="AA13" s="720"/>
      <c r="AB13" s="720"/>
      <c r="AC13" s="720"/>
      <c r="AD13" s="720"/>
      <c r="AE13" s="720"/>
      <c r="AF13" s="720"/>
      <c r="AG13" s="720"/>
      <c r="AH13" s="720"/>
      <c r="AI13" s="722"/>
      <c r="AJ13" s="722"/>
      <c r="AK13" s="722"/>
      <c r="AL13" s="688"/>
    </row>
    <row r="14" spans="1:51" ht="15" customHeight="1" thickBot="1">
      <c r="C14" s="715" t="s">
        <v>158</v>
      </c>
      <c r="D14" s="716"/>
      <c r="E14" s="717"/>
      <c r="F14" s="717"/>
      <c r="G14" s="717"/>
      <c r="H14" s="718"/>
      <c r="I14" s="708" t="s">
        <v>159</v>
      </c>
      <c r="J14" s="573"/>
      <c r="N14" s="399"/>
      <c r="U14" s="711" t="s">
        <v>159</v>
      </c>
      <c r="V14" s="713"/>
      <c r="W14" s="399"/>
      <c r="Y14" s="399"/>
      <c r="AA14" s="711" t="s">
        <v>158</v>
      </c>
      <c r="AB14" s="712"/>
      <c r="AC14" s="714"/>
      <c r="AD14" s="714"/>
      <c r="AE14" s="714"/>
      <c r="AF14" s="669"/>
      <c r="AG14" s="711" t="s">
        <v>159</v>
      </c>
      <c r="AH14" s="713"/>
      <c r="AI14" s="711" t="s">
        <v>160</v>
      </c>
      <c r="AJ14" s="712"/>
      <c r="AK14" s="713"/>
      <c r="AL14" s="399"/>
      <c r="AN14" s="708" t="s">
        <v>161</v>
      </c>
      <c r="AO14" s="573"/>
      <c r="AP14" s="708" t="s">
        <v>162</v>
      </c>
      <c r="AQ14" s="573"/>
      <c r="AT14" s="395" t="s">
        <v>159</v>
      </c>
      <c r="AU14" s="708" t="s">
        <v>163</v>
      </c>
      <c r="AV14" s="573"/>
    </row>
    <row r="15" spans="1:51" ht="15" customHeight="1" thickBot="1">
      <c r="A15" s="393" t="s">
        <v>109</v>
      </c>
      <c r="B15" s="235" t="s">
        <v>164</v>
      </c>
      <c r="C15" s="390" t="s">
        <v>165</v>
      </c>
      <c r="D15" s="397" t="s">
        <v>166</v>
      </c>
      <c r="E15" s="390" t="s">
        <v>167</v>
      </c>
      <c r="F15" s="390" t="s">
        <v>168</v>
      </c>
      <c r="G15" s="390" t="s">
        <v>169</v>
      </c>
      <c r="H15" s="390" t="s">
        <v>170</v>
      </c>
      <c r="I15" s="386" t="s">
        <v>166</v>
      </c>
      <c r="J15" s="386" t="s">
        <v>167</v>
      </c>
      <c r="K15" s="315" t="s">
        <v>171</v>
      </c>
      <c r="L15" s="306" t="s">
        <v>172</v>
      </c>
      <c r="M15" s="306" t="s">
        <v>173</v>
      </c>
      <c r="N15" s="235" t="s">
        <v>164</v>
      </c>
      <c r="O15" s="390" t="s">
        <v>165</v>
      </c>
      <c r="P15" s="390" t="s">
        <v>166</v>
      </c>
      <c r="Q15" s="390" t="s">
        <v>167</v>
      </c>
      <c r="R15" s="390" t="s">
        <v>168</v>
      </c>
      <c r="S15" s="390" t="s">
        <v>169</v>
      </c>
      <c r="T15" s="390" t="s">
        <v>174</v>
      </c>
      <c r="U15" s="386" t="s">
        <v>175</v>
      </c>
      <c r="V15" s="386" t="s">
        <v>167</v>
      </c>
      <c r="W15" s="390" t="s">
        <v>171</v>
      </c>
      <c r="X15" s="393" t="s">
        <v>109</v>
      </c>
      <c r="Y15" s="235" t="s">
        <v>164</v>
      </c>
      <c r="Z15" s="390" t="s">
        <v>176</v>
      </c>
      <c r="AA15" s="390" t="s">
        <v>165</v>
      </c>
      <c r="AB15" s="390" t="s">
        <v>166</v>
      </c>
      <c r="AC15" s="390" t="s">
        <v>167</v>
      </c>
      <c r="AD15" s="390" t="s">
        <v>168</v>
      </c>
      <c r="AE15" s="390" t="s">
        <v>169</v>
      </c>
      <c r="AF15" s="390" t="s">
        <v>170</v>
      </c>
      <c r="AG15" s="386" t="s">
        <v>166</v>
      </c>
      <c r="AH15" s="386" t="s">
        <v>167</v>
      </c>
      <c r="AI15" s="386" t="s">
        <v>177</v>
      </c>
      <c r="AJ15" s="386" t="s">
        <v>178</v>
      </c>
      <c r="AK15" s="386" t="s">
        <v>179</v>
      </c>
      <c r="AL15" s="386" t="s">
        <v>180</v>
      </c>
      <c r="AM15" s="306" t="s">
        <v>172</v>
      </c>
      <c r="AN15" s="390" t="s">
        <v>181</v>
      </c>
      <c r="AO15" s="390" t="s">
        <v>182</v>
      </c>
      <c r="AP15" s="390" t="s">
        <v>181</v>
      </c>
      <c r="AQ15" s="390" t="s">
        <v>182</v>
      </c>
      <c r="AR15" s="232" t="s">
        <v>183</v>
      </c>
      <c r="AS15" s="390" t="s">
        <v>184</v>
      </c>
      <c r="AT15" s="390" t="s">
        <v>184</v>
      </c>
      <c r="AU15" s="235" t="s">
        <v>158</v>
      </c>
      <c r="AV15" s="235" t="s">
        <v>185</v>
      </c>
    </row>
    <row r="16" spans="1:51">
      <c r="A16" s="391">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1">
        <f>+A16</f>
        <v>45870</v>
      </c>
      <c r="Y16" s="188">
        <f>+AA6</f>
        <v>325710</v>
      </c>
      <c r="Z16" s="384">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0">
        <f>SUM(AB16:AC16)-SUM(P16:Q16)</f>
        <v>0</v>
      </c>
      <c r="AJ16" s="400">
        <f t="shared" ref="AJ16:AJ79" si="16">+W16-AL16</f>
        <v>0</v>
      </c>
      <c r="AK16" s="400"/>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1">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1">
        <f t="shared" ref="X17:X80" si="26">+A17</f>
        <v>45900</v>
      </c>
      <c r="Y17" s="188">
        <f>IF(+AL16&lt;0,0,+AL16)</f>
        <v>325710</v>
      </c>
      <c r="Z17" s="384">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0">
        <f t="shared" ref="AI17:AI59" si="27">O17-AA17+AI16</f>
        <v>0</v>
      </c>
      <c r="AJ17" s="400">
        <f t="shared" si="16"/>
        <v>0</v>
      </c>
      <c r="AK17" s="400"/>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1">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1">
        <f t="shared" si="26"/>
        <v>45930</v>
      </c>
      <c r="Y18" s="188">
        <f t="shared" ref="Y18:Y59" si="42">IF(+AL17&lt;0,0,+AL17)</f>
        <v>325710</v>
      </c>
      <c r="Z18" s="384">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0">
        <f t="shared" si="27"/>
        <v>0</v>
      </c>
      <c r="AJ18" s="400">
        <f t="shared" si="16"/>
        <v>0</v>
      </c>
      <c r="AK18" s="400"/>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1">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1">
        <f t="shared" si="26"/>
        <v>45960</v>
      </c>
      <c r="Y19" s="188">
        <f t="shared" si="42"/>
        <v>325710</v>
      </c>
      <c r="Z19" s="384">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0">
        <f t="shared" si="27"/>
        <v>0</v>
      </c>
      <c r="AJ19" s="400">
        <f t="shared" si="16"/>
        <v>0</v>
      </c>
      <c r="AK19" s="400"/>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1">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1">
        <f t="shared" si="26"/>
        <v>45990</v>
      </c>
      <c r="Y20" s="188">
        <f t="shared" si="42"/>
        <v>325710</v>
      </c>
      <c r="Z20" s="384">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0">
        <f t="shared" si="27"/>
        <v>0</v>
      </c>
      <c r="AJ20" s="400">
        <f t="shared" si="16"/>
        <v>0</v>
      </c>
      <c r="AK20" s="400"/>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1">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1">
        <f t="shared" si="26"/>
        <v>46020</v>
      </c>
      <c r="Y21" s="188">
        <f t="shared" si="42"/>
        <v>325710</v>
      </c>
      <c r="Z21" s="384">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0">
        <f t="shared" si="27"/>
        <v>0</v>
      </c>
      <c r="AJ21" s="400">
        <f t="shared" si="16"/>
        <v>0</v>
      </c>
      <c r="AK21" s="400"/>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1">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1">
        <f t="shared" si="26"/>
        <v>46050</v>
      </c>
      <c r="Y22" s="188">
        <f t="shared" si="42"/>
        <v>325710</v>
      </c>
      <c r="Z22" s="384">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0">
        <f t="shared" si="27"/>
        <v>0</v>
      </c>
      <c r="AJ22" s="400">
        <f t="shared" si="16"/>
        <v>0</v>
      </c>
      <c r="AK22" s="400"/>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1">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1">
        <f t="shared" si="26"/>
        <v>46080</v>
      </c>
      <c r="Y23" s="188">
        <f t="shared" si="42"/>
        <v>325710</v>
      </c>
      <c r="Z23" s="384">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0">
        <f t="shared" si="27"/>
        <v>0</v>
      </c>
      <c r="AJ23" s="400">
        <f t="shared" si="16"/>
        <v>0</v>
      </c>
      <c r="AK23" s="400"/>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1">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1">
        <f t="shared" si="26"/>
        <v>46110</v>
      </c>
      <c r="Y24" s="188">
        <f t="shared" si="42"/>
        <v>325710</v>
      </c>
      <c r="Z24" s="384">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0">
        <f t="shared" si="27"/>
        <v>0</v>
      </c>
      <c r="AJ24" s="400">
        <f t="shared" si="16"/>
        <v>0</v>
      </c>
      <c r="AK24" s="400"/>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1">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1">
        <f t="shared" si="26"/>
        <v>46140</v>
      </c>
      <c r="Y25" s="188">
        <f t="shared" si="42"/>
        <v>325710</v>
      </c>
      <c r="Z25" s="384">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0">
        <f t="shared" si="27"/>
        <v>0</v>
      </c>
      <c r="AJ25" s="400">
        <f t="shared" si="16"/>
        <v>0</v>
      </c>
      <c r="AK25" s="400"/>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1">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1">
        <f t="shared" si="26"/>
        <v>46170</v>
      </c>
      <c r="Y26" s="188">
        <f t="shared" si="42"/>
        <v>325710</v>
      </c>
      <c r="Z26" s="384">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0">
        <f t="shared" si="27"/>
        <v>0</v>
      </c>
      <c r="AJ26" s="400">
        <f t="shared" si="16"/>
        <v>0</v>
      </c>
      <c r="AK26" s="400"/>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4">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4">
        <f t="shared" si="26"/>
        <v>46200</v>
      </c>
      <c r="Y27" s="236">
        <f t="shared" si="42"/>
        <v>325710</v>
      </c>
      <c r="Z27" s="385">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1">
        <f t="shared" si="27"/>
        <v>0</v>
      </c>
      <c r="AJ27" s="401">
        <f t="shared" si="16"/>
        <v>0</v>
      </c>
      <c r="AK27" s="401"/>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1">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1">
        <f t="shared" si="26"/>
        <v>46230</v>
      </c>
      <c r="Y28" s="188">
        <f t="shared" si="42"/>
        <v>325710</v>
      </c>
      <c r="Z28" s="384">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0">
        <f t="shared" si="27"/>
        <v>0</v>
      </c>
      <c r="AJ28" s="400">
        <f t="shared" si="16"/>
        <v>0</v>
      </c>
      <c r="AK28" s="400"/>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1">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1">
        <f t="shared" si="26"/>
        <v>46260</v>
      </c>
      <c r="Y29" s="188">
        <f t="shared" si="42"/>
        <v>325512.68</v>
      </c>
      <c r="Z29" s="384">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0">
        <f t="shared" si="27"/>
        <v>0</v>
      </c>
      <c r="AJ29" s="400">
        <f t="shared" si="16"/>
        <v>0</v>
      </c>
      <c r="AK29" s="400"/>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1">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1">
        <f t="shared" si="26"/>
        <v>46290</v>
      </c>
      <c r="Y30" s="188">
        <f t="shared" si="42"/>
        <v>325313.96000000002</v>
      </c>
      <c r="Z30" s="384">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0">
        <f t="shared" si="27"/>
        <v>0</v>
      </c>
      <c r="AJ30" s="400">
        <f t="shared" si="16"/>
        <v>0</v>
      </c>
      <c r="AK30" s="400"/>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1">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1">
        <f t="shared" si="26"/>
        <v>46320</v>
      </c>
      <c r="Y31" s="188">
        <f t="shared" si="42"/>
        <v>325113.84000000003</v>
      </c>
      <c r="Z31" s="384">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0">
        <f t="shared" si="27"/>
        <v>0</v>
      </c>
      <c r="AJ31" s="400">
        <f t="shared" si="16"/>
        <v>0</v>
      </c>
      <c r="AK31" s="400"/>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1">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1">
        <f t="shared" si="26"/>
        <v>46350</v>
      </c>
      <c r="Y32" s="188">
        <f t="shared" si="42"/>
        <v>324912.30000000005</v>
      </c>
      <c r="Z32" s="384">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0">
        <f t="shared" si="27"/>
        <v>0</v>
      </c>
      <c r="AJ32" s="400">
        <f t="shared" si="16"/>
        <v>0</v>
      </c>
      <c r="AK32" s="400"/>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1">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1">
        <f t="shared" si="26"/>
        <v>46380</v>
      </c>
      <c r="Y33" s="188">
        <f t="shared" si="42"/>
        <v>324709.33000000007</v>
      </c>
      <c r="Z33" s="384">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0">
        <f t="shared" si="27"/>
        <v>0</v>
      </c>
      <c r="AJ33" s="400">
        <f t="shared" si="16"/>
        <v>0</v>
      </c>
      <c r="AK33" s="400"/>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1">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1">
        <f t="shared" si="26"/>
        <v>46410</v>
      </c>
      <c r="Y34" s="188">
        <f t="shared" si="42"/>
        <v>324504.9200000001</v>
      </c>
      <c r="Z34" s="384">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0">
        <f t="shared" si="27"/>
        <v>0</v>
      </c>
      <c r="AJ34" s="400">
        <f t="shared" si="16"/>
        <v>0</v>
      </c>
      <c r="AK34" s="400"/>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1">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1">
        <f t="shared" si="26"/>
        <v>46440</v>
      </c>
      <c r="Y35" s="188">
        <f t="shared" si="42"/>
        <v>324299.07000000012</v>
      </c>
      <c r="Z35" s="384">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0">
        <f t="shared" si="27"/>
        <v>0</v>
      </c>
      <c r="AJ35" s="400">
        <f t="shared" si="16"/>
        <v>0</v>
      </c>
      <c r="AK35" s="400"/>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1">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1">
        <f t="shared" si="26"/>
        <v>46470</v>
      </c>
      <c r="Y36" s="188">
        <f t="shared" si="42"/>
        <v>324091.76000000013</v>
      </c>
      <c r="Z36" s="384">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0">
        <f t="shared" si="27"/>
        <v>0</v>
      </c>
      <c r="AJ36" s="400">
        <f t="shared" si="16"/>
        <v>0</v>
      </c>
      <c r="AK36" s="400"/>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1">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1">
        <f t="shared" si="26"/>
        <v>46500</v>
      </c>
      <c r="Y37" s="188">
        <f t="shared" si="42"/>
        <v>323882.9800000001</v>
      </c>
      <c r="Z37" s="384">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0">
        <f t="shared" si="27"/>
        <v>0</v>
      </c>
      <c r="AJ37" s="400">
        <f t="shared" si="16"/>
        <v>0</v>
      </c>
      <c r="AK37" s="400"/>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1">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1">
        <f t="shared" si="26"/>
        <v>46530</v>
      </c>
      <c r="Y38" s="188">
        <f t="shared" si="42"/>
        <v>323672.72000000009</v>
      </c>
      <c r="Z38" s="384">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0">
        <f t="shared" si="27"/>
        <v>0</v>
      </c>
      <c r="AJ38" s="400">
        <f t="shared" si="16"/>
        <v>0</v>
      </c>
      <c r="AK38" s="400"/>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4">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4">
        <f t="shared" si="26"/>
        <v>46560</v>
      </c>
      <c r="Y39" s="236">
        <f t="shared" si="42"/>
        <v>323460.97000000009</v>
      </c>
      <c r="Z39" s="385">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1">
        <f t="shared" si="27"/>
        <v>0</v>
      </c>
      <c r="AJ39" s="401">
        <f t="shared" si="16"/>
        <v>0</v>
      </c>
      <c r="AK39" s="401"/>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1">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1">
        <f t="shared" si="26"/>
        <v>46590</v>
      </c>
      <c r="Y40" s="188">
        <f t="shared" si="42"/>
        <v>323247.72000000009</v>
      </c>
      <c r="Z40" s="384">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0">
        <f t="shared" si="27"/>
        <v>0</v>
      </c>
      <c r="AJ40" s="400">
        <f t="shared" si="16"/>
        <v>0</v>
      </c>
      <c r="AK40" s="400"/>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1">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1">
        <f t="shared" si="26"/>
        <v>46620</v>
      </c>
      <c r="Y41" s="188">
        <f t="shared" si="42"/>
        <v>323032.96000000008</v>
      </c>
      <c r="Z41" s="384">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0">
        <f t="shared" si="27"/>
        <v>0</v>
      </c>
      <c r="AJ41" s="400">
        <f t="shared" si="16"/>
        <v>0</v>
      </c>
      <c r="AK41" s="400"/>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1">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1">
        <f t="shared" si="26"/>
        <v>46650</v>
      </c>
      <c r="Y42" s="188">
        <f t="shared" si="42"/>
        <v>322816.68000000005</v>
      </c>
      <c r="Z42" s="384">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0">
        <f t="shared" si="27"/>
        <v>0</v>
      </c>
      <c r="AJ42" s="400">
        <f t="shared" si="16"/>
        <v>0</v>
      </c>
      <c r="AK42" s="400"/>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1">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1">
        <f t="shared" si="26"/>
        <v>46680</v>
      </c>
      <c r="Y43" s="188">
        <f t="shared" si="42"/>
        <v>322598.87000000005</v>
      </c>
      <c r="Z43" s="384">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0">
        <f t="shared" si="27"/>
        <v>0</v>
      </c>
      <c r="AJ43" s="400">
        <f t="shared" si="16"/>
        <v>0</v>
      </c>
      <c r="AK43" s="400"/>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1">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1">
        <f t="shared" si="26"/>
        <v>46710</v>
      </c>
      <c r="Y44" s="188">
        <f t="shared" si="42"/>
        <v>322379.52000000008</v>
      </c>
      <c r="Z44" s="384">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0">
        <f t="shared" si="27"/>
        <v>0</v>
      </c>
      <c r="AJ44" s="400">
        <f t="shared" si="16"/>
        <v>0</v>
      </c>
      <c r="AK44" s="400"/>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1">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1">
        <f t="shared" si="26"/>
        <v>46740</v>
      </c>
      <c r="Y45" s="188">
        <f t="shared" si="42"/>
        <v>322158.6100000001</v>
      </c>
      <c r="Z45" s="384">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0">
        <f t="shared" si="27"/>
        <v>0</v>
      </c>
      <c r="AJ45" s="400">
        <f t="shared" si="16"/>
        <v>0</v>
      </c>
      <c r="AK45" s="400"/>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1">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1">
        <f t="shared" si="26"/>
        <v>46770</v>
      </c>
      <c r="Y46" s="188">
        <f t="shared" si="42"/>
        <v>321936.14000000013</v>
      </c>
      <c r="Z46" s="384">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0">
        <f t="shared" si="27"/>
        <v>0</v>
      </c>
      <c r="AJ46" s="400">
        <f t="shared" si="16"/>
        <v>0</v>
      </c>
      <c r="AK46" s="400"/>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1">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1">
        <f t="shared" si="26"/>
        <v>46800</v>
      </c>
      <c r="Y47" s="188">
        <f t="shared" si="42"/>
        <v>321712.09000000014</v>
      </c>
      <c r="Z47" s="384">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0">
        <f t="shared" si="27"/>
        <v>0</v>
      </c>
      <c r="AJ47" s="400">
        <f t="shared" si="16"/>
        <v>0</v>
      </c>
      <c r="AK47" s="400"/>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1">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1">
        <f t="shared" si="26"/>
        <v>46830</v>
      </c>
      <c r="Y48" s="188">
        <f t="shared" si="42"/>
        <v>321486.45000000013</v>
      </c>
      <c r="Z48" s="384">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0">
        <f t="shared" si="27"/>
        <v>0</v>
      </c>
      <c r="AJ48" s="400">
        <f t="shared" si="16"/>
        <v>0</v>
      </c>
      <c r="AK48" s="400"/>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1">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1">
        <f t="shared" si="26"/>
        <v>46860</v>
      </c>
      <c r="Y49" s="188">
        <f t="shared" si="42"/>
        <v>321259.22000000015</v>
      </c>
      <c r="Z49" s="384">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0">
        <f t="shared" si="27"/>
        <v>0</v>
      </c>
      <c r="AJ49" s="400">
        <f t="shared" si="16"/>
        <v>0</v>
      </c>
      <c r="AK49" s="400"/>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1">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1">
        <f t="shared" si="26"/>
        <v>46890</v>
      </c>
      <c r="Y50" s="188">
        <f t="shared" si="42"/>
        <v>321030.38000000012</v>
      </c>
      <c r="Z50" s="384">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0">
        <f t="shared" si="27"/>
        <v>0</v>
      </c>
      <c r="AJ50" s="400">
        <f t="shared" si="16"/>
        <v>0</v>
      </c>
      <c r="AK50" s="400"/>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4">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4">
        <f t="shared" si="26"/>
        <v>46920</v>
      </c>
      <c r="Y51" s="236">
        <f t="shared" si="42"/>
        <v>320799.9200000001</v>
      </c>
      <c r="Z51" s="385">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1">
        <f t="shared" si="27"/>
        <v>0</v>
      </c>
      <c r="AJ51" s="401">
        <f t="shared" si="16"/>
        <v>0</v>
      </c>
      <c r="AK51" s="401"/>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1">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1">
        <f t="shared" si="26"/>
        <v>46950</v>
      </c>
      <c r="Y52" s="188">
        <f t="shared" si="42"/>
        <v>320567.82000000012</v>
      </c>
      <c r="Z52" s="384">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0">
        <f t="shared" si="27"/>
        <v>0</v>
      </c>
      <c r="AJ52" s="400">
        <f t="shared" si="16"/>
        <v>0</v>
      </c>
      <c r="AK52" s="400"/>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1">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1">
        <f t="shared" si="26"/>
        <v>46980</v>
      </c>
      <c r="Y53" s="188">
        <f t="shared" si="42"/>
        <v>320334.08000000013</v>
      </c>
      <c r="Z53" s="384">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0">
        <f t="shared" si="27"/>
        <v>0</v>
      </c>
      <c r="AJ53" s="400">
        <f t="shared" si="16"/>
        <v>0</v>
      </c>
      <c r="AK53" s="400"/>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1">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1">
        <f t="shared" si="26"/>
        <v>47010</v>
      </c>
      <c r="Y54" s="188">
        <f t="shared" si="42"/>
        <v>320098.68000000011</v>
      </c>
      <c r="Z54" s="384">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0">
        <f t="shared" si="27"/>
        <v>0</v>
      </c>
      <c r="AJ54" s="400">
        <f t="shared" si="16"/>
        <v>0</v>
      </c>
      <c r="AK54" s="400"/>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1">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1">
        <f t="shared" si="26"/>
        <v>47040</v>
      </c>
      <c r="Y55" s="188">
        <f t="shared" si="42"/>
        <v>319861.62000000011</v>
      </c>
      <c r="Z55" s="384">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0">
        <f t="shared" si="27"/>
        <v>0</v>
      </c>
      <c r="AJ55" s="400">
        <f t="shared" si="16"/>
        <v>0</v>
      </c>
      <c r="AK55" s="400"/>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1">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1">
        <f t="shared" si="26"/>
        <v>47070</v>
      </c>
      <c r="Y56" s="188">
        <f t="shared" si="42"/>
        <v>319622.88000000012</v>
      </c>
      <c r="Z56" s="384">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0">
        <f t="shared" si="27"/>
        <v>0</v>
      </c>
      <c r="AJ56" s="400">
        <f t="shared" si="16"/>
        <v>0</v>
      </c>
      <c r="AK56" s="400"/>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1">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1">
        <f t="shared" si="26"/>
        <v>47100</v>
      </c>
      <c r="Y57" s="188">
        <f t="shared" si="42"/>
        <v>319382.45000000013</v>
      </c>
      <c r="Z57" s="384">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0">
        <f t="shared" si="27"/>
        <v>0</v>
      </c>
      <c r="AJ57" s="400">
        <f t="shared" si="16"/>
        <v>0</v>
      </c>
      <c r="AK57" s="400"/>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1">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1">
        <f t="shared" si="26"/>
        <v>47130</v>
      </c>
      <c r="Y58" s="188">
        <f t="shared" si="42"/>
        <v>319140.31000000011</v>
      </c>
      <c r="Z58" s="384">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0">
        <f t="shared" si="27"/>
        <v>0</v>
      </c>
      <c r="AJ58" s="400">
        <f t="shared" si="16"/>
        <v>0</v>
      </c>
      <c r="AK58" s="400"/>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1">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1">
        <f t="shared" si="26"/>
        <v>47160</v>
      </c>
      <c r="Y59" s="188">
        <f t="shared" si="42"/>
        <v>318896.46000000014</v>
      </c>
      <c r="Z59" s="384">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0">
        <f t="shared" si="27"/>
        <v>0</v>
      </c>
      <c r="AJ59" s="400">
        <f t="shared" si="16"/>
        <v>0</v>
      </c>
      <c r="AK59" s="400"/>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1">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1">
        <f t="shared" si="26"/>
        <v>47190</v>
      </c>
      <c r="Y60" s="188">
        <f>IF(+AL59&lt;0,0,+AL59)</f>
        <v>318650.88000000012</v>
      </c>
      <c r="Z60" s="384">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0">
        <f>O60-AA60+AI59</f>
        <v>0</v>
      </c>
      <c r="AJ60" s="400">
        <f t="shared" si="16"/>
        <v>0</v>
      </c>
      <c r="AK60" s="400">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1">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1">
        <f t="shared" si="26"/>
        <v>47220</v>
      </c>
      <c r="Y61" s="188">
        <f>IF(+AL60&lt;0,0,+AL60)</f>
        <v>318403.56000000011</v>
      </c>
      <c r="Z61" s="384">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0">
        <f t="shared" ref="AI61:AI124" si="63">O61-AA61+AI60</f>
        <v>0</v>
      </c>
      <c r="AJ61" s="400">
        <f t="shared" si="16"/>
        <v>0</v>
      </c>
      <c r="AK61" s="400">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1">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1">
        <f t="shared" si="26"/>
        <v>47250</v>
      </c>
      <c r="Y62" s="188">
        <f>IF(+AL61&lt;0,0,+AL61)</f>
        <v>318154.49000000011</v>
      </c>
      <c r="Z62" s="384">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0">
        <f t="shared" si="63"/>
        <v>0</v>
      </c>
      <c r="AJ62" s="400">
        <f t="shared" si="16"/>
        <v>0</v>
      </c>
      <c r="AK62" s="400">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4">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4">
        <f t="shared" si="26"/>
        <v>47280</v>
      </c>
      <c r="Y63" s="236">
        <f t="shared" ref="Y63:Y126" si="76">IF(+AL62&lt;0,0,+AL62)</f>
        <v>317903.65000000008</v>
      </c>
      <c r="Z63" s="385">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1">
        <f t="shared" si="63"/>
        <v>0</v>
      </c>
      <c r="AJ63" s="401">
        <f t="shared" si="16"/>
        <v>0</v>
      </c>
      <c r="AK63" s="401">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1">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1">
        <f t="shared" si="26"/>
        <v>47310</v>
      </c>
      <c r="Y64" s="188">
        <f t="shared" si="76"/>
        <v>317651.0400000001</v>
      </c>
      <c r="Z64" s="384">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0">
        <f t="shared" si="63"/>
        <v>0</v>
      </c>
      <c r="AJ64" s="400">
        <f t="shared" si="16"/>
        <v>0</v>
      </c>
      <c r="AK64" s="400">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1">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1">
        <f t="shared" si="26"/>
        <v>47340</v>
      </c>
      <c r="Y65" s="188">
        <f t="shared" si="76"/>
        <v>317396.64000000007</v>
      </c>
      <c r="Z65" s="384">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0">
        <f t="shared" si="63"/>
        <v>0</v>
      </c>
      <c r="AJ65" s="400">
        <f t="shared" si="16"/>
        <v>0</v>
      </c>
      <c r="AK65" s="400">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1">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1">
        <f t="shared" si="26"/>
        <v>47370</v>
      </c>
      <c r="Y66" s="188">
        <f t="shared" si="76"/>
        <v>317140.44000000006</v>
      </c>
      <c r="Z66" s="384">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0">
        <f t="shared" si="63"/>
        <v>0</v>
      </c>
      <c r="AJ66" s="400">
        <f t="shared" si="16"/>
        <v>0</v>
      </c>
      <c r="AK66" s="400">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1">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1">
        <f t="shared" si="26"/>
        <v>47400</v>
      </c>
      <c r="Y67" s="188">
        <f t="shared" si="76"/>
        <v>316882.42000000004</v>
      </c>
      <c r="Z67" s="384">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0">
        <f t="shared" si="63"/>
        <v>0</v>
      </c>
      <c r="AJ67" s="400">
        <f t="shared" si="16"/>
        <v>0</v>
      </c>
      <c r="AK67" s="400">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1">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1">
        <f t="shared" si="26"/>
        <v>47430</v>
      </c>
      <c r="Y68" s="188">
        <f t="shared" si="76"/>
        <v>316622.57000000007</v>
      </c>
      <c r="Z68" s="384">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0">
        <f t="shared" si="63"/>
        <v>0</v>
      </c>
      <c r="AJ68" s="400">
        <f t="shared" si="16"/>
        <v>0</v>
      </c>
      <c r="AK68" s="400">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1">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1">
        <f t="shared" si="26"/>
        <v>47460</v>
      </c>
      <c r="Y69" s="188">
        <f t="shared" si="76"/>
        <v>316360.88000000006</v>
      </c>
      <c r="Z69" s="384">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0">
        <f t="shared" si="63"/>
        <v>0</v>
      </c>
      <c r="AJ69" s="400">
        <f t="shared" si="16"/>
        <v>0</v>
      </c>
      <c r="AK69" s="400">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1">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1">
        <f t="shared" si="26"/>
        <v>47490</v>
      </c>
      <c r="Y70" s="188">
        <f t="shared" si="76"/>
        <v>316097.34000000008</v>
      </c>
      <c r="Z70" s="384">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0">
        <f t="shared" si="63"/>
        <v>0</v>
      </c>
      <c r="AJ70" s="400">
        <f t="shared" si="16"/>
        <v>0</v>
      </c>
      <c r="AK70" s="400">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1">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1">
        <f t="shared" si="26"/>
        <v>47520</v>
      </c>
      <c r="Y71" s="188">
        <f t="shared" si="76"/>
        <v>315831.93000000011</v>
      </c>
      <c r="Z71" s="384">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0">
        <f t="shared" si="63"/>
        <v>0</v>
      </c>
      <c r="AJ71" s="400">
        <f t="shared" si="16"/>
        <v>0</v>
      </c>
      <c r="AK71" s="400">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1">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1">
        <f t="shared" si="26"/>
        <v>47550</v>
      </c>
      <c r="Y72" s="188">
        <f t="shared" si="76"/>
        <v>315564.64000000013</v>
      </c>
      <c r="Z72" s="384">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0">
        <f t="shared" si="63"/>
        <v>0</v>
      </c>
      <c r="AJ72" s="400">
        <f t="shared" si="16"/>
        <v>0</v>
      </c>
      <c r="AK72" s="400">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1">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1">
        <f t="shared" si="26"/>
        <v>47580</v>
      </c>
      <c r="Y73" s="188">
        <f t="shared" si="76"/>
        <v>315295.46000000014</v>
      </c>
      <c r="Z73" s="384">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0">
        <f t="shared" si="63"/>
        <v>0</v>
      </c>
      <c r="AJ73" s="400">
        <f t="shared" si="16"/>
        <v>0</v>
      </c>
      <c r="AK73" s="400">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1">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1">
        <f t="shared" si="26"/>
        <v>47610</v>
      </c>
      <c r="Y74" s="188">
        <f t="shared" si="76"/>
        <v>315024.37000000011</v>
      </c>
      <c r="Z74" s="384">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0">
        <f t="shared" si="63"/>
        <v>0</v>
      </c>
      <c r="AJ74" s="400">
        <f t="shared" si="16"/>
        <v>0</v>
      </c>
      <c r="AK74" s="400">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4">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4">
        <f t="shared" si="26"/>
        <v>47640</v>
      </c>
      <c r="Y75" s="236">
        <f t="shared" si="76"/>
        <v>314751.3600000001</v>
      </c>
      <c r="Z75" s="385">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1">
        <f t="shared" si="63"/>
        <v>0</v>
      </c>
      <c r="AJ75" s="401">
        <f t="shared" si="16"/>
        <v>0</v>
      </c>
      <c r="AK75" s="401">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1">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1">
        <f t="shared" si="26"/>
        <v>47670</v>
      </c>
      <c r="Y76" s="188">
        <f t="shared" si="76"/>
        <v>314476.4200000001</v>
      </c>
      <c r="Z76" s="384">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0">
        <f t="shared" si="63"/>
        <v>0</v>
      </c>
      <c r="AJ76" s="400">
        <f t="shared" si="16"/>
        <v>0</v>
      </c>
      <c r="AK76" s="400">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1">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1">
        <f t="shared" si="26"/>
        <v>47700</v>
      </c>
      <c r="Y77" s="188">
        <f t="shared" si="76"/>
        <v>314199.53000000009</v>
      </c>
      <c r="Z77" s="384">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0">
        <f t="shared" si="63"/>
        <v>0</v>
      </c>
      <c r="AJ77" s="400">
        <f t="shared" si="16"/>
        <v>0</v>
      </c>
      <c r="AK77" s="400">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1">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1">
        <f t="shared" si="26"/>
        <v>47730</v>
      </c>
      <c r="Y78" s="188">
        <f t="shared" si="76"/>
        <v>313920.68000000011</v>
      </c>
      <c r="Z78" s="384">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0">
        <f t="shared" si="63"/>
        <v>0</v>
      </c>
      <c r="AJ78" s="400">
        <f t="shared" si="16"/>
        <v>0</v>
      </c>
      <c r="AK78" s="400">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1">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1">
        <f t="shared" si="26"/>
        <v>47760</v>
      </c>
      <c r="Y79" s="188">
        <f t="shared" si="76"/>
        <v>313639.85000000009</v>
      </c>
      <c r="Z79" s="384">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0">
        <f t="shared" si="63"/>
        <v>0</v>
      </c>
      <c r="AJ79" s="400">
        <f t="shared" si="16"/>
        <v>0</v>
      </c>
      <c r="AK79" s="400">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1">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1">
        <f t="shared" si="26"/>
        <v>47790</v>
      </c>
      <c r="Y80" s="188">
        <f t="shared" si="76"/>
        <v>313357.0400000001</v>
      </c>
      <c r="Z80" s="384">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0">
        <f t="shared" si="63"/>
        <v>0</v>
      </c>
      <c r="AJ80" s="400">
        <f t="shared" ref="AJ80:AJ90" si="107">+W80-AL80</f>
        <v>0</v>
      </c>
      <c r="AK80" s="400">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1">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1">
        <f t="shared" ref="X81:X144" si="112">+A81</f>
        <v>47820</v>
      </c>
      <c r="Y81" s="188">
        <f t="shared" si="76"/>
        <v>313072.22000000009</v>
      </c>
      <c r="Z81" s="384">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0">
        <f t="shared" si="63"/>
        <v>0</v>
      </c>
      <c r="AJ81" s="400">
        <f t="shared" si="107"/>
        <v>0</v>
      </c>
      <c r="AK81" s="400">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1">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1">
        <f t="shared" si="112"/>
        <v>47850</v>
      </c>
      <c r="Y82" s="188">
        <f t="shared" si="76"/>
        <v>312785.38000000006</v>
      </c>
      <c r="Z82" s="384">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0">
        <f t="shared" si="63"/>
        <v>0</v>
      </c>
      <c r="AJ82" s="400">
        <f t="shared" si="107"/>
        <v>0</v>
      </c>
      <c r="AK82" s="400">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1">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1">
        <f t="shared" si="112"/>
        <v>47880</v>
      </c>
      <c r="Y83" s="188">
        <f t="shared" si="76"/>
        <v>312496.51000000007</v>
      </c>
      <c r="Z83" s="384">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0">
        <f t="shared" si="63"/>
        <v>0</v>
      </c>
      <c r="AJ83" s="400">
        <f t="shared" si="107"/>
        <v>0</v>
      </c>
      <c r="AK83" s="400">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1">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1">
        <f t="shared" si="112"/>
        <v>47910</v>
      </c>
      <c r="Y84" s="188">
        <f t="shared" si="76"/>
        <v>312205.60000000009</v>
      </c>
      <c r="Z84" s="384">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0">
        <f t="shared" si="63"/>
        <v>0</v>
      </c>
      <c r="AJ84" s="400">
        <f t="shared" si="107"/>
        <v>0</v>
      </c>
      <c r="AK84" s="400">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1">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1">
        <f t="shared" si="112"/>
        <v>47940</v>
      </c>
      <c r="Y85" s="188">
        <f t="shared" si="76"/>
        <v>311912.63000000012</v>
      </c>
      <c r="Z85" s="384">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0">
        <f t="shared" si="63"/>
        <v>0</v>
      </c>
      <c r="AJ85" s="400">
        <f t="shared" si="107"/>
        <v>0</v>
      </c>
      <c r="AK85" s="400">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1">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1">
        <f t="shared" si="112"/>
        <v>47970</v>
      </c>
      <c r="Y86" s="188">
        <f t="shared" si="76"/>
        <v>311617.58000000013</v>
      </c>
      <c r="Z86" s="384">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0">
        <f t="shared" si="63"/>
        <v>0</v>
      </c>
      <c r="AJ86" s="400">
        <f t="shared" si="107"/>
        <v>0</v>
      </c>
      <c r="AK86" s="400">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4">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4">
        <f t="shared" si="112"/>
        <v>48000</v>
      </c>
      <c r="Y87" s="236">
        <f t="shared" si="76"/>
        <v>311320.44000000012</v>
      </c>
      <c r="Z87" s="385">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1">
        <f t="shared" si="63"/>
        <v>0</v>
      </c>
      <c r="AJ87" s="401">
        <f t="shared" si="107"/>
        <v>0</v>
      </c>
      <c r="AK87" s="401">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1">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1">
        <f t="shared" si="112"/>
        <v>48030</v>
      </c>
      <c r="Y88" s="188">
        <f t="shared" si="76"/>
        <v>311021.20000000013</v>
      </c>
      <c r="Z88" s="384">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0">
        <f t="shared" si="63"/>
        <v>0</v>
      </c>
      <c r="AJ88" s="400">
        <f t="shared" si="107"/>
        <v>0</v>
      </c>
      <c r="AK88" s="400">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1">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1">
        <f t="shared" si="112"/>
        <v>48060</v>
      </c>
      <c r="Y89" s="188">
        <f t="shared" si="76"/>
        <v>310719.84000000014</v>
      </c>
      <c r="Z89" s="384">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0">
        <f t="shared" si="63"/>
        <v>0</v>
      </c>
      <c r="AJ89" s="400">
        <f t="shared" si="107"/>
        <v>0</v>
      </c>
      <c r="AK89" s="400">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1">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1">
        <f t="shared" si="112"/>
        <v>48090</v>
      </c>
      <c r="Y90" s="188">
        <f t="shared" si="76"/>
        <v>310416.34000000014</v>
      </c>
      <c r="Z90" s="384">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0">
        <f t="shared" si="63"/>
        <v>0</v>
      </c>
      <c r="AJ90" s="400">
        <f t="shared" si="107"/>
        <v>0</v>
      </c>
      <c r="AK90" s="400">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1">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1">
        <f t="shared" si="112"/>
        <v>48120</v>
      </c>
      <c r="Y91" s="188">
        <f t="shared" si="76"/>
        <v>310110.69000000012</v>
      </c>
      <c r="Z91" s="384">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0">
        <f t="shared" si="63"/>
        <v>0</v>
      </c>
      <c r="AJ91" s="400">
        <f>+W91-AL91</f>
        <v>0</v>
      </c>
      <c r="AK91" s="400">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1">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1">
        <f t="shared" si="112"/>
        <v>48150</v>
      </c>
      <c r="Y92" s="188">
        <f t="shared" si="76"/>
        <v>309802.88000000012</v>
      </c>
      <c r="Z92" s="384">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0">
        <f t="shared" si="63"/>
        <v>0</v>
      </c>
      <c r="AJ92" s="400">
        <f t="shared" ref="AJ92:AJ155" si="133">+W92-AL92</f>
        <v>0</v>
      </c>
      <c r="AK92" s="400">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1">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1">
        <f t="shared" si="112"/>
        <v>48180</v>
      </c>
      <c r="Y93" s="188">
        <f t="shared" si="76"/>
        <v>309492.89000000013</v>
      </c>
      <c r="Z93" s="384">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0">
        <f t="shared" si="63"/>
        <v>0</v>
      </c>
      <c r="AJ93" s="400">
        <f t="shared" si="133"/>
        <v>0</v>
      </c>
      <c r="AK93" s="400">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1">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1">
        <f t="shared" si="112"/>
        <v>48210</v>
      </c>
      <c r="Y94" s="188">
        <f t="shared" si="76"/>
        <v>309180.70000000013</v>
      </c>
      <c r="Z94" s="384">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0">
        <f t="shared" si="63"/>
        <v>0</v>
      </c>
      <c r="AJ94" s="400">
        <f t="shared" si="133"/>
        <v>0</v>
      </c>
      <c r="AK94" s="400">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1">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1">
        <f t="shared" si="112"/>
        <v>48240</v>
      </c>
      <c r="Y95" s="188">
        <f t="shared" si="76"/>
        <v>308866.3000000001</v>
      </c>
      <c r="Z95" s="384">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0">
        <f t="shared" si="63"/>
        <v>0</v>
      </c>
      <c r="AJ95" s="400">
        <f t="shared" si="133"/>
        <v>0</v>
      </c>
      <c r="AK95" s="400">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1">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1">
        <f t="shared" si="112"/>
        <v>48270</v>
      </c>
      <c r="Y96" s="188">
        <f t="shared" si="76"/>
        <v>308549.6700000001</v>
      </c>
      <c r="Z96" s="384">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0">
        <f t="shared" si="63"/>
        <v>0</v>
      </c>
      <c r="AJ96" s="400">
        <f t="shared" si="133"/>
        <v>0</v>
      </c>
      <c r="AK96" s="400">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1">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1">
        <f t="shared" si="112"/>
        <v>48300</v>
      </c>
      <c r="Y97" s="188">
        <f t="shared" si="76"/>
        <v>308230.8000000001</v>
      </c>
      <c r="Z97" s="384">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0">
        <f t="shared" si="63"/>
        <v>0</v>
      </c>
      <c r="AJ97" s="400">
        <f t="shared" si="133"/>
        <v>0</v>
      </c>
      <c r="AK97" s="400">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1">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1">
        <f t="shared" si="112"/>
        <v>48330</v>
      </c>
      <c r="Y98" s="188">
        <f t="shared" si="76"/>
        <v>307909.6700000001</v>
      </c>
      <c r="Z98" s="384">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0">
        <f t="shared" si="63"/>
        <v>0</v>
      </c>
      <c r="AJ98" s="400">
        <f t="shared" si="133"/>
        <v>0</v>
      </c>
      <c r="AK98" s="400">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4">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4">
        <f t="shared" si="112"/>
        <v>48360</v>
      </c>
      <c r="Y99" s="236">
        <f t="shared" si="76"/>
        <v>307586.27000000008</v>
      </c>
      <c r="Z99" s="385">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1">
        <f t="shared" si="63"/>
        <v>0</v>
      </c>
      <c r="AJ99" s="401">
        <f t="shared" si="133"/>
        <v>0</v>
      </c>
      <c r="AK99" s="401">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1">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1">
        <f t="shared" si="112"/>
        <v>48390</v>
      </c>
      <c r="Y100" s="188">
        <f t="shared" si="76"/>
        <v>307260.58000000007</v>
      </c>
      <c r="Z100" s="384">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0">
        <f t="shared" si="63"/>
        <v>0</v>
      </c>
      <c r="AJ100" s="400">
        <f t="shared" si="133"/>
        <v>0</v>
      </c>
      <c r="AK100" s="400">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1">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1">
        <f t="shared" si="112"/>
        <v>48420</v>
      </c>
      <c r="Y101" s="188">
        <f t="shared" si="76"/>
        <v>306932.58000000007</v>
      </c>
      <c r="Z101" s="384">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0">
        <f t="shared" si="63"/>
        <v>0</v>
      </c>
      <c r="AJ101" s="400">
        <f t="shared" si="133"/>
        <v>0</v>
      </c>
      <c r="AK101" s="400">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1">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1">
        <f t="shared" si="112"/>
        <v>48450</v>
      </c>
      <c r="Y102" s="188">
        <f t="shared" si="76"/>
        <v>306602.26000000007</v>
      </c>
      <c r="Z102" s="384">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0">
        <f t="shared" si="63"/>
        <v>0</v>
      </c>
      <c r="AJ102" s="400">
        <f t="shared" si="133"/>
        <v>0</v>
      </c>
      <c r="AK102" s="400">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1">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1">
        <f t="shared" si="112"/>
        <v>48480</v>
      </c>
      <c r="Y103" s="188">
        <f t="shared" si="76"/>
        <v>306269.60000000009</v>
      </c>
      <c r="Z103" s="384">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0">
        <f t="shared" si="63"/>
        <v>0</v>
      </c>
      <c r="AJ103" s="400">
        <f t="shared" si="133"/>
        <v>0</v>
      </c>
      <c r="AK103" s="400">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1">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1">
        <f t="shared" si="112"/>
        <v>48510</v>
      </c>
      <c r="Y104" s="188">
        <f t="shared" si="76"/>
        <v>305934.58000000007</v>
      </c>
      <c r="Z104" s="384">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0">
        <f t="shared" si="63"/>
        <v>0</v>
      </c>
      <c r="AJ104" s="400">
        <f t="shared" si="133"/>
        <v>0</v>
      </c>
      <c r="AK104" s="400">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1">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1">
        <f t="shared" si="112"/>
        <v>48540</v>
      </c>
      <c r="Y105" s="188">
        <f t="shared" si="76"/>
        <v>305597.19000000006</v>
      </c>
      <c r="Z105" s="384">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0">
        <f t="shared" si="63"/>
        <v>0</v>
      </c>
      <c r="AJ105" s="400">
        <f t="shared" si="133"/>
        <v>0</v>
      </c>
      <c r="AK105" s="400">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1">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1">
        <f t="shared" si="112"/>
        <v>48570</v>
      </c>
      <c r="Y106" s="188">
        <f t="shared" si="76"/>
        <v>305257.41000000003</v>
      </c>
      <c r="Z106" s="384">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0">
        <f t="shared" si="63"/>
        <v>0</v>
      </c>
      <c r="AJ106" s="400">
        <f t="shared" si="133"/>
        <v>0</v>
      </c>
      <c r="AK106" s="400">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1">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1">
        <f t="shared" si="112"/>
        <v>48600</v>
      </c>
      <c r="Y107" s="188">
        <f t="shared" si="76"/>
        <v>304915.22000000003</v>
      </c>
      <c r="Z107" s="384">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0">
        <f t="shared" si="63"/>
        <v>0</v>
      </c>
      <c r="AJ107" s="400">
        <f t="shared" si="133"/>
        <v>0</v>
      </c>
      <c r="AK107" s="400">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1">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1">
        <f t="shared" si="112"/>
        <v>48630</v>
      </c>
      <c r="Y108" s="188">
        <f t="shared" si="76"/>
        <v>304570.61000000004</v>
      </c>
      <c r="Z108" s="384">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0">
        <f t="shared" si="63"/>
        <v>0</v>
      </c>
      <c r="AJ108" s="400">
        <f t="shared" si="133"/>
        <v>0</v>
      </c>
      <c r="AK108" s="400">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1">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1">
        <f t="shared" si="112"/>
        <v>48660</v>
      </c>
      <c r="Y109" s="188">
        <f t="shared" si="76"/>
        <v>304223.56000000006</v>
      </c>
      <c r="Z109" s="384">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0">
        <f t="shared" si="63"/>
        <v>0</v>
      </c>
      <c r="AJ109" s="400">
        <f t="shared" si="133"/>
        <v>0</v>
      </c>
      <c r="AK109" s="400">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1">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1">
        <f t="shared" si="112"/>
        <v>48690</v>
      </c>
      <c r="Y110" s="188">
        <f t="shared" si="76"/>
        <v>303874.05000000005</v>
      </c>
      <c r="Z110" s="384">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0">
        <f t="shared" si="63"/>
        <v>0</v>
      </c>
      <c r="AJ110" s="400">
        <f t="shared" si="133"/>
        <v>0</v>
      </c>
      <c r="AK110" s="400">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4">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4">
        <f t="shared" si="112"/>
        <v>48720</v>
      </c>
      <c r="Y111" s="236">
        <f t="shared" si="76"/>
        <v>303522.06000000006</v>
      </c>
      <c r="Z111" s="385">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1">
        <f t="shared" si="63"/>
        <v>0</v>
      </c>
      <c r="AJ111" s="401">
        <f t="shared" si="133"/>
        <v>0</v>
      </c>
      <c r="AK111" s="401">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1">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1">
        <f t="shared" si="112"/>
        <v>48750</v>
      </c>
      <c r="Y112" s="188">
        <f t="shared" si="76"/>
        <v>303167.58000000007</v>
      </c>
      <c r="Z112" s="384">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0">
        <f t="shared" si="63"/>
        <v>0</v>
      </c>
      <c r="AJ112" s="400">
        <f t="shared" si="133"/>
        <v>0</v>
      </c>
      <c r="AK112" s="400">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1">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1">
        <f t="shared" si="112"/>
        <v>48780</v>
      </c>
      <c r="Y113" s="188">
        <f t="shared" si="76"/>
        <v>302810.59000000008</v>
      </c>
      <c r="Z113" s="384">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0">
        <f t="shared" si="63"/>
        <v>0</v>
      </c>
      <c r="AJ113" s="400">
        <f t="shared" si="133"/>
        <v>0</v>
      </c>
      <c r="AK113" s="400">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1">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1">
        <f t="shared" si="112"/>
        <v>48810</v>
      </c>
      <c r="Y114" s="188">
        <f t="shared" si="76"/>
        <v>302451.07000000007</v>
      </c>
      <c r="Z114" s="384">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0">
        <f t="shared" si="63"/>
        <v>0</v>
      </c>
      <c r="AJ114" s="400">
        <f t="shared" si="133"/>
        <v>0</v>
      </c>
      <c r="AK114" s="400">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1">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1">
        <f t="shared" si="112"/>
        <v>48840</v>
      </c>
      <c r="Y115" s="188">
        <f t="shared" si="76"/>
        <v>302089.00000000006</v>
      </c>
      <c r="Z115" s="384">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0">
        <f t="shared" si="63"/>
        <v>0</v>
      </c>
      <c r="AJ115" s="400">
        <f t="shared" si="133"/>
        <v>0</v>
      </c>
      <c r="AK115" s="400">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1">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1">
        <f t="shared" si="112"/>
        <v>48870</v>
      </c>
      <c r="Y116" s="188">
        <f t="shared" si="76"/>
        <v>301724.37000000005</v>
      </c>
      <c r="Z116" s="384">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0">
        <f t="shared" si="63"/>
        <v>0</v>
      </c>
      <c r="AJ116" s="400">
        <f t="shared" si="133"/>
        <v>0</v>
      </c>
      <c r="AK116" s="400">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1">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1">
        <f t="shared" si="112"/>
        <v>48900</v>
      </c>
      <c r="Y117" s="188">
        <f t="shared" si="76"/>
        <v>301357.15000000008</v>
      </c>
      <c r="Z117" s="384">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0">
        <f t="shared" si="63"/>
        <v>0</v>
      </c>
      <c r="AJ117" s="400">
        <f t="shared" si="133"/>
        <v>0</v>
      </c>
      <c r="AK117" s="400">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1">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1">
        <f t="shared" si="112"/>
        <v>48930</v>
      </c>
      <c r="Y118" s="188">
        <f t="shared" si="76"/>
        <v>300987.33000000007</v>
      </c>
      <c r="Z118" s="384">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0">
        <f t="shared" si="63"/>
        <v>0</v>
      </c>
      <c r="AJ118" s="400">
        <f t="shared" si="133"/>
        <v>0</v>
      </c>
      <c r="AK118" s="400">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1">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1">
        <f t="shared" si="112"/>
        <v>48960</v>
      </c>
      <c r="Y119" s="188">
        <f t="shared" si="76"/>
        <v>300614.89000000007</v>
      </c>
      <c r="Z119" s="384">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0">
        <f t="shared" si="63"/>
        <v>0</v>
      </c>
      <c r="AJ119" s="400">
        <f t="shared" si="133"/>
        <v>0</v>
      </c>
      <c r="AK119" s="400">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1">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1">
        <f t="shared" si="112"/>
        <v>48990</v>
      </c>
      <c r="Y120" s="188">
        <f t="shared" si="76"/>
        <v>300239.82000000007</v>
      </c>
      <c r="Z120" s="384">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0">
        <f t="shared" si="63"/>
        <v>0</v>
      </c>
      <c r="AJ120" s="400">
        <f t="shared" si="133"/>
        <v>0</v>
      </c>
      <c r="AK120" s="400">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1">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1">
        <f t="shared" si="112"/>
        <v>49020</v>
      </c>
      <c r="Y121" s="188">
        <f t="shared" si="76"/>
        <v>299862.09000000008</v>
      </c>
      <c r="Z121" s="384">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0">
        <f t="shared" si="63"/>
        <v>0</v>
      </c>
      <c r="AJ121" s="400">
        <f t="shared" si="133"/>
        <v>0</v>
      </c>
      <c r="AK121" s="400">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1">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1">
        <f t="shared" si="112"/>
        <v>49050</v>
      </c>
      <c r="Y122" s="188">
        <f t="shared" si="76"/>
        <v>299481.68000000011</v>
      </c>
      <c r="Z122" s="384">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0">
        <f t="shared" si="63"/>
        <v>0</v>
      </c>
      <c r="AJ122" s="400">
        <f t="shared" si="133"/>
        <v>0</v>
      </c>
      <c r="AK122" s="400">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4">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4">
        <f t="shared" si="112"/>
        <v>49080</v>
      </c>
      <c r="Y123" s="236">
        <f t="shared" si="76"/>
        <v>299098.58000000013</v>
      </c>
      <c r="Z123" s="385">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1">
        <f t="shared" si="63"/>
        <v>0</v>
      </c>
      <c r="AJ123" s="401">
        <f t="shared" si="133"/>
        <v>0</v>
      </c>
      <c r="AK123" s="401">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1">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1">
        <f t="shared" si="112"/>
        <v>49110</v>
      </c>
      <c r="Y124" s="188">
        <f t="shared" si="76"/>
        <v>298712.76000000013</v>
      </c>
      <c r="Z124" s="384">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0">
        <f t="shared" si="63"/>
        <v>0</v>
      </c>
      <c r="AJ124" s="400">
        <f t="shared" si="133"/>
        <v>0</v>
      </c>
      <c r="AK124" s="400">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1">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1">
        <f t="shared" si="112"/>
        <v>49140</v>
      </c>
      <c r="Y125" s="188">
        <f t="shared" si="76"/>
        <v>298324.21000000014</v>
      </c>
      <c r="Z125" s="384">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0">
        <f t="shared" ref="AI125:AI188" si="175">O125-AA125+AI124</f>
        <v>0</v>
      </c>
      <c r="AJ125" s="400">
        <f t="shared" si="133"/>
        <v>0</v>
      </c>
      <c r="AK125" s="400">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1">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1">
        <f t="shared" si="112"/>
        <v>49170</v>
      </c>
      <c r="Y126" s="188">
        <f t="shared" si="76"/>
        <v>297932.91000000015</v>
      </c>
      <c r="Z126" s="384">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0">
        <f t="shared" si="175"/>
        <v>0</v>
      </c>
      <c r="AJ126" s="400">
        <f t="shared" si="133"/>
        <v>0</v>
      </c>
      <c r="AK126" s="400">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1">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1">
        <f t="shared" si="112"/>
        <v>49200</v>
      </c>
      <c r="Y127" s="188">
        <f t="shared" ref="Y127:Y190" si="187">IF(+AL126&lt;0,0,+AL126)</f>
        <v>297538.84000000014</v>
      </c>
      <c r="Z127" s="384">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0">
        <f t="shared" si="175"/>
        <v>0</v>
      </c>
      <c r="AJ127" s="400">
        <f t="shared" si="133"/>
        <v>0</v>
      </c>
      <c r="AK127" s="400">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1">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1">
        <f t="shared" si="112"/>
        <v>49230</v>
      </c>
      <c r="Y128" s="188">
        <f t="shared" si="187"/>
        <v>297141.98000000016</v>
      </c>
      <c r="Z128" s="384">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0">
        <f t="shared" si="175"/>
        <v>0</v>
      </c>
      <c r="AJ128" s="400">
        <f t="shared" si="133"/>
        <v>0</v>
      </c>
      <c r="AK128" s="400">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1">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1">
        <f t="shared" si="112"/>
        <v>49260</v>
      </c>
      <c r="Y129" s="188">
        <f t="shared" si="187"/>
        <v>296742.31000000017</v>
      </c>
      <c r="Z129" s="384">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0">
        <f t="shared" si="175"/>
        <v>0</v>
      </c>
      <c r="AJ129" s="400">
        <f t="shared" si="133"/>
        <v>0</v>
      </c>
      <c r="AK129" s="400">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1">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1">
        <f t="shared" si="112"/>
        <v>49290</v>
      </c>
      <c r="Y130" s="188">
        <f t="shared" si="187"/>
        <v>296339.80000000016</v>
      </c>
      <c r="Z130" s="384">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0">
        <f t="shared" si="175"/>
        <v>0</v>
      </c>
      <c r="AJ130" s="400">
        <f t="shared" si="133"/>
        <v>0</v>
      </c>
      <c r="AK130" s="400">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1">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1">
        <f t="shared" si="112"/>
        <v>49320</v>
      </c>
      <c r="Y131" s="188">
        <f t="shared" si="187"/>
        <v>295934.44000000018</v>
      </c>
      <c r="Z131" s="384">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0">
        <f t="shared" si="175"/>
        <v>0</v>
      </c>
      <c r="AJ131" s="400">
        <f t="shared" si="133"/>
        <v>0</v>
      </c>
      <c r="AK131" s="400">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1">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1">
        <f t="shared" si="112"/>
        <v>49350</v>
      </c>
      <c r="Y132" s="188">
        <f t="shared" si="187"/>
        <v>295526.2100000002</v>
      </c>
      <c r="Z132" s="384">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0">
        <f t="shared" si="175"/>
        <v>0</v>
      </c>
      <c r="AJ132" s="400">
        <f t="shared" si="133"/>
        <v>0</v>
      </c>
      <c r="AK132" s="400">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1">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1">
        <f t="shared" si="112"/>
        <v>49380</v>
      </c>
      <c r="Y133" s="188">
        <f t="shared" si="187"/>
        <v>295115.0900000002</v>
      </c>
      <c r="Z133" s="384">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0">
        <f t="shared" si="175"/>
        <v>0</v>
      </c>
      <c r="AJ133" s="400">
        <f t="shared" si="133"/>
        <v>0</v>
      </c>
      <c r="AK133" s="400">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1">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1">
        <f t="shared" si="112"/>
        <v>49410</v>
      </c>
      <c r="Y134" s="188">
        <f t="shared" si="187"/>
        <v>294701.06000000017</v>
      </c>
      <c r="Z134" s="384">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0">
        <f t="shared" si="175"/>
        <v>0</v>
      </c>
      <c r="AJ134" s="400">
        <f t="shared" si="133"/>
        <v>0</v>
      </c>
      <c r="AK134" s="400">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4">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4">
        <f t="shared" si="112"/>
        <v>49440</v>
      </c>
      <c r="Y135" s="236">
        <f t="shared" si="187"/>
        <v>294284.10000000015</v>
      </c>
      <c r="Z135" s="385">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1">
        <f t="shared" si="175"/>
        <v>0</v>
      </c>
      <c r="AJ135" s="401">
        <f t="shared" si="133"/>
        <v>0</v>
      </c>
      <c r="AK135" s="401">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1">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1">
        <f t="shared" si="112"/>
        <v>49470</v>
      </c>
      <c r="Y136" s="188">
        <f t="shared" si="187"/>
        <v>293864.18000000017</v>
      </c>
      <c r="Z136" s="384">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0">
        <f t="shared" si="175"/>
        <v>0</v>
      </c>
      <c r="AJ136" s="400">
        <f t="shared" si="133"/>
        <v>0</v>
      </c>
      <c r="AK136" s="400">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1">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1">
        <f t="shared" si="112"/>
        <v>49500</v>
      </c>
      <c r="Y137" s="188">
        <f t="shared" si="187"/>
        <v>293441.29000000015</v>
      </c>
      <c r="Z137" s="384">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0">
        <f t="shared" si="175"/>
        <v>0</v>
      </c>
      <c r="AJ137" s="400">
        <f t="shared" si="133"/>
        <v>0</v>
      </c>
      <c r="AK137" s="400">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1">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1">
        <f t="shared" si="112"/>
        <v>49530</v>
      </c>
      <c r="Y138" s="188">
        <f t="shared" si="187"/>
        <v>293015.40000000014</v>
      </c>
      <c r="Z138" s="384">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0">
        <f t="shared" si="175"/>
        <v>0</v>
      </c>
      <c r="AJ138" s="400">
        <f t="shared" si="133"/>
        <v>0</v>
      </c>
      <c r="AK138" s="400">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1">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1">
        <f t="shared" si="112"/>
        <v>49560</v>
      </c>
      <c r="Y139" s="188">
        <f t="shared" si="187"/>
        <v>292586.50000000012</v>
      </c>
      <c r="Z139" s="384">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0">
        <f t="shared" si="175"/>
        <v>0</v>
      </c>
      <c r="AJ139" s="400">
        <f t="shared" si="133"/>
        <v>0</v>
      </c>
      <c r="AK139" s="400">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1">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1">
        <f t="shared" si="112"/>
        <v>49590</v>
      </c>
      <c r="Y140" s="188">
        <f t="shared" si="187"/>
        <v>292154.56000000011</v>
      </c>
      <c r="Z140" s="384">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0">
        <f t="shared" si="175"/>
        <v>0</v>
      </c>
      <c r="AJ140" s="400">
        <f t="shared" si="133"/>
        <v>0</v>
      </c>
      <c r="AK140" s="400">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1">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1">
        <f t="shared" si="112"/>
        <v>49620</v>
      </c>
      <c r="Y141" s="188">
        <f t="shared" si="187"/>
        <v>291719.56000000011</v>
      </c>
      <c r="Z141" s="384">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0">
        <f t="shared" si="175"/>
        <v>0</v>
      </c>
      <c r="AJ141" s="400">
        <f t="shared" si="133"/>
        <v>0</v>
      </c>
      <c r="AK141" s="400">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1">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1">
        <f t="shared" si="112"/>
        <v>49650</v>
      </c>
      <c r="Y142" s="188">
        <f t="shared" si="187"/>
        <v>291281.4800000001</v>
      </c>
      <c r="Z142" s="384">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0">
        <f t="shared" si="175"/>
        <v>0</v>
      </c>
      <c r="AJ142" s="400">
        <f t="shared" si="133"/>
        <v>0</v>
      </c>
      <c r="AK142" s="400">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1">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1">
        <f t="shared" si="112"/>
        <v>49680</v>
      </c>
      <c r="Y143" s="188">
        <f t="shared" si="187"/>
        <v>290840.2900000001</v>
      </c>
      <c r="Z143" s="384">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0">
        <f t="shared" si="175"/>
        <v>0</v>
      </c>
      <c r="AJ143" s="400">
        <f t="shared" si="133"/>
        <v>0</v>
      </c>
      <c r="AK143" s="400">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1">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1">
        <f t="shared" si="112"/>
        <v>49710</v>
      </c>
      <c r="Y144" s="188">
        <f t="shared" si="187"/>
        <v>290395.9800000001</v>
      </c>
      <c r="Z144" s="384">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0">
        <f t="shared" si="175"/>
        <v>0</v>
      </c>
      <c r="AJ144" s="400">
        <f t="shared" si="133"/>
        <v>0</v>
      </c>
      <c r="AK144" s="400">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1">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1">
        <f t="shared" ref="X145:X208" si="220">+A145</f>
        <v>49740</v>
      </c>
      <c r="Y145" s="188">
        <f t="shared" si="187"/>
        <v>289948.52000000008</v>
      </c>
      <c r="Z145" s="384">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0">
        <f t="shared" si="175"/>
        <v>0</v>
      </c>
      <c r="AJ145" s="400">
        <f t="shared" si="133"/>
        <v>0</v>
      </c>
      <c r="AK145" s="400">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1">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1">
        <f t="shared" si="220"/>
        <v>49770</v>
      </c>
      <c r="Y146" s="188">
        <f t="shared" si="187"/>
        <v>289497.89000000007</v>
      </c>
      <c r="Z146" s="384">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0">
        <f t="shared" si="175"/>
        <v>0</v>
      </c>
      <c r="AJ146" s="400">
        <f t="shared" si="133"/>
        <v>0</v>
      </c>
      <c r="AK146" s="400">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4">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4">
        <f t="shared" si="220"/>
        <v>49800</v>
      </c>
      <c r="Y147" s="236">
        <f t="shared" si="187"/>
        <v>289044.07000000007</v>
      </c>
      <c r="Z147" s="385">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1">
        <f t="shared" si="175"/>
        <v>0</v>
      </c>
      <c r="AJ147" s="401">
        <f t="shared" si="133"/>
        <v>0</v>
      </c>
      <c r="AK147" s="401">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1">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1">
        <f t="shared" si="220"/>
        <v>49830</v>
      </c>
      <c r="Y148" s="188">
        <f t="shared" si="187"/>
        <v>288587.04000000004</v>
      </c>
      <c r="Z148" s="384">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0">
        <f t="shared" si="175"/>
        <v>0</v>
      </c>
      <c r="AJ148" s="400">
        <f t="shared" si="133"/>
        <v>0</v>
      </c>
      <c r="AK148" s="400">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1">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1">
        <f t="shared" si="220"/>
        <v>49860</v>
      </c>
      <c r="Y149" s="188">
        <f t="shared" si="187"/>
        <v>288126.77</v>
      </c>
      <c r="Z149" s="384">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0">
        <f t="shared" si="175"/>
        <v>0</v>
      </c>
      <c r="AJ149" s="400">
        <f t="shared" si="133"/>
        <v>0</v>
      </c>
      <c r="AK149" s="400">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1">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1">
        <f t="shared" si="220"/>
        <v>49890</v>
      </c>
      <c r="Y150" s="188">
        <f t="shared" si="187"/>
        <v>287663.24</v>
      </c>
      <c r="Z150" s="384">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0">
        <f t="shared" si="175"/>
        <v>0</v>
      </c>
      <c r="AJ150" s="400">
        <f t="shared" si="133"/>
        <v>0</v>
      </c>
      <c r="AK150" s="400">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1">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1">
        <f t="shared" si="220"/>
        <v>49920</v>
      </c>
      <c r="Y151" s="188">
        <f t="shared" si="187"/>
        <v>287196.42</v>
      </c>
      <c r="Z151" s="384">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0">
        <f t="shared" si="175"/>
        <v>0</v>
      </c>
      <c r="AJ151" s="400">
        <f t="shared" si="133"/>
        <v>0</v>
      </c>
      <c r="AK151" s="400">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1">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1">
        <f t="shared" si="220"/>
        <v>49950</v>
      </c>
      <c r="Y152" s="188">
        <f t="shared" si="187"/>
        <v>286726.3</v>
      </c>
      <c r="Z152" s="384">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0">
        <f t="shared" si="175"/>
        <v>0</v>
      </c>
      <c r="AJ152" s="400">
        <f t="shared" si="133"/>
        <v>0</v>
      </c>
      <c r="AK152" s="400">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1">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1">
        <f t="shared" si="220"/>
        <v>49980</v>
      </c>
      <c r="Y153" s="188">
        <f t="shared" si="187"/>
        <v>286252.84999999998</v>
      </c>
      <c r="Z153" s="384">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0">
        <f t="shared" si="175"/>
        <v>0</v>
      </c>
      <c r="AJ153" s="400">
        <f t="shared" si="133"/>
        <v>0</v>
      </c>
      <c r="AK153" s="400">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1">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1">
        <f t="shared" si="220"/>
        <v>50010</v>
      </c>
      <c r="Y154" s="188">
        <f t="shared" si="187"/>
        <v>285776.03999999998</v>
      </c>
      <c r="Z154" s="384">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0">
        <f t="shared" si="175"/>
        <v>0</v>
      </c>
      <c r="AJ154" s="400">
        <f t="shared" si="133"/>
        <v>0</v>
      </c>
      <c r="AK154" s="400">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1">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1">
        <f t="shared" si="220"/>
        <v>50040</v>
      </c>
      <c r="Y155" s="188">
        <f t="shared" si="187"/>
        <v>285295.86</v>
      </c>
      <c r="Z155" s="384">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0">
        <f t="shared" si="175"/>
        <v>0</v>
      </c>
      <c r="AJ155" s="400">
        <f t="shared" si="133"/>
        <v>0</v>
      </c>
      <c r="AK155" s="400">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1">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1">
        <f t="shared" si="220"/>
        <v>50070</v>
      </c>
      <c r="Y156" s="188">
        <f t="shared" si="187"/>
        <v>284812.27999999997</v>
      </c>
      <c r="Z156" s="384">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0">
        <f t="shared" si="175"/>
        <v>0</v>
      </c>
      <c r="AJ156" s="400">
        <f t="shared" ref="AJ156:AJ219" si="241">+W156-AL156</f>
        <v>0</v>
      </c>
      <c r="AK156" s="400">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1">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1">
        <f t="shared" si="220"/>
        <v>50100</v>
      </c>
      <c r="Y157" s="188">
        <f t="shared" si="187"/>
        <v>284325.26999999996</v>
      </c>
      <c r="Z157" s="384">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0">
        <f t="shared" si="175"/>
        <v>0</v>
      </c>
      <c r="AJ157" s="400">
        <f t="shared" si="241"/>
        <v>0</v>
      </c>
      <c r="AK157" s="400">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1">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1">
        <f t="shared" si="220"/>
        <v>50130</v>
      </c>
      <c r="Y158" s="188">
        <f t="shared" si="187"/>
        <v>283834.80999999994</v>
      </c>
      <c r="Z158" s="384">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0">
        <f t="shared" si="175"/>
        <v>0</v>
      </c>
      <c r="AJ158" s="400">
        <f t="shared" si="241"/>
        <v>0</v>
      </c>
      <c r="AK158" s="400">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4">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4">
        <f t="shared" si="220"/>
        <v>50160</v>
      </c>
      <c r="Y159" s="236">
        <f t="shared" si="187"/>
        <v>283340.87999999995</v>
      </c>
      <c r="Z159" s="385">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1">
        <f t="shared" si="175"/>
        <v>0</v>
      </c>
      <c r="AJ159" s="401">
        <f t="shared" si="241"/>
        <v>0</v>
      </c>
      <c r="AK159" s="401">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1">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1">
        <f t="shared" si="220"/>
        <v>50190</v>
      </c>
      <c r="Y160" s="188">
        <f t="shared" si="187"/>
        <v>282843.44999999995</v>
      </c>
      <c r="Z160" s="384">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0">
        <f t="shared" si="175"/>
        <v>0</v>
      </c>
      <c r="AJ160" s="400">
        <f t="shared" si="241"/>
        <v>0</v>
      </c>
      <c r="AK160" s="400">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1">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1">
        <f t="shared" si="220"/>
        <v>50220</v>
      </c>
      <c r="Y161" s="188">
        <f t="shared" si="187"/>
        <v>282342.48999999993</v>
      </c>
      <c r="Z161" s="384">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0">
        <f t="shared" si="175"/>
        <v>0</v>
      </c>
      <c r="AJ161" s="400">
        <f t="shared" si="241"/>
        <v>0</v>
      </c>
      <c r="AK161" s="400">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1">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1">
        <f t="shared" si="220"/>
        <v>50250</v>
      </c>
      <c r="Y162" s="188">
        <f t="shared" si="187"/>
        <v>281837.98999999993</v>
      </c>
      <c r="Z162" s="384">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0">
        <f t="shared" si="175"/>
        <v>0</v>
      </c>
      <c r="AJ162" s="400">
        <f t="shared" si="241"/>
        <v>0</v>
      </c>
      <c r="AK162" s="400">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1">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1">
        <f t="shared" si="220"/>
        <v>50280</v>
      </c>
      <c r="Y163" s="188">
        <f t="shared" si="187"/>
        <v>281329.90999999992</v>
      </c>
      <c r="Z163" s="384">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0">
        <f t="shared" si="175"/>
        <v>0</v>
      </c>
      <c r="AJ163" s="400">
        <f t="shared" si="241"/>
        <v>0</v>
      </c>
      <c r="AK163" s="400">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1">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1">
        <f t="shared" si="220"/>
        <v>50310</v>
      </c>
      <c r="Y164" s="188">
        <f t="shared" si="187"/>
        <v>280818.22999999992</v>
      </c>
      <c r="Z164" s="384">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0">
        <f t="shared" si="175"/>
        <v>0</v>
      </c>
      <c r="AJ164" s="400">
        <f t="shared" si="241"/>
        <v>0</v>
      </c>
      <c r="AK164" s="400">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1">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1">
        <f t="shared" si="220"/>
        <v>50340</v>
      </c>
      <c r="Y165" s="188">
        <f t="shared" si="187"/>
        <v>280302.92999999993</v>
      </c>
      <c r="Z165" s="384">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0">
        <f t="shared" si="175"/>
        <v>0</v>
      </c>
      <c r="AJ165" s="400">
        <f t="shared" si="241"/>
        <v>0</v>
      </c>
      <c r="AK165" s="400">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1">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1">
        <f t="shared" si="220"/>
        <v>50370</v>
      </c>
      <c r="Y166" s="188">
        <f t="shared" si="187"/>
        <v>279783.97999999992</v>
      </c>
      <c r="Z166" s="384">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0">
        <f t="shared" si="175"/>
        <v>0</v>
      </c>
      <c r="AJ166" s="400">
        <f t="shared" si="241"/>
        <v>0</v>
      </c>
      <c r="AK166" s="400">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1">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1">
        <f t="shared" si="220"/>
        <v>50400</v>
      </c>
      <c r="Y167" s="188">
        <f t="shared" si="187"/>
        <v>279261.34999999992</v>
      </c>
      <c r="Z167" s="384">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0">
        <f t="shared" si="175"/>
        <v>0</v>
      </c>
      <c r="AJ167" s="400">
        <f t="shared" si="241"/>
        <v>0</v>
      </c>
      <c r="AK167" s="400">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1">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1">
        <f t="shared" si="220"/>
        <v>50430</v>
      </c>
      <c r="Y168" s="188">
        <f t="shared" si="187"/>
        <v>278735.0199999999</v>
      </c>
      <c r="Z168" s="384">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0">
        <f t="shared" si="175"/>
        <v>0</v>
      </c>
      <c r="AJ168" s="400">
        <f t="shared" si="241"/>
        <v>0</v>
      </c>
      <c r="AK168" s="400">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1">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1">
        <f t="shared" si="220"/>
        <v>50460</v>
      </c>
      <c r="Y169" s="188">
        <f t="shared" si="187"/>
        <v>278204.9599999999</v>
      </c>
      <c r="Z169" s="384">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0">
        <f t="shared" si="175"/>
        <v>0</v>
      </c>
      <c r="AJ169" s="400">
        <f t="shared" si="241"/>
        <v>0</v>
      </c>
      <c r="AK169" s="400">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1">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1">
        <f t="shared" si="220"/>
        <v>50490</v>
      </c>
      <c r="Y170" s="188">
        <f t="shared" si="187"/>
        <v>277671.14999999991</v>
      </c>
      <c r="Z170" s="384">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0">
        <f t="shared" si="175"/>
        <v>0</v>
      </c>
      <c r="AJ170" s="400">
        <f t="shared" si="241"/>
        <v>0</v>
      </c>
      <c r="AK170" s="400">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4">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4">
        <f t="shared" si="220"/>
        <v>50520</v>
      </c>
      <c r="Y171" s="236">
        <f t="shared" si="187"/>
        <v>277133.55999999988</v>
      </c>
      <c r="Z171" s="385">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1">
        <f t="shared" si="175"/>
        <v>0</v>
      </c>
      <c r="AJ171" s="401">
        <f t="shared" si="241"/>
        <v>0</v>
      </c>
      <c r="AK171" s="400">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1">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1">
        <f t="shared" si="220"/>
        <v>50550</v>
      </c>
      <c r="Y172" s="188">
        <f t="shared" si="187"/>
        <v>276592.15999999986</v>
      </c>
      <c r="Z172" s="384">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0">
        <f t="shared" si="175"/>
        <v>0</v>
      </c>
      <c r="AJ172" s="400">
        <f t="shared" si="241"/>
        <v>0</v>
      </c>
      <c r="AK172" s="400">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1">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1">
        <f t="shared" si="220"/>
        <v>50580</v>
      </c>
      <c r="Y173" s="188">
        <f t="shared" si="187"/>
        <v>276046.91999999987</v>
      </c>
      <c r="Z173" s="384">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0">
        <f t="shared" si="175"/>
        <v>0</v>
      </c>
      <c r="AJ173" s="400">
        <f t="shared" si="241"/>
        <v>0</v>
      </c>
      <c r="AK173" s="400">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1">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1">
        <f t="shared" si="220"/>
        <v>50610</v>
      </c>
      <c r="Y174" s="188">
        <f t="shared" si="187"/>
        <v>275497.81999999989</v>
      </c>
      <c r="Z174" s="384">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0">
        <f t="shared" si="175"/>
        <v>0</v>
      </c>
      <c r="AJ174" s="400">
        <f t="shared" si="241"/>
        <v>0</v>
      </c>
      <c r="AK174" s="400">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1">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1">
        <f t="shared" si="220"/>
        <v>50640</v>
      </c>
      <c r="Y175" s="188">
        <f t="shared" si="187"/>
        <v>274944.8299999999</v>
      </c>
      <c r="Z175" s="384">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0">
        <f t="shared" si="175"/>
        <v>0</v>
      </c>
      <c r="AJ175" s="400">
        <f t="shared" si="241"/>
        <v>0</v>
      </c>
      <c r="AK175" s="400">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1">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1">
        <f t="shared" si="220"/>
        <v>50670</v>
      </c>
      <c r="Y176" s="188">
        <f t="shared" si="187"/>
        <v>274387.92999999988</v>
      </c>
      <c r="Z176" s="384">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0">
        <f t="shared" si="175"/>
        <v>0</v>
      </c>
      <c r="AJ176" s="400">
        <f t="shared" si="241"/>
        <v>0</v>
      </c>
      <c r="AK176" s="400">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1">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1">
        <f t="shared" si="220"/>
        <v>50700</v>
      </c>
      <c r="Y177" s="188">
        <f t="shared" si="187"/>
        <v>273827.0799999999</v>
      </c>
      <c r="Z177" s="384">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0">
        <f t="shared" si="175"/>
        <v>0</v>
      </c>
      <c r="AJ177" s="400">
        <f t="shared" si="241"/>
        <v>0</v>
      </c>
      <c r="AK177" s="400">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1">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1">
        <f t="shared" si="220"/>
        <v>50730</v>
      </c>
      <c r="Y178" s="188">
        <f t="shared" si="187"/>
        <v>273262.25999999989</v>
      </c>
      <c r="Z178" s="384">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0">
        <f t="shared" si="175"/>
        <v>0</v>
      </c>
      <c r="AJ178" s="400">
        <f t="shared" si="241"/>
        <v>0</v>
      </c>
      <c r="AK178" s="400">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1">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1">
        <f t="shared" si="220"/>
        <v>50760</v>
      </c>
      <c r="Y179" s="188">
        <f t="shared" si="187"/>
        <v>272693.43999999989</v>
      </c>
      <c r="Z179" s="384">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0">
        <f t="shared" si="175"/>
        <v>0</v>
      </c>
      <c r="AJ179" s="400">
        <f t="shared" si="241"/>
        <v>0</v>
      </c>
      <c r="AK179" s="400">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1">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1">
        <f t="shared" si="220"/>
        <v>50790</v>
      </c>
      <c r="Y180" s="188">
        <f t="shared" si="187"/>
        <v>272120.58999999991</v>
      </c>
      <c r="Z180" s="384">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0">
        <f t="shared" si="175"/>
        <v>0</v>
      </c>
      <c r="AJ180" s="400">
        <f t="shared" si="241"/>
        <v>0</v>
      </c>
      <c r="AK180" s="400">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1">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1">
        <f t="shared" si="220"/>
        <v>50820</v>
      </c>
      <c r="Y181" s="188">
        <f t="shared" si="187"/>
        <v>271543.67999999993</v>
      </c>
      <c r="Z181" s="384">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0">
        <f t="shared" si="175"/>
        <v>0</v>
      </c>
      <c r="AJ181" s="400">
        <f t="shared" si="241"/>
        <v>0</v>
      </c>
      <c r="AK181" s="400">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1">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1">
        <f t="shared" si="220"/>
        <v>50850</v>
      </c>
      <c r="Y182" s="188">
        <f t="shared" si="187"/>
        <v>270962.67999999993</v>
      </c>
      <c r="Z182" s="384">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0">
        <f t="shared" si="175"/>
        <v>0</v>
      </c>
      <c r="AJ182" s="400">
        <f t="shared" si="241"/>
        <v>0</v>
      </c>
      <c r="AK182" s="400">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4">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4">
        <f t="shared" si="220"/>
        <v>50880</v>
      </c>
      <c r="Y183" s="236">
        <f t="shared" si="187"/>
        <v>270377.56999999995</v>
      </c>
      <c r="Z183" s="385">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1">
        <f t="shared" si="175"/>
        <v>0</v>
      </c>
      <c r="AJ183" s="401">
        <f t="shared" si="241"/>
        <v>0</v>
      </c>
      <c r="AK183" s="400">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1">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1">
        <f t="shared" si="220"/>
        <v>50910</v>
      </c>
      <c r="Y184" s="188">
        <f t="shared" si="187"/>
        <v>269788.30999999994</v>
      </c>
      <c r="Z184" s="384">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0">
        <f t="shared" si="175"/>
        <v>0</v>
      </c>
      <c r="AJ184" s="400">
        <f t="shared" si="241"/>
        <v>0</v>
      </c>
      <c r="AK184" s="400">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1">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1">
        <f t="shared" si="220"/>
        <v>50940</v>
      </c>
      <c r="Y185" s="188">
        <f t="shared" si="187"/>
        <v>269194.87999999995</v>
      </c>
      <c r="Z185" s="384">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0">
        <f t="shared" si="175"/>
        <v>0</v>
      </c>
      <c r="AJ185" s="400">
        <f t="shared" si="241"/>
        <v>0</v>
      </c>
      <c r="AK185" s="400">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1">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1">
        <f t="shared" si="220"/>
        <v>50970</v>
      </c>
      <c r="Y186" s="188">
        <f t="shared" si="187"/>
        <v>268597.24999999994</v>
      </c>
      <c r="Z186" s="384">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0">
        <f t="shared" si="175"/>
        <v>0</v>
      </c>
      <c r="AJ186" s="400">
        <f t="shared" si="241"/>
        <v>0</v>
      </c>
      <c r="AK186" s="400">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1">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1">
        <f t="shared" si="220"/>
        <v>51000</v>
      </c>
      <c r="Y187" s="188">
        <f t="shared" si="187"/>
        <v>267995.37999999995</v>
      </c>
      <c r="Z187" s="384">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0">
        <f t="shared" si="175"/>
        <v>0</v>
      </c>
      <c r="AJ187" s="400">
        <f t="shared" si="241"/>
        <v>0</v>
      </c>
      <c r="AK187" s="400">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1">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1">
        <f t="shared" si="220"/>
        <v>51030</v>
      </c>
      <c r="Y188" s="188">
        <f t="shared" si="187"/>
        <v>267389.24999999994</v>
      </c>
      <c r="Z188" s="384">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0">
        <f t="shared" si="175"/>
        <v>0</v>
      </c>
      <c r="AJ188" s="400">
        <f t="shared" si="241"/>
        <v>0</v>
      </c>
      <c r="AK188" s="400">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1">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1">
        <f t="shared" si="220"/>
        <v>51060</v>
      </c>
      <c r="Y189" s="188">
        <f t="shared" si="187"/>
        <v>266778.82999999996</v>
      </c>
      <c r="Z189" s="384">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0">
        <f t="shared" ref="AI189:AI252" si="283">O189-AA189+AI188</f>
        <v>0</v>
      </c>
      <c r="AJ189" s="400">
        <f t="shared" si="241"/>
        <v>0</v>
      </c>
      <c r="AK189" s="400">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1">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1">
        <f t="shared" si="220"/>
        <v>51090</v>
      </c>
      <c r="Y190" s="188">
        <f t="shared" si="187"/>
        <v>266164.07999999996</v>
      </c>
      <c r="Z190" s="384">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0">
        <f t="shared" si="283"/>
        <v>0</v>
      </c>
      <c r="AJ190" s="400">
        <f t="shared" si="241"/>
        <v>0</v>
      </c>
      <c r="AK190" s="400">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1">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1">
        <f t="shared" si="220"/>
        <v>51120</v>
      </c>
      <c r="Y191" s="188">
        <f t="shared" ref="Y191:Y254" si="295">IF(+AL190&lt;0,0,+AL190)</f>
        <v>265544.98</v>
      </c>
      <c r="Z191" s="384">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0">
        <f t="shared" si="283"/>
        <v>0</v>
      </c>
      <c r="AJ191" s="400">
        <f t="shared" si="241"/>
        <v>0</v>
      </c>
      <c r="AK191" s="400">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1">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1">
        <f t="shared" si="220"/>
        <v>51150</v>
      </c>
      <c r="Y192" s="188">
        <f t="shared" si="295"/>
        <v>264921.49</v>
      </c>
      <c r="Z192" s="384">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0">
        <f t="shared" si="283"/>
        <v>0</v>
      </c>
      <c r="AJ192" s="400">
        <f t="shared" si="241"/>
        <v>0</v>
      </c>
      <c r="AK192" s="400">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1">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1">
        <f t="shared" si="220"/>
        <v>51180</v>
      </c>
      <c r="Y193" s="188">
        <f t="shared" si="295"/>
        <v>264293.58999999997</v>
      </c>
      <c r="Z193" s="384">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0">
        <f t="shared" si="283"/>
        <v>0</v>
      </c>
      <c r="AJ193" s="400">
        <f t="shared" si="241"/>
        <v>0</v>
      </c>
      <c r="AK193" s="400">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1">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1">
        <f t="shared" si="220"/>
        <v>51210</v>
      </c>
      <c r="Y194" s="188">
        <f t="shared" si="295"/>
        <v>263661.24</v>
      </c>
      <c r="Z194" s="384">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0">
        <f t="shared" si="283"/>
        <v>0</v>
      </c>
      <c r="AJ194" s="400">
        <f t="shared" si="241"/>
        <v>0</v>
      </c>
      <c r="AK194" s="400">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4">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4">
        <f t="shared" si="220"/>
        <v>51240</v>
      </c>
      <c r="Y195" s="236">
        <f t="shared" si="295"/>
        <v>263024.40999999997</v>
      </c>
      <c r="Z195" s="385">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1">
        <f t="shared" si="283"/>
        <v>0</v>
      </c>
      <c r="AJ195" s="401">
        <f t="shared" si="241"/>
        <v>0</v>
      </c>
      <c r="AK195" s="400">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1">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1">
        <f t="shared" si="220"/>
        <v>51270</v>
      </c>
      <c r="Y196" s="188">
        <f t="shared" si="295"/>
        <v>262383.06999999995</v>
      </c>
      <c r="Z196" s="384">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0">
        <f t="shared" si="283"/>
        <v>0</v>
      </c>
      <c r="AJ196" s="400">
        <f t="shared" si="241"/>
        <v>0</v>
      </c>
      <c r="AK196" s="400">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1">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1">
        <f t="shared" si="220"/>
        <v>51300</v>
      </c>
      <c r="Y197" s="188">
        <f t="shared" si="295"/>
        <v>261737.18999999994</v>
      </c>
      <c r="Z197" s="384">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0">
        <f t="shared" si="283"/>
        <v>0</v>
      </c>
      <c r="AJ197" s="400">
        <f t="shared" si="241"/>
        <v>0</v>
      </c>
      <c r="AK197" s="400">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1">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1">
        <f t="shared" si="220"/>
        <v>51330</v>
      </c>
      <c r="Y198" s="188">
        <f t="shared" si="295"/>
        <v>261086.72999999995</v>
      </c>
      <c r="Z198" s="384">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0">
        <f t="shared" si="283"/>
        <v>0</v>
      </c>
      <c r="AJ198" s="400">
        <f t="shared" si="241"/>
        <v>0</v>
      </c>
      <c r="AK198" s="400">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1">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1">
        <f t="shared" si="220"/>
        <v>51360</v>
      </c>
      <c r="Y199" s="188">
        <f t="shared" si="295"/>
        <v>260431.65999999995</v>
      </c>
      <c r="Z199" s="384">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0">
        <f t="shared" si="283"/>
        <v>0</v>
      </c>
      <c r="AJ199" s="400">
        <f t="shared" si="241"/>
        <v>0</v>
      </c>
      <c r="AK199" s="400">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1">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1">
        <f t="shared" si="220"/>
        <v>51390</v>
      </c>
      <c r="Y200" s="188">
        <f t="shared" si="295"/>
        <v>259771.94999999995</v>
      </c>
      <c r="Z200" s="384">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0">
        <f t="shared" si="283"/>
        <v>0</v>
      </c>
      <c r="AJ200" s="400">
        <f t="shared" si="241"/>
        <v>0</v>
      </c>
      <c r="AK200" s="400">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1">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1">
        <f t="shared" si="220"/>
        <v>51420</v>
      </c>
      <c r="Y201" s="188">
        <f t="shared" si="295"/>
        <v>259107.56999999995</v>
      </c>
      <c r="Z201" s="384">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0">
        <f t="shared" si="283"/>
        <v>0</v>
      </c>
      <c r="AJ201" s="400">
        <f t="shared" si="241"/>
        <v>0</v>
      </c>
      <c r="AK201" s="400">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1">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1">
        <f t="shared" si="220"/>
        <v>51450</v>
      </c>
      <c r="Y202" s="188">
        <f t="shared" si="295"/>
        <v>258438.48999999996</v>
      </c>
      <c r="Z202" s="384">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0">
        <f t="shared" si="283"/>
        <v>0</v>
      </c>
      <c r="AJ202" s="400">
        <f t="shared" si="241"/>
        <v>0</v>
      </c>
      <c r="AK202" s="400">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1">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1">
        <f t="shared" si="220"/>
        <v>51480</v>
      </c>
      <c r="Y203" s="188">
        <f t="shared" si="295"/>
        <v>257764.66999999995</v>
      </c>
      <c r="Z203" s="384">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0">
        <f t="shared" si="283"/>
        <v>0</v>
      </c>
      <c r="AJ203" s="400">
        <f t="shared" si="241"/>
        <v>0</v>
      </c>
      <c r="AK203" s="400">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1">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1">
        <f t="shared" si="220"/>
        <v>51510</v>
      </c>
      <c r="Y204" s="188">
        <f t="shared" si="295"/>
        <v>257086.06999999995</v>
      </c>
      <c r="Z204" s="384">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0">
        <f t="shared" si="283"/>
        <v>0</v>
      </c>
      <c r="AJ204" s="400">
        <f t="shared" si="241"/>
        <v>0</v>
      </c>
      <c r="AK204" s="400">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1">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1">
        <f t="shared" si="220"/>
        <v>51540</v>
      </c>
      <c r="Y205" s="188">
        <f t="shared" si="295"/>
        <v>256402.66999999995</v>
      </c>
      <c r="Z205" s="384">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0">
        <f t="shared" si="283"/>
        <v>0</v>
      </c>
      <c r="AJ205" s="400">
        <f t="shared" si="241"/>
        <v>0</v>
      </c>
      <c r="AK205" s="400">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1">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1">
        <f t="shared" si="220"/>
        <v>51570</v>
      </c>
      <c r="Y206" s="188">
        <f t="shared" si="295"/>
        <v>255714.42999999996</v>
      </c>
      <c r="Z206" s="384">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0">
        <f t="shared" si="283"/>
        <v>0</v>
      </c>
      <c r="AJ206" s="400">
        <f t="shared" si="241"/>
        <v>0</v>
      </c>
      <c r="AK206" s="400">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4">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4">
        <f t="shared" si="220"/>
        <v>51600</v>
      </c>
      <c r="Y207" s="236">
        <f t="shared" si="295"/>
        <v>255021.30999999997</v>
      </c>
      <c r="Z207" s="385">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1">
        <f t="shared" si="283"/>
        <v>0</v>
      </c>
      <c r="AJ207" s="401">
        <f t="shared" si="241"/>
        <v>0</v>
      </c>
      <c r="AK207" s="400">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1">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1">
        <f t="shared" si="220"/>
        <v>51630</v>
      </c>
      <c r="Y208" s="188">
        <f t="shared" si="295"/>
        <v>254323.27999999997</v>
      </c>
      <c r="Z208" s="384">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0">
        <f t="shared" si="283"/>
        <v>0</v>
      </c>
      <c r="AJ208" s="400">
        <f t="shared" si="241"/>
        <v>0</v>
      </c>
      <c r="AK208" s="400">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1">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1">
        <f t="shared" ref="X209:X272" si="328">+A209</f>
        <v>51660</v>
      </c>
      <c r="Y209" s="188">
        <f t="shared" si="295"/>
        <v>253620.30999999997</v>
      </c>
      <c r="Z209" s="384">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0">
        <f t="shared" si="283"/>
        <v>0</v>
      </c>
      <c r="AJ209" s="400">
        <f t="shared" si="241"/>
        <v>0</v>
      </c>
      <c r="AK209" s="400">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1">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1">
        <f t="shared" si="328"/>
        <v>51690</v>
      </c>
      <c r="Y210" s="188">
        <f t="shared" si="295"/>
        <v>252912.35999999996</v>
      </c>
      <c r="Z210" s="384">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0">
        <f t="shared" si="283"/>
        <v>0</v>
      </c>
      <c r="AJ210" s="400">
        <f t="shared" si="241"/>
        <v>0</v>
      </c>
      <c r="AK210" s="400">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1">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1">
        <f t="shared" si="328"/>
        <v>51720</v>
      </c>
      <c r="Y211" s="188">
        <f t="shared" si="295"/>
        <v>252199.38999999996</v>
      </c>
      <c r="Z211" s="384">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0">
        <f t="shared" si="283"/>
        <v>0</v>
      </c>
      <c r="AJ211" s="400">
        <f t="shared" si="241"/>
        <v>0</v>
      </c>
      <c r="AK211" s="400">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1">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1">
        <f t="shared" si="328"/>
        <v>51750</v>
      </c>
      <c r="Y212" s="188">
        <f t="shared" si="295"/>
        <v>251481.36999999997</v>
      </c>
      <c r="Z212" s="384">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0">
        <f t="shared" si="283"/>
        <v>0</v>
      </c>
      <c r="AJ212" s="400">
        <f t="shared" si="241"/>
        <v>0</v>
      </c>
      <c r="AK212" s="400">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1">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1">
        <f t="shared" si="328"/>
        <v>51780</v>
      </c>
      <c r="Y213" s="188">
        <f t="shared" si="295"/>
        <v>250758.26999999996</v>
      </c>
      <c r="Z213" s="384">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0">
        <f t="shared" si="283"/>
        <v>0</v>
      </c>
      <c r="AJ213" s="400">
        <f t="shared" si="241"/>
        <v>0</v>
      </c>
      <c r="AK213" s="400">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1">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1">
        <f t="shared" si="328"/>
        <v>51810</v>
      </c>
      <c r="Y214" s="188">
        <f t="shared" si="295"/>
        <v>250030.03999999995</v>
      </c>
      <c r="Z214" s="384">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0">
        <f t="shared" si="283"/>
        <v>0</v>
      </c>
      <c r="AJ214" s="400">
        <f t="shared" si="241"/>
        <v>0</v>
      </c>
      <c r="AK214" s="400">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1">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1">
        <f t="shared" si="328"/>
        <v>51840</v>
      </c>
      <c r="Y215" s="188">
        <f t="shared" si="295"/>
        <v>249296.65999999995</v>
      </c>
      <c r="Z215" s="384">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0">
        <f t="shared" si="283"/>
        <v>0</v>
      </c>
      <c r="AJ215" s="400">
        <f t="shared" si="241"/>
        <v>0</v>
      </c>
      <c r="AK215" s="400">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1">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1">
        <f t="shared" si="328"/>
        <v>51870</v>
      </c>
      <c r="Y216" s="188">
        <f t="shared" si="295"/>
        <v>248558.07999999996</v>
      </c>
      <c r="Z216" s="384">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0">
        <f t="shared" si="283"/>
        <v>0</v>
      </c>
      <c r="AJ216" s="400">
        <f t="shared" si="241"/>
        <v>0</v>
      </c>
      <c r="AK216" s="400">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1">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1">
        <f t="shared" si="328"/>
        <v>51900</v>
      </c>
      <c r="Y217" s="188">
        <f t="shared" si="295"/>
        <v>247814.26999999996</v>
      </c>
      <c r="Z217" s="384">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0">
        <f t="shared" si="283"/>
        <v>0</v>
      </c>
      <c r="AJ217" s="400">
        <f t="shared" si="241"/>
        <v>0</v>
      </c>
      <c r="AK217" s="400">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1">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1">
        <f t="shared" si="328"/>
        <v>51930</v>
      </c>
      <c r="Y218" s="188">
        <f t="shared" si="295"/>
        <v>247065.18999999997</v>
      </c>
      <c r="Z218" s="384">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0">
        <f t="shared" si="283"/>
        <v>0</v>
      </c>
      <c r="AJ218" s="400">
        <f t="shared" si="241"/>
        <v>0</v>
      </c>
      <c r="AK218" s="400">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4">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4">
        <f t="shared" si="328"/>
        <v>51960</v>
      </c>
      <c r="Y219" s="236">
        <f t="shared" si="295"/>
        <v>246310.80999999997</v>
      </c>
      <c r="Z219" s="385">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1">
        <f t="shared" si="283"/>
        <v>0</v>
      </c>
      <c r="AJ219" s="401">
        <f t="shared" si="241"/>
        <v>0</v>
      </c>
      <c r="AK219" s="400">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1">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1">
        <f t="shared" si="328"/>
        <v>51990</v>
      </c>
      <c r="Y220" s="188">
        <f t="shared" si="295"/>
        <v>245551.07999999996</v>
      </c>
      <c r="Z220" s="384">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0">
        <f t="shared" si="283"/>
        <v>0</v>
      </c>
      <c r="AJ220" s="400">
        <f t="shared" ref="AJ220:AJ283" si="349">+W220-AL220</f>
        <v>0</v>
      </c>
      <c r="AK220" s="400">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1">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1">
        <f t="shared" si="328"/>
        <v>52020</v>
      </c>
      <c r="Y221" s="188">
        <f t="shared" si="295"/>
        <v>244785.96999999997</v>
      </c>
      <c r="Z221" s="384">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0">
        <f t="shared" si="283"/>
        <v>0</v>
      </c>
      <c r="AJ221" s="400">
        <f t="shared" si="349"/>
        <v>0</v>
      </c>
      <c r="AK221" s="400">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1">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1">
        <f t="shared" si="328"/>
        <v>52050</v>
      </c>
      <c r="Y222" s="188">
        <f t="shared" si="295"/>
        <v>244015.43999999997</v>
      </c>
      <c r="Z222" s="384">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0">
        <f t="shared" si="283"/>
        <v>0</v>
      </c>
      <c r="AJ222" s="400">
        <f t="shared" si="349"/>
        <v>0</v>
      </c>
      <c r="AK222" s="400">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1">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1">
        <f t="shared" si="328"/>
        <v>52080</v>
      </c>
      <c r="Y223" s="188">
        <f t="shared" si="295"/>
        <v>243239.44999999998</v>
      </c>
      <c r="Z223" s="384">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0">
        <f t="shared" si="283"/>
        <v>0</v>
      </c>
      <c r="AJ223" s="400">
        <f t="shared" si="349"/>
        <v>0</v>
      </c>
      <c r="AK223" s="400">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1">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1">
        <f t="shared" si="328"/>
        <v>52110</v>
      </c>
      <c r="Y224" s="188">
        <f t="shared" si="295"/>
        <v>242457.96999999997</v>
      </c>
      <c r="Z224" s="384">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0">
        <f t="shared" si="283"/>
        <v>0</v>
      </c>
      <c r="AJ224" s="400">
        <f t="shared" si="349"/>
        <v>0</v>
      </c>
      <c r="AK224" s="400">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1">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1">
        <f t="shared" si="328"/>
        <v>52140</v>
      </c>
      <c r="Y225" s="188">
        <f t="shared" si="295"/>
        <v>241670.94999999998</v>
      </c>
      <c r="Z225" s="384">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0">
        <f t="shared" si="283"/>
        <v>0</v>
      </c>
      <c r="AJ225" s="400">
        <f t="shared" si="349"/>
        <v>0</v>
      </c>
      <c r="AK225" s="400">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1">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1">
        <f t="shared" si="328"/>
        <v>52170</v>
      </c>
      <c r="Y226" s="188">
        <f t="shared" si="295"/>
        <v>240878.36</v>
      </c>
      <c r="Z226" s="384">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0">
        <f t="shared" si="283"/>
        <v>0</v>
      </c>
      <c r="AJ226" s="400">
        <f t="shared" si="349"/>
        <v>0</v>
      </c>
      <c r="AK226" s="400">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1">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1">
        <f t="shared" si="328"/>
        <v>52200</v>
      </c>
      <c r="Y227" s="188">
        <f t="shared" si="295"/>
        <v>240080.15</v>
      </c>
      <c r="Z227" s="384">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0">
        <f t="shared" si="283"/>
        <v>0</v>
      </c>
      <c r="AJ227" s="400">
        <f t="shared" si="349"/>
        <v>0</v>
      </c>
      <c r="AK227" s="400">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1">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1">
        <f t="shared" si="328"/>
        <v>52230</v>
      </c>
      <c r="Y228" s="188">
        <f t="shared" si="295"/>
        <v>239276.29</v>
      </c>
      <c r="Z228" s="384">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0">
        <f t="shared" si="283"/>
        <v>0</v>
      </c>
      <c r="AJ228" s="400">
        <f t="shared" si="349"/>
        <v>0</v>
      </c>
      <c r="AK228" s="400">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1">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1">
        <f t="shared" si="328"/>
        <v>52260</v>
      </c>
      <c r="Y229" s="188">
        <f t="shared" si="295"/>
        <v>238466.73</v>
      </c>
      <c r="Z229" s="384">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0">
        <f t="shared" si="283"/>
        <v>0</v>
      </c>
      <c r="AJ229" s="400">
        <f t="shared" si="349"/>
        <v>0</v>
      </c>
      <c r="AK229" s="400">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1">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1">
        <f t="shared" si="328"/>
        <v>52290</v>
      </c>
      <c r="Y230" s="188">
        <f t="shared" si="295"/>
        <v>237651.44</v>
      </c>
      <c r="Z230" s="384">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0">
        <f t="shared" si="283"/>
        <v>0</v>
      </c>
      <c r="AJ230" s="400">
        <f t="shared" si="349"/>
        <v>0</v>
      </c>
      <c r="AK230" s="400">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4">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4">
        <f t="shared" si="328"/>
        <v>52320</v>
      </c>
      <c r="Y231" s="236">
        <f t="shared" si="295"/>
        <v>236830.37</v>
      </c>
      <c r="Z231" s="385">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1">
        <f t="shared" si="283"/>
        <v>0</v>
      </c>
      <c r="AJ231" s="401">
        <f t="shared" si="349"/>
        <v>0</v>
      </c>
      <c r="AK231" s="400">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1">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1">
        <f t="shared" si="328"/>
        <v>52350</v>
      </c>
      <c r="Y232" s="188">
        <f t="shared" si="295"/>
        <v>236003.49</v>
      </c>
      <c r="Z232" s="384">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0">
        <f t="shared" si="283"/>
        <v>0</v>
      </c>
      <c r="AJ232" s="400">
        <f t="shared" si="349"/>
        <v>0</v>
      </c>
      <c r="AK232" s="400">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1">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1">
        <f t="shared" si="328"/>
        <v>52380</v>
      </c>
      <c r="Y233" s="188">
        <f t="shared" si="295"/>
        <v>235170.75</v>
      </c>
      <c r="Z233" s="384">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0">
        <f t="shared" si="283"/>
        <v>0</v>
      </c>
      <c r="AJ233" s="400">
        <f t="shared" si="349"/>
        <v>0</v>
      </c>
      <c r="AK233" s="400">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1">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1">
        <f t="shared" si="328"/>
        <v>52410</v>
      </c>
      <c r="Y234" s="188">
        <f t="shared" si="295"/>
        <v>234332.11</v>
      </c>
      <c r="Z234" s="384">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0">
        <f t="shared" si="283"/>
        <v>0</v>
      </c>
      <c r="AJ234" s="400">
        <f t="shared" si="349"/>
        <v>0</v>
      </c>
      <c r="AK234" s="400">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1">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1">
        <f t="shared" si="328"/>
        <v>52440</v>
      </c>
      <c r="Y235" s="188">
        <f t="shared" si="295"/>
        <v>233487.53</v>
      </c>
      <c r="Z235" s="384">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0">
        <f t="shared" si="283"/>
        <v>0</v>
      </c>
      <c r="AJ235" s="400">
        <f t="shared" si="349"/>
        <v>0</v>
      </c>
      <c r="AK235" s="400">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1">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1">
        <f t="shared" si="328"/>
        <v>52470</v>
      </c>
      <c r="Y236" s="188">
        <f t="shared" si="295"/>
        <v>232636.97</v>
      </c>
      <c r="Z236" s="384">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0">
        <f t="shared" si="283"/>
        <v>0</v>
      </c>
      <c r="AJ236" s="400">
        <f t="shared" si="349"/>
        <v>0</v>
      </c>
      <c r="AK236" s="400">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1">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1">
        <f t="shared" si="328"/>
        <v>52500</v>
      </c>
      <c r="Y237" s="188">
        <f t="shared" si="295"/>
        <v>231780.39</v>
      </c>
      <c r="Z237" s="384">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0">
        <f t="shared" si="283"/>
        <v>0</v>
      </c>
      <c r="AJ237" s="400">
        <f t="shared" si="349"/>
        <v>0</v>
      </c>
      <c r="AK237" s="400">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1">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1">
        <f t="shared" si="328"/>
        <v>52530</v>
      </c>
      <c r="Y238" s="188">
        <f t="shared" si="295"/>
        <v>230917.74000000002</v>
      </c>
      <c r="Z238" s="384">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0">
        <f t="shared" si="283"/>
        <v>0</v>
      </c>
      <c r="AJ238" s="400">
        <f t="shared" si="349"/>
        <v>0</v>
      </c>
      <c r="AK238" s="400">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1">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1">
        <f t="shared" si="328"/>
        <v>52560</v>
      </c>
      <c r="Y239" s="188">
        <f t="shared" si="295"/>
        <v>230048.98</v>
      </c>
      <c r="Z239" s="384">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0">
        <f t="shared" si="283"/>
        <v>0</v>
      </c>
      <c r="AJ239" s="400">
        <f t="shared" si="349"/>
        <v>0</v>
      </c>
      <c r="AK239" s="400">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1">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1">
        <f t="shared" si="328"/>
        <v>52590</v>
      </c>
      <c r="Y240" s="188">
        <f t="shared" si="295"/>
        <v>229174.06</v>
      </c>
      <c r="Z240" s="384">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0">
        <f t="shared" si="283"/>
        <v>0</v>
      </c>
      <c r="AJ240" s="400">
        <f t="shared" si="349"/>
        <v>0</v>
      </c>
      <c r="AK240" s="400">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1">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1">
        <f t="shared" si="328"/>
        <v>52620</v>
      </c>
      <c r="Y241" s="188">
        <f t="shared" si="295"/>
        <v>228292.95</v>
      </c>
      <c r="Z241" s="384">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0">
        <f t="shared" si="283"/>
        <v>0</v>
      </c>
      <c r="AJ241" s="400">
        <f t="shared" si="349"/>
        <v>0</v>
      </c>
      <c r="AK241" s="400">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1">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1">
        <f t="shared" si="328"/>
        <v>52650</v>
      </c>
      <c r="Y242" s="188">
        <f t="shared" si="295"/>
        <v>227405.6</v>
      </c>
      <c r="Z242" s="384">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0">
        <f t="shared" si="283"/>
        <v>0</v>
      </c>
      <c r="AJ242" s="400">
        <f t="shared" si="349"/>
        <v>0</v>
      </c>
      <c r="AK242" s="400">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4">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4">
        <f t="shared" si="328"/>
        <v>52680</v>
      </c>
      <c r="Y243" s="236">
        <f t="shared" si="295"/>
        <v>226511.96</v>
      </c>
      <c r="Z243" s="385">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1">
        <f t="shared" si="283"/>
        <v>0</v>
      </c>
      <c r="AJ243" s="401">
        <f t="shared" si="349"/>
        <v>0</v>
      </c>
      <c r="AK243" s="400">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1">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1">
        <f t="shared" si="328"/>
        <v>52710</v>
      </c>
      <c r="Y244" s="188">
        <f t="shared" si="295"/>
        <v>225611.99</v>
      </c>
      <c r="Z244" s="384">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0">
        <f t="shared" si="283"/>
        <v>0</v>
      </c>
      <c r="AJ244" s="400">
        <f t="shared" si="349"/>
        <v>0</v>
      </c>
      <c r="AK244" s="400">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1">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1">
        <f t="shared" si="328"/>
        <v>52740</v>
      </c>
      <c r="Y245" s="188">
        <f t="shared" si="295"/>
        <v>224705.63999999998</v>
      </c>
      <c r="Z245" s="384">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0">
        <f t="shared" si="283"/>
        <v>0</v>
      </c>
      <c r="AJ245" s="400">
        <f t="shared" si="349"/>
        <v>0</v>
      </c>
      <c r="AK245" s="400">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1">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1">
        <f t="shared" si="328"/>
        <v>52770</v>
      </c>
      <c r="Y246" s="188">
        <f t="shared" si="295"/>
        <v>223792.87</v>
      </c>
      <c r="Z246" s="384">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0">
        <f t="shared" si="283"/>
        <v>0</v>
      </c>
      <c r="AJ246" s="400">
        <f t="shared" si="349"/>
        <v>0</v>
      </c>
      <c r="AK246" s="400">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1">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1">
        <f t="shared" si="328"/>
        <v>52800</v>
      </c>
      <c r="Y247" s="188">
        <f t="shared" si="295"/>
        <v>222873.63999999998</v>
      </c>
      <c r="Z247" s="384">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0">
        <f t="shared" si="283"/>
        <v>0</v>
      </c>
      <c r="AJ247" s="400">
        <f t="shared" si="349"/>
        <v>0</v>
      </c>
      <c r="AK247" s="400">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1">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1">
        <f t="shared" si="328"/>
        <v>52830</v>
      </c>
      <c r="Y248" s="188">
        <f t="shared" si="295"/>
        <v>221947.9</v>
      </c>
      <c r="Z248" s="384">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0">
        <f t="shared" si="283"/>
        <v>0</v>
      </c>
      <c r="AJ248" s="400">
        <f t="shared" si="349"/>
        <v>0</v>
      </c>
      <c r="AK248" s="400">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1">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1">
        <f t="shared" si="328"/>
        <v>52860</v>
      </c>
      <c r="Y249" s="188">
        <f t="shared" si="295"/>
        <v>221015.6</v>
      </c>
      <c r="Z249" s="384">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0">
        <f t="shared" si="283"/>
        <v>0</v>
      </c>
      <c r="AJ249" s="400">
        <f t="shared" si="349"/>
        <v>0</v>
      </c>
      <c r="AK249" s="400">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1">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1">
        <f t="shared" si="328"/>
        <v>52890</v>
      </c>
      <c r="Y250" s="188">
        <f t="shared" si="295"/>
        <v>220076.7</v>
      </c>
      <c r="Z250" s="384">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0">
        <f t="shared" si="283"/>
        <v>0</v>
      </c>
      <c r="AJ250" s="400">
        <f t="shared" si="349"/>
        <v>0</v>
      </c>
      <c r="AK250" s="400">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1">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1">
        <f t="shared" si="328"/>
        <v>52920</v>
      </c>
      <c r="Y251" s="188">
        <f t="shared" si="295"/>
        <v>219131.15000000002</v>
      </c>
      <c r="Z251" s="384">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0">
        <f t="shared" si="283"/>
        <v>0</v>
      </c>
      <c r="AJ251" s="400">
        <f t="shared" si="349"/>
        <v>0</v>
      </c>
      <c r="AK251" s="400">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1">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1">
        <f t="shared" si="328"/>
        <v>52950</v>
      </c>
      <c r="Y252" s="188">
        <f t="shared" si="295"/>
        <v>218178.90000000002</v>
      </c>
      <c r="Z252" s="384">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0">
        <f t="shared" si="283"/>
        <v>0</v>
      </c>
      <c r="AJ252" s="400">
        <f t="shared" si="349"/>
        <v>0</v>
      </c>
      <c r="AK252" s="400">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1">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1">
        <f t="shared" si="328"/>
        <v>52980</v>
      </c>
      <c r="Y253" s="188">
        <f t="shared" si="295"/>
        <v>217219.90000000002</v>
      </c>
      <c r="Z253" s="384">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0">
        <f t="shared" ref="AI253:AI316" si="391">O253-AA253+AI252</f>
        <v>0</v>
      </c>
      <c r="AJ253" s="400">
        <f t="shared" si="349"/>
        <v>0</v>
      </c>
      <c r="AK253" s="400">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1">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1">
        <f t="shared" si="328"/>
        <v>53010</v>
      </c>
      <c r="Y254" s="188">
        <f t="shared" si="295"/>
        <v>216254.11000000002</v>
      </c>
      <c r="Z254" s="384">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0">
        <f t="shared" si="391"/>
        <v>0</v>
      </c>
      <c r="AJ254" s="400">
        <f t="shared" si="349"/>
        <v>0</v>
      </c>
      <c r="AK254" s="400">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4">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4">
        <f t="shared" si="328"/>
        <v>53040</v>
      </c>
      <c r="Y255" s="236">
        <f t="shared" ref="Y255:Y318" si="403">IF(+AL254&lt;0,0,+AL254)</f>
        <v>215281.48</v>
      </c>
      <c r="Z255" s="385">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1">
        <f t="shared" si="391"/>
        <v>0</v>
      </c>
      <c r="AJ255" s="401">
        <f t="shared" si="349"/>
        <v>0</v>
      </c>
      <c r="AK255" s="400">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1">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1">
        <f t="shared" si="328"/>
        <v>53070</v>
      </c>
      <c r="Y256" s="188">
        <f t="shared" si="403"/>
        <v>214301.96000000002</v>
      </c>
      <c r="Z256" s="384">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0">
        <f t="shared" si="391"/>
        <v>0</v>
      </c>
      <c r="AJ256" s="400">
        <f t="shared" si="349"/>
        <v>0</v>
      </c>
      <c r="AK256" s="400">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1">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1">
        <f t="shared" si="328"/>
        <v>53100</v>
      </c>
      <c r="Y257" s="188">
        <f t="shared" si="403"/>
        <v>213315.50000000003</v>
      </c>
      <c r="Z257" s="384">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0">
        <f t="shared" si="391"/>
        <v>0</v>
      </c>
      <c r="AJ257" s="400">
        <f t="shared" si="349"/>
        <v>0</v>
      </c>
      <c r="AK257" s="400">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1">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1">
        <f t="shared" si="328"/>
        <v>53130</v>
      </c>
      <c r="Y258" s="188">
        <f t="shared" si="403"/>
        <v>212322.05000000002</v>
      </c>
      <c r="Z258" s="384">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0">
        <f t="shared" si="391"/>
        <v>0</v>
      </c>
      <c r="AJ258" s="400">
        <f t="shared" si="349"/>
        <v>0</v>
      </c>
      <c r="AK258" s="400">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1">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1">
        <f t="shared" si="328"/>
        <v>53160</v>
      </c>
      <c r="Y259" s="188">
        <f t="shared" si="403"/>
        <v>211321.57</v>
      </c>
      <c r="Z259" s="384">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0">
        <f t="shared" si="391"/>
        <v>0</v>
      </c>
      <c r="AJ259" s="400">
        <f t="shared" si="349"/>
        <v>0</v>
      </c>
      <c r="AK259" s="400">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1">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1">
        <f t="shared" si="328"/>
        <v>53190</v>
      </c>
      <c r="Y260" s="188">
        <f t="shared" si="403"/>
        <v>210314</v>
      </c>
      <c r="Z260" s="384">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0">
        <f t="shared" si="391"/>
        <v>0</v>
      </c>
      <c r="AJ260" s="400">
        <f t="shared" si="349"/>
        <v>0</v>
      </c>
      <c r="AK260" s="400">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1">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1">
        <f t="shared" si="328"/>
        <v>53220</v>
      </c>
      <c r="Y261" s="188">
        <f t="shared" si="403"/>
        <v>209299.29</v>
      </c>
      <c r="Z261" s="384">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0">
        <f t="shared" si="391"/>
        <v>0</v>
      </c>
      <c r="AJ261" s="400">
        <f t="shared" si="349"/>
        <v>0</v>
      </c>
      <c r="AK261" s="400">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1">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1">
        <f t="shared" si="328"/>
        <v>53250</v>
      </c>
      <c r="Y262" s="188">
        <f t="shared" si="403"/>
        <v>208277.4</v>
      </c>
      <c r="Z262" s="384">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0">
        <f t="shared" si="391"/>
        <v>0</v>
      </c>
      <c r="AJ262" s="400">
        <f t="shared" si="349"/>
        <v>0</v>
      </c>
      <c r="AK262" s="400">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1">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1">
        <f t="shared" si="328"/>
        <v>53280</v>
      </c>
      <c r="Y263" s="188">
        <f t="shared" si="403"/>
        <v>207248.27</v>
      </c>
      <c r="Z263" s="384">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0">
        <f t="shared" si="391"/>
        <v>0</v>
      </c>
      <c r="AJ263" s="400">
        <f t="shared" si="349"/>
        <v>0</v>
      </c>
      <c r="AK263" s="400">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1">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1">
        <f t="shared" si="328"/>
        <v>53310</v>
      </c>
      <c r="Y264" s="188">
        <f t="shared" si="403"/>
        <v>206211.84999999998</v>
      </c>
      <c r="Z264" s="384">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0">
        <f t="shared" si="391"/>
        <v>0</v>
      </c>
      <c r="AJ264" s="400">
        <f t="shared" si="349"/>
        <v>0</v>
      </c>
      <c r="AK264" s="400">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1">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1">
        <f t="shared" si="328"/>
        <v>53340</v>
      </c>
      <c r="Y265" s="188">
        <f t="shared" si="403"/>
        <v>205168.08999999997</v>
      </c>
      <c r="Z265" s="384">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0">
        <f t="shared" si="391"/>
        <v>0</v>
      </c>
      <c r="AJ265" s="400">
        <f t="shared" si="349"/>
        <v>0</v>
      </c>
      <c r="AK265" s="400">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1">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1">
        <f t="shared" si="328"/>
        <v>53370</v>
      </c>
      <c r="Y266" s="188">
        <f t="shared" si="403"/>
        <v>204116.92999999996</v>
      </c>
      <c r="Z266" s="384">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0">
        <f t="shared" si="391"/>
        <v>0</v>
      </c>
      <c r="AJ266" s="400">
        <f t="shared" si="349"/>
        <v>0</v>
      </c>
      <c r="AK266" s="400">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4">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4">
        <f t="shared" si="328"/>
        <v>53400</v>
      </c>
      <c r="Y267" s="236">
        <f t="shared" si="403"/>
        <v>203058.32999999996</v>
      </c>
      <c r="Z267" s="385">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1">
        <f t="shared" si="391"/>
        <v>0</v>
      </c>
      <c r="AJ267" s="401">
        <f t="shared" si="349"/>
        <v>0</v>
      </c>
      <c r="AK267" s="400">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1">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1">
        <f t="shared" si="328"/>
        <v>53430</v>
      </c>
      <c r="Y268" s="188">
        <f t="shared" si="403"/>
        <v>201992.22999999995</v>
      </c>
      <c r="Z268" s="384">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0">
        <f t="shared" si="391"/>
        <v>0</v>
      </c>
      <c r="AJ268" s="400">
        <f t="shared" si="349"/>
        <v>0</v>
      </c>
      <c r="AK268" s="400">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1">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1">
        <f t="shared" si="328"/>
        <v>53460</v>
      </c>
      <c r="Y269" s="188">
        <f t="shared" si="403"/>
        <v>200918.57999999996</v>
      </c>
      <c r="Z269" s="384">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0">
        <f t="shared" si="391"/>
        <v>0</v>
      </c>
      <c r="AJ269" s="400">
        <f t="shared" si="349"/>
        <v>0</v>
      </c>
      <c r="AK269" s="400">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1">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1">
        <f t="shared" si="328"/>
        <v>53490</v>
      </c>
      <c r="Y270" s="188">
        <f t="shared" si="403"/>
        <v>199837.31999999995</v>
      </c>
      <c r="Z270" s="384">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0">
        <f t="shared" si="391"/>
        <v>0</v>
      </c>
      <c r="AJ270" s="400">
        <f t="shared" si="349"/>
        <v>0</v>
      </c>
      <c r="AK270" s="400">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1">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1">
        <f t="shared" si="328"/>
        <v>53520</v>
      </c>
      <c r="Y271" s="188">
        <f t="shared" si="403"/>
        <v>198748.39999999994</v>
      </c>
      <c r="Z271" s="384">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0">
        <f t="shared" si="391"/>
        <v>0</v>
      </c>
      <c r="AJ271" s="400">
        <f t="shared" si="349"/>
        <v>0</v>
      </c>
      <c r="AK271" s="400">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1">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1">
        <f t="shared" si="328"/>
        <v>53550</v>
      </c>
      <c r="Y272" s="188">
        <f t="shared" si="403"/>
        <v>197651.76999999993</v>
      </c>
      <c r="Z272" s="384">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0">
        <f t="shared" si="391"/>
        <v>0</v>
      </c>
      <c r="AJ272" s="400">
        <f t="shared" si="349"/>
        <v>0</v>
      </c>
      <c r="AK272" s="400">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1">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1">
        <f t="shared" ref="X273:X336" si="436">+A273</f>
        <v>53580</v>
      </c>
      <c r="Y273" s="188">
        <f t="shared" si="403"/>
        <v>196547.36999999994</v>
      </c>
      <c r="Z273" s="384">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0">
        <f t="shared" si="391"/>
        <v>0</v>
      </c>
      <c r="AJ273" s="400">
        <f t="shared" si="349"/>
        <v>0</v>
      </c>
      <c r="AK273" s="400">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1">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1">
        <f t="shared" si="436"/>
        <v>53610</v>
      </c>
      <c r="Y274" s="188">
        <f t="shared" si="403"/>
        <v>195435.14999999994</v>
      </c>
      <c r="Z274" s="384">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0">
        <f t="shared" si="391"/>
        <v>0</v>
      </c>
      <c r="AJ274" s="400">
        <f t="shared" si="349"/>
        <v>0</v>
      </c>
      <c r="AK274" s="400">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1">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1">
        <f t="shared" si="436"/>
        <v>53640</v>
      </c>
      <c r="Y275" s="188">
        <f t="shared" si="403"/>
        <v>194315.04999999993</v>
      </c>
      <c r="Z275" s="384">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0">
        <f t="shared" si="391"/>
        <v>0</v>
      </c>
      <c r="AJ275" s="400">
        <f t="shared" si="349"/>
        <v>0</v>
      </c>
      <c r="AK275" s="400">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1">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1">
        <f t="shared" si="436"/>
        <v>53670</v>
      </c>
      <c r="Y276" s="188">
        <f t="shared" si="403"/>
        <v>193187.01999999993</v>
      </c>
      <c r="Z276" s="384">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0">
        <f t="shared" si="391"/>
        <v>0</v>
      </c>
      <c r="AJ276" s="400">
        <f t="shared" si="349"/>
        <v>0</v>
      </c>
      <c r="AK276" s="400">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1">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1">
        <f t="shared" si="436"/>
        <v>53700</v>
      </c>
      <c r="Y277" s="188">
        <f t="shared" si="403"/>
        <v>192050.99999999994</v>
      </c>
      <c r="Z277" s="384">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0">
        <f t="shared" si="391"/>
        <v>0</v>
      </c>
      <c r="AJ277" s="400">
        <f t="shared" si="349"/>
        <v>0</v>
      </c>
      <c r="AK277" s="400">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1">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1">
        <f t="shared" si="436"/>
        <v>53730</v>
      </c>
      <c r="Y278" s="188">
        <f t="shared" si="403"/>
        <v>190906.92999999993</v>
      </c>
      <c r="Z278" s="384">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0">
        <f t="shared" si="391"/>
        <v>0</v>
      </c>
      <c r="AJ278" s="400">
        <f t="shared" si="349"/>
        <v>0</v>
      </c>
      <c r="AK278" s="400">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4">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4">
        <f t="shared" si="436"/>
        <v>53760</v>
      </c>
      <c r="Y279" s="236">
        <f t="shared" si="403"/>
        <v>189754.75999999992</v>
      </c>
      <c r="Z279" s="385">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1">
        <f t="shared" si="391"/>
        <v>0</v>
      </c>
      <c r="AJ279" s="401">
        <f t="shared" si="349"/>
        <v>0</v>
      </c>
      <c r="AK279" s="400">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1">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1">
        <f t="shared" si="436"/>
        <v>53790</v>
      </c>
      <c r="Y280" s="188">
        <f t="shared" si="403"/>
        <v>188594.42999999993</v>
      </c>
      <c r="Z280" s="384">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0">
        <f t="shared" si="391"/>
        <v>0</v>
      </c>
      <c r="AJ280" s="400">
        <f t="shared" si="349"/>
        <v>0</v>
      </c>
      <c r="AK280" s="400">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1">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1">
        <f t="shared" si="436"/>
        <v>53820</v>
      </c>
      <c r="Y281" s="188">
        <f t="shared" si="403"/>
        <v>187425.87999999995</v>
      </c>
      <c r="Z281" s="384">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0">
        <f t="shared" si="391"/>
        <v>0</v>
      </c>
      <c r="AJ281" s="400">
        <f t="shared" si="349"/>
        <v>0</v>
      </c>
      <c r="AK281" s="400">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1">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1">
        <f t="shared" si="436"/>
        <v>53850</v>
      </c>
      <c r="Y282" s="188">
        <f t="shared" si="403"/>
        <v>186249.04999999996</v>
      </c>
      <c r="Z282" s="384">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0">
        <f t="shared" si="391"/>
        <v>0</v>
      </c>
      <c r="AJ282" s="400">
        <f t="shared" si="349"/>
        <v>0</v>
      </c>
      <c r="AK282" s="400">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1">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1">
        <f t="shared" si="436"/>
        <v>53880</v>
      </c>
      <c r="Y283" s="188">
        <f t="shared" si="403"/>
        <v>185063.87999999995</v>
      </c>
      <c r="Z283" s="384">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0">
        <f t="shared" si="391"/>
        <v>0</v>
      </c>
      <c r="AJ283" s="400">
        <f t="shared" si="349"/>
        <v>0</v>
      </c>
      <c r="AK283" s="400">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1">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1">
        <f t="shared" si="436"/>
        <v>53910</v>
      </c>
      <c r="Y284" s="188">
        <f t="shared" si="403"/>
        <v>183870.31999999995</v>
      </c>
      <c r="Z284" s="384">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0">
        <f t="shared" si="391"/>
        <v>0</v>
      </c>
      <c r="AJ284" s="400">
        <f t="shared" ref="AJ284:AJ347" si="457">+W284-AL284</f>
        <v>0</v>
      </c>
      <c r="AK284" s="400">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1">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1">
        <f t="shared" si="436"/>
        <v>53940</v>
      </c>
      <c r="Y285" s="188">
        <f t="shared" si="403"/>
        <v>182668.29999999996</v>
      </c>
      <c r="Z285" s="384">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0">
        <f t="shared" si="391"/>
        <v>0</v>
      </c>
      <c r="AJ285" s="400">
        <f t="shared" si="457"/>
        <v>0</v>
      </c>
      <c r="AK285" s="400">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1">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1">
        <f t="shared" si="436"/>
        <v>53970</v>
      </c>
      <c r="Y286" s="188">
        <f t="shared" si="403"/>
        <v>181457.76999999996</v>
      </c>
      <c r="Z286" s="384">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0">
        <f t="shared" si="391"/>
        <v>0</v>
      </c>
      <c r="AJ286" s="400">
        <f t="shared" si="457"/>
        <v>0</v>
      </c>
      <c r="AK286" s="400">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1">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1">
        <f t="shared" si="436"/>
        <v>54000</v>
      </c>
      <c r="Y287" s="188">
        <f t="shared" si="403"/>
        <v>180238.66999999995</v>
      </c>
      <c r="Z287" s="384">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0">
        <f t="shared" si="391"/>
        <v>0</v>
      </c>
      <c r="AJ287" s="400">
        <f t="shared" si="457"/>
        <v>0</v>
      </c>
      <c r="AK287" s="400">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1">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1">
        <f t="shared" si="436"/>
        <v>54030</v>
      </c>
      <c r="Y288" s="188">
        <f t="shared" si="403"/>
        <v>179010.92999999996</v>
      </c>
      <c r="Z288" s="384">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0">
        <f t="shared" si="391"/>
        <v>0</v>
      </c>
      <c r="AJ288" s="400">
        <f t="shared" si="457"/>
        <v>0</v>
      </c>
      <c r="AK288" s="400">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1">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1">
        <f t="shared" si="436"/>
        <v>54060</v>
      </c>
      <c r="Y289" s="188">
        <f t="shared" si="403"/>
        <v>177774.48999999996</v>
      </c>
      <c r="Z289" s="384">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0">
        <f t="shared" si="391"/>
        <v>0</v>
      </c>
      <c r="AJ289" s="400">
        <f t="shared" si="457"/>
        <v>0</v>
      </c>
      <c r="AK289" s="400">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1">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1">
        <f t="shared" si="436"/>
        <v>54090</v>
      </c>
      <c r="Y290" s="188">
        <f t="shared" si="403"/>
        <v>176529.29999999996</v>
      </c>
      <c r="Z290" s="384">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0">
        <f t="shared" si="391"/>
        <v>0</v>
      </c>
      <c r="AJ290" s="400">
        <f t="shared" si="457"/>
        <v>0</v>
      </c>
      <c r="AK290" s="400">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4">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4">
        <f t="shared" si="436"/>
        <v>54120</v>
      </c>
      <c r="Y291" s="236">
        <f t="shared" si="403"/>
        <v>175275.28999999995</v>
      </c>
      <c r="Z291" s="385">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1">
        <f t="shared" si="391"/>
        <v>0</v>
      </c>
      <c r="AJ291" s="401">
        <f t="shared" si="457"/>
        <v>0</v>
      </c>
      <c r="AK291" s="400">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1">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1">
        <f t="shared" si="436"/>
        <v>54150</v>
      </c>
      <c r="Y292" s="188">
        <f t="shared" si="403"/>
        <v>174012.38999999996</v>
      </c>
      <c r="Z292" s="384">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0">
        <f t="shared" si="391"/>
        <v>0</v>
      </c>
      <c r="AJ292" s="400">
        <f t="shared" si="457"/>
        <v>0</v>
      </c>
      <c r="AK292" s="400">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1">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1">
        <f t="shared" si="436"/>
        <v>54180</v>
      </c>
      <c r="Y293" s="188">
        <f t="shared" si="403"/>
        <v>172740.54999999996</v>
      </c>
      <c r="Z293" s="384">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0">
        <f t="shared" si="391"/>
        <v>0</v>
      </c>
      <c r="AJ293" s="400">
        <f t="shared" si="457"/>
        <v>0</v>
      </c>
      <c r="AK293" s="400">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1">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1">
        <f t="shared" si="436"/>
        <v>54210</v>
      </c>
      <c r="Y294" s="188">
        <f t="shared" si="403"/>
        <v>171459.69999999995</v>
      </c>
      <c r="Z294" s="384">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0">
        <f t="shared" si="391"/>
        <v>0</v>
      </c>
      <c r="AJ294" s="400">
        <f t="shared" si="457"/>
        <v>0</v>
      </c>
      <c r="AK294" s="400">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1">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1">
        <f t="shared" si="436"/>
        <v>54240</v>
      </c>
      <c r="Y295" s="188">
        <f t="shared" si="403"/>
        <v>170169.77999999994</v>
      </c>
      <c r="Z295" s="384">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0">
        <f t="shared" si="391"/>
        <v>0</v>
      </c>
      <c r="AJ295" s="400">
        <f t="shared" si="457"/>
        <v>0</v>
      </c>
      <c r="AK295" s="400">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1">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1">
        <f t="shared" si="436"/>
        <v>54270</v>
      </c>
      <c r="Y296" s="188">
        <f t="shared" si="403"/>
        <v>168870.71999999994</v>
      </c>
      <c r="Z296" s="384">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0">
        <f t="shared" si="391"/>
        <v>0</v>
      </c>
      <c r="AJ296" s="400">
        <f t="shared" si="457"/>
        <v>0</v>
      </c>
      <c r="AK296" s="400">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1">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1">
        <f t="shared" si="436"/>
        <v>54300</v>
      </c>
      <c r="Y297" s="188">
        <f t="shared" si="403"/>
        <v>167562.45999999993</v>
      </c>
      <c r="Z297" s="384">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0">
        <f t="shared" si="391"/>
        <v>0</v>
      </c>
      <c r="AJ297" s="400">
        <f t="shared" si="457"/>
        <v>0</v>
      </c>
      <c r="AK297" s="400">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1">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1">
        <f t="shared" si="436"/>
        <v>54330</v>
      </c>
      <c r="Y298" s="188">
        <f t="shared" si="403"/>
        <v>166244.92999999993</v>
      </c>
      <c r="Z298" s="384">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0">
        <f t="shared" si="391"/>
        <v>0</v>
      </c>
      <c r="AJ298" s="400">
        <f t="shared" si="457"/>
        <v>0</v>
      </c>
      <c r="AK298" s="400">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1">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1">
        <f t="shared" si="436"/>
        <v>54360</v>
      </c>
      <c r="Y299" s="188">
        <f t="shared" si="403"/>
        <v>164918.06999999995</v>
      </c>
      <c r="Z299" s="384">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0">
        <f t="shared" si="391"/>
        <v>0</v>
      </c>
      <c r="AJ299" s="400">
        <f t="shared" si="457"/>
        <v>0</v>
      </c>
      <c r="AK299" s="400">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1">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1">
        <f t="shared" si="436"/>
        <v>54390</v>
      </c>
      <c r="Y300" s="188">
        <f t="shared" si="403"/>
        <v>163581.80999999994</v>
      </c>
      <c r="Z300" s="384">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0">
        <f t="shared" si="391"/>
        <v>0</v>
      </c>
      <c r="AJ300" s="400">
        <f t="shared" si="457"/>
        <v>0</v>
      </c>
      <c r="AK300" s="400">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1">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1">
        <f t="shared" si="436"/>
        <v>54420</v>
      </c>
      <c r="Y301" s="188">
        <f t="shared" si="403"/>
        <v>162236.07999999993</v>
      </c>
      <c r="Z301" s="384">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0">
        <f t="shared" si="391"/>
        <v>0</v>
      </c>
      <c r="AJ301" s="400">
        <f t="shared" si="457"/>
        <v>0</v>
      </c>
      <c r="AK301" s="400">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1">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1">
        <f t="shared" si="436"/>
        <v>54450</v>
      </c>
      <c r="Y302" s="188">
        <f t="shared" si="403"/>
        <v>160880.81999999992</v>
      </c>
      <c r="Z302" s="384">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0">
        <f t="shared" si="391"/>
        <v>0</v>
      </c>
      <c r="AJ302" s="400">
        <f t="shared" si="457"/>
        <v>0</v>
      </c>
      <c r="AK302" s="400">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4">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4">
        <f t="shared" si="436"/>
        <v>54480</v>
      </c>
      <c r="Y303" s="236">
        <f t="shared" si="403"/>
        <v>159515.95999999993</v>
      </c>
      <c r="Z303" s="385">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1">
        <f t="shared" si="391"/>
        <v>0</v>
      </c>
      <c r="AJ303" s="401">
        <f t="shared" si="457"/>
        <v>0</v>
      </c>
      <c r="AK303" s="400">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1">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1">
        <f t="shared" si="436"/>
        <v>54510</v>
      </c>
      <c r="Y304" s="188">
        <f t="shared" si="403"/>
        <v>158141.42999999993</v>
      </c>
      <c r="Z304" s="384">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0">
        <f t="shared" si="391"/>
        <v>0</v>
      </c>
      <c r="AJ304" s="400">
        <f t="shared" si="457"/>
        <v>0</v>
      </c>
      <c r="AK304" s="400">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1">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1">
        <f t="shared" si="436"/>
        <v>54540</v>
      </c>
      <c r="Y305" s="188">
        <f t="shared" si="403"/>
        <v>156757.16999999993</v>
      </c>
      <c r="Z305" s="384">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0">
        <f t="shared" si="391"/>
        <v>0</v>
      </c>
      <c r="AJ305" s="400">
        <f t="shared" si="457"/>
        <v>0</v>
      </c>
      <c r="AK305" s="400">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1">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1">
        <f t="shared" si="436"/>
        <v>54570</v>
      </c>
      <c r="Y306" s="188">
        <f t="shared" si="403"/>
        <v>155363.09999999992</v>
      </c>
      <c r="Z306" s="384">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0">
        <f t="shared" si="391"/>
        <v>0</v>
      </c>
      <c r="AJ306" s="400">
        <f t="shared" si="457"/>
        <v>0</v>
      </c>
      <c r="AK306" s="400">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1">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1">
        <f t="shared" si="436"/>
        <v>54600</v>
      </c>
      <c r="Y307" s="188">
        <f t="shared" si="403"/>
        <v>153959.15999999992</v>
      </c>
      <c r="Z307" s="384">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0">
        <f t="shared" si="391"/>
        <v>0</v>
      </c>
      <c r="AJ307" s="400">
        <f t="shared" si="457"/>
        <v>0</v>
      </c>
      <c r="AK307" s="400">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1">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1">
        <f t="shared" si="436"/>
        <v>54630</v>
      </c>
      <c r="Y308" s="188">
        <f t="shared" si="403"/>
        <v>152545.2699999999</v>
      </c>
      <c r="Z308" s="384">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0">
        <f t="shared" si="391"/>
        <v>0</v>
      </c>
      <c r="AJ308" s="400">
        <f t="shared" si="457"/>
        <v>0</v>
      </c>
      <c r="AK308" s="400">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1">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1">
        <f t="shared" si="436"/>
        <v>54660</v>
      </c>
      <c r="Y309" s="188">
        <f t="shared" si="403"/>
        <v>151121.36999999991</v>
      </c>
      <c r="Z309" s="384">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0">
        <f t="shared" si="391"/>
        <v>0</v>
      </c>
      <c r="AJ309" s="400">
        <f t="shared" si="457"/>
        <v>0</v>
      </c>
      <c r="AK309" s="400">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1">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1">
        <f t="shared" si="436"/>
        <v>54690</v>
      </c>
      <c r="Y310" s="188">
        <f t="shared" si="403"/>
        <v>149687.37999999992</v>
      </c>
      <c r="Z310" s="384">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0">
        <f t="shared" si="391"/>
        <v>0</v>
      </c>
      <c r="AJ310" s="400">
        <f t="shared" si="457"/>
        <v>0</v>
      </c>
      <c r="AK310" s="400">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1">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1">
        <f t="shared" si="436"/>
        <v>54720</v>
      </c>
      <c r="Y311" s="188">
        <f t="shared" si="403"/>
        <v>148243.2399999999</v>
      </c>
      <c r="Z311" s="384">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0">
        <f t="shared" si="391"/>
        <v>0</v>
      </c>
      <c r="AJ311" s="400">
        <f t="shared" si="457"/>
        <v>0</v>
      </c>
      <c r="AK311" s="400">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1">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1">
        <f t="shared" si="436"/>
        <v>54750</v>
      </c>
      <c r="Y312" s="188">
        <f t="shared" si="403"/>
        <v>146788.86999999991</v>
      </c>
      <c r="Z312" s="384">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0">
        <f t="shared" si="391"/>
        <v>0</v>
      </c>
      <c r="AJ312" s="400">
        <f t="shared" si="457"/>
        <v>0</v>
      </c>
      <c r="AK312" s="400">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1">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1">
        <f t="shared" si="436"/>
        <v>54780</v>
      </c>
      <c r="Y313" s="188">
        <f t="shared" si="403"/>
        <v>145324.18999999992</v>
      </c>
      <c r="Z313" s="384">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0">
        <f t="shared" si="391"/>
        <v>0</v>
      </c>
      <c r="AJ313" s="400">
        <f t="shared" si="457"/>
        <v>0</v>
      </c>
      <c r="AK313" s="400">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1">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1">
        <f t="shared" si="436"/>
        <v>54810</v>
      </c>
      <c r="Y314" s="188">
        <f t="shared" si="403"/>
        <v>143849.13999999993</v>
      </c>
      <c r="Z314" s="384">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0">
        <f t="shared" si="391"/>
        <v>0</v>
      </c>
      <c r="AJ314" s="400">
        <f t="shared" si="457"/>
        <v>0</v>
      </c>
      <c r="AK314" s="400">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4">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4">
        <f t="shared" si="436"/>
        <v>54840</v>
      </c>
      <c r="Y315" s="236">
        <f t="shared" si="403"/>
        <v>142363.63999999993</v>
      </c>
      <c r="Z315" s="385">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1">
        <f t="shared" si="391"/>
        <v>0</v>
      </c>
      <c r="AJ315" s="401">
        <f t="shared" si="457"/>
        <v>0</v>
      </c>
      <c r="AK315" s="400">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1">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1">
        <f t="shared" si="436"/>
        <v>54870</v>
      </c>
      <c r="Y316" s="188">
        <f t="shared" si="403"/>
        <v>140867.61999999994</v>
      </c>
      <c r="Z316" s="384">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0">
        <f t="shared" si="391"/>
        <v>0</v>
      </c>
      <c r="AJ316" s="400">
        <f t="shared" si="457"/>
        <v>0</v>
      </c>
      <c r="AK316" s="400">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1">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1">
        <f t="shared" si="436"/>
        <v>54900</v>
      </c>
      <c r="Y317" s="188">
        <f t="shared" si="403"/>
        <v>139360.99999999994</v>
      </c>
      <c r="Z317" s="384">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0">
        <f t="shared" ref="AI317:AI380" si="504">O317-AA317+AI316</f>
        <v>0</v>
      </c>
      <c r="AJ317" s="400">
        <f t="shared" si="457"/>
        <v>0</v>
      </c>
      <c r="AK317" s="400">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1">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1">
        <f t="shared" si="436"/>
        <v>54930</v>
      </c>
      <c r="Y318" s="188">
        <f t="shared" si="403"/>
        <v>137843.70999999993</v>
      </c>
      <c r="Z318" s="384">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0">
        <f t="shared" si="504"/>
        <v>0</v>
      </c>
      <c r="AJ318" s="400">
        <f t="shared" si="457"/>
        <v>0</v>
      </c>
      <c r="AK318" s="400">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1">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1">
        <f t="shared" si="436"/>
        <v>54960</v>
      </c>
      <c r="Y319" s="188">
        <f t="shared" ref="Y319:Y382" si="511">IF(+AL318&lt;0,0,+AL318)</f>
        <v>136315.66999999993</v>
      </c>
      <c r="Z319" s="384">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0">
        <f t="shared" si="504"/>
        <v>0</v>
      </c>
      <c r="AJ319" s="400">
        <f t="shared" si="457"/>
        <v>0</v>
      </c>
      <c r="AK319" s="400">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1">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1">
        <f t="shared" si="436"/>
        <v>54990</v>
      </c>
      <c r="Y320" s="188">
        <f t="shared" si="511"/>
        <v>134776.80999999994</v>
      </c>
      <c r="Z320" s="384">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0">
        <f t="shared" si="504"/>
        <v>0</v>
      </c>
      <c r="AJ320" s="400">
        <f t="shared" si="457"/>
        <v>0</v>
      </c>
      <c r="AK320" s="400">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1">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1">
        <f t="shared" si="436"/>
        <v>55020</v>
      </c>
      <c r="Y321" s="188">
        <f t="shared" si="511"/>
        <v>133227.04999999993</v>
      </c>
      <c r="Z321" s="384">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0">
        <f t="shared" si="504"/>
        <v>0</v>
      </c>
      <c r="AJ321" s="400">
        <f t="shared" si="457"/>
        <v>0</v>
      </c>
      <c r="AK321" s="400">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1">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1">
        <f t="shared" si="436"/>
        <v>55050</v>
      </c>
      <c r="Y322" s="188">
        <f t="shared" si="511"/>
        <v>131666.30999999994</v>
      </c>
      <c r="Z322" s="384">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0">
        <f t="shared" si="504"/>
        <v>0</v>
      </c>
      <c r="AJ322" s="400">
        <f t="shared" si="457"/>
        <v>0</v>
      </c>
      <c r="AK322" s="400">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1">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1">
        <f t="shared" si="436"/>
        <v>55080</v>
      </c>
      <c r="Y323" s="188">
        <f t="shared" si="511"/>
        <v>130094.51999999995</v>
      </c>
      <c r="Z323" s="384">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0">
        <f t="shared" si="504"/>
        <v>0</v>
      </c>
      <c r="AJ323" s="400">
        <f t="shared" si="457"/>
        <v>0</v>
      </c>
      <c r="AK323" s="400">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1">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1">
        <f t="shared" si="436"/>
        <v>55110</v>
      </c>
      <c r="Y324" s="188">
        <f t="shared" si="511"/>
        <v>128511.58999999995</v>
      </c>
      <c r="Z324" s="384">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0">
        <f t="shared" si="504"/>
        <v>0</v>
      </c>
      <c r="AJ324" s="400">
        <f t="shared" si="457"/>
        <v>0</v>
      </c>
      <c r="AK324" s="400">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1">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1">
        <f t="shared" si="436"/>
        <v>55140</v>
      </c>
      <c r="Y325" s="188">
        <f t="shared" si="511"/>
        <v>126917.44999999995</v>
      </c>
      <c r="Z325" s="384">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0">
        <f t="shared" si="504"/>
        <v>0</v>
      </c>
      <c r="AJ325" s="400">
        <f t="shared" si="457"/>
        <v>0</v>
      </c>
      <c r="AK325" s="400">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1">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1">
        <f t="shared" si="436"/>
        <v>55170</v>
      </c>
      <c r="Y326" s="188">
        <f t="shared" si="511"/>
        <v>125312.01999999996</v>
      </c>
      <c r="Z326" s="384">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0">
        <f t="shared" si="504"/>
        <v>0</v>
      </c>
      <c r="AJ326" s="400">
        <f t="shared" si="457"/>
        <v>0</v>
      </c>
      <c r="AK326" s="400">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4">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4">
        <f t="shared" si="436"/>
        <v>55200</v>
      </c>
      <c r="Y327" s="236">
        <f t="shared" si="511"/>
        <v>123695.21999999996</v>
      </c>
      <c r="Z327" s="385">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1">
        <f t="shared" si="504"/>
        <v>0</v>
      </c>
      <c r="AJ327" s="401">
        <f t="shared" si="457"/>
        <v>0</v>
      </c>
      <c r="AK327" s="400">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1">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1">
        <f t="shared" si="436"/>
        <v>55230</v>
      </c>
      <c r="Y328" s="188">
        <f t="shared" si="511"/>
        <v>122066.95999999996</v>
      </c>
      <c r="Z328" s="384">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0">
        <f t="shared" si="504"/>
        <v>0</v>
      </c>
      <c r="AJ328" s="400">
        <f t="shared" si="457"/>
        <v>0</v>
      </c>
      <c r="AK328" s="400">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1">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1">
        <f t="shared" si="436"/>
        <v>55260</v>
      </c>
      <c r="Y329" s="188">
        <f t="shared" si="511"/>
        <v>120427.16999999997</v>
      </c>
      <c r="Z329" s="384">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0">
        <f t="shared" si="504"/>
        <v>0</v>
      </c>
      <c r="AJ329" s="400">
        <f t="shared" si="457"/>
        <v>0</v>
      </c>
      <c r="AK329" s="400">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1">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1">
        <f t="shared" si="436"/>
        <v>55290</v>
      </c>
      <c r="Y330" s="188">
        <f t="shared" si="511"/>
        <v>118775.76999999997</v>
      </c>
      <c r="Z330" s="384">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0">
        <f t="shared" si="504"/>
        <v>0</v>
      </c>
      <c r="AJ330" s="400">
        <f t="shared" si="457"/>
        <v>0</v>
      </c>
      <c r="AK330" s="400">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1">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1">
        <f t="shared" si="436"/>
        <v>55320</v>
      </c>
      <c r="Y331" s="188">
        <f t="shared" si="511"/>
        <v>117112.66999999997</v>
      </c>
      <c r="Z331" s="384">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0">
        <f t="shared" si="504"/>
        <v>0</v>
      </c>
      <c r="AJ331" s="400">
        <f t="shared" si="457"/>
        <v>0</v>
      </c>
      <c r="AK331" s="400">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1">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1">
        <f t="shared" si="436"/>
        <v>55350</v>
      </c>
      <c r="Y332" s="188">
        <f t="shared" si="511"/>
        <v>115437.78999999996</v>
      </c>
      <c r="Z332" s="384">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0">
        <f t="shared" si="504"/>
        <v>0</v>
      </c>
      <c r="AJ332" s="400">
        <f t="shared" si="457"/>
        <v>0</v>
      </c>
      <c r="AK332" s="400">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1">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1">
        <f t="shared" si="436"/>
        <v>55380</v>
      </c>
      <c r="Y333" s="188">
        <f t="shared" si="511"/>
        <v>113751.03999999996</v>
      </c>
      <c r="Z333" s="384">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0">
        <f t="shared" si="504"/>
        <v>0</v>
      </c>
      <c r="AJ333" s="400">
        <f t="shared" si="457"/>
        <v>0</v>
      </c>
      <c r="AK333" s="400">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1">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1">
        <f t="shared" si="436"/>
        <v>55410</v>
      </c>
      <c r="Y334" s="188">
        <f t="shared" si="511"/>
        <v>112052.34999999996</v>
      </c>
      <c r="Z334" s="384">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0">
        <f t="shared" si="504"/>
        <v>0</v>
      </c>
      <c r="AJ334" s="400">
        <f t="shared" si="457"/>
        <v>0</v>
      </c>
      <c r="AK334" s="400">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1">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1">
        <f t="shared" si="436"/>
        <v>55440</v>
      </c>
      <c r="Y335" s="188">
        <f t="shared" si="511"/>
        <v>110341.61999999997</v>
      </c>
      <c r="Z335" s="384">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0">
        <f t="shared" si="504"/>
        <v>0</v>
      </c>
      <c r="AJ335" s="400">
        <f t="shared" si="457"/>
        <v>0</v>
      </c>
      <c r="AK335" s="400">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1">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1">
        <f t="shared" si="436"/>
        <v>55470</v>
      </c>
      <c r="Y336" s="188">
        <f t="shared" si="511"/>
        <v>108618.77999999997</v>
      </c>
      <c r="Z336" s="384">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0">
        <f t="shared" si="504"/>
        <v>0</v>
      </c>
      <c r="AJ336" s="400">
        <f t="shared" si="457"/>
        <v>0</v>
      </c>
      <c r="AK336" s="400">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1">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1">
        <f t="shared" ref="X337:X400" si="544">+A337</f>
        <v>55500</v>
      </c>
      <c r="Y337" s="188">
        <f t="shared" si="511"/>
        <v>106883.72999999997</v>
      </c>
      <c r="Z337" s="384">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0">
        <f t="shared" si="504"/>
        <v>0</v>
      </c>
      <c r="AJ337" s="400">
        <f t="shared" si="457"/>
        <v>0</v>
      </c>
      <c r="AK337" s="400">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1">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1">
        <f t="shared" si="544"/>
        <v>55530</v>
      </c>
      <c r="Y338" s="188">
        <f t="shared" si="511"/>
        <v>105136.38999999997</v>
      </c>
      <c r="Z338" s="384">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0">
        <f t="shared" si="504"/>
        <v>0</v>
      </c>
      <c r="AJ338" s="400">
        <f t="shared" si="457"/>
        <v>0</v>
      </c>
      <c r="AK338" s="400">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4">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4">
        <f t="shared" si="544"/>
        <v>55560</v>
      </c>
      <c r="Y339" s="236">
        <f t="shared" si="511"/>
        <v>103376.67999999996</v>
      </c>
      <c r="Z339" s="385">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1">
        <f t="shared" si="504"/>
        <v>0</v>
      </c>
      <c r="AJ339" s="401">
        <f t="shared" si="457"/>
        <v>0</v>
      </c>
      <c r="AK339" s="400">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1">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1">
        <f t="shared" si="544"/>
        <v>55590</v>
      </c>
      <c r="Y340" s="188">
        <f t="shared" si="511"/>
        <v>101604.49999999997</v>
      </c>
      <c r="Z340" s="384">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0">
        <f t="shared" si="504"/>
        <v>0</v>
      </c>
      <c r="AJ340" s="400">
        <f t="shared" si="457"/>
        <v>0</v>
      </c>
      <c r="AK340" s="400">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1">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1">
        <f t="shared" si="544"/>
        <v>55620</v>
      </c>
      <c r="Y341" s="188">
        <f t="shared" si="511"/>
        <v>99819.769999999975</v>
      </c>
      <c r="Z341" s="384">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0">
        <f t="shared" si="504"/>
        <v>0</v>
      </c>
      <c r="AJ341" s="400">
        <f t="shared" si="457"/>
        <v>0</v>
      </c>
      <c r="AK341" s="400">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1">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1">
        <f t="shared" si="544"/>
        <v>55650</v>
      </c>
      <c r="Y342" s="188">
        <f t="shared" si="511"/>
        <v>98022.39999999998</v>
      </c>
      <c r="Z342" s="384">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0">
        <f t="shared" si="504"/>
        <v>0</v>
      </c>
      <c r="AJ342" s="400">
        <f t="shared" si="457"/>
        <v>0</v>
      </c>
      <c r="AK342" s="400">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1">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1">
        <f t="shared" si="544"/>
        <v>55680</v>
      </c>
      <c r="Y343" s="188">
        <f t="shared" si="511"/>
        <v>96212.299999999974</v>
      </c>
      <c r="Z343" s="384">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0">
        <f t="shared" si="504"/>
        <v>0</v>
      </c>
      <c r="AJ343" s="400">
        <f t="shared" si="457"/>
        <v>0</v>
      </c>
      <c r="AK343" s="400">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1">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1">
        <f t="shared" si="544"/>
        <v>55710</v>
      </c>
      <c r="Y344" s="188">
        <f t="shared" si="511"/>
        <v>94389.369999999981</v>
      </c>
      <c r="Z344" s="384">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0">
        <f t="shared" si="504"/>
        <v>0</v>
      </c>
      <c r="AJ344" s="400">
        <f t="shared" si="457"/>
        <v>0</v>
      </c>
      <c r="AK344" s="400">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1">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1">
        <f t="shared" si="544"/>
        <v>55740</v>
      </c>
      <c r="Y345" s="188">
        <f t="shared" si="511"/>
        <v>92553.529999999984</v>
      </c>
      <c r="Z345" s="384">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0">
        <f t="shared" si="504"/>
        <v>0</v>
      </c>
      <c r="AJ345" s="400">
        <f t="shared" si="457"/>
        <v>0</v>
      </c>
      <c r="AK345" s="400">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1">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1">
        <f t="shared" si="544"/>
        <v>55770</v>
      </c>
      <c r="Y346" s="188">
        <f t="shared" si="511"/>
        <v>90704.689999999988</v>
      </c>
      <c r="Z346" s="384">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0">
        <f t="shared" si="504"/>
        <v>0</v>
      </c>
      <c r="AJ346" s="400">
        <f t="shared" si="457"/>
        <v>0</v>
      </c>
      <c r="AK346" s="400">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1">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1">
        <f t="shared" si="544"/>
        <v>55800</v>
      </c>
      <c r="Y347" s="188">
        <f t="shared" si="511"/>
        <v>88842.749999999985</v>
      </c>
      <c r="Z347" s="384">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0">
        <f t="shared" si="504"/>
        <v>0</v>
      </c>
      <c r="AJ347" s="400">
        <f t="shared" si="457"/>
        <v>0</v>
      </c>
      <c r="AK347" s="400">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1">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1">
        <f t="shared" si="544"/>
        <v>55830</v>
      </c>
      <c r="Y348" s="188">
        <f t="shared" si="511"/>
        <v>86967.619999999981</v>
      </c>
      <c r="Z348" s="384">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0">
        <f t="shared" si="504"/>
        <v>0</v>
      </c>
      <c r="AJ348" s="400">
        <f t="shared" ref="AJ348:AJ411" si="565">+W348-AL348</f>
        <v>0</v>
      </c>
      <c r="AK348" s="400">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1">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1">
        <f t="shared" si="544"/>
        <v>55860</v>
      </c>
      <c r="Y349" s="188">
        <f t="shared" si="511"/>
        <v>85079.209999999977</v>
      </c>
      <c r="Z349" s="384">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0">
        <f t="shared" si="504"/>
        <v>0</v>
      </c>
      <c r="AJ349" s="400">
        <f t="shared" si="565"/>
        <v>0</v>
      </c>
      <c r="AK349" s="400">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1">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1">
        <f t="shared" si="544"/>
        <v>55890</v>
      </c>
      <c r="Y350" s="188">
        <f t="shared" si="511"/>
        <v>83177.419999999984</v>
      </c>
      <c r="Z350" s="384">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0">
        <f t="shared" si="504"/>
        <v>0</v>
      </c>
      <c r="AJ350" s="400">
        <f t="shared" si="565"/>
        <v>0</v>
      </c>
      <c r="AK350" s="400">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4">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4">
        <f t="shared" si="544"/>
        <v>55920</v>
      </c>
      <c r="Y351" s="236">
        <f t="shared" si="511"/>
        <v>81262.159999999989</v>
      </c>
      <c r="Z351" s="385">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1">
        <f t="shared" si="504"/>
        <v>0</v>
      </c>
      <c r="AJ351" s="401">
        <f t="shared" si="565"/>
        <v>0</v>
      </c>
      <c r="AK351" s="400">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1">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1">
        <f t="shared" si="544"/>
        <v>55950</v>
      </c>
      <c r="Y352" s="188">
        <f t="shared" si="511"/>
        <v>79333.34</v>
      </c>
      <c r="Z352" s="384">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0">
        <f t="shared" si="504"/>
        <v>0</v>
      </c>
      <c r="AJ352" s="400">
        <f t="shared" si="565"/>
        <v>0</v>
      </c>
      <c r="AK352" s="400">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1">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1">
        <f t="shared" si="544"/>
        <v>55980</v>
      </c>
      <c r="Y353" s="188">
        <f t="shared" si="511"/>
        <v>77390.849999999991</v>
      </c>
      <c r="Z353" s="384">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0">
        <f t="shared" si="504"/>
        <v>0</v>
      </c>
      <c r="AJ353" s="400">
        <f t="shared" si="565"/>
        <v>0</v>
      </c>
      <c r="AK353" s="400">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1">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1">
        <f t="shared" si="544"/>
        <v>56010</v>
      </c>
      <c r="Y354" s="188">
        <f t="shared" si="511"/>
        <v>75434.609999999986</v>
      </c>
      <c r="Z354" s="384">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0">
        <f t="shared" si="504"/>
        <v>0</v>
      </c>
      <c r="AJ354" s="400">
        <f t="shared" si="565"/>
        <v>0</v>
      </c>
      <c r="AK354" s="400">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1">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1">
        <f t="shared" si="544"/>
        <v>56040</v>
      </c>
      <c r="Y355" s="188">
        <f t="shared" si="511"/>
        <v>73464.50999999998</v>
      </c>
      <c r="Z355" s="384">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0">
        <f t="shared" si="504"/>
        <v>0</v>
      </c>
      <c r="AJ355" s="400">
        <f t="shared" si="565"/>
        <v>0</v>
      </c>
      <c r="AK355" s="400">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1">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1">
        <f t="shared" si="544"/>
        <v>56070</v>
      </c>
      <c r="Y356" s="188">
        <f t="shared" si="511"/>
        <v>71480.449999999983</v>
      </c>
      <c r="Z356" s="384">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0">
        <f t="shared" si="504"/>
        <v>0</v>
      </c>
      <c r="AJ356" s="400">
        <f t="shared" si="565"/>
        <v>0</v>
      </c>
      <c r="AK356" s="400">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1">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1">
        <f t="shared" si="544"/>
        <v>56100</v>
      </c>
      <c r="Y357" s="188">
        <f t="shared" si="511"/>
        <v>69482.339999999982</v>
      </c>
      <c r="Z357" s="384">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0">
        <f t="shared" si="504"/>
        <v>0</v>
      </c>
      <c r="AJ357" s="400">
        <f t="shared" si="565"/>
        <v>0</v>
      </c>
      <c r="AK357" s="400">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1">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1">
        <f t="shared" si="544"/>
        <v>56130</v>
      </c>
      <c r="Y358" s="188">
        <f t="shared" si="511"/>
        <v>67470.079999999987</v>
      </c>
      <c r="Z358" s="384">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0">
        <f t="shared" si="504"/>
        <v>0</v>
      </c>
      <c r="AJ358" s="400">
        <f t="shared" si="565"/>
        <v>0</v>
      </c>
      <c r="AK358" s="400">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1">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1">
        <f t="shared" si="544"/>
        <v>56160</v>
      </c>
      <c r="Y359" s="188">
        <f t="shared" si="511"/>
        <v>65443.55999999999</v>
      </c>
      <c r="Z359" s="384">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0">
        <f t="shared" si="504"/>
        <v>0</v>
      </c>
      <c r="AJ359" s="400">
        <f t="shared" si="565"/>
        <v>0</v>
      </c>
      <c r="AK359" s="400">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1">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1">
        <f t="shared" si="544"/>
        <v>56190</v>
      </c>
      <c r="Y360" s="188">
        <f t="shared" si="511"/>
        <v>63402.689999999988</v>
      </c>
      <c r="Z360" s="384">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0">
        <f t="shared" si="504"/>
        <v>0</v>
      </c>
      <c r="AJ360" s="400">
        <f t="shared" si="565"/>
        <v>0</v>
      </c>
      <c r="AK360" s="400">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1">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1">
        <f t="shared" si="544"/>
        <v>56220</v>
      </c>
      <c r="Y361" s="188">
        <f t="shared" si="511"/>
        <v>61347.359999999986</v>
      </c>
      <c r="Z361" s="384">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0">
        <f t="shared" si="504"/>
        <v>0</v>
      </c>
      <c r="AJ361" s="400">
        <f t="shared" si="565"/>
        <v>0</v>
      </c>
      <c r="AK361" s="400">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1">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1">
        <f t="shared" si="544"/>
        <v>56250</v>
      </c>
      <c r="Y362" s="188">
        <f t="shared" si="511"/>
        <v>59277.469999999987</v>
      </c>
      <c r="Z362" s="384">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0">
        <f t="shared" si="504"/>
        <v>0</v>
      </c>
      <c r="AJ362" s="400">
        <f t="shared" si="565"/>
        <v>0</v>
      </c>
      <c r="AK362" s="400">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4">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4">
        <f t="shared" si="544"/>
        <v>56280</v>
      </c>
      <c r="Y363" s="236">
        <f t="shared" si="511"/>
        <v>57192.919999999984</v>
      </c>
      <c r="Z363" s="385">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1">
        <f t="shared" si="504"/>
        <v>0</v>
      </c>
      <c r="AJ363" s="401">
        <f t="shared" si="565"/>
        <v>0</v>
      </c>
      <c r="AK363" s="400">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1">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1">
        <f t="shared" si="544"/>
        <v>56310</v>
      </c>
      <c r="Y364" s="188">
        <f t="shared" si="511"/>
        <v>55093.609999999986</v>
      </c>
      <c r="Z364" s="384">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0">
        <f t="shared" si="504"/>
        <v>0</v>
      </c>
      <c r="AJ364" s="400">
        <f t="shared" si="565"/>
        <v>0</v>
      </c>
      <c r="AK364" s="400">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1">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1">
        <f t="shared" si="544"/>
        <v>56340</v>
      </c>
      <c r="Y365" s="188">
        <f t="shared" si="511"/>
        <v>52979.429999999986</v>
      </c>
      <c r="Z365" s="384">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0">
        <f t="shared" si="504"/>
        <v>0</v>
      </c>
      <c r="AJ365" s="400">
        <f t="shared" si="565"/>
        <v>0</v>
      </c>
      <c r="AK365" s="400">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1">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1">
        <f t="shared" si="544"/>
        <v>56370</v>
      </c>
      <c r="Y366" s="188">
        <f t="shared" si="511"/>
        <v>50850.26999999999</v>
      </c>
      <c r="Z366" s="384">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0">
        <f t="shared" si="504"/>
        <v>0</v>
      </c>
      <c r="AJ366" s="400">
        <f t="shared" si="565"/>
        <v>0</v>
      </c>
      <c r="AK366" s="400">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1">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1">
        <f t="shared" si="544"/>
        <v>56400</v>
      </c>
      <c r="Y367" s="188">
        <f t="shared" si="511"/>
        <v>48706.029999999992</v>
      </c>
      <c r="Z367" s="384">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0">
        <f t="shared" si="504"/>
        <v>0</v>
      </c>
      <c r="AJ367" s="400">
        <f t="shared" si="565"/>
        <v>0</v>
      </c>
      <c r="AK367" s="400">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1">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1">
        <f t="shared" si="544"/>
        <v>56430</v>
      </c>
      <c r="Y368" s="188">
        <f t="shared" si="511"/>
        <v>46546.599999999991</v>
      </c>
      <c r="Z368" s="384">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0">
        <f t="shared" si="504"/>
        <v>0</v>
      </c>
      <c r="AJ368" s="400">
        <f t="shared" si="565"/>
        <v>0</v>
      </c>
      <c r="AK368" s="400">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1">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1">
        <f t="shared" si="544"/>
        <v>56460</v>
      </c>
      <c r="Y369" s="188">
        <f t="shared" si="511"/>
        <v>44371.87999999999</v>
      </c>
      <c r="Z369" s="384">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0">
        <f t="shared" si="504"/>
        <v>0</v>
      </c>
      <c r="AJ369" s="400">
        <f t="shared" si="565"/>
        <v>0</v>
      </c>
      <c r="AK369" s="400">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1">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1">
        <f t="shared" si="544"/>
        <v>56490</v>
      </c>
      <c r="Y370" s="188">
        <f t="shared" si="511"/>
        <v>42181.749999999993</v>
      </c>
      <c r="Z370" s="384">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0">
        <f t="shared" si="504"/>
        <v>0</v>
      </c>
      <c r="AJ370" s="400">
        <f t="shared" si="565"/>
        <v>0</v>
      </c>
      <c r="AK370" s="400">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1">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1">
        <f t="shared" si="544"/>
        <v>56520</v>
      </c>
      <c r="Y371" s="188">
        <f t="shared" si="511"/>
        <v>39976.109999999993</v>
      </c>
      <c r="Z371" s="384">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0">
        <f t="shared" si="504"/>
        <v>0</v>
      </c>
      <c r="AJ371" s="400">
        <f t="shared" si="565"/>
        <v>0</v>
      </c>
      <c r="AK371" s="400">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1">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1">
        <f t="shared" si="544"/>
        <v>56550</v>
      </c>
      <c r="Y372" s="188">
        <f t="shared" si="511"/>
        <v>37754.839999999997</v>
      </c>
      <c r="Z372" s="384">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0">
        <f t="shared" si="504"/>
        <v>0</v>
      </c>
      <c r="AJ372" s="400">
        <f t="shared" si="565"/>
        <v>0</v>
      </c>
      <c r="AK372" s="400">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1">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1">
        <f t="shared" si="544"/>
        <v>56580</v>
      </c>
      <c r="Y373" s="188">
        <f t="shared" si="511"/>
        <v>35517.839999999997</v>
      </c>
      <c r="Z373" s="384">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0">
        <f t="shared" si="504"/>
        <v>0</v>
      </c>
      <c r="AJ373" s="400">
        <f t="shared" si="565"/>
        <v>0</v>
      </c>
      <c r="AK373" s="400">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1">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1">
        <f t="shared" si="544"/>
        <v>56610</v>
      </c>
      <c r="Y374" s="188">
        <f t="shared" si="511"/>
        <v>33264.99</v>
      </c>
      <c r="Z374" s="384">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0">
        <f t="shared" si="504"/>
        <v>0</v>
      </c>
      <c r="AJ374" s="400">
        <f t="shared" si="565"/>
        <v>0</v>
      </c>
      <c r="AK374" s="400">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4">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4">
        <f t="shared" si="544"/>
        <v>56640</v>
      </c>
      <c r="Y375" s="236">
        <f t="shared" si="511"/>
        <v>30996.19</v>
      </c>
      <c r="Z375" s="385">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1">
        <f t="shared" si="504"/>
        <v>0</v>
      </c>
      <c r="AJ375" s="401">
        <f t="shared" si="565"/>
        <v>0</v>
      </c>
      <c r="AK375" s="400">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1">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1">
        <f t="shared" si="544"/>
        <v>56670</v>
      </c>
      <c r="Y376" s="188">
        <f t="shared" si="511"/>
        <v>28711.32</v>
      </c>
      <c r="Z376" s="384">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0">
        <f t="shared" si="504"/>
        <v>0</v>
      </c>
      <c r="AJ376" s="400">
        <f t="shared" si="565"/>
        <v>0</v>
      </c>
      <c r="AK376" s="400">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1">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1">
        <f t="shared" si="544"/>
        <v>56700</v>
      </c>
      <c r="Y377" s="188">
        <f t="shared" si="511"/>
        <v>26410.26</v>
      </c>
      <c r="Z377" s="384">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0">
        <f t="shared" si="504"/>
        <v>0</v>
      </c>
      <c r="AJ377" s="400">
        <f t="shared" si="565"/>
        <v>0</v>
      </c>
      <c r="AK377" s="400">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1">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1">
        <f t="shared" si="544"/>
        <v>56730</v>
      </c>
      <c r="Y378" s="188">
        <f t="shared" si="511"/>
        <v>24092.899999999998</v>
      </c>
      <c r="Z378" s="384">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0">
        <f t="shared" si="504"/>
        <v>0</v>
      </c>
      <c r="AJ378" s="400">
        <f t="shared" si="565"/>
        <v>0</v>
      </c>
      <c r="AK378" s="400">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1">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1">
        <f t="shared" si="544"/>
        <v>56760</v>
      </c>
      <c r="Y379" s="188">
        <f t="shared" si="511"/>
        <v>21759.129999999997</v>
      </c>
      <c r="Z379" s="384">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0">
        <f t="shared" si="504"/>
        <v>0</v>
      </c>
      <c r="AJ379" s="400">
        <f t="shared" si="565"/>
        <v>0</v>
      </c>
      <c r="AK379" s="400">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1">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1">
        <f t="shared" si="544"/>
        <v>56790</v>
      </c>
      <c r="Y380" s="188">
        <f t="shared" si="511"/>
        <v>19408.829999999998</v>
      </c>
      <c r="Z380" s="384">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0">
        <f t="shared" si="504"/>
        <v>0</v>
      </c>
      <c r="AJ380" s="400">
        <f t="shared" si="565"/>
        <v>0</v>
      </c>
      <c r="AK380" s="400">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1">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1">
        <f t="shared" si="544"/>
        <v>56820</v>
      </c>
      <c r="Y381" s="188">
        <f t="shared" si="511"/>
        <v>17041.879999999997</v>
      </c>
      <c r="Z381" s="384">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0">
        <f t="shared" ref="AI381:AI444" si="613">O381-AA381+AI380</f>
        <v>0</v>
      </c>
      <c r="AJ381" s="400">
        <f t="shared" si="565"/>
        <v>0</v>
      </c>
      <c r="AK381" s="400">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1">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1">
        <f t="shared" si="544"/>
        <v>56850</v>
      </c>
      <c r="Y382" s="188">
        <f t="shared" si="511"/>
        <v>14658.159999999998</v>
      </c>
      <c r="Z382" s="384">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0">
        <f t="shared" si="613"/>
        <v>0</v>
      </c>
      <c r="AJ382" s="400">
        <f t="shared" si="565"/>
        <v>0</v>
      </c>
      <c r="AK382" s="400">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1">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1">
        <f t="shared" si="544"/>
        <v>56880</v>
      </c>
      <c r="Y383" s="188">
        <f t="shared" ref="Y383:Y446" si="620">IF(+AL382&lt;0,0,+AL382)</f>
        <v>12257.559999999998</v>
      </c>
      <c r="Z383" s="384">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0">
        <f t="shared" si="613"/>
        <v>0</v>
      </c>
      <c r="AJ383" s="400">
        <f t="shared" si="565"/>
        <v>0</v>
      </c>
      <c r="AK383" s="400">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1">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1">
        <f t="shared" si="544"/>
        <v>56910</v>
      </c>
      <c r="Y384" s="188">
        <f t="shared" si="620"/>
        <v>9839.9499999999971</v>
      </c>
      <c r="Z384" s="384">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0">
        <f t="shared" si="613"/>
        <v>0</v>
      </c>
      <c r="AJ384" s="400">
        <f t="shared" si="565"/>
        <v>0</v>
      </c>
      <c r="AK384" s="400">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1">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1">
        <f t="shared" si="544"/>
        <v>56940</v>
      </c>
      <c r="Y385" s="188">
        <f t="shared" si="620"/>
        <v>7405.2199999999975</v>
      </c>
      <c r="Z385" s="384">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0">
        <f t="shared" si="613"/>
        <v>0</v>
      </c>
      <c r="AJ385" s="400">
        <f t="shared" si="565"/>
        <v>0</v>
      </c>
      <c r="AK385" s="400">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1">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1">
        <f t="shared" si="544"/>
        <v>56970</v>
      </c>
      <c r="Y386" s="188">
        <f t="shared" si="620"/>
        <v>4953.239999999998</v>
      </c>
      <c r="Z386" s="384">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0">
        <f t="shared" si="613"/>
        <v>0</v>
      </c>
      <c r="AJ386" s="400">
        <f t="shared" si="565"/>
        <v>0</v>
      </c>
      <c r="AK386" s="400">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4">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4">
        <f t="shared" si="544"/>
        <v>57000</v>
      </c>
      <c r="Y387" s="236">
        <f t="shared" si="620"/>
        <v>2483.8999999999983</v>
      </c>
      <c r="Z387" s="385">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1">
        <f t="shared" si="613"/>
        <v>0</v>
      </c>
      <c r="AJ387" s="401">
        <f t="shared" si="565"/>
        <v>0</v>
      </c>
      <c r="AK387" s="400">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1">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1">
        <f t="shared" si="544"/>
        <v>57030</v>
      </c>
      <c r="Y388" s="188">
        <f t="shared" si="620"/>
        <v>0</v>
      </c>
      <c r="Z388" s="384">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0">
        <f t="shared" si="613"/>
        <v>0</v>
      </c>
      <c r="AJ388" s="400">
        <f t="shared" si="565"/>
        <v>0</v>
      </c>
      <c r="AK388" s="400">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1">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1">
        <f t="shared" si="544"/>
        <v>57060</v>
      </c>
      <c r="Y389" s="188">
        <f t="shared" si="620"/>
        <v>0</v>
      </c>
      <c r="Z389" s="384">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0">
        <f t="shared" si="613"/>
        <v>0</v>
      </c>
      <c r="AJ389" s="400">
        <f t="shared" si="565"/>
        <v>0</v>
      </c>
      <c r="AK389" s="400">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1">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1">
        <f t="shared" si="544"/>
        <v>57090</v>
      </c>
      <c r="Y390" s="188">
        <f t="shared" si="620"/>
        <v>0</v>
      </c>
      <c r="Z390" s="384">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0">
        <f t="shared" si="613"/>
        <v>0</v>
      </c>
      <c r="AJ390" s="400">
        <f t="shared" si="565"/>
        <v>0</v>
      </c>
      <c r="AK390" s="400">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1">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1">
        <f t="shared" si="544"/>
        <v>57120</v>
      </c>
      <c r="Y391" s="188">
        <f t="shared" si="620"/>
        <v>0</v>
      </c>
      <c r="Z391" s="384">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0">
        <f t="shared" si="613"/>
        <v>0</v>
      </c>
      <c r="AJ391" s="400">
        <f t="shared" si="565"/>
        <v>0</v>
      </c>
      <c r="AK391" s="400">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1">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1">
        <f t="shared" si="544"/>
        <v>57150</v>
      </c>
      <c r="Y392" s="188">
        <f t="shared" si="620"/>
        <v>0</v>
      </c>
      <c r="Z392" s="384">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0">
        <f t="shared" si="613"/>
        <v>0</v>
      </c>
      <c r="AJ392" s="400">
        <f t="shared" si="565"/>
        <v>0</v>
      </c>
      <c r="AK392" s="400">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1">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1">
        <f t="shared" si="544"/>
        <v>57180</v>
      </c>
      <c r="Y393" s="188">
        <f t="shared" si="620"/>
        <v>0</v>
      </c>
      <c r="Z393" s="384">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0">
        <f t="shared" si="613"/>
        <v>0</v>
      </c>
      <c r="AJ393" s="400">
        <f t="shared" si="565"/>
        <v>0</v>
      </c>
      <c r="AK393" s="400">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1">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1">
        <f t="shared" si="544"/>
        <v>57210</v>
      </c>
      <c r="Y394" s="188">
        <f t="shared" si="620"/>
        <v>0</v>
      </c>
      <c r="Z394" s="384">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0">
        <f t="shared" si="613"/>
        <v>0</v>
      </c>
      <c r="AJ394" s="400">
        <f t="shared" si="565"/>
        <v>0</v>
      </c>
      <c r="AK394" s="400">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1">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1">
        <f t="shared" si="544"/>
        <v>57240</v>
      </c>
      <c r="Y395" s="188">
        <f t="shared" si="620"/>
        <v>0</v>
      </c>
      <c r="Z395" s="384">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0">
        <f t="shared" si="613"/>
        <v>0</v>
      </c>
      <c r="AJ395" s="400">
        <f t="shared" si="565"/>
        <v>0</v>
      </c>
      <c r="AK395" s="400">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1">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1">
        <f t="shared" si="544"/>
        <v>57270</v>
      </c>
      <c r="Y396" s="188">
        <f t="shared" si="620"/>
        <v>0</v>
      </c>
      <c r="Z396" s="384">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0">
        <f t="shared" si="613"/>
        <v>0</v>
      </c>
      <c r="AJ396" s="400">
        <f t="shared" si="565"/>
        <v>0</v>
      </c>
      <c r="AK396" s="400">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1">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1">
        <f t="shared" si="544"/>
        <v>57300</v>
      </c>
      <c r="Y397" s="188">
        <f t="shared" si="620"/>
        <v>0</v>
      </c>
      <c r="Z397" s="384">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0">
        <f t="shared" si="613"/>
        <v>0</v>
      </c>
      <c r="AJ397" s="400">
        <f t="shared" si="565"/>
        <v>0</v>
      </c>
      <c r="AK397" s="400">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1">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1">
        <f t="shared" si="544"/>
        <v>57330</v>
      </c>
      <c r="Y398" s="188">
        <f t="shared" si="620"/>
        <v>0</v>
      </c>
      <c r="Z398" s="384">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0">
        <f t="shared" si="613"/>
        <v>0</v>
      </c>
      <c r="AJ398" s="400">
        <f t="shared" si="565"/>
        <v>0</v>
      </c>
      <c r="AK398" s="400">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4">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4">
        <f t="shared" si="544"/>
        <v>57360</v>
      </c>
      <c r="Y399" s="236">
        <f t="shared" si="620"/>
        <v>0</v>
      </c>
      <c r="Z399" s="385">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1">
        <f t="shared" si="613"/>
        <v>0</v>
      </c>
      <c r="AJ399" s="401">
        <f t="shared" si="565"/>
        <v>0</v>
      </c>
      <c r="AK399" s="400">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1">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1">
        <f t="shared" si="544"/>
        <v>57390</v>
      </c>
      <c r="Y400" s="188">
        <f t="shared" si="620"/>
        <v>0</v>
      </c>
      <c r="Z400" s="384">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0">
        <f t="shared" si="613"/>
        <v>0</v>
      </c>
      <c r="AJ400" s="400">
        <f t="shared" si="565"/>
        <v>0</v>
      </c>
      <c r="AK400" s="400">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1">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1">
        <f t="shared" ref="X401:X464" si="652">+A401</f>
        <v>57420</v>
      </c>
      <c r="Y401" s="188">
        <f t="shared" si="620"/>
        <v>0</v>
      </c>
      <c r="Z401" s="384">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0">
        <f t="shared" si="613"/>
        <v>0</v>
      </c>
      <c r="AJ401" s="400">
        <f t="shared" si="565"/>
        <v>0</v>
      </c>
      <c r="AK401" s="400">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1">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1">
        <f t="shared" si="652"/>
        <v>57450</v>
      </c>
      <c r="Y402" s="188">
        <f t="shared" si="620"/>
        <v>0</v>
      </c>
      <c r="Z402" s="384">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0">
        <f t="shared" si="613"/>
        <v>0</v>
      </c>
      <c r="AJ402" s="400">
        <f t="shared" si="565"/>
        <v>0</v>
      </c>
      <c r="AK402" s="400">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1">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1">
        <f t="shared" si="652"/>
        <v>57480</v>
      </c>
      <c r="Y403" s="188">
        <f t="shared" si="620"/>
        <v>0</v>
      </c>
      <c r="Z403" s="384">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0">
        <f t="shared" si="613"/>
        <v>0</v>
      </c>
      <c r="AJ403" s="400">
        <f t="shared" si="565"/>
        <v>0</v>
      </c>
      <c r="AK403" s="400">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1">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1">
        <f t="shared" si="652"/>
        <v>57510</v>
      </c>
      <c r="Y404" s="188">
        <f t="shared" si="620"/>
        <v>0</v>
      </c>
      <c r="Z404" s="384">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0">
        <f t="shared" si="613"/>
        <v>0</v>
      </c>
      <c r="AJ404" s="400">
        <f t="shared" si="565"/>
        <v>0</v>
      </c>
      <c r="AK404" s="400">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1">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1">
        <f t="shared" si="652"/>
        <v>57540</v>
      </c>
      <c r="Y405" s="188">
        <f t="shared" si="620"/>
        <v>0</v>
      </c>
      <c r="Z405" s="384">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0">
        <f t="shared" si="613"/>
        <v>0</v>
      </c>
      <c r="AJ405" s="400">
        <f t="shared" si="565"/>
        <v>0</v>
      </c>
      <c r="AK405" s="400">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1">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1">
        <f t="shared" si="652"/>
        <v>57570</v>
      </c>
      <c r="Y406" s="188">
        <f t="shared" si="620"/>
        <v>0</v>
      </c>
      <c r="Z406" s="384">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0">
        <f t="shared" si="613"/>
        <v>0</v>
      </c>
      <c r="AJ406" s="400">
        <f t="shared" si="565"/>
        <v>0</v>
      </c>
      <c r="AK406" s="400">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1">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1">
        <f t="shared" si="652"/>
        <v>57600</v>
      </c>
      <c r="Y407" s="188">
        <f t="shared" si="620"/>
        <v>0</v>
      </c>
      <c r="Z407" s="384">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0">
        <f t="shared" si="613"/>
        <v>0</v>
      </c>
      <c r="AJ407" s="400">
        <f t="shared" si="565"/>
        <v>0</v>
      </c>
      <c r="AK407" s="400">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1">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1">
        <f t="shared" si="652"/>
        <v>57630</v>
      </c>
      <c r="Y408" s="188">
        <f t="shared" si="620"/>
        <v>0</v>
      </c>
      <c r="Z408" s="384">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0">
        <f t="shared" si="613"/>
        <v>0</v>
      </c>
      <c r="AJ408" s="400">
        <f t="shared" si="565"/>
        <v>0</v>
      </c>
      <c r="AK408" s="400">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1">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1">
        <f t="shared" si="652"/>
        <v>57660</v>
      </c>
      <c r="Y409" s="188">
        <f t="shared" si="620"/>
        <v>0</v>
      </c>
      <c r="Z409" s="384">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0">
        <f t="shared" si="613"/>
        <v>0</v>
      </c>
      <c r="AJ409" s="400">
        <f t="shared" si="565"/>
        <v>0</v>
      </c>
      <c r="AK409" s="400">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1">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1">
        <f t="shared" si="652"/>
        <v>57690</v>
      </c>
      <c r="Y410" s="188">
        <f t="shared" si="620"/>
        <v>0</v>
      </c>
      <c r="Z410" s="384">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0">
        <f t="shared" si="613"/>
        <v>0</v>
      </c>
      <c r="AJ410" s="400">
        <f t="shared" si="565"/>
        <v>0</v>
      </c>
      <c r="AK410" s="400">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4">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4">
        <f t="shared" si="652"/>
        <v>57720</v>
      </c>
      <c r="Y411" s="236">
        <f t="shared" si="620"/>
        <v>0</v>
      </c>
      <c r="Z411" s="385">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1">
        <f t="shared" si="613"/>
        <v>0</v>
      </c>
      <c r="AJ411" s="401">
        <f t="shared" si="565"/>
        <v>0</v>
      </c>
      <c r="AK411" s="400">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1">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1">
        <f t="shared" si="652"/>
        <v>57750</v>
      </c>
      <c r="Y412" s="188">
        <f t="shared" si="620"/>
        <v>0</v>
      </c>
      <c r="Z412" s="384">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0">
        <f t="shared" si="613"/>
        <v>0</v>
      </c>
      <c r="AJ412" s="400">
        <f t="shared" ref="AJ412:AJ475" si="673">+W412-AL412</f>
        <v>0</v>
      </c>
      <c r="AK412" s="400">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1">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1">
        <f t="shared" si="652"/>
        <v>57780</v>
      </c>
      <c r="Y413" s="188">
        <f t="shared" si="620"/>
        <v>0</v>
      </c>
      <c r="Z413" s="384">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0">
        <f t="shared" si="613"/>
        <v>0</v>
      </c>
      <c r="AJ413" s="400">
        <f t="shared" si="673"/>
        <v>0</v>
      </c>
      <c r="AK413" s="400">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1">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1">
        <f t="shared" si="652"/>
        <v>57810</v>
      </c>
      <c r="Y414" s="188">
        <f t="shared" si="620"/>
        <v>0</v>
      </c>
      <c r="Z414" s="384">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0">
        <f t="shared" si="613"/>
        <v>0</v>
      </c>
      <c r="AJ414" s="400">
        <f t="shared" si="673"/>
        <v>0</v>
      </c>
      <c r="AK414" s="400">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1">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1">
        <f t="shared" si="652"/>
        <v>57840</v>
      </c>
      <c r="Y415" s="188">
        <f t="shared" si="620"/>
        <v>0</v>
      </c>
      <c r="Z415" s="384">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0">
        <f t="shared" si="613"/>
        <v>0</v>
      </c>
      <c r="AJ415" s="400">
        <f t="shared" si="673"/>
        <v>0</v>
      </c>
      <c r="AK415" s="400">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1">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1">
        <f t="shared" si="652"/>
        <v>57870</v>
      </c>
      <c r="Y416" s="188">
        <f t="shared" si="620"/>
        <v>0</v>
      </c>
      <c r="Z416" s="384">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0">
        <f t="shared" si="613"/>
        <v>0</v>
      </c>
      <c r="AJ416" s="400">
        <f t="shared" si="673"/>
        <v>0</v>
      </c>
      <c r="AK416" s="400">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1">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1">
        <f t="shared" si="652"/>
        <v>57900</v>
      </c>
      <c r="Y417" s="188">
        <f t="shared" si="620"/>
        <v>0</v>
      </c>
      <c r="Z417" s="384">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0">
        <f t="shared" si="613"/>
        <v>0</v>
      </c>
      <c r="AJ417" s="400">
        <f t="shared" si="673"/>
        <v>0</v>
      </c>
      <c r="AK417" s="400">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1">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1">
        <f t="shared" si="652"/>
        <v>57930</v>
      </c>
      <c r="Y418" s="188">
        <f t="shared" si="620"/>
        <v>0</v>
      </c>
      <c r="Z418" s="384">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0">
        <f t="shared" si="613"/>
        <v>0</v>
      </c>
      <c r="AJ418" s="400">
        <f t="shared" si="673"/>
        <v>0</v>
      </c>
      <c r="AK418" s="400">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1">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1">
        <f t="shared" si="652"/>
        <v>57960</v>
      </c>
      <c r="Y419" s="188">
        <f t="shared" si="620"/>
        <v>0</v>
      </c>
      <c r="Z419" s="384">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0">
        <f t="shared" si="613"/>
        <v>0</v>
      </c>
      <c r="AJ419" s="400">
        <f t="shared" si="673"/>
        <v>0</v>
      </c>
      <c r="AK419" s="400">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1">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1">
        <f t="shared" si="652"/>
        <v>57990</v>
      </c>
      <c r="Y420" s="188">
        <f t="shared" si="620"/>
        <v>0</v>
      </c>
      <c r="Z420" s="384">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0">
        <f t="shared" si="613"/>
        <v>0</v>
      </c>
      <c r="AJ420" s="400">
        <f t="shared" si="673"/>
        <v>0</v>
      </c>
      <c r="AK420" s="400">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1">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1">
        <f t="shared" si="652"/>
        <v>58020</v>
      </c>
      <c r="Y421" s="188">
        <f t="shared" si="620"/>
        <v>0</v>
      </c>
      <c r="Z421" s="384">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0">
        <f t="shared" si="613"/>
        <v>0</v>
      </c>
      <c r="AJ421" s="400">
        <f t="shared" si="673"/>
        <v>0</v>
      </c>
      <c r="AK421" s="400">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1">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1">
        <f t="shared" si="652"/>
        <v>58050</v>
      </c>
      <c r="Y422" s="188">
        <f t="shared" si="620"/>
        <v>0</v>
      </c>
      <c r="Z422" s="384">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0">
        <f t="shared" si="613"/>
        <v>0</v>
      </c>
      <c r="AJ422" s="400">
        <f t="shared" si="673"/>
        <v>0</v>
      </c>
      <c r="AK422" s="400">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4">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4">
        <f t="shared" si="652"/>
        <v>58080</v>
      </c>
      <c r="Y423" s="236">
        <f t="shared" si="620"/>
        <v>0</v>
      </c>
      <c r="Z423" s="385">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1">
        <f t="shared" si="613"/>
        <v>0</v>
      </c>
      <c r="AJ423" s="401">
        <f t="shared" si="673"/>
        <v>0</v>
      </c>
      <c r="AK423" s="400">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1">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1">
        <f t="shared" si="652"/>
        <v>58110</v>
      </c>
      <c r="Y424" s="188">
        <f t="shared" si="620"/>
        <v>0</v>
      </c>
      <c r="Z424" s="384">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0">
        <f t="shared" si="613"/>
        <v>0</v>
      </c>
      <c r="AJ424" s="400">
        <f t="shared" si="673"/>
        <v>0</v>
      </c>
      <c r="AK424" s="400">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1">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1">
        <f t="shared" si="652"/>
        <v>58140</v>
      </c>
      <c r="Y425" s="188">
        <f t="shared" si="620"/>
        <v>0</v>
      </c>
      <c r="Z425" s="384">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0">
        <f t="shared" si="613"/>
        <v>0</v>
      </c>
      <c r="AJ425" s="400">
        <f t="shared" si="673"/>
        <v>0</v>
      </c>
      <c r="AK425" s="400">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1">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1">
        <f t="shared" si="652"/>
        <v>58170</v>
      </c>
      <c r="Y426" s="188">
        <f t="shared" si="620"/>
        <v>0</v>
      </c>
      <c r="Z426" s="384">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0">
        <f t="shared" si="613"/>
        <v>0</v>
      </c>
      <c r="AJ426" s="400">
        <f t="shared" si="673"/>
        <v>0</v>
      </c>
      <c r="AK426" s="400">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1">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1">
        <f t="shared" si="652"/>
        <v>58200</v>
      </c>
      <c r="Y427" s="188">
        <f t="shared" si="620"/>
        <v>0</v>
      </c>
      <c r="Z427" s="384">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0">
        <f t="shared" si="613"/>
        <v>0</v>
      </c>
      <c r="AJ427" s="400">
        <f t="shared" si="673"/>
        <v>0</v>
      </c>
      <c r="AK427" s="400">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1">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1">
        <f t="shared" si="652"/>
        <v>58230</v>
      </c>
      <c r="Y428" s="188">
        <f t="shared" si="620"/>
        <v>0</v>
      </c>
      <c r="Z428" s="384">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0">
        <f t="shared" si="613"/>
        <v>0</v>
      </c>
      <c r="AJ428" s="400">
        <f t="shared" si="673"/>
        <v>0</v>
      </c>
      <c r="AK428" s="400">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1">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1">
        <f t="shared" si="652"/>
        <v>58260</v>
      </c>
      <c r="Y429" s="188">
        <f t="shared" si="620"/>
        <v>0</v>
      </c>
      <c r="Z429" s="384">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0">
        <f t="shared" si="613"/>
        <v>0</v>
      </c>
      <c r="AJ429" s="400">
        <f t="shared" si="673"/>
        <v>0</v>
      </c>
      <c r="AK429" s="400">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1">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1">
        <f t="shared" si="652"/>
        <v>58290</v>
      </c>
      <c r="Y430" s="188">
        <f t="shared" si="620"/>
        <v>0</v>
      </c>
      <c r="Z430" s="384">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0">
        <f t="shared" si="613"/>
        <v>0</v>
      </c>
      <c r="AJ430" s="400">
        <f t="shared" si="673"/>
        <v>0</v>
      </c>
      <c r="AK430" s="400">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1">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1">
        <f t="shared" si="652"/>
        <v>58320</v>
      </c>
      <c r="Y431" s="188">
        <f t="shared" si="620"/>
        <v>0</v>
      </c>
      <c r="Z431" s="384">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0">
        <f t="shared" si="613"/>
        <v>0</v>
      </c>
      <c r="AJ431" s="400">
        <f t="shared" si="673"/>
        <v>0</v>
      </c>
      <c r="AK431" s="400">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1">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1">
        <f t="shared" si="652"/>
        <v>58350</v>
      </c>
      <c r="Y432" s="188">
        <f t="shared" si="620"/>
        <v>0</v>
      </c>
      <c r="Z432" s="384">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0">
        <f t="shared" si="613"/>
        <v>0</v>
      </c>
      <c r="AJ432" s="400">
        <f t="shared" si="673"/>
        <v>0</v>
      </c>
      <c r="AK432" s="400">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1">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1">
        <f t="shared" si="652"/>
        <v>58380</v>
      </c>
      <c r="Y433" s="188">
        <f t="shared" si="620"/>
        <v>0</v>
      </c>
      <c r="Z433" s="384">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0">
        <f t="shared" si="613"/>
        <v>0</v>
      </c>
      <c r="AJ433" s="400">
        <f t="shared" si="673"/>
        <v>0</v>
      </c>
      <c r="AK433" s="400">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1">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1">
        <f t="shared" si="652"/>
        <v>58410</v>
      </c>
      <c r="Y434" s="188">
        <f t="shared" si="620"/>
        <v>0</v>
      </c>
      <c r="Z434" s="384">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0">
        <f t="shared" si="613"/>
        <v>0</v>
      </c>
      <c r="AJ434" s="400">
        <f t="shared" si="673"/>
        <v>0</v>
      </c>
      <c r="AK434" s="400">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4">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4">
        <f t="shared" si="652"/>
        <v>58440</v>
      </c>
      <c r="Y435" s="236">
        <f t="shared" si="620"/>
        <v>0</v>
      </c>
      <c r="Z435" s="385">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1">
        <f t="shared" si="613"/>
        <v>0</v>
      </c>
      <c r="AJ435" s="401">
        <f t="shared" si="673"/>
        <v>0</v>
      </c>
      <c r="AK435" s="400">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1">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1">
        <f t="shared" si="652"/>
        <v>58470</v>
      </c>
      <c r="Y436" s="188">
        <f t="shared" si="620"/>
        <v>0</v>
      </c>
      <c r="Z436" s="384">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0">
        <f t="shared" si="613"/>
        <v>0</v>
      </c>
      <c r="AJ436" s="400">
        <f t="shared" si="673"/>
        <v>0</v>
      </c>
      <c r="AK436" s="400">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1">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1">
        <f t="shared" si="652"/>
        <v>58500</v>
      </c>
      <c r="Y437" s="188">
        <f t="shared" si="620"/>
        <v>0</v>
      </c>
      <c r="Z437" s="384">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0">
        <f t="shared" si="613"/>
        <v>0</v>
      </c>
      <c r="AJ437" s="400">
        <f t="shared" si="673"/>
        <v>0</v>
      </c>
      <c r="AK437" s="400">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1">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1">
        <f t="shared" si="652"/>
        <v>58530</v>
      </c>
      <c r="Y438" s="188">
        <f t="shared" si="620"/>
        <v>0</v>
      </c>
      <c r="Z438" s="384">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0">
        <f t="shared" si="613"/>
        <v>0</v>
      </c>
      <c r="AJ438" s="400">
        <f t="shared" si="673"/>
        <v>0</v>
      </c>
      <c r="AK438" s="400">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1">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1">
        <f t="shared" si="652"/>
        <v>58560</v>
      </c>
      <c r="Y439" s="188">
        <f t="shared" si="620"/>
        <v>0</v>
      </c>
      <c r="Z439" s="384">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0">
        <f t="shared" si="613"/>
        <v>0</v>
      </c>
      <c r="AJ439" s="400">
        <f t="shared" si="673"/>
        <v>0</v>
      </c>
      <c r="AK439" s="400">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1">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1">
        <f t="shared" si="652"/>
        <v>58590</v>
      </c>
      <c r="Y440" s="188">
        <f t="shared" si="620"/>
        <v>0</v>
      </c>
      <c r="Z440" s="384">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0">
        <f t="shared" si="613"/>
        <v>0</v>
      </c>
      <c r="AJ440" s="400">
        <f t="shared" si="673"/>
        <v>0</v>
      </c>
      <c r="AK440" s="400">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1">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1">
        <f t="shared" si="652"/>
        <v>58620</v>
      </c>
      <c r="Y441" s="188">
        <f t="shared" si="620"/>
        <v>0</v>
      </c>
      <c r="Z441" s="384">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0">
        <f t="shared" si="613"/>
        <v>0</v>
      </c>
      <c r="AJ441" s="400">
        <f t="shared" si="673"/>
        <v>0</v>
      </c>
      <c r="AK441" s="400">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1">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1">
        <f t="shared" si="652"/>
        <v>58650</v>
      </c>
      <c r="Y442" s="188">
        <f t="shared" si="620"/>
        <v>0</v>
      </c>
      <c r="Z442" s="384">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0">
        <f t="shared" si="613"/>
        <v>0</v>
      </c>
      <c r="AJ442" s="400">
        <f t="shared" si="673"/>
        <v>0</v>
      </c>
      <c r="AK442" s="400">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1">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1">
        <f t="shared" si="652"/>
        <v>58680</v>
      </c>
      <c r="Y443" s="188">
        <f t="shared" si="620"/>
        <v>0</v>
      </c>
      <c r="Z443" s="384">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0">
        <f t="shared" si="613"/>
        <v>0</v>
      </c>
      <c r="AJ443" s="400">
        <f t="shared" si="673"/>
        <v>0</v>
      </c>
      <c r="AK443" s="400">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1">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1">
        <f t="shared" si="652"/>
        <v>58710</v>
      </c>
      <c r="Y444" s="188">
        <f t="shared" si="620"/>
        <v>0</v>
      </c>
      <c r="Z444" s="384">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0">
        <f t="shared" si="613"/>
        <v>0</v>
      </c>
      <c r="AJ444" s="400">
        <f t="shared" si="673"/>
        <v>0</v>
      </c>
      <c r="AK444" s="400">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1">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1">
        <f t="shared" si="652"/>
        <v>58740</v>
      </c>
      <c r="Y445" s="188">
        <f t="shared" si="620"/>
        <v>0</v>
      </c>
      <c r="Z445" s="384">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0">
        <f t="shared" ref="AI445:AI508" si="722">O445-AA445+AI444</f>
        <v>0</v>
      </c>
      <c r="AJ445" s="400">
        <f t="shared" si="673"/>
        <v>0</v>
      </c>
      <c r="AK445" s="400">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1">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1">
        <f t="shared" si="652"/>
        <v>58770</v>
      </c>
      <c r="Y446" s="188">
        <f t="shared" si="620"/>
        <v>0</v>
      </c>
      <c r="Z446" s="384">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0">
        <f t="shared" si="722"/>
        <v>0</v>
      </c>
      <c r="AJ446" s="400">
        <f t="shared" si="673"/>
        <v>0</v>
      </c>
      <c r="AK446" s="400">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4">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4">
        <f t="shared" si="652"/>
        <v>58800</v>
      </c>
      <c r="Y447" s="236">
        <f t="shared" ref="Y447:Y510" si="729">IF(+AL446&lt;0,0,+AL446)</f>
        <v>0</v>
      </c>
      <c r="Z447" s="385">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1">
        <f t="shared" si="722"/>
        <v>0</v>
      </c>
      <c r="AJ447" s="401">
        <f t="shared" si="673"/>
        <v>0</v>
      </c>
      <c r="AK447" s="400">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1">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1">
        <f t="shared" si="652"/>
        <v>58830</v>
      </c>
      <c r="Y448" s="188">
        <f t="shared" si="729"/>
        <v>0</v>
      </c>
      <c r="Z448" s="384">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0">
        <f t="shared" si="722"/>
        <v>0</v>
      </c>
      <c r="AJ448" s="400">
        <f t="shared" si="673"/>
        <v>0</v>
      </c>
      <c r="AK448" s="400">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1">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1">
        <f t="shared" si="652"/>
        <v>58860</v>
      </c>
      <c r="Y449" s="188">
        <f t="shared" si="729"/>
        <v>0</v>
      </c>
      <c r="Z449" s="384">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0">
        <f t="shared" si="722"/>
        <v>0</v>
      </c>
      <c r="AJ449" s="400">
        <f t="shared" si="673"/>
        <v>0</v>
      </c>
      <c r="AK449" s="400">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1">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1">
        <f t="shared" si="652"/>
        <v>58890</v>
      </c>
      <c r="Y450" s="188">
        <f t="shared" si="729"/>
        <v>0</v>
      </c>
      <c r="Z450" s="384">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0">
        <f t="shared" si="722"/>
        <v>0</v>
      </c>
      <c r="AJ450" s="400">
        <f t="shared" si="673"/>
        <v>0</v>
      </c>
      <c r="AK450" s="400">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1">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1">
        <f t="shared" si="652"/>
        <v>58920</v>
      </c>
      <c r="Y451" s="188">
        <f t="shared" si="729"/>
        <v>0</v>
      </c>
      <c r="Z451" s="384">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0">
        <f t="shared" si="722"/>
        <v>0</v>
      </c>
      <c r="AJ451" s="400">
        <f t="shared" si="673"/>
        <v>0</v>
      </c>
      <c r="AK451" s="400">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1">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1">
        <f t="shared" si="652"/>
        <v>58950</v>
      </c>
      <c r="Y452" s="188">
        <f t="shared" si="729"/>
        <v>0</v>
      </c>
      <c r="Z452" s="384">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0">
        <f t="shared" si="722"/>
        <v>0</v>
      </c>
      <c r="AJ452" s="400">
        <f t="shared" si="673"/>
        <v>0</v>
      </c>
      <c r="AK452" s="400">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1">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1">
        <f t="shared" si="652"/>
        <v>58980</v>
      </c>
      <c r="Y453" s="188">
        <f t="shared" si="729"/>
        <v>0</v>
      </c>
      <c r="Z453" s="384">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0">
        <f t="shared" si="722"/>
        <v>0</v>
      </c>
      <c r="AJ453" s="400">
        <f t="shared" si="673"/>
        <v>0</v>
      </c>
      <c r="AK453" s="400">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1">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1">
        <f t="shared" si="652"/>
        <v>59010</v>
      </c>
      <c r="Y454" s="188">
        <f t="shared" si="729"/>
        <v>0</v>
      </c>
      <c r="Z454" s="384">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0">
        <f t="shared" si="722"/>
        <v>0</v>
      </c>
      <c r="AJ454" s="400">
        <f t="shared" si="673"/>
        <v>0</v>
      </c>
      <c r="AK454" s="400">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1">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1">
        <f t="shared" si="652"/>
        <v>59040</v>
      </c>
      <c r="Y455" s="188">
        <f t="shared" si="729"/>
        <v>0</v>
      </c>
      <c r="Z455" s="384">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0">
        <f t="shared" si="722"/>
        <v>0</v>
      </c>
      <c r="AJ455" s="400">
        <f t="shared" si="673"/>
        <v>0</v>
      </c>
      <c r="AK455" s="400">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1">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1">
        <f t="shared" si="652"/>
        <v>59070</v>
      </c>
      <c r="Y456" s="188">
        <f t="shared" si="729"/>
        <v>0</v>
      </c>
      <c r="Z456" s="384">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0">
        <f t="shared" si="722"/>
        <v>0</v>
      </c>
      <c r="AJ456" s="400">
        <f t="shared" si="673"/>
        <v>0</v>
      </c>
      <c r="AK456" s="400">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1">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1">
        <f t="shared" si="652"/>
        <v>59100</v>
      </c>
      <c r="Y457" s="188">
        <f t="shared" si="729"/>
        <v>0</v>
      </c>
      <c r="Z457" s="384">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0">
        <f t="shared" si="722"/>
        <v>0</v>
      </c>
      <c r="AJ457" s="400">
        <f t="shared" si="673"/>
        <v>0</v>
      </c>
      <c r="AK457" s="400">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1">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1">
        <f t="shared" si="652"/>
        <v>59130</v>
      </c>
      <c r="Y458" s="188">
        <f t="shared" si="729"/>
        <v>0</v>
      </c>
      <c r="Z458" s="384">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0">
        <f t="shared" si="722"/>
        <v>0</v>
      </c>
      <c r="AJ458" s="400">
        <f t="shared" si="673"/>
        <v>0</v>
      </c>
      <c r="AK458" s="400">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4">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4">
        <f t="shared" si="652"/>
        <v>59160</v>
      </c>
      <c r="Y459" s="236">
        <f t="shared" si="729"/>
        <v>0</v>
      </c>
      <c r="Z459" s="385">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1">
        <f t="shared" si="722"/>
        <v>0</v>
      </c>
      <c r="AJ459" s="401">
        <f t="shared" si="673"/>
        <v>0</v>
      </c>
      <c r="AK459" s="400">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1">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1">
        <f t="shared" si="652"/>
        <v>59190</v>
      </c>
      <c r="Y460" s="188">
        <f t="shared" si="729"/>
        <v>0</v>
      </c>
      <c r="Z460" s="384">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0">
        <f t="shared" si="722"/>
        <v>0</v>
      </c>
      <c r="AJ460" s="400">
        <f t="shared" si="673"/>
        <v>0</v>
      </c>
      <c r="AK460" s="400">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1">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1">
        <f t="shared" si="652"/>
        <v>59220</v>
      </c>
      <c r="Y461" s="188">
        <f t="shared" si="729"/>
        <v>0</v>
      </c>
      <c r="Z461" s="384">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0">
        <f t="shared" si="722"/>
        <v>0</v>
      </c>
      <c r="AJ461" s="400">
        <f t="shared" si="673"/>
        <v>0</v>
      </c>
      <c r="AK461" s="400">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1">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1">
        <f t="shared" si="652"/>
        <v>59250</v>
      </c>
      <c r="Y462" s="188">
        <f t="shared" si="729"/>
        <v>0</v>
      </c>
      <c r="Z462" s="384">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0">
        <f t="shared" si="722"/>
        <v>0</v>
      </c>
      <c r="AJ462" s="400">
        <f t="shared" si="673"/>
        <v>0</v>
      </c>
      <c r="AK462" s="400">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1">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1">
        <f t="shared" si="652"/>
        <v>59280</v>
      </c>
      <c r="Y463" s="188">
        <f t="shared" si="729"/>
        <v>0</v>
      </c>
      <c r="Z463" s="384">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0">
        <f t="shared" si="722"/>
        <v>0</v>
      </c>
      <c r="AJ463" s="400">
        <f t="shared" si="673"/>
        <v>0</v>
      </c>
      <c r="AK463" s="400">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1">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1">
        <f t="shared" si="652"/>
        <v>59310</v>
      </c>
      <c r="Y464" s="188">
        <f t="shared" si="729"/>
        <v>0</v>
      </c>
      <c r="Z464" s="384">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0">
        <f t="shared" si="722"/>
        <v>0</v>
      </c>
      <c r="AJ464" s="400">
        <f t="shared" si="673"/>
        <v>0</v>
      </c>
      <c r="AK464" s="400">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1">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1">
        <f t="shared" ref="X465:X528" si="760">+A465</f>
        <v>59340</v>
      </c>
      <c r="Y465" s="188">
        <f t="shared" si="729"/>
        <v>0</v>
      </c>
      <c r="Z465" s="384">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0">
        <f t="shared" si="722"/>
        <v>0</v>
      </c>
      <c r="AJ465" s="400">
        <f t="shared" si="673"/>
        <v>0</v>
      </c>
      <c r="AK465" s="400">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1">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1">
        <f t="shared" si="760"/>
        <v>59370</v>
      </c>
      <c r="Y466" s="188">
        <f t="shared" si="729"/>
        <v>0</v>
      </c>
      <c r="Z466" s="384">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0">
        <f t="shared" si="722"/>
        <v>0</v>
      </c>
      <c r="AJ466" s="400">
        <f t="shared" si="673"/>
        <v>0</v>
      </c>
      <c r="AK466" s="400">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1">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1">
        <f t="shared" si="760"/>
        <v>59400</v>
      </c>
      <c r="Y467" s="188">
        <f t="shared" si="729"/>
        <v>0</v>
      </c>
      <c r="Z467" s="384">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0">
        <f t="shared" si="722"/>
        <v>0</v>
      </c>
      <c r="AJ467" s="400">
        <f t="shared" si="673"/>
        <v>0</v>
      </c>
      <c r="AK467" s="400">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1">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1">
        <f t="shared" si="760"/>
        <v>59430</v>
      </c>
      <c r="Y468" s="188">
        <f t="shared" si="729"/>
        <v>0</v>
      </c>
      <c r="Z468" s="384">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0">
        <f t="shared" si="722"/>
        <v>0</v>
      </c>
      <c r="AJ468" s="400">
        <f t="shared" si="673"/>
        <v>0</v>
      </c>
      <c r="AK468" s="400">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1">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1">
        <f t="shared" si="760"/>
        <v>59460</v>
      </c>
      <c r="Y469" s="188">
        <f t="shared" si="729"/>
        <v>0</v>
      </c>
      <c r="Z469" s="384">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0">
        <f t="shared" si="722"/>
        <v>0</v>
      </c>
      <c r="AJ469" s="400">
        <f t="shared" si="673"/>
        <v>0</v>
      </c>
      <c r="AK469" s="400">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1">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1">
        <f t="shared" si="760"/>
        <v>59490</v>
      </c>
      <c r="Y470" s="188">
        <f t="shared" si="729"/>
        <v>0</v>
      </c>
      <c r="Z470" s="384">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0">
        <f t="shared" si="722"/>
        <v>0</v>
      </c>
      <c r="AJ470" s="400">
        <f t="shared" si="673"/>
        <v>0</v>
      </c>
      <c r="AK470" s="400">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4">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4">
        <f t="shared" si="760"/>
        <v>59520</v>
      </c>
      <c r="Y471" s="236">
        <f t="shared" si="729"/>
        <v>0</v>
      </c>
      <c r="Z471" s="385">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1">
        <f t="shared" si="722"/>
        <v>0</v>
      </c>
      <c r="AJ471" s="401">
        <f t="shared" si="673"/>
        <v>0</v>
      </c>
      <c r="AK471" s="400">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1">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1">
        <f t="shared" si="760"/>
        <v>59550</v>
      </c>
      <c r="Y472" s="188">
        <f t="shared" si="729"/>
        <v>0</v>
      </c>
      <c r="Z472" s="384">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0">
        <f t="shared" si="722"/>
        <v>0</v>
      </c>
      <c r="AJ472" s="400">
        <f t="shared" si="673"/>
        <v>0</v>
      </c>
      <c r="AK472" s="400">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1">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1">
        <f t="shared" si="760"/>
        <v>59580</v>
      </c>
      <c r="Y473" s="188">
        <f t="shared" si="729"/>
        <v>0</v>
      </c>
      <c r="Z473" s="384">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0">
        <f t="shared" si="722"/>
        <v>0</v>
      </c>
      <c r="AJ473" s="400">
        <f t="shared" si="673"/>
        <v>0</v>
      </c>
      <c r="AK473" s="400">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1">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1">
        <f t="shared" si="760"/>
        <v>59610</v>
      </c>
      <c r="Y474" s="188">
        <f t="shared" si="729"/>
        <v>0</v>
      </c>
      <c r="Z474" s="384">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0">
        <f t="shared" si="722"/>
        <v>0</v>
      </c>
      <c r="AJ474" s="400">
        <f t="shared" si="673"/>
        <v>0</v>
      </c>
      <c r="AK474" s="400">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1">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1">
        <f t="shared" si="760"/>
        <v>59640</v>
      </c>
      <c r="Y475" s="188">
        <f t="shared" si="729"/>
        <v>0</v>
      </c>
      <c r="Z475" s="384">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0">
        <f t="shared" si="722"/>
        <v>0</v>
      </c>
      <c r="AJ475" s="400">
        <f t="shared" si="673"/>
        <v>0</v>
      </c>
      <c r="AK475" s="400">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1"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1" t="str">
        <f t="shared" si="760"/>
        <v xml:space="preserve"> </v>
      </c>
      <c r="Y476" s="188">
        <f t="shared" si="729"/>
        <v>0</v>
      </c>
      <c r="Z476" s="384">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0">
        <f t="shared" si="722"/>
        <v>0</v>
      </c>
      <c r="AJ476" s="400">
        <f t="shared" ref="AJ476:AJ539" si="781">+W476-AL476</f>
        <v>0</v>
      </c>
      <c r="AK476" s="400">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1"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1" t="str">
        <f t="shared" si="760"/>
        <v xml:space="preserve"> </v>
      </c>
      <c r="Y477" s="188">
        <f t="shared" si="729"/>
        <v>0</v>
      </c>
      <c r="Z477" s="384">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0">
        <f t="shared" si="722"/>
        <v>0</v>
      </c>
      <c r="AJ477" s="400">
        <f t="shared" si="781"/>
        <v>0</v>
      </c>
      <c r="AK477" s="400">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1"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1" t="str">
        <f t="shared" si="760"/>
        <v xml:space="preserve"> </v>
      </c>
      <c r="Y478" s="188">
        <f t="shared" si="729"/>
        <v>0</v>
      </c>
      <c r="Z478" s="384">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0">
        <f t="shared" si="722"/>
        <v>0</v>
      </c>
      <c r="AJ478" s="400">
        <f t="shared" si="781"/>
        <v>0</v>
      </c>
      <c r="AK478" s="400">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1"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1" t="str">
        <f t="shared" si="760"/>
        <v xml:space="preserve"> </v>
      </c>
      <c r="Y479" s="188">
        <f t="shared" si="729"/>
        <v>0</v>
      </c>
      <c r="Z479" s="384">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0">
        <f t="shared" si="722"/>
        <v>0</v>
      </c>
      <c r="AJ479" s="400">
        <f t="shared" si="781"/>
        <v>0</v>
      </c>
      <c r="AK479" s="400">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1"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1" t="str">
        <f t="shared" si="760"/>
        <v xml:space="preserve"> </v>
      </c>
      <c r="Y480" s="188">
        <f t="shared" si="729"/>
        <v>0</v>
      </c>
      <c r="Z480" s="384">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0">
        <f t="shared" si="722"/>
        <v>0</v>
      </c>
      <c r="AJ480" s="400">
        <f t="shared" si="781"/>
        <v>0</v>
      </c>
      <c r="AK480" s="400">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1"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1" t="str">
        <f t="shared" si="760"/>
        <v xml:space="preserve"> </v>
      </c>
      <c r="Y481" s="188">
        <f t="shared" si="729"/>
        <v>0</v>
      </c>
      <c r="Z481" s="384">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0">
        <f t="shared" si="722"/>
        <v>0</v>
      </c>
      <c r="AJ481" s="400">
        <f t="shared" si="781"/>
        <v>0</v>
      </c>
      <c r="AK481" s="400">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1"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1" t="str">
        <f t="shared" si="760"/>
        <v xml:space="preserve"> </v>
      </c>
      <c r="Y482" s="188">
        <f t="shared" si="729"/>
        <v>0</v>
      </c>
      <c r="Z482" s="384">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0">
        <f t="shared" si="722"/>
        <v>0</v>
      </c>
      <c r="AJ482" s="400">
        <f t="shared" si="781"/>
        <v>0</v>
      </c>
      <c r="AK482" s="400">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4"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4" t="str">
        <f t="shared" si="760"/>
        <v xml:space="preserve"> </v>
      </c>
      <c r="Y483" s="236">
        <f t="shared" si="729"/>
        <v>0</v>
      </c>
      <c r="Z483" s="385">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1">
        <f t="shared" si="722"/>
        <v>0</v>
      </c>
      <c r="AJ483" s="401">
        <f t="shared" si="781"/>
        <v>0</v>
      </c>
      <c r="AK483" s="400">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1"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1" t="str">
        <f t="shared" si="760"/>
        <v xml:space="preserve"> </v>
      </c>
      <c r="Y484" s="188">
        <f t="shared" si="729"/>
        <v>0</v>
      </c>
      <c r="Z484" s="384">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0">
        <f t="shared" si="722"/>
        <v>0</v>
      </c>
      <c r="AJ484" s="400">
        <f t="shared" si="781"/>
        <v>0</v>
      </c>
      <c r="AK484" s="400">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1"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1" t="str">
        <f t="shared" si="760"/>
        <v xml:space="preserve"> </v>
      </c>
      <c r="Y485" s="188">
        <f t="shared" si="729"/>
        <v>0</v>
      </c>
      <c r="Z485" s="384">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0">
        <f t="shared" si="722"/>
        <v>0</v>
      </c>
      <c r="AJ485" s="400">
        <f t="shared" si="781"/>
        <v>0</v>
      </c>
      <c r="AK485" s="400">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1"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1" t="str">
        <f t="shared" si="760"/>
        <v xml:space="preserve"> </v>
      </c>
      <c r="Y486" s="188">
        <f t="shared" si="729"/>
        <v>0</v>
      </c>
      <c r="Z486" s="384">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0">
        <f t="shared" si="722"/>
        <v>0</v>
      </c>
      <c r="AJ486" s="400">
        <f t="shared" si="781"/>
        <v>0</v>
      </c>
      <c r="AK486" s="400">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1"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1" t="str">
        <f t="shared" si="760"/>
        <v xml:space="preserve"> </v>
      </c>
      <c r="Y487" s="188">
        <f t="shared" si="729"/>
        <v>0</v>
      </c>
      <c r="Z487" s="384">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0">
        <f t="shared" si="722"/>
        <v>0</v>
      </c>
      <c r="AJ487" s="400">
        <f t="shared" si="781"/>
        <v>0</v>
      </c>
      <c r="AK487" s="400">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1"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1" t="str">
        <f t="shared" si="760"/>
        <v xml:space="preserve"> </v>
      </c>
      <c r="Y488" s="188">
        <f t="shared" si="729"/>
        <v>0</v>
      </c>
      <c r="Z488" s="384">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0">
        <f t="shared" si="722"/>
        <v>0</v>
      </c>
      <c r="AJ488" s="400">
        <f t="shared" si="781"/>
        <v>0</v>
      </c>
      <c r="AK488" s="400">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1"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1" t="str">
        <f t="shared" si="760"/>
        <v xml:space="preserve"> </v>
      </c>
      <c r="Y489" s="188">
        <f t="shared" si="729"/>
        <v>0</v>
      </c>
      <c r="Z489" s="384">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0">
        <f t="shared" si="722"/>
        <v>0</v>
      </c>
      <c r="AJ489" s="400">
        <f t="shared" si="781"/>
        <v>0</v>
      </c>
      <c r="AK489" s="400">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1"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1" t="str">
        <f t="shared" si="760"/>
        <v xml:space="preserve"> </v>
      </c>
      <c r="Y490" s="188">
        <f t="shared" si="729"/>
        <v>0</v>
      </c>
      <c r="Z490" s="384">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0">
        <f t="shared" si="722"/>
        <v>0</v>
      </c>
      <c r="AJ490" s="400">
        <f t="shared" si="781"/>
        <v>0</v>
      </c>
      <c r="AK490" s="400">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1"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1" t="str">
        <f t="shared" si="760"/>
        <v xml:space="preserve"> </v>
      </c>
      <c r="Y491" s="188">
        <f t="shared" si="729"/>
        <v>0</v>
      </c>
      <c r="Z491" s="384">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0">
        <f t="shared" si="722"/>
        <v>0</v>
      </c>
      <c r="AJ491" s="400">
        <f t="shared" si="781"/>
        <v>0</v>
      </c>
      <c r="AK491" s="400">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1"/>
      <c r="L492" s="316">
        <f t="shared" si="695"/>
        <v>0</v>
      </c>
      <c r="M492" s="316"/>
      <c r="X492" s="391">
        <f t="shared" si="760"/>
        <v>0</v>
      </c>
      <c r="Y492" s="188">
        <f t="shared" si="729"/>
        <v>0</v>
      </c>
      <c r="Z492" s="384">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0">
        <f t="shared" si="722"/>
        <v>0</v>
      </c>
      <c r="AJ492" s="400">
        <f t="shared" si="781"/>
        <v>0</v>
      </c>
      <c r="AK492" s="400">
        <f t="shared" si="723"/>
        <v>0</v>
      </c>
      <c r="AL492" s="188">
        <f t="shared" si="735"/>
        <v>0</v>
      </c>
      <c r="AM492" s="316">
        <f t="shared" si="762"/>
        <v>0</v>
      </c>
    </row>
    <row r="493" spans="1:49">
      <c r="A493" s="391"/>
      <c r="L493" s="316">
        <f t="shared" si="695"/>
        <v>0</v>
      </c>
      <c r="M493" s="316"/>
      <c r="X493" s="391">
        <f t="shared" si="760"/>
        <v>0</v>
      </c>
      <c r="Y493" s="188">
        <f t="shared" si="729"/>
        <v>0</v>
      </c>
      <c r="Z493" s="384">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0">
        <f t="shared" si="722"/>
        <v>0</v>
      </c>
      <c r="AJ493" s="400">
        <f t="shared" si="781"/>
        <v>0</v>
      </c>
      <c r="AK493" s="400">
        <f t="shared" si="723"/>
        <v>0</v>
      </c>
      <c r="AL493" s="188">
        <f t="shared" si="735"/>
        <v>0</v>
      </c>
      <c r="AM493" s="316">
        <f t="shared" si="762"/>
        <v>0</v>
      </c>
    </row>
    <row r="494" spans="1:49">
      <c r="A494" s="391"/>
      <c r="L494" s="316">
        <f t="shared" si="695"/>
        <v>0</v>
      </c>
      <c r="M494" s="316"/>
      <c r="X494" s="391">
        <f t="shared" si="760"/>
        <v>0</v>
      </c>
      <c r="Y494" s="188">
        <f t="shared" si="729"/>
        <v>0</v>
      </c>
      <c r="Z494" s="384">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0">
        <f t="shared" si="722"/>
        <v>0</v>
      </c>
      <c r="AJ494" s="400">
        <f t="shared" si="781"/>
        <v>0</v>
      </c>
      <c r="AK494" s="400">
        <f t="shared" si="723"/>
        <v>0</v>
      </c>
      <c r="AL494" s="188">
        <f t="shared" si="735"/>
        <v>0</v>
      </c>
      <c r="AM494" s="316">
        <f t="shared" si="762"/>
        <v>0</v>
      </c>
    </row>
    <row r="495" spans="1:49" ht="15.75" thickBot="1">
      <c r="A495" s="394"/>
      <c r="B495" s="236"/>
      <c r="C495" s="21"/>
      <c r="D495" s="21"/>
      <c r="E495" s="21"/>
      <c r="F495" s="21"/>
      <c r="G495" s="21"/>
      <c r="H495" s="21"/>
      <c r="I495" s="236"/>
      <c r="J495" s="236"/>
      <c r="K495" s="236"/>
      <c r="L495" s="317">
        <f t="shared" si="695"/>
        <v>0</v>
      </c>
      <c r="M495" s="317"/>
      <c r="N495" s="236"/>
      <c r="U495" s="236"/>
      <c r="V495" s="236"/>
      <c r="W495" s="236"/>
      <c r="X495" s="394">
        <f t="shared" si="760"/>
        <v>0</v>
      </c>
      <c r="Y495" s="188">
        <f t="shared" si="729"/>
        <v>0</v>
      </c>
      <c r="Z495" s="384">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0">
        <f t="shared" si="722"/>
        <v>0</v>
      </c>
      <c r="AJ495" s="400">
        <f t="shared" si="781"/>
        <v>0</v>
      </c>
      <c r="AK495" s="400">
        <f t="shared" si="723"/>
        <v>0</v>
      </c>
      <c r="AL495" s="188">
        <f t="shared" si="735"/>
        <v>0</v>
      </c>
      <c r="AM495" s="317">
        <f t="shared" si="762"/>
        <v>0</v>
      </c>
      <c r="AN495" s="21"/>
      <c r="AO495" s="21"/>
      <c r="AP495" s="21"/>
      <c r="AQ495" s="21"/>
      <c r="AR495" s="23"/>
      <c r="AS495" s="21"/>
      <c r="AT495" s="21"/>
      <c r="AU495" s="236"/>
      <c r="AV495" s="236"/>
      <c r="AW495" s="21"/>
    </row>
    <row r="496" spans="1:49">
      <c r="A496" s="391"/>
      <c r="L496" s="316">
        <f t="shared" ref="L496:L559" si="802">IF(MOD(M496,12)=0,M496/12,L495)</f>
        <v>0</v>
      </c>
      <c r="M496" s="316"/>
      <c r="X496" s="391">
        <f t="shared" si="760"/>
        <v>0</v>
      </c>
      <c r="Y496" s="188">
        <f t="shared" si="729"/>
        <v>0</v>
      </c>
      <c r="Z496" s="384">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0">
        <f t="shared" si="722"/>
        <v>0</v>
      </c>
      <c r="AJ496" s="400">
        <f t="shared" si="781"/>
        <v>0</v>
      </c>
      <c r="AK496" s="400">
        <f t="shared" si="723"/>
        <v>0</v>
      </c>
      <c r="AL496" s="188">
        <f t="shared" si="735"/>
        <v>0</v>
      </c>
      <c r="AM496" s="316">
        <f t="shared" si="762"/>
        <v>0</v>
      </c>
    </row>
    <row r="497" spans="1:49">
      <c r="A497" s="391"/>
      <c r="L497" s="316">
        <f t="shared" si="802"/>
        <v>0</v>
      </c>
      <c r="M497" s="316"/>
      <c r="X497" s="391">
        <f t="shared" si="760"/>
        <v>0</v>
      </c>
      <c r="Y497" s="188">
        <f t="shared" si="729"/>
        <v>0</v>
      </c>
      <c r="Z497" s="384">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0">
        <f t="shared" si="722"/>
        <v>0</v>
      </c>
      <c r="AJ497" s="400">
        <f t="shared" si="781"/>
        <v>0</v>
      </c>
      <c r="AK497" s="400">
        <f t="shared" si="723"/>
        <v>0</v>
      </c>
      <c r="AL497" s="188">
        <f t="shared" si="735"/>
        <v>0</v>
      </c>
      <c r="AM497" s="316">
        <f t="shared" si="762"/>
        <v>0</v>
      </c>
    </row>
    <row r="498" spans="1:49">
      <c r="A498" s="391"/>
      <c r="L498" s="316">
        <f t="shared" si="802"/>
        <v>0</v>
      </c>
      <c r="M498" s="316"/>
      <c r="X498" s="391">
        <f t="shared" si="760"/>
        <v>0</v>
      </c>
      <c r="Y498" s="188">
        <f t="shared" si="729"/>
        <v>0</v>
      </c>
      <c r="Z498" s="384">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0">
        <f t="shared" si="722"/>
        <v>0</v>
      </c>
      <c r="AJ498" s="400">
        <f t="shared" si="781"/>
        <v>0</v>
      </c>
      <c r="AK498" s="400">
        <f t="shared" si="723"/>
        <v>0</v>
      </c>
      <c r="AL498" s="188">
        <f t="shared" si="735"/>
        <v>0</v>
      </c>
      <c r="AM498" s="316">
        <f t="shared" si="762"/>
        <v>0</v>
      </c>
    </row>
    <row r="499" spans="1:49">
      <c r="A499" s="391"/>
      <c r="L499" s="316">
        <f t="shared" si="802"/>
        <v>0</v>
      </c>
      <c r="M499" s="316"/>
      <c r="X499" s="391">
        <f t="shared" si="760"/>
        <v>0</v>
      </c>
      <c r="Y499" s="188">
        <f t="shared" si="729"/>
        <v>0</v>
      </c>
      <c r="Z499" s="384">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0">
        <f t="shared" si="722"/>
        <v>0</v>
      </c>
      <c r="AJ499" s="400">
        <f t="shared" si="781"/>
        <v>0</v>
      </c>
      <c r="AK499" s="400">
        <f t="shared" si="723"/>
        <v>0</v>
      </c>
      <c r="AL499" s="188">
        <f t="shared" si="735"/>
        <v>0</v>
      </c>
      <c r="AM499" s="316">
        <f t="shared" si="762"/>
        <v>0</v>
      </c>
    </row>
    <row r="500" spans="1:49">
      <c r="A500" s="391"/>
      <c r="L500" s="316">
        <f t="shared" si="802"/>
        <v>0</v>
      </c>
      <c r="M500" s="316"/>
      <c r="X500" s="391">
        <f t="shared" si="760"/>
        <v>0</v>
      </c>
      <c r="Y500" s="188">
        <f t="shared" si="729"/>
        <v>0</v>
      </c>
      <c r="Z500" s="384">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0">
        <f t="shared" si="722"/>
        <v>0</v>
      </c>
      <c r="AJ500" s="400">
        <f t="shared" si="781"/>
        <v>0</v>
      </c>
      <c r="AK500" s="400">
        <f t="shared" si="723"/>
        <v>0</v>
      </c>
      <c r="AL500" s="188">
        <f t="shared" si="735"/>
        <v>0</v>
      </c>
      <c r="AM500" s="316">
        <f t="shared" si="762"/>
        <v>0</v>
      </c>
    </row>
    <row r="501" spans="1:49">
      <c r="A501" s="391"/>
      <c r="L501" s="316">
        <f t="shared" si="802"/>
        <v>0</v>
      </c>
      <c r="M501" s="316"/>
      <c r="X501" s="391">
        <f t="shared" si="760"/>
        <v>0</v>
      </c>
      <c r="Y501" s="188">
        <f t="shared" si="729"/>
        <v>0</v>
      </c>
      <c r="Z501" s="384">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0">
        <f t="shared" si="722"/>
        <v>0</v>
      </c>
      <c r="AJ501" s="400">
        <f t="shared" si="781"/>
        <v>0</v>
      </c>
      <c r="AK501" s="400">
        <f t="shared" si="723"/>
        <v>0</v>
      </c>
      <c r="AL501" s="188">
        <f t="shared" si="735"/>
        <v>0</v>
      </c>
      <c r="AM501" s="316">
        <f t="shared" si="762"/>
        <v>0</v>
      </c>
    </row>
    <row r="502" spans="1:49">
      <c r="A502" s="391"/>
      <c r="L502" s="316">
        <f t="shared" si="802"/>
        <v>0</v>
      </c>
      <c r="M502" s="316"/>
      <c r="X502" s="391">
        <f t="shared" si="760"/>
        <v>0</v>
      </c>
      <c r="Y502" s="188">
        <f t="shared" si="729"/>
        <v>0</v>
      </c>
      <c r="Z502" s="384">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0">
        <f t="shared" si="722"/>
        <v>0</v>
      </c>
      <c r="AJ502" s="400">
        <f t="shared" si="781"/>
        <v>0</v>
      </c>
      <c r="AK502" s="400">
        <f t="shared" si="723"/>
        <v>0</v>
      </c>
      <c r="AL502" s="188">
        <f t="shared" si="735"/>
        <v>0</v>
      </c>
      <c r="AM502" s="316">
        <f t="shared" si="762"/>
        <v>0</v>
      </c>
    </row>
    <row r="503" spans="1:49">
      <c r="A503" s="391"/>
      <c r="L503" s="316">
        <f t="shared" si="802"/>
        <v>0</v>
      </c>
      <c r="M503" s="316"/>
      <c r="X503" s="391">
        <f t="shared" si="760"/>
        <v>0</v>
      </c>
      <c r="Y503" s="188">
        <f t="shared" si="729"/>
        <v>0</v>
      </c>
      <c r="Z503" s="384">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0">
        <f t="shared" si="722"/>
        <v>0</v>
      </c>
      <c r="AJ503" s="400">
        <f t="shared" si="781"/>
        <v>0</v>
      </c>
      <c r="AK503" s="400">
        <f t="shared" si="723"/>
        <v>0</v>
      </c>
      <c r="AL503" s="188">
        <f t="shared" si="735"/>
        <v>0</v>
      </c>
      <c r="AM503" s="316">
        <f t="shared" si="762"/>
        <v>0</v>
      </c>
    </row>
    <row r="504" spans="1:49">
      <c r="A504" s="391"/>
      <c r="L504" s="316">
        <f t="shared" si="802"/>
        <v>0</v>
      </c>
      <c r="M504" s="316"/>
      <c r="X504" s="391">
        <f t="shared" si="760"/>
        <v>0</v>
      </c>
      <c r="Y504" s="188">
        <f t="shared" si="729"/>
        <v>0</v>
      </c>
      <c r="Z504" s="384">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0">
        <f t="shared" si="722"/>
        <v>0</v>
      </c>
      <c r="AJ504" s="400">
        <f t="shared" si="781"/>
        <v>0</v>
      </c>
      <c r="AK504" s="400">
        <f t="shared" si="723"/>
        <v>0</v>
      </c>
      <c r="AL504" s="188">
        <f t="shared" si="735"/>
        <v>0</v>
      </c>
      <c r="AM504" s="316">
        <f t="shared" si="762"/>
        <v>0</v>
      </c>
    </row>
    <row r="505" spans="1:49">
      <c r="A505" s="391"/>
      <c r="L505" s="316">
        <f t="shared" si="802"/>
        <v>0</v>
      </c>
      <c r="M505" s="316"/>
      <c r="X505" s="391">
        <f t="shared" si="760"/>
        <v>0</v>
      </c>
      <c r="Y505" s="188">
        <f t="shared" si="729"/>
        <v>0</v>
      </c>
      <c r="Z505" s="384">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0">
        <f t="shared" si="722"/>
        <v>0</v>
      </c>
      <c r="AJ505" s="400">
        <f t="shared" si="781"/>
        <v>0</v>
      </c>
      <c r="AK505" s="400">
        <f t="shared" si="723"/>
        <v>0</v>
      </c>
      <c r="AL505" s="188">
        <f t="shared" si="735"/>
        <v>0</v>
      </c>
      <c r="AM505" s="316">
        <f t="shared" si="762"/>
        <v>0</v>
      </c>
    </row>
    <row r="506" spans="1:49">
      <c r="A506" s="391"/>
      <c r="L506" s="316">
        <f t="shared" si="802"/>
        <v>0</v>
      </c>
      <c r="M506" s="316"/>
      <c r="X506" s="391">
        <f t="shared" si="760"/>
        <v>0</v>
      </c>
      <c r="Y506" s="188">
        <f t="shared" si="729"/>
        <v>0</v>
      </c>
      <c r="Z506" s="384">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0">
        <f t="shared" si="722"/>
        <v>0</v>
      </c>
      <c r="AJ506" s="400">
        <f t="shared" si="781"/>
        <v>0</v>
      </c>
      <c r="AK506" s="400">
        <f t="shared" si="723"/>
        <v>0</v>
      </c>
      <c r="AL506" s="188">
        <f t="shared" si="735"/>
        <v>0</v>
      </c>
      <c r="AM506" s="316">
        <f t="shared" si="762"/>
        <v>0</v>
      </c>
    </row>
    <row r="507" spans="1:49" ht="15.75" thickBot="1">
      <c r="A507" s="394"/>
      <c r="B507" s="236"/>
      <c r="C507" s="21"/>
      <c r="D507" s="21"/>
      <c r="E507" s="21"/>
      <c r="F507" s="21"/>
      <c r="G507" s="21"/>
      <c r="H507" s="21"/>
      <c r="I507" s="236"/>
      <c r="J507" s="236"/>
      <c r="K507" s="236"/>
      <c r="L507" s="317">
        <f t="shared" si="802"/>
        <v>0</v>
      </c>
      <c r="M507" s="317"/>
      <c r="N507" s="236"/>
      <c r="U507" s="236"/>
      <c r="V507" s="236"/>
      <c r="W507" s="236"/>
      <c r="X507" s="394">
        <f t="shared" si="760"/>
        <v>0</v>
      </c>
      <c r="Y507" s="188">
        <f t="shared" si="729"/>
        <v>0</v>
      </c>
      <c r="Z507" s="384">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0">
        <f t="shared" si="722"/>
        <v>0</v>
      </c>
      <c r="AJ507" s="400">
        <f t="shared" si="781"/>
        <v>0</v>
      </c>
      <c r="AK507" s="400">
        <f t="shared" si="723"/>
        <v>0</v>
      </c>
      <c r="AL507" s="188">
        <f t="shared" si="735"/>
        <v>0</v>
      </c>
      <c r="AM507" s="317">
        <f t="shared" si="762"/>
        <v>0</v>
      </c>
      <c r="AN507" s="21"/>
      <c r="AO507" s="21"/>
      <c r="AP507" s="21"/>
      <c r="AQ507" s="21"/>
      <c r="AR507" s="23"/>
      <c r="AS507" s="21"/>
      <c r="AT507" s="21"/>
      <c r="AU507" s="236"/>
      <c r="AV507" s="236"/>
      <c r="AW507" s="21"/>
    </row>
    <row r="508" spans="1:49">
      <c r="A508" s="391"/>
      <c r="L508" s="316">
        <f t="shared" si="802"/>
        <v>0</v>
      </c>
      <c r="M508" s="316"/>
      <c r="X508" s="391">
        <f t="shared" si="760"/>
        <v>0</v>
      </c>
      <c r="Y508" s="188">
        <f t="shared" si="729"/>
        <v>0</v>
      </c>
      <c r="Z508" s="384">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0">
        <f t="shared" si="722"/>
        <v>0</v>
      </c>
      <c r="AJ508" s="400">
        <f t="shared" si="781"/>
        <v>0</v>
      </c>
      <c r="AK508" s="400">
        <f t="shared" si="723"/>
        <v>0</v>
      </c>
      <c r="AL508" s="188">
        <f t="shared" si="735"/>
        <v>0</v>
      </c>
      <c r="AM508" s="316">
        <f t="shared" si="762"/>
        <v>0</v>
      </c>
    </row>
    <row r="509" spans="1:49">
      <c r="A509" s="391"/>
      <c r="L509" s="316">
        <f t="shared" si="802"/>
        <v>0</v>
      </c>
      <c r="M509" s="316"/>
      <c r="X509" s="391">
        <f t="shared" si="760"/>
        <v>0</v>
      </c>
      <c r="Y509" s="188">
        <f t="shared" si="729"/>
        <v>0</v>
      </c>
      <c r="Z509" s="384">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0">
        <f t="shared" ref="AI509:AI544" si="817">O509-AA509+AI508</f>
        <v>0</v>
      </c>
      <c r="AJ509" s="400">
        <f t="shared" si="781"/>
        <v>0</v>
      </c>
      <c r="AK509" s="400">
        <f t="shared" ref="AK509:AK544" si="818">SUM(AI509:AJ509)</f>
        <v>0</v>
      </c>
      <c r="AL509" s="188">
        <f t="shared" si="735"/>
        <v>0</v>
      </c>
      <c r="AM509" s="316">
        <f t="shared" si="762"/>
        <v>0</v>
      </c>
    </row>
    <row r="510" spans="1:49">
      <c r="A510" s="391"/>
      <c r="L510" s="316">
        <f t="shared" si="802"/>
        <v>0</v>
      </c>
      <c r="M510" s="316"/>
      <c r="X510" s="391">
        <f t="shared" si="760"/>
        <v>0</v>
      </c>
      <c r="Y510" s="188">
        <f t="shared" si="729"/>
        <v>0</v>
      </c>
      <c r="Z510" s="384">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0">
        <f t="shared" si="817"/>
        <v>0</v>
      </c>
      <c r="AJ510" s="400">
        <f t="shared" si="781"/>
        <v>0</v>
      </c>
      <c r="AK510" s="400">
        <f t="shared" si="818"/>
        <v>0</v>
      </c>
      <c r="AL510" s="188">
        <f t="shared" si="735"/>
        <v>0</v>
      </c>
      <c r="AM510" s="316">
        <f t="shared" si="762"/>
        <v>0</v>
      </c>
    </row>
    <row r="511" spans="1:49">
      <c r="A511" s="391"/>
      <c r="L511" s="316">
        <f t="shared" si="802"/>
        <v>0</v>
      </c>
      <c r="M511" s="316"/>
      <c r="X511" s="391">
        <f t="shared" si="760"/>
        <v>0</v>
      </c>
      <c r="Y511" s="188">
        <f t="shared" ref="Y511:Y544" si="820">IF(+AL510&lt;0,0,+AL510)</f>
        <v>0</v>
      </c>
      <c r="Z511" s="384">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0">
        <f t="shared" si="817"/>
        <v>0</v>
      </c>
      <c r="AJ511" s="400">
        <f t="shared" si="781"/>
        <v>0</v>
      </c>
      <c r="AK511" s="400">
        <f t="shared" si="818"/>
        <v>0</v>
      </c>
      <c r="AL511" s="188">
        <f t="shared" ref="AL511:AL544" si="826">+Y511-AB511</f>
        <v>0</v>
      </c>
      <c r="AM511" s="316">
        <f t="shared" si="762"/>
        <v>0</v>
      </c>
    </row>
    <row r="512" spans="1:49">
      <c r="A512" s="391"/>
      <c r="L512" s="316">
        <f t="shared" si="802"/>
        <v>0</v>
      </c>
      <c r="M512" s="316"/>
      <c r="X512" s="391">
        <f t="shared" si="760"/>
        <v>0</v>
      </c>
      <c r="Y512" s="188">
        <f t="shared" si="820"/>
        <v>0</v>
      </c>
      <c r="Z512" s="384">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0">
        <f t="shared" si="817"/>
        <v>0</v>
      </c>
      <c r="AJ512" s="400">
        <f t="shared" si="781"/>
        <v>0</v>
      </c>
      <c r="AK512" s="400">
        <f t="shared" si="818"/>
        <v>0</v>
      </c>
      <c r="AL512" s="188">
        <f t="shared" si="826"/>
        <v>0</v>
      </c>
      <c r="AM512" s="316">
        <f t="shared" si="762"/>
        <v>0</v>
      </c>
    </row>
    <row r="513" spans="1:49">
      <c r="A513" s="391"/>
      <c r="L513" s="316">
        <f t="shared" si="802"/>
        <v>0</v>
      </c>
      <c r="M513" s="316"/>
      <c r="X513" s="391">
        <f t="shared" si="760"/>
        <v>0</v>
      </c>
      <c r="Y513" s="188">
        <f t="shared" si="820"/>
        <v>0</v>
      </c>
      <c r="Z513" s="384">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0">
        <f t="shared" si="817"/>
        <v>0</v>
      </c>
      <c r="AJ513" s="400">
        <f t="shared" si="781"/>
        <v>0</v>
      </c>
      <c r="AK513" s="400">
        <f t="shared" si="818"/>
        <v>0</v>
      </c>
      <c r="AL513" s="188">
        <f t="shared" si="826"/>
        <v>0</v>
      </c>
      <c r="AM513" s="316">
        <f t="shared" si="762"/>
        <v>0</v>
      </c>
    </row>
    <row r="514" spans="1:49">
      <c r="A514" s="391"/>
      <c r="L514" s="316">
        <f t="shared" si="802"/>
        <v>0</v>
      </c>
      <c r="M514" s="316"/>
      <c r="X514" s="391">
        <f t="shared" si="760"/>
        <v>0</v>
      </c>
      <c r="Y514" s="188">
        <f t="shared" si="820"/>
        <v>0</v>
      </c>
      <c r="Z514" s="384">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0">
        <f t="shared" si="817"/>
        <v>0</v>
      </c>
      <c r="AJ514" s="400">
        <f t="shared" si="781"/>
        <v>0</v>
      </c>
      <c r="AK514" s="400">
        <f t="shared" si="818"/>
        <v>0</v>
      </c>
      <c r="AL514" s="188">
        <f t="shared" si="826"/>
        <v>0</v>
      </c>
      <c r="AM514" s="316">
        <f t="shared" si="762"/>
        <v>0</v>
      </c>
    </row>
    <row r="515" spans="1:49">
      <c r="A515" s="391"/>
      <c r="L515" s="316">
        <f t="shared" si="802"/>
        <v>0</v>
      </c>
      <c r="M515" s="316"/>
      <c r="X515" s="391">
        <f t="shared" si="760"/>
        <v>0</v>
      </c>
      <c r="Y515" s="188">
        <f t="shared" si="820"/>
        <v>0</v>
      </c>
      <c r="Z515" s="384">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0">
        <f t="shared" si="817"/>
        <v>0</v>
      </c>
      <c r="AJ515" s="400">
        <f t="shared" si="781"/>
        <v>0</v>
      </c>
      <c r="AK515" s="400">
        <f t="shared" si="818"/>
        <v>0</v>
      </c>
      <c r="AL515" s="188">
        <f t="shared" si="826"/>
        <v>0</v>
      </c>
      <c r="AM515" s="316">
        <f t="shared" si="762"/>
        <v>0</v>
      </c>
    </row>
    <row r="516" spans="1:49">
      <c r="A516" s="391"/>
      <c r="L516" s="316">
        <f t="shared" si="802"/>
        <v>0</v>
      </c>
      <c r="M516" s="316"/>
      <c r="X516" s="391">
        <f t="shared" si="760"/>
        <v>0</v>
      </c>
      <c r="Y516" s="188">
        <f t="shared" si="820"/>
        <v>0</v>
      </c>
      <c r="Z516" s="384">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0">
        <f t="shared" si="817"/>
        <v>0</v>
      </c>
      <c r="AJ516" s="400">
        <f t="shared" si="781"/>
        <v>0</v>
      </c>
      <c r="AK516" s="400">
        <f t="shared" si="818"/>
        <v>0</v>
      </c>
      <c r="AL516" s="188">
        <f t="shared" si="826"/>
        <v>0</v>
      </c>
      <c r="AM516" s="316">
        <f t="shared" si="762"/>
        <v>0</v>
      </c>
    </row>
    <row r="517" spans="1:49">
      <c r="A517" s="391"/>
      <c r="L517" s="316">
        <f t="shared" si="802"/>
        <v>0</v>
      </c>
      <c r="M517" s="316"/>
      <c r="X517" s="391">
        <f t="shared" si="760"/>
        <v>0</v>
      </c>
      <c r="Y517" s="188">
        <f t="shared" si="820"/>
        <v>0</v>
      </c>
      <c r="Z517" s="384">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0">
        <f t="shared" si="817"/>
        <v>0</v>
      </c>
      <c r="AJ517" s="400">
        <f t="shared" si="781"/>
        <v>0</v>
      </c>
      <c r="AK517" s="400">
        <f t="shared" si="818"/>
        <v>0</v>
      </c>
      <c r="AL517" s="188">
        <f t="shared" si="826"/>
        <v>0</v>
      </c>
      <c r="AM517" s="316">
        <f t="shared" si="762"/>
        <v>0</v>
      </c>
    </row>
    <row r="518" spans="1:49">
      <c r="A518" s="391"/>
      <c r="L518" s="316">
        <f t="shared" si="802"/>
        <v>0</v>
      </c>
      <c r="M518" s="316"/>
      <c r="X518" s="391">
        <f t="shared" si="760"/>
        <v>0</v>
      </c>
      <c r="Y518" s="188">
        <f t="shared" si="820"/>
        <v>0</v>
      </c>
      <c r="Z518" s="384">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0">
        <f t="shared" si="817"/>
        <v>0</v>
      </c>
      <c r="AJ518" s="400">
        <f t="shared" si="781"/>
        <v>0</v>
      </c>
      <c r="AK518" s="400">
        <f t="shared" si="818"/>
        <v>0</v>
      </c>
      <c r="AL518" s="188">
        <f t="shared" si="826"/>
        <v>0</v>
      </c>
      <c r="AM518" s="316">
        <f t="shared" si="762"/>
        <v>0</v>
      </c>
    </row>
    <row r="519" spans="1:49" ht="15.75" thickBot="1">
      <c r="A519" s="394"/>
      <c r="B519" s="236"/>
      <c r="C519" s="21"/>
      <c r="D519" s="21"/>
      <c r="E519" s="21"/>
      <c r="F519" s="21"/>
      <c r="G519" s="21"/>
      <c r="H519" s="21"/>
      <c r="I519" s="236"/>
      <c r="J519" s="236"/>
      <c r="K519" s="236"/>
      <c r="L519" s="317">
        <f t="shared" si="802"/>
        <v>0</v>
      </c>
      <c r="M519" s="317"/>
      <c r="N519" s="236"/>
      <c r="U519" s="236"/>
      <c r="V519" s="236"/>
      <c r="W519" s="236"/>
      <c r="X519" s="394">
        <f t="shared" si="760"/>
        <v>0</v>
      </c>
      <c r="Y519" s="188">
        <f t="shared" si="820"/>
        <v>0</v>
      </c>
      <c r="Z519" s="384">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0">
        <f t="shared" si="817"/>
        <v>0</v>
      </c>
      <c r="AJ519" s="400">
        <f t="shared" si="781"/>
        <v>0</v>
      </c>
      <c r="AK519" s="400">
        <f t="shared" si="818"/>
        <v>0</v>
      </c>
      <c r="AL519" s="188">
        <f t="shared" si="826"/>
        <v>0</v>
      </c>
      <c r="AM519" s="317">
        <f t="shared" si="762"/>
        <v>0</v>
      </c>
      <c r="AN519" s="21"/>
      <c r="AO519" s="21"/>
      <c r="AP519" s="21"/>
      <c r="AQ519" s="21"/>
      <c r="AR519" s="23"/>
      <c r="AS519" s="21"/>
      <c r="AT519" s="21"/>
      <c r="AU519" s="236"/>
      <c r="AV519" s="236"/>
      <c r="AW519" s="21"/>
    </row>
    <row r="520" spans="1:49">
      <c r="A520" s="391"/>
      <c r="L520" s="316">
        <f t="shared" si="802"/>
        <v>0</v>
      </c>
      <c r="M520" s="316"/>
      <c r="X520" s="391">
        <f t="shared" si="760"/>
        <v>0</v>
      </c>
      <c r="Y520" s="188">
        <f t="shared" si="820"/>
        <v>0</v>
      </c>
      <c r="Z520" s="384">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0">
        <f t="shared" si="817"/>
        <v>0</v>
      </c>
      <c r="AJ520" s="400">
        <f t="shared" si="781"/>
        <v>0</v>
      </c>
      <c r="AK520" s="400">
        <f t="shared" si="818"/>
        <v>0</v>
      </c>
      <c r="AL520" s="188">
        <f t="shared" si="826"/>
        <v>0</v>
      </c>
      <c r="AM520" s="316">
        <f t="shared" si="762"/>
        <v>0</v>
      </c>
    </row>
    <row r="521" spans="1:49">
      <c r="A521" s="391"/>
      <c r="L521" s="316">
        <f t="shared" si="802"/>
        <v>0</v>
      </c>
      <c r="M521" s="316"/>
      <c r="X521" s="391">
        <f t="shared" si="760"/>
        <v>0</v>
      </c>
      <c r="Y521" s="188">
        <f t="shared" si="820"/>
        <v>0</v>
      </c>
      <c r="Z521" s="384">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0">
        <f t="shared" si="817"/>
        <v>0</v>
      </c>
      <c r="AJ521" s="400">
        <f t="shared" si="781"/>
        <v>0</v>
      </c>
      <c r="AK521" s="400">
        <f t="shared" si="818"/>
        <v>0</v>
      </c>
      <c r="AL521" s="188">
        <f t="shared" si="826"/>
        <v>0</v>
      </c>
      <c r="AM521" s="316">
        <f t="shared" si="762"/>
        <v>0</v>
      </c>
    </row>
    <row r="522" spans="1:49">
      <c r="A522" s="391"/>
      <c r="L522" s="316">
        <f t="shared" si="802"/>
        <v>0</v>
      </c>
      <c r="M522" s="316"/>
      <c r="X522" s="391">
        <f t="shared" si="760"/>
        <v>0</v>
      </c>
      <c r="Y522" s="188">
        <f t="shared" si="820"/>
        <v>0</v>
      </c>
      <c r="Z522" s="384">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0">
        <f t="shared" si="817"/>
        <v>0</v>
      </c>
      <c r="AJ522" s="400">
        <f t="shared" si="781"/>
        <v>0</v>
      </c>
      <c r="AK522" s="400">
        <f t="shared" si="818"/>
        <v>0</v>
      </c>
      <c r="AL522" s="188">
        <f t="shared" si="826"/>
        <v>0</v>
      </c>
      <c r="AM522" s="316">
        <f t="shared" si="762"/>
        <v>0</v>
      </c>
    </row>
    <row r="523" spans="1:49">
      <c r="A523" s="391"/>
      <c r="L523" s="316">
        <f t="shared" si="802"/>
        <v>0</v>
      </c>
      <c r="M523" s="316"/>
      <c r="X523" s="391">
        <f t="shared" si="760"/>
        <v>0</v>
      </c>
      <c r="Y523" s="188">
        <f t="shared" si="820"/>
        <v>0</v>
      </c>
      <c r="Z523" s="384">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0">
        <f t="shared" si="817"/>
        <v>0</v>
      </c>
      <c r="AJ523" s="400">
        <f t="shared" si="781"/>
        <v>0</v>
      </c>
      <c r="AK523" s="400">
        <f t="shared" si="818"/>
        <v>0</v>
      </c>
      <c r="AL523" s="188">
        <f t="shared" si="826"/>
        <v>0</v>
      </c>
      <c r="AM523" s="316">
        <f t="shared" si="762"/>
        <v>0</v>
      </c>
    </row>
    <row r="524" spans="1:49">
      <c r="A524" s="391"/>
      <c r="L524" s="316">
        <f t="shared" si="802"/>
        <v>0</v>
      </c>
      <c r="M524" s="316"/>
      <c r="X524" s="391">
        <f t="shared" si="760"/>
        <v>0</v>
      </c>
      <c r="Y524" s="188">
        <f t="shared" si="820"/>
        <v>0</v>
      </c>
      <c r="Z524" s="384">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0">
        <f t="shared" si="817"/>
        <v>0</v>
      </c>
      <c r="AJ524" s="400">
        <f t="shared" si="781"/>
        <v>0</v>
      </c>
      <c r="AK524" s="400">
        <f t="shared" si="818"/>
        <v>0</v>
      </c>
      <c r="AL524" s="188">
        <f t="shared" si="826"/>
        <v>0</v>
      </c>
      <c r="AM524" s="316">
        <f t="shared" si="762"/>
        <v>0</v>
      </c>
    </row>
    <row r="525" spans="1:49">
      <c r="A525" s="391"/>
      <c r="L525" s="316">
        <f t="shared" si="802"/>
        <v>0</v>
      </c>
      <c r="M525" s="316"/>
      <c r="X525" s="391">
        <f t="shared" si="760"/>
        <v>0</v>
      </c>
      <c r="Y525" s="188">
        <f t="shared" si="820"/>
        <v>0</v>
      </c>
      <c r="Z525" s="384">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0">
        <f t="shared" si="817"/>
        <v>0</v>
      </c>
      <c r="AJ525" s="400">
        <f t="shared" si="781"/>
        <v>0</v>
      </c>
      <c r="AK525" s="400">
        <f t="shared" si="818"/>
        <v>0</v>
      </c>
      <c r="AL525" s="188">
        <f t="shared" si="826"/>
        <v>0</v>
      </c>
      <c r="AM525" s="316">
        <f t="shared" si="762"/>
        <v>0</v>
      </c>
    </row>
    <row r="526" spans="1:49">
      <c r="A526" s="391"/>
      <c r="L526" s="316">
        <f t="shared" si="802"/>
        <v>0</v>
      </c>
      <c r="M526" s="316"/>
      <c r="X526" s="391">
        <f t="shared" si="760"/>
        <v>0</v>
      </c>
      <c r="Y526" s="188">
        <f t="shared" si="820"/>
        <v>0</v>
      </c>
      <c r="Z526" s="384">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0">
        <f t="shared" si="817"/>
        <v>0</v>
      </c>
      <c r="AJ526" s="400">
        <f t="shared" si="781"/>
        <v>0</v>
      </c>
      <c r="AK526" s="400">
        <f t="shared" si="818"/>
        <v>0</v>
      </c>
      <c r="AL526" s="188">
        <f t="shared" si="826"/>
        <v>0</v>
      </c>
      <c r="AM526" s="316">
        <f t="shared" si="762"/>
        <v>0</v>
      </c>
    </row>
    <row r="527" spans="1:49">
      <c r="A527" s="391"/>
      <c r="L527" s="316">
        <f t="shared" si="802"/>
        <v>0</v>
      </c>
      <c r="M527" s="316"/>
      <c r="X527" s="391">
        <f t="shared" si="760"/>
        <v>0</v>
      </c>
      <c r="Y527" s="188">
        <f t="shared" si="820"/>
        <v>0</v>
      </c>
      <c r="Z527" s="384">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0">
        <f t="shared" si="817"/>
        <v>0</v>
      </c>
      <c r="AJ527" s="400">
        <f t="shared" si="781"/>
        <v>0</v>
      </c>
      <c r="AK527" s="400">
        <f t="shared" si="818"/>
        <v>0</v>
      </c>
      <c r="AL527" s="188">
        <f t="shared" si="826"/>
        <v>0</v>
      </c>
      <c r="AM527" s="316">
        <f t="shared" si="762"/>
        <v>0</v>
      </c>
    </row>
    <row r="528" spans="1:49">
      <c r="A528" s="391"/>
      <c r="L528" s="316">
        <f t="shared" si="802"/>
        <v>0</v>
      </c>
      <c r="M528" s="316"/>
      <c r="X528" s="391">
        <f t="shared" si="760"/>
        <v>0</v>
      </c>
      <c r="Y528" s="188">
        <f t="shared" si="820"/>
        <v>0</v>
      </c>
      <c r="Z528" s="384">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0">
        <f t="shared" si="817"/>
        <v>0</v>
      </c>
      <c r="AJ528" s="400">
        <f t="shared" si="781"/>
        <v>0</v>
      </c>
      <c r="AK528" s="400">
        <f t="shared" si="818"/>
        <v>0</v>
      </c>
      <c r="AL528" s="188">
        <f t="shared" si="826"/>
        <v>0</v>
      </c>
      <c r="AM528" s="316">
        <f t="shared" si="762"/>
        <v>0</v>
      </c>
    </row>
    <row r="529" spans="1:49">
      <c r="A529" s="391"/>
      <c r="L529" s="316">
        <f t="shared" si="802"/>
        <v>0</v>
      </c>
      <c r="M529" s="316"/>
      <c r="X529" s="391">
        <f t="shared" ref="X529:X592" si="847">+A529</f>
        <v>0</v>
      </c>
      <c r="Y529" s="188">
        <f t="shared" si="820"/>
        <v>0</v>
      </c>
      <c r="Z529" s="384">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0">
        <f t="shared" si="817"/>
        <v>0</v>
      </c>
      <c r="AJ529" s="400">
        <f t="shared" si="781"/>
        <v>0</v>
      </c>
      <c r="AK529" s="400">
        <f t="shared" si="818"/>
        <v>0</v>
      </c>
      <c r="AL529" s="188">
        <f t="shared" si="826"/>
        <v>0</v>
      </c>
      <c r="AM529" s="316">
        <f t="shared" ref="AM529:AM592" si="849">+L529</f>
        <v>0</v>
      </c>
    </row>
    <row r="530" spans="1:49">
      <c r="A530" s="391"/>
      <c r="L530" s="316">
        <f t="shared" si="802"/>
        <v>0</v>
      </c>
      <c r="M530" s="316"/>
      <c r="X530" s="391">
        <f t="shared" si="847"/>
        <v>0</v>
      </c>
      <c r="Y530" s="188">
        <f t="shared" si="820"/>
        <v>0</v>
      </c>
      <c r="Z530" s="384">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0">
        <f t="shared" si="817"/>
        <v>0</v>
      </c>
      <c r="AJ530" s="400">
        <f t="shared" si="781"/>
        <v>0</v>
      </c>
      <c r="AK530" s="400">
        <f t="shared" si="818"/>
        <v>0</v>
      </c>
      <c r="AL530" s="188">
        <f t="shared" si="826"/>
        <v>0</v>
      </c>
      <c r="AM530" s="316">
        <f t="shared" si="849"/>
        <v>0</v>
      </c>
    </row>
    <row r="531" spans="1:49" ht="15.75" thickBot="1">
      <c r="A531" s="394"/>
      <c r="B531" s="236"/>
      <c r="C531" s="21"/>
      <c r="D531" s="21"/>
      <c r="E531" s="21"/>
      <c r="F531" s="21"/>
      <c r="G531" s="21"/>
      <c r="H531" s="21"/>
      <c r="I531" s="236"/>
      <c r="J531" s="236"/>
      <c r="K531" s="236"/>
      <c r="L531" s="317">
        <f t="shared" si="802"/>
        <v>0</v>
      </c>
      <c r="M531" s="317"/>
      <c r="N531" s="236"/>
      <c r="U531" s="236"/>
      <c r="V531" s="236"/>
      <c r="W531" s="236"/>
      <c r="X531" s="394">
        <f t="shared" si="847"/>
        <v>0</v>
      </c>
      <c r="Y531" s="188">
        <f t="shared" si="820"/>
        <v>0</v>
      </c>
      <c r="Z531" s="384">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0">
        <f t="shared" si="817"/>
        <v>0</v>
      </c>
      <c r="AJ531" s="400">
        <f t="shared" si="781"/>
        <v>0</v>
      </c>
      <c r="AK531" s="400">
        <f t="shared" si="818"/>
        <v>0</v>
      </c>
      <c r="AL531" s="188">
        <f t="shared" si="826"/>
        <v>0</v>
      </c>
      <c r="AM531" s="317">
        <f t="shared" si="849"/>
        <v>0</v>
      </c>
      <c r="AN531" s="21"/>
      <c r="AO531" s="21"/>
      <c r="AP531" s="21"/>
      <c r="AQ531" s="21"/>
      <c r="AR531" s="23"/>
      <c r="AS531" s="21"/>
      <c r="AT531" s="21"/>
      <c r="AU531" s="236"/>
      <c r="AV531" s="236"/>
      <c r="AW531" s="21"/>
    </row>
    <row r="532" spans="1:49">
      <c r="A532" s="391"/>
      <c r="L532" s="316">
        <f t="shared" si="802"/>
        <v>0</v>
      </c>
      <c r="M532" s="316"/>
      <c r="X532" s="391">
        <f t="shared" si="847"/>
        <v>0</v>
      </c>
      <c r="Y532" s="188">
        <f t="shared" si="820"/>
        <v>0</v>
      </c>
      <c r="Z532" s="384">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0">
        <f t="shared" si="817"/>
        <v>0</v>
      </c>
      <c r="AJ532" s="400">
        <f t="shared" si="781"/>
        <v>0</v>
      </c>
      <c r="AK532" s="400">
        <f t="shared" si="818"/>
        <v>0</v>
      </c>
      <c r="AL532" s="188">
        <f t="shared" si="826"/>
        <v>0</v>
      </c>
      <c r="AM532" s="316">
        <f t="shared" si="849"/>
        <v>0</v>
      </c>
    </row>
    <row r="533" spans="1:49">
      <c r="A533" s="391"/>
      <c r="L533" s="316">
        <f t="shared" si="802"/>
        <v>0</v>
      </c>
      <c r="M533" s="316"/>
      <c r="X533" s="391">
        <f t="shared" si="847"/>
        <v>0</v>
      </c>
      <c r="Y533" s="188">
        <f t="shared" si="820"/>
        <v>0</v>
      </c>
      <c r="Z533" s="384">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0">
        <f t="shared" si="817"/>
        <v>0</v>
      </c>
      <c r="AJ533" s="400">
        <f t="shared" si="781"/>
        <v>0</v>
      </c>
      <c r="AK533" s="400">
        <f t="shared" si="818"/>
        <v>0</v>
      </c>
      <c r="AL533" s="188">
        <f t="shared" si="826"/>
        <v>0</v>
      </c>
      <c r="AM533" s="316">
        <f t="shared" si="849"/>
        <v>0</v>
      </c>
    </row>
    <row r="534" spans="1:49">
      <c r="A534" s="391"/>
      <c r="L534" s="316">
        <f t="shared" si="802"/>
        <v>0</v>
      </c>
      <c r="M534" s="316"/>
      <c r="X534" s="391">
        <f t="shared" si="847"/>
        <v>0</v>
      </c>
      <c r="Y534" s="188">
        <f t="shared" si="820"/>
        <v>0</v>
      </c>
      <c r="Z534" s="384">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0">
        <f t="shared" si="817"/>
        <v>0</v>
      </c>
      <c r="AJ534" s="400">
        <f t="shared" si="781"/>
        <v>0</v>
      </c>
      <c r="AK534" s="400">
        <f t="shared" si="818"/>
        <v>0</v>
      </c>
      <c r="AL534" s="188">
        <f t="shared" si="826"/>
        <v>0</v>
      </c>
      <c r="AM534" s="316">
        <f t="shared" si="849"/>
        <v>0</v>
      </c>
    </row>
    <row r="535" spans="1:49">
      <c r="A535" s="391"/>
      <c r="L535" s="316">
        <f t="shared" si="802"/>
        <v>0</v>
      </c>
      <c r="M535" s="316"/>
      <c r="X535" s="391">
        <f t="shared" si="847"/>
        <v>0</v>
      </c>
      <c r="Y535" s="188">
        <f t="shared" si="820"/>
        <v>0</v>
      </c>
      <c r="Z535" s="384">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0">
        <f t="shared" si="817"/>
        <v>0</v>
      </c>
      <c r="AJ535" s="400">
        <f t="shared" si="781"/>
        <v>0</v>
      </c>
      <c r="AK535" s="400">
        <f t="shared" si="818"/>
        <v>0</v>
      </c>
      <c r="AL535" s="188">
        <f t="shared" si="826"/>
        <v>0</v>
      </c>
      <c r="AM535" s="316">
        <f t="shared" si="849"/>
        <v>0</v>
      </c>
    </row>
    <row r="536" spans="1:49">
      <c r="A536" s="391"/>
      <c r="L536" s="316">
        <f t="shared" si="802"/>
        <v>0</v>
      </c>
      <c r="M536" s="316"/>
      <c r="X536" s="391">
        <f t="shared" si="847"/>
        <v>0</v>
      </c>
      <c r="Y536" s="188">
        <f t="shared" si="820"/>
        <v>0</v>
      </c>
      <c r="Z536" s="384">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0">
        <f t="shared" si="817"/>
        <v>0</v>
      </c>
      <c r="AJ536" s="400">
        <f t="shared" si="781"/>
        <v>0</v>
      </c>
      <c r="AK536" s="400">
        <f t="shared" si="818"/>
        <v>0</v>
      </c>
      <c r="AL536" s="188">
        <f t="shared" si="826"/>
        <v>0</v>
      </c>
      <c r="AM536" s="316">
        <f t="shared" si="849"/>
        <v>0</v>
      </c>
    </row>
    <row r="537" spans="1:49">
      <c r="A537" s="391"/>
      <c r="L537" s="316">
        <f t="shared" si="802"/>
        <v>0</v>
      </c>
      <c r="M537" s="316"/>
      <c r="X537" s="391">
        <f t="shared" si="847"/>
        <v>0</v>
      </c>
      <c r="Y537" s="188">
        <f t="shared" si="820"/>
        <v>0</v>
      </c>
      <c r="Z537" s="384">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0">
        <f t="shared" si="817"/>
        <v>0</v>
      </c>
      <c r="AJ537" s="400">
        <f t="shared" si="781"/>
        <v>0</v>
      </c>
      <c r="AK537" s="400">
        <f t="shared" si="818"/>
        <v>0</v>
      </c>
      <c r="AL537" s="188">
        <f t="shared" si="826"/>
        <v>0</v>
      </c>
      <c r="AM537" s="316">
        <f t="shared" si="849"/>
        <v>0</v>
      </c>
    </row>
    <row r="538" spans="1:49">
      <c r="A538" s="391"/>
      <c r="L538" s="316">
        <f t="shared" si="802"/>
        <v>0</v>
      </c>
      <c r="M538" s="316"/>
      <c r="X538" s="391">
        <f t="shared" si="847"/>
        <v>0</v>
      </c>
      <c r="Y538" s="188">
        <f t="shared" si="820"/>
        <v>0</v>
      </c>
      <c r="Z538" s="384">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0">
        <f t="shared" si="817"/>
        <v>0</v>
      </c>
      <c r="AJ538" s="400">
        <f t="shared" si="781"/>
        <v>0</v>
      </c>
      <c r="AK538" s="400">
        <f t="shared" si="818"/>
        <v>0</v>
      </c>
      <c r="AL538" s="188">
        <f t="shared" si="826"/>
        <v>0</v>
      </c>
      <c r="AM538" s="316">
        <f t="shared" si="849"/>
        <v>0</v>
      </c>
    </row>
    <row r="539" spans="1:49">
      <c r="A539" s="391"/>
      <c r="L539" s="316">
        <f t="shared" si="802"/>
        <v>0</v>
      </c>
      <c r="M539" s="316"/>
      <c r="X539" s="391">
        <f t="shared" si="847"/>
        <v>0</v>
      </c>
      <c r="Y539" s="188">
        <f t="shared" si="820"/>
        <v>0</v>
      </c>
      <c r="Z539" s="384">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0">
        <f t="shared" si="817"/>
        <v>0</v>
      </c>
      <c r="AJ539" s="400">
        <f t="shared" si="781"/>
        <v>0</v>
      </c>
      <c r="AK539" s="400">
        <f t="shared" si="818"/>
        <v>0</v>
      </c>
      <c r="AL539" s="188">
        <f t="shared" si="826"/>
        <v>0</v>
      </c>
      <c r="AM539" s="316">
        <f t="shared" si="849"/>
        <v>0</v>
      </c>
    </row>
    <row r="540" spans="1:49">
      <c r="A540" s="391"/>
      <c r="L540" s="316">
        <f t="shared" si="802"/>
        <v>0</v>
      </c>
      <c r="M540" s="316"/>
      <c r="X540" s="391">
        <f t="shared" si="847"/>
        <v>0</v>
      </c>
      <c r="Y540" s="188">
        <f t="shared" si="820"/>
        <v>0</v>
      </c>
      <c r="Z540" s="384">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0">
        <f t="shared" si="817"/>
        <v>0</v>
      </c>
      <c r="AJ540" s="400">
        <f t="shared" ref="AJ540:AJ544" si="861">+W540-AL540</f>
        <v>0</v>
      </c>
      <c r="AK540" s="400">
        <f t="shared" si="818"/>
        <v>0</v>
      </c>
      <c r="AL540" s="188">
        <f t="shared" si="826"/>
        <v>0</v>
      </c>
      <c r="AM540" s="316">
        <f t="shared" si="849"/>
        <v>0</v>
      </c>
    </row>
    <row r="541" spans="1:49">
      <c r="A541" s="391"/>
      <c r="L541" s="316">
        <f t="shared" si="802"/>
        <v>0</v>
      </c>
      <c r="M541" s="316"/>
      <c r="X541" s="391">
        <f t="shared" si="847"/>
        <v>0</v>
      </c>
      <c r="Y541" s="188">
        <f t="shared" si="820"/>
        <v>0</v>
      </c>
      <c r="Z541" s="384">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0">
        <f t="shared" si="817"/>
        <v>0</v>
      </c>
      <c r="AJ541" s="400">
        <f t="shared" si="861"/>
        <v>0</v>
      </c>
      <c r="AK541" s="400">
        <f t="shared" si="818"/>
        <v>0</v>
      </c>
      <c r="AL541" s="188">
        <f t="shared" si="826"/>
        <v>0</v>
      </c>
      <c r="AM541" s="316">
        <f t="shared" si="849"/>
        <v>0</v>
      </c>
    </row>
    <row r="542" spans="1:49">
      <c r="A542" s="391"/>
      <c r="L542" s="316">
        <f t="shared" si="802"/>
        <v>0</v>
      </c>
      <c r="M542" s="316"/>
      <c r="X542" s="391">
        <f t="shared" si="847"/>
        <v>0</v>
      </c>
      <c r="Y542" s="188">
        <f t="shared" si="820"/>
        <v>0</v>
      </c>
      <c r="Z542" s="384">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0">
        <f t="shared" si="817"/>
        <v>0</v>
      </c>
      <c r="AJ542" s="400">
        <f t="shared" si="861"/>
        <v>0</v>
      </c>
      <c r="AK542" s="400">
        <f t="shared" si="818"/>
        <v>0</v>
      </c>
      <c r="AL542" s="188">
        <f t="shared" si="826"/>
        <v>0</v>
      </c>
      <c r="AM542" s="316">
        <f t="shared" si="849"/>
        <v>0</v>
      </c>
    </row>
    <row r="543" spans="1:49" ht="15.75" thickBot="1">
      <c r="A543" s="394"/>
      <c r="B543" s="236"/>
      <c r="C543" s="21"/>
      <c r="D543" s="21"/>
      <c r="E543" s="21"/>
      <c r="F543" s="21"/>
      <c r="G543" s="21"/>
      <c r="H543" s="21"/>
      <c r="I543" s="236"/>
      <c r="J543" s="236"/>
      <c r="K543" s="236"/>
      <c r="L543" s="317">
        <f t="shared" si="802"/>
        <v>0</v>
      </c>
      <c r="M543" s="317"/>
      <c r="N543" s="236"/>
      <c r="U543" s="236"/>
      <c r="V543" s="236"/>
      <c r="W543" s="236"/>
      <c r="X543" s="394">
        <f t="shared" si="847"/>
        <v>0</v>
      </c>
      <c r="Y543" s="188">
        <f t="shared" si="820"/>
        <v>0</v>
      </c>
      <c r="Z543" s="384">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0">
        <f t="shared" si="817"/>
        <v>0</v>
      </c>
      <c r="AJ543" s="400">
        <f t="shared" si="861"/>
        <v>0</v>
      </c>
      <c r="AK543" s="400">
        <f t="shared" si="818"/>
        <v>0</v>
      </c>
      <c r="AL543" s="188">
        <f t="shared" si="826"/>
        <v>0</v>
      </c>
      <c r="AM543" s="317">
        <f t="shared" si="849"/>
        <v>0</v>
      </c>
      <c r="AN543" s="21"/>
      <c r="AO543" s="21"/>
      <c r="AP543" s="21"/>
      <c r="AQ543" s="21"/>
      <c r="AR543" s="23"/>
      <c r="AS543" s="21"/>
      <c r="AT543" s="21"/>
      <c r="AU543" s="236"/>
      <c r="AV543" s="236"/>
      <c r="AW543" s="21"/>
    </row>
    <row r="544" spans="1:49">
      <c r="A544" s="391"/>
      <c r="L544" s="316">
        <f t="shared" si="802"/>
        <v>0</v>
      </c>
      <c r="M544" s="316"/>
      <c r="X544" s="391">
        <f t="shared" si="847"/>
        <v>0</v>
      </c>
      <c r="Y544" s="188">
        <f t="shared" si="820"/>
        <v>0</v>
      </c>
      <c r="Z544" s="384">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0">
        <f t="shared" si="817"/>
        <v>0</v>
      </c>
      <c r="AJ544" s="400">
        <f t="shared" si="861"/>
        <v>0</v>
      </c>
      <c r="AK544" s="400">
        <f t="shared" si="818"/>
        <v>0</v>
      </c>
      <c r="AL544" s="188">
        <f t="shared" si="826"/>
        <v>0</v>
      </c>
      <c r="AM544" s="316">
        <f t="shared" si="849"/>
        <v>0</v>
      </c>
    </row>
    <row r="545" spans="1:49">
      <c r="A545" s="391"/>
      <c r="L545" s="316">
        <f t="shared" si="802"/>
        <v>0</v>
      </c>
      <c r="M545" s="316"/>
      <c r="X545" s="391">
        <f t="shared" si="847"/>
        <v>0</v>
      </c>
      <c r="AM545" s="316">
        <f t="shared" si="849"/>
        <v>0</v>
      </c>
    </row>
    <row r="546" spans="1:49">
      <c r="A546" s="391"/>
      <c r="L546" s="316">
        <f t="shared" si="802"/>
        <v>0</v>
      </c>
      <c r="M546" s="316"/>
      <c r="X546" s="391">
        <f t="shared" si="847"/>
        <v>0</v>
      </c>
      <c r="AM546" s="316">
        <f t="shared" si="849"/>
        <v>0</v>
      </c>
    </row>
    <row r="547" spans="1:49">
      <c r="A547" s="391"/>
      <c r="L547" s="316">
        <f t="shared" si="802"/>
        <v>0</v>
      </c>
      <c r="M547" s="316"/>
      <c r="X547" s="391">
        <f t="shared" si="847"/>
        <v>0</v>
      </c>
      <c r="AM547" s="316">
        <f t="shared" si="849"/>
        <v>0</v>
      </c>
    </row>
    <row r="548" spans="1:49">
      <c r="A548" s="391"/>
      <c r="L548" s="316">
        <f t="shared" si="802"/>
        <v>0</v>
      </c>
      <c r="M548" s="316"/>
      <c r="X548" s="391">
        <f t="shared" si="847"/>
        <v>0</v>
      </c>
      <c r="AM548" s="316">
        <f t="shared" si="849"/>
        <v>0</v>
      </c>
    </row>
    <row r="549" spans="1:49">
      <c r="A549" s="391"/>
      <c r="L549" s="316">
        <f t="shared" si="802"/>
        <v>0</v>
      </c>
      <c r="M549" s="316"/>
      <c r="X549" s="391">
        <f t="shared" si="847"/>
        <v>0</v>
      </c>
      <c r="AM549" s="316">
        <f t="shared" si="849"/>
        <v>0</v>
      </c>
    </row>
    <row r="550" spans="1:49">
      <c r="A550" s="391"/>
      <c r="L550" s="316">
        <f t="shared" si="802"/>
        <v>0</v>
      </c>
      <c r="M550" s="316"/>
      <c r="X550" s="391">
        <f t="shared" si="847"/>
        <v>0</v>
      </c>
      <c r="AM550" s="316">
        <f t="shared" si="849"/>
        <v>0</v>
      </c>
    </row>
    <row r="551" spans="1:49">
      <c r="A551" s="391"/>
      <c r="L551" s="316">
        <f t="shared" si="802"/>
        <v>0</v>
      </c>
      <c r="M551" s="316"/>
      <c r="X551" s="391">
        <f t="shared" si="847"/>
        <v>0</v>
      </c>
      <c r="AM551" s="316">
        <f t="shared" si="849"/>
        <v>0</v>
      </c>
    </row>
    <row r="552" spans="1:49">
      <c r="A552" s="391"/>
      <c r="L552" s="316">
        <f t="shared" si="802"/>
        <v>0</v>
      </c>
      <c r="M552" s="316"/>
      <c r="X552" s="391">
        <f t="shared" si="847"/>
        <v>0</v>
      </c>
      <c r="AM552" s="316">
        <f t="shared" si="849"/>
        <v>0</v>
      </c>
    </row>
    <row r="553" spans="1:49">
      <c r="A553" s="391"/>
      <c r="L553" s="316">
        <f t="shared" si="802"/>
        <v>0</v>
      </c>
      <c r="M553" s="316"/>
      <c r="X553" s="391">
        <f t="shared" si="847"/>
        <v>0</v>
      </c>
      <c r="AM553" s="316">
        <f t="shared" si="849"/>
        <v>0</v>
      </c>
    </row>
    <row r="554" spans="1:49">
      <c r="A554" s="391"/>
      <c r="L554" s="316">
        <f t="shared" si="802"/>
        <v>0</v>
      </c>
      <c r="M554" s="316"/>
      <c r="X554" s="391">
        <f t="shared" si="847"/>
        <v>0</v>
      </c>
      <c r="AM554" s="316">
        <f t="shared" si="849"/>
        <v>0</v>
      </c>
    </row>
    <row r="555" spans="1:49" ht="15.75" thickBot="1">
      <c r="A555" s="394"/>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4">
        <f t="shared" si="847"/>
        <v>0</v>
      </c>
      <c r="Y555" s="236"/>
      <c r="Z555" s="385"/>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1"/>
      <c r="L556" s="316">
        <f t="shared" si="802"/>
        <v>0</v>
      </c>
      <c r="M556" s="316"/>
      <c r="X556" s="391">
        <f t="shared" si="847"/>
        <v>0</v>
      </c>
      <c r="AM556" s="316">
        <f t="shared" si="849"/>
        <v>0</v>
      </c>
    </row>
    <row r="557" spans="1:49">
      <c r="A557" s="391"/>
      <c r="L557" s="316">
        <f t="shared" si="802"/>
        <v>0</v>
      </c>
      <c r="M557" s="316"/>
      <c r="X557" s="391">
        <f t="shared" si="847"/>
        <v>0</v>
      </c>
      <c r="AM557" s="316">
        <f t="shared" si="849"/>
        <v>0</v>
      </c>
    </row>
    <row r="558" spans="1:49">
      <c r="A558" s="391"/>
      <c r="L558" s="316">
        <f t="shared" si="802"/>
        <v>0</v>
      </c>
      <c r="M558" s="316"/>
      <c r="X558" s="391">
        <f t="shared" si="847"/>
        <v>0</v>
      </c>
      <c r="AM558" s="316">
        <f t="shared" si="849"/>
        <v>0</v>
      </c>
    </row>
    <row r="559" spans="1:49">
      <c r="A559" s="391"/>
      <c r="L559" s="316">
        <f t="shared" si="802"/>
        <v>0</v>
      </c>
      <c r="M559" s="316"/>
      <c r="X559" s="391">
        <f t="shared" si="847"/>
        <v>0</v>
      </c>
      <c r="AM559" s="316">
        <f t="shared" si="849"/>
        <v>0</v>
      </c>
    </row>
    <row r="560" spans="1:49">
      <c r="A560" s="391"/>
      <c r="L560" s="316">
        <f t="shared" ref="L560:L623" si="866">IF(MOD(M560,12)=0,M560/12,L559)</f>
        <v>0</v>
      </c>
      <c r="M560" s="316"/>
      <c r="X560" s="391">
        <f t="shared" si="847"/>
        <v>0</v>
      </c>
      <c r="AM560" s="316">
        <f t="shared" si="849"/>
        <v>0</v>
      </c>
    </row>
    <row r="561" spans="1:49">
      <c r="A561" s="391"/>
      <c r="L561" s="316">
        <f t="shared" si="866"/>
        <v>0</v>
      </c>
      <c r="M561" s="316"/>
      <c r="X561" s="391">
        <f t="shared" si="847"/>
        <v>0</v>
      </c>
      <c r="AM561" s="316">
        <f t="shared" si="849"/>
        <v>0</v>
      </c>
    </row>
    <row r="562" spans="1:49">
      <c r="A562" s="391"/>
      <c r="L562" s="316">
        <f t="shared" si="866"/>
        <v>0</v>
      </c>
      <c r="M562" s="316"/>
      <c r="X562" s="391">
        <f t="shared" si="847"/>
        <v>0</v>
      </c>
      <c r="AM562" s="316">
        <f t="shared" si="849"/>
        <v>0</v>
      </c>
    </row>
    <row r="563" spans="1:49">
      <c r="A563" s="391"/>
      <c r="L563" s="316">
        <f t="shared" si="866"/>
        <v>0</v>
      </c>
      <c r="M563" s="316"/>
      <c r="X563" s="391">
        <f t="shared" si="847"/>
        <v>0</v>
      </c>
      <c r="AM563" s="316">
        <f t="shared" si="849"/>
        <v>0</v>
      </c>
    </row>
    <row r="564" spans="1:49">
      <c r="A564" s="391"/>
      <c r="L564" s="316">
        <f t="shared" si="866"/>
        <v>0</v>
      </c>
      <c r="M564" s="316"/>
      <c r="X564" s="391">
        <f t="shared" si="847"/>
        <v>0</v>
      </c>
      <c r="AM564" s="316">
        <f t="shared" si="849"/>
        <v>0</v>
      </c>
    </row>
    <row r="565" spans="1:49">
      <c r="A565" s="391"/>
      <c r="L565" s="316">
        <f t="shared" si="866"/>
        <v>0</v>
      </c>
      <c r="M565" s="316"/>
      <c r="X565" s="391">
        <f t="shared" si="847"/>
        <v>0</v>
      </c>
      <c r="AM565" s="316">
        <f t="shared" si="849"/>
        <v>0</v>
      </c>
    </row>
    <row r="566" spans="1:49">
      <c r="A566" s="391"/>
      <c r="L566" s="316">
        <f t="shared" si="866"/>
        <v>0</v>
      </c>
      <c r="M566" s="316"/>
      <c r="X566" s="391">
        <f t="shared" si="847"/>
        <v>0</v>
      </c>
      <c r="AM566" s="316">
        <f t="shared" si="849"/>
        <v>0</v>
      </c>
    </row>
    <row r="567" spans="1:49" ht="15.75" thickBot="1">
      <c r="A567" s="394"/>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4">
        <f t="shared" si="847"/>
        <v>0</v>
      </c>
      <c r="Y567" s="236"/>
      <c r="Z567" s="385"/>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1"/>
      <c r="L568" s="316">
        <f t="shared" si="866"/>
        <v>0</v>
      </c>
      <c r="M568" s="316"/>
      <c r="X568" s="391">
        <f t="shared" si="847"/>
        <v>0</v>
      </c>
      <c r="AM568" s="316">
        <f t="shared" si="849"/>
        <v>0</v>
      </c>
    </row>
    <row r="569" spans="1:49">
      <c r="A569" s="391"/>
      <c r="L569" s="316">
        <f t="shared" si="866"/>
        <v>0</v>
      </c>
      <c r="M569" s="316"/>
      <c r="X569" s="391">
        <f t="shared" si="847"/>
        <v>0</v>
      </c>
      <c r="AM569" s="316">
        <f t="shared" si="849"/>
        <v>0</v>
      </c>
    </row>
    <row r="570" spans="1:49">
      <c r="A570" s="391"/>
      <c r="L570" s="316">
        <f t="shared" si="866"/>
        <v>0</v>
      </c>
      <c r="M570" s="316"/>
      <c r="X570" s="391">
        <f t="shared" si="847"/>
        <v>0</v>
      </c>
      <c r="AM570" s="316">
        <f t="shared" si="849"/>
        <v>0</v>
      </c>
    </row>
    <row r="571" spans="1:49">
      <c r="A571" s="391"/>
      <c r="L571" s="316">
        <f t="shared" si="866"/>
        <v>0</v>
      </c>
      <c r="M571" s="316"/>
      <c r="X571" s="391">
        <f t="shared" si="847"/>
        <v>0</v>
      </c>
      <c r="AM571" s="316">
        <f t="shared" si="849"/>
        <v>0</v>
      </c>
    </row>
    <row r="572" spans="1:49">
      <c r="A572" s="391"/>
      <c r="L572" s="316">
        <f t="shared" si="866"/>
        <v>0</v>
      </c>
      <c r="M572" s="316"/>
      <c r="X572" s="391">
        <f t="shared" si="847"/>
        <v>0</v>
      </c>
      <c r="AM572" s="316">
        <f t="shared" si="849"/>
        <v>0</v>
      </c>
    </row>
    <row r="573" spans="1:49">
      <c r="A573" s="391"/>
      <c r="L573" s="316">
        <f t="shared" si="866"/>
        <v>0</v>
      </c>
      <c r="M573" s="316"/>
      <c r="X573" s="391">
        <f t="shared" si="847"/>
        <v>0</v>
      </c>
      <c r="AM573" s="316">
        <f t="shared" si="849"/>
        <v>0</v>
      </c>
    </row>
    <row r="574" spans="1:49">
      <c r="A574" s="391"/>
      <c r="L574" s="316">
        <f t="shared" si="866"/>
        <v>0</v>
      </c>
      <c r="M574" s="316"/>
      <c r="X574" s="391">
        <f t="shared" si="847"/>
        <v>0</v>
      </c>
      <c r="AM574" s="316">
        <f t="shared" si="849"/>
        <v>0</v>
      </c>
    </row>
    <row r="575" spans="1:49">
      <c r="A575" s="391"/>
      <c r="L575" s="316">
        <f t="shared" si="866"/>
        <v>0</v>
      </c>
      <c r="M575" s="316"/>
      <c r="X575" s="391">
        <f t="shared" si="847"/>
        <v>0</v>
      </c>
      <c r="AM575" s="316">
        <f t="shared" si="849"/>
        <v>0</v>
      </c>
    </row>
    <row r="576" spans="1:49">
      <c r="A576" s="391"/>
      <c r="L576" s="316">
        <f t="shared" si="866"/>
        <v>0</v>
      </c>
      <c r="M576" s="316"/>
      <c r="X576" s="391">
        <f t="shared" si="847"/>
        <v>0</v>
      </c>
      <c r="AM576" s="316">
        <f t="shared" si="849"/>
        <v>0</v>
      </c>
    </row>
    <row r="577" spans="1:49">
      <c r="A577" s="391"/>
      <c r="L577" s="316">
        <f t="shared" si="866"/>
        <v>0</v>
      </c>
      <c r="M577" s="316"/>
      <c r="X577" s="391">
        <f t="shared" si="847"/>
        <v>0</v>
      </c>
      <c r="AM577" s="316">
        <f t="shared" si="849"/>
        <v>0</v>
      </c>
    </row>
    <row r="578" spans="1:49">
      <c r="A578" s="391"/>
      <c r="L578" s="316">
        <f t="shared" si="866"/>
        <v>0</v>
      </c>
      <c r="M578" s="316"/>
      <c r="X578" s="391">
        <f t="shared" si="847"/>
        <v>0</v>
      </c>
      <c r="AM578" s="316">
        <f t="shared" si="849"/>
        <v>0</v>
      </c>
    </row>
    <row r="579" spans="1:49" ht="15.75" thickBot="1">
      <c r="A579" s="394"/>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4">
        <f t="shared" si="847"/>
        <v>0</v>
      </c>
      <c r="Y579" s="236"/>
      <c r="Z579" s="385"/>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1"/>
      <c r="L580" s="316">
        <f t="shared" si="866"/>
        <v>0</v>
      </c>
      <c r="M580" s="316"/>
      <c r="X580" s="391">
        <f t="shared" si="847"/>
        <v>0</v>
      </c>
      <c r="AM580" s="316">
        <f t="shared" si="849"/>
        <v>0</v>
      </c>
    </row>
    <row r="581" spans="1:49">
      <c r="A581" s="391"/>
      <c r="L581" s="316">
        <f t="shared" si="866"/>
        <v>0</v>
      </c>
      <c r="M581" s="316"/>
      <c r="X581" s="391">
        <f t="shared" si="847"/>
        <v>0</v>
      </c>
      <c r="AM581" s="316">
        <f t="shared" si="849"/>
        <v>0</v>
      </c>
    </row>
    <row r="582" spans="1:49">
      <c r="A582" s="391"/>
      <c r="L582" s="316">
        <f t="shared" si="866"/>
        <v>0</v>
      </c>
      <c r="M582" s="316"/>
      <c r="X582" s="391">
        <f t="shared" si="847"/>
        <v>0</v>
      </c>
      <c r="AM582" s="316">
        <f t="shared" si="849"/>
        <v>0</v>
      </c>
    </row>
    <row r="583" spans="1:49">
      <c r="A583" s="391"/>
      <c r="L583" s="316">
        <f t="shared" si="866"/>
        <v>0</v>
      </c>
      <c r="M583" s="316"/>
      <c r="X583" s="391">
        <f t="shared" si="847"/>
        <v>0</v>
      </c>
      <c r="AM583" s="316">
        <f t="shared" si="849"/>
        <v>0</v>
      </c>
    </row>
    <row r="584" spans="1:49">
      <c r="A584" s="391"/>
      <c r="L584" s="316">
        <f t="shared" si="866"/>
        <v>0</v>
      </c>
      <c r="M584" s="316"/>
      <c r="X584" s="391">
        <f t="shared" si="847"/>
        <v>0</v>
      </c>
      <c r="AM584" s="316">
        <f t="shared" si="849"/>
        <v>0</v>
      </c>
    </row>
    <row r="585" spans="1:49">
      <c r="A585" s="391"/>
      <c r="L585" s="316">
        <f t="shared" si="866"/>
        <v>0</v>
      </c>
      <c r="M585" s="316"/>
      <c r="X585" s="391">
        <f t="shared" si="847"/>
        <v>0</v>
      </c>
      <c r="AM585" s="316">
        <f t="shared" si="849"/>
        <v>0</v>
      </c>
    </row>
    <row r="586" spans="1:49">
      <c r="A586" s="391"/>
      <c r="L586" s="316">
        <f t="shared" si="866"/>
        <v>0</v>
      </c>
      <c r="M586" s="316"/>
      <c r="X586" s="391">
        <f t="shared" si="847"/>
        <v>0</v>
      </c>
      <c r="AM586" s="316">
        <f t="shared" si="849"/>
        <v>0</v>
      </c>
    </row>
    <row r="587" spans="1:49">
      <c r="A587" s="391"/>
      <c r="L587" s="316">
        <f t="shared" si="866"/>
        <v>0</v>
      </c>
      <c r="M587" s="316"/>
      <c r="X587" s="391">
        <f t="shared" si="847"/>
        <v>0</v>
      </c>
      <c r="AM587" s="316">
        <f t="shared" si="849"/>
        <v>0</v>
      </c>
    </row>
    <row r="588" spans="1:49">
      <c r="A588" s="391"/>
      <c r="L588" s="316">
        <f t="shared" si="866"/>
        <v>0</v>
      </c>
      <c r="M588" s="316"/>
      <c r="X588" s="391">
        <f t="shared" si="847"/>
        <v>0</v>
      </c>
      <c r="AM588" s="316">
        <f t="shared" si="849"/>
        <v>0</v>
      </c>
    </row>
    <row r="589" spans="1:49">
      <c r="A589" s="391"/>
      <c r="L589" s="316">
        <f t="shared" si="866"/>
        <v>0</v>
      </c>
      <c r="M589" s="316"/>
      <c r="X589" s="391">
        <f t="shared" si="847"/>
        <v>0</v>
      </c>
      <c r="AM589" s="316">
        <f t="shared" si="849"/>
        <v>0</v>
      </c>
    </row>
    <row r="590" spans="1:49">
      <c r="A590" s="391"/>
      <c r="L590" s="316">
        <f t="shared" si="866"/>
        <v>0</v>
      </c>
      <c r="M590" s="316"/>
      <c r="X590" s="391">
        <f t="shared" si="847"/>
        <v>0</v>
      </c>
      <c r="AM590" s="316">
        <f t="shared" si="849"/>
        <v>0</v>
      </c>
    </row>
    <row r="591" spans="1:49" ht="15.75" thickBot="1">
      <c r="A591" s="394"/>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4">
        <f t="shared" si="847"/>
        <v>0</v>
      </c>
      <c r="Y591" s="236"/>
      <c r="Z591" s="385"/>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1"/>
      <c r="L592" s="316">
        <f t="shared" si="866"/>
        <v>0</v>
      </c>
      <c r="M592" s="316"/>
      <c r="X592" s="391">
        <f t="shared" si="847"/>
        <v>0</v>
      </c>
      <c r="AM592" s="316">
        <f t="shared" si="849"/>
        <v>0</v>
      </c>
    </row>
    <row r="593" spans="1:49">
      <c r="A593" s="391"/>
      <c r="L593" s="316">
        <f t="shared" si="866"/>
        <v>0</v>
      </c>
      <c r="M593" s="316"/>
      <c r="X593" s="391">
        <f t="shared" ref="X593:X656" si="867">+A593</f>
        <v>0</v>
      </c>
      <c r="AM593" s="316">
        <f t="shared" ref="AM593:AM656" si="868">+L593</f>
        <v>0</v>
      </c>
    </row>
    <row r="594" spans="1:49">
      <c r="A594" s="391"/>
      <c r="L594" s="316">
        <f t="shared" si="866"/>
        <v>0</v>
      </c>
      <c r="M594" s="316"/>
      <c r="X594" s="391">
        <f t="shared" si="867"/>
        <v>0</v>
      </c>
      <c r="AM594" s="316">
        <f t="shared" si="868"/>
        <v>0</v>
      </c>
    </row>
    <row r="595" spans="1:49">
      <c r="A595" s="391"/>
      <c r="L595" s="316">
        <f t="shared" si="866"/>
        <v>0</v>
      </c>
      <c r="M595" s="316"/>
      <c r="X595" s="391">
        <f t="shared" si="867"/>
        <v>0</v>
      </c>
      <c r="AM595" s="316">
        <f t="shared" si="868"/>
        <v>0</v>
      </c>
    </row>
    <row r="596" spans="1:49">
      <c r="A596" s="391"/>
      <c r="L596" s="316">
        <f t="shared" si="866"/>
        <v>0</v>
      </c>
      <c r="M596" s="316"/>
      <c r="X596" s="391">
        <f t="shared" si="867"/>
        <v>0</v>
      </c>
      <c r="AM596" s="316">
        <f t="shared" si="868"/>
        <v>0</v>
      </c>
    </row>
    <row r="597" spans="1:49">
      <c r="A597" s="391"/>
      <c r="L597" s="316">
        <f t="shared" si="866"/>
        <v>0</v>
      </c>
      <c r="M597" s="316"/>
      <c r="X597" s="391">
        <f t="shared" si="867"/>
        <v>0</v>
      </c>
      <c r="AM597" s="316">
        <f t="shared" si="868"/>
        <v>0</v>
      </c>
    </row>
    <row r="598" spans="1:49">
      <c r="A598" s="391"/>
      <c r="L598" s="316">
        <f t="shared" si="866"/>
        <v>0</v>
      </c>
      <c r="M598" s="316"/>
      <c r="X598" s="391">
        <f t="shared" si="867"/>
        <v>0</v>
      </c>
      <c r="AM598" s="316">
        <f t="shared" si="868"/>
        <v>0</v>
      </c>
    </row>
    <row r="599" spans="1:49">
      <c r="A599" s="391"/>
      <c r="L599" s="316">
        <f t="shared" si="866"/>
        <v>0</v>
      </c>
      <c r="M599" s="316"/>
      <c r="X599" s="391">
        <f t="shared" si="867"/>
        <v>0</v>
      </c>
      <c r="AM599" s="316">
        <f t="shared" si="868"/>
        <v>0</v>
      </c>
    </row>
    <row r="600" spans="1:49">
      <c r="A600" s="391"/>
      <c r="L600" s="316">
        <f t="shared" si="866"/>
        <v>0</v>
      </c>
      <c r="M600" s="316"/>
      <c r="X600" s="391">
        <f t="shared" si="867"/>
        <v>0</v>
      </c>
      <c r="AM600" s="316">
        <f t="shared" si="868"/>
        <v>0</v>
      </c>
    </row>
    <row r="601" spans="1:49">
      <c r="A601" s="391"/>
      <c r="L601" s="316">
        <f t="shared" si="866"/>
        <v>0</v>
      </c>
      <c r="M601" s="316"/>
      <c r="X601" s="391">
        <f t="shared" si="867"/>
        <v>0</v>
      </c>
      <c r="AM601" s="316">
        <f t="shared" si="868"/>
        <v>0</v>
      </c>
    </row>
    <row r="602" spans="1:49">
      <c r="A602" s="391"/>
      <c r="L602" s="316">
        <f t="shared" si="866"/>
        <v>0</v>
      </c>
      <c r="M602" s="316"/>
      <c r="X602" s="391">
        <f t="shared" si="867"/>
        <v>0</v>
      </c>
      <c r="AM602" s="316">
        <f t="shared" si="868"/>
        <v>0</v>
      </c>
    </row>
    <row r="603" spans="1:49" ht="15.75" thickBot="1">
      <c r="A603" s="394"/>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4">
        <f t="shared" si="867"/>
        <v>0</v>
      </c>
      <c r="Y603" s="236"/>
      <c r="Z603" s="385"/>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1"/>
      <c r="L604" s="316">
        <f t="shared" si="866"/>
        <v>0</v>
      </c>
      <c r="M604" s="316"/>
      <c r="X604" s="391">
        <f t="shared" si="867"/>
        <v>0</v>
      </c>
      <c r="AM604" s="316">
        <f t="shared" si="868"/>
        <v>0</v>
      </c>
    </row>
    <row r="605" spans="1:49">
      <c r="A605" s="391"/>
      <c r="L605" s="316">
        <f t="shared" si="866"/>
        <v>0</v>
      </c>
      <c r="M605" s="316"/>
      <c r="X605" s="391">
        <f t="shared" si="867"/>
        <v>0</v>
      </c>
      <c r="AM605" s="316">
        <f t="shared" si="868"/>
        <v>0</v>
      </c>
    </row>
    <row r="606" spans="1:49">
      <c r="A606" s="391"/>
      <c r="L606" s="316">
        <f t="shared" si="866"/>
        <v>0</v>
      </c>
      <c r="M606" s="316"/>
      <c r="X606" s="391">
        <f t="shared" si="867"/>
        <v>0</v>
      </c>
      <c r="AM606" s="316">
        <f t="shared" si="868"/>
        <v>0</v>
      </c>
    </row>
    <row r="607" spans="1:49">
      <c r="A607" s="391"/>
      <c r="L607" s="316">
        <f t="shared" si="866"/>
        <v>0</v>
      </c>
      <c r="M607" s="316"/>
      <c r="X607" s="391">
        <f t="shared" si="867"/>
        <v>0</v>
      </c>
      <c r="AM607" s="316">
        <f t="shared" si="868"/>
        <v>0</v>
      </c>
    </row>
    <row r="608" spans="1:49">
      <c r="A608" s="391"/>
      <c r="L608" s="316">
        <f t="shared" si="866"/>
        <v>0</v>
      </c>
      <c r="M608" s="316"/>
      <c r="X608" s="391">
        <f t="shared" si="867"/>
        <v>0</v>
      </c>
      <c r="AM608" s="316">
        <f t="shared" si="868"/>
        <v>0</v>
      </c>
    </row>
    <row r="609" spans="1:49">
      <c r="A609" s="391"/>
      <c r="L609" s="316">
        <f t="shared" si="866"/>
        <v>0</v>
      </c>
      <c r="M609" s="316"/>
      <c r="X609" s="391">
        <f t="shared" si="867"/>
        <v>0</v>
      </c>
      <c r="AM609" s="316">
        <f t="shared" si="868"/>
        <v>0</v>
      </c>
    </row>
    <row r="610" spans="1:49">
      <c r="A610" s="391"/>
      <c r="L610" s="316">
        <f t="shared" si="866"/>
        <v>0</v>
      </c>
      <c r="M610" s="316"/>
      <c r="X610" s="391">
        <f t="shared" si="867"/>
        <v>0</v>
      </c>
      <c r="AM610" s="316">
        <f t="shared" si="868"/>
        <v>0</v>
      </c>
    </row>
    <row r="611" spans="1:49">
      <c r="A611" s="391"/>
      <c r="L611" s="316">
        <f t="shared" si="866"/>
        <v>0</v>
      </c>
      <c r="M611" s="316"/>
      <c r="X611" s="391">
        <f t="shared" si="867"/>
        <v>0</v>
      </c>
      <c r="AM611" s="316">
        <f t="shared" si="868"/>
        <v>0</v>
      </c>
    </row>
    <row r="612" spans="1:49">
      <c r="A612" s="391"/>
      <c r="L612" s="316">
        <f t="shared" si="866"/>
        <v>0</v>
      </c>
      <c r="M612" s="316"/>
      <c r="X612" s="391">
        <f t="shared" si="867"/>
        <v>0</v>
      </c>
      <c r="AM612" s="316">
        <f t="shared" si="868"/>
        <v>0</v>
      </c>
    </row>
    <row r="613" spans="1:49">
      <c r="A613" s="391"/>
      <c r="L613" s="316">
        <f t="shared" si="866"/>
        <v>0</v>
      </c>
      <c r="M613" s="316"/>
      <c r="X613" s="391">
        <f t="shared" si="867"/>
        <v>0</v>
      </c>
      <c r="AM613" s="316">
        <f t="shared" si="868"/>
        <v>0</v>
      </c>
    </row>
    <row r="614" spans="1:49">
      <c r="A614" s="391"/>
      <c r="L614" s="316">
        <f t="shared" si="866"/>
        <v>0</v>
      </c>
      <c r="M614" s="316"/>
      <c r="X614" s="391">
        <f t="shared" si="867"/>
        <v>0</v>
      </c>
      <c r="AM614" s="316">
        <f t="shared" si="868"/>
        <v>0</v>
      </c>
    </row>
    <row r="615" spans="1:49" ht="15.75" thickBot="1">
      <c r="A615" s="394"/>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4">
        <f t="shared" si="867"/>
        <v>0</v>
      </c>
      <c r="Y615" s="236"/>
      <c r="Z615" s="385"/>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1"/>
      <c r="L616" s="316">
        <f t="shared" si="866"/>
        <v>0</v>
      </c>
      <c r="M616" s="316"/>
      <c r="X616" s="391">
        <f t="shared" si="867"/>
        <v>0</v>
      </c>
      <c r="AM616" s="316">
        <f t="shared" si="868"/>
        <v>0</v>
      </c>
    </row>
    <row r="617" spans="1:49">
      <c r="A617" s="391"/>
      <c r="L617" s="316">
        <f t="shared" si="866"/>
        <v>0</v>
      </c>
      <c r="M617" s="316"/>
      <c r="X617" s="391">
        <f t="shared" si="867"/>
        <v>0</v>
      </c>
      <c r="AM617" s="316">
        <f t="shared" si="868"/>
        <v>0</v>
      </c>
    </row>
    <row r="618" spans="1:49">
      <c r="A618" s="391"/>
      <c r="L618" s="316">
        <f t="shared" si="866"/>
        <v>0</v>
      </c>
      <c r="M618" s="316"/>
      <c r="X618" s="391">
        <f t="shared" si="867"/>
        <v>0</v>
      </c>
      <c r="AM618" s="316">
        <f t="shared" si="868"/>
        <v>0</v>
      </c>
    </row>
    <row r="619" spans="1:49">
      <c r="A619" s="391"/>
      <c r="L619" s="316">
        <f t="shared" si="866"/>
        <v>0</v>
      </c>
      <c r="M619" s="316"/>
      <c r="X619" s="391">
        <f t="shared" si="867"/>
        <v>0</v>
      </c>
      <c r="AM619" s="316">
        <f t="shared" si="868"/>
        <v>0</v>
      </c>
    </row>
    <row r="620" spans="1:49">
      <c r="A620" s="391"/>
      <c r="L620" s="316">
        <f t="shared" si="866"/>
        <v>0</v>
      </c>
      <c r="M620" s="316"/>
      <c r="X620" s="391">
        <f t="shared" si="867"/>
        <v>0</v>
      </c>
      <c r="AM620" s="316">
        <f t="shared" si="868"/>
        <v>0</v>
      </c>
    </row>
    <row r="621" spans="1:49">
      <c r="A621" s="391"/>
      <c r="L621" s="316">
        <f t="shared" si="866"/>
        <v>0</v>
      </c>
      <c r="M621" s="316"/>
      <c r="X621" s="391">
        <f t="shared" si="867"/>
        <v>0</v>
      </c>
      <c r="AM621" s="316">
        <f t="shared" si="868"/>
        <v>0</v>
      </c>
    </row>
    <row r="622" spans="1:49">
      <c r="A622" s="391"/>
      <c r="L622" s="316">
        <f t="shared" si="866"/>
        <v>0</v>
      </c>
      <c r="M622" s="316"/>
      <c r="X622" s="391">
        <f t="shared" si="867"/>
        <v>0</v>
      </c>
      <c r="AM622" s="316">
        <f t="shared" si="868"/>
        <v>0</v>
      </c>
    </row>
    <row r="623" spans="1:49">
      <c r="A623" s="391"/>
      <c r="L623" s="316">
        <f t="shared" si="866"/>
        <v>0</v>
      </c>
      <c r="M623" s="316"/>
      <c r="X623" s="391">
        <f t="shared" si="867"/>
        <v>0</v>
      </c>
      <c r="AM623" s="316">
        <f t="shared" si="868"/>
        <v>0</v>
      </c>
    </row>
    <row r="624" spans="1:49">
      <c r="A624" s="391"/>
      <c r="L624" s="316">
        <f t="shared" ref="L624:L687" si="869">IF(MOD(M624,12)=0,M624/12,L623)</f>
        <v>0</v>
      </c>
      <c r="M624" s="316"/>
      <c r="X624" s="391">
        <f t="shared" si="867"/>
        <v>0</v>
      </c>
      <c r="AM624" s="316">
        <f t="shared" si="868"/>
        <v>0</v>
      </c>
    </row>
    <row r="625" spans="1:49">
      <c r="A625" s="391"/>
      <c r="L625" s="316">
        <f t="shared" si="869"/>
        <v>0</v>
      </c>
      <c r="M625" s="316"/>
      <c r="X625" s="391">
        <f t="shared" si="867"/>
        <v>0</v>
      </c>
      <c r="AM625" s="316">
        <f t="shared" si="868"/>
        <v>0</v>
      </c>
    </row>
    <row r="626" spans="1:49">
      <c r="A626" s="391"/>
      <c r="L626" s="316">
        <f t="shared" si="869"/>
        <v>0</v>
      </c>
      <c r="M626" s="316"/>
      <c r="X626" s="391">
        <f t="shared" si="867"/>
        <v>0</v>
      </c>
      <c r="AM626" s="316">
        <f t="shared" si="868"/>
        <v>0</v>
      </c>
    </row>
    <row r="627" spans="1:49" ht="15.75" thickBot="1">
      <c r="A627" s="394"/>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4">
        <f t="shared" si="867"/>
        <v>0</v>
      </c>
      <c r="Y627" s="236"/>
      <c r="Z627" s="385"/>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1"/>
      <c r="L628" s="316">
        <f t="shared" si="869"/>
        <v>0</v>
      </c>
      <c r="M628" s="316"/>
      <c r="X628" s="391">
        <f t="shared" si="867"/>
        <v>0</v>
      </c>
      <c r="AM628" s="316">
        <f t="shared" si="868"/>
        <v>0</v>
      </c>
    </row>
    <row r="629" spans="1:49">
      <c r="A629" s="391"/>
      <c r="L629" s="316">
        <f t="shared" si="869"/>
        <v>0</v>
      </c>
      <c r="M629" s="316"/>
      <c r="X629" s="391">
        <f t="shared" si="867"/>
        <v>0</v>
      </c>
      <c r="AM629" s="316">
        <f t="shared" si="868"/>
        <v>0</v>
      </c>
    </row>
    <row r="630" spans="1:49">
      <c r="A630" s="391"/>
      <c r="L630" s="316">
        <f t="shared" si="869"/>
        <v>0</v>
      </c>
      <c r="M630" s="316"/>
      <c r="X630" s="391">
        <f t="shared" si="867"/>
        <v>0</v>
      </c>
      <c r="AM630" s="316">
        <f t="shared" si="868"/>
        <v>0</v>
      </c>
    </row>
    <row r="631" spans="1:49">
      <c r="A631" s="391"/>
      <c r="L631" s="316">
        <f t="shared" si="869"/>
        <v>0</v>
      </c>
      <c r="M631" s="316"/>
      <c r="X631" s="391">
        <f t="shared" si="867"/>
        <v>0</v>
      </c>
      <c r="AM631" s="316">
        <f t="shared" si="868"/>
        <v>0</v>
      </c>
    </row>
    <row r="632" spans="1:49">
      <c r="A632" s="391"/>
      <c r="L632" s="316">
        <f t="shared" si="869"/>
        <v>0</v>
      </c>
      <c r="M632" s="316"/>
      <c r="X632" s="391">
        <f t="shared" si="867"/>
        <v>0</v>
      </c>
      <c r="AM632" s="316">
        <f t="shared" si="868"/>
        <v>0</v>
      </c>
    </row>
    <row r="633" spans="1:49">
      <c r="A633" s="391"/>
      <c r="L633" s="316">
        <f t="shared" si="869"/>
        <v>0</v>
      </c>
      <c r="M633" s="316"/>
      <c r="X633" s="391">
        <f t="shared" si="867"/>
        <v>0</v>
      </c>
      <c r="AM633" s="316">
        <f t="shared" si="868"/>
        <v>0</v>
      </c>
    </row>
    <row r="634" spans="1:49">
      <c r="A634" s="391"/>
      <c r="L634" s="316">
        <f t="shared" si="869"/>
        <v>0</v>
      </c>
      <c r="M634" s="316"/>
      <c r="X634" s="391">
        <f t="shared" si="867"/>
        <v>0</v>
      </c>
      <c r="AM634" s="316">
        <f t="shared" si="868"/>
        <v>0</v>
      </c>
    </row>
    <row r="635" spans="1:49">
      <c r="A635" s="391"/>
      <c r="L635" s="316">
        <f t="shared" si="869"/>
        <v>0</v>
      </c>
      <c r="M635" s="316"/>
      <c r="X635" s="391">
        <f t="shared" si="867"/>
        <v>0</v>
      </c>
      <c r="AM635" s="316">
        <f t="shared" si="868"/>
        <v>0</v>
      </c>
    </row>
    <row r="636" spans="1:49">
      <c r="A636" s="391"/>
      <c r="L636" s="316">
        <f t="shared" si="869"/>
        <v>0</v>
      </c>
      <c r="M636" s="316"/>
      <c r="X636" s="391">
        <f t="shared" si="867"/>
        <v>0</v>
      </c>
      <c r="AM636" s="316">
        <f t="shared" si="868"/>
        <v>0</v>
      </c>
    </row>
    <row r="637" spans="1:49">
      <c r="A637" s="391"/>
      <c r="L637" s="316">
        <f t="shared" si="869"/>
        <v>0</v>
      </c>
      <c r="M637" s="316"/>
      <c r="X637" s="391">
        <f t="shared" si="867"/>
        <v>0</v>
      </c>
      <c r="AM637" s="316">
        <f t="shared" si="868"/>
        <v>0</v>
      </c>
    </row>
    <row r="638" spans="1:49">
      <c r="A638" s="391"/>
      <c r="L638" s="316">
        <f t="shared" si="869"/>
        <v>0</v>
      </c>
      <c r="M638" s="316"/>
      <c r="X638" s="391">
        <f t="shared" si="867"/>
        <v>0</v>
      </c>
      <c r="AM638" s="316">
        <f t="shared" si="868"/>
        <v>0</v>
      </c>
    </row>
    <row r="639" spans="1:49" ht="15.75" thickBot="1">
      <c r="A639" s="394"/>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4">
        <f t="shared" si="867"/>
        <v>0</v>
      </c>
      <c r="Y639" s="236"/>
      <c r="Z639" s="385"/>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1"/>
      <c r="L640" s="316">
        <f t="shared" si="869"/>
        <v>0</v>
      </c>
      <c r="M640" s="316"/>
      <c r="X640" s="391">
        <f t="shared" si="867"/>
        <v>0</v>
      </c>
      <c r="AM640" s="316">
        <f t="shared" si="868"/>
        <v>0</v>
      </c>
    </row>
    <row r="641" spans="1:49">
      <c r="A641" s="391"/>
      <c r="L641" s="316">
        <f t="shared" si="869"/>
        <v>0</v>
      </c>
      <c r="M641" s="316"/>
      <c r="X641" s="391">
        <f t="shared" si="867"/>
        <v>0</v>
      </c>
      <c r="AM641" s="316">
        <f t="shared" si="868"/>
        <v>0</v>
      </c>
    </row>
    <row r="642" spans="1:49">
      <c r="A642" s="391"/>
      <c r="L642" s="316">
        <f t="shared" si="869"/>
        <v>0</v>
      </c>
      <c r="M642" s="316"/>
      <c r="X642" s="391">
        <f t="shared" si="867"/>
        <v>0</v>
      </c>
      <c r="AM642" s="316">
        <f t="shared" si="868"/>
        <v>0</v>
      </c>
    </row>
    <row r="643" spans="1:49">
      <c r="A643" s="391"/>
      <c r="L643" s="316">
        <f t="shared" si="869"/>
        <v>0</v>
      </c>
      <c r="M643" s="316"/>
      <c r="X643" s="391">
        <f t="shared" si="867"/>
        <v>0</v>
      </c>
      <c r="AM643" s="316">
        <f t="shared" si="868"/>
        <v>0</v>
      </c>
    </row>
    <row r="644" spans="1:49">
      <c r="A644" s="391"/>
      <c r="L644" s="316">
        <f t="shared" si="869"/>
        <v>0</v>
      </c>
      <c r="M644" s="316"/>
      <c r="X644" s="391">
        <f t="shared" si="867"/>
        <v>0</v>
      </c>
      <c r="AM644" s="316">
        <f t="shared" si="868"/>
        <v>0</v>
      </c>
    </row>
    <row r="645" spans="1:49">
      <c r="A645" s="391"/>
      <c r="L645" s="316">
        <f t="shared" si="869"/>
        <v>0</v>
      </c>
      <c r="M645" s="316"/>
      <c r="X645" s="391">
        <f t="shared" si="867"/>
        <v>0</v>
      </c>
      <c r="AM645" s="316">
        <f t="shared" si="868"/>
        <v>0</v>
      </c>
    </row>
    <row r="646" spans="1:49">
      <c r="A646" s="391"/>
      <c r="L646" s="316">
        <f t="shared" si="869"/>
        <v>0</v>
      </c>
      <c r="M646" s="316"/>
      <c r="X646" s="391">
        <f t="shared" si="867"/>
        <v>0</v>
      </c>
      <c r="AM646" s="316">
        <f t="shared" si="868"/>
        <v>0</v>
      </c>
    </row>
    <row r="647" spans="1:49">
      <c r="A647" s="391"/>
      <c r="L647" s="316">
        <f t="shared" si="869"/>
        <v>0</v>
      </c>
      <c r="M647" s="316"/>
      <c r="X647" s="391">
        <f t="shared" si="867"/>
        <v>0</v>
      </c>
      <c r="AM647" s="316">
        <f t="shared" si="868"/>
        <v>0</v>
      </c>
    </row>
    <row r="648" spans="1:49">
      <c r="A648" s="391"/>
      <c r="L648" s="316">
        <f t="shared" si="869"/>
        <v>0</v>
      </c>
      <c r="M648" s="316"/>
      <c r="X648" s="391">
        <f t="shared" si="867"/>
        <v>0</v>
      </c>
      <c r="AM648" s="316">
        <f t="shared" si="868"/>
        <v>0</v>
      </c>
    </row>
    <row r="649" spans="1:49">
      <c r="A649" s="391"/>
      <c r="L649" s="316">
        <f t="shared" si="869"/>
        <v>0</v>
      </c>
      <c r="M649" s="316"/>
      <c r="X649" s="391">
        <f t="shared" si="867"/>
        <v>0</v>
      </c>
      <c r="AM649" s="316">
        <f t="shared" si="868"/>
        <v>0</v>
      </c>
    </row>
    <row r="650" spans="1:49">
      <c r="A650" s="391"/>
      <c r="L650" s="316">
        <f t="shared" si="869"/>
        <v>0</v>
      </c>
      <c r="M650" s="316"/>
      <c r="X650" s="391">
        <f t="shared" si="867"/>
        <v>0</v>
      </c>
      <c r="AM650" s="316">
        <f t="shared" si="868"/>
        <v>0</v>
      </c>
    </row>
    <row r="651" spans="1:49" ht="15.75" thickBot="1">
      <c r="A651" s="394"/>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4">
        <f t="shared" si="867"/>
        <v>0</v>
      </c>
      <c r="Y651" s="236"/>
      <c r="Z651" s="385"/>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1"/>
      <c r="L652" s="316">
        <f t="shared" si="869"/>
        <v>0</v>
      </c>
      <c r="M652" s="316"/>
      <c r="X652" s="391">
        <f t="shared" si="867"/>
        <v>0</v>
      </c>
      <c r="AM652" s="316">
        <f t="shared" si="868"/>
        <v>0</v>
      </c>
    </row>
    <row r="653" spans="1:49">
      <c r="A653" s="391"/>
      <c r="L653" s="316">
        <f t="shared" si="869"/>
        <v>0</v>
      </c>
      <c r="M653" s="316"/>
      <c r="X653" s="391">
        <f t="shared" si="867"/>
        <v>0</v>
      </c>
      <c r="AM653" s="316">
        <f t="shared" si="868"/>
        <v>0</v>
      </c>
    </row>
    <row r="654" spans="1:49">
      <c r="A654" s="391"/>
      <c r="L654" s="316">
        <f t="shared" si="869"/>
        <v>0</v>
      </c>
      <c r="M654" s="316"/>
      <c r="X654" s="391">
        <f t="shared" si="867"/>
        <v>0</v>
      </c>
      <c r="AM654" s="316">
        <f t="shared" si="868"/>
        <v>0</v>
      </c>
    </row>
    <row r="655" spans="1:49">
      <c r="A655" s="391"/>
      <c r="L655" s="316">
        <f t="shared" si="869"/>
        <v>0</v>
      </c>
      <c r="M655" s="316"/>
      <c r="X655" s="391">
        <f t="shared" si="867"/>
        <v>0</v>
      </c>
      <c r="AM655" s="316">
        <f t="shared" si="868"/>
        <v>0</v>
      </c>
    </row>
    <row r="656" spans="1:49">
      <c r="A656" s="391"/>
      <c r="L656" s="316">
        <f t="shared" si="869"/>
        <v>0</v>
      </c>
      <c r="M656" s="316"/>
      <c r="X656" s="391">
        <f t="shared" si="867"/>
        <v>0</v>
      </c>
      <c r="AM656" s="316">
        <f t="shared" si="868"/>
        <v>0</v>
      </c>
    </row>
    <row r="657" spans="1:49">
      <c r="A657" s="391"/>
      <c r="L657" s="316">
        <f t="shared" si="869"/>
        <v>0</v>
      </c>
      <c r="M657" s="316"/>
      <c r="X657" s="391">
        <f t="shared" ref="X657:X720" si="870">+A657</f>
        <v>0</v>
      </c>
      <c r="AM657" s="316">
        <f t="shared" ref="AM657:AM720" si="871">+L657</f>
        <v>0</v>
      </c>
    </row>
    <row r="658" spans="1:49">
      <c r="A658" s="391"/>
      <c r="L658" s="316">
        <f t="shared" si="869"/>
        <v>0</v>
      </c>
      <c r="M658" s="316"/>
      <c r="X658" s="391">
        <f t="shared" si="870"/>
        <v>0</v>
      </c>
      <c r="AM658" s="316">
        <f t="shared" si="871"/>
        <v>0</v>
      </c>
    </row>
    <row r="659" spans="1:49">
      <c r="A659" s="391"/>
      <c r="L659" s="316">
        <f t="shared" si="869"/>
        <v>0</v>
      </c>
      <c r="M659" s="316"/>
      <c r="X659" s="391">
        <f t="shared" si="870"/>
        <v>0</v>
      </c>
      <c r="AM659" s="316">
        <f t="shared" si="871"/>
        <v>0</v>
      </c>
    </row>
    <row r="660" spans="1:49">
      <c r="A660" s="391"/>
      <c r="L660" s="316">
        <f t="shared" si="869"/>
        <v>0</v>
      </c>
      <c r="M660" s="316"/>
      <c r="X660" s="391">
        <f t="shared" si="870"/>
        <v>0</v>
      </c>
      <c r="AM660" s="316">
        <f t="shared" si="871"/>
        <v>0</v>
      </c>
    </row>
    <row r="661" spans="1:49">
      <c r="A661" s="391"/>
      <c r="L661" s="316">
        <f t="shared" si="869"/>
        <v>0</v>
      </c>
      <c r="M661" s="316"/>
      <c r="X661" s="391">
        <f t="shared" si="870"/>
        <v>0</v>
      </c>
      <c r="AM661" s="316">
        <f t="shared" si="871"/>
        <v>0</v>
      </c>
    </row>
    <row r="662" spans="1:49">
      <c r="A662" s="391"/>
      <c r="L662" s="316">
        <f t="shared" si="869"/>
        <v>0</v>
      </c>
      <c r="M662" s="316"/>
      <c r="X662" s="391">
        <f t="shared" si="870"/>
        <v>0</v>
      </c>
      <c r="AM662" s="316">
        <f t="shared" si="871"/>
        <v>0</v>
      </c>
    </row>
    <row r="663" spans="1:49" ht="15.75" thickBot="1">
      <c r="A663" s="394"/>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4">
        <f t="shared" si="870"/>
        <v>0</v>
      </c>
      <c r="Y663" s="236"/>
      <c r="Z663" s="385"/>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1"/>
      <c r="L664" s="316">
        <f t="shared" si="869"/>
        <v>0</v>
      </c>
      <c r="M664" s="316"/>
      <c r="X664" s="391">
        <f t="shared" si="870"/>
        <v>0</v>
      </c>
      <c r="AM664" s="316">
        <f t="shared" si="871"/>
        <v>0</v>
      </c>
    </row>
    <row r="665" spans="1:49">
      <c r="A665" s="391"/>
      <c r="L665" s="316">
        <f t="shared" si="869"/>
        <v>0</v>
      </c>
      <c r="M665" s="316"/>
      <c r="X665" s="391">
        <f t="shared" si="870"/>
        <v>0</v>
      </c>
      <c r="AM665" s="316">
        <f t="shared" si="871"/>
        <v>0</v>
      </c>
    </row>
    <row r="666" spans="1:49">
      <c r="A666" s="391"/>
      <c r="L666" s="316">
        <f t="shared" si="869"/>
        <v>0</v>
      </c>
      <c r="M666" s="316"/>
      <c r="X666" s="391">
        <f t="shared" si="870"/>
        <v>0</v>
      </c>
      <c r="AM666" s="316">
        <f t="shared" si="871"/>
        <v>0</v>
      </c>
    </row>
    <row r="667" spans="1:49">
      <c r="A667" s="391"/>
      <c r="L667" s="316">
        <f t="shared" si="869"/>
        <v>0</v>
      </c>
      <c r="M667" s="316"/>
      <c r="X667" s="391">
        <f t="shared" si="870"/>
        <v>0</v>
      </c>
      <c r="AM667" s="316">
        <f t="shared" si="871"/>
        <v>0</v>
      </c>
    </row>
    <row r="668" spans="1:49">
      <c r="A668" s="391"/>
      <c r="L668" s="316">
        <f t="shared" si="869"/>
        <v>0</v>
      </c>
      <c r="M668" s="316"/>
      <c r="X668" s="391">
        <f t="shared" si="870"/>
        <v>0</v>
      </c>
      <c r="AM668" s="316">
        <f t="shared" si="871"/>
        <v>0</v>
      </c>
    </row>
    <row r="669" spans="1:49">
      <c r="A669" s="391"/>
      <c r="L669" s="316">
        <f t="shared" si="869"/>
        <v>0</v>
      </c>
      <c r="M669" s="316"/>
      <c r="X669" s="391">
        <f t="shared" si="870"/>
        <v>0</v>
      </c>
      <c r="AM669" s="316">
        <f t="shared" si="871"/>
        <v>0</v>
      </c>
    </row>
    <row r="670" spans="1:49">
      <c r="A670" s="391"/>
      <c r="L670" s="316">
        <f t="shared" si="869"/>
        <v>0</v>
      </c>
      <c r="M670" s="316"/>
      <c r="X670" s="391">
        <f t="shared" si="870"/>
        <v>0</v>
      </c>
      <c r="AM670" s="316">
        <f t="shared" si="871"/>
        <v>0</v>
      </c>
    </row>
    <row r="671" spans="1:49">
      <c r="A671" s="391"/>
      <c r="L671" s="316">
        <f t="shared" si="869"/>
        <v>0</v>
      </c>
      <c r="M671" s="316"/>
      <c r="X671" s="391">
        <f t="shared" si="870"/>
        <v>0</v>
      </c>
      <c r="AM671" s="316">
        <f t="shared" si="871"/>
        <v>0</v>
      </c>
    </row>
    <row r="672" spans="1:49">
      <c r="A672" s="391"/>
      <c r="L672" s="316">
        <f t="shared" si="869"/>
        <v>0</v>
      </c>
      <c r="M672" s="316"/>
      <c r="X672" s="391">
        <f t="shared" si="870"/>
        <v>0</v>
      </c>
      <c r="AM672" s="316">
        <f t="shared" si="871"/>
        <v>0</v>
      </c>
    </row>
    <row r="673" spans="1:49">
      <c r="A673" s="391"/>
      <c r="L673" s="316">
        <f t="shared" si="869"/>
        <v>0</v>
      </c>
      <c r="M673" s="316"/>
      <c r="X673" s="391">
        <f t="shared" si="870"/>
        <v>0</v>
      </c>
      <c r="AM673" s="316">
        <f t="shared" si="871"/>
        <v>0</v>
      </c>
    </row>
    <row r="674" spans="1:49">
      <c r="A674" s="391"/>
      <c r="L674" s="316">
        <f t="shared" si="869"/>
        <v>0</v>
      </c>
      <c r="M674" s="316"/>
      <c r="X674" s="391">
        <f t="shared" si="870"/>
        <v>0</v>
      </c>
      <c r="AM674" s="316">
        <f t="shared" si="871"/>
        <v>0</v>
      </c>
    </row>
    <row r="675" spans="1:49" ht="15.75" thickBot="1">
      <c r="A675" s="394"/>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4">
        <f t="shared" si="870"/>
        <v>0</v>
      </c>
      <c r="Y675" s="236"/>
      <c r="Z675" s="385"/>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1"/>
      <c r="L676" s="316">
        <f t="shared" si="869"/>
        <v>0</v>
      </c>
      <c r="M676" s="316"/>
      <c r="X676" s="391">
        <f t="shared" si="870"/>
        <v>0</v>
      </c>
      <c r="AM676" s="316">
        <f t="shared" si="871"/>
        <v>0</v>
      </c>
    </row>
    <row r="677" spans="1:49">
      <c r="A677" s="391"/>
      <c r="L677" s="316">
        <f t="shared" si="869"/>
        <v>0</v>
      </c>
      <c r="M677" s="316"/>
      <c r="X677" s="391">
        <f t="shared" si="870"/>
        <v>0</v>
      </c>
      <c r="AM677" s="316">
        <f t="shared" si="871"/>
        <v>0</v>
      </c>
    </row>
    <row r="678" spans="1:49">
      <c r="A678" s="391"/>
      <c r="L678" s="316">
        <f t="shared" si="869"/>
        <v>0</v>
      </c>
      <c r="M678" s="316"/>
      <c r="X678" s="391">
        <f t="shared" si="870"/>
        <v>0</v>
      </c>
      <c r="AM678" s="316">
        <f t="shared" si="871"/>
        <v>0</v>
      </c>
    </row>
    <row r="679" spans="1:49">
      <c r="A679" s="391"/>
      <c r="L679" s="316">
        <f t="shared" si="869"/>
        <v>0</v>
      </c>
      <c r="M679" s="316"/>
      <c r="X679" s="391">
        <f t="shared" si="870"/>
        <v>0</v>
      </c>
      <c r="AM679" s="316">
        <f t="shared" si="871"/>
        <v>0</v>
      </c>
    </row>
    <row r="680" spans="1:49">
      <c r="A680" s="391"/>
      <c r="L680" s="316">
        <f t="shared" si="869"/>
        <v>0</v>
      </c>
      <c r="M680" s="316"/>
      <c r="X680" s="391">
        <f t="shared" si="870"/>
        <v>0</v>
      </c>
      <c r="AM680" s="316">
        <f t="shared" si="871"/>
        <v>0</v>
      </c>
    </row>
    <row r="681" spans="1:49">
      <c r="A681" s="391"/>
      <c r="L681" s="316">
        <f t="shared" si="869"/>
        <v>0</v>
      </c>
      <c r="M681" s="316"/>
      <c r="X681" s="391">
        <f t="shared" si="870"/>
        <v>0</v>
      </c>
      <c r="AM681" s="316">
        <f t="shared" si="871"/>
        <v>0</v>
      </c>
    </row>
    <row r="682" spans="1:49">
      <c r="A682" s="391"/>
      <c r="L682" s="316">
        <f t="shared" si="869"/>
        <v>0</v>
      </c>
      <c r="M682" s="316"/>
      <c r="X682" s="391">
        <f t="shared" si="870"/>
        <v>0</v>
      </c>
      <c r="AM682" s="316">
        <f t="shared" si="871"/>
        <v>0</v>
      </c>
    </row>
    <row r="683" spans="1:49">
      <c r="A683" s="391"/>
      <c r="L683" s="316">
        <f t="shared" si="869"/>
        <v>0</v>
      </c>
      <c r="M683" s="316"/>
      <c r="X683" s="391">
        <f t="shared" si="870"/>
        <v>0</v>
      </c>
      <c r="AM683" s="316">
        <f t="shared" si="871"/>
        <v>0</v>
      </c>
    </row>
    <row r="684" spans="1:49">
      <c r="A684" s="391"/>
      <c r="L684" s="316">
        <f t="shared" si="869"/>
        <v>0</v>
      </c>
      <c r="M684" s="316"/>
      <c r="X684" s="391">
        <f t="shared" si="870"/>
        <v>0</v>
      </c>
      <c r="AM684" s="316">
        <f t="shared" si="871"/>
        <v>0</v>
      </c>
    </row>
    <row r="685" spans="1:49">
      <c r="A685" s="391"/>
      <c r="L685" s="316">
        <f t="shared" si="869"/>
        <v>0</v>
      </c>
      <c r="M685" s="316"/>
      <c r="X685" s="391">
        <f t="shared" si="870"/>
        <v>0</v>
      </c>
      <c r="AM685" s="316">
        <f t="shared" si="871"/>
        <v>0</v>
      </c>
    </row>
    <row r="686" spans="1:49">
      <c r="A686" s="391"/>
      <c r="L686" s="316">
        <f t="shared" si="869"/>
        <v>0</v>
      </c>
      <c r="M686" s="316"/>
      <c r="X686" s="391">
        <f t="shared" si="870"/>
        <v>0</v>
      </c>
      <c r="AM686" s="316">
        <f t="shared" si="871"/>
        <v>0</v>
      </c>
    </row>
    <row r="687" spans="1:49" ht="15.75" thickBot="1">
      <c r="A687" s="394"/>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4">
        <f t="shared" si="870"/>
        <v>0</v>
      </c>
      <c r="Y687" s="236"/>
      <c r="Z687" s="385"/>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1"/>
      <c r="L688" s="316">
        <f t="shared" ref="L688:L751" si="872">IF(MOD(M688,12)=0,M688/12,L687)</f>
        <v>0</v>
      </c>
      <c r="M688" s="316"/>
      <c r="X688" s="391">
        <f t="shared" si="870"/>
        <v>0</v>
      </c>
      <c r="AM688" s="316">
        <f t="shared" si="871"/>
        <v>0</v>
      </c>
    </row>
    <row r="689" spans="1:49">
      <c r="A689" s="391"/>
      <c r="L689" s="316">
        <f t="shared" si="872"/>
        <v>0</v>
      </c>
      <c r="M689" s="316"/>
      <c r="X689" s="391">
        <f t="shared" si="870"/>
        <v>0</v>
      </c>
      <c r="AM689" s="316">
        <f t="shared" si="871"/>
        <v>0</v>
      </c>
    </row>
    <row r="690" spans="1:49">
      <c r="A690" s="391"/>
      <c r="L690" s="316">
        <f t="shared" si="872"/>
        <v>0</v>
      </c>
      <c r="M690" s="316"/>
      <c r="X690" s="391">
        <f t="shared" si="870"/>
        <v>0</v>
      </c>
      <c r="AM690" s="316">
        <f t="shared" si="871"/>
        <v>0</v>
      </c>
    </row>
    <row r="691" spans="1:49">
      <c r="A691" s="391"/>
      <c r="L691" s="316">
        <f t="shared" si="872"/>
        <v>0</v>
      </c>
      <c r="M691" s="316"/>
      <c r="X691" s="391">
        <f t="shared" si="870"/>
        <v>0</v>
      </c>
      <c r="AM691" s="316">
        <f t="shared" si="871"/>
        <v>0</v>
      </c>
    </row>
    <row r="692" spans="1:49">
      <c r="A692" s="391"/>
      <c r="L692" s="316">
        <f t="shared" si="872"/>
        <v>0</v>
      </c>
      <c r="M692" s="316"/>
      <c r="X692" s="391">
        <f t="shared" si="870"/>
        <v>0</v>
      </c>
      <c r="AM692" s="316">
        <f t="shared" si="871"/>
        <v>0</v>
      </c>
    </row>
    <row r="693" spans="1:49">
      <c r="A693" s="391"/>
      <c r="L693" s="316">
        <f t="shared" si="872"/>
        <v>0</v>
      </c>
      <c r="M693" s="316"/>
      <c r="X693" s="391">
        <f t="shared" si="870"/>
        <v>0</v>
      </c>
      <c r="AM693" s="316">
        <f t="shared" si="871"/>
        <v>0</v>
      </c>
    </row>
    <row r="694" spans="1:49">
      <c r="A694" s="391"/>
      <c r="L694" s="316">
        <f t="shared" si="872"/>
        <v>0</v>
      </c>
      <c r="M694" s="316"/>
      <c r="X694" s="391">
        <f t="shared" si="870"/>
        <v>0</v>
      </c>
      <c r="AM694" s="316">
        <f t="shared" si="871"/>
        <v>0</v>
      </c>
    </row>
    <row r="695" spans="1:49">
      <c r="A695" s="391"/>
      <c r="L695" s="316">
        <f t="shared" si="872"/>
        <v>0</v>
      </c>
      <c r="M695" s="316"/>
      <c r="X695" s="391">
        <f t="shared" si="870"/>
        <v>0</v>
      </c>
      <c r="AM695" s="316">
        <f t="shared" si="871"/>
        <v>0</v>
      </c>
    </row>
    <row r="696" spans="1:49">
      <c r="A696" s="391"/>
      <c r="L696" s="316">
        <f t="shared" si="872"/>
        <v>0</v>
      </c>
      <c r="M696" s="316"/>
      <c r="X696" s="391">
        <f t="shared" si="870"/>
        <v>0</v>
      </c>
      <c r="AM696" s="316">
        <f t="shared" si="871"/>
        <v>0</v>
      </c>
    </row>
    <row r="697" spans="1:49">
      <c r="A697" s="391"/>
      <c r="L697" s="316">
        <f t="shared" si="872"/>
        <v>0</v>
      </c>
      <c r="M697" s="316"/>
      <c r="X697" s="391">
        <f t="shared" si="870"/>
        <v>0</v>
      </c>
      <c r="AM697" s="316">
        <f t="shared" si="871"/>
        <v>0</v>
      </c>
    </row>
    <row r="698" spans="1:49">
      <c r="A698" s="391"/>
      <c r="L698" s="316">
        <f t="shared" si="872"/>
        <v>0</v>
      </c>
      <c r="M698" s="316"/>
      <c r="X698" s="391">
        <f t="shared" si="870"/>
        <v>0</v>
      </c>
      <c r="AM698" s="316">
        <f t="shared" si="871"/>
        <v>0</v>
      </c>
    </row>
    <row r="699" spans="1:49" ht="15.75" thickBot="1">
      <c r="A699" s="394"/>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4">
        <f t="shared" si="870"/>
        <v>0</v>
      </c>
      <c r="Y699" s="236"/>
      <c r="Z699" s="385"/>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1"/>
      <c r="L700" s="316">
        <f t="shared" si="872"/>
        <v>0</v>
      </c>
      <c r="M700" s="316"/>
      <c r="X700" s="391">
        <f t="shared" si="870"/>
        <v>0</v>
      </c>
      <c r="AM700" s="316">
        <f t="shared" si="871"/>
        <v>0</v>
      </c>
    </row>
    <row r="701" spans="1:49">
      <c r="A701" s="391"/>
      <c r="L701" s="316">
        <f t="shared" si="872"/>
        <v>0</v>
      </c>
      <c r="M701" s="316"/>
      <c r="X701" s="391">
        <f t="shared" si="870"/>
        <v>0</v>
      </c>
      <c r="AM701" s="316">
        <f t="shared" si="871"/>
        <v>0</v>
      </c>
    </row>
    <row r="702" spans="1:49">
      <c r="A702" s="391"/>
      <c r="L702" s="316">
        <f t="shared" si="872"/>
        <v>0</v>
      </c>
      <c r="M702" s="316"/>
      <c r="X702" s="391">
        <f t="shared" si="870"/>
        <v>0</v>
      </c>
      <c r="AM702" s="316">
        <f t="shared" si="871"/>
        <v>0</v>
      </c>
    </row>
    <row r="703" spans="1:49">
      <c r="A703" s="391"/>
      <c r="L703" s="316">
        <f t="shared" si="872"/>
        <v>0</v>
      </c>
      <c r="M703" s="316"/>
      <c r="X703" s="391">
        <f t="shared" si="870"/>
        <v>0</v>
      </c>
      <c r="AM703" s="316">
        <f t="shared" si="871"/>
        <v>0</v>
      </c>
    </row>
    <row r="704" spans="1:49">
      <c r="A704" s="391"/>
      <c r="L704" s="316">
        <f t="shared" si="872"/>
        <v>0</v>
      </c>
      <c r="M704" s="316"/>
      <c r="X704" s="391">
        <f t="shared" si="870"/>
        <v>0</v>
      </c>
      <c r="AM704" s="316">
        <f t="shared" si="871"/>
        <v>0</v>
      </c>
    </row>
    <row r="705" spans="1:49">
      <c r="A705" s="391"/>
      <c r="L705" s="316">
        <f t="shared" si="872"/>
        <v>0</v>
      </c>
      <c r="M705" s="316"/>
      <c r="X705" s="391">
        <f t="shared" si="870"/>
        <v>0</v>
      </c>
      <c r="AM705" s="316">
        <f t="shared" si="871"/>
        <v>0</v>
      </c>
    </row>
    <row r="706" spans="1:49">
      <c r="A706" s="391"/>
      <c r="L706" s="316">
        <f t="shared" si="872"/>
        <v>0</v>
      </c>
      <c r="M706" s="316"/>
      <c r="X706" s="391">
        <f t="shared" si="870"/>
        <v>0</v>
      </c>
      <c r="AM706" s="316">
        <f t="shared" si="871"/>
        <v>0</v>
      </c>
    </row>
    <row r="707" spans="1:49">
      <c r="A707" s="391"/>
      <c r="L707" s="316">
        <f t="shared" si="872"/>
        <v>0</v>
      </c>
      <c r="M707" s="316"/>
      <c r="X707" s="391">
        <f t="shared" si="870"/>
        <v>0</v>
      </c>
      <c r="AM707" s="316">
        <f t="shared" si="871"/>
        <v>0</v>
      </c>
    </row>
    <row r="708" spans="1:49">
      <c r="A708" s="391"/>
      <c r="L708" s="316">
        <f t="shared" si="872"/>
        <v>0</v>
      </c>
      <c r="M708" s="316"/>
      <c r="X708" s="391">
        <f t="shared" si="870"/>
        <v>0</v>
      </c>
      <c r="AM708" s="316">
        <f t="shared" si="871"/>
        <v>0</v>
      </c>
    </row>
    <row r="709" spans="1:49">
      <c r="A709" s="391"/>
      <c r="L709" s="316">
        <f t="shared" si="872"/>
        <v>0</v>
      </c>
      <c r="M709" s="316"/>
      <c r="X709" s="391">
        <f t="shared" si="870"/>
        <v>0</v>
      </c>
      <c r="AM709" s="316">
        <f t="shared" si="871"/>
        <v>0</v>
      </c>
    </row>
    <row r="710" spans="1:49">
      <c r="A710" s="391"/>
      <c r="L710" s="316">
        <f t="shared" si="872"/>
        <v>0</v>
      </c>
      <c r="M710" s="316"/>
      <c r="X710" s="391">
        <f t="shared" si="870"/>
        <v>0</v>
      </c>
      <c r="AM710" s="316">
        <f t="shared" si="871"/>
        <v>0</v>
      </c>
    </row>
    <row r="711" spans="1:49" ht="15.75" thickBot="1">
      <c r="A711" s="394"/>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4">
        <f t="shared" si="870"/>
        <v>0</v>
      </c>
      <c r="Y711" s="236"/>
      <c r="Z711" s="385"/>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1"/>
      <c r="L712" s="316">
        <f t="shared" si="872"/>
        <v>0</v>
      </c>
      <c r="M712" s="316"/>
      <c r="X712" s="391">
        <f t="shared" si="870"/>
        <v>0</v>
      </c>
      <c r="AM712" s="316">
        <f t="shared" si="871"/>
        <v>0</v>
      </c>
    </row>
    <row r="713" spans="1:49">
      <c r="A713" s="391"/>
      <c r="L713" s="316">
        <f t="shared" si="872"/>
        <v>0</v>
      </c>
      <c r="M713" s="316"/>
      <c r="X713" s="391">
        <f t="shared" si="870"/>
        <v>0</v>
      </c>
      <c r="AM713" s="316">
        <f t="shared" si="871"/>
        <v>0</v>
      </c>
    </row>
    <row r="714" spans="1:49">
      <c r="A714" s="391"/>
      <c r="L714" s="316">
        <f t="shared" si="872"/>
        <v>0</v>
      </c>
      <c r="M714" s="316"/>
      <c r="X714" s="391">
        <f t="shared" si="870"/>
        <v>0</v>
      </c>
      <c r="AM714" s="316">
        <f t="shared" si="871"/>
        <v>0</v>
      </c>
    </row>
    <row r="715" spans="1:49">
      <c r="A715" s="391"/>
      <c r="L715" s="316">
        <f t="shared" si="872"/>
        <v>0</v>
      </c>
      <c r="M715" s="316"/>
      <c r="X715" s="391">
        <f t="shared" si="870"/>
        <v>0</v>
      </c>
      <c r="AM715" s="316">
        <f t="shared" si="871"/>
        <v>0</v>
      </c>
    </row>
    <row r="716" spans="1:49">
      <c r="A716" s="391"/>
      <c r="L716" s="316">
        <f t="shared" si="872"/>
        <v>0</v>
      </c>
      <c r="M716" s="316"/>
      <c r="X716" s="391">
        <f t="shared" si="870"/>
        <v>0</v>
      </c>
      <c r="AM716" s="316">
        <f t="shared" si="871"/>
        <v>0</v>
      </c>
    </row>
    <row r="717" spans="1:49">
      <c r="A717" s="391"/>
      <c r="L717" s="316">
        <f t="shared" si="872"/>
        <v>0</v>
      </c>
      <c r="M717" s="316"/>
      <c r="X717" s="391">
        <f t="shared" si="870"/>
        <v>0</v>
      </c>
      <c r="AM717" s="316">
        <f t="shared" si="871"/>
        <v>0</v>
      </c>
    </row>
    <row r="718" spans="1:49">
      <c r="A718" s="391"/>
      <c r="L718" s="316">
        <f t="shared" si="872"/>
        <v>0</v>
      </c>
      <c r="M718" s="316"/>
      <c r="X718" s="391">
        <f t="shared" si="870"/>
        <v>0</v>
      </c>
      <c r="AM718" s="316">
        <f t="shared" si="871"/>
        <v>0</v>
      </c>
    </row>
    <row r="719" spans="1:49">
      <c r="A719" s="391"/>
      <c r="L719" s="316">
        <f t="shared" si="872"/>
        <v>0</v>
      </c>
      <c r="M719" s="316"/>
      <c r="X719" s="391">
        <f t="shared" si="870"/>
        <v>0</v>
      </c>
      <c r="AM719" s="316">
        <f t="shared" si="871"/>
        <v>0</v>
      </c>
    </row>
    <row r="720" spans="1:49">
      <c r="A720" s="391"/>
      <c r="L720" s="316">
        <f t="shared" si="872"/>
        <v>0</v>
      </c>
      <c r="M720" s="316"/>
      <c r="X720" s="391">
        <f t="shared" si="870"/>
        <v>0</v>
      </c>
      <c r="AM720" s="316">
        <f t="shared" si="871"/>
        <v>0</v>
      </c>
    </row>
    <row r="721" spans="1:49">
      <c r="A721" s="391"/>
      <c r="L721" s="316">
        <f t="shared" si="872"/>
        <v>0</v>
      </c>
      <c r="M721" s="316"/>
      <c r="X721" s="391">
        <f t="shared" ref="X721:X783" si="873">+A721</f>
        <v>0</v>
      </c>
      <c r="AM721" s="316">
        <f t="shared" ref="AM721:AM724" si="874">+L721</f>
        <v>0</v>
      </c>
    </row>
    <row r="722" spans="1:49">
      <c r="A722" s="391"/>
      <c r="L722" s="316">
        <f t="shared" si="872"/>
        <v>0</v>
      </c>
      <c r="M722" s="316"/>
      <c r="X722" s="391">
        <f t="shared" si="873"/>
        <v>0</v>
      </c>
      <c r="AM722" s="316">
        <f t="shared" si="874"/>
        <v>0</v>
      </c>
    </row>
    <row r="723" spans="1:49" ht="15.75" thickBot="1">
      <c r="A723" s="394"/>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4">
        <f t="shared" si="873"/>
        <v>0</v>
      </c>
      <c r="Y723" s="236"/>
      <c r="Z723" s="385"/>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1"/>
      <c r="L724" s="316">
        <f t="shared" si="872"/>
        <v>0</v>
      </c>
      <c r="M724" s="316"/>
      <c r="X724" s="391">
        <f t="shared" si="873"/>
        <v>0</v>
      </c>
      <c r="AM724" s="316">
        <f t="shared" si="874"/>
        <v>0</v>
      </c>
    </row>
    <row r="725" spans="1:49">
      <c r="A725" s="391"/>
      <c r="L725" s="316">
        <f t="shared" si="872"/>
        <v>0</v>
      </c>
      <c r="M725" s="316"/>
      <c r="X725" s="391">
        <f t="shared" si="873"/>
        <v>0</v>
      </c>
      <c r="AM725" s="316"/>
    </row>
    <row r="726" spans="1:49">
      <c r="A726" s="391"/>
      <c r="L726" s="316">
        <f t="shared" si="872"/>
        <v>0</v>
      </c>
      <c r="M726" s="316"/>
      <c r="X726" s="391">
        <f t="shared" si="873"/>
        <v>0</v>
      </c>
      <c r="AM726" s="316"/>
    </row>
    <row r="727" spans="1:49">
      <c r="A727" s="391"/>
      <c r="L727" s="316">
        <f t="shared" si="872"/>
        <v>0</v>
      </c>
      <c r="M727" s="316"/>
      <c r="X727" s="391">
        <f t="shared" si="873"/>
        <v>0</v>
      </c>
      <c r="AM727" s="316"/>
    </row>
    <row r="728" spans="1:49">
      <c r="A728" s="391"/>
      <c r="L728" s="316">
        <f t="shared" si="872"/>
        <v>0</v>
      </c>
      <c r="M728" s="316"/>
      <c r="X728" s="391">
        <f t="shared" si="873"/>
        <v>0</v>
      </c>
      <c r="AM728" s="316"/>
    </row>
    <row r="729" spans="1:49">
      <c r="A729" s="391"/>
      <c r="L729" s="316">
        <f t="shared" si="872"/>
        <v>0</v>
      </c>
      <c r="M729" s="316"/>
      <c r="X729" s="391">
        <f t="shared" si="873"/>
        <v>0</v>
      </c>
      <c r="AM729" s="316"/>
    </row>
    <row r="730" spans="1:49">
      <c r="A730" s="391"/>
      <c r="L730" s="316">
        <f t="shared" si="872"/>
        <v>0</v>
      </c>
      <c r="M730" s="316"/>
      <c r="X730" s="391">
        <f t="shared" si="873"/>
        <v>0</v>
      </c>
      <c r="AM730" s="316"/>
    </row>
    <row r="731" spans="1:49">
      <c r="A731" s="391"/>
      <c r="L731" s="316">
        <f t="shared" si="872"/>
        <v>0</v>
      </c>
      <c r="M731" s="316"/>
      <c r="X731" s="391">
        <f t="shared" si="873"/>
        <v>0</v>
      </c>
      <c r="AM731" s="316"/>
    </row>
    <row r="732" spans="1:49">
      <c r="A732" s="391"/>
      <c r="L732" s="316">
        <f t="shared" si="872"/>
        <v>0</v>
      </c>
      <c r="M732" s="316"/>
      <c r="X732" s="391">
        <f t="shared" si="873"/>
        <v>0</v>
      </c>
      <c r="AM732" s="316"/>
    </row>
    <row r="733" spans="1:49">
      <c r="A733" s="391"/>
      <c r="L733" s="316">
        <f t="shared" si="872"/>
        <v>0</v>
      </c>
      <c r="M733" s="316"/>
      <c r="X733" s="391">
        <f t="shared" si="873"/>
        <v>0</v>
      </c>
      <c r="AM733" s="316"/>
    </row>
    <row r="734" spans="1:49">
      <c r="A734" s="391"/>
      <c r="L734" s="316">
        <f t="shared" si="872"/>
        <v>0</v>
      </c>
      <c r="M734" s="316"/>
      <c r="X734" s="391">
        <f t="shared" si="873"/>
        <v>0</v>
      </c>
      <c r="AM734" s="316"/>
    </row>
    <row r="735" spans="1:49" ht="15.75" thickBot="1">
      <c r="A735" s="394"/>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4">
        <f t="shared" si="873"/>
        <v>0</v>
      </c>
      <c r="Y735" s="236"/>
      <c r="Z735" s="385"/>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1"/>
      <c r="L736" s="316">
        <f t="shared" si="872"/>
        <v>0</v>
      </c>
      <c r="M736" s="316"/>
      <c r="X736" s="391">
        <f t="shared" si="873"/>
        <v>0</v>
      </c>
      <c r="AM736" s="316"/>
    </row>
    <row r="737" spans="1:49">
      <c r="A737" s="391"/>
      <c r="L737" s="316">
        <f t="shared" si="872"/>
        <v>0</v>
      </c>
      <c r="M737" s="316"/>
      <c r="X737" s="391">
        <f t="shared" si="873"/>
        <v>0</v>
      </c>
      <c r="AM737" s="316"/>
    </row>
    <row r="738" spans="1:49">
      <c r="A738" s="391"/>
      <c r="L738" s="316">
        <f t="shared" si="872"/>
        <v>0</v>
      </c>
      <c r="M738" s="316"/>
      <c r="X738" s="391">
        <f t="shared" si="873"/>
        <v>0</v>
      </c>
      <c r="AM738" s="316"/>
    </row>
    <row r="739" spans="1:49">
      <c r="A739" s="391"/>
      <c r="L739" s="316">
        <f t="shared" si="872"/>
        <v>0</v>
      </c>
      <c r="M739" s="316"/>
      <c r="X739" s="391">
        <f t="shared" si="873"/>
        <v>0</v>
      </c>
      <c r="AM739" s="316"/>
    </row>
    <row r="740" spans="1:49">
      <c r="A740" s="391"/>
      <c r="L740" s="316">
        <f t="shared" si="872"/>
        <v>0</v>
      </c>
      <c r="M740" s="316"/>
      <c r="X740" s="391">
        <f t="shared" si="873"/>
        <v>0</v>
      </c>
      <c r="AM740" s="316"/>
    </row>
    <row r="741" spans="1:49">
      <c r="A741" s="391"/>
      <c r="L741" s="316">
        <f t="shared" si="872"/>
        <v>0</v>
      </c>
      <c r="M741" s="316"/>
      <c r="X741" s="391">
        <f t="shared" si="873"/>
        <v>0</v>
      </c>
      <c r="AM741" s="316"/>
    </row>
    <row r="742" spans="1:49">
      <c r="A742" s="391"/>
      <c r="L742" s="316">
        <f t="shared" si="872"/>
        <v>0</v>
      </c>
      <c r="M742" s="316"/>
      <c r="X742" s="391">
        <f t="shared" si="873"/>
        <v>0</v>
      </c>
      <c r="AM742" s="316"/>
    </row>
    <row r="743" spans="1:49">
      <c r="A743" s="391"/>
      <c r="L743" s="316">
        <f t="shared" si="872"/>
        <v>0</v>
      </c>
      <c r="M743" s="316"/>
      <c r="X743" s="391">
        <f t="shared" si="873"/>
        <v>0</v>
      </c>
      <c r="AM743" s="316"/>
    </row>
    <row r="744" spans="1:49">
      <c r="A744" s="391"/>
      <c r="L744" s="316">
        <f t="shared" si="872"/>
        <v>0</v>
      </c>
      <c r="M744" s="316"/>
      <c r="X744" s="391">
        <f t="shared" si="873"/>
        <v>0</v>
      </c>
      <c r="AM744" s="316"/>
    </row>
    <row r="745" spans="1:49">
      <c r="A745" s="391"/>
      <c r="L745" s="316">
        <f t="shared" si="872"/>
        <v>0</v>
      </c>
      <c r="M745" s="316"/>
      <c r="X745" s="391">
        <f t="shared" si="873"/>
        <v>0</v>
      </c>
      <c r="AM745" s="316"/>
    </row>
    <row r="746" spans="1:49">
      <c r="A746" s="391"/>
      <c r="L746" s="316">
        <f t="shared" si="872"/>
        <v>0</v>
      </c>
      <c r="M746" s="316"/>
      <c r="X746" s="391">
        <f t="shared" si="873"/>
        <v>0</v>
      </c>
      <c r="AM746" s="316"/>
    </row>
    <row r="747" spans="1:49" ht="15.75" thickBot="1">
      <c r="A747" s="394"/>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4">
        <f t="shared" si="873"/>
        <v>0</v>
      </c>
      <c r="Y747" s="236"/>
      <c r="Z747" s="385"/>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1"/>
      <c r="L748" s="316">
        <f t="shared" si="872"/>
        <v>0</v>
      </c>
      <c r="M748" s="316"/>
      <c r="X748" s="391">
        <f t="shared" si="873"/>
        <v>0</v>
      </c>
      <c r="AM748" s="316"/>
    </row>
    <row r="749" spans="1:49">
      <c r="A749" s="391"/>
      <c r="L749" s="316">
        <f t="shared" si="872"/>
        <v>0</v>
      </c>
      <c r="M749" s="316"/>
      <c r="X749" s="391">
        <f t="shared" si="873"/>
        <v>0</v>
      </c>
      <c r="AM749" s="316"/>
    </row>
    <row r="750" spans="1:49">
      <c r="A750" s="391"/>
      <c r="L750" s="316">
        <f t="shared" si="872"/>
        <v>0</v>
      </c>
      <c r="M750" s="316"/>
      <c r="X750" s="391">
        <f t="shared" si="873"/>
        <v>0</v>
      </c>
      <c r="AM750" s="316"/>
    </row>
    <row r="751" spans="1:49">
      <c r="A751" s="391"/>
      <c r="L751" s="316">
        <f t="shared" si="872"/>
        <v>0</v>
      </c>
      <c r="M751" s="316"/>
      <c r="X751" s="391">
        <f t="shared" si="873"/>
        <v>0</v>
      </c>
      <c r="AM751" s="316"/>
    </row>
    <row r="752" spans="1:49">
      <c r="A752" s="391"/>
      <c r="L752" s="316">
        <f t="shared" ref="L752:L783" si="875">IF(MOD(M752,12)=0,M752/12,L751)</f>
        <v>0</v>
      </c>
      <c r="M752" s="316"/>
      <c r="X752" s="391">
        <f t="shared" si="873"/>
        <v>0</v>
      </c>
      <c r="AM752" s="316"/>
    </row>
    <row r="753" spans="1:49">
      <c r="A753" s="391"/>
      <c r="L753" s="316">
        <f t="shared" si="875"/>
        <v>0</v>
      </c>
      <c r="M753" s="316"/>
      <c r="X753" s="391">
        <f t="shared" si="873"/>
        <v>0</v>
      </c>
      <c r="AM753" s="316"/>
    </row>
    <row r="754" spans="1:49">
      <c r="A754" s="391"/>
      <c r="L754" s="316">
        <f t="shared" si="875"/>
        <v>0</v>
      </c>
      <c r="M754" s="316"/>
      <c r="X754" s="391">
        <f t="shared" si="873"/>
        <v>0</v>
      </c>
      <c r="AM754" s="316"/>
    </row>
    <row r="755" spans="1:49">
      <c r="A755" s="391"/>
      <c r="L755" s="316">
        <f t="shared" si="875"/>
        <v>0</v>
      </c>
      <c r="M755" s="316"/>
      <c r="X755" s="391">
        <f t="shared" si="873"/>
        <v>0</v>
      </c>
      <c r="AM755" s="316"/>
    </row>
    <row r="756" spans="1:49">
      <c r="A756" s="391"/>
      <c r="L756" s="316">
        <f t="shared" si="875"/>
        <v>0</v>
      </c>
      <c r="M756" s="316"/>
      <c r="X756" s="391">
        <f t="shared" si="873"/>
        <v>0</v>
      </c>
      <c r="AM756" s="316"/>
    </row>
    <row r="757" spans="1:49">
      <c r="A757" s="391"/>
      <c r="L757" s="316">
        <f t="shared" si="875"/>
        <v>0</v>
      </c>
      <c r="M757" s="316"/>
      <c r="X757" s="391">
        <f t="shared" si="873"/>
        <v>0</v>
      </c>
      <c r="AM757" s="316"/>
    </row>
    <row r="758" spans="1:49">
      <c r="A758" s="391"/>
      <c r="L758" s="316">
        <f t="shared" si="875"/>
        <v>0</v>
      </c>
      <c r="M758" s="316"/>
      <c r="X758" s="391">
        <f t="shared" si="873"/>
        <v>0</v>
      </c>
      <c r="AM758" s="316"/>
    </row>
    <row r="759" spans="1:49" ht="15.75" thickBot="1">
      <c r="A759" s="394"/>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4">
        <f t="shared" si="873"/>
        <v>0</v>
      </c>
      <c r="Y759" s="236"/>
      <c r="Z759" s="385"/>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1"/>
      <c r="L760" s="316">
        <f t="shared" si="875"/>
        <v>0</v>
      </c>
      <c r="M760" s="316"/>
      <c r="X760" s="391">
        <f t="shared" si="873"/>
        <v>0</v>
      </c>
      <c r="AM760" s="316"/>
    </row>
    <row r="761" spans="1:49">
      <c r="A761" s="391"/>
      <c r="L761" s="316">
        <f t="shared" si="875"/>
        <v>0</v>
      </c>
      <c r="M761" s="316"/>
      <c r="X761" s="391">
        <f t="shared" si="873"/>
        <v>0</v>
      </c>
      <c r="AM761" s="316"/>
    </row>
    <row r="762" spans="1:49">
      <c r="A762" s="391"/>
      <c r="L762" s="316">
        <f t="shared" si="875"/>
        <v>0</v>
      </c>
      <c r="M762" s="316"/>
      <c r="X762" s="391">
        <f t="shared" si="873"/>
        <v>0</v>
      </c>
      <c r="AM762" s="316"/>
    </row>
    <row r="763" spans="1:49">
      <c r="A763" s="391"/>
      <c r="L763" s="316">
        <f t="shared" si="875"/>
        <v>0</v>
      </c>
      <c r="M763" s="316"/>
      <c r="X763" s="391">
        <f t="shared" si="873"/>
        <v>0</v>
      </c>
      <c r="AM763" s="316"/>
    </row>
    <row r="764" spans="1:49">
      <c r="A764" s="391"/>
      <c r="L764" s="316">
        <f t="shared" si="875"/>
        <v>0</v>
      </c>
      <c r="M764" s="316"/>
      <c r="X764" s="391">
        <f t="shared" si="873"/>
        <v>0</v>
      </c>
      <c r="AM764" s="316"/>
    </row>
    <row r="765" spans="1:49">
      <c r="A765" s="391"/>
      <c r="L765" s="316">
        <f t="shared" si="875"/>
        <v>0</v>
      </c>
      <c r="M765" s="316"/>
      <c r="X765" s="391">
        <f t="shared" si="873"/>
        <v>0</v>
      </c>
      <c r="AM765" s="316"/>
    </row>
    <row r="766" spans="1:49">
      <c r="A766" s="391"/>
      <c r="L766" s="316">
        <f t="shared" si="875"/>
        <v>0</v>
      </c>
      <c r="M766" s="316"/>
      <c r="X766" s="391">
        <f t="shared" si="873"/>
        <v>0</v>
      </c>
      <c r="AM766" s="316"/>
    </row>
    <row r="767" spans="1:49">
      <c r="A767" s="391"/>
      <c r="L767" s="316">
        <f t="shared" si="875"/>
        <v>0</v>
      </c>
      <c r="M767" s="316"/>
      <c r="X767" s="391">
        <f t="shared" si="873"/>
        <v>0</v>
      </c>
      <c r="AM767" s="316"/>
    </row>
    <row r="768" spans="1:49">
      <c r="A768" s="391"/>
      <c r="L768" s="316">
        <f t="shared" si="875"/>
        <v>0</v>
      </c>
      <c r="M768" s="316"/>
      <c r="X768" s="391">
        <f t="shared" si="873"/>
        <v>0</v>
      </c>
      <c r="AM768" s="316"/>
    </row>
    <row r="769" spans="1:49">
      <c r="A769" s="391"/>
      <c r="L769" s="316">
        <f t="shared" si="875"/>
        <v>0</v>
      </c>
      <c r="M769" s="316"/>
      <c r="X769" s="391">
        <f t="shared" si="873"/>
        <v>0</v>
      </c>
      <c r="AM769" s="316"/>
    </row>
    <row r="770" spans="1:49">
      <c r="A770" s="391"/>
      <c r="L770" s="316">
        <f t="shared" si="875"/>
        <v>0</v>
      </c>
      <c r="M770" s="316"/>
      <c r="X770" s="391">
        <f t="shared" si="873"/>
        <v>0</v>
      </c>
      <c r="AM770" s="316"/>
    </row>
    <row r="771" spans="1:49" ht="15.75" thickBot="1">
      <c r="A771" s="394"/>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4">
        <f t="shared" si="873"/>
        <v>0</v>
      </c>
      <c r="Y771" s="236"/>
      <c r="Z771" s="385"/>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1"/>
      <c r="L772" s="316">
        <f t="shared" si="875"/>
        <v>0</v>
      </c>
      <c r="M772" s="316"/>
      <c r="X772" s="391">
        <f t="shared" si="873"/>
        <v>0</v>
      </c>
      <c r="AM772" s="316"/>
    </row>
    <row r="773" spans="1:49">
      <c r="A773" s="391"/>
      <c r="L773" s="316">
        <f t="shared" si="875"/>
        <v>0</v>
      </c>
      <c r="M773" s="316"/>
      <c r="X773" s="391">
        <f t="shared" si="873"/>
        <v>0</v>
      </c>
      <c r="AM773" s="316"/>
    </row>
    <row r="774" spans="1:49">
      <c r="A774" s="391"/>
      <c r="L774" s="316">
        <f t="shared" si="875"/>
        <v>0</v>
      </c>
      <c r="M774" s="316"/>
      <c r="X774" s="391">
        <f t="shared" si="873"/>
        <v>0</v>
      </c>
      <c r="AM774" s="316"/>
    </row>
    <row r="775" spans="1:49">
      <c r="A775" s="391"/>
      <c r="L775" s="316">
        <f t="shared" si="875"/>
        <v>0</v>
      </c>
      <c r="M775" s="316"/>
      <c r="X775" s="391">
        <f t="shared" si="873"/>
        <v>0</v>
      </c>
      <c r="AM775" s="316"/>
    </row>
    <row r="776" spans="1:49">
      <c r="A776" s="391"/>
      <c r="L776" s="316">
        <f t="shared" si="875"/>
        <v>0</v>
      </c>
      <c r="M776" s="316"/>
      <c r="X776" s="391">
        <f t="shared" si="873"/>
        <v>0</v>
      </c>
      <c r="AM776" s="316"/>
    </row>
    <row r="777" spans="1:49">
      <c r="A777" s="391"/>
      <c r="L777" s="316">
        <f t="shared" si="875"/>
        <v>0</v>
      </c>
      <c r="M777" s="316"/>
      <c r="X777" s="391">
        <f t="shared" si="873"/>
        <v>0</v>
      </c>
      <c r="AM777" s="316"/>
    </row>
    <row r="778" spans="1:49">
      <c r="A778" s="391"/>
      <c r="L778" s="316">
        <f t="shared" si="875"/>
        <v>0</v>
      </c>
      <c r="M778" s="316"/>
      <c r="X778" s="391">
        <f t="shared" si="873"/>
        <v>0</v>
      </c>
      <c r="AM778" s="316"/>
    </row>
    <row r="779" spans="1:49">
      <c r="A779" s="391"/>
      <c r="L779" s="316">
        <f t="shared" si="875"/>
        <v>0</v>
      </c>
      <c r="M779" s="316"/>
      <c r="X779" s="391">
        <f t="shared" si="873"/>
        <v>0</v>
      </c>
      <c r="AM779" s="316"/>
    </row>
    <row r="780" spans="1:49">
      <c r="A780" s="391"/>
      <c r="L780" s="316">
        <f t="shared" si="875"/>
        <v>0</v>
      </c>
      <c r="M780" s="316"/>
      <c r="X780" s="391">
        <f t="shared" si="873"/>
        <v>0</v>
      </c>
      <c r="AM780" s="316"/>
    </row>
    <row r="781" spans="1:49">
      <c r="A781" s="391"/>
      <c r="L781" s="316">
        <f t="shared" si="875"/>
        <v>0</v>
      </c>
      <c r="M781" s="316"/>
      <c r="X781" s="391">
        <f t="shared" si="873"/>
        <v>0</v>
      </c>
      <c r="AM781" s="316"/>
    </row>
    <row r="782" spans="1:49">
      <c r="A782" s="391"/>
      <c r="L782" s="316">
        <f t="shared" si="875"/>
        <v>0</v>
      </c>
      <c r="M782" s="316"/>
      <c r="X782" s="391">
        <f t="shared" si="873"/>
        <v>0</v>
      </c>
      <c r="AM782" s="316"/>
    </row>
    <row r="783" spans="1:49" ht="15.75" thickBot="1">
      <c r="A783" s="394"/>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4">
        <f t="shared" si="873"/>
        <v>0</v>
      </c>
      <c r="Y783" s="236"/>
      <c r="Z783" s="385"/>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BS114"/>
  <sheetViews>
    <sheetView tabSelected="1" workbookViewId="0">
      <selection activeCell="C40" sqref="C40"/>
    </sheetView>
  </sheetViews>
  <sheetFormatPr defaultRowHeight="15.75"/>
  <cols>
    <col min="1" max="1" width="30" bestFit="1" customWidth="1"/>
    <col min="2" max="2" width="51.42578125" style="411" customWidth="1"/>
    <col min="3" max="3" width="13" style="411" customWidth="1"/>
    <col min="4" max="6" width="35.5703125" style="411"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 ht="16.5" thickBot="1">
      <c r="A1" s="405" t="s">
        <v>197</v>
      </c>
      <c r="B1" s="412"/>
      <c r="C1" s="412"/>
      <c r="D1" s="405" t="s">
        <v>241</v>
      </c>
      <c r="E1" s="419"/>
      <c r="F1" s="412"/>
      <c r="G1" s="25"/>
      <c r="H1" s="405" t="s">
        <v>279</v>
      </c>
      <c r="I1" s="412"/>
      <c r="J1" s="412"/>
    </row>
    <row r="2" spans="1:10">
      <c r="A2" s="30" t="s">
        <v>1381</v>
      </c>
      <c r="B2" s="412" t="s">
        <v>1395</v>
      </c>
      <c r="C2" s="412"/>
      <c r="D2" s="381" t="s">
        <v>242</v>
      </c>
      <c r="E2" s="423"/>
      <c r="F2" s="412"/>
      <c r="G2" s="25"/>
      <c r="H2" s="30" t="s">
        <v>280</v>
      </c>
      <c r="I2" s="412">
        <f>+Profit!C19</f>
        <v>20000</v>
      </c>
      <c r="J2" s="412"/>
    </row>
    <row r="3" spans="1:10">
      <c r="A3" s="30" t="s">
        <v>1382</v>
      </c>
      <c r="B3" s="412" t="s">
        <v>1396</v>
      </c>
      <c r="C3" s="559"/>
      <c r="D3" s="381" t="s">
        <v>243</v>
      </c>
      <c r="E3" s="414">
        <f>IF(E2="",+Docs!B33,E2)</f>
        <v>0</v>
      </c>
      <c r="F3" s="412"/>
      <c r="G3" s="25"/>
      <c r="H3" s="30" t="s">
        <v>281</v>
      </c>
      <c r="I3" s="414">
        <f>+I2/2/6</f>
        <v>1666.6666666666667</v>
      </c>
      <c r="J3" s="412"/>
    </row>
    <row r="4" spans="1:10">
      <c r="A4" s="30" t="s">
        <v>1376</v>
      </c>
      <c r="B4" s="412" t="s">
        <v>1377</v>
      </c>
      <c r="C4" s="412"/>
      <c r="D4" s="381" t="s">
        <v>244</v>
      </c>
      <c r="E4" s="420">
        <v>2025</v>
      </c>
      <c r="F4" s="412"/>
      <c r="G4" s="25"/>
      <c r="H4" s="30" t="s">
        <v>282</v>
      </c>
      <c r="I4" s="414">
        <f>+I2/2</f>
        <v>10000</v>
      </c>
      <c r="J4" s="412"/>
    </row>
    <row r="5" spans="1:10">
      <c r="A5" s="30" t="s">
        <v>1376</v>
      </c>
      <c r="B5" s="412" t="s">
        <v>224</v>
      </c>
      <c r="C5" s="412"/>
      <c r="D5" s="30" t="s">
        <v>245</v>
      </c>
      <c r="E5" s="414" t="s">
        <v>246</v>
      </c>
      <c r="F5" s="412"/>
      <c r="G5" s="25"/>
      <c r="H5" s="30" t="s">
        <v>283</v>
      </c>
      <c r="I5" s="412" t="str">
        <f>"A balloon payment of " &amp; TEXT(I4,"$#,##0.00") &amp; " will be due when the property is resold by the purchaser"</f>
        <v>A balloon payment of $10,000.00 will be due when the property is resold by the purchaser</v>
      </c>
      <c r="J5" s="412"/>
    </row>
    <row r="6" spans="1:10">
      <c r="A6" s="30" t="s">
        <v>198</v>
      </c>
      <c r="B6" s="412" t="s">
        <v>1375</v>
      </c>
      <c r="C6" s="412"/>
      <c r="D6" s="30" t="s">
        <v>247</v>
      </c>
      <c r="E6" s="423"/>
      <c r="F6" s="412"/>
      <c r="G6" s="25"/>
      <c r="H6" s="30" t="s">
        <v>193</v>
      </c>
      <c r="I6" s="30" t="str">
        <f>IF(J6="Yes","Limited Allowance Compensating for Rent", "DON'T USE")</f>
        <v>DON'T USE</v>
      </c>
      <c r="J6" s="411" t="s">
        <v>284</v>
      </c>
    </row>
    <row r="7" spans="1:10">
      <c r="A7" s="30" t="s">
        <v>199</v>
      </c>
      <c r="B7" s="544">
        <f>+Amortization!AA4</f>
        <v>346500</v>
      </c>
      <c r="C7" s="413"/>
      <c r="D7" s="30" t="s">
        <v>248</v>
      </c>
      <c r="E7" s="414" t="str">
        <f>IF(E6="X","[X] If checked, The rent shall adjust, annually, to exactly the amount of the mortgage payment, property insurance, real estate taxes, plus $10.00."," ")</f>
        <v xml:space="preserve"> </v>
      </c>
      <c r="F7" s="413"/>
      <c r="G7" s="375"/>
      <c r="H7" s="30" t="s">
        <v>194</v>
      </c>
      <c r="I7" s="30" t="str">
        <f>IF(J7="Yes","Part of Purchase and Sale Agreement", "DON'T USE")</f>
        <v>Part of Purchase and Sale Agreement</v>
      </c>
      <c r="J7" s="411" t="s">
        <v>285</v>
      </c>
    </row>
    <row r="8" spans="1:10">
      <c r="A8" s="30" t="s">
        <v>1387</v>
      </c>
      <c r="B8" s="544">
        <f>+Amortization!K2</f>
        <v>6000</v>
      </c>
      <c r="C8" s="413"/>
      <c r="D8" s="30" t="s">
        <v>249</v>
      </c>
      <c r="E8" s="424">
        <v>0</v>
      </c>
      <c r="F8" s="413"/>
      <c r="G8" s="375"/>
      <c r="H8" s="30" t="s">
        <v>286</v>
      </c>
      <c r="I8" s="407">
        <v>11</v>
      </c>
      <c r="J8" s="407"/>
    </row>
    <row r="9" spans="1:10" ht="16.5" thickBot="1">
      <c r="A9" s="381" t="s">
        <v>200</v>
      </c>
      <c r="B9" s="544">
        <f>+Amortization!$O$4</f>
        <v>20790</v>
      </c>
      <c r="C9" s="413"/>
      <c r="D9" s="30" t="s">
        <v>250</v>
      </c>
      <c r="E9" s="418">
        <f>IF(E8=0,0,Carrying!E5)</f>
        <v>0</v>
      </c>
      <c r="F9" s="413"/>
      <c r="G9" s="375"/>
      <c r="H9" s="30" t="s">
        <v>287</v>
      </c>
      <c r="I9" s="412">
        <v>6</v>
      </c>
      <c r="J9" s="412"/>
    </row>
    <row r="10" spans="1:10" ht="16.5" thickBot="1">
      <c r="A10" s="381" t="s">
        <v>137</v>
      </c>
      <c r="B10" s="545">
        <f>+Amortization!O5</f>
        <v>325710</v>
      </c>
      <c r="C10" s="414"/>
      <c r="D10" s="405" t="s">
        <v>251</v>
      </c>
      <c r="E10" s="412"/>
      <c r="F10" s="414"/>
      <c r="G10" s="376"/>
      <c r="H10" s="30" t="s">
        <v>288</v>
      </c>
      <c r="I10" s="412">
        <v>0</v>
      </c>
      <c r="J10" s="412"/>
    </row>
    <row r="11" spans="1:10" ht="13.5" customHeight="1">
      <c r="A11" s="381" t="s">
        <v>190</v>
      </c>
      <c r="B11" s="546">
        <f>SUM(B12:B12)</f>
        <v>2504.4299999999998</v>
      </c>
      <c r="C11" s="415"/>
      <c r="D11" s="30" t="s">
        <v>252</v>
      </c>
      <c r="E11" s="548" t="str">
        <f>+Profit!$B$2</f>
        <v>320 Rose Pl</v>
      </c>
      <c r="F11" s="415"/>
      <c r="G11" s="379"/>
      <c r="H11" s="30" t="s">
        <v>289</v>
      </c>
      <c r="I11" s="412" t="str">
        <f>IF(I2&gt;0,"X","")</f>
        <v>X</v>
      </c>
      <c r="J11" s="412"/>
    </row>
    <row r="12" spans="1:10" ht="13.5" customHeight="1">
      <c r="A12" s="381" t="s">
        <v>201</v>
      </c>
      <c r="B12" s="547">
        <f>+Amortization!Z9</f>
        <v>2504.4299999999998</v>
      </c>
      <c r="C12" s="416"/>
      <c r="D12" s="30" t="s">
        <v>253</v>
      </c>
      <c r="E12" s="548" t="str">
        <f>+Profit!$E$2</f>
        <v>Wendell, NC 27591</v>
      </c>
      <c r="F12" s="416"/>
      <c r="G12" s="378"/>
      <c r="H12" s="30" t="s">
        <v>290</v>
      </c>
      <c r="I12" s="412" t="s">
        <v>291</v>
      </c>
      <c r="J12" s="412"/>
    </row>
    <row r="13" spans="1:10" ht="13.5" customHeight="1" thickBot="1">
      <c r="A13" s="381" t="s">
        <v>202</v>
      </c>
      <c r="B13" s="547">
        <f>+Amortization!Z10</f>
        <v>2545.85</v>
      </c>
      <c r="C13" s="416"/>
      <c r="D13" s="30" t="s">
        <v>186</v>
      </c>
      <c r="E13" s="412" t="s">
        <v>254</v>
      </c>
      <c r="F13" s="416"/>
      <c r="G13" s="378"/>
      <c r="H13" s="30"/>
      <c r="I13" s="412"/>
      <c r="J13" s="412"/>
    </row>
    <row r="14" spans="1:10" ht="13.5" customHeight="1" thickBot="1">
      <c r="A14" s="381" t="s">
        <v>191</v>
      </c>
      <c r="B14" s="546">
        <f>SUM(B13:B13)</f>
        <v>2545.85</v>
      </c>
      <c r="C14" s="415"/>
      <c r="D14" s="381" t="s">
        <v>255</v>
      </c>
      <c r="E14" s="412">
        <f>+E15*12</f>
        <v>1741.1599999999999</v>
      </c>
      <c r="F14" s="415"/>
      <c r="G14" s="379"/>
      <c r="H14" s="405" t="s">
        <v>292</v>
      </c>
      <c r="I14" s="412"/>
      <c r="J14" s="412"/>
    </row>
    <row r="15" spans="1:10" ht="13.5" customHeight="1">
      <c r="A15" s="381" t="s">
        <v>203</v>
      </c>
      <c r="B15" s="545">
        <f>+Amortization!O9</f>
        <v>30</v>
      </c>
      <c r="C15" s="415"/>
      <c r="D15" s="381" t="s">
        <v>256</v>
      </c>
      <c r="E15" s="552">
        <f>+Amortization!$T$10</f>
        <v>145.09666666666666</v>
      </c>
      <c r="F15" s="415"/>
      <c r="G15" s="379"/>
      <c r="H15" s="30" t="s">
        <v>293</v>
      </c>
      <c r="I15" s="417"/>
      <c r="J15" s="412"/>
    </row>
    <row r="16" spans="1:10" ht="13.5" customHeight="1">
      <c r="A16" s="30" t="s">
        <v>204</v>
      </c>
      <c r="B16" s="548">
        <f>+B15*12</f>
        <v>360</v>
      </c>
      <c r="C16" s="415"/>
      <c r="D16" s="381" t="s">
        <v>257</v>
      </c>
      <c r="E16" s="552">
        <f>+Amortization!$T$9</f>
        <v>51.5</v>
      </c>
      <c r="F16" s="415"/>
      <c r="G16" s="379"/>
      <c r="H16" s="30" t="s">
        <v>294</v>
      </c>
      <c r="I16" s="417"/>
      <c r="J16" s="412"/>
    </row>
    <row r="17" spans="1:10" ht="13.5" customHeight="1" thickBot="1">
      <c r="A17" s="30" t="s">
        <v>205</v>
      </c>
      <c r="B17" s="548">
        <f>+B16-60</f>
        <v>300</v>
      </c>
      <c r="C17" s="415"/>
      <c r="D17" s="382" t="s">
        <v>258</v>
      </c>
      <c r="E17" s="412">
        <v>0</v>
      </c>
      <c r="F17" s="415"/>
      <c r="G17" s="379"/>
      <c r="H17" s="30" t="s">
        <v>295</v>
      </c>
      <c r="I17" s="417"/>
      <c r="J17" s="412"/>
    </row>
    <row r="18" spans="1:10" ht="13.5" customHeight="1" thickBot="1">
      <c r="A18" s="30" t="s">
        <v>206</v>
      </c>
      <c r="B18" s="549">
        <f>+Amortization!O11</f>
        <v>46204</v>
      </c>
      <c r="C18" s="415"/>
      <c r="D18" s="405" t="s">
        <v>259</v>
      </c>
      <c r="E18" s="412"/>
      <c r="F18" s="415"/>
      <c r="G18" s="379"/>
      <c r="H18" s="30" t="s">
        <v>296</v>
      </c>
      <c r="I18" s="551"/>
      <c r="J18" s="412"/>
    </row>
    <row r="19" spans="1:10">
      <c r="A19" s="30" t="s">
        <v>207</v>
      </c>
      <c r="B19" s="549">
        <f>+Amortization!Q11</f>
        <v>57132</v>
      </c>
      <c r="C19" s="415"/>
      <c r="D19" s="30" t="s">
        <v>260</v>
      </c>
      <c r="E19" s="553" t="s">
        <v>1380</v>
      </c>
      <c r="F19" s="415"/>
      <c r="G19" s="379"/>
      <c r="H19" s="30" t="s">
        <v>297</v>
      </c>
      <c r="I19" s="417"/>
      <c r="J19" s="412"/>
    </row>
    <row r="20" spans="1:10">
      <c r="A20" s="30" t="s">
        <v>208</v>
      </c>
      <c r="B20" s="549">
        <f>+Amortization!O11</f>
        <v>46204</v>
      </c>
      <c r="C20" s="415"/>
      <c r="D20" s="30" t="s">
        <v>261</v>
      </c>
      <c r="E20" t="s">
        <v>1378</v>
      </c>
      <c r="F20" s="415"/>
      <c r="G20" s="379"/>
      <c r="H20" s="30" t="s">
        <v>298</v>
      </c>
      <c r="I20" s="417"/>
      <c r="J20" s="412"/>
    </row>
    <row r="21" spans="1:10">
      <c r="A21" s="30" t="s">
        <v>209</v>
      </c>
      <c r="B21" s="549">
        <f>+$B$18+($B$15*365)-DAY(+$B$18+($B$15*365))+1</f>
        <v>57132</v>
      </c>
      <c r="C21" s="415"/>
      <c r="D21" s="30" t="s">
        <v>262</v>
      </c>
      <c r="E21" s="426" t="s">
        <v>1383</v>
      </c>
      <c r="F21" s="415"/>
      <c r="G21" s="379"/>
      <c r="H21" s="379"/>
    </row>
    <row r="22" spans="1:10">
      <c r="A22" s="30" t="s">
        <v>1398</v>
      </c>
      <c r="B22" s="412" t="s">
        <v>1393</v>
      </c>
      <c r="D22"/>
      <c r="F22" s="415"/>
      <c r="G22" s="379"/>
      <c r="H22" s="379"/>
    </row>
    <row r="23" spans="1:10">
      <c r="A23" s="30" t="s">
        <v>1399</v>
      </c>
      <c r="B23" s="412" t="s">
        <v>1394</v>
      </c>
      <c r="D23"/>
      <c r="F23" s="415"/>
      <c r="G23" s="379"/>
      <c r="H23" s="379"/>
    </row>
    <row r="24" spans="1:10">
      <c r="A24" s="30" t="s">
        <v>1400</v>
      </c>
      <c r="B24" s="412" t="s">
        <v>1401</v>
      </c>
      <c r="D24"/>
      <c r="F24" s="415"/>
      <c r="G24" s="379"/>
      <c r="H24" s="379"/>
    </row>
    <row r="25" spans="1:10">
      <c r="A25" s="30"/>
      <c r="B25" s="415"/>
      <c r="C25" s="415"/>
      <c r="D25" s="30" t="s">
        <v>263</v>
      </c>
      <c r="E25" s="424"/>
      <c r="F25" s="415"/>
      <c r="G25" s="379"/>
      <c r="H25" s="379"/>
    </row>
    <row r="26" spans="1:10" ht="16.5" thickBot="1">
      <c r="A26" s="30"/>
      <c r="B26" s="412"/>
      <c r="C26" s="415"/>
      <c r="D26" s="30" t="s">
        <v>264</v>
      </c>
      <c r="E26" s="417"/>
      <c r="F26" s="415"/>
      <c r="G26" s="379"/>
      <c r="H26" s="379"/>
    </row>
    <row r="27" spans="1:10" ht="16.5" thickBot="1">
      <c r="A27" s="405" t="s">
        <v>210</v>
      </c>
      <c r="B27" s="412"/>
      <c r="C27" s="415"/>
      <c r="D27" s="30" t="s">
        <v>265</v>
      </c>
      <c r="E27" s="421"/>
      <c r="F27" s="415"/>
      <c r="G27" s="379"/>
      <c r="H27" s="379"/>
    </row>
    <row r="28" spans="1:10">
      <c r="A28" s="30" t="s">
        <v>211</v>
      </c>
      <c r="B28" s="417" t="s">
        <v>212</v>
      </c>
      <c r="C28" s="415"/>
      <c r="D28" s="30" t="s">
        <v>266</v>
      </c>
      <c r="E28" s="421"/>
      <c r="F28" s="415"/>
      <c r="G28" s="379"/>
      <c r="H28" s="379"/>
    </row>
    <row r="29" spans="1:10" ht="16.5" thickBot="1">
      <c r="A29" s="30" t="s">
        <v>213</v>
      </c>
      <c r="B29" s="548" t="str">
        <f>MOG!$B$3 &amp; " " &amp; MOG!$C$3</f>
        <v>Hubolist Elliott</v>
      </c>
      <c r="C29" s="415"/>
      <c r="D29" s="30" t="s">
        <v>267</v>
      </c>
      <c r="E29" s="417" t="s">
        <v>1379</v>
      </c>
      <c r="F29" s="415"/>
      <c r="G29" s="379"/>
      <c r="H29" s="379"/>
    </row>
    <row r="30" spans="1:10" ht="16.5" thickBot="1">
      <c r="A30" s="30" t="s">
        <v>214</v>
      </c>
      <c r="B30" s="548" t="str">
        <f>IF(B31="",MOG!B4&amp;" "&amp;MOG!C4,"")</f>
        <v>Hurbert Lee Elliott</v>
      </c>
      <c r="C30" s="415"/>
      <c r="D30" s="405" t="s">
        <v>268</v>
      </c>
      <c r="E30" s="412"/>
      <c r="F30" s="415"/>
      <c r="G30" s="379"/>
      <c r="H30" s="379"/>
    </row>
    <row r="31" spans="1:10">
      <c r="A31" s="30" t="s">
        <v>215</v>
      </c>
      <c r="B31" s="417"/>
      <c r="C31" s="412"/>
      <c r="D31" s="30" t="s">
        <v>196</v>
      </c>
      <c r="E31" s="417" t="s">
        <v>269</v>
      </c>
      <c r="F31" s="412"/>
      <c r="G31" s="25"/>
      <c r="H31" s="25"/>
    </row>
    <row r="32" spans="1:10">
      <c r="A32" s="30" t="s">
        <v>216</v>
      </c>
      <c r="B32" s="417"/>
      <c r="C32" s="412"/>
      <c r="D32" s="30" t="s">
        <v>270</v>
      </c>
      <c r="E32" s="424" t="s">
        <v>271</v>
      </c>
      <c r="F32" s="412"/>
      <c r="G32" s="25"/>
      <c r="H32" s="25"/>
    </row>
    <row r="33" spans="1:8">
      <c r="A33" s="30" t="s">
        <v>217</v>
      </c>
      <c r="B33" s="412"/>
      <c r="C33" s="412"/>
      <c r="D33" s="30" t="s">
        <v>272</v>
      </c>
      <c r="E33" s="424" t="s">
        <v>273</v>
      </c>
      <c r="F33" s="412"/>
      <c r="G33" s="25"/>
      <c r="H33" s="25"/>
    </row>
    <row r="34" spans="1:8">
      <c r="A34" s="30" t="s">
        <v>218</v>
      </c>
      <c r="B34" s="412"/>
      <c r="C34" s="425"/>
      <c r="D34" s="30" t="s">
        <v>195</v>
      </c>
      <c r="E34" s="548" t="str">
        <f>+ E11 &amp; " Real Estate Trust dated " &amp; E35 &amp; " " &amp; E36</f>
        <v>320 Rose Pl Real Estate Trust dated March, 5 2025</v>
      </c>
      <c r="F34" s="425"/>
      <c r="G34" s="25"/>
      <c r="H34" s="25"/>
    </row>
    <row r="35" spans="1:8">
      <c r="A35" s="30" t="s">
        <v>219</v>
      </c>
      <c r="B35" s="412"/>
      <c r="C35" s="425"/>
      <c r="D35" s="30" t="s">
        <v>274</v>
      </c>
      <c r="E35" s="421" t="s">
        <v>275</v>
      </c>
      <c r="F35" s="425"/>
      <c r="G35" s="25"/>
      <c r="H35" s="25"/>
    </row>
    <row r="36" spans="1:8">
      <c r="A36" s="30" t="s">
        <v>220</v>
      </c>
      <c r="B36" s="425"/>
      <c r="C36" s="425"/>
      <c r="D36" s="30" t="s">
        <v>172</v>
      </c>
      <c r="E36" s="417">
        <v>2025</v>
      </c>
      <c r="F36" s="425"/>
      <c r="G36" s="25"/>
      <c r="H36" s="25"/>
    </row>
    <row r="37" spans="1:8">
      <c r="A37" s="30" t="s">
        <v>221</v>
      </c>
      <c r="B37" s="425"/>
      <c r="C37" s="425"/>
      <c r="D37" s="30" t="s">
        <v>192</v>
      </c>
      <c r="E37" s="417" t="s">
        <v>1397</v>
      </c>
      <c r="F37" s="425"/>
      <c r="G37" s="25"/>
      <c r="H37" s="25"/>
    </row>
    <row r="38" spans="1:8">
      <c r="A38" s="30" t="s">
        <v>222</v>
      </c>
      <c r="B38" s="425"/>
      <c r="C38" s="412"/>
      <c r="D38" s="30" t="s">
        <v>276</v>
      </c>
      <c r="E38" s="554">
        <f ca="1">YEAR(NOW())</f>
        <v>2026</v>
      </c>
      <c r="F38" s="412"/>
      <c r="G38" s="25"/>
      <c r="H38" s="25"/>
    </row>
    <row r="39" spans="1:8">
      <c r="A39" s="30" t="s">
        <v>223</v>
      </c>
      <c r="B39" s="425"/>
      <c r="C39" s="376"/>
      <c r="D39" s="30" t="s">
        <v>277</v>
      </c>
      <c r="E39" s="554">
        <f ca="1">MONTH(NOW())</f>
        <v>6</v>
      </c>
      <c r="F39" s="417"/>
      <c r="G39" s="25"/>
      <c r="H39" s="25"/>
    </row>
    <row r="40" spans="1:8">
      <c r="A40" s="30" t="s">
        <v>187</v>
      </c>
      <c r="B40" s="412" t="s">
        <v>225</v>
      </c>
      <c r="C40" s="376"/>
      <c r="D40" s="30"/>
      <c r="E40" s="412"/>
      <c r="F40" s="417"/>
      <c r="G40" s="25"/>
      <c r="H40" s="25"/>
    </row>
    <row r="41" spans="1:8">
      <c r="A41" s="30" t="s">
        <v>226</v>
      </c>
      <c r="B41" s="417" t="s">
        <v>227</v>
      </c>
      <c r="C41" s="376"/>
      <c r="D41" s="30" t="s">
        <v>278</v>
      </c>
      <c r="E41" s="412"/>
      <c r="F41" s="417"/>
      <c r="G41" s="25"/>
      <c r="H41" s="25"/>
    </row>
    <row r="42" spans="1:8">
      <c r="A42" s="30" t="s">
        <v>228</v>
      </c>
      <c r="B42" s="417" t="s">
        <v>227</v>
      </c>
      <c r="C42" s="412"/>
      <c r="D42" s="30"/>
      <c r="E42" s="412"/>
      <c r="F42" s="412"/>
      <c r="G42" s="25"/>
      <c r="H42" s="25"/>
    </row>
    <row r="43" spans="1:8">
      <c r="A43" s="30" t="s">
        <v>229</v>
      </c>
      <c r="B43" s="417" t="s">
        <v>227</v>
      </c>
      <c r="C43" s="414"/>
      <c r="D43" s="414"/>
      <c r="E43" s="414"/>
      <c r="F43" s="414"/>
      <c r="G43" s="376"/>
      <c r="H43" s="376"/>
    </row>
    <row r="44" spans="1:8">
      <c r="A44" s="30" t="s">
        <v>189</v>
      </c>
      <c r="B44" s="412">
        <v>555834859</v>
      </c>
      <c r="C44" s="414"/>
      <c r="D44" s="414"/>
      <c r="E44" s="414"/>
      <c r="F44" s="414"/>
      <c r="G44" s="376"/>
      <c r="H44" s="376"/>
    </row>
    <row r="45" spans="1:8">
      <c r="A45" s="381" t="s">
        <v>230</v>
      </c>
      <c r="B45" s="414">
        <f>Profit!C14</f>
        <v>15000</v>
      </c>
      <c r="C45" s="414"/>
      <c r="D45" s="414"/>
      <c r="E45" s="414"/>
      <c r="F45" s="414"/>
      <c r="G45" s="376"/>
      <c r="H45" s="376"/>
    </row>
    <row r="46" spans="1:8">
      <c r="A46" s="381" t="s">
        <v>132</v>
      </c>
      <c r="B46" s="414">
        <f>Profit!C15</f>
        <v>122713</v>
      </c>
      <c r="C46" s="376"/>
      <c r="D46" s="376"/>
      <c r="E46" s="376"/>
      <c r="F46" s="376"/>
      <c r="G46" s="376"/>
      <c r="H46" s="376"/>
    </row>
    <row r="47" spans="1:8">
      <c r="A47" s="381" t="s">
        <v>231</v>
      </c>
      <c r="B47" s="414">
        <f>Profit!B21</f>
        <v>222245</v>
      </c>
      <c r="C47" s="414"/>
      <c r="D47" s="414"/>
      <c r="E47" s="414"/>
      <c r="F47" s="414"/>
      <c r="G47" s="376"/>
      <c r="H47" s="376"/>
    </row>
    <row r="48" spans="1:8">
      <c r="A48" s="381" t="s">
        <v>232</v>
      </c>
      <c r="B48" s="417">
        <v>100</v>
      </c>
      <c r="C48" s="416"/>
      <c r="D48" s="416"/>
      <c r="E48" s="416"/>
      <c r="F48" s="416"/>
      <c r="G48" s="378"/>
      <c r="H48" s="378"/>
    </row>
    <row r="49" spans="1:8">
      <c r="A49" s="381" t="s">
        <v>233</v>
      </c>
      <c r="B49" s="414">
        <f>+Profit!C20-B48</f>
        <v>9900</v>
      </c>
      <c r="C49" s="416"/>
      <c r="D49" s="416"/>
      <c r="E49" s="416"/>
      <c r="F49" s="416"/>
      <c r="G49" s="378"/>
      <c r="H49" s="378"/>
    </row>
    <row r="50" spans="1:8">
      <c r="A50" s="381" t="s">
        <v>234</v>
      </c>
      <c r="B50" s="416" t="str">
        <f>TEXT(Amortization!$C$4,"0.000%")</f>
        <v>4.500%</v>
      </c>
      <c r="C50" s="416"/>
      <c r="D50" s="416"/>
      <c r="E50" s="416"/>
      <c r="F50" s="416"/>
      <c r="G50" s="378"/>
      <c r="H50" s="378"/>
    </row>
    <row r="51" spans="1:8">
      <c r="A51" s="381" t="s">
        <v>235</v>
      </c>
      <c r="B51" s="416" t="str">
        <f>TEXT(+Amortization!AA9,"0.000%")</f>
        <v>8.500%</v>
      </c>
      <c r="C51" s="414"/>
      <c r="D51" s="414"/>
      <c r="E51" s="414"/>
      <c r="F51" s="414"/>
      <c r="G51" s="376"/>
      <c r="H51" s="376"/>
    </row>
    <row r="52" spans="1:8">
      <c r="A52" s="381" t="s">
        <v>236</v>
      </c>
      <c r="B52" s="416" t="str">
        <f>TEXT(Amortization!$O$7,"0.000%")</f>
        <v>8.500%</v>
      </c>
      <c r="G52" s="377"/>
      <c r="H52" s="377"/>
    </row>
    <row r="53" spans="1:8">
      <c r="A53" s="381" t="s">
        <v>237</v>
      </c>
      <c r="B53" s="414" t="s">
        <v>238</v>
      </c>
      <c r="C53" s="414"/>
      <c r="D53" s="414"/>
      <c r="E53" s="414"/>
      <c r="F53" s="414"/>
      <c r="G53" s="376"/>
      <c r="H53" s="376"/>
    </row>
    <row r="54" spans="1:8">
      <c r="C54" s="419"/>
      <c r="D54" s="419"/>
      <c r="E54" s="419"/>
      <c r="F54" s="419"/>
      <c r="G54" s="406"/>
      <c r="H54" s="406"/>
    </row>
    <row r="55" spans="1:8">
      <c r="A55" s="381" t="s">
        <v>239</v>
      </c>
      <c r="B55" s="414" t="s">
        <v>240</v>
      </c>
      <c r="C55" s="419"/>
      <c r="D55" s="419"/>
      <c r="E55" s="419"/>
      <c r="F55" s="419"/>
      <c r="G55" s="406"/>
      <c r="H55" s="406"/>
    </row>
    <row r="56" spans="1:8">
      <c r="C56" s="414"/>
      <c r="D56" s="414"/>
      <c r="E56" s="414"/>
      <c r="F56" s="414"/>
      <c r="G56" s="406"/>
      <c r="H56" s="406"/>
    </row>
    <row r="57" spans="1:8">
      <c r="C57" s="420"/>
      <c r="D57" s="420"/>
      <c r="E57" s="420"/>
      <c r="F57" s="420"/>
      <c r="G57" s="32"/>
      <c r="H57" s="32"/>
    </row>
    <row r="58" spans="1:8">
      <c r="C58" s="414"/>
      <c r="D58" s="414"/>
      <c r="E58" s="414"/>
      <c r="F58" s="414"/>
      <c r="G58" s="376"/>
      <c r="H58" s="376"/>
    </row>
    <row r="59" spans="1:8">
      <c r="C59" s="419"/>
      <c r="D59" s="419"/>
      <c r="E59" s="419"/>
      <c r="F59" s="419"/>
      <c r="G59" s="376"/>
      <c r="H59" s="376"/>
    </row>
    <row r="60" spans="1:8">
      <c r="C60" s="419"/>
      <c r="D60" s="419"/>
      <c r="E60" s="419"/>
      <c r="F60" s="419"/>
      <c r="G60" s="376"/>
      <c r="H60" s="376"/>
    </row>
    <row r="61" spans="1:8">
      <c r="C61" s="419"/>
      <c r="D61" s="419"/>
      <c r="E61" s="419"/>
      <c r="F61" s="419"/>
      <c r="G61" s="376"/>
      <c r="H61" s="376"/>
    </row>
    <row r="62" spans="1:8">
      <c r="C62" s="418"/>
      <c r="D62" s="418"/>
      <c r="E62" s="418"/>
      <c r="F62" s="418"/>
      <c r="G62" s="376"/>
      <c r="H62" s="376"/>
    </row>
    <row r="63" spans="1:8">
      <c r="C63" s="412"/>
      <c r="D63" s="412"/>
      <c r="E63" s="412"/>
      <c r="F63" s="412"/>
      <c r="G63" s="25"/>
      <c r="H63" s="25"/>
    </row>
    <row r="64" spans="1:8">
      <c r="C64" s="412"/>
      <c r="D64" s="412"/>
      <c r="E64" s="412"/>
      <c r="F64" s="412"/>
      <c r="G64" s="25"/>
      <c r="H64" s="25"/>
    </row>
    <row r="65" spans="3:10">
      <c r="C65" s="412"/>
      <c r="D65" s="412"/>
      <c r="E65" s="412"/>
      <c r="F65" s="412"/>
      <c r="G65" s="25"/>
      <c r="H65" s="25"/>
    </row>
    <row r="66" spans="3:10">
      <c r="C66" s="412"/>
      <c r="D66" s="412"/>
      <c r="E66" s="412"/>
      <c r="F66" s="412"/>
      <c r="G66" s="25"/>
      <c r="H66" s="25"/>
    </row>
    <row r="67" spans="3:10">
      <c r="C67" s="412"/>
      <c r="D67" s="412"/>
      <c r="E67" s="412"/>
      <c r="F67" s="412"/>
      <c r="G67" s="25"/>
      <c r="H67" s="25"/>
    </row>
    <row r="68" spans="3:10">
      <c r="C68" s="418"/>
      <c r="D68" s="418"/>
      <c r="E68" s="418"/>
      <c r="F68" s="418"/>
      <c r="G68" s="377"/>
      <c r="H68" s="377"/>
    </row>
    <row r="69" spans="3:10">
      <c r="C69" s="418"/>
      <c r="D69" s="418"/>
      <c r="E69" s="418"/>
      <c r="F69" s="418"/>
      <c r="G69" s="377"/>
      <c r="H69" s="377"/>
    </row>
    <row r="70" spans="3:10">
      <c r="C70" s="412"/>
      <c r="D70" s="412"/>
      <c r="E70" s="412"/>
      <c r="F70" s="412"/>
      <c r="G70" s="25"/>
      <c r="H70" s="25"/>
    </row>
    <row r="71" spans="3:10">
      <c r="C71" s="412"/>
      <c r="D71" s="412"/>
      <c r="E71" s="412"/>
      <c r="F71" s="412"/>
      <c r="G71" s="25"/>
      <c r="H71" s="25"/>
    </row>
    <row r="72" spans="3:10">
      <c r="C72" s="414"/>
      <c r="D72" s="414"/>
      <c r="E72" s="414"/>
      <c r="F72" s="414"/>
      <c r="G72" s="376"/>
      <c r="H72" s="376"/>
    </row>
    <row r="73" spans="3:10">
      <c r="C73" s="414"/>
      <c r="D73" s="414"/>
      <c r="E73" s="414"/>
      <c r="F73" s="414"/>
      <c r="G73" s="376"/>
      <c r="H73" s="376"/>
    </row>
    <row r="74" spans="3:10">
      <c r="C74" s="419"/>
      <c r="D74" s="419"/>
      <c r="E74" s="419"/>
      <c r="F74" s="419"/>
      <c r="G74" s="419"/>
      <c r="H74" s="419"/>
      <c r="I74" s="419"/>
      <c r="J74" s="419"/>
    </row>
    <row r="75" spans="3:10">
      <c r="C75" s="419"/>
      <c r="D75" s="419"/>
      <c r="E75" s="419"/>
      <c r="F75" s="419"/>
      <c r="G75" s="419"/>
      <c r="H75" s="419"/>
      <c r="I75" s="419"/>
      <c r="J75" s="419"/>
    </row>
    <row r="76" spans="3:10">
      <c r="C76" s="419"/>
      <c r="D76" s="419"/>
      <c r="E76" s="419"/>
      <c r="F76" s="419"/>
      <c r="G76" s="419"/>
      <c r="H76" s="419"/>
      <c r="I76" s="419"/>
      <c r="J76" s="419"/>
    </row>
    <row r="77" spans="3:10">
      <c r="C77" s="419"/>
      <c r="D77" s="419"/>
      <c r="E77" s="419"/>
      <c r="F77" s="419"/>
      <c r="G77" s="419"/>
      <c r="H77" s="419"/>
      <c r="I77" s="419"/>
      <c r="J77" s="419"/>
    </row>
    <row r="78" spans="3:10">
      <c r="C78" s="419"/>
      <c r="D78" s="419"/>
      <c r="E78" s="419"/>
      <c r="F78" s="419"/>
      <c r="G78" s="419"/>
      <c r="H78" s="419"/>
      <c r="I78" s="419"/>
      <c r="J78" s="419"/>
    </row>
    <row r="79" spans="3:10">
      <c r="C79" s="419"/>
      <c r="D79" s="419"/>
      <c r="E79" s="419"/>
      <c r="F79" s="419"/>
      <c r="G79" s="419"/>
      <c r="H79" s="419"/>
      <c r="I79" s="419"/>
      <c r="J79" s="419"/>
    </row>
    <row r="80" spans="3:10">
      <c r="C80" s="419"/>
      <c r="D80" s="419"/>
      <c r="E80" s="419"/>
      <c r="F80" s="419"/>
      <c r="G80" s="419"/>
      <c r="H80" s="419"/>
      <c r="I80" s="419"/>
      <c r="J80" s="419"/>
    </row>
    <row r="81" spans="3:71">
      <c r="C81" s="419"/>
      <c r="D81" s="419"/>
      <c r="E81" s="419"/>
      <c r="F81" s="419"/>
      <c r="G81" s="25"/>
      <c r="H81" s="25"/>
    </row>
    <row r="82" spans="3:71">
      <c r="C82" s="412"/>
      <c r="D82" s="412"/>
      <c r="E82" s="412"/>
      <c r="F82" s="412"/>
      <c r="G82" s="25"/>
      <c r="H82" s="25"/>
    </row>
    <row r="85" spans="3:71">
      <c r="C85" s="412"/>
      <c r="D85" s="412"/>
      <c r="E85" s="412"/>
      <c r="F85" s="412"/>
      <c r="G85" s="25"/>
      <c r="H85" s="25"/>
      <c r="BR85" s="30"/>
      <c r="BS85" s="30"/>
    </row>
    <row r="86" spans="3:71">
      <c r="C86" s="422"/>
      <c r="D86" s="422"/>
      <c r="E86" s="422"/>
      <c r="F86" s="422"/>
      <c r="G86" s="380"/>
      <c r="H86" s="380"/>
    </row>
    <row r="87" spans="3:71">
      <c r="C87" s="412"/>
      <c r="D87" s="412"/>
      <c r="E87" s="412"/>
      <c r="F87" s="412"/>
      <c r="G87" s="25"/>
      <c r="H87" s="25"/>
    </row>
    <row r="88" spans="3:71">
      <c r="C88" s="417"/>
      <c r="D88" s="417"/>
      <c r="E88" s="417"/>
      <c r="F88" s="417"/>
      <c r="G88" s="28"/>
      <c r="H88" s="28"/>
    </row>
    <row r="89" spans="3:71">
      <c r="C89" s="420"/>
      <c r="D89" s="420"/>
      <c r="E89" s="420"/>
      <c r="F89" s="420"/>
      <c r="G89" s="32"/>
      <c r="H89" s="32"/>
    </row>
    <row r="90" spans="3:71">
      <c r="C90" s="420"/>
      <c r="D90" s="420"/>
      <c r="E90" s="420"/>
      <c r="F90" s="420"/>
      <c r="G90" s="32"/>
      <c r="H90" s="32"/>
    </row>
    <row r="91" spans="3:71">
      <c r="C91" s="412"/>
      <c r="D91" s="412"/>
      <c r="E91" s="412"/>
      <c r="F91" s="412"/>
      <c r="G91" s="25"/>
      <c r="H91" s="25"/>
    </row>
    <row r="92" spans="3:71">
      <c r="C92" s="412"/>
      <c r="D92" s="412"/>
      <c r="E92" s="412"/>
      <c r="F92" s="412"/>
      <c r="G92" s="25"/>
      <c r="H92" s="25"/>
    </row>
    <row r="93" spans="3:71">
      <c r="C93" s="412"/>
      <c r="D93" s="412"/>
      <c r="E93" s="412"/>
      <c r="F93" s="412"/>
      <c r="G93" s="25"/>
      <c r="H93" s="25"/>
    </row>
    <row r="94" spans="3:71">
      <c r="D94" s="412"/>
      <c r="E94" s="412"/>
      <c r="F94" s="412"/>
      <c r="G94" s="25"/>
      <c r="H94" s="25"/>
    </row>
    <row r="95" spans="3:71">
      <c r="D95" s="412"/>
      <c r="E95" s="412"/>
      <c r="F95" s="412"/>
      <c r="G95" s="25"/>
      <c r="H95" s="25"/>
    </row>
    <row r="96" spans="3:71">
      <c r="D96" s="412"/>
      <c r="E96" s="412"/>
      <c r="F96" s="412"/>
      <c r="G96" s="25"/>
      <c r="H96" s="25"/>
    </row>
    <row r="97" spans="4:8">
      <c r="D97" s="412"/>
      <c r="E97" s="412"/>
      <c r="F97" s="412"/>
      <c r="G97" s="25"/>
      <c r="H97" s="25"/>
    </row>
    <row r="98" spans="4:8">
      <c r="D98" s="412"/>
      <c r="E98" s="412"/>
      <c r="F98" s="412"/>
      <c r="G98" s="25"/>
      <c r="H98" s="25"/>
    </row>
    <row r="99" spans="4:8">
      <c r="G99" s="377"/>
      <c r="H99" s="377"/>
    </row>
    <row r="100" spans="4:8">
      <c r="G100" s="377"/>
      <c r="H100" s="377"/>
    </row>
    <row r="101" spans="4:8">
      <c r="D101" s="407"/>
      <c r="E101" s="407"/>
      <c r="F101" s="407"/>
      <c r="G101" s="377"/>
      <c r="H101" s="377"/>
    </row>
    <row r="102" spans="4:8">
      <c r="D102" s="412"/>
      <c r="E102" s="412"/>
      <c r="F102" s="412"/>
      <c r="G102" s="25"/>
      <c r="H102" s="25"/>
    </row>
    <row r="103" spans="4:8">
      <c r="D103" s="412"/>
      <c r="E103" s="412"/>
      <c r="F103" s="412"/>
      <c r="G103" s="25"/>
      <c r="H103" s="25"/>
    </row>
    <row r="104" spans="4:8">
      <c r="D104" s="412"/>
      <c r="E104" s="412"/>
      <c r="F104" s="412"/>
      <c r="G104" s="25"/>
      <c r="H104" s="25"/>
    </row>
    <row r="105" spans="4:8">
      <c r="D105" s="412"/>
      <c r="E105" s="412"/>
      <c r="F105" s="412"/>
      <c r="G105" s="25"/>
      <c r="H105" s="25"/>
    </row>
    <row r="106" spans="4:8">
      <c r="D106" s="412"/>
      <c r="E106" s="412"/>
      <c r="F106" s="412"/>
      <c r="G106" s="25"/>
      <c r="H106" s="25"/>
    </row>
    <row r="107" spans="4:8">
      <c r="D107" s="412"/>
      <c r="E107" s="412"/>
      <c r="F107" s="412"/>
      <c r="G107" s="25"/>
      <c r="H107" s="25"/>
    </row>
    <row r="108" spans="4:8">
      <c r="D108" s="412"/>
      <c r="E108" s="412"/>
      <c r="F108" s="412"/>
      <c r="G108" s="25"/>
      <c r="H108" s="25"/>
    </row>
    <row r="109" spans="4:8">
      <c r="D109" s="412"/>
      <c r="E109" s="412"/>
      <c r="F109" s="412"/>
      <c r="G109" s="25"/>
      <c r="H109" s="25"/>
    </row>
    <row r="110" spans="4:8">
      <c r="D110" s="412"/>
      <c r="E110" s="412"/>
      <c r="F110" s="412"/>
      <c r="G110" s="25"/>
      <c r="H110" s="25"/>
    </row>
    <row r="111" spans="4:8">
      <c r="D111" s="412"/>
      <c r="E111" s="412"/>
      <c r="F111" s="412"/>
      <c r="G111" s="25"/>
      <c r="H111" s="25"/>
    </row>
    <row r="112" spans="4:8">
      <c r="D112" s="412"/>
      <c r="E112" s="412"/>
      <c r="F112" s="412"/>
      <c r="G112" s="25"/>
      <c r="H112" s="25"/>
    </row>
    <row r="113" spans="3:8">
      <c r="D113" s="412"/>
      <c r="E113" s="412"/>
      <c r="F113" s="412"/>
      <c r="G113" s="25"/>
      <c r="H113" s="25"/>
    </row>
    <row r="114" spans="3:8">
      <c r="C114" s="412"/>
      <c r="D114" s="412"/>
      <c r="E114" s="412"/>
      <c r="F114" s="412"/>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8" t="s">
        <v>299</v>
      </c>
      <c r="D1" s="739"/>
      <c r="E1" s="710"/>
      <c r="I1" s="73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0" t="s">
        <v>300</v>
      </c>
      <c r="K1" s="73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0"/>
      <c r="J2" s="740"/>
      <c r="K2" s="732"/>
    </row>
    <row r="3" spans="1:11" ht="16.5" customHeight="1">
      <c r="A3" t="s">
        <v>301</v>
      </c>
      <c r="B3" s="218" t="s">
        <v>302</v>
      </c>
      <c r="C3" s="169" t="s">
        <v>303</v>
      </c>
      <c r="D3" s="22"/>
      <c r="I3" s="710"/>
      <c r="J3" s="163"/>
      <c r="K3" s="732"/>
    </row>
    <row r="4" spans="1:11">
      <c r="A4" t="s">
        <v>304</v>
      </c>
      <c r="B4" s="168" t="s">
        <v>305</v>
      </c>
      <c r="C4" s="170" t="s">
        <v>303</v>
      </c>
      <c r="D4" s="22"/>
      <c r="I4" s="710"/>
      <c r="K4" s="732"/>
    </row>
    <row r="5" spans="1:11" ht="16.5">
      <c r="A5" t="s">
        <v>306</v>
      </c>
      <c r="B5" s="158"/>
      <c r="C5" s="159"/>
      <c r="D5" s="22"/>
      <c r="I5" s="710"/>
      <c r="K5" s="732"/>
    </row>
    <row r="6" spans="1:11" ht="15" customHeight="1" thickBot="1">
      <c r="A6" t="s">
        <v>307</v>
      </c>
      <c r="B6" s="160"/>
      <c r="C6" s="161"/>
      <c r="D6" s="22"/>
      <c r="I6" s="710"/>
      <c r="K6" s="732"/>
    </row>
    <row r="7" spans="1:11">
      <c r="I7" s="710"/>
      <c r="K7" s="732"/>
    </row>
    <row r="8" spans="1:11">
      <c r="I8" s="710"/>
      <c r="K8" s="732"/>
    </row>
    <row r="9" spans="1:11">
      <c r="A9" s="15" t="s">
        <v>308</v>
      </c>
      <c r="B9" s="15" t="s">
        <v>309</v>
      </c>
      <c r="C9" s="15"/>
      <c r="I9" s="710"/>
      <c r="K9" s="732"/>
    </row>
    <row r="10" spans="1:11">
      <c r="B10" s="741" t="s">
        <v>310</v>
      </c>
      <c r="C10" s="742"/>
      <c r="D10" s="742"/>
      <c r="E10" s="742"/>
      <c r="F10" s="742"/>
      <c r="G10" s="742"/>
      <c r="I10" s="710"/>
      <c r="K10" s="732"/>
    </row>
    <row r="11" spans="1:11">
      <c r="B11" s="710"/>
      <c r="C11" s="710"/>
      <c r="D11" s="710"/>
      <c r="E11" s="710"/>
      <c r="F11" s="710"/>
      <c r="G11" s="710"/>
      <c r="I11" s="710"/>
      <c r="K11" s="732"/>
    </row>
    <row r="12" spans="1:11">
      <c r="F12" s="705" t="s">
        <v>311</v>
      </c>
      <c r="I12" s="710"/>
      <c r="K12" s="732"/>
    </row>
    <row r="13" spans="1:11" ht="15.75" thickBot="1">
      <c r="B13" s="31" t="s">
        <v>312</v>
      </c>
      <c r="C13" s="156" t="s">
        <v>313</v>
      </c>
      <c r="D13" s="31" t="s">
        <v>314</v>
      </c>
      <c r="E13" s="31"/>
      <c r="F13" s="580"/>
      <c r="G13" s="31" t="s">
        <v>315</v>
      </c>
      <c r="I13" s="710"/>
      <c r="K13" s="732"/>
    </row>
    <row r="14" spans="1:11" ht="16.5" thickTop="1" thickBot="1">
      <c r="B14" s="167">
        <f>+D14+F14</f>
        <v>239245</v>
      </c>
      <c r="C14" s="1">
        <f>+Profit!B4</f>
        <v>330000</v>
      </c>
      <c r="D14" s="1">
        <f>+Profit!K47-Profit!C20</f>
        <v>212245</v>
      </c>
      <c r="F14" s="166">
        <f>+B24-(B24*F16)</f>
        <v>27000</v>
      </c>
      <c r="G14" s="132">
        <f ca="1">+C14-D14-F14+Profit!D54+Profit!C20</f>
        <v>-177998.05756574997</v>
      </c>
      <c r="I14" s="710"/>
      <c r="K14" s="732"/>
    </row>
    <row r="15" spans="1:11" ht="16.5" thickTop="1" thickBot="1">
      <c r="C15" s="127"/>
      <c r="D15" s="128" t="s">
        <v>316</v>
      </c>
      <c r="E15" s="129">
        <f ca="1">+Profit!$K$49</f>
        <v>61708.057565749987</v>
      </c>
      <c r="H15" s="157"/>
      <c r="K15" s="732"/>
    </row>
    <row r="16" spans="1:11" ht="16.5" thickTop="1" thickBot="1">
      <c r="C16" s="127"/>
      <c r="D16" s="130" t="s">
        <v>317</v>
      </c>
      <c r="E16" s="131">
        <f ca="1">+G14/E15</f>
        <v>-2.8845188876038255</v>
      </c>
      <c r="F16" s="165">
        <v>0.1</v>
      </c>
      <c r="H16" s="157" t="s">
        <v>318</v>
      </c>
      <c r="I16" s="73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2"/>
    </row>
    <row r="17" spans="1:13" ht="15.75" thickTop="1">
      <c r="C17" s="127"/>
      <c r="D17" s="130" t="s">
        <v>319</v>
      </c>
      <c r="E17" s="131">
        <f ca="1">+G14/(F14+G14)</f>
        <v>1.1788102471996584</v>
      </c>
      <c r="F17" t="s">
        <v>320</v>
      </c>
      <c r="I17" s="732"/>
      <c r="K17" s="732"/>
    </row>
    <row r="18" spans="1:13">
      <c r="I18" s="732"/>
      <c r="K18" s="732"/>
    </row>
    <row r="19" spans="1:13" ht="15.75" thickBot="1">
      <c r="A19" s="15" t="s">
        <v>321</v>
      </c>
      <c r="B19" s="15" t="s">
        <v>322</v>
      </c>
      <c r="D19" s="15" t="s">
        <v>323</v>
      </c>
      <c r="H19">
        <f>IF(H20="X",1,0)</f>
        <v>0</v>
      </c>
      <c r="K19" s="732"/>
    </row>
    <row r="20" spans="1:13" ht="15" customHeight="1" thickTop="1" thickBot="1">
      <c r="B20" t="s">
        <v>324</v>
      </c>
      <c r="H20" s="157"/>
      <c r="I20" s="73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32"/>
    </row>
    <row r="21" spans="1:13" ht="15.75" thickTop="1">
      <c r="B21" t="s">
        <v>325</v>
      </c>
      <c r="I21" s="732"/>
      <c r="J21" s="154"/>
      <c r="K21" s="732"/>
      <c r="L21" s="153"/>
      <c r="M21" s="153"/>
    </row>
    <row r="22" spans="1:13" ht="30">
      <c r="F22" s="50" t="s">
        <v>326</v>
      </c>
      <c r="I22" s="732"/>
      <c r="J22" s="153"/>
      <c r="K22" s="732"/>
      <c r="L22" s="153"/>
      <c r="M22" s="153"/>
    </row>
    <row r="23" spans="1:13" ht="15.75" thickBot="1">
      <c r="B23" s="31" t="s">
        <v>327</v>
      </c>
      <c r="C23" s="734"/>
      <c r="D23" s="735"/>
      <c r="E23" s="735"/>
      <c r="F23" s="735"/>
      <c r="G23" s="31" t="s">
        <v>315</v>
      </c>
      <c r="I23" s="733"/>
      <c r="J23" s="153"/>
      <c r="K23" s="732"/>
      <c r="L23" s="153"/>
      <c r="M23" s="153"/>
    </row>
    <row r="24" spans="1:13" ht="16.5" thickTop="1" thickBot="1">
      <c r="B24" s="164">
        <f>+SUM(Profit!C19:'Profit'!C20)</f>
        <v>30000</v>
      </c>
      <c r="C24" s="736" t="s">
        <v>328</v>
      </c>
      <c r="D24" s="737"/>
      <c r="E24" s="737"/>
      <c r="F24" s="10">
        <f>+B24</f>
        <v>30000</v>
      </c>
      <c r="G24" s="132">
        <f ca="1">+Profit!K62</f>
        <v>159927.31506911264</v>
      </c>
      <c r="I24" s="710"/>
      <c r="K24" s="732"/>
    </row>
    <row r="25" spans="1:13" ht="15.4" customHeight="1" thickTop="1" thickBot="1">
      <c r="C25" s="127"/>
      <c r="D25" s="128" t="s">
        <v>316</v>
      </c>
      <c r="E25" s="129">
        <f ca="1">+Profit!$K$49</f>
        <v>61708.057565749987</v>
      </c>
      <c r="H25">
        <f>IF(H26="X",1+H19,H19)</f>
        <v>1</v>
      </c>
      <c r="K25" s="732"/>
    </row>
    <row r="26" spans="1:13" ht="15" customHeight="1" thickTop="1" thickBot="1">
      <c r="C26" s="127"/>
      <c r="D26" s="130" t="s">
        <v>317</v>
      </c>
      <c r="E26" s="131">
        <f ca="1">+G24/E25</f>
        <v>2.5916763770875457</v>
      </c>
      <c r="H26" s="157" t="s">
        <v>329</v>
      </c>
      <c r="I26" s="73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32"/>
    </row>
    <row r="27" spans="1:13" ht="15" customHeight="1" thickTop="1">
      <c r="C27" s="127"/>
      <c r="D27" s="130" t="s">
        <v>319</v>
      </c>
      <c r="E27" s="131">
        <f ca="1">+G24/(F24+G24)</f>
        <v>0.84204483705209388</v>
      </c>
      <c r="I27" s="732"/>
      <c r="K27" s="732"/>
    </row>
    <row r="28" spans="1:13" ht="15" customHeight="1">
      <c r="I28" s="732"/>
      <c r="K28" s="732"/>
    </row>
    <row r="29" spans="1:13">
      <c r="A29" s="15"/>
      <c r="B29" s="15"/>
      <c r="I29" s="733"/>
      <c r="K29" s="732"/>
    </row>
    <row r="30" spans="1:13">
      <c r="A30" s="15" t="s">
        <v>330</v>
      </c>
      <c r="B30" s="15" t="s">
        <v>331</v>
      </c>
      <c r="D30" t="s">
        <v>332</v>
      </c>
      <c r="I30" s="710"/>
      <c r="K30" s="732"/>
    </row>
    <row r="31" spans="1:13" ht="25.5">
      <c r="B31" t="s">
        <v>324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2"/>
    </row>
    <row r="32" spans="1:13" ht="15.75" thickBot="1">
      <c r="B32" t="s">
        <v>325</v>
      </c>
      <c r="H32">
        <f>IF(H33="X",H25+1,H25)</f>
        <v>2</v>
      </c>
      <c r="K32" s="732"/>
    </row>
    <row r="33" spans="1:13" ht="15" customHeight="1" thickTop="1" thickBot="1">
      <c r="H33" s="157" t="s">
        <v>329</v>
      </c>
      <c r="I33" s="73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32"/>
    </row>
    <row r="34" spans="1:13" ht="16.5" thickTop="1" thickBot="1">
      <c r="C34" s="2" t="s">
        <v>333</v>
      </c>
      <c r="D34" s="3" t="s">
        <v>334</v>
      </c>
      <c r="F34" s="3" t="s">
        <v>335</v>
      </c>
      <c r="I34" s="732"/>
      <c r="K34" s="732"/>
    </row>
    <row r="35" spans="1:13" ht="16.5" thickTop="1" thickBot="1">
      <c r="B35" s="162" t="s">
        <v>336</v>
      </c>
      <c r="C35" s="135">
        <v>10400</v>
      </c>
      <c r="D35" s="126">
        <v>60</v>
      </c>
      <c r="F35" s="705" t="s">
        <v>326</v>
      </c>
      <c r="I35" s="732"/>
      <c r="K35" s="732"/>
    </row>
    <row r="36" spans="1:13" ht="16.5" thickTop="1" thickBot="1">
      <c r="B36" s="31" t="s">
        <v>337</v>
      </c>
      <c r="C36" s="31" t="s">
        <v>338</v>
      </c>
      <c r="D36" s="31" t="s">
        <v>339</v>
      </c>
      <c r="E36" s="31" t="s">
        <v>288</v>
      </c>
      <c r="F36" s="580"/>
      <c r="G36" s="31" t="s">
        <v>315</v>
      </c>
      <c r="I36" s="732"/>
      <c r="K36" s="73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32"/>
      <c r="K37" s="732"/>
    </row>
    <row r="38" spans="1:13" ht="16.5" thickTop="1" thickBot="1">
      <c r="B38" s="137">
        <v>0.34</v>
      </c>
      <c r="C38" s="152">
        <f>1-B38</f>
        <v>0.65999999999999992</v>
      </c>
      <c r="D38" s="10"/>
      <c r="E38" s="36"/>
      <c r="F38" s="10"/>
      <c r="G38" s="10"/>
      <c r="I38" s="732"/>
      <c r="K38" s="732"/>
    </row>
    <row r="39" spans="1:13" ht="15.4" customHeight="1" thickTop="1">
      <c r="B39" s="10"/>
      <c r="C39" s="132"/>
      <c r="D39" s="128" t="s">
        <v>316</v>
      </c>
      <c r="E39" s="129">
        <f ca="1">+Profit!$K$49-C37+C35</f>
        <v>41908.057565749987</v>
      </c>
      <c r="F39" s="10"/>
      <c r="G39" s="10"/>
      <c r="I39" s="732"/>
      <c r="K39" s="732"/>
    </row>
    <row r="40" spans="1:13">
      <c r="C40" s="127"/>
      <c r="D40" s="130" t="s">
        <v>317</v>
      </c>
      <c r="E40" s="131">
        <f ca="1">+G37/E39</f>
        <v>3.423859835164011</v>
      </c>
      <c r="I40" s="732"/>
      <c r="K40" s="732"/>
    </row>
    <row r="41" spans="1:13" ht="15" customHeight="1" thickBot="1">
      <c r="C41" s="127"/>
      <c r="D41" s="130" t="s">
        <v>319</v>
      </c>
      <c r="E41" s="131">
        <f ca="1">+G37/(F37+G37)</f>
        <v>0.7554854077566413</v>
      </c>
      <c r="H41">
        <f>IF(H42="X",H32+1,H32)</f>
        <v>2</v>
      </c>
      <c r="K41" s="732"/>
    </row>
    <row r="42" spans="1:13" ht="16.5" thickTop="1" thickBot="1">
      <c r="A42" s="15" t="s">
        <v>340</v>
      </c>
      <c r="B42" s="15" t="s">
        <v>341</v>
      </c>
      <c r="H42" s="157"/>
      <c r="I42" s="73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32"/>
    </row>
    <row r="43" spans="1:13" ht="15.75" thickTop="1">
      <c r="B43" t="s">
        <v>324</v>
      </c>
      <c r="I43" s="732"/>
      <c r="K43" s="710"/>
      <c r="M43" s="139"/>
    </row>
    <row r="44" spans="1:13">
      <c r="B44" t="s">
        <v>325</v>
      </c>
      <c r="I44" s="732"/>
      <c r="K44" s="710"/>
    </row>
    <row r="45" spans="1:13" ht="15" customHeight="1">
      <c r="B45" t="s">
        <v>342</v>
      </c>
      <c r="I45" s="732"/>
      <c r="K45" s="710"/>
    </row>
    <row r="46" spans="1:13">
      <c r="B46" t="s">
        <v>343</v>
      </c>
      <c r="I46" s="732"/>
      <c r="K46" s="710"/>
    </row>
    <row r="47" spans="1:13">
      <c r="F47" s="3" t="s">
        <v>344</v>
      </c>
      <c r="I47" s="732"/>
      <c r="K47" s="710"/>
    </row>
    <row r="48" spans="1:13">
      <c r="C48" s="705" t="s">
        <v>345</v>
      </c>
      <c r="D48" s="705" t="s">
        <v>346</v>
      </c>
      <c r="E48" s="705" t="s">
        <v>347</v>
      </c>
      <c r="F48" s="705" t="s">
        <v>326</v>
      </c>
      <c r="I48" s="732"/>
      <c r="K48" s="710"/>
    </row>
    <row r="49" spans="1:11" ht="15.75" thickBot="1">
      <c r="B49" s="3" t="s">
        <v>337</v>
      </c>
      <c r="C49" s="580" t="s">
        <v>345</v>
      </c>
      <c r="D49" s="580" t="s">
        <v>346</v>
      </c>
      <c r="E49" s="580" t="s">
        <v>348</v>
      </c>
      <c r="F49" s="580"/>
      <c r="G49" s="31" t="s">
        <v>315</v>
      </c>
      <c r="I49" s="732"/>
      <c r="K49" s="710"/>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32"/>
      <c r="K50" s="710"/>
    </row>
    <row r="51" spans="1:11" ht="15.75" thickTop="1">
      <c r="D51" s="15" t="s">
        <v>349</v>
      </c>
      <c r="I51" s="155"/>
      <c r="K51" s="710"/>
    </row>
    <row r="52" spans="1:11">
      <c r="C52" s="127"/>
      <c r="D52" s="128" t="s">
        <v>316</v>
      </c>
      <c r="E52" s="129">
        <f ca="1">+Profit!$K$49-B24+B50</f>
        <v>41708.057565749987</v>
      </c>
      <c r="H52" t="s">
        <v>318</v>
      </c>
      <c r="I52" s="73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0"/>
    </row>
    <row r="53" spans="1:11" ht="15" customHeight="1">
      <c r="C53" s="127"/>
      <c r="D53" s="130" t="s">
        <v>317</v>
      </c>
      <c r="E53" s="131">
        <f ca="1">+G50/E52</f>
        <v>1.3639617340379213</v>
      </c>
      <c r="I53" s="710"/>
      <c r="K53" s="710"/>
    </row>
    <row r="54" spans="1:11">
      <c r="C54" s="127"/>
      <c r="D54" s="130" t="s">
        <v>319</v>
      </c>
      <c r="E54" s="131">
        <f ca="1">+G50/(F50+G50)</f>
        <v>0.28497199644767368</v>
      </c>
      <c r="I54" s="710"/>
      <c r="K54" s="710"/>
    </row>
    <row r="55" spans="1:11" ht="15" customHeight="1">
      <c r="I55" s="710"/>
      <c r="K55" s="710"/>
    </row>
    <row r="56" spans="1:11" ht="15.75" thickBot="1">
      <c r="B56" s="15" t="s">
        <v>350</v>
      </c>
      <c r="D56" t="s">
        <v>351</v>
      </c>
      <c r="I56" s="710"/>
      <c r="K56" s="710"/>
    </row>
    <row r="57" spans="1:11">
      <c r="A57" s="72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24"/>
      <c r="C57" s="724"/>
      <c r="D57" s="724"/>
      <c r="E57" s="724"/>
      <c r="F57" s="724"/>
      <c r="G57" s="725"/>
      <c r="I57" s="710"/>
      <c r="K57" s="710"/>
    </row>
    <row r="58" spans="1:11">
      <c r="A58" s="726"/>
      <c r="B58" s="727"/>
      <c r="C58" s="727"/>
      <c r="D58" s="727"/>
      <c r="E58" s="727"/>
      <c r="F58" s="727"/>
      <c r="G58" s="728"/>
      <c r="I58" s="710"/>
      <c r="K58" s="710"/>
    </row>
    <row r="59" spans="1:11">
      <c r="A59" s="726"/>
      <c r="B59" s="727"/>
      <c r="C59" s="727"/>
      <c r="D59" s="727"/>
      <c r="E59" s="727"/>
      <c r="F59" s="727"/>
      <c r="G59" s="728"/>
      <c r="K59" s="710"/>
    </row>
    <row r="60" spans="1:11">
      <c r="A60" s="726"/>
      <c r="B60" s="727"/>
      <c r="C60" s="727"/>
      <c r="D60" s="727"/>
      <c r="E60" s="727"/>
      <c r="F60" s="727"/>
      <c r="G60" s="728"/>
      <c r="K60" s="710"/>
    </row>
    <row r="61" spans="1:11">
      <c r="A61" s="726"/>
      <c r="B61" s="727"/>
      <c r="C61" s="727"/>
      <c r="D61" s="727"/>
      <c r="E61" s="727"/>
      <c r="F61" s="727"/>
      <c r="G61" s="728"/>
      <c r="H61" t="s">
        <v>318</v>
      </c>
      <c r="I61" s="73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0"/>
    </row>
    <row r="62" spans="1:11">
      <c r="A62" s="726"/>
      <c r="B62" s="727"/>
      <c r="C62" s="727"/>
      <c r="D62" s="727"/>
      <c r="E62" s="727"/>
      <c r="F62" s="727"/>
      <c r="G62" s="728"/>
      <c r="I62" s="710"/>
      <c r="K62" s="710"/>
    </row>
    <row r="63" spans="1:11">
      <c r="A63" s="726"/>
      <c r="B63" s="727"/>
      <c r="C63" s="727"/>
      <c r="D63" s="727"/>
      <c r="E63" s="727"/>
      <c r="F63" s="727"/>
      <c r="G63" s="728"/>
      <c r="I63" s="710"/>
      <c r="K63" s="710"/>
    </row>
    <row r="64" spans="1:11">
      <c r="A64" s="726"/>
      <c r="B64" s="727"/>
      <c r="C64" s="727"/>
      <c r="D64" s="727"/>
      <c r="E64" s="727"/>
      <c r="F64" s="727"/>
      <c r="G64" s="728"/>
      <c r="I64" s="710"/>
      <c r="K64" s="710"/>
    </row>
    <row r="65" spans="1:11">
      <c r="A65" s="726"/>
      <c r="B65" s="727"/>
      <c r="C65" s="727"/>
      <c r="D65" s="727"/>
      <c r="E65" s="727"/>
      <c r="F65" s="727"/>
      <c r="G65" s="728"/>
      <c r="I65" s="710"/>
      <c r="K65" s="710"/>
    </row>
    <row r="66" spans="1:11">
      <c r="A66" s="726"/>
      <c r="B66" s="727"/>
      <c r="C66" s="727"/>
      <c r="D66" s="727"/>
      <c r="E66" s="727"/>
      <c r="F66" s="727"/>
      <c r="G66" s="728"/>
      <c r="I66" s="710"/>
      <c r="K66" s="710"/>
    </row>
    <row r="67" spans="1:11">
      <c r="A67" s="726"/>
      <c r="B67" s="727"/>
      <c r="C67" s="727"/>
      <c r="D67" s="727"/>
      <c r="E67" s="727"/>
      <c r="F67" s="727"/>
      <c r="G67" s="728"/>
      <c r="I67" s="710"/>
      <c r="K67" s="710"/>
    </row>
    <row r="68" spans="1:11">
      <c r="A68" s="726"/>
      <c r="B68" s="727"/>
      <c r="C68" s="727"/>
      <c r="D68" s="727"/>
      <c r="E68" s="727"/>
      <c r="F68" s="727"/>
      <c r="G68" s="728"/>
      <c r="I68" s="710"/>
    </row>
    <row r="69" spans="1:11">
      <c r="A69" s="726"/>
      <c r="B69" s="727"/>
      <c r="C69" s="727"/>
      <c r="D69" s="727"/>
      <c r="E69" s="727"/>
      <c r="F69" s="727"/>
      <c r="G69" s="728"/>
      <c r="I69" s="710"/>
    </row>
    <row r="70" spans="1:11">
      <c r="A70" s="726"/>
      <c r="B70" s="727"/>
      <c r="C70" s="727"/>
      <c r="D70" s="727"/>
      <c r="E70" s="727"/>
      <c r="F70" s="727"/>
      <c r="G70" s="728"/>
      <c r="I70" s="710"/>
    </row>
    <row r="71" spans="1:11">
      <c r="A71" s="726"/>
      <c r="B71" s="727"/>
      <c r="C71" s="727"/>
      <c r="D71" s="727"/>
      <c r="E71" s="727"/>
      <c r="F71" s="727"/>
      <c r="G71" s="728"/>
      <c r="I71" s="710"/>
    </row>
    <row r="72" spans="1:11">
      <c r="A72" s="726"/>
      <c r="B72" s="727"/>
      <c r="C72" s="727"/>
      <c r="D72" s="727"/>
      <c r="E72" s="727"/>
      <c r="F72" s="727"/>
      <c r="G72" s="728"/>
      <c r="I72" s="710"/>
    </row>
    <row r="73" spans="1:11">
      <c r="A73" s="726"/>
      <c r="B73" s="727"/>
      <c r="C73" s="727"/>
      <c r="D73" s="727"/>
      <c r="E73" s="727"/>
      <c r="F73" s="727"/>
      <c r="G73" s="728"/>
    </row>
    <row r="74" spans="1:11">
      <c r="A74" s="726"/>
      <c r="B74" s="727"/>
      <c r="C74" s="727"/>
      <c r="D74" s="727"/>
      <c r="E74" s="727"/>
      <c r="F74" s="727"/>
      <c r="G74" s="728"/>
      <c r="H74" t="s">
        <v>318</v>
      </c>
      <c r="I74" s="138" t="str">
        <f>"Sincerely,
Wes Browning"</f>
        <v>Sincerely,
Wes Browning</v>
      </c>
    </row>
    <row r="75" spans="1:11" ht="15" customHeight="1">
      <c r="A75" s="726"/>
      <c r="B75" s="727"/>
      <c r="C75" s="727"/>
      <c r="D75" s="727"/>
      <c r="E75" s="727"/>
      <c r="F75" s="727"/>
      <c r="G75" s="728"/>
      <c r="I75" s="138"/>
    </row>
    <row r="76" spans="1:11">
      <c r="A76" s="726"/>
      <c r="B76" s="727"/>
      <c r="C76" s="727"/>
      <c r="D76" s="727"/>
      <c r="E76" s="727"/>
      <c r="F76" s="727"/>
      <c r="G76" s="728"/>
      <c r="I76" s="138"/>
    </row>
    <row r="77" spans="1:11">
      <c r="A77" s="726"/>
      <c r="B77" s="727"/>
      <c r="C77" s="727"/>
      <c r="D77" s="727"/>
      <c r="E77" s="727"/>
      <c r="F77" s="727"/>
      <c r="G77" s="728"/>
    </row>
    <row r="78" spans="1:11">
      <c r="A78" s="726"/>
      <c r="B78" s="727"/>
      <c r="C78" s="727"/>
      <c r="D78" s="727"/>
      <c r="E78" s="727"/>
      <c r="F78" s="727"/>
      <c r="G78" s="728"/>
    </row>
    <row r="79" spans="1:11" ht="15.75" thickBot="1">
      <c r="A79" s="729"/>
      <c r="B79" s="730"/>
      <c r="C79" s="730"/>
      <c r="D79" s="730"/>
      <c r="E79" s="730"/>
      <c r="F79" s="730"/>
      <c r="G79" s="731"/>
    </row>
    <row r="80" spans="1:11">
      <c r="A80" s="138"/>
      <c r="B80" s="138"/>
      <c r="C80" s="138"/>
      <c r="D80" s="138"/>
      <c r="E80" s="138"/>
      <c r="F80" s="138"/>
      <c r="G80" s="138"/>
    </row>
    <row r="81" spans="1:9">
      <c r="A81" s="138"/>
      <c r="B81" s="138"/>
      <c r="C81" s="138"/>
      <c r="D81" s="138"/>
      <c r="E81" s="138"/>
      <c r="F81" s="138"/>
      <c r="G81" s="2" t="s">
        <v>352</v>
      </c>
      <c r="I81" s="138" t="s">
        <v>353</v>
      </c>
    </row>
    <row r="82" spans="1:9">
      <c r="G82" s="2" t="s">
        <v>354</v>
      </c>
      <c r="H82" t="s">
        <v>318</v>
      </c>
      <c r="I82" s="138" t="s">
        <v>355</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368</v>
      </c>
      <c r="B1" s="3" t="s">
        <v>369</v>
      </c>
      <c r="C1" s="32" t="s">
        <v>370</v>
      </c>
      <c r="D1" s="30" t="s">
        <v>371</v>
      </c>
      <c r="E1" s="32" t="s">
        <v>372</v>
      </c>
      <c r="F1" s="3" t="s">
        <v>373</v>
      </c>
    </row>
    <row r="2" spans="1:9">
      <c r="A2" s="25" t="s">
        <v>374</v>
      </c>
      <c r="E2" s="27"/>
    </row>
    <row r="3" spans="1:9">
      <c r="C3" s="28"/>
      <c r="D3" s="32" t="s">
        <v>375</v>
      </c>
      <c r="E3" s="516"/>
    </row>
    <row r="4" spans="1:9" ht="16.5">
      <c r="A4" s="30" t="s">
        <v>376</v>
      </c>
      <c r="B4" s="226"/>
      <c r="C4" s="28"/>
      <c r="D4" s="32" t="s">
        <v>377</v>
      </c>
      <c r="E4" s="12"/>
    </row>
    <row r="5" spans="1:9">
      <c r="B5" s="43" t="s">
        <v>4</v>
      </c>
      <c r="C5" s="43" t="s">
        <v>5</v>
      </c>
      <c r="D5" s="25"/>
      <c r="E5" s="27"/>
    </row>
    <row r="6" spans="1:9">
      <c r="A6" s="25" t="s">
        <v>378</v>
      </c>
      <c r="B6" s="43"/>
      <c r="E6" s="172"/>
    </row>
    <row r="7" spans="1:9" ht="15.75">
      <c r="A7" s="44" t="s">
        <v>238</v>
      </c>
      <c r="B7" s="517" t="s">
        <v>379</v>
      </c>
      <c r="D7" s="518" t="s">
        <v>1165</v>
      </c>
      <c r="E7" s="427" t="s">
        <v>1148</v>
      </c>
      <c r="F7" s="19"/>
    </row>
    <row r="8" spans="1:9">
      <c r="A8" s="44" t="s">
        <v>380</v>
      </c>
      <c r="B8" s="27" t="s">
        <v>1139</v>
      </c>
      <c r="D8" s="45"/>
      <c r="E8" s="27"/>
      <c r="F8" s="19"/>
    </row>
    <row r="9" spans="1:9">
      <c r="A9" s="44" t="s">
        <v>381</v>
      </c>
      <c r="B9" s="27" t="s">
        <v>1138</v>
      </c>
      <c r="D9" s="45"/>
      <c r="E9" s="27"/>
      <c r="F9" s="19"/>
      <c r="H9" s="19"/>
    </row>
    <row r="10" spans="1:9">
      <c r="A10" s="2" t="s">
        <v>382</v>
      </c>
      <c r="B10" s="25" t="s">
        <v>383</v>
      </c>
      <c r="C10" s="25" t="s">
        <v>384</v>
      </c>
      <c r="E10" t="s">
        <v>385</v>
      </c>
      <c r="F10" s="25" t="s">
        <v>386</v>
      </c>
    </row>
    <row r="11" spans="1:9">
      <c r="E11" s="27"/>
    </row>
    <row r="12" spans="1:9">
      <c r="A12" s="2" t="s">
        <v>1140</v>
      </c>
      <c r="B12" s="524" t="s">
        <v>1141</v>
      </c>
      <c r="E12"/>
    </row>
    <row r="13" spans="1:9">
      <c r="B13" s="524" t="s">
        <v>1142</v>
      </c>
      <c r="E13"/>
      <c r="F13" s="27"/>
      <c r="I13" s="194"/>
    </row>
    <row r="14" spans="1:9">
      <c r="B14" s="524" t="s">
        <v>1143</v>
      </c>
      <c r="E14"/>
      <c r="I14" s="25"/>
    </row>
    <row r="15" spans="1:9">
      <c r="B15"/>
    </row>
    <row r="16" spans="1:9">
      <c r="A16" s="2" t="s">
        <v>387</v>
      </c>
      <c r="B16" s="524" t="s">
        <v>1144</v>
      </c>
      <c r="E16" s="19"/>
    </row>
    <row r="17" spans="1:25">
      <c r="B17"/>
    </row>
    <row r="18" spans="1:25">
      <c r="B18" s="19" t="s">
        <v>1145</v>
      </c>
      <c r="V18" t="s">
        <v>388</v>
      </c>
      <c r="W18" t="s">
        <v>389</v>
      </c>
      <c r="X18" t="s">
        <v>390</v>
      </c>
      <c r="Y18" t="s">
        <v>391</v>
      </c>
    </row>
    <row r="19" spans="1:25">
      <c r="B19"/>
      <c r="E19" s="27"/>
      <c r="F19" s="19"/>
      <c r="V19" t="s">
        <v>392</v>
      </c>
      <c r="W19" s="142">
        <v>0.4458333333333333</v>
      </c>
      <c r="X19" t="s">
        <v>393</v>
      </c>
    </row>
    <row r="20" spans="1:25">
      <c r="B20" s="524" t="s">
        <v>1146</v>
      </c>
    </row>
    <row r="21" spans="1:25">
      <c r="B21" s="524" t="s">
        <v>1147</v>
      </c>
    </row>
    <row r="22" spans="1:25">
      <c r="A22" s="2" t="s">
        <v>394</v>
      </c>
    </row>
    <row r="23" spans="1:25">
      <c r="A23" s="143" t="s">
        <v>395</v>
      </c>
      <c r="B23" s="2" t="s">
        <v>396</v>
      </c>
      <c r="C23" s="27" t="s">
        <v>397</v>
      </c>
    </row>
    <row r="24" spans="1:25">
      <c r="A24" s="144" t="s">
        <v>398</v>
      </c>
    </row>
    <row r="25" spans="1:25">
      <c r="A25" s="145" t="s">
        <v>399</v>
      </c>
    </row>
    <row r="26" spans="1:25">
      <c r="A26" s="146" t="s">
        <v>400</v>
      </c>
    </row>
    <row r="27" spans="1:25">
      <c r="A27" s="147" t="s">
        <v>401</v>
      </c>
      <c r="B27" s="2" t="s">
        <v>402</v>
      </c>
      <c r="C27" s="27" t="s">
        <v>403</v>
      </c>
    </row>
    <row r="28" spans="1:25">
      <c r="A28" s="148" t="s">
        <v>404</v>
      </c>
    </row>
    <row r="29" spans="1:25">
      <c r="A29" s="149" t="s">
        <v>399</v>
      </c>
    </row>
    <row r="30" spans="1:25">
      <c r="A30" s="150" t="s">
        <v>405</v>
      </c>
    </row>
    <row r="32" spans="1:25">
      <c r="A32" s="2" t="s">
        <v>406</v>
      </c>
      <c r="B32" s="2" t="s">
        <v>407</v>
      </c>
      <c r="E32" s="25" t="s">
        <v>408</v>
      </c>
      <c r="I32" t="s">
        <v>409</v>
      </c>
    </row>
    <row r="34" spans="1:9">
      <c r="A34" s="2" t="s">
        <v>410</v>
      </c>
      <c r="B34" s="2" t="s">
        <v>411</v>
      </c>
    </row>
    <row r="36" spans="1:9">
      <c r="A36" s="2" t="s">
        <v>412</v>
      </c>
      <c r="B36" s="2" t="s">
        <v>413</v>
      </c>
    </row>
    <row r="38" spans="1:9">
      <c r="A38" s="2" t="s">
        <v>414</v>
      </c>
      <c r="B38" s="2" t="s">
        <v>415</v>
      </c>
    </row>
    <row r="40" spans="1:9">
      <c r="A40" s="2" t="s">
        <v>416</v>
      </c>
      <c r="B40" s="2" t="s">
        <v>417</v>
      </c>
      <c r="E40" s="25" t="s">
        <v>418</v>
      </c>
    </row>
    <row r="42" spans="1:9">
      <c r="A42" s="2" t="s">
        <v>419</v>
      </c>
      <c r="B42" s="2" t="s">
        <v>420</v>
      </c>
      <c r="I42" t="s">
        <v>421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3" t="s">
        <v>1202</v>
      </c>
      <c r="B1" s="744"/>
      <c r="C1" s="745"/>
      <c r="D1" s="743" t="s">
        <v>422</v>
      </c>
      <c r="E1" s="744"/>
      <c r="F1" s="745"/>
      <c r="G1" s="743" t="s">
        <v>60</v>
      </c>
      <c r="H1" s="744"/>
      <c r="I1" s="745"/>
      <c r="J1" s="743" t="s">
        <v>1203</v>
      </c>
      <c r="K1" s="744"/>
      <c r="L1" s="745"/>
      <c r="M1" s="743" t="s">
        <v>423</v>
      </c>
      <c r="N1" s="744"/>
      <c r="O1" s="745"/>
      <c r="P1" s="743" t="s">
        <v>1204</v>
      </c>
      <c r="Q1" s="744"/>
      <c r="R1" s="745"/>
      <c r="S1" s="743" t="s">
        <v>1205</v>
      </c>
      <c r="T1" s="744"/>
      <c r="U1" s="745"/>
      <c r="V1" s="743" t="s">
        <v>188</v>
      </c>
      <c r="W1" s="744"/>
      <c r="X1" s="745"/>
      <c r="Y1" s="743" t="s">
        <v>424</v>
      </c>
      <c r="Z1" s="744"/>
      <c r="AA1" s="745"/>
      <c r="AB1" s="743" t="s">
        <v>1206</v>
      </c>
      <c r="AC1" s="744"/>
      <c r="AD1" s="745"/>
      <c r="AE1" s="743" t="s">
        <v>1207</v>
      </c>
      <c r="AF1" s="744"/>
      <c r="AG1" s="745"/>
      <c r="AH1" s="50"/>
      <c r="AI1" s="746"/>
      <c r="AJ1" s="739"/>
      <c r="AK1" s="739"/>
      <c r="AL1" s="739"/>
      <c r="AM1" s="739"/>
      <c r="AN1" s="739"/>
      <c r="AO1" s="739"/>
      <c r="AP1" s="739"/>
      <c r="AQ1" s="739"/>
      <c r="AR1" s="739"/>
      <c r="AS1" s="739"/>
    </row>
    <row r="2" spans="1:45" ht="15" customHeight="1">
      <c r="C2" s="213"/>
      <c r="F2" s="213"/>
      <c r="I2" s="213"/>
      <c r="L2" s="213"/>
      <c r="O2" s="213"/>
      <c r="R2" s="213"/>
      <c r="U2" s="213"/>
      <c r="X2" s="213"/>
      <c r="AA2" s="747" t="s">
        <v>1372</v>
      </c>
      <c r="AD2" s="213"/>
      <c r="AG2" s="213"/>
      <c r="AI2" t="s">
        <v>1208</v>
      </c>
      <c r="AJ2" t="s">
        <v>1209</v>
      </c>
      <c r="AK2" t="s">
        <v>109</v>
      </c>
      <c r="AL2" t="s">
        <v>368</v>
      </c>
      <c r="AM2" t="s">
        <v>429</v>
      </c>
      <c r="AN2" t="s">
        <v>1210</v>
      </c>
      <c r="AO2" t="s">
        <v>1211</v>
      </c>
      <c r="AP2" t="s">
        <v>993</v>
      </c>
      <c r="AQ2" t="s">
        <v>1212</v>
      </c>
      <c r="AR2" t="s">
        <v>1213</v>
      </c>
      <c r="AS2" t="s">
        <v>356</v>
      </c>
    </row>
    <row r="3" spans="1:45" ht="15" customHeight="1">
      <c r="A3" s="3" t="s">
        <v>109</v>
      </c>
      <c r="B3" s="13" t="s">
        <v>1210</v>
      </c>
      <c r="C3" s="215"/>
      <c r="D3" s="3" t="s">
        <v>109</v>
      </c>
      <c r="E3" s="13" t="s">
        <v>1371</v>
      </c>
      <c r="F3" s="215"/>
      <c r="G3" s="3" t="s">
        <v>109</v>
      </c>
      <c r="H3" s="13" t="s">
        <v>1371</v>
      </c>
      <c r="I3" s="215"/>
      <c r="J3" s="3" t="s">
        <v>109</v>
      </c>
      <c r="K3" s="13" t="s">
        <v>1371</v>
      </c>
      <c r="L3" s="213"/>
      <c r="M3" s="3" t="s">
        <v>109</v>
      </c>
      <c r="N3" s="13" t="s">
        <v>1371</v>
      </c>
      <c r="O3" s="213"/>
      <c r="P3" s="3" t="s">
        <v>109</v>
      </c>
      <c r="Q3" s="13" t="s">
        <v>1371</v>
      </c>
      <c r="R3" s="213"/>
      <c r="S3" s="3" t="s">
        <v>109</v>
      </c>
      <c r="T3" s="13" t="s">
        <v>1371</v>
      </c>
      <c r="U3" s="213"/>
      <c r="V3" t="s">
        <v>109</v>
      </c>
      <c r="W3" t="s">
        <v>1371</v>
      </c>
      <c r="X3" s="213"/>
      <c r="Y3" t="s">
        <v>109</v>
      </c>
      <c r="Z3" t="s">
        <v>1371</v>
      </c>
      <c r="AA3" s="748"/>
      <c r="AB3" s="3" t="s">
        <v>109</v>
      </c>
      <c r="AC3" s="13" t="s">
        <v>1371</v>
      </c>
      <c r="AD3" s="213"/>
      <c r="AE3" s="3" t="s">
        <v>109</v>
      </c>
      <c r="AF3" s="13" t="s">
        <v>1371</v>
      </c>
      <c r="AG3" s="213"/>
      <c r="AI3" t="s">
        <v>357</v>
      </c>
      <c r="AJ3" t="s">
        <v>1202</v>
      </c>
      <c r="AK3" s="12">
        <v>45823</v>
      </c>
      <c r="AM3" t="s">
        <v>1217</v>
      </c>
      <c r="AN3" s="5">
        <v>0</v>
      </c>
      <c r="AO3" t="s">
        <v>1214</v>
      </c>
      <c r="AP3" s="83" t="s">
        <v>602</v>
      </c>
      <c r="AQ3" t="s">
        <v>1218</v>
      </c>
      <c r="AR3" t="s">
        <v>1215</v>
      </c>
      <c r="AS3" t="s">
        <v>1219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6"/>
      <c r="AH4" s="537"/>
      <c r="AI4" t="s">
        <v>357</v>
      </c>
      <c r="AJ4" t="s">
        <v>1202</v>
      </c>
      <c r="AK4" s="12">
        <v>45853.42</v>
      </c>
      <c r="AM4" t="s">
        <v>1217</v>
      </c>
      <c r="AN4" s="5">
        <v>0</v>
      </c>
      <c r="AO4" t="s">
        <v>1214</v>
      </c>
      <c r="AP4" s="83" t="s">
        <v>602</v>
      </c>
      <c r="AQ4" t="s">
        <v>1218</v>
      </c>
      <c r="AR4" t="s">
        <v>1215</v>
      </c>
      <c r="AS4" t="s">
        <v>1220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6"/>
      <c r="AH5" s="537"/>
      <c r="AI5" t="s">
        <v>357</v>
      </c>
      <c r="AJ5" t="s">
        <v>1202</v>
      </c>
      <c r="AK5" s="12">
        <v>45883.839999999997</v>
      </c>
      <c r="AM5" t="s">
        <v>1217</v>
      </c>
      <c r="AN5" s="5">
        <v>0</v>
      </c>
      <c r="AO5" t="s">
        <v>1214</v>
      </c>
      <c r="AP5" s="83" t="s">
        <v>602</v>
      </c>
      <c r="AQ5" t="s">
        <v>1218</v>
      </c>
      <c r="AR5" t="s">
        <v>1215</v>
      </c>
      <c r="AS5" t="s">
        <v>1221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6"/>
      <c r="AH6" s="537"/>
      <c r="AI6" t="s">
        <v>357</v>
      </c>
      <c r="AJ6" t="s">
        <v>1202</v>
      </c>
      <c r="AK6" s="12">
        <v>45947</v>
      </c>
      <c r="AM6" t="s">
        <v>1217</v>
      </c>
      <c r="AN6" s="5">
        <v>410</v>
      </c>
      <c r="AO6" t="s">
        <v>1214</v>
      </c>
      <c r="AP6" s="83" t="s">
        <v>602</v>
      </c>
      <c r="AQ6" t="s">
        <v>1218</v>
      </c>
      <c r="AR6" t="s">
        <v>1215</v>
      </c>
      <c r="AS6" t="s">
        <v>1222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6"/>
      <c r="AH7" s="537"/>
      <c r="AI7" t="s">
        <v>357</v>
      </c>
      <c r="AJ7" t="s">
        <v>1202</v>
      </c>
      <c r="AK7" s="12">
        <v>45947</v>
      </c>
      <c r="AM7" t="s">
        <v>1217</v>
      </c>
      <c r="AN7" s="5">
        <v>20.84</v>
      </c>
      <c r="AO7" t="s">
        <v>1214</v>
      </c>
      <c r="AP7" s="83" t="s">
        <v>602</v>
      </c>
      <c r="AQ7" t="s">
        <v>1218</v>
      </c>
      <c r="AR7" t="s">
        <v>1215</v>
      </c>
      <c r="AS7" t="s">
        <v>1223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6"/>
      <c r="AH8" s="537"/>
      <c r="AI8" t="s">
        <v>357</v>
      </c>
      <c r="AJ8" t="s">
        <v>1202</v>
      </c>
      <c r="AK8" s="12">
        <v>45950</v>
      </c>
      <c r="AM8" t="s">
        <v>1217</v>
      </c>
      <c r="AN8" s="5">
        <v>37.880000000000003</v>
      </c>
      <c r="AO8" t="s">
        <v>1214</v>
      </c>
      <c r="AP8" s="83" t="s">
        <v>602</v>
      </c>
      <c r="AQ8" t="s">
        <v>1218</v>
      </c>
      <c r="AR8" t="s">
        <v>1215</v>
      </c>
      <c r="AS8" t="s">
        <v>1224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6"/>
      <c r="AH9" s="537"/>
      <c r="AI9" t="s">
        <v>357</v>
      </c>
      <c r="AJ9" t="s">
        <v>1202</v>
      </c>
      <c r="AK9" s="12">
        <v>45979</v>
      </c>
      <c r="AM9" t="s">
        <v>1217</v>
      </c>
      <c r="AN9" s="5">
        <v>34.119999999999997</v>
      </c>
      <c r="AO9" t="s">
        <v>1214</v>
      </c>
      <c r="AP9" s="83" t="s">
        <v>602</v>
      </c>
      <c r="AQ9" t="s">
        <v>1218</v>
      </c>
      <c r="AR9" t="s">
        <v>1215</v>
      </c>
      <c r="AS9" t="s">
        <v>1225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6"/>
      <c r="AH10" s="537"/>
      <c r="AI10" t="s">
        <v>357</v>
      </c>
      <c r="AJ10" t="s">
        <v>1202</v>
      </c>
      <c r="AK10" s="12">
        <v>46008</v>
      </c>
      <c r="AM10" t="s">
        <v>1217</v>
      </c>
      <c r="AN10" s="5">
        <v>33.67</v>
      </c>
      <c r="AO10" t="s">
        <v>1214</v>
      </c>
      <c r="AP10" s="83" t="s">
        <v>602</v>
      </c>
      <c r="AQ10" t="s">
        <v>1218</v>
      </c>
      <c r="AR10" t="s">
        <v>1215</v>
      </c>
      <c r="AS10" t="s">
        <v>1226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6"/>
      <c r="AH11" s="537"/>
      <c r="AI11" t="s">
        <v>357</v>
      </c>
      <c r="AJ11" t="s">
        <v>1202</v>
      </c>
      <c r="AK11" s="12">
        <v>46042</v>
      </c>
      <c r="AM11" t="s">
        <v>1217</v>
      </c>
      <c r="AN11" s="5">
        <v>65.849999999999994</v>
      </c>
      <c r="AO11" t="s">
        <v>1214</v>
      </c>
      <c r="AP11" s="83" t="s">
        <v>602</v>
      </c>
      <c r="AQ11" t="s">
        <v>1218</v>
      </c>
      <c r="AR11" t="s">
        <v>1215</v>
      </c>
      <c r="AS11" t="s">
        <v>1227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6"/>
      <c r="AH12" s="537"/>
      <c r="AI12" t="s">
        <v>357</v>
      </c>
      <c r="AJ12" t="s">
        <v>1202</v>
      </c>
      <c r="AK12" s="12">
        <v>46070</v>
      </c>
      <c r="AM12" t="s">
        <v>1217</v>
      </c>
      <c r="AN12" s="5">
        <v>169.01</v>
      </c>
      <c r="AO12" t="s">
        <v>1214</v>
      </c>
      <c r="AP12" s="83" t="s">
        <v>602</v>
      </c>
      <c r="AQ12" t="s">
        <v>1218</v>
      </c>
      <c r="AR12" t="s">
        <v>1215</v>
      </c>
      <c r="AS12" t="s">
        <v>1228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6"/>
      <c r="AH13" s="537"/>
      <c r="AI13" t="s">
        <v>357</v>
      </c>
      <c r="AJ13" t="s">
        <v>1202</v>
      </c>
      <c r="AK13" s="12">
        <v>46099</v>
      </c>
      <c r="AM13" t="s">
        <v>1217</v>
      </c>
      <c r="AN13" s="5">
        <v>80.64</v>
      </c>
      <c r="AO13" t="s">
        <v>1214</v>
      </c>
      <c r="AP13" s="83" t="s">
        <v>602</v>
      </c>
      <c r="AQ13" t="s">
        <v>1218</v>
      </c>
      <c r="AR13" t="s">
        <v>1215</v>
      </c>
      <c r="AS13" t="s">
        <v>1229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6"/>
      <c r="AH14" s="537"/>
      <c r="AI14" t="s">
        <v>357</v>
      </c>
      <c r="AJ14" t="s">
        <v>1202</v>
      </c>
      <c r="AK14" s="12">
        <v>46132</v>
      </c>
      <c r="AM14" t="s">
        <v>1217</v>
      </c>
      <c r="AN14" s="5">
        <v>60</v>
      </c>
      <c r="AO14" t="s">
        <v>1214</v>
      </c>
      <c r="AP14" s="83" t="s">
        <v>602</v>
      </c>
      <c r="AQ14" t="s">
        <v>1218</v>
      </c>
      <c r="AR14" t="s">
        <v>1215</v>
      </c>
      <c r="AS14" t="s">
        <v>1230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6"/>
      <c r="AH15" s="537"/>
      <c r="AI15" t="s">
        <v>357</v>
      </c>
      <c r="AJ15" t="s">
        <v>1202</v>
      </c>
      <c r="AK15" s="12">
        <v>46160</v>
      </c>
      <c r="AM15" t="s">
        <v>1217</v>
      </c>
      <c r="AN15" s="5">
        <v>51.1</v>
      </c>
      <c r="AO15" t="s">
        <v>1214</v>
      </c>
      <c r="AP15" s="83" t="s">
        <v>602</v>
      </c>
      <c r="AQ15" t="s">
        <v>1218</v>
      </c>
      <c r="AR15" t="s">
        <v>1215</v>
      </c>
      <c r="AS15" t="s">
        <v>1231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6"/>
      <c r="AH16" s="537"/>
      <c r="AI16" t="s">
        <v>357</v>
      </c>
      <c r="AJ16" t="s">
        <v>1202</v>
      </c>
      <c r="AK16" s="12">
        <v>46190.42</v>
      </c>
      <c r="AM16" t="s">
        <v>1217</v>
      </c>
      <c r="AN16" s="5">
        <v>0</v>
      </c>
      <c r="AO16" t="s">
        <v>1214</v>
      </c>
      <c r="AP16" s="83" t="s">
        <v>602</v>
      </c>
      <c r="AQ16" t="s">
        <v>1218</v>
      </c>
      <c r="AR16" t="s">
        <v>1215</v>
      </c>
      <c r="AS16" t="s">
        <v>1232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6"/>
      <c r="AH17" s="537"/>
      <c r="AI17" t="s">
        <v>357</v>
      </c>
      <c r="AJ17" t="s">
        <v>1202</v>
      </c>
      <c r="AK17" s="12">
        <v>46220.84</v>
      </c>
      <c r="AM17" t="s">
        <v>1217</v>
      </c>
      <c r="AN17" s="5">
        <v>0</v>
      </c>
      <c r="AO17" t="s">
        <v>1214</v>
      </c>
      <c r="AP17" s="83" t="s">
        <v>602</v>
      </c>
      <c r="AQ17" t="s">
        <v>1218</v>
      </c>
      <c r="AR17" t="s">
        <v>1215</v>
      </c>
      <c r="AS17" t="s">
        <v>1233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6"/>
      <c r="AH18" s="537"/>
      <c r="AI18" t="s">
        <v>357</v>
      </c>
      <c r="AJ18" t="s">
        <v>1202</v>
      </c>
      <c r="AK18" s="12">
        <v>46251.259999999995</v>
      </c>
      <c r="AM18" t="s">
        <v>1217</v>
      </c>
      <c r="AN18" s="5">
        <v>0</v>
      </c>
      <c r="AO18" t="s">
        <v>1214</v>
      </c>
      <c r="AP18" s="83" t="s">
        <v>602</v>
      </c>
      <c r="AQ18" t="s">
        <v>1218</v>
      </c>
      <c r="AR18" t="s">
        <v>1215</v>
      </c>
      <c r="AS18" t="s">
        <v>1234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6"/>
      <c r="AH19" s="537"/>
      <c r="AI19" t="s">
        <v>357</v>
      </c>
      <c r="AJ19" t="s">
        <v>1202</v>
      </c>
      <c r="AK19" s="12">
        <v>46281.679999999993</v>
      </c>
      <c r="AM19" t="s">
        <v>1217</v>
      </c>
      <c r="AN19" s="5">
        <v>0</v>
      </c>
      <c r="AO19" t="s">
        <v>1214</v>
      </c>
      <c r="AP19" s="83" t="s">
        <v>602</v>
      </c>
      <c r="AQ19" t="s">
        <v>1218</v>
      </c>
      <c r="AR19" t="s">
        <v>1215</v>
      </c>
      <c r="AS19" t="s">
        <v>1235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6"/>
      <c r="AH20" s="537"/>
      <c r="AI20" t="s">
        <v>357</v>
      </c>
      <c r="AJ20" t="s">
        <v>1202</v>
      </c>
      <c r="AK20" s="12">
        <v>46312.099999999991</v>
      </c>
      <c r="AM20" t="s">
        <v>1217</v>
      </c>
      <c r="AN20" s="5">
        <v>0</v>
      </c>
      <c r="AO20" t="s">
        <v>1214</v>
      </c>
      <c r="AP20" s="83" t="s">
        <v>602</v>
      </c>
      <c r="AQ20" t="s">
        <v>1218</v>
      </c>
      <c r="AR20" t="s">
        <v>1215</v>
      </c>
      <c r="AS20" t="s">
        <v>1236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6"/>
      <c r="AH21" s="537"/>
      <c r="AI21" t="s">
        <v>357</v>
      </c>
      <c r="AJ21" t="s">
        <v>1202</v>
      </c>
      <c r="AK21" s="12">
        <v>46342.51999999999</v>
      </c>
      <c r="AM21" t="s">
        <v>1217</v>
      </c>
      <c r="AN21" s="5">
        <v>0</v>
      </c>
      <c r="AO21" t="s">
        <v>1214</v>
      </c>
      <c r="AP21" s="83" t="s">
        <v>602</v>
      </c>
      <c r="AQ21" t="s">
        <v>1218</v>
      </c>
      <c r="AR21" t="s">
        <v>1215</v>
      </c>
      <c r="AS21" t="s">
        <v>1237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6"/>
      <c r="AH22" s="537"/>
      <c r="AI22" t="s">
        <v>357</v>
      </c>
      <c r="AJ22" t="s">
        <v>1216</v>
      </c>
      <c r="AK22" s="12">
        <v>45902</v>
      </c>
      <c r="AM22" t="s">
        <v>1217</v>
      </c>
      <c r="AN22" s="5">
        <v>1968.32</v>
      </c>
      <c r="AO22" t="s">
        <v>1214</v>
      </c>
      <c r="AP22" s="83" t="s">
        <v>602</v>
      </c>
      <c r="AQ22" t="s">
        <v>1218</v>
      </c>
      <c r="AR22" t="s">
        <v>1215</v>
      </c>
      <c r="AS22" t="s">
        <v>1238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6"/>
      <c r="AH23" s="537"/>
      <c r="AI23" t="s">
        <v>357</v>
      </c>
      <c r="AJ23" t="s">
        <v>1216</v>
      </c>
      <c r="AK23" s="12">
        <v>45902</v>
      </c>
      <c r="AM23" t="s">
        <v>1217</v>
      </c>
      <c r="AN23" s="5">
        <v>1120.77</v>
      </c>
      <c r="AO23" t="s">
        <v>1214</v>
      </c>
      <c r="AP23" s="83" t="s">
        <v>602</v>
      </c>
      <c r="AQ23" t="s">
        <v>1218</v>
      </c>
      <c r="AR23" t="s">
        <v>1215</v>
      </c>
      <c r="AS23" t="s">
        <v>1239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8"/>
      <c r="AH24" s="537"/>
      <c r="AI24" t="s">
        <v>357</v>
      </c>
      <c r="AJ24" t="s">
        <v>1216</v>
      </c>
      <c r="AK24" s="12">
        <v>45932.42</v>
      </c>
      <c r="AM24" t="s">
        <v>1217</v>
      </c>
      <c r="AN24" s="5">
        <v>984.16</v>
      </c>
      <c r="AO24" t="s">
        <v>1214</v>
      </c>
      <c r="AP24" s="83" t="s">
        <v>602</v>
      </c>
      <c r="AQ24" t="s">
        <v>1218</v>
      </c>
      <c r="AR24" t="s">
        <v>1215</v>
      </c>
      <c r="AS24" t="s">
        <v>1240</v>
      </c>
    </row>
    <row r="25" spans="1:45" ht="15.75" customHeight="1" thickBot="1">
      <c r="A25" s="23"/>
      <c r="B25" s="749">
        <f>SUMIFS(tblCarryingExpenses[Amount],tblCarryingExpenses[Category],IF(A1="Mortgage Payment paid after Reinstatement","Mortgage Payment",A1),tblCarryingExpenses[Include],"Yes")</f>
        <v>963.11</v>
      </c>
      <c r="C25" s="750"/>
      <c r="D25" s="23"/>
      <c r="E25" s="749">
        <f>SUMIFS(tblCarryingExpenses[Amount],tblCarryingExpenses[Category],IF(D1="Mortgage Payment paid after Reinstatement","Mortgage Payment",D1),tblCarryingExpenses[Include],"Yes")</f>
        <v>12150.119999999999</v>
      </c>
      <c r="F25" s="751"/>
      <c r="G25" s="539"/>
      <c r="H25" s="749">
        <f>SUMIFS(tblCarryingExpenses[Amount],tblCarryingExpenses[Category],IF(G1="Mortgage Payment paid after Reinstatement","Mortgage Payment",G1),tblCarryingExpenses[Include],"Yes")</f>
        <v>0</v>
      </c>
      <c r="I25" s="750"/>
      <c r="J25" s="539"/>
      <c r="K25" s="749">
        <f>SUMIFS(tblCarryingExpenses[Amount],tblCarryingExpenses[Category],IF(J1="Mortgage Payment paid after Reinstatement","Mortgage Payment",J1),tblCarryingExpenses[Include],"Yes")</f>
        <v>0</v>
      </c>
      <c r="L25" s="750"/>
      <c r="M25" s="539"/>
      <c r="N25" s="749">
        <f>SUMIFS(tblCarryingExpenses[Amount],tblCarryingExpenses[Category],IF(M1="Mortgage Payment paid after Reinstatement","Mortgage Payment",M1),tblCarryingExpenses[Include],"Yes")</f>
        <v>0</v>
      </c>
      <c r="O25" s="750"/>
      <c r="P25" s="539"/>
      <c r="Q25" s="749">
        <f>SUMIFS(tblCarryingExpenses[Amount],tblCarryingExpenses[Category],IF(P1="Mortgage Payment paid after Reinstatement","Mortgage Payment",P1),tblCarryingExpenses[Include],"Yes")</f>
        <v>227.75</v>
      </c>
      <c r="R25" s="750"/>
      <c r="S25" s="539"/>
      <c r="T25" s="749">
        <f>SUMIFS(tblCarryingExpenses[Amount],tblCarryingExpenses[Category],IF(S1="Mortgage Payment paid after Reinstatement","Mortgage Payment",S1),tblCarryingExpenses[Include],"Yes")</f>
        <v>0</v>
      </c>
      <c r="U25" s="750"/>
      <c r="V25" s="539"/>
      <c r="W25" s="749">
        <f>SUMIFS(tblCarryingExpenses[Amount],tblCarryingExpenses[Category],IF(V1="Mortgage Payment paid after Reinstatement","Mortgage Payment",V1),tblCarryingExpenses[Include],"Yes")</f>
        <v>0</v>
      </c>
      <c r="X25" s="750"/>
      <c r="Y25" s="539"/>
      <c r="Z25" s="749">
        <f>SUM(Z4:AA23)</f>
        <v>0</v>
      </c>
      <c r="AA25" s="750"/>
      <c r="AB25" s="539"/>
      <c r="AC25" s="749">
        <f>SUMIFS(tblCarryingExpenses[Amount],tblCarryingExpenses[Category],IF(AB1="Mortgage Payment paid after Reinstatement","Mortgage Payment",AB1),tblCarryingExpenses[Include],"Yes")</f>
        <v>0</v>
      </c>
      <c r="AD25" s="750"/>
      <c r="AE25" s="539"/>
      <c r="AF25" s="749">
        <f>SUMIFS(tblCarryingExpenses[Amount],tblCarryingExpenses[Category],IF(AE1="Mortgage Payment paid after Reinstatement","Mortgage Payment",AE1),tblCarryingExpenses[Include],"Yes")</f>
        <v>0</v>
      </c>
      <c r="AG25" s="750"/>
      <c r="AH25" s="5"/>
      <c r="AI25" t="s">
        <v>357</v>
      </c>
      <c r="AJ25" t="s">
        <v>1216</v>
      </c>
      <c r="AK25" s="12">
        <v>45932</v>
      </c>
      <c r="AM25" t="s">
        <v>1217</v>
      </c>
      <c r="AN25" s="5">
        <v>1120.77</v>
      </c>
      <c r="AO25" t="s">
        <v>1214</v>
      </c>
      <c r="AP25" s="83" t="s">
        <v>602</v>
      </c>
      <c r="AQ25" t="s">
        <v>1218</v>
      </c>
      <c r="AR25" t="s">
        <v>1215</v>
      </c>
      <c r="AS25" t="s">
        <v>1241</v>
      </c>
    </row>
    <row r="26" spans="1:45" ht="15" customHeight="1">
      <c r="AI26" t="s">
        <v>357</v>
      </c>
      <c r="AJ26" t="s">
        <v>1216</v>
      </c>
      <c r="AK26" s="12">
        <v>45962.42</v>
      </c>
      <c r="AM26" t="s">
        <v>1217</v>
      </c>
      <c r="AN26" s="5">
        <v>984.16</v>
      </c>
      <c r="AO26" t="s">
        <v>1214</v>
      </c>
      <c r="AP26" s="83" t="s">
        <v>602</v>
      </c>
      <c r="AQ26" t="s">
        <v>1218</v>
      </c>
      <c r="AR26" t="s">
        <v>1215</v>
      </c>
      <c r="AS26" t="s">
        <v>1242</v>
      </c>
    </row>
    <row r="27" spans="1:45" ht="15" customHeight="1">
      <c r="AI27" t="s">
        <v>357</v>
      </c>
      <c r="AJ27" t="s">
        <v>1216</v>
      </c>
      <c r="AK27" s="12">
        <v>45992.84</v>
      </c>
      <c r="AM27" t="s">
        <v>1217</v>
      </c>
      <c r="AN27" s="5">
        <v>984.16</v>
      </c>
      <c r="AO27" t="s">
        <v>1214</v>
      </c>
      <c r="AP27" s="83" t="s">
        <v>602</v>
      </c>
      <c r="AQ27" t="s">
        <v>1218</v>
      </c>
      <c r="AR27" t="s">
        <v>1215</v>
      </c>
      <c r="AS27" t="s">
        <v>1243</v>
      </c>
    </row>
    <row r="28" spans="1:45" ht="15" customHeight="1">
      <c r="AI28" t="s">
        <v>357</v>
      </c>
      <c r="AJ28" t="s">
        <v>1216</v>
      </c>
      <c r="AK28" s="12">
        <v>46023.259999999995</v>
      </c>
      <c r="AM28" t="s">
        <v>1217</v>
      </c>
      <c r="AN28" s="5">
        <v>984.16</v>
      </c>
      <c r="AO28" t="s">
        <v>1214</v>
      </c>
      <c r="AP28" s="83" t="s">
        <v>602</v>
      </c>
      <c r="AQ28" t="s">
        <v>1218</v>
      </c>
      <c r="AR28" t="s">
        <v>1215</v>
      </c>
      <c r="AS28" t="s">
        <v>1244</v>
      </c>
    </row>
    <row r="29" spans="1:45" ht="15" customHeight="1">
      <c r="AI29" t="s">
        <v>357</v>
      </c>
      <c r="AJ29" t="s">
        <v>1216</v>
      </c>
      <c r="AK29" s="12">
        <v>46053.679999999993</v>
      </c>
      <c r="AM29" t="s">
        <v>1217</v>
      </c>
      <c r="AN29" s="5">
        <v>984.16</v>
      </c>
      <c r="AO29" t="s">
        <v>1214</v>
      </c>
      <c r="AP29" s="83" t="s">
        <v>602</v>
      </c>
      <c r="AQ29" t="s">
        <v>1218</v>
      </c>
      <c r="AR29" t="s">
        <v>1215</v>
      </c>
      <c r="AS29" t="s">
        <v>1245</v>
      </c>
    </row>
    <row r="30" spans="1:45" ht="15" customHeight="1">
      <c r="AI30" t="s">
        <v>357</v>
      </c>
      <c r="AJ30" t="s">
        <v>1216</v>
      </c>
      <c r="AK30" s="12">
        <v>46084.099999999991</v>
      </c>
      <c r="AM30" t="s">
        <v>1217</v>
      </c>
      <c r="AN30" s="5">
        <v>984.16</v>
      </c>
      <c r="AO30" t="s">
        <v>1214</v>
      </c>
      <c r="AP30" s="83" t="s">
        <v>602</v>
      </c>
      <c r="AQ30" t="s">
        <v>1218</v>
      </c>
      <c r="AR30" t="s">
        <v>1215</v>
      </c>
      <c r="AS30" t="s">
        <v>1246</v>
      </c>
    </row>
    <row r="31" spans="1:45" ht="15" customHeight="1">
      <c r="AI31" t="s">
        <v>357</v>
      </c>
      <c r="AJ31" t="s">
        <v>1216</v>
      </c>
      <c r="AK31" s="12">
        <v>46114.51999999999</v>
      </c>
      <c r="AM31" t="s">
        <v>1217</v>
      </c>
      <c r="AN31" s="5">
        <v>1017.65</v>
      </c>
      <c r="AO31" t="s">
        <v>1214</v>
      </c>
      <c r="AP31" s="83" t="s">
        <v>602</v>
      </c>
      <c r="AQ31" t="s">
        <v>1218</v>
      </c>
      <c r="AR31" t="s">
        <v>1215</v>
      </c>
      <c r="AS31" t="s">
        <v>1247</v>
      </c>
    </row>
    <row r="32" spans="1:45" ht="15" customHeight="1">
      <c r="AI32" t="s">
        <v>357</v>
      </c>
      <c r="AJ32" t="s">
        <v>1216</v>
      </c>
      <c r="AK32" s="12">
        <v>46144.939999999988</v>
      </c>
      <c r="AM32" t="s">
        <v>1217</v>
      </c>
      <c r="AN32" s="5">
        <v>1017.65</v>
      </c>
      <c r="AO32" t="s">
        <v>1214</v>
      </c>
      <c r="AP32" s="83" t="s">
        <v>602</v>
      </c>
      <c r="AQ32" t="s">
        <v>1218</v>
      </c>
      <c r="AR32" t="s">
        <v>1215</v>
      </c>
      <c r="AS32" t="s">
        <v>1248</v>
      </c>
    </row>
    <row r="33" spans="35:45" ht="15" customHeight="1">
      <c r="AI33" t="s">
        <v>357</v>
      </c>
      <c r="AJ33" t="s">
        <v>1216</v>
      </c>
      <c r="AK33" s="12">
        <v>46175.359999999986</v>
      </c>
      <c r="AM33" t="s">
        <v>1217</v>
      </c>
      <c r="AN33" s="5">
        <v>0</v>
      </c>
      <c r="AO33" t="s">
        <v>1214</v>
      </c>
      <c r="AP33" s="83" t="s">
        <v>602</v>
      </c>
      <c r="AQ33" t="s">
        <v>1218</v>
      </c>
      <c r="AR33" t="s">
        <v>1215</v>
      </c>
      <c r="AS33" t="s">
        <v>1249</v>
      </c>
    </row>
    <row r="34" spans="35:45" ht="15" customHeight="1">
      <c r="AI34" t="s">
        <v>357</v>
      </c>
      <c r="AJ34" t="s">
        <v>1216</v>
      </c>
      <c r="AK34" s="12">
        <v>46205.779999999984</v>
      </c>
      <c r="AM34" t="s">
        <v>1217</v>
      </c>
      <c r="AN34" s="5">
        <v>0</v>
      </c>
      <c r="AO34" t="s">
        <v>1214</v>
      </c>
      <c r="AP34" s="83" t="s">
        <v>602</v>
      </c>
      <c r="AQ34" t="s">
        <v>1218</v>
      </c>
      <c r="AR34" t="s">
        <v>1215</v>
      </c>
      <c r="AS34" t="s">
        <v>1250</v>
      </c>
    </row>
    <row r="35" spans="35:45" ht="15" customHeight="1">
      <c r="AI35" t="s">
        <v>357</v>
      </c>
      <c r="AJ35" t="s">
        <v>1216</v>
      </c>
      <c r="AK35" s="12">
        <v>46236.199999999983</v>
      </c>
      <c r="AM35" t="s">
        <v>1217</v>
      </c>
      <c r="AN35" s="5">
        <v>0</v>
      </c>
      <c r="AO35" t="s">
        <v>1214</v>
      </c>
      <c r="AP35" s="83" t="s">
        <v>602</v>
      </c>
      <c r="AQ35" t="s">
        <v>1218</v>
      </c>
      <c r="AR35" t="s">
        <v>1215</v>
      </c>
      <c r="AS35" t="s">
        <v>1251</v>
      </c>
    </row>
    <row r="36" spans="35:45" ht="15" customHeight="1">
      <c r="AI36" t="s">
        <v>357</v>
      </c>
      <c r="AJ36" t="s">
        <v>1216</v>
      </c>
      <c r="AK36" s="12">
        <v>46266.619999999981</v>
      </c>
      <c r="AM36" t="s">
        <v>1217</v>
      </c>
      <c r="AN36" s="5">
        <v>0</v>
      </c>
      <c r="AO36" t="s">
        <v>1214</v>
      </c>
      <c r="AP36" s="83" t="s">
        <v>602</v>
      </c>
      <c r="AQ36" t="s">
        <v>1218</v>
      </c>
      <c r="AR36" t="s">
        <v>1215</v>
      </c>
      <c r="AS36" t="s">
        <v>1252</v>
      </c>
    </row>
    <row r="37" spans="35:45" ht="15" customHeight="1">
      <c r="AI37" t="s">
        <v>357</v>
      </c>
      <c r="AJ37" t="s">
        <v>1216</v>
      </c>
      <c r="AK37" s="12">
        <v>46297.039999999979</v>
      </c>
      <c r="AM37" t="s">
        <v>1217</v>
      </c>
      <c r="AN37" s="5">
        <v>0</v>
      </c>
      <c r="AO37" t="s">
        <v>1214</v>
      </c>
      <c r="AP37" s="83" t="s">
        <v>602</v>
      </c>
      <c r="AQ37" t="s">
        <v>1218</v>
      </c>
      <c r="AR37" t="s">
        <v>1215</v>
      </c>
      <c r="AS37" t="s">
        <v>1253</v>
      </c>
    </row>
    <row r="38" spans="35:45" ht="15" customHeight="1">
      <c r="AI38" t="s">
        <v>357</v>
      </c>
      <c r="AJ38" t="s">
        <v>1216</v>
      </c>
      <c r="AK38" s="12">
        <v>46327.459999999977</v>
      </c>
      <c r="AM38" t="s">
        <v>1217</v>
      </c>
      <c r="AN38" s="5">
        <v>0</v>
      </c>
      <c r="AO38" t="s">
        <v>1214</v>
      </c>
      <c r="AP38" s="83" t="s">
        <v>602</v>
      </c>
      <c r="AQ38" t="s">
        <v>1218</v>
      </c>
      <c r="AR38" t="s">
        <v>1215</v>
      </c>
      <c r="AS38" t="s">
        <v>1254</v>
      </c>
    </row>
    <row r="39" spans="35:45" ht="15" customHeight="1">
      <c r="AI39" t="s">
        <v>357</v>
      </c>
      <c r="AJ39" t="s">
        <v>1216</v>
      </c>
      <c r="AK39" s="12">
        <v>46357.879999999976</v>
      </c>
      <c r="AM39" t="s">
        <v>1217</v>
      </c>
      <c r="AN39" s="5">
        <v>0</v>
      </c>
      <c r="AO39" t="s">
        <v>1214</v>
      </c>
      <c r="AP39" s="83" t="s">
        <v>602</v>
      </c>
      <c r="AQ39" t="s">
        <v>1218</v>
      </c>
      <c r="AR39" t="s">
        <v>1215</v>
      </c>
      <c r="AS39" t="s">
        <v>1255</v>
      </c>
    </row>
    <row r="40" spans="35:45" ht="15" customHeight="1">
      <c r="AI40" t="s">
        <v>357</v>
      </c>
      <c r="AJ40" t="s">
        <v>1216</v>
      </c>
      <c r="AK40" s="12">
        <v>46388.299999999974</v>
      </c>
      <c r="AM40" t="s">
        <v>1217</v>
      </c>
      <c r="AN40" s="5">
        <v>0</v>
      </c>
      <c r="AO40" t="s">
        <v>1214</v>
      </c>
      <c r="AP40" s="83" t="s">
        <v>602</v>
      </c>
      <c r="AQ40" t="s">
        <v>1218</v>
      </c>
      <c r="AR40" t="s">
        <v>1215</v>
      </c>
      <c r="AS40" t="s">
        <v>1256</v>
      </c>
    </row>
    <row r="41" spans="35:45" ht="15" customHeight="1">
      <c r="AI41" t="s">
        <v>357</v>
      </c>
      <c r="AJ41" t="s">
        <v>60</v>
      </c>
      <c r="AK41" s="12">
        <v>45823</v>
      </c>
      <c r="AM41" t="s">
        <v>1217</v>
      </c>
      <c r="AN41" s="5">
        <v>0</v>
      </c>
      <c r="AO41" t="s">
        <v>1214</v>
      </c>
      <c r="AP41" s="83" t="s">
        <v>602</v>
      </c>
      <c r="AQ41" t="s">
        <v>1218</v>
      </c>
      <c r="AR41" t="s">
        <v>1215</v>
      </c>
      <c r="AS41" t="s">
        <v>1257</v>
      </c>
    </row>
    <row r="42" spans="35:45" ht="15" customHeight="1">
      <c r="AI42" t="s">
        <v>357</v>
      </c>
      <c r="AJ42" t="s">
        <v>60</v>
      </c>
      <c r="AK42" s="12">
        <v>45853.42</v>
      </c>
      <c r="AM42" t="s">
        <v>1217</v>
      </c>
      <c r="AN42" s="5">
        <v>0</v>
      </c>
      <c r="AO42" t="s">
        <v>1214</v>
      </c>
      <c r="AP42" s="83" t="s">
        <v>602</v>
      </c>
      <c r="AQ42" t="s">
        <v>1218</v>
      </c>
      <c r="AR42" t="s">
        <v>1215</v>
      </c>
      <c r="AS42" t="s">
        <v>1258</v>
      </c>
    </row>
    <row r="43" spans="35:45" ht="15" customHeight="1">
      <c r="AI43" t="s">
        <v>357</v>
      </c>
      <c r="AJ43" t="s">
        <v>60</v>
      </c>
      <c r="AK43" s="12">
        <v>45883.839999999997</v>
      </c>
      <c r="AM43" t="s">
        <v>1217</v>
      </c>
      <c r="AN43" s="5">
        <v>0</v>
      </c>
      <c r="AO43" t="s">
        <v>1214</v>
      </c>
      <c r="AP43" s="83" t="s">
        <v>602</v>
      </c>
      <c r="AQ43" t="s">
        <v>1218</v>
      </c>
      <c r="AR43" t="s">
        <v>1215</v>
      </c>
      <c r="AS43" t="s">
        <v>1259</v>
      </c>
    </row>
    <row r="44" spans="35:45" ht="15" customHeight="1">
      <c r="AI44" t="s">
        <v>357</v>
      </c>
      <c r="AJ44" t="s">
        <v>60</v>
      </c>
      <c r="AK44" s="12">
        <v>45914.259999999995</v>
      </c>
      <c r="AM44" t="s">
        <v>1217</v>
      </c>
      <c r="AN44" s="5">
        <v>0</v>
      </c>
      <c r="AO44" t="s">
        <v>1214</v>
      </c>
      <c r="AP44" s="83" t="s">
        <v>602</v>
      </c>
      <c r="AQ44" t="s">
        <v>1218</v>
      </c>
      <c r="AR44" t="s">
        <v>1215</v>
      </c>
      <c r="AS44" t="s">
        <v>1260</v>
      </c>
    </row>
    <row r="45" spans="35:45" ht="15" customHeight="1">
      <c r="AI45" t="s">
        <v>357</v>
      </c>
      <c r="AJ45" t="s">
        <v>60</v>
      </c>
      <c r="AK45" s="12">
        <v>45944.679999999993</v>
      </c>
      <c r="AM45" t="s">
        <v>1217</v>
      </c>
      <c r="AN45" s="5">
        <v>0</v>
      </c>
      <c r="AO45" t="s">
        <v>1214</v>
      </c>
      <c r="AP45" s="83" t="s">
        <v>602</v>
      </c>
      <c r="AQ45" t="s">
        <v>1218</v>
      </c>
      <c r="AR45" t="s">
        <v>1215</v>
      </c>
      <c r="AS45" t="s">
        <v>1261</v>
      </c>
    </row>
    <row r="46" spans="35:45" ht="15" customHeight="1">
      <c r="AI46" t="s">
        <v>357</v>
      </c>
      <c r="AJ46" t="s">
        <v>60</v>
      </c>
      <c r="AK46" s="12">
        <v>45975.099999999991</v>
      </c>
      <c r="AM46" t="s">
        <v>1217</v>
      </c>
      <c r="AN46" s="5">
        <v>0</v>
      </c>
      <c r="AO46" t="s">
        <v>1214</v>
      </c>
      <c r="AP46" s="83" t="s">
        <v>602</v>
      </c>
      <c r="AQ46" t="s">
        <v>1218</v>
      </c>
      <c r="AR46" t="s">
        <v>1215</v>
      </c>
      <c r="AS46" t="s">
        <v>1262</v>
      </c>
    </row>
    <row r="47" spans="35:45" ht="15" customHeight="1">
      <c r="AI47" t="s">
        <v>357</v>
      </c>
      <c r="AJ47" t="s">
        <v>60</v>
      </c>
      <c r="AK47" s="12">
        <v>46005.51999999999</v>
      </c>
      <c r="AM47" t="s">
        <v>1217</v>
      </c>
      <c r="AN47" s="5">
        <v>0</v>
      </c>
      <c r="AO47" t="s">
        <v>1214</v>
      </c>
      <c r="AP47" s="83" t="s">
        <v>602</v>
      </c>
      <c r="AQ47" t="s">
        <v>1218</v>
      </c>
      <c r="AR47" t="s">
        <v>1215</v>
      </c>
      <c r="AS47" t="s">
        <v>1263</v>
      </c>
    </row>
    <row r="48" spans="35:45" ht="15" customHeight="1">
      <c r="AI48" t="s">
        <v>357</v>
      </c>
      <c r="AJ48" t="s">
        <v>60</v>
      </c>
      <c r="AK48" s="12">
        <v>46035.939999999988</v>
      </c>
      <c r="AM48" t="s">
        <v>1217</v>
      </c>
      <c r="AN48" s="5">
        <v>0</v>
      </c>
      <c r="AO48" t="s">
        <v>1214</v>
      </c>
      <c r="AP48" s="83" t="s">
        <v>602</v>
      </c>
      <c r="AQ48" t="s">
        <v>1218</v>
      </c>
      <c r="AR48" t="s">
        <v>1215</v>
      </c>
      <c r="AS48" t="s">
        <v>1264</v>
      </c>
    </row>
    <row r="49" spans="35:45" ht="15" customHeight="1">
      <c r="AI49" t="s">
        <v>357</v>
      </c>
      <c r="AJ49" t="s">
        <v>60</v>
      </c>
      <c r="AK49" s="12">
        <v>46066.359999999986</v>
      </c>
      <c r="AM49" t="s">
        <v>1217</v>
      </c>
      <c r="AN49" s="5">
        <v>0</v>
      </c>
      <c r="AO49" t="s">
        <v>1214</v>
      </c>
      <c r="AP49" s="83" t="s">
        <v>602</v>
      </c>
      <c r="AQ49" t="s">
        <v>1218</v>
      </c>
      <c r="AR49" t="s">
        <v>1215</v>
      </c>
      <c r="AS49" t="s">
        <v>1265</v>
      </c>
    </row>
    <row r="50" spans="35:45" ht="15" customHeight="1">
      <c r="AI50" t="s">
        <v>357</v>
      </c>
      <c r="AJ50" t="s">
        <v>60</v>
      </c>
      <c r="AK50" s="12">
        <v>46096.779999999984</v>
      </c>
      <c r="AM50" t="s">
        <v>1217</v>
      </c>
      <c r="AN50" s="5">
        <v>0</v>
      </c>
      <c r="AO50" t="s">
        <v>1214</v>
      </c>
      <c r="AP50" s="83" t="s">
        <v>602</v>
      </c>
      <c r="AQ50" t="s">
        <v>1218</v>
      </c>
      <c r="AR50" t="s">
        <v>1215</v>
      </c>
      <c r="AS50" t="s">
        <v>1266</v>
      </c>
    </row>
    <row r="51" spans="35:45" ht="15" customHeight="1">
      <c r="AI51" t="s">
        <v>357</v>
      </c>
      <c r="AJ51" t="s">
        <v>60</v>
      </c>
      <c r="AK51" s="12">
        <v>46127.199999999983</v>
      </c>
      <c r="AM51" t="s">
        <v>1217</v>
      </c>
      <c r="AN51" s="5">
        <v>0</v>
      </c>
      <c r="AO51" t="s">
        <v>1214</v>
      </c>
      <c r="AP51" s="83" t="s">
        <v>602</v>
      </c>
      <c r="AQ51" t="s">
        <v>1218</v>
      </c>
      <c r="AR51" t="s">
        <v>1215</v>
      </c>
      <c r="AS51" t="s">
        <v>1267</v>
      </c>
    </row>
    <row r="52" spans="35:45" ht="15" customHeight="1">
      <c r="AI52" t="s">
        <v>357</v>
      </c>
      <c r="AJ52" t="s">
        <v>60</v>
      </c>
      <c r="AK52" s="12">
        <v>46157.619999999981</v>
      </c>
      <c r="AM52" t="s">
        <v>1217</v>
      </c>
      <c r="AN52" s="5"/>
      <c r="AO52" t="s">
        <v>1214</v>
      </c>
      <c r="AP52" s="83" t="s">
        <v>602</v>
      </c>
      <c r="AQ52" t="s">
        <v>1218</v>
      </c>
      <c r="AR52" t="s">
        <v>1215</v>
      </c>
      <c r="AS52" t="s">
        <v>1268</v>
      </c>
    </row>
    <row r="53" spans="35:45" ht="15" customHeight="1">
      <c r="AI53" t="s">
        <v>357</v>
      </c>
      <c r="AJ53" t="s">
        <v>60</v>
      </c>
      <c r="AK53" s="12">
        <v>46188.039999999979</v>
      </c>
      <c r="AM53" t="s">
        <v>1217</v>
      </c>
      <c r="AN53" s="5"/>
      <c r="AO53" t="s">
        <v>1214</v>
      </c>
      <c r="AP53" s="83" t="s">
        <v>602</v>
      </c>
      <c r="AQ53" t="s">
        <v>1218</v>
      </c>
      <c r="AR53" t="s">
        <v>1215</v>
      </c>
      <c r="AS53" t="s">
        <v>1269</v>
      </c>
    </row>
    <row r="54" spans="35:45" ht="15" customHeight="1">
      <c r="AI54" t="s">
        <v>357</v>
      </c>
      <c r="AJ54" t="s">
        <v>60</v>
      </c>
      <c r="AK54" s="12">
        <v>46218.459999999977</v>
      </c>
      <c r="AM54" t="s">
        <v>1217</v>
      </c>
      <c r="AN54" s="5"/>
      <c r="AO54" t="s">
        <v>1214</v>
      </c>
      <c r="AP54" s="83" t="s">
        <v>602</v>
      </c>
      <c r="AQ54" t="s">
        <v>1218</v>
      </c>
      <c r="AR54" t="s">
        <v>1215</v>
      </c>
      <c r="AS54" t="s">
        <v>1270</v>
      </c>
    </row>
    <row r="55" spans="35:45" ht="15" customHeight="1">
      <c r="AI55" t="s">
        <v>357</v>
      </c>
      <c r="AJ55" t="s">
        <v>60</v>
      </c>
      <c r="AK55" s="12">
        <v>46248.879999999976</v>
      </c>
      <c r="AM55" t="s">
        <v>1217</v>
      </c>
      <c r="AN55" s="5"/>
      <c r="AO55" t="s">
        <v>1214</v>
      </c>
      <c r="AP55" s="83" t="s">
        <v>602</v>
      </c>
      <c r="AQ55" t="s">
        <v>1218</v>
      </c>
      <c r="AR55" t="s">
        <v>1215</v>
      </c>
      <c r="AS55" t="s">
        <v>1271</v>
      </c>
    </row>
    <row r="56" spans="35:45" ht="15" customHeight="1">
      <c r="AI56" t="s">
        <v>357</v>
      </c>
      <c r="AJ56" t="s">
        <v>60</v>
      </c>
      <c r="AK56" s="12">
        <v>46279.299999999974</v>
      </c>
      <c r="AM56" t="s">
        <v>1217</v>
      </c>
      <c r="AN56" s="5"/>
      <c r="AO56" t="s">
        <v>1214</v>
      </c>
      <c r="AP56" s="83" t="s">
        <v>602</v>
      </c>
      <c r="AQ56" t="s">
        <v>1218</v>
      </c>
      <c r="AR56" t="s">
        <v>1215</v>
      </c>
      <c r="AS56" t="s">
        <v>1272</v>
      </c>
    </row>
    <row r="57" spans="35:45" ht="15" customHeight="1">
      <c r="AI57" t="s">
        <v>357</v>
      </c>
      <c r="AJ57" t="s">
        <v>60</v>
      </c>
      <c r="AK57" s="12">
        <v>46309.719999999972</v>
      </c>
      <c r="AM57" t="s">
        <v>1217</v>
      </c>
      <c r="AN57" s="5"/>
      <c r="AO57" t="s">
        <v>1214</v>
      </c>
      <c r="AP57" s="83" t="s">
        <v>602</v>
      </c>
      <c r="AQ57" t="s">
        <v>1218</v>
      </c>
      <c r="AR57" t="s">
        <v>1215</v>
      </c>
      <c r="AS57" t="s">
        <v>1273</v>
      </c>
    </row>
    <row r="58" spans="35:45" ht="15" customHeight="1">
      <c r="AI58" t="s">
        <v>357</v>
      </c>
      <c r="AJ58" t="s">
        <v>60</v>
      </c>
      <c r="AK58" s="12">
        <v>46340.13999999997</v>
      </c>
      <c r="AM58" t="s">
        <v>1217</v>
      </c>
      <c r="AN58" s="5"/>
      <c r="AO58" t="s">
        <v>1214</v>
      </c>
      <c r="AP58" s="83" t="s">
        <v>602</v>
      </c>
      <c r="AQ58" t="s">
        <v>1218</v>
      </c>
      <c r="AR58" t="s">
        <v>1215</v>
      </c>
      <c r="AS58" t="s">
        <v>1274</v>
      </c>
    </row>
    <row r="59" spans="35:45" ht="15" customHeight="1">
      <c r="AI59" t="s">
        <v>357</v>
      </c>
      <c r="AJ59" t="s">
        <v>60</v>
      </c>
      <c r="AK59" s="12">
        <v>46370.559999999969</v>
      </c>
      <c r="AM59" t="s">
        <v>1217</v>
      </c>
      <c r="AN59" s="5"/>
      <c r="AO59" t="s">
        <v>1214</v>
      </c>
      <c r="AP59" s="83" t="s">
        <v>602</v>
      </c>
      <c r="AQ59" t="s">
        <v>1218</v>
      </c>
      <c r="AR59" t="s">
        <v>1215</v>
      </c>
      <c r="AS59" t="s">
        <v>1275</v>
      </c>
    </row>
    <row r="60" spans="35:45" ht="15" customHeight="1">
      <c r="AI60" t="s">
        <v>357</v>
      </c>
      <c r="AJ60" t="s">
        <v>423</v>
      </c>
      <c r="AK60" s="12">
        <v>45823</v>
      </c>
      <c r="AM60" t="s">
        <v>1217</v>
      </c>
      <c r="AN60" s="5">
        <v>0</v>
      </c>
      <c r="AO60" t="s">
        <v>1214</v>
      </c>
      <c r="AP60" s="83" t="s">
        <v>602</v>
      </c>
      <c r="AQ60" t="s">
        <v>1218</v>
      </c>
      <c r="AR60" t="s">
        <v>1215</v>
      </c>
      <c r="AS60" t="s">
        <v>1276</v>
      </c>
    </row>
    <row r="61" spans="35:45" ht="15" customHeight="1">
      <c r="AI61" t="s">
        <v>357</v>
      </c>
      <c r="AJ61" t="s">
        <v>423</v>
      </c>
      <c r="AK61" s="12">
        <v>45853.42</v>
      </c>
      <c r="AM61" t="s">
        <v>1217</v>
      </c>
      <c r="AN61" s="5">
        <v>0</v>
      </c>
      <c r="AO61" t="s">
        <v>1214</v>
      </c>
      <c r="AP61" s="83" t="s">
        <v>602</v>
      </c>
      <c r="AQ61" t="s">
        <v>1218</v>
      </c>
      <c r="AR61" t="s">
        <v>1215</v>
      </c>
      <c r="AS61" t="s">
        <v>1277</v>
      </c>
    </row>
    <row r="62" spans="35:45" ht="15" customHeight="1">
      <c r="AI62" t="s">
        <v>357</v>
      </c>
      <c r="AJ62" t="s">
        <v>423</v>
      </c>
      <c r="AK62" s="12">
        <v>45883.839999999997</v>
      </c>
      <c r="AM62" t="s">
        <v>1217</v>
      </c>
      <c r="AN62" s="5">
        <v>0</v>
      </c>
      <c r="AO62" t="s">
        <v>1214</v>
      </c>
      <c r="AP62" s="83" t="s">
        <v>602</v>
      </c>
      <c r="AQ62" t="s">
        <v>1218</v>
      </c>
      <c r="AR62" t="s">
        <v>1215</v>
      </c>
      <c r="AS62" t="s">
        <v>1278</v>
      </c>
    </row>
    <row r="63" spans="35:45" ht="15" customHeight="1">
      <c r="AI63" t="s">
        <v>357</v>
      </c>
      <c r="AJ63" t="s">
        <v>423</v>
      </c>
      <c r="AK63" s="12">
        <v>45914.259999999995</v>
      </c>
      <c r="AM63" t="s">
        <v>1217</v>
      </c>
      <c r="AN63" s="5">
        <v>0</v>
      </c>
      <c r="AO63" t="s">
        <v>1214</v>
      </c>
      <c r="AP63" s="83" t="s">
        <v>602</v>
      </c>
      <c r="AQ63" t="s">
        <v>1218</v>
      </c>
      <c r="AR63" t="s">
        <v>1215</v>
      </c>
      <c r="AS63" t="s">
        <v>1279</v>
      </c>
    </row>
    <row r="64" spans="35:45" ht="15" customHeight="1">
      <c r="AI64" t="s">
        <v>357</v>
      </c>
      <c r="AJ64" t="s">
        <v>423</v>
      </c>
      <c r="AK64" s="12">
        <v>45944.679999999993</v>
      </c>
      <c r="AM64" t="s">
        <v>1217</v>
      </c>
      <c r="AN64" s="5">
        <v>0</v>
      </c>
      <c r="AO64" t="s">
        <v>1214</v>
      </c>
      <c r="AP64" s="83" t="s">
        <v>602</v>
      </c>
      <c r="AQ64" t="s">
        <v>1218</v>
      </c>
      <c r="AR64" t="s">
        <v>1215</v>
      </c>
      <c r="AS64" t="s">
        <v>1280</v>
      </c>
    </row>
    <row r="65" spans="35:45" ht="15" customHeight="1">
      <c r="AI65" t="s">
        <v>357</v>
      </c>
      <c r="AJ65" t="s">
        <v>423</v>
      </c>
      <c r="AK65" s="12">
        <v>45975.099999999991</v>
      </c>
      <c r="AM65" t="s">
        <v>1217</v>
      </c>
      <c r="AN65" s="5">
        <v>0</v>
      </c>
      <c r="AO65" t="s">
        <v>1214</v>
      </c>
      <c r="AP65" s="83" t="s">
        <v>602</v>
      </c>
      <c r="AQ65" t="s">
        <v>1218</v>
      </c>
      <c r="AR65" t="s">
        <v>1215</v>
      </c>
      <c r="AS65" t="s">
        <v>1281</v>
      </c>
    </row>
    <row r="66" spans="35:45" ht="15" customHeight="1">
      <c r="AI66" t="s">
        <v>357</v>
      </c>
      <c r="AJ66" t="s">
        <v>423</v>
      </c>
      <c r="AK66" s="12">
        <v>46005.51999999999</v>
      </c>
      <c r="AM66" t="s">
        <v>1217</v>
      </c>
      <c r="AN66" s="5">
        <v>0</v>
      </c>
      <c r="AO66" t="s">
        <v>1214</v>
      </c>
      <c r="AP66" s="83" t="s">
        <v>602</v>
      </c>
      <c r="AQ66" t="s">
        <v>1218</v>
      </c>
      <c r="AR66" t="s">
        <v>1215</v>
      </c>
      <c r="AS66" t="s">
        <v>1282</v>
      </c>
    </row>
    <row r="67" spans="35:45" ht="15" customHeight="1">
      <c r="AI67" t="s">
        <v>357</v>
      </c>
      <c r="AJ67" t="s">
        <v>423</v>
      </c>
      <c r="AK67" s="12">
        <v>46035.939999999988</v>
      </c>
      <c r="AM67" t="s">
        <v>1217</v>
      </c>
      <c r="AN67" s="5">
        <v>0</v>
      </c>
      <c r="AO67" t="s">
        <v>1214</v>
      </c>
      <c r="AP67" s="83" t="s">
        <v>602</v>
      </c>
      <c r="AQ67" t="s">
        <v>1218</v>
      </c>
      <c r="AR67" t="s">
        <v>1215</v>
      </c>
      <c r="AS67" t="s">
        <v>1283</v>
      </c>
    </row>
    <row r="68" spans="35:45" ht="15" customHeight="1">
      <c r="AI68" t="s">
        <v>357</v>
      </c>
      <c r="AJ68" t="s">
        <v>423</v>
      </c>
      <c r="AK68" s="12">
        <v>46066.359999999986</v>
      </c>
      <c r="AM68" t="s">
        <v>1217</v>
      </c>
      <c r="AN68" s="5">
        <v>0</v>
      </c>
      <c r="AO68" t="s">
        <v>1214</v>
      </c>
      <c r="AP68" s="83" t="s">
        <v>602</v>
      </c>
      <c r="AQ68" t="s">
        <v>1218</v>
      </c>
      <c r="AR68" t="s">
        <v>1215</v>
      </c>
      <c r="AS68" t="s">
        <v>1284</v>
      </c>
    </row>
    <row r="69" spans="35:45" ht="15" customHeight="1">
      <c r="AI69" t="s">
        <v>357</v>
      </c>
      <c r="AJ69" t="s">
        <v>423</v>
      </c>
      <c r="AK69" s="12">
        <v>46096.779999999984</v>
      </c>
      <c r="AM69" t="s">
        <v>1217</v>
      </c>
      <c r="AN69" s="5">
        <v>0</v>
      </c>
      <c r="AO69" t="s">
        <v>1214</v>
      </c>
      <c r="AP69" s="83" t="s">
        <v>602</v>
      </c>
      <c r="AQ69" t="s">
        <v>1218</v>
      </c>
      <c r="AR69" t="s">
        <v>1215</v>
      </c>
      <c r="AS69" t="s">
        <v>1285</v>
      </c>
    </row>
    <row r="70" spans="35:45" ht="15" customHeight="1">
      <c r="AI70" t="s">
        <v>357</v>
      </c>
      <c r="AJ70" t="s">
        <v>423</v>
      </c>
      <c r="AK70" s="12">
        <v>46127.199999999983</v>
      </c>
      <c r="AM70" t="s">
        <v>1217</v>
      </c>
      <c r="AN70" s="5">
        <v>0</v>
      </c>
      <c r="AO70" t="s">
        <v>1214</v>
      </c>
      <c r="AP70" s="83" t="s">
        <v>602</v>
      </c>
      <c r="AQ70" t="s">
        <v>1218</v>
      </c>
      <c r="AR70" t="s">
        <v>1215</v>
      </c>
      <c r="AS70" t="s">
        <v>1286</v>
      </c>
    </row>
    <row r="71" spans="35:45" ht="15" customHeight="1">
      <c r="AI71" t="s">
        <v>357</v>
      </c>
      <c r="AJ71" t="s">
        <v>423</v>
      </c>
      <c r="AK71" s="12">
        <v>46157.619999999981</v>
      </c>
      <c r="AM71" t="s">
        <v>1217</v>
      </c>
      <c r="AN71" s="5">
        <v>0</v>
      </c>
      <c r="AO71" t="s">
        <v>1214</v>
      </c>
      <c r="AP71" s="83" t="s">
        <v>602</v>
      </c>
      <c r="AQ71" t="s">
        <v>1218</v>
      </c>
      <c r="AR71" t="s">
        <v>1215</v>
      </c>
      <c r="AS71" t="s">
        <v>1287</v>
      </c>
    </row>
    <row r="72" spans="35:45" ht="15" customHeight="1">
      <c r="AI72" t="s">
        <v>357</v>
      </c>
      <c r="AJ72" t="s">
        <v>423</v>
      </c>
      <c r="AK72" s="12">
        <v>46188.039999999979</v>
      </c>
      <c r="AM72" t="s">
        <v>1217</v>
      </c>
      <c r="AN72" s="5">
        <v>0</v>
      </c>
      <c r="AO72" t="s">
        <v>1214</v>
      </c>
      <c r="AP72" s="83" t="s">
        <v>602</v>
      </c>
      <c r="AQ72" t="s">
        <v>1218</v>
      </c>
      <c r="AR72" t="s">
        <v>1215</v>
      </c>
      <c r="AS72" t="s">
        <v>1288</v>
      </c>
    </row>
    <row r="73" spans="35:45" ht="15" customHeight="1">
      <c r="AI73" t="s">
        <v>357</v>
      </c>
      <c r="AJ73" t="s">
        <v>423</v>
      </c>
      <c r="AK73" s="12">
        <v>46218.459999999977</v>
      </c>
      <c r="AM73" t="s">
        <v>1217</v>
      </c>
      <c r="AN73" s="5">
        <v>0</v>
      </c>
      <c r="AO73" t="s">
        <v>1214</v>
      </c>
      <c r="AP73" s="83" t="s">
        <v>602</v>
      </c>
      <c r="AQ73" t="s">
        <v>1218</v>
      </c>
      <c r="AR73" t="s">
        <v>1215</v>
      </c>
      <c r="AS73" t="s">
        <v>1289</v>
      </c>
    </row>
    <row r="74" spans="35:45" ht="15" customHeight="1">
      <c r="AI74" t="s">
        <v>357</v>
      </c>
      <c r="AJ74" t="s">
        <v>423</v>
      </c>
      <c r="AK74" s="12">
        <v>46248.879999999976</v>
      </c>
      <c r="AM74" t="s">
        <v>1217</v>
      </c>
      <c r="AN74" s="5">
        <v>0</v>
      </c>
      <c r="AO74" t="s">
        <v>1214</v>
      </c>
      <c r="AP74" s="83" t="s">
        <v>602</v>
      </c>
      <c r="AQ74" t="s">
        <v>1218</v>
      </c>
      <c r="AR74" t="s">
        <v>1215</v>
      </c>
      <c r="AS74" t="s">
        <v>1290</v>
      </c>
    </row>
    <row r="75" spans="35:45" ht="15" customHeight="1">
      <c r="AI75" t="s">
        <v>357</v>
      </c>
      <c r="AJ75" t="s">
        <v>423</v>
      </c>
      <c r="AK75" s="12">
        <v>46279.299999999974</v>
      </c>
      <c r="AM75" t="s">
        <v>1217</v>
      </c>
      <c r="AN75" s="5">
        <v>0</v>
      </c>
      <c r="AO75" t="s">
        <v>1214</v>
      </c>
      <c r="AP75" s="83" t="s">
        <v>602</v>
      </c>
      <c r="AQ75" t="s">
        <v>1218</v>
      </c>
      <c r="AR75" t="s">
        <v>1215</v>
      </c>
      <c r="AS75" t="s">
        <v>1291</v>
      </c>
    </row>
    <row r="76" spans="35:45" ht="15" customHeight="1">
      <c r="AI76" t="s">
        <v>357</v>
      </c>
      <c r="AJ76" t="s">
        <v>423</v>
      </c>
      <c r="AK76" s="12">
        <v>46309.719999999972</v>
      </c>
      <c r="AM76" t="s">
        <v>1217</v>
      </c>
      <c r="AN76" s="5">
        <v>0</v>
      </c>
      <c r="AO76" t="s">
        <v>1214</v>
      </c>
      <c r="AP76" s="83" t="s">
        <v>602</v>
      </c>
      <c r="AQ76" t="s">
        <v>1218</v>
      </c>
      <c r="AR76" t="s">
        <v>1215</v>
      </c>
      <c r="AS76" t="s">
        <v>1292</v>
      </c>
    </row>
    <row r="77" spans="35:45" ht="15" customHeight="1">
      <c r="AI77" t="s">
        <v>357</v>
      </c>
      <c r="AJ77" t="s">
        <v>423</v>
      </c>
      <c r="AK77" s="12">
        <v>46340.13999999997</v>
      </c>
      <c r="AM77" t="s">
        <v>1217</v>
      </c>
      <c r="AN77" s="5">
        <v>0</v>
      </c>
      <c r="AO77" t="s">
        <v>1214</v>
      </c>
      <c r="AP77" s="83" t="s">
        <v>602</v>
      </c>
      <c r="AQ77" t="s">
        <v>1218</v>
      </c>
      <c r="AR77" t="s">
        <v>1215</v>
      </c>
      <c r="AS77" t="s">
        <v>1293</v>
      </c>
    </row>
    <row r="78" spans="35:45" ht="15" customHeight="1">
      <c r="AI78" t="s">
        <v>357</v>
      </c>
      <c r="AJ78" t="s">
        <v>423</v>
      </c>
      <c r="AK78" s="12">
        <v>46370.559999999969</v>
      </c>
      <c r="AM78" t="s">
        <v>1217</v>
      </c>
      <c r="AN78" s="5">
        <v>0</v>
      </c>
      <c r="AO78" t="s">
        <v>1214</v>
      </c>
      <c r="AP78" s="83" t="s">
        <v>602</v>
      </c>
      <c r="AQ78" t="s">
        <v>1218</v>
      </c>
      <c r="AR78" t="s">
        <v>1215</v>
      </c>
      <c r="AS78" t="s">
        <v>1294</v>
      </c>
    </row>
    <row r="79" spans="35:45" ht="15" customHeight="1">
      <c r="AI79" t="s">
        <v>357</v>
      </c>
      <c r="AJ79" t="s">
        <v>1204</v>
      </c>
      <c r="AK79" s="12">
        <v>46035</v>
      </c>
      <c r="AM79" t="s">
        <v>1217</v>
      </c>
      <c r="AN79" s="5">
        <v>92.51</v>
      </c>
      <c r="AO79" t="s">
        <v>1214</v>
      </c>
      <c r="AP79" s="83" t="s">
        <v>602</v>
      </c>
      <c r="AQ79" t="s">
        <v>1218</v>
      </c>
      <c r="AR79" t="s">
        <v>1215</v>
      </c>
      <c r="AS79" t="s">
        <v>1295</v>
      </c>
    </row>
    <row r="80" spans="35:45" ht="15" customHeight="1">
      <c r="AI80" t="s">
        <v>357</v>
      </c>
      <c r="AJ80" t="s">
        <v>1204</v>
      </c>
      <c r="AK80" s="12">
        <v>46066</v>
      </c>
      <c r="AM80" t="s">
        <v>1217</v>
      </c>
      <c r="AN80" s="5">
        <v>44.74</v>
      </c>
      <c r="AO80" t="s">
        <v>1214</v>
      </c>
      <c r="AP80" s="83" t="s">
        <v>602</v>
      </c>
      <c r="AQ80" t="s">
        <v>1218</v>
      </c>
      <c r="AR80" t="s">
        <v>1215</v>
      </c>
      <c r="AS80" t="s">
        <v>1296</v>
      </c>
    </row>
    <row r="81" spans="35:45" ht="15" customHeight="1">
      <c r="AI81" t="s">
        <v>357</v>
      </c>
      <c r="AJ81" t="s">
        <v>1204</v>
      </c>
      <c r="AK81" s="12">
        <v>46097</v>
      </c>
      <c r="AM81" t="s">
        <v>1217</v>
      </c>
      <c r="AN81" s="5">
        <v>30.34</v>
      </c>
      <c r="AO81" t="s">
        <v>1214</v>
      </c>
      <c r="AP81" s="83" t="s">
        <v>602</v>
      </c>
      <c r="AQ81" t="s">
        <v>1218</v>
      </c>
      <c r="AR81" t="s">
        <v>1215</v>
      </c>
      <c r="AS81" t="s">
        <v>1297</v>
      </c>
    </row>
    <row r="82" spans="35:45" ht="15" customHeight="1">
      <c r="AI82" t="s">
        <v>357</v>
      </c>
      <c r="AJ82" t="s">
        <v>1204</v>
      </c>
      <c r="AK82" s="12">
        <v>46127.42</v>
      </c>
      <c r="AM82" t="s">
        <v>1217</v>
      </c>
      <c r="AN82" s="5">
        <v>30.08</v>
      </c>
      <c r="AO82" t="s">
        <v>1214</v>
      </c>
      <c r="AP82" s="83" t="s">
        <v>602</v>
      </c>
      <c r="AQ82" t="s">
        <v>1218</v>
      </c>
      <c r="AR82" t="s">
        <v>1215</v>
      </c>
      <c r="AS82" t="s">
        <v>1298</v>
      </c>
    </row>
    <row r="83" spans="35:45" ht="15" customHeight="1">
      <c r="AI83" t="s">
        <v>357</v>
      </c>
      <c r="AJ83" t="s">
        <v>1204</v>
      </c>
      <c r="AK83" s="12">
        <v>46157.84</v>
      </c>
      <c r="AM83" t="s">
        <v>1217</v>
      </c>
      <c r="AN83" s="5">
        <v>30.08</v>
      </c>
      <c r="AO83" t="s">
        <v>1214</v>
      </c>
      <c r="AP83" s="83" t="s">
        <v>602</v>
      </c>
      <c r="AQ83" t="s">
        <v>1218</v>
      </c>
      <c r="AR83" t="s">
        <v>1215</v>
      </c>
      <c r="AS83" t="s">
        <v>1299</v>
      </c>
    </row>
    <row r="84" spans="35:45" ht="15" customHeight="1">
      <c r="AI84" t="s">
        <v>357</v>
      </c>
      <c r="AJ84" t="s">
        <v>1204</v>
      </c>
      <c r="AK84" s="12">
        <v>46188.259999999995</v>
      </c>
      <c r="AM84" t="s">
        <v>1217</v>
      </c>
      <c r="AN84" s="5">
        <v>0</v>
      </c>
      <c r="AO84" t="s">
        <v>1214</v>
      </c>
      <c r="AP84" s="83" t="s">
        <v>602</v>
      </c>
      <c r="AQ84" t="s">
        <v>1218</v>
      </c>
      <c r="AR84" t="s">
        <v>1215</v>
      </c>
      <c r="AS84" t="s">
        <v>1300</v>
      </c>
    </row>
    <row r="85" spans="35:45" ht="15" customHeight="1">
      <c r="AI85" t="s">
        <v>357</v>
      </c>
      <c r="AJ85" t="s">
        <v>1204</v>
      </c>
      <c r="AK85" s="12">
        <v>46218.679999999993</v>
      </c>
      <c r="AM85" t="s">
        <v>1217</v>
      </c>
      <c r="AN85" s="5">
        <v>0</v>
      </c>
      <c r="AO85" t="s">
        <v>1214</v>
      </c>
      <c r="AP85" s="83" t="s">
        <v>602</v>
      </c>
      <c r="AQ85" t="s">
        <v>1218</v>
      </c>
      <c r="AR85" t="s">
        <v>1215</v>
      </c>
      <c r="AS85" t="s">
        <v>1301</v>
      </c>
    </row>
    <row r="86" spans="35:45" ht="15" customHeight="1">
      <c r="AI86" t="s">
        <v>357</v>
      </c>
      <c r="AJ86" t="s">
        <v>1204</v>
      </c>
      <c r="AK86" s="12">
        <v>46249.099999999991</v>
      </c>
      <c r="AM86" t="s">
        <v>1217</v>
      </c>
      <c r="AN86" s="5">
        <v>0</v>
      </c>
      <c r="AO86" t="s">
        <v>1214</v>
      </c>
      <c r="AP86" s="83" t="s">
        <v>602</v>
      </c>
      <c r="AQ86" t="s">
        <v>1218</v>
      </c>
      <c r="AR86" t="s">
        <v>1215</v>
      </c>
      <c r="AS86" t="s">
        <v>1302</v>
      </c>
    </row>
    <row r="87" spans="35:45" ht="15" customHeight="1">
      <c r="AI87" t="s">
        <v>357</v>
      </c>
      <c r="AJ87" t="s">
        <v>1204</v>
      </c>
      <c r="AK87" s="12">
        <v>46279.51999999999</v>
      </c>
      <c r="AM87" t="s">
        <v>1217</v>
      </c>
      <c r="AN87" s="5">
        <v>0</v>
      </c>
      <c r="AO87" t="s">
        <v>1214</v>
      </c>
      <c r="AP87" s="83" t="s">
        <v>602</v>
      </c>
      <c r="AQ87" t="s">
        <v>1218</v>
      </c>
      <c r="AR87" t="s">
        <v>1215</v>
      </c>
      <c r="AS87" t="s">
        <v>1303</v>
      </c>
    </row>
    <row r="88" spans="35:45" ht="15" customHeight="1">
      <c r="AI88" t="s">
        <v>357</v>
      </c>
      <c r="AJ88" t="s">
        <v>1204</v>
      </c>
      <c r="AK88" s="12">
        <v>46309.939999999988</v>
      </c>
      <c r="AM88" t="s">
        <v>1217</v>
      </c>
      <c r="AN88" s="5">
        <v>0</v>
      </c>
      <c r="AO88" t="s">
        <v>1214</v>
      </c>
      <c r="AP88" s="83" t="s">
        <v>602</v>
      </c>
      <c r="AQ88" t="s">
        <v>1218</v>
      </c>
      <c r="AR88" t="s">
        <v>1215</v>
      </c>
      <c r="AS88" t="s">
        <v>1304</v>
      </c>
    </row>
    <row r="89" spans="35:45" ht="15" customHeight="1">
      <c r="AI89" t="s">
        <v>357</v>
      </c>
      <c r="AJ89" t="s">
        <v>1204</v>
      </c>
      <c r="AK89" s="12">
        <v>46340.359999999986</v>
      </c>
      <c r="AM89" t="s">
        <v>1217</v>
      </c>
      <c r="AN89" s="5">
        <v>0</v>
      </c>
      <c r="AO89" t="s">
        <v>1214</v>
      </c>
      <c r="AP89" s="83" t="s">
        <v>602</v>
      </c>
      <c r="AQ89" t="s">
        <v>1218</v>
      </c>
      <c r="AR89" t="s">
        <v>1215</v>
      </c>
      <c r="AS89" t="s">
        <v>1305</v>
      </c>
    </row>
    <row r="90" spans="35:45" ht="15" customHeight="1">
      <c r="AI90" t="s">
        <v>357</v>
      </c>
      <c r="AJ90" t="s">
        <v>1204</v>
      </c>
      <c r="AK90" s="12">
        <v>46370.779999999984</v>
      </c>
      <c r="AM90" t="s">
        <v>1217</v>
      </c>
      <c r="AN90" s="5">
        <v>0</v>
      </c>
      <c r="AO90" t="s">
        <v>1214</v>
      </c>
      <c r="AP90" s="83" t="s">
        <v>602</v>
      </c>
      <c r="AQ90" t="s">
        <v>1218</v>
      </c>
      <c r="AR90" t="s">
        <v>1215</v>
      </c>
      <c r="AS90" t="s">
        <v>1306</v>
      </c>
    </row>
    <row r="91" spans="35:45" ht="15" customHeight="1">
      <c r="AI91" t="s">
        <v>357</v>
      </c>
      <c r="AJ91" t="s">
        <v>1204</v>
      </c>
      <c r="AK91" s="12">
        <v>46401.199999999983</v>
      </c>
      <c r="AM91" t="s">
        <v>1217</v>
      </c>
      <c r="AN91" s="5">
        <v>0</v>
      </c>
      <c r="AO91" t="s">
        <v>1214</v>
      </c>
      <c r="AP91" s="83" t="s">
        <v>602</v>
      </c>
      <c r="AQ91" t="s">
        <v>1218</v>
      </c>
      <c r="AR91" t="s">
        <v>1215</v>
      </c>
      <c r="AS91" t="s">
        <v>1307</v>
      </c>
    </row>
    <row r="92" spans="35:45" ht="15" customHeight="1">
      <c r="AI92" t="s">
        <v>357</v>
      </c>
      <c r="AJ92" t="s">
        <v>1204</v>
      </c>
      <c r="AK92" s="12">
        <v>46431.619999999981</v>
      </c>
      <c r="AM92" t="s">
        <v>1217</v>
      </c>
      <c r="AN92" s="5">
        <v>0</v>
      </c>
      <c r="AO92" t="s">
        <v>1214</v>
      </c>
      <c r="AP92" s="83" t="s">
        <v>602</v>
      </c>
      <c r="AQ92" t="s">
        <v>1218</v>
      </c>
      <c r="AR92" t="s">
        <v>1215</v>
      </c>
      <c r="AS92" t="s">
        <v>1308</v>
      </c>
    </row>
    <row r="93" spans="35:45">
      <c r="AI93" t="s">
        <v>357</v>
      </c>
      <c r="AJ93" t="s">
        <v>1204</v>
      </c>
      <c r="AK93" s="12">
        <v>46462.039999999979</v>
      </c>
      <c r="AM93" t="s">
        <v>1217</v>
      </c>
      <c r="AN93" s="5">
        <v>0</v>
      </c>
      <c r="AO93" t="s">
        <v>1214</v>
      </c>
      <c r="AP93" s="83" t="s">
        <v>602</v>
      </c>
      <c r="AQ93" t="s">
        <v>1218</v>
      </c>
      <c r="AR93" t="s">
        <v>1215</v>
      </c>
      <c r="AS93" t="s">
        <v>1309</v>
      </c>
    </row>
    <row r="94" spans="35:45">
      <c r="AI94" t="s">
        <v>357</v>
      </c>
      <c r="AJ94" t="s">
        <v>1204</v>
      </c>
      <c r="AK94" s="12">
        <v>46492.459999999977</v>
      </c>
      <c r="AM94" t="s">
        <v>1217</v>
      </c>
      <c r="AN94" s="5">
        <v>0</v>
      </c>
      <c r="AO94" t="s">
        <v>1214</v>
      </c>
      <c r="AP94" s="83" t="s">
        <v>602</v>
      </c>
      <c r="AQ94" t="s">
        <v>1218</v>
      </c>
      <c r="AR94" t="s">
        <v>1215</v>
      </c>
      <c r="AS94" t="s">
        <v>1310</v>
      </c>
    </row>
    <row r="95" spans="35:45">
      <c r="AI95" t="s">
        <v>357</v>
      </c>
      <c r="AJ95" t="s">
        <v>1204</v>
      </c>
      <c r="AK95" s="12">
        <v>46522.879999999976</v>
      </c>
      <c r="AM95" t="s">
        <v>1217</v>
      </c>
      <c r="AN95" s="5">
        <v>0</v>
      </c>
      <c r="AO95" t="s">
        <v>1214</v>
      </c>
      <c r="AP95" s="83" t="s">
        <v>602</v>
      </c>
      <c r="AQ95" t="s">
        <v>1218</v>
      </c>
      <c r="AR95" t="s">
        <v>1215</v>
      </c>
      <c r="AS95" t="s">
        <v>1311</v>
      </c>
    </row>
    <row r="96" spans="35:45">
      <c r="AI96" t="s">
        <v>357</v>
      </c>
      <c r="AJ96" t="s">
        <v>1204</v>
      </c>
      <c r="AK96" s="12">
        <v>46553.299999999974</v>
      </c>
      <c r="AM96" t="s">
        <v>1217</v>
      </c>
      <c r="AN96" s="5">
        <v>0</v>
      </c>
      <c r="AO96" t="s">
        <v>1214</v>
      </c>
      <c r="AP96" s="83" t="s">
        <v>602</v>
      </c>
      <c r="AQ96" t="s">
        <v>1218</v>
      </c>
      <c r="AR96" t="s">
        <v>1215</v>
      </c>
      <c r="AS96" t="s">
        <v>1312</v>
      </c>
    </row>
    <row r="97" spans="35:45">
      <c r="AI97" t="s">
        <v>357</v>
      </c>
      <c r="AJ97" t="s">
        <v>1204</v>
      </c>
      <c r="AK97" s="12">
        <v>46583.719999999972</v>
      </c>
      <c r="AM97" t="s">
        <v>1217</v>
      </c>
      <c r="AN97" s="5">
        <v>0</v>
      </c>
      <c r="AO97" t="s">
        <v>1214</v>
      </c>
      <c r="AP97" s="83" t="s">
        <v>602</v>
      </c>
      <c r="AQ97" t="s">
        <v>1218</v>
      </c>
      <c r="AR97" t="s">
        <v>1215</v>
      </c>
      <c r="AS97" t="s">
        <v>1313</v>
      </c>
    </row>
    <row r="98" spans="35:45">
      <c r="AI98" t="s">
        <v>357</v>
      </c>
      <c r="AJ98" t="s">
        <v>1204</v>
      </c>
      <c r="AK98" s="12">
        <v>45823</v>
      </c>
      <c r="AM98" t="s">
        <v>1217</v>
      </c>
      <c r="AN98" s="5">
        <v>0</v>
      </c>
      <c r="AO98" t="s">
        <v>1214</v>
      </c>
      <c r="AP98" s="83" t="s">
        <v>602</v>
      </c>
      <c r="AQ98" t="s">
        <v>1218</v>
      </c>
      <c r="AR98" t="s">
        <v>1215</v>
      </c>
      <c r="AS98" t="s">
        <v>1314</v>
      </c>
    </row>
    <row r="99" spans="35:45">
      <c r="AI99" t="s">
        <v>357</v>
      </c>
      <c r="AJ99" t="s">
        <v>1204</v>
      </c>
      <c r="AK99" s="12">
        <v>45853.42</v>
      </c>
      <c r="AM99" t="s">
        <v>1217</v>
      </c>
      <c r="AN99" s="5">
        <v>0</v>
      </c>
      <c r="AO99" t="s">
        <v>1214</v>
      </c>
      <c r="AP99" s="83" t="s">
        <v>602</v>
      </c>
      <c r="AQ99" t="s">
        <v>1218</v>
      </c>
      <c r="AR99" t="s">
        <v>1215</v>
      </c>
      <c r="AS99" t="s">
        <v>1315</v>
      </c>
    </row>
    <row r="100" spans="35:45">
      <c r="AI100" t="s">
        <v>357</v>
      </c>
      <c r="AJ100" t="s">
        <v>1204</v>
      </c>
      <c r="AK100" s="12">
        <v>45883.839999999997</v>
      </c>
      <c r="AM100" t="s">
        <v>1217</v>
      </c>
      <c r="AN100" s="5">
        <v>0</v>
      </c>
      <c r="AO100" t="s">
        <v>1214</v>
      </c>
      <c r="AP100" s="83" t="s">
        <v>602</v>
      </c>
      <c r="AQ100" t="s">
        <v>1218</v>
      </c>
      <c r="AR100" t="s">
        <v>1215</v>
      </c>
      <c r="AS100" t="s">
        <v>1316</v>
      </c>
    </row>
    <row r="101" spans="35:45">
      <c r="AI101" t="s">
        <v>357</v>
      </c>
      <c r="AJ101" t="s">
        <v>1204</v>
      </c>
      <c r="AK101" s="12">
        <v>45914.259999999995</v>
      </c>
      <c r="AM101" t="s">
        <v>1217</v>
      </c>
      <c r="AN101" s="5">
        <v>0</v>
      </c>
      <c r="AO101" t="s">
        <v>1214</v>
      </c>
      <c r="AP101" s="83" t="s">
        <v>602</v>
      </c>
      <c r="AQ101" t="s">
        <v>1218</v>
      </c>
      <c r="AR101" t="s">
        <v>1215</v>
      </c>
      <c r="AS101" t="s">
        <v>1317</v>
      </c>
    </row>
    <row r="102" spans="35:45">
      <c r="AI102" t="s">
        <v>357</v>
      </c>
      <c r="AJ102" t="s">
        <v>1204</v>
      </c>
      <c r="AK102" s="12">
        <v>45944.679999999993</v>
      </c>
      <c r="AM102" t="s">
        <v>1217</v>
      </c>
      <c r="AN102" s="5">
        <v>0</v>
      </c>
      <c r="AO102" t="s">
        <v>1214</v>
      </c>
      <c r="AP102" s="83" t="s">
        <v>602</v>
      </c>
      <c r="AQ102" t="s">
        <v>1218</v>
      </c>
      <c r="AR102" t="s">
        <v>1215</v>
      </c>
      <c r="AS102" t="s">
        <v>1318</v>
      </c>
    </row>
    <row r="103" spans="35:45">
      <c r="AI103" t="s">
        <v>357</v>
      </c>
      <c r="AJ103" t="s">
        <v>1204</v>
      </c>
      <c r="AK103" s="12">
        <v>45975.099999999991</v>
      </c>
      <c r="AM103" t="s">
        <v>1217</v>
      </c>
      <c r="AN103" s="5">
        <v>0</v>
      </c>
      <c r="AO103" t="s">
        <v>1214</v>
      </c>
      <c r="AP103" s="83" t="s">
        <v>602</v>
      </c>
      <c r="AQ103" t="s">
        <v>1218</v>
      </c>
      <c r="AR103" t="s">
        <v>1215</v>
      </c>
      <c r="AS103" t="s">
        <v>1319</v>
      </c>
    </row>
    <row r="104" spans="35:45">
      <c r="AI104" t="s">
        <v>357</v>
      </c>
      <c r="AJ104" t="s">
        <v>1204</v>
      </c>
      <c r="AK104" s="12">
        <v>46005.51999999999</v>
      </c>
      <c r="AM104" t="s">
        <v>1217</v>
      </c>
      <c r="AN104" s="5">
        <v>0</v>
      </c>
      <c r="AO104" t="s">
        <v>1214</v>
      </c>
      <c r="AP104" s="83" t="s">
        <v>602</v>
      </c>
      <c r="AQ104" t="s">
        <v>1218</v>
      </c>
      <c r="AR104" t="s">
        <v>1215</v>
      </c>
      <c r="AS104" t="s">
        <v>1320</v>
      </c>
    </row>
    <row r="105" spans="35:45">
      <c r="AI105" t="s">
        <v>357</v>
      </c>
      <c r="AJ105" t="s">
        <v>1204</v>
      </c>
      <c r="AK105" s="12">
        <v>46035.939999999988</v>
      </c>
      <c r="AM105" t="s">
        <v>1217</v>
      </c>
      <c r="AN105" s="5">
        <v>0</v>
      </c>
      <c r="AO105" t="s">
        <v>1214</v>
      </c>
      <c r="AP105" s="83" t="s">
        <v>602</v>
      </c>
      <c r="AQ105" t="s">
        <v>1218</v>
      </c>
      <c r="AR105" t="s">
        <v>1215</v>
      </c>
      <c r="AS105" t="s">
        <v>1321</v>
      </c>
    </row>
    <row r="106" spans="35:45">
      <c r="AI106" t="s">
        <v>357</v>
      </c>
      <c r="AJ106" t="s">
        <v>1204</v>
      </c>
      <c r="AK106" s="12">
        <v>46066.359999999986</v>
      </c>
      <c r="AM106" t="s">
        <v>1217</v>
      </c>
      <c r="AN106" s="5">
        <v>0</v>
      </c>
      <c r="AO106" t="s">
        <v>1214</v>
      </c>
      <c r="AP106" s="83" t="s">
        <v>602</v>
      </c>
      <c r="AQ106" t="s">
        <v>1218</v>
      </c>
      <c r="AR106" t="s">
        <v>1215</v>
      </c>
      <c r="AS106" t="s">
        <v>1322</v>
      </c>
    </row>
    <row r="107" spans="35:45">
      <c r="AI107" t="s">
        <v>357</v>
      </c>
      <c r="AJ107" t="s">
        <v>1204</v>
      </c>
      <c r="AK107" s="12">
        <v>46096.779999999984</v>
      </c>
      <c r="AM107" t="s">
        <v>1217</v>
      </c>
      <c r="AN107" s="5">
        <v>0</v>
      </c>
      <c r="AO107" t="s">
        <v>1214</v>
      </c>
      <c r="AP107" s="83" t="s">
        <v>602</v>
      </c>
      <c r="AQ107" t="s">
        <v>1218</v>
      </c>
      <c r="AR107" t="s">
        <v>1215</v>
      </c>
      <c r="AS107" t="s">
        <v>1323</v>
      </c>
    </row>
    <row r="108" spans="35:45">
      <c r="AI108" t="s">
        <v>357</v>
      </c>
      <c r="AJ108" t="s">
        <v>1204</v>
      </c>
      <c r="AK108" s="12">
        <v>46127.199999999983</v>
      </c>
      <c r="AM108" t="s">
        <v>1217</v>
      </c>
      <c r="AN108" s="5">
        <v>0</v>
      </c>
      <c r="AO108" t="s">
        <v>1214</v>
      </c>
      <c r="AP108" s="83" t="s">
        <v>602</v>
      </c>
      <c r="AQ108" t="s">
        <v>1218</v>
      </c>
      <c r="AR108" t="s">
        <v>1215</v>
      </c>
      <c r="AS108" t="s">
        <v>1324</v>
      </c>
    </row>
    <row r="109" spans="35:45">
      <c r="AI109" t="s">
        <v>357</v>
      </c>
      <c r="AJ109" t="s">
        <v>1204</v>
      </c>
      <c r="AK109" s="12">
        <v>46157.619999999981</v>
      </c>
      <c r="AM109" t="s">
        <v>1217</v>
      </c>
      <c r="AN109" s="5">
        <v>0</v>
      </c>
      <c r="AO109" t="s">
        <v>1214</v>
      </c>
      <c r="AP109" s="83" t="s">
        <v>602</v>
      </c>
      <c r="AQ109" t="s">
        <v>1218</v>
      </c>
      <c r="AR109" t="s">
        <v>1215</v>
      </c>
      <c r="AS109" t="s">
        <v>1325</v>
      </c>
    </row>
    <row r="110" spans="35:45">
      <c r="AI110" t="s">
        <v>357</v>
      </c>
      <c r="AJ110" t="s">
        <v>1204</v>
      </c>
      <c r="AK110" s="12">
        <v>46188.039999999979</v>
      </c>
      <c r="AM110" t="s">
        <v>1217</v>
      </c>
      <c r="AN110" s="5">
        <v>0</v>
      </c>
      <c r="AO110" t="s">
        <v>1214</v>
      </c>
      <c r="AP110" s="83" t="s">
        <v>602</v>
      </c>
      <c r="AQ110" t="s">
        <v>1218</v>
      </c>
      <c r="AR110" t="s">
        <v>1215</v>
      </c>
      <c r="AS110" t="s">
        <v>1326</v>
      </c>
    </row>
    <row r="111" spans="35:45">
      <c r="AI111" t="s">
        <v>357</v>
      </c>
      <c r="AJ111" t="s">
        <v>1204</v>
      </c>
      <c r="AK111" s="12">
        <v>46218.459999999977</v>
      </c>
      <c r="AM111" t="s">
        <v>1217</v>
      </c>
      <c r="AN111" s="5">
        <v>0</v>
      </c>
      <c r="AO111" t="s">
        <v>1214</v>
      </c>
      <c r="AP111" s="83" t="s">
        <v>602</v>
      </c>
      <c r="AQ111" t="s">
        <v>1218</v>
      </c>
      <c r="AR111" t="s">
        <v>1215</v>
      </c>
      <c r="AS111" t="s">
        <v>1327</v>
      </c>
    </row>
    <row r="112" spans="35:45">
      <c r="AI112" t="s">
        <v>357</v>
      </c>
      <c r="AJ112" t="s">
        <v>1204</v>
      </c>
      <c r="AK112" s="12">
        <v>46248.879999999976</v>
      </c>
      <c r="AM112" t="s">
        <v>1217</v>
      </c>
      <c r="AN112" s="5">
        <v>0</v>
      </c>
      <c r="AO112" t="s">
        <v>1214</v>
      </c>
      <c r="AP112" s="83" t="s">
        <v>602</v>
      </c>
      <c r="AQ112" t="s">
        <v>1218</v>
      </c>
      <c r="AR112" t="s">
        <v>1215</v>
      </c>
      <c r="AS112" t="s">
        <v>1328</v>
      </c>
    </row>
    <row r="113" spans="35:45">
      <c r="AI113" t="s">
        <v>357</v>
      </c>
      <c r="AJ113" t="s">
        <v>1204</v>
      </c>
      <c r="AK113" s="12">
        <v>46279.299999999974</v>
      </c>
      <c r="AM113" t="s">
        <v>1217</v>
      </c>
      <c r="AN113" s="5">
        <v>0</v>
      </c>
      <c r="AO113" t="s">
        <v>1214</v>
      </c>
      <c r="AP113" s="83" t="s">
        <v>602</v>
      </c>
      <c r="AQ113" t="s">
        <v>1218</v>
      </c>
      <c r="AR113" t="s">
        <v>1215</v>
      </c>
      <c r="AS113" t="s">
        <v>1329</v>
      </c>
    </row>
    <row r="114" spans="35:45">
      <c r="AI114" t="s">
        <v>357</v>
      </c>
      <c r="AJ114" t="s">
        <v>1204</v>
      </c>
      <c r="AK114" s="12">
        <v>46309.719999999972</v>
      </c>
      <c r="AM114" t="s">
        <v>1217</v>
      </c>
      <c r="AN114" s="5">
        <v>0</v>
      </c>
      <c r="AO114" t="s">
        <v>1214</v>
      </c>
      <c r="AP114" s="83" t="s">
        <v>602</v>
      </c>
      <c r="AQ114" t="s">
        <v>1218</v>
      </c>
      <c r="AR114" t="s">
        <v>1215</v>
      </c>
      <c r="AS114" t="s">
        <v>1330</v>
      </c>
    </row>
    <row r="115" spans="35:45">
      <c r="AI115" t="s">
        <v>357</v>
      </c>
      <c r="AJ115" t="s">
        <v>1204</v>
      </c>
      <c r="AK115" s="12">
        <v>46340.13999999997</v>
      </c>
      <c r="AM115" t="s">
        <v>1217</v>
      </c>
      <c r="AN115" s="5">
        <v>0</v>
      </c>
      <c r="AO115" t="s">
        <v>1214</v>
      </c>
      <c r="AP115" s="83" t="s">
        <v>602</v>
      </c>
      <c r="AQ115" t="s">
        <v>1218</v>
      </c>
      <c r="AR115" t="s">
        <v>1215</v>
      </c>
      <c r="AS115" t="s">
        <v>1331</v>
      </c>
    </row>
    <row r="116" spans="35:45">
      <c r="AI116" t="s">
        <v>357</v>
      </c>
      <c r="AJ116" t="s">
        <v>1204</v>
      </c>
      <c r="AK116" s="12">
        <v>46370.559999999969</v>
      </c>
      <c r="AM116" t="s">
        <v>1217</v>
      </c>
      <c r="AN116" s="5">
        <v>0</v>
      </c>
      <c r="AO116" t="s">
        <v>1214</v>
      </c>
      <c r="AP116" s="83" t="s">
        <v>602</v>
      </c>
      <c r="AQ116" t="s">
        <v>1218</v>
      </c>
      <c r="AR116" t="s">
        <v>1215</v>
      </c>
      <c r="AS116" t="s">
        <v>1332</v>
      </c>
    </row>
    <row r="117" spans="35:45">
      <c r="AI117" t="s">
        <v>357</v>
      </c>
      <c r="AJ117" t="s">
        <v>188</v>
      </c>
      <c r="AK117" s="12">
        <v>46035</v>
      </c>
      <c r="AM117" t="s">
        <v>1217</v>
      </c>
      <c r="AN117" s="5">
        <v>0</v>
      </c>
      <c r="AO117" t="s">
        <v>1214</v>
      </c>
      <c r="AP117" s="83" t="s">
        <v>602</v>
      </c>
      <c r="AQ117" t="s">
        <v>1218</v>
      </c>
      <c r="AR117" t="s">
        <v>1215</v>
      </c>
      <c r="AS117" t="s">
        <v>1333</v>
      </c>
    </row>
    <row r="118" spans="35:45">
      <c r="AI118" t="s">
        <v>357</v>
      </c>
      <c r="AJ118" t="s">
        <v>188</v>
      </c>
      <c r="AK118" s="12">
        <v>46065.42</v>
      </c>
      <c r="AM118" t="s">
        <v>1217</v>
      </c>
      <c r="AN118" s="5">
        <v>0</v>
      </c>
      <c r="AO118" t="s">
        <v>1214</v>
      </c>
      <c r="AP118" s="83" t="s">
        <v>602</v>
      </c>
      <c r="AQ118" t="s">
        <v>1218</v>
      </c>
      <c r="AR118" t="s">
        <v>1215</v>
      </c>
      <c r="AS118" t="s">
        <v>1334</v>
      </c>
    </row>
    <row r="119" spans="35:45">
      <c r="AI119" t="s">
        <v>357</v>
      </c>
      <c r="AJ119" t="s">
        <v>188</v>
      </c>
      <c r="AK119" s="12">
        <v>46095.839999999997</v>
      </c>
      <c r="AM119" t="s">
        <v>1217</v>
      </c>
      <c r="AN119" s="5">
        <v>0</v>
      </c>
      <c r="AO119" t="s">
        <v>1214</v>
      </c>
      <c r="AP119" s="83" t="s">
        <v>602</v>
      </c>
      <c r="AQ119" t="s">
        <v>1218</v>
      </c>
      <c r="AR119" t="s">
        <v>1215</v>
      </c>
      <c r="AS119" t="s">
        <v>1335</v>
      </c>
    </row>
    <row r="120" spans="35:45">
      <c r="AI120" t="s">
        <v>357</v>
      </c>
      <c r="AJ120" t="s">
        <v>188</v>
      </c>
      <c r="AK120" s="12">
        <v>46126.259999999995</v>
      </c>
      <c r="AM120" t="s">
        <v>1217</v>
      </c>
      <c r="AN120" s="5">
        <v>0</v>
      </c>
      <c r="AO120" t="s">
        <v>1214</v>
      </c>
      <c r="AP120" s="83" t="s">
        <v>602</v>
      </c>
      <c r="AQ120" t="s">
        <v>1218</v>
      </c>
      <c r="AR120" t="s">
        <v>1215</v>
      </c>
      <c r="AS120" t="s">
        <v>1336</v>
      </c>
    </row>
    <row r="121" spans="35:45">
      <c r="AI121" t="s">
        <v>357</v>
      </c>
      <c r="AJ121" t="s">
        <v>188</v>
      </c>
      <c r="AK121" s="12">
        <v>46156.679999999993</v>
      </c>
      <c r="AM121" t="s">
        <v>1217</v>
      </c>
      <c r="AN121" s="5">
        <v>0</v>
      </c>
      <c r="AO121" t="s">
        <v>1214</v>
      </c>
      <c r="AP121" s="83" t="s">
        <v>602</v>
      </c>
      <c r="AQ121" t="s">
        <v>1218</v>
      </c>
      <c r="AR121" t="s">
        <v>1215</v>
      </c>
      <c r="AS121" t="s">
        <v>1337</v>
      </c>
    </row>
    <row r="122" spans="35:45">
      <c r="AI122" t="s">
        <v>357</v>
      </c>
      <c r="AJ122" t="s">
        <v>188</v>
      </c>
      <c r="AK122" s="12">
        <v>46187.099999999991</v>
      </c>
      <c r="AM122" t="s">
        <v>1217</v>
      </c>
      <c r="AN122" s="5">
        <v>0</v>
      </c>
      <c r="AO122" t="s">
        <v>1214</v>
      </c>
      <c r="AP122" s="83" t="s">
        <v>602</v>
      </c>
      <c r="AQ122" t="s">
        <v>1218</v>
      </c>
      <c r="AR122" t="s">
        <v>1215</v>
      </c>
      <c r="AS122" t="s">
        <v>1338</v>
      </c>
    </row>
    <row r="123" spans="35:45">
      <c r="AI123" t="s">
        <v>357</v>
      </c>
      <c r="AJ123" t="s">
        <v>188</v>
      </c>
      <c r="AK123" s="12">
        <v>46217.51999999999</v>
      </c>
      <c r="AM123" t="s">
        <v>1217</v>
      </c>
      <c r="AN123" s="5">
        <v>0</v>
      </c>
      <c r="AO123" t="s">
        <v>1214</v>
      </c>
      <c r="AP123" s="83" t="s">
        <v>602</v>
      </c>
      <c r="AQ123" t="s">
        <v>1218</v>
      </c>
      <c r="AR123" t="s">
        <v>1215</v>
      </c>
      <c r="AS123" t="s">
        <v>1339</v>
      </c>
    </row>
    <row r="124" spans="35:45">
      <c r="AI124" t="s">
        <v>357</v>
      </c>
      <c r="AJ124" t="s">
        <v>188</v>
      </c>
      <c r="AK124" s="12">
        <v>46247.939999999988</v>
      </c>
      <c r="AM124" t="s">
        <v>1217</v>
      </c>
      <c r="AN124" s="5">
        <v>0</v>
      </c>
      <c r="AO124" t="s">
        <v>1214</v>
      </c>
      <c r="AP124" s="83" t="s">
        <v>602</v>
      </c>
      <c r="AQ124" t="s">
        <v>1218</v>
      </c>
      <c r="AR124" t="s">
        <v>1215</v>
      </c>
      <c r="AS124" t="s">
        <v>1340</v>
      </c>
    </row>
    <row r="125" spans="35:45">
      <c r="AI125" t="s">
        <v>357</v>
      </c>
      <c r="AJ125" t="s">
        <v>188</v>
      </c>
      <c r="AK125" s="12">
        <v>46278.359999999986</v>
      </c>
      <c r="AM125" t="s">
        <v>1217</v>
      </c>
      <c r="AN125" s="5">
        <v>0</v>
      </c>
      <c r="AO125" t="s">
        <v>1214</v>
      </c>
      <c r="AP125" s="83" t="s">
        <v>602</v>
      </c>
      <c r="AQ125" t="s">
        <v>1218</v>
      </c>
      <c r="AR125" t="s">
        <v>1215</v>
      </c>
      <c r="AS125" t="s">
        <v>1341</v>
      </c>
    </row>
    <row r="126" spans="35:45">
      <c r="AI126" t="s">
        <v>357</v>
      </c>
      <c r="AJ126" t="s">
        <v>188</v>
      </c>
      <c r="AK126" s="12">
        <v>46308.779999999984</v>
      </c>
      <c r="AM126" t="s">
        <v>1217</v>
      </c>
      <c r="AN126" s="5">
        <v>0</v>
      </c>
      <c r="AO126" t="s">
        <v>1214</v>
      </c>
      <c r="AP126" s="83" t="s">
        <v>602</v>
      </c>
      <c r="AQ126" t="s">
        <v>1218</v>
      </c>
      <c r="AR126" t="s">
        <v>1215</v>
      </c>
      <c r="AS126" t="s">
        <v>1342</v>
      </c>
    </row>
    <row r="127" spans="35:45">
      <c r="AI127" t="s">
        <v>357</v>
      </c>
      <c r="AJ127" t="s">
        <v>188</v>
      </c>
      <c r="AK127" s="12">
        <v>46339.199999999983</v>
      </c>
      <c r="AM127" t="s">
        <v>1217</v>
      </c>
      <c r="AN127" s="5">
        <v>0</v>
      </c>
      <c r="AO127" t="s">
        <v>1214</v>
      </c>
      <c r="AP127" s="83" t="s">
        <v>602</v>
      </c>
      <c r="AQ127" t="s">
        <v>1218</v>
      </c>
      <c r="AR127" t="s">
        <v>1215</v>
      </c>
      <c r="AS127" t="s">
        <v>1343</v>
      </c>
    </row>
    <row r="128" spans="35:45">
      <c r="AI128" t="s">
        <v>357</v>
      </c>
      <c r="AJ128" t="s">
        <v>188</v>
      </c>
      <c r="AK128" s="12">
        <v>46369.619999999981</v>
      </c>
      <c r="AM128" t="s">
        <v>1217</v>
      </c>
      <c r="AN128" s="5">
        <v>0</v>
      </c>
      <c r="AO128" t="s">
        <v>1214</v>
      </c>
      <c r="AP128" s="83" t="s">
        <v>602</v>
      </c>
      <c r="AQ128" t="s">
        <v>1218</v>
      </c>
      <c r="AR128" t="s">
        <v>1215</v>
      </c>
      <c r="AS128" t="s">
        <v>1344</v>
      </c>
    </row>
    <row r="129" spans="35:45">
      <c r="AI129" t="s">
        <v>357</v>
      </c>
      <c r="AJ129" t="s">
        <v>188</v>
      </c>
      <c r="AK129" s="12">
        <v>46400.039999999979</v>
      </c>
      <c r="AM129" t="s">
        <v>1217</v>
      </c>
      <c r="AN129" s="5">
        <v>0</v>
      </c>
      <c r="AO129" t="s">
        <v>1214</v>
      </c>
      <c r="AP129" s="83" t="s">
        <v>602</v>
      </c>
      <c r="AQ129" t="s">
        <v>1218</v>
      </c>
      <c r="AR129" t="s">
        <v>1215</v>
      </c>
      <c r="AS129" t="s">
        <v>1345</v>
      </c>
    </row>
    <row r="130" spans="35:45">
      <c r="AI130" t="s">
        <v>357</v>
      </c>
      <c r="AJ130" t="s">
        <v>188</v>
      </c>
      <c r="AK130" s="12">
        <v>46430.459999999977</v>
      </c>
      <c r="AM130" t="s">
        <v>1217</v>
      </c>
      <c r="AN130" s="5">
        <v>0</v>
      </c>
      <c r="AO130" t="s">
        <v>1214</v>
      </c>
      <c r="AP130" s="83" t="s">
        <v>602</v>
      </c>
      <c r="AQ130" t="s">
        <v>1218</v>
      </c>
      <c r="AR130" t="s">
        <v>1215</v>
      </c>
      <c r="AS130" t="s">
        <v>1346</v>
      </c>
    </row>
    <row r="131" spans="35:45">
      <c r="AI131" t="s">
        <v>357</v>
      </c>
      <c r="AJ131" t="s">
        <v>188</v>
      </c>
      <c r="AK131" s="12">
        <v>46460.879999999976</v>
      </c>
      <c r="AM131" t="s">
        <v>1217</v>
      </c>
      <c r="AN131" s="5">
        <v>0</v>
      </c>
      <c r="AO131" t="s">
        <v>1214</v>
      </c>
      <c r="AP131" s="83" t="s">
        <v>602</v>
      </c>
      <c r="AQ131" t="s">
        <v>1218</v>
      </c>
      <c r="AR131" t="s">
        <v>1215</v>
      </c>
      <c r="AS131" t="s">
        <v>1347</v>
      </c>
    </row>
    <row r="132" spans="35:45">
      <c r="AI132" t="s">
        <v>357</v>
      </c>
      <c r="AJ132" t="s">
        <v>188</v>
      </c>
      <c r="AK132" s="12">
        <v>46491.299999999974</v>
      </c>
      <c r="AM132" t="s">
        <v>1217</v>
      </c>
      <c r="AN132" s="5">
        <v>0</v>
      </c>
      <c r="AO132" t="s">
        <v>1214</v>
      </c>
      <c r="AP132" s="83" t="s">
        <v>602</v>
      </c>
      <c r="AQ132" t="s">
        <v>1218</v>
      </c>
      <c r="AR132" t="s">
        <v>1215</v>
      </c>
      <c r="AS132" t="s">
        <v>1348</v>
      </c>
    </row>
    <row r="133" spans="35:45">
      <c r="AI133" t="s">
        <v>357</v>
      </c>
      <c r="AJ133" t="s">
        <v>188</v>
      </c>
      <c r="AK133" s="12">
        <v>46521.719999999972</v>
      </c>
      <c r="AM133" t="s">
        <v>1217</v>
      </c>
      <c r="AN133" s="5">
        <v>0</v>
      </c>
      <c r="AO133" t="s">
        <v>1214</v>
      </c>
      <c r="AP133" s="83" t="s">
        <v>602</v>
      </c>
      <c r="AQ133" t="s">
        <v>1218</v>
      </c>
      <c r="AR133" t="s">
        <v>1215</v>
      </c>
      <c r="AS133" t="s">
        <v>1349</v>
      </c>
    </row>
    <row r="134" spans="35:45">
      <c r="AI134" t="s">
        <v>357</v>
      </c>
      <c r="AJ134" t="s">
        <v>188</v>
      </c>
      <c r="AK134" s="12">
        <v>46552.13999999997</v>
      </c>
      <c r="AM134" t="s">
        <v>1217</v>
      </c>
      <c r="AN134" s="5">
        <v>0</v>
      </c>
      <c r="AO134" t="s">
        <v>1214</v>
      </c>
      <c r="AP134" s="83" t="s">
        <v>602</v>
      </c>
      <c r="AQ134" t="s">
        <v>1218</v>
      </c>
      <c r="AR134" t="s">
        <v>1215</v>
      </c>
      <c r="AS134" t="s">
        <v>1350</v>
      </c>
    </row>
    <row r="135" spans="35:45">
      <c r="AI135" t="s">
        <v>357</v>
      </c>
      <c r="AJ135" t="s">
        <v>188</v>
      </c>
      <c r="AK135" s="12">
        <v>46582.559999999969</v>
      </c>
      <c r="AM135" t="s">
        <v>1217</v>
      </c>
      <c r="AN135" s="5">
        <v>0</v>
      </c>
      <c r="AO135" t="s">
        <v>1214</v>
      </c>
      <c r="AP135" s="83" t="s">
        <v>602</v>
      </c>
      <c r="AQ135" t="s">
        <v>1218</v>
      </c>
      <c r="AR135" t="s">
        <v>1215</v>
      </c>
      <c r="AS135" t="s">
        <v>1351</v>
      </c>
    </row>
    <row r="136" spans="35:45">
      <c r="AI136" t="s">
        <v>357</v>
      </c>
      <c r="AJ136" t="s">
        <v>424</v>
      </c>
      <c r="AK136" s="12">
        <v>45823</v>
      </c>
      <c r="AM136" t="s">
        <v>1217</v>
      </c>
      <c r="AN136" s="5"/>
      <c r="AO136" t="s">
        <v>1214</v>
      </c>
      <c r="AP136" s="83" t="s">
        <v>602</v>
      </c>
      <c r="AQ136" t="s">
        <v>1218</v>
      </c>
      <c r="AR136" t="s">
        <v>1215</v>
      </c>
      <c r="AS136" t="s">
        <v>1352</v>
      </c>
    </row>
    <row r="137" spans="35:45">
      <c r="AI137" t="s">
        <v>357</v>
      </c>
      <c r="AJ137" t="s">
        <v>424</v>
      </c>
      <c r="AK137" s="12">
        <v>45536</v>
      </c>
      <c r="AM137" t="s">
        <v>1217</v>
      </c>
      <c r="AN137" s="5"/>
      <c r="AO137" t="s">
        <v>1214</v>
      </c>
      <c r="AP137" s="83" t="s">
        <v>602</v>
      </c>
      <c r="AQ137" t="s">
        <v>1218</v>
      </c>
      <c r="AR137" t="s">
        <v>1215</v>
      </c>
      <c r="AS137" t="s">
        <v>1353</v>
      </c>
    </row>
    <row r="138" spans="35:45">
      <c r="AI138" t="s">
        <v>357</v>
      </c>
      <c r="AJ138" t="s">
        <v>424</v>
      </c>
      <c r="AK138" s="12">
        <v>45901</v>
      </c>
      <c r="AM138" t="s">
        <v>1217</v>
      </c>
      <c r="AN138" s="5">
        <v>0</v>
      </c>
      <c r="AO138" t="s">
        <v>1214</v>
      </c>
      <c r="AP138" s="83" t="s">
        <v>602</v>
      </c>
      <c r="AQ138" t="s">
        <v>1218</v>
      </c>
      <c r="AR138" t="s">
        <v>1215</v>
      </c>
      <c r="AS138" t="s">
        <v>1354</v>
      </c>
    </row>
    <row r="139" spans="35:45">
      <c r="AI139" t="s">
        <v>357</v>
      </c>
      <c r="AJ139" t="s">
        <v>424</v>
      </c>
      <c r="AK139" s="12">
        <v>46266</v>
      </c>
      <c r="AM139" t="s">
        <v>1217</v>
      </c>
      <c r="AN139" s="5">
        <v>0</v>
      </c>
      <c r="AO139" t="s">
        <v>1214</v>
      </c>
      <c r="AP139" s="83" t="s">
        <v>602</v>
      </c>
      <c r="AQ139" t="s">
        <v>1218</v>
      </c>
      <c r="AR139" t="s">
        <v>1215</v>
      </c>
      <c r="AS139" t="s">
        <v>1355</v>
      </c>
    </row>
    <row r="140" spans="35:45">
      <c r="AI140" t="s">
        <v>357</v>
      </c>
      <c r="AJ140" t="s">
        <v>424</v>
      </c>
      <c r="AK140" s="12">
        <v>46631</v>
      </c>
      <c r="AM140" t="s">
        <v>1217</v>
      </c>
      <c r="AN140" s="5">
        <v>0</v>
      </c>
      <c r="AO140" t="s">
        <v>1214</v>
      </c>
      <c r="AP140" s="83" t="s">
        <v>602</v>
      </c>
      <c r="AQ140" t="s">
        <v>1218</v>
      </c>
      <c r="AR140" t="s">
        <v>1215</v>
      </c>
      <c r="AS140" t="s">
        <v>1356</v>
      </c>
    </row>
    <row r="141" spans="35:45">
      <c r="AI141" t="s">
        <v>357</v>
      </c>
      <c r="AJ141" t="s">
        <v>424</v>
      </c>
      <c r="AK141" s="12">
        <v>46996</v>
      </c>
      <c r="AM141" t="s">
        <v>1217</v>
      </c>
      <c r="AN141" s="5">
        <v>0</v>
      </c>
      <c r="AO141" t="s">
        <v>1214</v>
      </c>
      <c r="AP141" s="83" t="s">
        <v>602</v>
      </c>
      <c r="AQ141" t="s">
        <v>1218</v>
      </c>
      <c r="AR141" t="s">
        <v>1215</v>
      </c>
      <c r="AS141" t="s">
        <v>1357</v>
      </c>
    </row>
    <row r="142" spans="35:45">
      <c r="AI142" t="s">
        <v>357</v>
      </c>
      <c r="AJ142" t="s">
        <v>424</v>
      </c>
      <c r="AK142" s="12">
        <v>47361</v>
      </c>
      <c r="AM142" t="s">
        <v>1217</v>
      </c>
      <c r="AN142" s="5">
        <v>0</v>
      </c>
      <c r="AO142" t="s">
        <v>1214</v>
      </c>
      <c r="AP142" s="83" t="s">
        <v>602</v>
      </c>
      <c r="AQ142" t="s">
        <v>1218</v>
      </c>
      <c r="AR142" t="s">
        <v>1215</v>
      </c>
      <c r="AS142" t="s">
        <v>1358</v>
      </c>
    </row>
    <row r="143" spans="35:45">
      <c r="AI143" t="s">
        <v>357</v>
      </c>
      <c r="AJ143" t="s">
        <v>424</v>
      </c>
      <c r="AK143" s="12">
        <v>47726</v>
      </c>
      <c r="AM143" t="s">
        <v>1217</v>
      </c>
      <c r="AN143" s="5">
        <v>0</v>
      </c>
      <c r="AO143" t="s">
        <v>1214</v>
      </c>
      <c r="AP143" s="83" t="s">
        <v>602</v>
      </c>
      <c r="AQ143" t="s">
        <v>1218</v>
      </c>
      <c r="AR143" t="s">
        <v>1215</v>
      </c>
      <c r="AS143" t="s">
        <v>1359</v>
      </c>
    </row>
    <row r="144" spans="35:45">
      <c r="AI144" t="s">
        <v>357</v>
      </c>
      <c r="AJ144" t="s">
        <v>424</v>
      </c>
      <c r="AK144" s="12">
        <v>48091</v>
      </c>
      <c r="AM144" t="s">
        <v>1217</v>
      </c>
      <c r="AN144" s="5">
        <v>0</v>
      </c>
      <c r="AO144" t="s">
        <v>1214</v>
      </c>
      <c r="AP144" s="83" t="s">
        <v>602</v>
      </c>
      <c r="AQ144" t="s">
        <v>1218</v>
      </c>
      <c r="AR144" t="s">
        <v>1215</v>
      </c>
      <c r="AS144" t="s">
        <v>1360</v>
      </c>
    </row>
    <row r="145" spans="35:45">
      <c r="AI145" t="s">
        <v>357</v>
      </c>
      <c r="AJ145" t="s">
        <v>424</v>
      </c>
      <c r="AK145" s="12">
        <v>48456</v>
      </c>
      <c r="AM145" t="s">
        <v>1217</v>
      </c>
      <c r="AN145" s="5">
        <v>0</v>
      </c>
      <c r="AO145" t="s">
        <v>1214</v>
      </c>
      <c r="AP145" s="83" t="s">
        <v>602</v>
      </c>
      <c r="AQ145" t="s">
        <v>1218</v>
      </c>
      <c r="AR145" t="s">
        <v>1215</v>
      </c>
      <c r="AS145" t="s">
        <v>1361</v>
      </c>
    </row>
    <row r="146" spans="35:45">
      <c r="AI146" t="s">
        <v>357</v>
      </c>
      <c r="AJ146" t="s">
        <v>424</v>
      </c>
      <c r="AK146" s="12">
        <v>48821</v>
      </c>
      <c r="AM146" t="s">
        <v>1217</v>
      </c>
      <c r="AN146" s="5">
        <v>0</v>
      </c>
      <c r="AO146" t="s">
        <v>1214</v>
      </c>
      <c r="AP146" s="83" t="s">
        <v>602</v>
      </c>
      <c r="AQ146" t="s">
        <v>1218</v>
      </c>
      <c r="AR146" t="s">
        <v>1215</v>
      </c>
      <c r="AS146" t="s">
        <v>1362</v>
      </c>
    </row>
    <row r="147" spans="35:45">
      <c r="AI147" t="s">
        <v>357</v>
      </c>
      <c r="AJ147" t="s">
        <v>424</v>
      </c>
      <c r="AK147" s="12">
        <v>49186</v>
      </c>
      <c r="AM147" t="s">
        <v>1217</v>
      </c>
      <c r="AN147" s="5">
        <v>0</v>
      </c>
      <c r="AO147" t="s">
        <v>1214</v>
      </c>
      <c r="AP147" s="83" t="s">
        <v>602</v>
      </c>
      <c r="AQ147" t="s">
        <v>1218</v>
      </c>
      <c r="AR147" t="s">
        <v>1215</v>
      </c>
      <c r="AS147" t="s">
        <v>1363</v>
      </c>
    </row>
    <row r="148" spans="35:45">
      <c r="AI148" t="s">
        <v>357</v>
      </c>
      <c r="AJ148" t="s">
        <v>424</v>
      </c>
      <c r="AK148" s="12">
        <v>49551</v>
      </c>
      <c r="AM148" t="s">
        <v>1217</v>
      </c>
      <c r="AN148" s="5">
        <v>0</v>
      </c>
      <c r="AO148" t="s">
        <v>1214</v>
      </c>
      <c r="AP148" s="83" t="s">
        <v>602</v>
      </c>
      <c r="AQ148" t="s">
        <v>1218</v>
      </c>
      <c r="AR148" t="s">
        <v>1215</v>
      </c>
      <c r="AS148" t="s">
        <v>1364</v>
      </c>
    </row>
    <row r="149" spans="35:45">
      <c r="AI149" t="s">
        <v>357</v>
      </c>
      <c r="AJ149" t="s">
        <v>424</v>
      </c>
      <c r="AK149" s="12">
        <v>49916</v>
      </c>
      <c r="AM149" t="s">
        <v>1217</v>
      </c>
      <c r="AN149" s="5">
        <v>0</v>
      </c>
      <c r="AO149" t="s">
        <v>1214</v>
      </c>
      <c r="AP149" s="83" t="s">
        <v>602</v>
      </c>
      <c r="AQ149" t="s">
        <v>1218</v>
      </c>
      <c r="AR149" t="s">
        <v>1215</v>
      </c>
      <c r="AS149" t="s">
        <v>1365</v>
      </c>
    </row>
    <row r="150" spans="35:45">
      <c r="AI150" t="s">
        <v>357</v>
      </c>
      <c r="AJ150" t="s">
        <v>424</v>
      </c>
      <c r="AK150" s="12">
        <v>50281</v>
      </c>
      <c r="AM150" t="s">
        <v>1217</v>
      </c>
      <c r="AN150" s="5">
        <v>0</v>
      </c>
      <c r="AO150" t="s">
        <v>1214</v>
      </c>
      <c r="AP150" s="83" t="s">
        <v>602</v>
      </c>
      <c r="AQ150" t="s">
        <v>1218</v>
      </c>
      <c r="AR150" t="s">
        <v>1215</v>
      </c>
      <c r="AS150" t="s">
        <v>1366</v>
      </c>
    </row>
    <row r="151" spans="35:45">
      <c r="AI151" t="s">
        <v>357</v>
      </c>
      <c r="AJ151" t="s">
        <v>424</v>
      </c>
      <c r="AK151" s="12">
        <v>50646</v>
      </c>
      <c r="AM151" t="s">
        <v>1217</v>
      </c>
      <c r="AN151" s="5">
        <v>0</v>
      </c>
      <c r="AO151" t="s">
        <v>1214</v>
      </c>
      <c r="AP151" s="83" t="s">
        <v>602</v>
      </c>
      <c r="AQ151" t="s">
        <v>1218</v>
      </c>
      <c r="AR151" t="s">
        <v>1215</v>
      </c>
      <c r="AS151" t="s">
        <v>1367</v>
      </c>
    </row>
    <row r="152" spans="35:45">
      <c r="AI152" t="s">
        <v>357</v>
      </c>
      <c r="AJ152" t="s">
        <v>424</v>
      </c>
      <c r="AK152" s="12">
        <v>51011</v>
      </c>
      <c r="AM152" t="s">
        <v>1217</v>
      </c>
      <c r="AN152" s="5">
        <v>0</v>
      </c>
      <c r="AO152" t="s">
        <v>1214</v>
      </c>
      <c r="AP152" s="83" t="s">
        <v>602</v>
      </c>
      <c r="AQ152" t="s">
        <v>1218</v>
      </c>
      <c r="AR152" t="s">
        <v>1215</v>
      </c>
      <c r="AS152" t="s">
        <v>1368</v>
      </c>
    </row>
    <row r="153" spans="35:45">
      <c r="AI153" t="s">
        <v>357</v>
      </c>
      <c r="AJ153" t="s">
        <v>424</v>
      </c>
      <c r="AK153" s="12">
        <v>51376</v>
      </c>
      <c r="AM153" t="s">
        <v>1217</v>
      </c>
      <c r="AN153" s="5">
        <v>0</v>
      </c>
      <c r="AO153" t="s">
        <v>1214</v>
      </c>
      <c r="AP153" s="83" t="s">
        <v>602</v>
      </c>
      <c r="AQ153" t="s">
        <v>1218</v>
      </c>
      <c r="AR153" t="s">
        <v>1215</v>
      </c>
      <c r="AS153" t="s">
        <v>1369</v>
      </c>
    </row>
    <row r="154" spans="35:45">
      <c r="AI154" t="s">
        <v>357</v>
      </c>
      <c r="AJ154" t="s">
        <v>424</v>
      </c>
      <c r="AK154" s="12">
        <v>51741</v>
      </c>
      <c r="AM154" t="s">
        <v>1217</v>
      </c>
      <c r="AN154" s="5">
        <v>0</v>
      </c>
      <c r="AO154" t="s">
        <v>1214</v>
      </c>
      <c r="AP154" s="83" t="s">
        <v>602</v>
      </c>
      <c r="AQ154" t="s">
        <v>1218</v>
      </c>
      <c r="AR154" t="s">
        <v>1215</v>
      </c>
      <c r="AS154" t="s">
        <v>1370</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5" customWidth="1"/>
    <col min="5" max="5" width="6.28515625" style="44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6" t="s">
        <v>426</v>
      </c>
      <c r="B1" s="437" t="s">
        <v>427</v>
      </c>
      <c r="C1" s="437" t="s">
        <v>428</v>
      </c>
      <c r="D1" s="438" t="s">
        <v>429</v>
      </c>
      <c r="E1" s="439" t="s">
        <v>430</v>
      </c>
      <c r="F1" s="437" t="s">
        <v>431</v>
      </c>
      <c r="G1" s="437" t="s">
        <v>432</v>
      </c>
      <c r="H1" s="495" t="s">
        <v>433</v>
      </c>
      <c r="I1" s="3"/>
    </row>
    <row r="2" spans="1:10">
      <c r="A2" s="496">
        <v>1</v>
      </c>
      <c r="B2" s="501" t="s">
        <v>434</v>
      </c>
      <c r="C2" s="497" t="s">
        <v>435</v>
      </c>
      <c r="D2" s="498" t="s">
        <v>436</v>
      </c>
      <c r="E2" s="499">
        <v>1</v>
      </c>
      <c r="F2" s="500">
        <v>0</v>
      </c>
      <c r="G2" s="497" t="s">
        <v>437</v>
      </c>
      <c r="H2">
        <v>1</v>
      </c>
      <c r="J2" t="e">
        <f>+tblContractBase[[#This Row],[Index]]=#REF!+1</f>
        <v>#REF!</v>
      </c>
    </row>
    <row r="3" spans="1:10">
      <c r="A3" s="496">
        <v>2</v>
      </c>
      <c r="B3" s="501" t="s">
        <v>434</v>
      </c>
      <c r="C3" s="497" t="s">
        <v>438</v>
      </c>
      <c r="D3" s="498" t="s">
        <v>438</v>
      </c>
      <c r="E3" s="499">
        <v>1</v>
      </c>
      <c r="F3" s="500">
        <v>0</v>
      </c>
      <c r="G3" s="497" t="s">
        <v>437</v>
      </c>
      <c r="H3">
        <v>1</v>
      </c>
      <c r="J3" t="b">
        <f>+tblContractBase[[#This Row],[Index]]=A2+1</f>
        <v>1</v>
      </c>
    </row>
    <row r="4" spans="1:10">
      <c r="A4" s="496">
        <v>3</v>
      </c>
      <c r="B4" s="501" t="s">
        <v>434</v>
      </c>
      <c r="C4" s="497" t="s">
        <v>439</v>
      </c>
      <c r="D4" s="498" t="s">
        <v>440</v>
      </c>
      <c r="E4" s="499">
        <v>1</v>
      </c>
      <c r="F4" s="500">
        <v>0</v>
      </c>
      <c r="G4" s="497" t="s">
        <v>437</v>
      </c>
      <c r="H4">
        <v>2</v>
      </c>
      <c r="J4" t="b">
        <f>+tblContractBase[[#This Row],[Index]]=A3+1</f>
        <v>1</v>
      </c>
    </row>
    <row r="5" spans="1:10">
      <c r="A5" s="496">
        <v>4</v>
      </c>
      <c r="B5" s="501" t="s">
        <v>434</v>
      </c>
      <c r="C5" s="497" t="s">
        <v>441</v>
      </c>
      <c r="D5" s="498" t="s">
        <v>442</v>
      </c>
      <c r="E5" s="499">
        <v>1</v>
      </c>
      <c r="F5" s="500">
        <v>0</v>
      </c>
      <c r="G5" s="497" t="s">
        <v>437</v>
      </c>
      <c r="H5">
        <v>3</v>
      </c>
      <c r="J5" t="b">
        <f>+tblContractBase[[#This Row],[Index]]=A4+1</f>
        <v>1</v>
      </c>
    </row>
    <row r="6" spans="1:10">
      <c r="A6" s="496">
        <v>5</v>
      </c>
      <c r="B6" s="501" t="s">
        <v>434</v>
      </c>
      <c r="C6" s="497" t="s">
        <v>443</v>
      </c>
      <c r="D6" s="498" t="s">
        <v>444</v>
      </c>
      <c r="E6" s="499">
        <v>1</v>
      </c>
      <c r="F6" s="500">
        <v>0</v>
      </c>
      <c r="G6" s="497" t="s">
        <v>437</v>
      </c>
      <c r="H6">
        <v>4</v>
      </c>
      <c r="J6" t="b">
        <f>+tblContractBase[[#This Row],[Index]]=A5+1</f>
        <v>1</v>
      </c>
    </row>
    <row r="7" spans="1:10">
      <c r="A7" s="496">
        <v>6</v>
      </c>
      <c r="B7" s="501" t="s">
        <v>434</v>
      </c>
      <c r="C7" s="497" t="s">
        <v>445</v>
      </c>
      <c r="D7" s="498" t="s">
        <v>446</v>
      </c>
      <c r="E7" s="499">
        <v>1</v>
      </c>
      <c r="F7" s="500">
        <v>0</v>
      </c>
      <c r="G7" s="497" t="s">
        <v>437</v>
      </c>
      <c r="H7">
        <v>5</v>
      </c>
      <c r="J7" t="b">
        <f>+tblContractBase[[#This Row],[Index]]=A6+1</f>
        <v>1</v>
      </c>
    </row>
    <row r="8" spans="1:10">
      <c r="A8" s="496">
        <v>7</v>
      </c>
      <c r="B8" s="501" t="s">
        <v>434</v>
      </c>
      <c r="C8" s="497" t="s">
        <v>447</v>
      </c>
      <c r="D8" s="498" t="s">
        <v>448</v>
      </c>
      <c r="E8" s="499">
        <v>1</v>
      </c>
      <c r="F8" s="500">
        <v>0</v>
      </c>
      <c r="G8" s="497" t="s">
        <v>437</v>
      </c>
      <c r="H8">
        <v>6</v>
      </c>
      <c r="J8" t="b">
        <f>+tblContractBase[[#This Row],[Index]]=A7+1</f>
        <v>1</v>
      </c>
    </row>
    <row r="9" spans="1:10">
      <c r="A9" s="496">
        <v>8</v>
      </c>
      <c r="B9" s="501" t="s">
        <v>434</v>
      </c>
      <c r="C9" s="497" t="s">
        <v>449</v>
      </c>
      <c r="D9" s="498" t="s">
        <v>450</v>
      </c>
      <c r="E9" s="499">
        <v>1</v>
      </c>
      <c r="F9" s="500">
        <v>0</v>
      </c>
      <c r="G9" s="497" t="s">
        <v>437</v>
      </c>
      <c r="H9">
        <v>7</v>
      </c>
      <c r="J9" t="b">
        <f>+tblContractBase[[#This Row],[Index]]=A8+1</f>
        <v>1</v>
      </c>
    </row>
    <row r="10" spans="1:10">
      <c r="A10" s="496">
        <v>9</v>
      </c>
      <c r="B10" s="501" t="s">
        <v>434</v>
      </c>
      <c r="C10" s="497" t="s">
        <v>451</v>
      </c>
      <c r="D10" s="498" t="s">
        <v>441</v>
      </c>
      <c r="E10" s="499">
        <v>1</v>
      </c>
      <c r="F10" s="500">
        <v>0</v>
      </c>
      <c r="G10" s="497" t="s">
        <v>437</v>
      </c>
      <c r="H10">
        <v>8</v>
      </c>
      <c r="J10" t="b">
        <f>+tblContractBase[[#This Row],[Index]]=A9+1</f>
        <v>1</v>
      </c>
    </row>
    <row r="11" spans="1:10">
      <c r="A11" s="496">
        <v>10</v>
      </c>
      <c r="B11" s="501" t="s">
        <v>434</v>
      </c>
      <c r="C11" s="497" t="s">
        <v>451</v>
      </c>
      <c r="D11" s="498" t="s">
        <v>452</v>
      </c>
      <c r="E11" s="499">
        <v>1</v>
      </c>
      <c r="F11" s="500">
        <v>0</v>
      </c>
      <c r="G11" s="497" t="s">
        <v>437</v>
      </c>
      <c r="H11">
        <v>9</v>
      </c>
      <c r="J11" t="b">
        <f>+tblContractBase[[#This Row],[Index]]=A10+1</f>
        <v>1</v>
      </c>
    </row>
    <row r="12" spans="1:10">
      <c r="A12" s="496">
        <v>11</v>
      </c>
      <c r="B12" s="501" t="s">
        <v>434</v>
      </c>
      <c r="C12" s="497" t="s">
        <v>451</v>
      </c>
      <c r="D12" s="498" t="s">
        <v>453</v>
      </c>
      <c r="E12" s="499">
        <v>1</v>
      </c>
      <c r="F12" s="500">
        <v>0</v>
      </c>
      <c r="G12" s="497" t="s">
        <v>437</v>
      </c>
      <c r="H12">
        <v>10</v>
      </c>
      <c r="J12" t="b">
        <f>+tblContractBase[[#This Row],[Index]]=A11+1</f>
        <v>1</v>
      </c>
    </row>
    <row r="13" spans="1:10">
      <c r="A13" s="496">
        <v>12</v>
      </c>
      <c r="B13" s="501" t="s">
        <v>434</v>
      </c>
      <c r="C13" s="497" t="s">
        <v>454</v>
      </c>
      <c r="D13" s="498" t="s">
        <v>455</v>
      </c>
      <c r="E13" s="499">
        <v>1</v>
      </c>
      <c r="F13" s="500">
        <v>0</v>
      </c>
      <c r="G13" s="497" t="s">
        <v>437</v>
      </c>
      <c r="H13">
        <v>11</v>
      </c>
      <c r="J13" t="b">
        <f>+tblContractBase[[#This Row],[Index]]=A12+1</f>
        <v>1</v>
      </c>
    </row>
    <row r="14" spans="1:10">
      <c r="A14" s="496">
        <v>13</v>
      </c>
      <c r="B14" s="501" t="s">
        <v>434</v>
      </c>
      <c r="C14" s="497" t="s">
        <v>456</v>
      </c>
      <c r="D14" s="498" t="s">
        <v>457</v>
      </c>
      <c r="E14" s="499">
        <v>1</v>
      </c>
      <c r="F14" s="500">
        <v>0</v>
      </c>
      <c r="G14" s="497" t="s">
        <v>437</v>
      </c>
      <c r="H14">
        <v>12</v>
      </c>
      <c r="J14" t="b">
        <f>+tblContractBase[[#This Row],[Index]]=A13+1</f>
        <v>1</v>
      </c>
    </row>
    <row r="15" spans="1:10">
      <c r="A15" s="496">
        <v>14</v>
      </c>
      <c r="B15" s="501" t="s">
        <v>434</v>
      </c>
      <c r="C15" s="497" t="s">
        <v>458</v>
      </c>
      <c r="D15" s="498" t="s">
        <v>459</v>
      </c>
      <c r="E15" s="499">
        <v>1</v>
      </c>
      <c r="F15" s="500">
        <v>0</v>
      </c>
      <c r="G15" s="497" t="s">
        <v>437</v>
      </c>
      <c r="H15">
        <v>13</v>
      </c>
      <c r="J15" t="b">
        <f>+tblContractBase[[#This Row],[Index]]=A14+1</f>
        <v>1</v>
      </c>
    </row>
    <row r="16" spans="1:10">
      <c r="A16" s="496">
        <v>15</v>
      </c>
      <c r="B16" s="501" t="s">
        <v>434</v>
      </c>
      <c r="C16" s="497" t="s">
        <v>460</v>
      </c>
      <c r="D16" s="498" t="s">
        <v>461</v>
      </c>
      <c r="E16" s="499">
        <v>1</v>
      </c>
      <c r="F16" s="500">
        <v>0</v>
      </c>
      <c r="G16" s="497" t="s">
        <v>437</v>
      </c>
      <c r="H16">
        <v>14</v>
      </c>
      <c r="J16" t="b">
        <f>+tblContractBase[[#This Row],[Index]]=A15+1</f>
        <v>1</v>
      </c>
    </row>
    <row r="17" spans="1:10">
      <c r="A17" s="496">
        <v>16</v>
      </c>
      <c r="B17" s="501" t="s">
        <v>434</v>
      </c>
      <c r="C17" s="497" t="s">
        <v>462</v>
      </c>
      <c r="D17" s="498" t="s">
        <v>452</v>
      </c>
      <c r="E17" s="499">
        <v>1</v>
      </c>
      <c r="F17" s="500">
        <v>0</v>
      </c>
      <c r="G17" s="497" t="s">
        <v>437</v>
      </c>
      <c r="H17">
        <v>15</v>
      </c>
      <c r="J17" t="b">
        <f>+tblContractBase[[#This Row],[Index]]=A16+1</f>
        <v>1</v>
      </c>
    </row>
    <row r="18" spans="1:10">
      <c r="A18" s="496">
        <v>17</v>
      </c>
      <c r="B18" s="501" t="s">
        <v>434</v>
      </c>
      <c r="C18" s="497" t="s">
        <v>462</v>
      </c>
      <c r="D18" s="498" t="s">
        <v>441</v>
      </c>
      <c r="E18" s="499">
        <v>1</v>
      </c>
      <c r="F18" s="500">
        <v>0</v>
      </c>
      <c r="G18" s="497" t="s">
        <v>437</v>
      </c>
      <c r="H18">
        <v>16</v>
      </c>
      <c r="J18" t="b">
        <f>+tblContractBase[[#This Row],[Index]]=A17+1</f>
        <v>1</v>
      </c>
    </row>
    <row r="19" spans="1:10">
      <c r="A19" s="496">
        <v>18</v>
      </c>
      <c r="B19" s="501" t="s">
        <v>434</v>
      </c>
      <c r="C19" s="497" t="s">
        <v>462</v>
      </c>
      <c r="D19" s="498" t="s">
        <v>453</v>
      </c>
      <c r="E19" s="499">
        <v>1</v>
      </c>
      <c r="F19" s="500">
        <v>0</v>
      </c>
      <c r="G19" s="497" t="s">
        <v>437</v>
      </c>
      <c r="H19">
        <v>17</v>
      </c>
      <c r="J19" t="b">
        <f>+tblContractBase[[#This Row],[Index]]=A18+1</f>
        <v>1</v>
      </c>
    </row>
    <row r="20" spans="1:10">
      <c r="A20" s="496">
        <v>19</v>
      </c>
      <c r="B20" s="501" t="s">
        <v>434</v>
      </c>
      <c r="C20" s="497" t="s">
        <v>453</v>
      </c>
      <c r="D20" s="498" t="s">
        <v>460</v>
      </c>
      <c r="E20" s="499">
        <v>1</v>
      </c>
      <c r="F20" s="500">
        <v>0</v>
      </c>
      <c r="G20" s="497" t="s">
        <v>437</v>
      </c>
      <c r="H20">
        <v>18</v>
      </c>
      <c r="J20" t="b">
        <f>+tblContractBase[[#This Row],[Index]]=A19+1</f>
        <v>1</v>
      </c>
    </row>
    <row r="21" spans="1:10">
      <c r="A21" s="496">
        <v>20</v>
      </c>
      <c r="B21" s="501" t="s">
        <v>434</v>
      </c>
      <c r="C21" s="497" t="s">
        <v>449</v>
      </c>
      <c r="D21" s="498" t="s">
        <v>463</v>
      </c>
      <c r="E21" s="499">
        <v>1</v>
      </c>
      <c r="F21" s="500">
        <v>0</v>
      </c>
      <c r="G21" s="497" t="s">
        <v>437</v>
      </c>
      <c r="H21">
        <v>19</v>
      </c>
      <c r="J21" t="b">
        <f>+tblContractBase[[#This Row],[Index]]=A20+1</f>
        <v>1</v>
      </c>
    </row>
    <row r="22" spans="1:10">
      <c r="A22" s="496">
        <v>21</v>
      </c>
      <c r="B22" s="501" t="s">
        <v>434</v>
      </c>
      <c r="C22" s="497" t="s">
        <v>464</v>
      </c>
      <c r="D22" s="498" t="s">
        <v>465</v>
      </c>
      <c r="E22" s="499">
        <v>1</v>
      </c>
      <c r="F22" s="500">
        <v>0</v>
      </c>
      <c r="G22" s="497" t="s">
        <v>437</v>
      </c>
      <c r="H22">
        <v>20</v>
      </c>
      <c r="J22" t="b">
        <f>+tblContractBase[[#This Row],[Index]]=A21+1</f>
        <v>1</v>
      </c>
    </row>
    <row r="23" spans="1:10">
      <c r="A23" s="496">
        <v>22</v>
      </c>
      <c r="B23" s="501" t="s">
        <v>434</v>
      </c>
      <c r="C23" s="497" t="s">
        <v>466</v>
      </c>
      <c r="D23" s="498" t="s">
        <v>467</v>
      </c>
      <c r="E23" s="499">
        <v>1</v>
      </c>
      <c r="F23" s="500">
        <v>0</v>
      </c>
      <c r="G23" s="497" t="s">
        <v>437</v>
      </c>
      <c r="H23">
        <v>21</v>
      </c>
      <c r="J23" t="b">
        <f>+tblContractBase[[#This Row],[Index]]=A22+1</f>
        <v>1</v>
      </c>
    </row>
    <row r="24" spans="1:10">
      <c r="A24" s="496">
        <v>23</v>
      </c>
      <c r="B24" s="501" t="s">
        <v>434</v>
      </c>
      <c r="C24" s="497" t="s">
        <v>468</v>
      </c>
      <c r="D24" s="498" t="s">
        <v>469</v>
      </c>
      <c r="E24" s="499">
        <v>1</v>
      </c>
      <c r="F24" s="500">
        <v>0</v>
      </c>
      <c r="G24" s="497" t="s">
        <v>437</v>
      </c>
      <c r="H24">
        <v>22</v>
      </c>
      <c r="J24" t="b">
        <f>+tblContractBase[[#This Row],[Index]]=A23+1</f>
        <v>1</v>
      </c>
    </row>
    <row r="25" spans="1:10">
      <c r="A25" s="496">
        <v>24</v>
      </c>
      <c r="B25" s="501" t="s">
        <v>434</v>
      </c>
      <c r="C25" s="497" t="s">
        <v>458</v>
      </c>
      <c r="D25" s="498" t="s">
        <v>470</v>
      </c>
      <c r="E25" s="499">
        <v>1</v>
      </c>
      <c r="F25" s="500">
        <v>0</v>
      </c>
      <c r="G25" s="497" t="s">
        <v>437</v>
      </c>
      <c r="H25">
        <v>23</v>
      </c>
      <c r="J25" t="b">
        <f>+tblContractBase[[#This Row],[Index]]=A24+1</f>
        <v>1</v>
      </c>
    </row>
    <row r="26" spans="1:10">
      <c r="A26" s="496">
        <v>25</v>
      </c>
      <c r="B26" s="501" t="s">
        <v>434</v>
      </c>
      <c r="C26" s="497" t="s">
        <v>471</v>
      </c>
      <c r="D26" s="498" t="s">
        <v>472</v>
      </c>
      <c r="E26" s="499">
        <v>1</v>
      </c>
      <c r="F26" s="500">
        <v>0</v>
      </c>
      <c r="G26" s="497" t="s">
        <v>437</v>
      </c>
      <c r="H26">
        <v>24</v>
      </c>
      <c r="J26" t="b">
        <f>+tblContractBase[[#This Row],[Index]]=A25+1</f>
        <v>1</v>
      </c>
    </row>
    <row r="27" spans="1:10">
      <c r="A27" s="496">
        <v>26</v>
      </c>
      <c r="B27" s="501" t="s">
        <v>434</v>
      </c>
      <c r="C27" s="497" t="s">
        <v>473</v>
      </c>
      <c r="D27" s="498" t="s">
        <v>471</v>
      </c>
      <c r="E27" s="499">
        <v>1</v>
      </c>
      <c r="F27" s="500">
        <v>0</v>
      </c>
      <c r="G27" s="497" t="s">
        <v>437</v>
      </c>
      <c r="H27">
        <v>25</v>
      </c>
      <c r="J27" t="b">
        <f>+tblContractBase[[#This Row],[Index]]=A26+1</f>
        <v>1</v>
      </c>
    </row>
    <row r="28" spans="1:10">
      <c r="A28" s="496">
        <v>27</v>
      </c>
      <c r="B28" s="501" t="s">
        <v>434</v>
      </c>
      <c r="C28" s="497" t="s">
        <v>474</v>
      </c>
      <c r="D28" s="498" t="s">
        <v>475</v>
      </c>
      <c r="E28" s="499">
        <v>1</v>
      </c>
      <c r="F28" s="500">
        <v>0</v>
      </c>
      <c r="G28" s="497" t="s">
        <v>437</v>
      </c>
      <c r="H28">
        <v>26</v>
      </c>
      <c r="J28" t="b">
        <f>+tblContractBase[[#This Row],[Index]]=A27+1</f>
        <v>1</v>
      </c>
    </row>
    <row r="29" spans="1:10">
      <c r="A29" s="496">
        <v>28</v>
      </c>
      <c r="B29" s="501" t="s">
        <v>434</v>
      </c>
      <c r="C29" s="497" t="s">
        <v>476</v>
      </c>
      <c r="D29" s="498" t="s">
        <v>477</v>
      </c>
      <c r="E29" s="499">
        <v>1</v>
      </c>
      <c r="F29" s="500">
        <v>0</v>
      </c>
      <c r="G29" s="497" t="s">
        <v>437</v>
      </c>
      <c r="H29">
        <v>27</v>
      </c>
      <c r="J29" t="b">
        <f>+tblContractBase[[#This Row],[Index]]=A28+1</f>
        <v>1</v>
      </c>
    </row>
    <row r="30" spans="1:10">
      <c r="A30" s="496">
        <v>31</v>
      </c>
      <c r="B30" s="501" t="s">
        <v>478</v>
      </c>
      <c r="C30" s="497" t="s">
        <v>478</v>
      </c>
      <c r="D30" s="498" t="s">
        <v>479</v>
      </c>
      <c r="E30" s="499">
        <v>1</v>
      </c>
      <c r="F30" s="500"/>
      <c r="G30" s="497" t="s">
        <v>480</v>
      </c>
      <c r="J30" t="e">
        <f>+tblContractBase[[#This Row],[Index]]=#REF!+1</f>
        <v>#REF!</v>
      </c>
    </row>
    <row r="31" spans="1:10">
      <c r="A31" s="496">
        <v>32</v>
      </c>
      <c r="B31" s="501" t="s">
        <v>458</v>
      </c>
      <c r="C31" s="497" t="s">
        <v>458</v>
      </c>
      <c r="D31" s="498" t="s">
        <v>481</v>
      </c>
      <c r="E31" s="499">
        <v>1</v>
      </c>
      <c r="F31" s="500"/>
      <c r="G31" s="497" t="s">
        <v>480</v>
      </c>
      <c r="J31" t="b">
        <f>+tblContractBase[[#This Row],[Index]]=A30+1</f>
        <v>1</v>
      </c>
    </row>
    <row r="32" spans="1:10">
      <c r="A32" s="496">
        <v>33</v>
      </c>
      <c r="B32" s="501" t="s">
        <v>458</v>
      </c>
      <c r="C32" s="497" t="s">
        <v>458</v>
      </c>
      <c r="D32" s="498" t="s">
        <v>482</v>
      </c>
      <c r="E32" s="499">
        <v>1</v>
      </c>
      <c r="F32" s="500"/>
      <c r="G32" s="497" t="s">
        <v>480</v>
      </c>
      <c r="J32" t="b">
        <f>+tblContractBase[[#This Row],[Index]]=A31+1</f>
        <v>1</v>
      </c>
    </row>
    <row r="33" spans="1:10">
      <c r="A33" s="496">
        <v>34</v>
      </c>
      <c r="B33" s="501" t="s">
        <v>458</v>
      </c>
      <c r="C33" s="497" t="s">
        <v>458</v>
      </c>
      <c r="D33" s="498" t="s">
        <v>483</v>
      </c>
      <c r="E33" s="499">
        <v>1</v>
      </c>
      <c r="F33" s="500"/>
      <c r="G33" s="497" t="s">
        <v>480</v>
      </c>
      <c r="J33" t="b">
        <f>+tblContractBase[[#This Row],[Index]]=A32+1</f>
        <v>1</v>
      </c>
    </row>
    <row r="34" spans="1:10" ht="30">
      <c r="A34" s="496">
        <v>38</v>
      </c>
      <c r="B34" s="501" t="s">
        <v>484</v>
      </c>
      <c r="C34" s="497" t="s">
        <v>438</v>
      </c>
      <c r="D34" s="498" t="s">
        <v>485</v>
      </c>
      <c r="E34" s="499">
        <v>1</v>
      </c>
      <c r="F34" s="500"/>
      <c r="G34" s="497" t="s">
        <v>480</v>
      </c>
      <c r="J34" t="e">
        <f>+tblContractBase[[#This Row],[Index]]=#REF!+1</f>
        <v>#REF!</v>
      </c>
    </row>
    <row r="35" spans="1:10">
      <c r="A35" s="496">
        <v>39</v>
      </c>
      <c r="B35" s="501" t="s">
        <v>484</v>
      </c>
      <c r="C35" s="497"/>
      <c r="D35" s="498" t="s">
        <v>486</v>
      </c>
      <c r="E35" s="499">
        <v>1</v>
      </c>
      <c r="F35" s="500"/>
      <c r="G35" s="497" t="s">
        <v>480</v>
      </c>
      <c r="J35" t="b">
        <f>+tblContractBase[[#This Row],[Index]]=A34+1</f>
        <v>1</v>
      </c>
    </row>
    <row r="36" spans="1:10">
      <c r="A36" s="496">
        <v>40</v>
      </c>
      <c r="B36" s="501" t="s">
        <v>487</v>
      </c>
      <c r="C36" s="497" t="s">
        <v>488</v>
      </c>
      <c r="D36" s="498" t="s">
        <v>489</v>
      </c>
      <c r="E36" s="499">
        <v>1</v>
      </c>
      <c r="F36" s="500"/>
      <c r="G36" s="497" t="s">
        <v>480</v>
      </c>
      <c r="J36" t="b">
        <f>+tblContractBase[[#This Row],[Index]]=A35+1</f>
        <v>1</v>
      </c>
    </row>
    <row r="37" spans="1:10">
      <c r="A37" s="496">
        <v>41</v>
      </c>
      <c r="B37" s="501" t="s">
        <v>484</v>
      </c>
      <c r="C37" s="497" t="s">
        <v>488</v>
      </c>
      <c r="D37" s="498" t="s">
        <v>490</v>
      </c>
      <c r="E37" s="499">
        <v>1</v>
      </c>
      <c r="F37" s="500"/>
      <c r="G37" s="497" t="s">
        <v>480</v>
      </c>
      <c r="J37" t="b">
        <f>+tblContractBase[[#This Row],[Index]]=A36+1</f>
        <v>1</v>
      </c>
    </row>
    <row r="38" spans="1:10">
      <c r="A38" s="496">
        <v>48</v>
      </c>
      <c r="B38" s="501" t="s">
        <v>491</v>
      </c>
      <c r="C38" s="497" t="s">
        <v>492</v>
      </c>
      <c r="D38" s="498" t="s">
        <v>493</v>
      </c>
      <c r="E38" s="499">
        <v>1</v>
      </c>
      <c r="F38" s="500"/>
      <c r="G38" s="497" t="s">
        <v>480</v>
      </c>
      <c r="J38" t="e">
        <f>+tblContractBase[[#This Row],[Index]]=#REF!+1</f>
        <v>#REF!</v>
      </c>
    </row>
    <row r="39" spans="1:10">
      <c r="A39" s="496">
        <v>49</v>
      </c>
      <c r="B39" s="501" t="s">
        <v>484</v>
      </c>
      <c r="C39" s="497" t="s">
        <v>438</v>
      </c>
      <c r="D39" s="498" t="s">
        <v>494</v>
      </c>
      <c r="E39" s="499">
        <v>1</v>
      </c>
      <c r="F39" s="500"/>
      <c r="G39" s="497" t="s">
        <v>480</v>
      </c>
      <c r="J39" t="b">
        <f>+tblContractBase[[#This Row],[Index]]=A38+1</f>
        <v>1</v>
      </c>
    </row>
    <row r="40" spans="1:10">
      <c r="A40" s="496">
        <v>50</v>
      </c>
      <c r="B40" s="501" t="s">
        <v>487</v>
      </c>
      <c r="C40" s="497" t="s">
        <v>495</v>
      </c>
      <c r="D40" s="498" t="s">
        <v>496</v>
      </c>
      <c r="E40" s="499">
        <v>1</v>
      </c>
      <c r="F40" s="500"/>
      <c r="G40" s="497" t="s">
        <v>480</v>
      </c>
      <c r="J40" t="b">
        <f>+tblContractBase[[#This Row],[Index]]=A39+1</f>
        <v>1</v>
      </c>
    </row>
    <row r="41" spans="1:10">
      <c r="A41" s="496">
        <v>51</v>
      </c>
      <c r="B41" s="501" t="s">
        <v>487</v>
      </c>
      <c r="C41" s="497" t="s">
        <v>495</v>
      </c>
      <c r="D41" s="498" t="s">
        <v>497</v>
      </c>
      <c r="E41" s="499">
        <v>1</v>
      </c>
      <c r="F41" s="500"/>
      <c r="G41" s="497" t="s">
        <v>480</v>
      </c>
      <c r="J41" t="b">
        <f>+tblContractBase[[#This Row],[Index]]=A40+1</f>
        <v>1</v>
      </c>
    </row>
    <row r="42" spans="1:10">
      <c r="A42" s="496">
        <v>52</v>
      </c>
      <c r="B42" s="501" t="s">
        <v>487</v>
      </c>
      <c r="C42" s="497" t="s">
        <v>495</v>
      </c>
      <c r="D42" s="498" t="s">
        <v>498</v>
      </c>
      <c r="E42" s="499">
        <v>1</v>
      </c>
      <c r="F42" s="500"/>
      <c r="G42" s="497" t="s">
        <v>480</v>
      </c>
      <c r="J42" t="b">
        <f>+tblContractBase[[#This Row],[Index]]=A41+1</f>
        <v>1</v>
      </c>
    </row>
    <row r="43" spans="1:10">
      <c r="A43" s="496">
        <v>53</v>
      </c>
      <c r="B43" s="501" t="s">
        <v>452</v>
      </c>
      <c r="C43" s="497" t="s">
        <v>499</v>
      </c>
      <c r="D43" s="498" t="s">
        <v>500</v>
      </c>
      <c r="E43" s="499">
        <v>1</v>
      </c>
      <c r="F43" s="500"/>
      <c r="G43" s="497" t="s">
        <v>480</v>
      </c>
      <c r="J43" t="b">
        <f>+tblContractBase[[#This Row],[Index]]=A42+1</f>
        <v>1</v>
      </c>
    </row>
    <row r="44" spans="1:10">
      <c r="A44" s="496">
        <v>54</v>
      </c>
      <c r="B44" s="501" t="s">
        <v>501</v>
      </c>
      <c r="C44" s="497"/>
      <c r="D44" s="498" t="s">
        <v>502</v>
      </c>
      <c r="E44" s="499">
        <v>1</v>
      </c>
      <c r="F44" s="500"/>
      <c r="G44" s="497" t="s">
        <v>480</v>
      </c>
      <c r="J44" t="b">
        <f>+tblContractBase[[#This Row],[Index]]=A43+1</f>
        <v>1</v>
      </c>
    </row>
    <row r="45" spans="1:10">
      <c r="A45" s="496">
        <v>55</v>
      </c>
      <c r="B45" s="501" t="s">
        <v>484</v>
      </c>
      <c r="C45" s="497" t="s">
        <v>438</v>
      </c>
      <c r="D45" s="498" t="s">
        <v>503</v>
      </c>
      <c r="E45" s="499">
        <v>1</v>
      </c>
      <c r="F45" s="500"/>
      <c r="G45" s="497" t="s">
        <v>480</v>
      </c>
      <c r="J45" t="b">
        <f>+tblContractBase[[#This Row],[Index]]=A44+1</f>
        <v>1</v>
      </c>
    </row>
    <row r="46" spans="1:10">
      <c r="A46" s="496">
        <v>56</v>
      </c>
      <c r="B46" s="501" t="s">
        <v>501</v>
      </c>
      <c r="C46" s="497" t="s">
        <v>504</v>
      </c>
      <c r="D46" s="498" t="s">
        <v>505</v>
      </c>
      <c r="E46" s="499">
        <v>1</v>
      </c>
      <c r="F46" s="500"/>
      <c r="G46" s="497" t="s">
        <v>480</v>
      </c>
      <c r="J46" t="b">
        <f>+tblContractBase[[#This Row],[Index]]=A45+1</f>
        <v>1</v>
      </c>
    </row>
    <row r="47" spans="1:10">
      <c r="A47" s="496">
        <v>59</v>
      </c>
      <c r="B47" s="501" t="s">
        <v>484</v>
      </c>
      <c r="C47" s="497" t="s">
        <v>438</v>
      </c>
      <c r="D47" s="498" t="s">
        <v>506</v>
      </c>
      <c r="E47" s="499">
        <v>1</v>
      </c>
      <c r="F47" s="500"/>
      <c r="G47" s="497" t="s">
        <v>480</v>
      </c>
      <c r="J47" t="e">
        <f>+tblContractBase[[#This Row],[Index]]=#REF!+1</f>
        <v>#REF!</v>
      </c>
    </row>
    <row r="48" spans="1:10">
      <c r="A48" s="496">
        <v>60</v>
      </c>
      <c r="B48" s="501" t="s">
        <v>487</v>
      </c>
      <c r="C48" s="497" t="s">
        <v>495</v>
      </c>
      <c r="D48" s="498" t="s">
        <v>507</v>
      </c>
      <c r="E48" s="499">
        <v>1</v>
      </c>
      <c r="F48" s="500"/>
      <c r="G48" s="497" t="s">
        <v>480</v>
      </c>
      <c r="J48" t="b">
        <f>+tblContractBase[[#This Row],[Index]]=A47+1</f>
        <v>1</v>
      </c>
    </row>
    <row r="49" spans="1:10">
      <c r="A49" s="496">
        <v>61</v>
      </c>
      <c r="B49" s="501" t="s">
        <v>458</v>
      </c>
      <c r="C49" s="497" t="s">
        <v>458</v>
      </c>
      <c r="D49" s="498" t="s">
        <v>508</v>
      </c>
      <c r="E49" s="499">
        <v>2</v>
      </c>
      <c r="F49" s="500"/>
      <c r="G49" s="497" t="s">
        <v>480</v>
      </c>
      <c r="J49" t="b">
        <f>+tblContractBase[[#This Row],[Index]]=A48+1</f>
        <v>1</v>
      </c>
    </row>
    <row r="50" spans="1:10">
      <c r="A50" s="496">
        <v>62</v>
      </c>
      <c r="B50" s="501" t="s">
        <v>487</v>
      </c>
      <c r="C50" s="497" t="s">
        <v>495</v>
      </c>
      <c r="D50" s="498" t="s">
        <v>509</v>
      </c>
      <c r="E50" s="499">
        <v>1</v>
      </c>
      <c r="F50" s="500"/>
      <c r="G50" s="497" t="s">
        <v>480</v>
      </c>
      <c r="J50" t="b">
        <f>+tblContractBase[[#This Row],[Index]]=A49+1</f>
        <v>1</v>
      </c>
    </row>
    <row r="51" spans="1:10">
      <c r="A51" s="496">
        <v>63</v>
      </c>
      <c r="B51" s="501" t="s">
        <v>453</v>
      </c>
      <c r="C51" s="497" t="s">
        <v>453</v>
      </c>
      <c r="D51" s="498" t="s">
        <v>510</v>
      </c>
      <c r="E51" s="499">
        <v>1</v>
      </c>
      <c r="F51" s="500"/>
      <c r="G51" s="497" t="s">
        <v>480</v>
      </c>
      <c r="J51" t="b">
        <f>+tblContractBase[[#This Row],[Index]]=A50+1</f>
        <v>1</v>
      </c>
    </row>
    <row r="52" spans="1:10">
      <c r="A52" s="496">
        <v>64</v>
      </c>
      <c r="B52" s="501" t="s">
        <v>487</v>
      </c>
      <c r="C52" s="497" t="s">
        <v>495</v>
      </c>
      <c r="D52" s="498" t="s">
        <v>511</v>
      </c>
      <c r="E52" s="499">
        <v>1</v>
      </c>
      <c r="F52" s="500"/>
      <c r="G52" s="497" t="s">
        <v>480</v>
      </c>
      <c r="J52" t="b">
        <f>+tblContractBase[[#This Row],[Index]]=A51+1</f>
        <v>1</v>
      </c>
    </row>
    <row r="53" spans="1:10">
      <c r="A53" s="496">
        <v>67</v>
      </c>
      <c r="B53" s="501" t="s">
        <v>512</v>
      </c>
      <c r="C53" s="497" t="s">
        <v>513</v>
      </c>
      <c r="D53" s="498" t="s">
        <v>514</v>
      </c>
      <c r="E53" s="499">
        <v>1</v>
      </c>
      <c r="F53" s="500"/>
      <c r="G53" s="497" t="s">
        <v>480</v>
      </c>
      <c r="J53" t="e">
        <f>+tblContractBase[[#This Row],[Index]]=#REF!+1</f>
        <v>#REF!</v>
      </c>
    </row>
    <row r="54" spans="1:10">
      <c r="A54" s="496">
        <v>70</v>
      </c>
      <c r="B54" s="501" t="s">
        <v>512</v>
      </c>
      <c r="C54" s="497" t="s">
        <v>515</v>
      </c>
      <c r="D54" s="498" t="s">
        <v>516</v>
      </c>
      <c r="E54" s="499">
        <v>1</v>
      </c>
      <c r="F54" s="500"/>
      <c r="G54" s="497" t="s">
        <v>480</v>
      </c>
      <c r="J54" t="e">
        <f>+tblContractBase[[#This Row],[Index]]=#REF!+1</f>
        <v>#REF!</v>
      </c>
    </row>
    <row r="55" spans="1:10">
      <c r="A55" s="496">
        <v>71</v>
      </c>
      <c r="B55" s="501" t="s">
        <v>452</v>
      </c>
      <c r="C55" s="497" t="s">
        <v>515</v>
      </c>
      <c r="D55" s="498" t="s">
        <v>517</v>
      </c>
      <c r="E55" s="499">
        <v>1</v>
      </c>
      <c r="F55" s="500"/>
      <c r="G55" s="497" t="s">
        <v>480</v>
      </c>
      <c r="J55" t="b">
        <f>+tblContractBase[[#This Row],[Index]]=A54+1</f>
        <v>1</v>
      </c>
    </row>
    <row r="56" spans="1:10">
      <c r="A56" s="496">
        <v>75</v>
      </c>
      <c r="B56" s="501" t="s">
        <v>487</v>
      </c>
      <c r="C56" s="497" t="s">
        <v>495</v>
      </c>
      <c r="D56" s="498" t="s">
        <v>518</v>
      </c>
      <c r="E56" s="499">
        <v>3</v>
      </c>
      <c r="F56" s="500"/>
      <c r="G56" s="497" t="s">
        <v>480</v>
      </c>
    </row>
    <row r="57" spans="1:10">
      <c r="A57" s="496">
        <v>76</v>
      </c>
      <c r="B57" s="501" t="s">
        <v>484</v>
      </c>
      <c r="C57" s="497" t="s">
        <v>458</v>
      </c>
      <c r="D57" s="498" t="s">
        <v>519</v>
      </c>
      <c r="E57" s="499">
        <v>2</v>
      </c>
      <c r="F57" s="500"/>
      <c r="G57" s="497" t="s">
        <v>480</v>
      </c>
      <c r="H57">
        <f t="shared" ref="H57:H60" si="0">+A56</f>
        <v>75</v>
      </c>
      <c r="J57" t="b">
        <f>+tblContractBase[[#This Row],[Index]]=A56+1</f>
        <v>1</v>
      </c>
    </row>
    <row r="58" spans="1:10">
      <c r="A58" s="496">
        <v>77</v>
      </c>
      <c r="B58" s="501" t="s">
        <v>484</v>
      </c>
      <c r="C58" s="497" t="s">
        <v>520</v>
      </c>
      <c r="D58" s="498" t="s">
        <v>521</v>
      </c>
      <c r="E58" s="499">
        <v>1</v>
      </c>
      <c r="F58" s="500"/>
      <c r="G58" s="497" t="s">
        <v>480</v>
      </c>
      <c r="H58">
        <f t="shared" si="0"/>
        <v>76</v>
      </c>
    </row>
    <row r="59" spans="1:10">
      <c r="A59" s="496">
        <v>78</v>
      </c>
      <c r="B59" s="501" t="s">
        <v>512</v>
      </c>
      <c r="C59" s="497" t="s">
        <v>522</v>
      </c>
      <c r="D59" s="498" t="s">
        <v>523</v>
      </c>
      <c r="E59" s="499">
        <v>1</v>
      </c>
      <c r="F59" s="500"/>
      <c r="G59" s="497" t="s">
        <v>480</v>
      </c>
      <c r="H59">
        <f t="shared" si="0"/>
        <v>77</v>
      </c>
    </row>
    <row r="60" spans="1:10">
      <c r="A60" s="496">
        <v>79</v>
      </c>
      <c r="B60" s="501" t="s">
        <v>458</v>
      </c>
      <c r="C60" s="497" t="s">
        <v>515</v>
      </c>
      <c r="D60" s="498" t="s">
        <v>524</v>
      </c>
      <c r="E60" s="499">
        <v>1</v>
      </c>
      <c r="F60" s="500"/>
      <c r="G60" s="497" t="s">
        <v>480</v>
      </c>
      <c r="H60">
        <f t="shared" si="0"/>
        <v>78</v>
      </c>
    </row>
    <row r="61" spans="1:10">
      <c r="A61" s="496">
        <v>80</v>
      </c>
      <c r="B61" s="501" t="s">
        <v>458</v>
      </c>
      <c r="C61" s="497" t="s">
        <v>522</v>
      </c>
      <c r="D61" s="498" t="s">
        <v>1168</v>
      </c>
      <c r="E61" s="499">
        <v>2</v>
      </c>
      <c r="F61" s="500">
        <v>62.5</v>
      </c>
      <c r="G61" s="497" t="s">
        <v>480</v>
      </c>
      <c r="H61">
        <v>77</v>
      </c>
    </row>
    <row r="62" spans="1:10">
      <c r="A62" s="496">
        <v>81</v>
      </c>
      <c r="B62" s="501" t="s">
        <v>501</v>
      </c>
      <c r="C62" s="497" t="s">
        <v>504</v>
      </c>
      <c r="D62" s="498" t="s">
        <v>1173</v>
      </c>
      <c r="E62" s="499">
        <v>16</v>
      </c>
      <c r="F62" s="500">
        <v>62.5</v>
      </c>
      <c r="G62" s="497" t="s">
        <v>480</v>
      </c>
      <c r="H62">
        <f>+A61</f>
        <v>80</v>
      </c>
    </row>
    <row r="63" spans="1:10">
      <c r="A63" s="496">
        <v>82</v>
      </c>
      <c r="B63" s="501" t="s">
        <v>458</v>
      </c>
      <c r="C63" s="497" t="s">
        <v>520</v>
      </c>
      <c r="D63" s="498" t="s">
        <v>1172</v>
      </c>
      <c r="E63" s="499">
        <v>15</v>
      </c>
      <c r="F63" s="500">
        <v>62.5</v>
      </c>
      <c r="G63" s="497" t="s">
        <v>480</v>
      </c>
      <c r="H63">
        <f>+A62</f>
        <v>81</v>
      </c>
    </row>
    <row r="64" spans="1:10">
      <c r="A64" s="496">
        <v>83</v>
      </c>
      <c r="B64" s="501" t="s">
        <v>1196</v>
      </c>
      <c r="C64" s="497" t="s">
        <v>520</v>
      </c>
      <c r="D64" s="498" t="s">
        <v>1197</v>
      </c>
      <c r="E64" s="499">
        <v>11</v>
      </c>
      <c r="F64" s="500">
        <v>62.5</v>
      </c>
      <c r="G64" s="497" t="s">
        <v>480</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426</v>
      </c>
      <c r="B1" t="s">
        <v>427</v>
      </c>
      <c r="C1" t="s">
        <v>428</v>
      </c>
      <c r="D1" t="s">
        <v>429</v>
      </c>
      <c r="E1" t="s">
        <v>430</v>
      </c>
      <c r="F1" t="s">
        <v>431</v>
      </c>
      <c r="G1" t="s">
        <v>432</v>
      </c>
      <c r="H1" t="s">
        <v>433</v>
      </c>
      <c r="I1" t="s">
        <v>525</v>
      </c>
      <c r="J1" s="515" t="s">
        <v>526</v>
      </c>
      <c r="K1" t="s">
        <v>527</v>
      </c>
      <c r="L1" t="s">
        <v>528</v>
      </c>
      <c r="M1" s="441" t="s">
        <v>529</v>
      </c>
      <c r="N1" t="s">
        <v>530</v>
      </c>
      <c r="O1" t="s">
        <v>531</v>
      </c>
      <c r="P1" t="s">
        <v>532</v>
      </c>
      <c r="Q1" t="s">
        <v>356</v>
      </c>
      <c r="R1" t="s">
        <v>533</v>
      </c>
    </row>
    <row r="2" spans="1:18">
      <c r="A2">
        <v>1</v>
      </c>
      <c r="B2" t="s">
        <v>434</v>
      </c>
      <c r="C2" t="s">
        <v>435</v>
      </c>
      <c r="D2" t="s">
        <v>436</v>
      </c>
      <c r="E2">
        <v>1</v>
      </c>
      <c r="F2">
        <v>0</v>
      </c>
      <c r="G2" t="s">
        <v>437</v>
      </c>
      <c r="H2">
        <v>1</v>
      </c>
      <c r="I2" cm="1">
        <f t="array" ref="I2">_xlfn.XLOOKUP(tblContractDependency[[#This Row],[Index]],_xleta.INDEX,qryContractsToGnatt[Unit Price],0)</f>
        <v>0</v>
      </c>
      <c r="J2" s="51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1">
        <f ca="1">IFERROR(_xlfn.XLOOKUP(tblContractDependency[[#This Row],[Index]], Contract_Edits[Index], Contract_Edits[Date]), tblContractDependency[[#This Row],[Start]])</f>
        <v>46185</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434</v>
      </c>
      <c r="C3" t="s">
        <v>438</v>
      </c>
      <c r="D3" t="s">
        <v>438</v>
      </c>
      <c r="E3">
        <v>1</v>
      </c>
      <c r="F3">
        <v>0</v>
      </c>
      <c r="G3" t="s">
        <v>437</v>
      </c>
      <c r="H3">
        <v>1</v>
      </c>
      <c r="I3" cm="1">
        <f t="array" ref="I3">_xlfn.XLOOKUP(tblContractDependency[[#This Row],[Index]],_xleta.INDEX,qryContractsToGnatt[Unit Price],0)</f>
        <v>0</v>
      </c>
      <c r="J3" s="51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1">
        <f ca="1">IFERROR(_xlfn.XLOOKUP(tblContractDependency[[#This Row],[Index]], Contract_Edits[Index], Contract_Edits[Date]), tblContractDependency[[#This Row],[Start]])</f>
        <v>46188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434</v>
      </c>
      <c r="C4" t="s">
        <v>439</v>
      </c>
      <c r="D4" t="s">
        <v>440</v>
      </c>
      <c r="E4">
        <v>1</v>
      </c>
      <c r="F4">
        <v>0</v>
      </c>
      <c r="G4" t="s">
        <v>437</v>
      </c>
      <c r="H4">
        <v>2</v>
      </c>
      <c r="I4" cm="1">
        <f t="array" ref="I4">_xlfn.XLOOKUP(tblContractDependency[[#This Row],[Index]],_xleta.INDEX,qryContractsToGnatt[Unit Price],0)</f>
        <v>0</v>
      </c>
      <c r="J4" s="51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1">
        <f ca="1">IFERROR(_xlfn.XLOOKUP(tblContractDependency[[#This Row],[Index]], Contract_Edits[Index], Contract_Edits[Date]), tblContractDependency[[#This Row],[Start]])</f>
        <v>46188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434</v>
      </c>
      <c r="C5" t="s">
        <v>441</v>
      </c>
      <c r="D5" t="s">
        <v>442</v>
      </c>
      <c r="E5">
        <v>1</v>
      </c>
      <c r="F5">
        <v>0</v>
      </c>
      <c r="G5" t="s">
        <v>437</v>
      </c>
      <c r="H5">
        <v>3</v>
      </c>
      <c r="I5" cm="1">
        <f t="array" ref="I5">_xlfn.XLOOKUP(tblContractDependency[[#This Row],[Index]],_xleta.INDEX,qryContractsToGnatt[Unit Price],0)</f>
        <v>0</v>
      </c>
      <c r="J5" s="51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1">
        <f ca="1">IFERROR(_xlfn.XLOOKUP(tblContractDependency[[#This Row],[Index]], Contract_Edits[Index], Contract_Edits[Date]), tblContractDependency[[#This Row],[Start]])</f>
        <v>46188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434</v>
      </c>
      <c r="C6" t="s">
        <v>443</v>
      </c>
      <c r="D6" t="s">
        <v>444</v>
      </c>
      <c r="E6">
        <v>1</v>
      </c>
      <c r="F6">
        <v>0</v>
      </c>
      <c r="G6" t="s">
        <v>437</v>
      </c>
      <c r="H6">
        <v>4</v>
      </c>
      <c r="I6" cm="1">
        <f t="array" ref="I6">_xlfn.XLOOKUP(tblContractDependency[[#This Row],[Index]],_xleta.INDEX,qryContractsToGnatt[Unit Price],0)</f>
        <v>0</v>
      </c>
      <c r="J6" s="51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1">
        <f ca="1">IFERROR(_xlfn.XLOOKUP(tblContractDependency[[#This Row],[Index]], Contract_Edits[Index], Contract_Edits[Date]), tblContractDependency[[#This Row],[Start]])</f>
        <v>46188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434</v>
      </c>
      <c r="C7" t="s">
        <v>445</v>
      </c>
      <c r="D7" t="s">
        <v>446</v>
      </c>
      <c r="E7">
        <v>1</v>
      </c>
      <c r="F7">
        <v>0</v>
      </c>
      <c r="G7" t="s">
        <v>437</v>
      </c>
      <c r="H7">
        <v>5</v>
      </c>
      <c r="I7" cm="1">
        <f t="array" ref="I7">_xlfn.XLOOKUP(tblContractDependency[[#This Row],[Index]],_xleta.INDEX,qryContractsToGnatt[Unit Price],0)</f>
        <v>0</v>
      </c>
      <c r="J7" s="51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1">
        <f ca="1">IFERROR(_xlfn.XLOOKUP(tblContractDependency[[#This Row],[Index]], Contract_Edits[Index], Contract_Edits[Date]), tblContractDependency[[#This Row],[Start]])</f>
        <v>46188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434</v>
      </c>
      <c r="C8" t="s">
        <v>447</v>
      </c>
      <c r="D8" t="s">
        <v>448</v>
      </c>
      <c r="E8">
        <v>1</v>
      </c>
      <c r="F8">
        <v>0</v>
      </c>
      <c r="G8" t="s">
        <v>437</v>
      </c>
      <c r="H8">
        <v>6</v>
      </c>
      <c r="I8" cm="1">
        <f t="array" ref="I8">_xlfn.XLOOKUP(tblContractDependency[[#This Row],[Index]],_xleta.INDEX,qryContractsToGnatt[Unit Price],0)</f>
        <v>0</v>
      </c>
      <c r="J8" s="51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1">
        <f ca="1">IFERROR(_xlfn.XLOOKUP(tblContractDependency[[#This Row],[Index]], Contract_Edits[Index], Contract_Edits[Date]), tblContractDependency[[#This Row],[Start]])</f>
        <v>46188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434</v>
      </c>
      <c r="C9" t="s">
        <v>449</v>
      </c>
      <c r="D9" t="s">
        <v>450</v>
      </c>
      <c r="E9">
        <v>1</v>
      </c>
      <c r="F9">
        <v>0</v>
      </c>
      <c r="G9" t="s">
        <v>437</v>
      </c>
      <c r="H9">
        <v>7</v>
      </c>
      <c r="I9" cm="1">
        <f t="array" ref="I9">_xlfn.XLOOKUP(tblContractDependency[[#This Row],[Index]],_xleta.INDEX,qryContractsToGnatt[Unit Price],0)</f>
        <v>0</v>
      </c>
      <c r="J9" s="51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1">
        <f ca="1">IFERROR(_xlfn.XLOOKUP(tblContractDependency[[#This Row],[Index]], Contract_Edits[Index], Contract_Edits[Date]), tblContractDependency[[#This Row],[Start]])</f>
        <v>46188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434</v>
      </c>
      <c r="C10" t="s">
        <v>451</v>
      </c>
      <c r="D10" t="s">
        <v>441</v>
      </c>
      <c r="E10">
        <v>1</v>
      </c>
      <c r="F10">
        <v>0</v>
      </c>
      <c r="G10" t="s">
        <v>437</v>
      </c>
      <c r="H10">
        <v>8</v>
      </c>
      <c r="I10" cm="1">
        <f t="array" ref="I10">_xlfn.XLOOKUP(tblContractDependency[[#This Row],[Index]],_xleta.INDEX,qryContractsToGnatt[Unit Price],0)</f>
        <v>0</v>
      </c>
      <c r="J10" s="51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1">
        <f ca="1">IFERROR(_xlfn.XLOOKUP(tblContractDependency[[#This Row],[Index]], Contract_Edits[Index], Contract_Edits[Date]), tblContractDependency[[#This Row],[Start]])</f>
        <v>46188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434</v>
      </c>
      <c r="C11" t="s">
        <v>451</v>
      </c>
      <c r="D11" t="s">
        <v>452</v>
      </c>
      <c r="E11">
        <v>1</v>
      </c>
      <c r="F11">
        <v>0</v>
      </c>
      <c r="G11" t="s">
        <v>437</v>
      </c>
      <c r="H11">
        <v>9</v>
      </c>
      <c r="I11" cm="1">
        <f t="array" ref="I11">_xlfn.XLOOKUP(tblContractDependency[[#This Row],[Index]],_xleta.INDEX,qryContractsToGnatt[Unit Price],0)</f>
        <v>0</v>
      </c>
      <c r="J11" s="51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1">
        <f ca="1">IFERROR(_xlfn.XLOOKUP(tblContractDependency[[#This Row],[Index]], Contract_Edits[Index], Contract_Edits[Date]), tblContractDependency[[#This Row],[Start]])</f>
        <v>46188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434</v>
      </c>
      <c r="C12" t="s">
        <v>451</v>
      </c>
      <c r="D12" t="s">
        <v>453</v>
      </c>
      <c r="E12">
        <v>1</v>
      </c>
      <c r="F12">
        <v>0</v>
      </c>
      <c r="G12" t="s">
        <v>437</v>
      </c>
      <c r="H12">
        <v>10</v>
      </c>
      <c r="I12" cm="1">
        <f t="array" ref="I12">_xlfn.XLOOKUP(tblContractDependency[[#This Row],[Index]],_xleta.INDEX,qryContractsToGnatt[Unit Price],0)</f>
        <v>0</v>
      </c>
      <c r="J12" s="51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1">
        <f ca="1">IFERROR(_xlfn.XLOOKUP(tblContractDependency[[#This Row],[Index]], Contract_Edits[Index], Contract_Edits[Date]), tblContractDependency[[#This Row],[Start]])</f>
        <v>46188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434</v>
      </c>
      <c r="C13" t="s">
        <v>454</v>
      </c>
      <c r="D13" t="s">
        <v>455</v>
      </c>
      <c r="E13">
        <v>1</v>
      </c>
      <c r="F13">
        <v>0</v>
      </c>
      <c r="G13" t="s">
        <v>437</v>
      </c>
      <c r="H13">
        <v>11</v>
      </c>
      <c r="I13" cm="1">
        <f t="array" ref="I13">_xlfn.XLOOKUP(tblContractDependency[[#This Row],[Index]],_xleta.INDEX,qryContractsToGnatt[Unit Price],0)</f>
        <v>0</v>
      </c>
      <c r="J13" s="51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1">
        <f ca="1">IFERROR(_xlfn.XLOOKUP(tblContractDependency[[#This Row],[Index]], Contract_Edits[Index], Contract_Edits[Date]), tblContractDependency[[#This Row],[Start]])</f>
        <v>46188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434</v>
      </c>
      <c r="C14" t="s">
        <v>456</v>
      </c>
      <c r="D14" t="s">
        <v>457</v>
      </c>
      <c r="E14">
        <v>1</v>
      </c>
      <c r="F14">
        <v>0</v>
      </c>
      <c r="G14" t="s">
        <v>437</v>
      </c>
      <c r="H14">
        <v>12</v>
      </c>
      <c r="I14" cm="1">
        <f t="array" ref="I14">_xlfn.XLOOKUP(tblContractDependency[[#This Row],[Index]],_xleta.INDEX,qryContractsToGnatt[Unit Price],0)</f>
        <v>0</v>
      </c>
      <c r="J14" s="51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1">
        <f ca="1">IFERROR(_xlfn.XLOOKUP(tblContractDependency[[#This Row],[Index]], Contract_Edits[Index], Contract_Edits[Date]), tblContractDependency[[#This Row],[Start]])</f>
        <v>46188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434</v>
      </c>
      <c r="C15" t="s">
        <v>458</v>
      </c>
      <c r="D15" t="s">
        <v>459</v>
      </c>
      <c r="E15">
        <v>1</v>
      </c>
      <c r="F15">
        <v>0</v>
      </c>
      <c r="G15" t="s">
        <v>437</v>
      </c>
      <c r="H15">
        <v>13</v>
      </c>
      <c r="I15" cm="1">
        <f t="array" ref="I15">_xlfn.XLOOKUP(tblContractDependency[[#This Row],[Index]],_xleta.INDEX,qryContractsToGnatt[Unit Price],0)</f>
        <v>0</v>
      </c>
      <c r="J15" s="51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1">
        <f ca="1">IFERROR(_xlfn.XLOOKUP(tblContractDependency[[#This Row],[Index]], Contract_Edits[Index], Contract_Edits[Date]), tblContractDependency[[#This Row],[Start]])</f>
        <v>46188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434</v>
      </c>
      <c r="C16" t="s">
        <v>460</v>
      </c>
      <c r="D16" t="s">
        <v>461</v>
      </c>
      <c r="E16">
        <v>1</v>
      </c>
      <c r="F16">
        <v>0</v>
      </c>
      <c r="G16" t="s">
        <v>437</v>
      </c>
      <c r="H16">
        <v>14</v>
      </c>
      <c r="I16" cm="1">
        <f t="array" ref="I16">_xlfn.XLOOKUP(tblContractDependency[[#This Row],[Index]],_xleta.INDEX,qryContractsToGnatt[Unit Price],0)</f>
        <v>0</v>
      </c>
      <c r="J16" s="51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1">
        <f ca="1">IFERROR(_xlfn.XLOOKUP(tblContractDependency[[#This Row],[Index]], Contract_Edits[Index], Contract_Edits[Date]), tblContractDependency[[#This Row],[Start]])</f>
        <v>46188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434</v>
      </c>
      <c r="C17" t="s">
        <v>462</v>
      </c>
      <c r="D17" t="s">
        <v>452</v>
      </c>
      <c r="E17">
        <v>1</v>
      </c>
      <c r="F17">
        <v>0</v>
      </c>
      <c r="G17" t="s">
        <v>437</v>
      </c>
      <c r="H17">
        <v>15</v>
      </c>
      <c r="I17" cm="1">
        <f t="array" ref="I17">_xlfn.XLOOKUP(tblContractDependency[[#This Row],[Index]],_xleta.INDEX,qryContractsToGnatt[Unit Price],0)</f>
        <v>0</v>
      </c>
      <c r="J17" s="51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1">
        <f ca="1">IFERROR(_xlfn.XLOOKUP(tblContractDependency[[#This Row],[Index]], Contract_Edits[Index], Contract_Edits[Date]), tblContractDependency[[#This Row],[Start]])</f>
        <v>46188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434</v>
      </c>
      <c r="C18" t="s">
        <v>462</v>
      </c>
      <c r="D18" t="s">
        <v>441</v>
      </c>
      <c r="E18">
        <v>1</v>
      </c>
      <c r="F18">
        <v>0</v>
      </c>
      <c r="G18" t="s">
        <v>437</v>
      </c>
      <c r="H18">
        <v>16</v>
      </c>
      <c r="I18" cm="1">
        <f t="array" ref="I18">_xlfn.XLOOKUP(tblContractDependency[[#This Row],[Index]],_xleta.INDEX,qryContractsToGnatt[Unit Price],0)</f>
        <v>0</v>
      </c>
      <c r="J18" s="51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1">
        <f ca="1">IFERROR(_xlfn.XLOOKUP(tblContractDependency[[#This Row],[Index]], Contract_Edits[Index], Contract_Edits[Date]), tblContractDependency[[#This Row],[Start]])</f>
        <v>46188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434</v>
      </c>
      <c r="C19" t="s">
        <v>462</v>
      </c>
      <c r="D19" t="s">
        <v>453</v>
      </c>
      <c r="E19">
        <v>1</v>
      </c>
      <c r="F19">
        <v>0</v>
      </c>
      <c r="G19" t="s">
        <v>437</v>
      </c>
      <c r="H19">
        <v>17</v>
      </c>
      <c r="I19" cm="1">
        <f t="array" ref="I19">_xlfn.XLOOKUP(tblContractDependency[[#This Row],[Index]],_xleta.INDEX,qryContractsToGnatt[Unit Price],0)</f>
        <v>0</v>
      </c>
      <c r="J19" s="51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1">
        <f ca="1">IFERROR(_xlfn.XLOOKUP(tblContractDependency[[#This Row],[Index]], Contract_Edits[Index], Contract_Edits[Date]), tblContractDependency[[#This Row],[Start]])</f>
        <v>46188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434</v>
      </c>
      <c r="C20" t="s">
        <v>453</v>
      </c>
      <c r="D20" t="s">
        <v>460</v>
      </c>
      <c r="E20">
        <v>1</v>
      </c>
      <c r="F20">
        <v>0</v>
      </c>
      <c r="G20" t="s">
        <v>437</v>
      </c>
      <c r="H20">
        <v>18</v>
      </c>
      <c r="I20" cm="1">
        <f t="array" ref="I20">_xlfn.XLOOKUP(tblContractDependency[[#This Row],[Index]],_xleta.INDEX,qryContractsToGnatt[Unit Price],0)</f>
        <v>0</v>
      </c>
      <c r="J20" s="51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1">
        <f ca="1">IFERROR(_xlfn.XLOOKUP(tblContractDependency[[#This Row],[Index]], Contract_Edits[Index], Contract_Edits[Date]), tblContractDependency[[#This Row],[Start]])</f>
        <v>46188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434</v>
      </c>
      <c r="C21" t="s">
        <v>449</v>
      </c>
      <c r="D21" t="s">
        <v>463</v>
      </c>
      <c r="E21">
        <v>1</v>
      </c>
      <c r="F21">
        <v>0</v>
      </c>
      <c r="G21" t="s">
        <v>437</v>
      </c>
      <c r="H21">
        <v>19</v>
      </c>
      <c r="I21" cm="1">
        <f t="array" ref="I21">_xlfn.XLOOKUP(tblContractDependency[[#This Row],[Index]],_xleta.INDEX,qryContractsToGnatt[Unit Price],0)</f>
        <v>0</v>
      </c>
      <c r="J21" s="51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1">
        <f ca="1">IFERROR(_xlfn.XLOOKUP(tblContractDependency[[#This Row],[Index]], Contract_Edits[Index], Contract_Edits[Date]), tblContractDependency[[#This Row],[Start]])</f>
        <v>46188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434</v>
      </c>
      <c r="C22" t="s">
        <v>464</v>
      </c>
      <c r="D22" t="s">
        <v>465</v>
      </c>
      <c r="E22">
        <v>1</v>
      </c>
      <c r="F22">
        <v>0</v>
      </c>
      <c r="G22" t="s">
        <v>437</v>
      </c>
      <c r="H22">
        <v>20</v>
      </c>
      <c r="I22" cm="1">
        <f t="array" ref="I22">_xlfn.XLOOKUP(tblContractDependency[[#This Row],[Index]],_xleta.INDEX,qryContractsToGnatt[Unit Price],0)</f>
        <v>0</v>
      </c>
      <c r="J22" s="51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1">
        <f ca="1">IFERROR(_xlfn.XLOOKUP(tblContractDependency[[#This Row],[Index]], Contract_Edits[Index], Contract_Edits[Date]), tblContractDependency[[#This Row],[Start]])</f>
        <v>46188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434</v>
      </c>
      <c r="C23" t="s">
        <v>466</v>
      </c>
      <c r="D23" t="s">
        <v>467</v>
      </c>
      <c r="E23">
        <v>1</v>
      </c>
      <c r="F23">
        <v>0</v>
      </c>
      <c r="G23" t="s">
        <v>437</v>
      </c>
      <c r="H23">
        <v>21</v>
      </c>
      <c r="I23" cm="1">
        <f t="array" ref="I23">_xlfn.XLOOKUP(tblContractDependency[[#This Row],[Index]],_xleta.INDEX,qryContractsToGnatt[Unit Price],0)</f>
        <v>0</v>
      </c>
      <c r="J23" s="51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1">
        <f ca="1">IFERROR(_xlfn.XLOOKUP(tblContractDependency[[#This Row],[Index]], Contract_Edits[Index], Contract_Edits[Date]), tblContractDependency[[#This Row],[Start]])</f>
        <v>46188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434</v>
      </c>
      <c r="C24" t="s">
        <v>468</v>
      </c>
      <c r="D24" t="s">
        <v>469</v>
      </c>
      <c r="E24">
        <v>1</v>
      </c>
      <c r="F24">
        <v>0</v>
      </c>
      <c r="G24" t="s">
        <v>437</v>
      </c>
      <c r="H24">
        <v>22</v>
      </c>
      <c r="I24" cm="1">
        <f t="array" ref="I24">_xlfn.XLOOKUP(tblContractDependency[[#This Row],[Index]],_xleta.INDEX,qryContractsToGnatt[Unit Price],0)</f>
        <v>0</v>
      </c>
      <c r="J24" s="51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1">
        <f ca="1">IFERROR(_xlfn.XLOOKUP(tblContractDependency[[#This Row],[Index]], Contract_Edits[Index], Contract_Edits[Date]), tblContractDependency[[#This Row],[Start]])</f>
        <v>46188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434</v>
      </c>
      <c r="C25" t="s">
        <v>458</v>
      </c>
      <c r="D25" t="s">
        <v>470</v>
      </c>
      <c r="E25">
        <v>1</v>
      </c>
      <c r="F25">
        <v>0</v>
      </c>
      <c r="G25" t="s">
        <v>437</v>
      </c>
      <c r="H25">
        <v>23</v>
      </c>
      <c r="I25" cm="1">
        <f t="array" ref="I25">_xlfn.XLOOKUP(tblContractDependency[[#This Row],[Index]],_xleta.INDEX,qryContractsToGnatt[Unit Price],0)</f>
        <v>0</v>
      </c>
      <c r="J25" s="51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1">
        <f ca="1">IFERROR(_xlfn.XLOOKUP(tblContractDependency[[#This Row],[Index]], Contract_Edits[Index], Contract_Edits[Date]), tblContractDependency[[#This Row],[Start]])</f>
        <v>46188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434</v>
      </c>
      <c r="C26" t="s">
        <v>471</v>
      </c>
      <c r="D26" t="s">
        <v>472</v>
      </c>
      <c r="E26">
        <v>1</v>
      </c>
      <c r="F26">
        <v>0</v>
      </c>
      <c r="G26" t="s">
        <v>437</v>
      </c>
      <c r="H26">
        <v>24</v>
      </c>
      <c r="I26" cm="1">
        <f t="array" ref="I26">_xlfn.XLOOKUP(tblContractDependency[[#This Row],[Index]],_xleta.INDEX,qryContractsToGnatt[Unit Price],0)</f>
        <v>0</v>
      </c>
      <c r="J26" s="51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1">
        <f ca="1">IFERROR(_xlfn.XLOOKUP(tblContractDependency[[#This Row],[Index]], Contract_Edits[Index], Contract_Edits[Date]), tblContractDependency[[#This Row],[Start]])</f>
        <v>46188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434</v>
      </c>
      <c r="C27" t="s">
        <v>473</v>
      </c>
      <c r="D27" t="s">
        <v>471</v>
      </c>
      <c r="E27">
        <v>1</v>
      </c>
      <c r="F27">
        <v>0</v>
      </c>
      <c r="G27" t="s">
        <v>437</v>
      </c>
      <c r="H27">
        <v>25</v>
      </c>
      <c r="I27" cm="1">
        <f t="array" ref="I27">_xlfn.XLOOKUP(tblContractDependency[[#This Row],[Index]],_xleta.INDEX,qryContractsToGnatt[Unit Price],0)</f>
        <v>0</v>
      </c>
      <c r="J27" s="51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1">
        <f ca="1">IFERROR(_xlfn.XLOOKUP(tblContractDependency[[#This Row],[Index]], Contract_Edits[Index], Contract_Edits[Date]), tblContractDependency[[#This Row],[Start]])</f>
        <v>46188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434</v>
      </c>
      <c r="C28" t="s">
        <v>474</v>
      </c>
      <c r="D28" t="s">
        <v>475</v>
      </c>
      <c r="E28">
        <v>1</v>
      </c>
      <c r="F28">
        <v>0</v>
      </c>
      <c r="G28" t="s">
        <v>437</v>
      </c>
      <c r="H28">
        <v>26</v>
      </c>
      <c r="I28" cm="1">
        <f t="array" ref="I28">_xlfn.XLOOKUP(tblContractDependency[[#This Row],[Index]],_xleta.INDEX,qryContractsToGnatt[Unit Price],0)</f>
        <v>0</v>
      </c>
      <c r="J28" s="51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1">
        <f ca="1">IFERROR(_xlfn.XLOOKUP(tblContractDependency[[#This Row],[Index]], Contract_Edits[Index], Contract_Edits[Date]), tblContractDependency[[#This Row],[Start]])</f>
        <v>46188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434</v>
      </c>
      <c r="C29" t="s">
        <v>476</v>
      </c>
      <c r="D29" t="s">
        <v>477</v>
      </c>
      <c r="E29">
        <v>1</v>
      </c>
      <c r="F29">
        <v>0</v>
      </c>
      <c r="G29" t="s">
        <v>437</v>
      </c>
      <c r="H29">
        <v>27</v>
      </c>
      <c r="I29" cm="1">
        <f t="array" ref="I29">_xlfn.XLOOKUP(tblContractDependency[[#This Row],[Index]],_xleta.INDEX,qryContractsToGnatt[Unit Price],0)</f>
        <v>0</v>
      </c>
      <c r="J29" s="51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1">
        <f ca="1">IFERROR(_xlfn.XLOOKUP(tblContractDependency[[#This Row],[Index]], Contract_Edits[Index], Contract_Edits[Date]), tblContractDependency[[#This Row],[Start]])</f>
        <v>46188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534</v>
      </c>
      <c r="T1" s="15">
        <v>1</v>
      </c>
      <c r="U1" s="48" t="s">
        <v>165</v>
      </c>
      <c r="V1" s="15">
        <v>4</v>
      </c>
      <c r="AJ1" s="752" t="str">
        <f>+"These Cells are for the " &amp; 'Gnatt Chart'!D3 &amp; " Contract tab and are protected here. They are modified from the Contract tab"</f>
        <v>These Cells are for the Glasgow DB Contract tab and are protected here. They are modified from the Contract tab</v>
      </c>
      <c r="AK1" s="753"/>
      <c r="AL1" s="753"/>
      <c r="AM1" s="753"/>
      <c r="AN1" s="753"/>
      <c r="AO1" s="753"/>
      <c r="AP1" s="753"/>
      <c r="AQ1" s="665"/>
      <c r="AR1" s="754" t="s">
        <v>535</v>
      </c>
      <c r="AS1" s="753"/>
      <c r="AT1" s="753"/>
      <c r="AU1" s="753"/>
      <c r="AV1" s="753"/>
      <c r="AW1" s="753"/>
      <c r="AX1" s="753"/>
      <c r="AY1" s="665"/>
    </row>
    <row r="2" spans="1:51" ht="15" customHeight="1">
      <c r="S2" s="30" t="s">
        <v>536</v>
      </c>
      <c r="T2" s="15">
        <v>2</v>
      </c>
      <c r="U2" s="30" t="s">
        <v>537</v>
      </c>
      <c r="V2" s="15">
        <v>5</v>
      </c>
      <c r="AJ2" s="666"/>
      <c r="AK2" s="710"/>
      <c r="AL2" s="710"/>
      <c r="AM2" s="710"/>
      <c r="AN2" s="710"/>
      <c r="AO2" s="710"/>
      <c r="AP2" s="710"/>
      <c r="AQ2" s="667"/>
      <c r="AR2" s="666"/>
      <c r="AS2" s="710"/>
      <c r="AT2" s="710"/>
      <c r="AU2" s="710"/>
      <c r="AV2" s="710"/>
      <c r="AW2" s="710"/>
      <c r="AX2" s="710"/>
      <c r="AY2" s="667"/>
    </row>
    <row r="3" spans="1:51" ht="15.75" customHeight="1" thickBot="1">
      <c r="S3" s="30" t="s">
        <v>538</v>
      </c>
      <c r="T3" s="30">
        <v>3</v>
      </c>
      <c r="U3" s="30" t="s">
        <v>539</v>
      </c>
      <c r="V3" s="15">
        <v>0</v>
      </c>
      <c r="AJ3" s="668"/>
      <c r="AK3" s="714"/>
      <c r="AL3" s="714"/>
      <c r="AM3" s="714"/>
      <c r="AN3" s="714"/>
      <c r="AO3" s="714"/>
      <c r="AP3" s="714"/>
      <c r="AQ3" s="669"/>
      <c r="AR3" s="668"/>
      <c r="AS3" s="714"/>
      <c r="AT3" s="714"/>
      <c r="AU3" s="714"/>
      <c r="AV3" s="714"/>
      <c r="AW3" s="714"/>
      <c r="AX3" s="714"/>
      <c r="AY3" s="669"/>
    </row>
    <row r="4" spans="1:51">
      <c r="A4" t="s">
        <v>426</v>
      </c>
      <c r="B4" t="s">
        <v>427</v>
      </c>
      <c r="C4" t="s">
        <v>428</v>
      </c>
      <c r="D4" t="s">
        <v>429</v>
      </c>
      <c r="E4" t="s">
        <v>430</v>
      </c>
      <c r="F4" t="s">
        <v>431</v>
      </c>
      <c r="G4" t="s">
        <v>432</v>
      </c>
      <c r="H4" t="s">
        <v>525</v>
      </c>
      <c r="I4" t="s">
        <v>526</v>
      </c>
      <c r="J4" t="s">
        <v>527</v>
      </c>
      <c r="K4" t="s">
        <v>528</v>
      </c>
      <c r="L4" s="441" t="s">
        <v>529</v>
      </c>
      <c r="M4" t="s">
        <v>530</v>
      </c>
      <c r="N4" t="s">
        <v>531</v>
      </c>
      <c r="O4" t="s">
        <v>532</v>
      </c>
      <c r="P4" t="s">
        <v>356</v>
      </c>
      <c r="Q4" t="s">
        <v>533</v>
      </c>
    </row>
    <row r="5" spans="1:51">
      <c r="D5" s="435"/>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534</v>
      </c>
      <c r="T1" s="15">
        <v>1</v>
      </c>
      <c r="U1" s="48" t="s">
        <v>165</v>
      </c>
      <c r="V1" s="15">
        <v>4</v>
      </c>
      <c r="X1" s="752" t="str">
        <f>+"These Cells are for the " &amp; 'Gnatt Chart'!D3 &amp; " Contract tab and are protected here. They are modified from the Contract tab"</f>
        <v>These Cells are for the Glasgow DB Contract tab and are protected here. They are modified from the Contract tab</v>
      </c>
      <c r="Y1" s="753"/>
      <c r="Z1" s="753"/>
      <c r="AA1" s="753"/>
      <c r="AB1" s="753"/>
      <c r="AC1" s="753"/>
      <c r="AD1" s="753"/>
      <c r="AE1" s="665"/>
      <c r="AF1" s="754" t="s">
        <v>535</v>
      </c>
      <c r="AG1" s="753"/>
      <c r="AH1" s="753"/>
      <c r="AI1" s="753"/>
      <c r="AJ1" s="753"/>
      <c r="AK1" s="753"/>
      <c r="AL1" s="753"/>
      <c r="AM1" s="665"/>
    </row>
    <row r="2" spans="1:39" ht="15" customHeight="1">
      <c r="C2" t="s">
        <v>1174</v>
      </c>
      <c r="F2" t="s">
        <v>1176</v>
      </c>
      <c r="G2">
        <v>9563</v>
      </c>
      <c r="I2" t="s">
        <v>109</v>
      </c>
      <c r="J2" s="12">
        <v>46136</v>
      </c>
      <c r="K2" s="83" t="s">
        <v>1178</v>
      </c>
      <c r="L2" s="83" t="s">
        <v>1177</v>
      </c>
      <c r="S2" s="30" t="s">
        <v>536</v>
      </c>
      <c r="T2" s="15">
        <v>2</v>
      </c>
      <c r="U2" s="30" t="s">
        <v>537</v>
      </c>
      <c r="V2" s="15">
        <v>5</v>
      </c>
      <c r="X2" s="666"/>
      <c r="Y2" s="710"/>
      <c r="Z2" s="710"/>
      <c r="AA2" s="710"/>
      <c r="AB2" s="710"/>
      <c r="AC2" s="710"/>
      <c r="AD2" s="710"/>
      <c r="AE2" s="667"/>
      <c r="AF2" s="666"/>
      <c r="AG2" s="710"/>
      <c r="AH2" s="710"/>
      <c r="AI2" s="710"/>
      <c r="AJ2" s="710"/>
      <c r="AK2" s="710"/>
      <c r="AL2" s="710"/>
      <c r="AM2" s="667"/>
    </row>
    <row r="3" spans="1:39" ht="15.75" customHeight="1" thickBot="1">
      <c r="S3" s="30" t="s">
        <v>538</v>
      </c>
      <c r="T3" s="30">
        <v>3</v>
      </c>
      <c r="U3" s="30" t="s">
        <v>539</v>
      </c>
      <c r="V3" s="15">
        <v>0</v>
      </c>
      <c r="X3" s="668"/>
      <c r="Y3" s="714"/>
      <c r="Z3" s="714"/>
      <c r="AA3" s="714"/>
      <c r="AB3" s="714"/>
      <c r="AC3" s="714"/>
      <c r="AD3" s="714"/>
      <c r="AE3" s="669"/>
      <c r="AF3" s="668"/>
      <c r="AG3" s="714"/>
      <c r="AH3" s="714"/>
      <c r="AI3" s="714"/>
      <c r="AJ3" s="714"/>
      <c r="AK3" s="714"/>
      <c r="AL3" s="714"/>
      <c r="AM3" s="669"/>
    </row>
    <row r="4" spans="1:39" s="22" customFormat="1">
      <c r="A4" s="22" t="s">
        <v>426</v>
      </c>
      <c r="B4" s="22" t="s">
        <v>427</v>
      </c>
      <c r="C4" s="22" t="s">
        <v>428</v>
      </c>
      <c r="D4" s="22" t="s">
        <v>429</v>
      </c>
      <c r="E4" s="22" t="s">
        <v>430</v>
      </c>
      <c r="F4" s="22" t="s">
        <v>431</v>
      </c>
      <c r="G4" s="22" t="s">
        <v>432</v>
      </c>
      <c r="H4" s="22" t="s">
        <v>525</v>
      </c>
      <c r="I4" s="22" t="s">
        <v>526</v>
      </c>
      <c r="J4" s="488" t="s">
        <v>527</v>
      </c>
      <c r="K4" s="22" t="s">
        <v>528</v>
      </c>
      <c r="L4" s="520" t="s">
        <v>529</v>
      </c>
      <c r="M4" s="22" t="s">
        <v>530</v>
      </c>
      <c r="N4" s="22" t="s">
        <v>531</v>
      </c>
      <c r="O4" s="22" t="s">
        <v>532</v>
      </c>
      <c r="P4" s="22" t="s">
        <v>356</v>
      </c>
      <c r="Q4" s="22" t="s">
        <v>533</v>
      </c>
    </row>
    <row r="5" spans="1:39">
      <c r="A5">
        <v>31</v>
      </c>
      <c r="B5" t="s">
        <v>478</v>
      </c>
      <c r="C5" t="s">
        <v>478</v>
      </c>
      <c r="D5" s="435" t="s">
        <v>479</v>
      </c>
      <c r="E5">
        <v>1</v>
      </c>
      <c r="F5" s="179"/>
      <c r="G5" t="s">
        <v>480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1">
        <f ca="1">IFERROR(_xlfn.XLOOKUP(tblContractTim[[#This Row],[Index]], Contract_Edits[Index], Contract_Edits[Date]), tblContractTim[[#This Row],[Start]])</f>
        <v>46188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458</v>
      </c>
      <c r="C6" t="s">
        <v>458</v>
      </c>
      <c r="D6" s="435" t="s">
        <v>481</v>
      </c>
      <c r="E6">
        <v>1</v>
      </c>
      <c r="F6" s="179"/>
      <c r="G6" t="s">
        <v>480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1">
        <f ca="1">IFERROR(_xlfn.XLOOKUP(tblContractTim[[#This Row],[Index]], Contract_Edits[Index], Contract_Edits[Date]), tblContractTim[[#This Row],[Start]])</f>
        <v>46188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458</v>
      </c>
      <c r="C7" t="s">
        <v>458</v>
      </c>
      <c r="D7" s="435" t="s">
        <v>482</v>
      </c>
      <c r="E7">
        <v>1</v>
      </c>
      <c r="F7" s="179"/>
      <c r="G7" t="s">
        <v>480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1">
        <f ca="1">IFERROR(_xlfn.XLOOKUP(tblContractTim[[#This Row],[Index]], Contract_Edits[Index], Contract_Edits[Date]), tblContractTim[[#This Row],[Start]])</f>
        <v>46188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458</v>
      </c>
      <c r="C8" t="s">
        <v>458</v>
      </c>
      <c r="D8" s="435" t="s">
        <v>483</v>
      </c>
      <c r="E8">
        <v>1</v>
      </c>
      <c r="F8" s="179"/>
      <c r="G8" t="s">
        <v>480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1">
        <f ca="1">IFERROR(_xlfn.XLOOKUP(tblContractTim[[#This Row],[Index]], Contract_Edits[Index], Contract_Edits[Date]), tblContractTim[[#This Row],[Start]])</f>
        <v>46188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484</v>
      </c>
      <c r="C9" t="s">
        <v>438</v>
      </c>
      <c r="D9" s="435" t="s">
        <v>485</v>
      </c>
      <c r="E9">
        <v>1</v>
      </c>
      <c r="F9" s="179"/>
      <c r="G9" t="s">
        <v>480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1">
        <f ca="1">IFERROR(_xlfn.XLOOKUP(tblContractTim[[#This Row],[Index]], Contract_Edits[Index], Contract_Edits[Date]), tblContractTim[[#This Row],[Start]])</f>
        <v>46188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484</v>
      </c>
      <c r="D10" s="435" t="s">
        <v>486</v>
      </c>
      <c r="E10">
        <v>1</v>
      </c>
      <c r="F10" s="179"/>
      <c r="G10" t="s">
        <v>480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1">
        <f ca="1">IFERROR(_xlfn.XLOOKUP(tblContractTim[[#This Row],[Index]], Contract_Edits[Index], Contract_Edits[Date]), tblContractTim[[#This Row],[Start]])</f>
        <v>46188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487</v>
      </c>
      <c r="C11" t="s">
        <v>488</v>
      </c>
      <c r="D11" s="435" t="s">
        <v>489</v>
      </c>
      <c r="E11">
        <v>1</v>
      </c>
      <c r="F11" s="179"/>
      <c r="G11" t="s">
        <v>480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1">
        <f ca="1">IFERROR(_xlfn.XLOOKUP(tblContractTim[[#This Row],[Index]], Contract_Edits[Index], Contract_Edits[Date]), tblContractTim[[#This Row],[Start]])</f>
        <v>46188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484</v>
      </c>
      <c r="C12" t="s">
        <v>488</v>
      </c>
      <c r="D12" s="435" t="s">
        <v>490</v>
      </c>
      <c r="E12">
        <v>1</v>
      </c>
      <c r="F12" s="179"/>
      <c r="G12" t="s">
        <v>480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1">
        <f ca="1">IFERROR(_xlfn.XLOOKUP(tblContractTim[[#This Row],[Index]], Contract_Edits[Index], Contract_Edits[Date]), tblContractTim[[#This Row],[Start]])</f>
        <v>46188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491</v>
      </c>
      <c r="C13" t="s">
        <v>492</v>
      </c>
      <c r="D13" s="435" t="s">
        <v>493</v>
      </c>
      <c r="E13">
        <v>1</v>
      </c>
      <c r="F13" s="179"/>
      <c r="G13" t="s">
        <v>480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1">
        <f ca="1">IFERROR(_xlfn.XLOOKUP(tblContractTim[[#This Row],[Index]], Contract_Edits[Index], Contract_Edits[Date]), tblContractTim[[#This Row],[Start]])</f>
        <v>46188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484</v>
      </c>
      <c r="C14" t="s">
        <v>438</v>
      </c>
      <c r="D14" s="435" t="s">
        <v>494</v>
      </c>
      <c r="E14">
        <v>1</v>
      </c>
      <c r="F14" s="179"/>
      <c r="G14" t="s">
        <v>480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1">
        <f ca="1">IFERROR(_xlfn.XLOOKUP(tblContractTim[[#This Row],[Index]], Contract_Edits[Index], Contract_Edits[Date]), tblContractTim[[#This Row],[Start]])</f>
        <v>46188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487</v>
      </c>
      <c r="C15" t="s">
        <v>495</v>
      </c>
      <c r="D15" s="435" t="s">
        <v>496</v>
      </c>
      <c r="E15">
        <v>1</v>
      </c>
      <c r="F15" s="179"/>
      <c r="G15" t="s">
        <v>480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1">
        <f ca="1">IFERROR(_xlfn.XLOOKUP(tblContractTim[[#This Row],[Index]], Contract_Edits[Index], Contract_Edits[Date]), tblContractTim[[#This Row],[Start]])</f>
        <v>46188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487</v>
      </c>
      <c r="C16" t="s">
        <v>495</v>
      </c>
      <c r="D16" s="435" t="s">
        <v>497</v>
      </c>
      <c r="E16">
        <v>1</v>
      </c>
      <c r="F16" s="179"/>
      <c r="G16" t="s">
        <v>480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1">
        <f ca="1">IFERROR(_xlfn.XLOOKUP(tblContractTim[[#This Row],[Index]], Contract_Edits[Index], Contract_Edits[Date]), tblContractTim[[#This Row],[Start]])</f>
        <v>46188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487</v>
      </c>
      <c r="C17" t="s">
        <v>495</v>
      </c>
      <c r="D17" s="435" t="s">
        <v>498</v>
      </c>
      <c r="E17">
        <v>1</v>
      </c>
      <c r="F17" s="179"/>
      <c r="G17" t="s">
        <v>480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1">
        <f ca="1">IFERROR(_xlfn.XLOOKUP(tblContractTim[[#This Row],[Index]], Contract_Edits[Index], Contract_Edits[Date]), tblContractTim[[#This Row],[Start]])</f>
        <v>46188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452</v>
      </c>
      <c r="C18" t="s">
        <v>499</v>
      </c>
      <c r="D18" s="435" t="s">
        <v>500</v>
      </c>
      <c r="E18">
        <v>1</v>
      </c>
      <c r="F18" s="179"/>
      <c r="G18" t="s">
        <v>480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1">
        <f ca="1">IFERROR(_xlfn.XLOOKUP(tblContractTim[[#This Row],[Index]], Contract_Edits[Index], Contract_Edits[Date]), tblContractTim[[#This Row],[Start]])</f>
        <v>46188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501</v>
      </c>
      <c r="D19" s="435" t="s">
        <v>502</v>
      </c>
      <c r="E19">
        <v>1</v>
      </c>
      <c r="F19" s="179"/>
      <c r="G19" t="s">
        <v>480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1">
        <f ca="1">IFERROR(_xlfn.XLOOKUP(tblContractTim[[#This Row],[Index]], Contract_Edits[Index], Contract_Edits[Date]), tblContractTim[[#This Row],[Start]])</f>
        <v>46188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484</v>
      </c>
      <c r="C20" t="s">
        <v>438</v>
      </c>
      <c r="D20" s="435" t="s">
        <v>503</v>
      </c>
      <c r="E20">
        <v>1</v>
      </c>
      <c r="F20" s="179"/>
      <c r="G20" t="s">
        <v>480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1">
        <f ca="1">IFERROR(_xlfn.XLOOKUP(tblContractTim[[#This Row],[Index]], Contract_Edits[Index], Contract_Edits[Date]), tblContractTim[[#This Row],[Start]])</f>
        <v>46188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501</v>
      </c>
      <c r="C21" t="s">
        <v>504</v>
      </c>
      <c r="D21" s="435" t="s">
        <v>505</v>
      </c>
      <c r="E21">
        <v>1</v>
      </c>
      <c r="F21" s="179"/>
      <c r="G21" t="s">
        <v>480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1">
        <f ca="1">IFERROR(_xlfn.XLOOKUP(tblContractTim[[#This Row],[Index]], Contract_Edits[Index], Contract_Edits[Date]), tblContractTim[[#This Row],[Start]])</f>
        <v>46188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484</v>
      </c>
      <c r="C22" t="s">
        <v>438</v>
      </c>
      <c r="D22" s="435" t="s">
        <v>506</v>
      </c>
      <c r="E22">
        <v>1</v>
      </c>
      <c r="F22" s="179"/>
      <c r="G22" t="s">
        <v>480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1">
        <f ca="1">IFERROR(_xlfn.XLOOKUP(tblContractTim[[#This Row],[Index]], Contract_Edits[Index], Contract_Edits[Date]), tblContractTim[[#This Row],[Start]])</f>
        <v>46188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487</v>
      </c>
      <c r="C23" t="s">
        <v>495</v>
      </c>
      <c r="D23" s="435" t="s">
        <v>507</v>
      </c>
      <c r="E23">
        <v>1</v>
      </c>
      <c r="F23" s="179"/>
      <c r="G23" t="s">
        <v>480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1">
        <f ca="1">IFERROR(_xlfn.XLOOKUP(tblContractTim[[#This Row],[Index]], Contract_Edits[Index], Contract_Edits[Date]), tblContractTim[[#This Row],[Start]])</f>
        <v>46188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458</v>
      </c>
      <c r="C24" t="s">
        <v>458</v>
      </c>
      <c r="D24" s="435" t="s">
        <v>508</v>
      </c>
      <c r="E24">
        <v>2</v>
      </c>
      <c r="F24" s="179"/>
      <c r="G24" t="s">
        <v>480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1">
        <f ca="1">IFERROR(_xlfn.XLOOKUP(tblContractTim[[#This Row],[Index]], Contract_Edits[Index], Contract_Edits[Date]), tblContractTim[[#This Row],[Start]])</f>
        <v>46188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487</v>
      </c>
      <c r="C25" t="s">
        <v>495</v>
      </c>
      <c r="D25" s="435" t="s">
        <v>509</v>
      </c>
      <c r="E25">
        <v>1</v>
      </c>
      <c r="F25" s="179"/>
      <c r="G25" t="s">
        <v>480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1">
        <f ca="1">IFERROR(_xlfn.XLOOKUP(tblContractTim[[#This Row],[Index]], Contract_Edits[Index], Contract_Edits[Date]), tblContractTim[[#This Row],[Start]])</f>
        <v>46188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453</v>
      </c>
      <c r="C26" t="s">
        <v>453</v>
      </c>
      <c r="D26" s="435" t="s">
        <v>510</v>
      </c>
      <c r="E26">
        <v>1</v>
      </c>
      <c r="F26" s="179"/>
      <c r="G26" t="s">
        <v>480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1">
        <f ca="1">IFERROR(_xlfn.XLOOKUP(tblContractTim[[#This Row],[Index]], Contract_Edits[Index], Contract_Edits[Date]), tblContractTim[[#This Row],[Start]])</f>
        <v>46188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487</v>
      </c>
      <c r="C27" t="s">
        <v>495</v>
      </c>
      <c r="D27" s="435" t="s">
        <v>511</v>
      </c>
      <c r="E27">
        <v>1</v>
      </c>
      <c r="F27" s="179"/>
      <c r="G27" t="s">
        <v>480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1">
        <f ca="1">IFERROR(_xlfn.XLOOKUP(tblContractTim[[#This Row],[Index]], Contract_Edits[Index], Contract_Edits[Date]), tblContractTim[[#This Row],[Start]])</f>
        <v>46188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512</v>
      </c>
      <c r="C28" t="s">
        <v>513</v>
      </c>
      <c r="D28" s="435" t="s">
        <v>514</v>
      </c>
      <c r="E28">
        <v>1</v>
      </c>
      <c r="F28" s="179"/>
      <c r="G28" t="s">
        <v>480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1">
        <f ca="1">IFERROR(_xlfn.XLOOKUP(tblContractTim[[#This Row],[Index]], Contract_Edits[Index], Contract_Edits[Date]), tblContractTim[[#This Row],[Start]])</f>
        <v>46188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512</v>
      </c>
      <c r="C29" t="s">
        <v>515</v>
      </c>
      <c r="D29" s="435" t="s">
        <v>516</v>
      </c>
      <c r="E29">
        <v>1</v>
      </c>
      <c r="F29" s="179"/>
      <c r="G29" t="s">
        <v>480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1">
        <f ca="1">IFERROR(_xlfn.XLOOKUP(tblContractTim[[#This Row],[Index]], Contract_Edits[Index], Contract_Edits[Date]), tblContractTim[[#This Row],[Start]])</f>
        <v>46188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452</v>
      </c>
      <c r="C30" t="s">
        <v>515</v>
      </c>
      <c r="D30" s="435" t="s">
        <v>517</v>
      </c>
      <c r="E30">
        <v>1</v>
      </c>
      <c r="F30" s="179"/>
      <c r="G30" t="s">
        <v>480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1">
        <f ca="1">IFERROR(_xlfn.XLOOKUP(tblContractTim[[#This Row],[Index]], Contract_Edits[Index], Contract_Edits[Date]), tblContractTim[[#This Row],[Start]])</f>
        <v>46188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487</v>
      </c>
      <c r="C31" t="s">
        <v>495</v>
      </c>
      <c r="D31" s="435" t="s">
        <v>518</v>
      </c>
      <c r="E31">
        <v>3</v>
      </c>
      <c r="F31" s="179"/>
      <c r="G31" t="s">
        <v>480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1">
        <f ca="1">IFERROR(_xlfn.XLOOKUP(tblContractTim[[#This Row],[Index]], Contract_Edits[Index], Contract_Edits[Date]), tblContractTim[[#This Row],[Start]])</f>
        <v>46188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484</v>
      </c>
      <c r="C32" t="s">
        <v>458</v>
      </c>
      <c r="D32" s="435" t="s">
        <v>519</v>
      </c>
      <c r="E32">
        <v>2</v>
      </c>
      <c r="F32" s="179"/>
      <c r="G32" t="s">
        <v>480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1">
        <f ca="1">IFERROR(_xlfn.XLOOKUP(tblContractTim[[#This Row],[Index]], Contract_Edits[Index], Contract_Edits[Date]), tblContractTim[[#This Row],[Start]])</f>
        <v>46188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484</v>
      </c>
      <c r="C33" t="s">
        <v>520</v>
      </c>
      <c r="D33" s="435" t="s">
        <v>521</v>
      </c>
      <c r="E33">
        <v>1</v>
      </c>
      <c r="F33" s="179"/>
      <c r="G33" t="s">
        <v>480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1">
        <f ca="1">IFERROR(_xlfn.XLOOKUP(tblContractTim[[#This Row],[Index]], Contract_Edits[Index], Contract_Edits[Date]), tblContractTim[[#This Row],[Start]])</f>
        <v>46188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512</v>
      </c>
      <c r="C34" t="s">
        <v>522</v>
      </c>
      <c r="D34" s="435" t="s">
        <v>523</v>
      </c>
      <c r="E34">
        <v>1</v>
      </c>
      <c r="F34" s="179"/>
      <c r="G34" t="s">
        <v>480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1">
        <f ca="1">IFERROR(_xlfn.XLOOKUP(tblContractTim[[#This Row],[Index]], Contract_Edits[Index], Contract_Edits[Date]), tblContractTim[[#This Row],[Start]])</f>
        <v>46188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458</v>
      </c>
      <c r="C35" t="s">
        <v>515</v>
      </c>
      <c r="D35" s="435" t="s">
        <v>524</v>
      </c>
      <c r="E35">
        <v>1</v>
      </c>
      <c r="F35" s="179"/>
      <c r="G35" t="s">
        <v>480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1">
        <f ca="1">IFERROR(_xlfn.XLOOKUP(tblContractTim[[#This Row],[Index]], Contract_Edits[Index], Contract_Edits[Date]), tblContractTim[[#This Row],[Start]])</f>
        <v>46188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458</v>
      </c>
      <c r="C36" t="s">
        <v>522</v>
      </c>
      <c r="D36" s="435" t="s">
        <v>1168</v>
      </c>
      <c r="E36">
        <v>2</v>
      </c>
      <c r="F36" s="179">
        <v>62.5</v>
      </c>
      <c r="G36" t="s">
        <v>480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1">
        <f ca="1">IFERROR(_xlfn.XLOOKUP(tblContractTim[[#This Row],[Index]], Contract_Edits[Index], Contract_Edits[Date]), tblContractTim[[#This Row],[Start]])</f>
        <v>46188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501</v>
      </c>
      <c r="C37" t="s">
        <v>504</v>
      </c>
      <c r="D37" s="435" t="s">
        <v>1173</v>
      </c>
      <c r="E37">
        <v>16</v>
      </c>
      <c r="F37" s="179">
        <v>62.5</v>
      </c>
      <c r="G37" t="s">
        <v>480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1">
        <f ca="1">IFERROR(_xlfn.XLOOKUP(tblContractTim[[#This Row],[Index]], Contract_Edits[Index], Contract_Edits[Date]), tblContractTim[[#This Row],[Start]])</f>
        <v>46188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458</v>
      </c>
      <c r="C38" t="s">
        <v>520</v>
      </c>
      <c r="D38" s="435" t="s">
        <v>1172</v>
      </c>
      <c r="E38">
        <v>15</v>
      </c>
      <c r="F38" s="179">
        <v>62.5</v>
      </c>
      <c r="G38" t="s">
        <v>480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1">
        <f ca="1">IFERROR(_xlfn.XLOOKUP(tblContractTim[[#This Row],[Index]], Contract_Edits[Index], Contract_Edits[Date]), tblContractTim[[#This Row],[Start]])</f>
        <v>46188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1196</v>
      </c>
      <c r="C39" t="s">
        <v>520</v>
      </c>
      <c r="D39" s="435" t="s">
        <v>1197</v>
      </c>
      <c r="E39">
        <v>11</v>
      </c>
      <c r="F39" s="179">
        <v>62.5</v>
      </c>
      <c r="G39" t="s">
        <v>480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1">
        <f ca="1">IFERROR(_xlfn.XLOOKUP(tblContractTim[[#This Row],[Index]], Contract_Edits[Index], Contract_Edits[Date]), tblContractTim[[#This Row],[Start]])</f>
        <v>46188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1" t="s">
        <v>1175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2" t="str">
        <f>+"These Cells are for the " &amp; 'Gnatt Chart'!D3 &amp; " Contract tab and are protected here. They are modified from the Contract tab"</f>
        <v>These Cells are for the Glasgow DB Contract tab and are protected here. They are modified from the Contract tab</v>
      </c>
      <c r="B1" s="755"/>
      <c r="C1" s="755"/>
      <c r="D1" s="755"/>
      <c r="E1" s="755"/>
      <c r="F1" s="755"/>
      <c r="G1" s="755"/>
      <c r="H1" s="756"/>
      <c r="I1" s="754" t="s">
        <v>535</v>
      </c>
      <c r="J1" s="763"/>
      <c r="K1" s="763"/>
      <c r="L1" s="763"/>
      <c r="M1" s="763"/>
      <c r="N1" s="763"/>
      <c r="O1" s="763"/>
      <c r="P1" s="764"/>
      <c r="S1" s="30" t="s">
        <v>534</v>
      </c>
      <c r="T1" s="15">
        <v>1</v>
      </c>
      <c r="U1" s="48" t="s">
        <v>165</v>
      </c>
      <c r="V1" s="15">
        <v>4</v>
      </c>
      <c r="W1" s="30"/>
      <c r="X1" s="30"/>
      <c r="Y1" s="30"/>
      <c r="Z1" s="30"/>
    </row>
    <row r="2" spans="1:26" ht="15" customHeight="1">
      <c r="A2" s="757"/>
      <c r="B2" s="758"/>
      <c r="C2" s="758"/>
      <c r="D2" s="758"/>
      <c r="E2" s="758"/>
      <c r="F2" s="758"/>
      <c r="G2" s="758"/>
      <c r="H2" s="759"/>
      <c r="I2" s="765"/>
      <c r="J2" s="766"/>
      <c r="K2" s="766"/>
      <c r="L2" s="766"/>
      <c r="M2" s="766"/>
      <c r="N2" s="766"/>
      <c r="O2" s="766"/>
      <c r="P2" s="767"/>
      <c r="S2" s="30" t="s">
        <v>536</v>
      </c>
      <c r="T2" s="15">
        <v>2</v>
      </c>
      <c r="U2" s="30" t="s">
        <v>537</v>
      </c>
      <c r="V2" s="15">
        <v>5</v>
      </c>
      <c r="W2" s="30"/>
      <c r="X2" s="30"/>
      <c r="Y2" s="30"/>
      <c r="Z2" s="30"/>
    </row>
    <row r="3" spans="1:26" ht="15.75" customHeight="1" thickBot="1">
      <c r="A3" s="760"/>
      <c r="B3" s="761"/>
      <c r="C3" s="761"/>
      <c r="D3" s="761"/>
      <c r="E3" s="761"/>
      <c r="F3" s="761"/>
      <c r="G3" s="761"/>
      <c r="H3" s="762"/>
      <c r="I3" s="768"/>
      <c r="J3" s="769"/>
      <c r="K3" s="769"/>
      <c r="L3" s="769"/>
      <c r="M3" s="769"/>
      <c r="N3" s="769"/>
      <c r="O3" s="769"/>
      <c r="P3" s="770"/>
      <c r="S3" s="30" t="s">
        <v>538</v>
      </c>
      <c r="T3" s="30">
        <v>3</v>
      </c>
      <c r="U3" s="30" t="s">
        <v>539</v>
      </c>
      <c r="V3" s="15">
        <v>6</v>
      </c>
      <c r="W3" s="30"/>
      <c r="X3" s="30"/>
      <c r="Y3" s="30"/>
      <c r="Z3" s="30"/>
    </row>
    <row r="4" spans="1:26">
      <c r="A4" t="s">
        <v>426</v>
      </c>
      <c r="B4" t="s">
        <v>427</v>
      </c>
      <c r="C4" t="s">
        <v>428</v>
      </c>
      <c r="D4" t="s">
        <v>429</v>
      </c>
      <c r="E4" t="s">
        <v>430</v>
      </c>
      <c r="F4" t="s">
        <v>431</v>
      </c>
      <c r="G4" t="s">
        <v>432</v>
      </c>
      <c r="H4" t="s">
        <v>525</v>
      </c>
      <c r="I4" s="488" t="s">
        <v>526</v>
      </c>
      <c r="J4" t="s">
        <v>527</v>
      </c>
      <c r="K4" t="s">
        <v>528</v>
      </c>
      <c r="L4" s="441" t="s">
        <v>529</v>
      </c>
      <c r="M4" t="s">
        <v>530</v>
      </c>
      <c r="N4" t="s">
        <v>531</v>
      </c>
      <c r="O4" t="s">
        <v>532</v>
      </c>
      <c r="P4" t="s">
        <v>356</v>
      </c>
      <c r="Q4" t="s">
        <v>533</v>
      </c>
    </row>
    <row r="5" spans="1:26">
      <c r="D5" s="435"/>
      <c r="H5" s="179"/>
      <c r="M5" s="11"/>
    </row>
    <row r="6" spans="1:26">
      <c r="D6" s="435"/>
      <c r="H6" s="179"/>
      <c r="M6" s="11"/>
      <c r="S6" t="s">
        <v>427</v>
      </c>
      <c r="T6" t="s">
        <v>540</v>
      </c>
      <c r="U6" t="s">
        <v>533</v>
      </c>
      <c r="V6" t="s">
        <v>541</v>
      </c>
      <c r="W6" t="s">
        <v>542</v>
      </c>
      <c r="X6" t="s">
        <v>543</v>
      </c>
      <c r="Y6" t="s">
        <v>544</v>
      </c>
    </row>
    <row r="7" spans="1:26">
      <c r="D7" s="435"/>
      <c r="H7" s="179"/>
      <c r="M7" s="11"/>
      <c r="S7" t="s">
        <v>434</v>
      </c>
      <c r="T7">
        <v>0</v>
      </c>
      <c r="U7">
        <v>1</v>
      </c>
      <c r="W7" s="442" t="e">
        <f>_xlfn.MAXIFS(#REF!,qryContractsToGnatt[Cost Code],qryCostSummary[[#This Row],[Cost Code]])</f>
        <v>#REF!</v>
      </c>
      <c r="X7" s="442" t="e">
        <f>_xlfn.MAXIFS(#REF!,qryContractsToGnatt[Cost Code],qryCostSummary[[#This Row],[Cost Code]])</f>
        <v>#REF!</v>
      </c>
      <c r="Y7" s="188">
        <f>SUMIFS(qryContractsToGnatt[Price],qryContractsToGnatt[Cost Code],qryCostSummary[[#This Row],[Cost Code]])</f>
        <v>0</v>
      </c>
    </row>
    <row r="8" spans="1:26">
      <c r="D8" s="435"/>
      <c r="H8" s="179"/>
      <c r="M8" s="11"/>
      <c r="S8" t="s">
        <v>545</v>
      </c>
      <c r="T8">
        <v>2615</v>
      </c>
      <c r="U8">
        <v>1</v>
      </c>
      <c r="W8" s="442" t="e">
        <f>_xlfn.MAXIFS(#REF!,qryContractsToGnatt[Cost Code],qryCostSummary[[#This Row],[Cost Code]])</f>
        <v>#REF!</v>
      </c>
      <c r="X8" s="442" t="e">
        <f>_xlfn.MAXIFS(#REF!,qryContractsToGnatt[Cost Code],qryCostSummary[[#This Row],[Cost Code]])</f>
        <v>#REF!</v>
      </c>
      <c r="Y8" s="188">
        <f>SUMIFS(qryContractsToGnatt[Price],qryContractsToGnatt[Cost Code],qryCostSummary[[#This Row],[Cost Code]])</f>
        <v>18411.407314999997</v>
      </c>
    </row>
    <row r="9" spans="1:26">
      <c r="D9" s="435"/>
      <c r="H9" s="179"/>
      <c r="M9" s="11"/>
      <c r="S9" t="s">
        <v>484</v>
      </c>
      <c r="U9">
        <v>0</v>
      </c>
      <c r="W9" s="442" t="e">
        <f>_xlfn.MAXIFS(#REF!,qryContractsToGnatt[Cost Code],qryCostSummary[[#This Row],[Cost Code]])</f>
        <v>#REF!</v>
      </c>
      <c r="X9" s="442" t="e">
        <f>_xlfn.MAXIFS(#REF!,qryContractsToGnatt[Cost Code],qryCostSummary[[#This Row],[Cost Code]])</f>
        <v>#REF!</v>
      </c>
      <c r="Y9" s="188">
        <f>SUMIFS(qryContractsToGnatt[Price],qryContractsToGnatt[Cost Code],qryCostSummary[[#This Row],[Cost Code]])</f>
        <v>0</v>
      </c>
    </row>
    <row r="10" spans="1:26">
      <c r="D10" s="435"/>
      <c r="H10" s="179"/>
      <c r="M10" s="11"/>
      <c r="S10" t="s">
        <v>487</v>
      </c>
      <c r="U10">
        <v>0</v>
      </c>
      <c r="W10" s="442" t="e">
        <f>_xlfn.MAXIFS(#REF!,qryContractsToGnatt[Cost Code],qryCostSummary[[#This Row],[Cost Code]])</f>
        <v>#REF!</v>
      </c>
      <c r="X10" s="442" t="e">
        <f>_xlfn.MAXIFS(#REF!,qryContractsToGnatt[Cost Code],qryCostSummary[[#This Row],[Cost Code]])</f>
        <v>#REF!</v>
      </c>
      <c r="Y10" s="188">
        <f>SUMIFS(qryContractsToGnatt[Price],qryContractsToGnatt[Cost Code],qryCostSummary[[#This Row],[Cost Code]])</f>
        <v>0</v>
      </c>
    </row>
    <row r="11" spans="1:26">
      <c r="D11" s="435"/>
      <c r="H11" s="179"/>
      <c r="M11" s="11"/>
      <c r="S11" t="s">
        <v>501</v>
      </c>
      <c r="U11">
        <v>0</v>
      </c>
      <c r="W11" s="442" t="e">
        <f>_xlfn.MAXIFS(#REF!,qryContractsToGnatt[Cost Code],qryCostSummary[[#This Row],[Cost Code]])</f>
        <v>#REF!</v>
      </c>
      <c r="X11" s="442" t="e">
        <f>_xlfn.MAXIFS(#REF!,qryContractsToGnatt[Cost Code],qryCostSummary[[#This Row],[Cost Code]])</f>
        <v>#REF!</v>
      </c>
      <c r="Y11" s="188">
        <f>SUMIFS(qryContractsToGnatt[Price],qryContractsToGnatt[Cost Code],qryCostSummary[[#This Row],[Cost Code]])</f>
        <v>1000</v>
      </c>
    </row>
    <row r="12" spans="1:26">
      <c r="D12" s="435"/>
      <c r="H12" s="179"/>
      <c r="M12" s="11"/>
      <c r="S12" t="s">
        <v>458</v>
      </c>
      <c r="T12">
        <v>125</v>
      </c>
      <c r="U12">
        <v>0</v>
      </c>
      <c r="V12">
        <v>125</v>
      </c>
      <c r="W12" s="442" t="e">
        <f>_xlfn.MAXIFS(#REF!,qryContractsToGnatt[Cost Code],qryCostSummary[[#This Row],[Cost Code]])</f>
        <v>#REF!</v>
      </c>
      <c r="X12" s="442" t="e">
        <f>_xlfn.MAXIFS(#REF!,qryContractsToGnatt[Cost Code],qryCostSummary[[#This Row],[Cost Code]])</f>
        <v>#REF!</v>
      </c>
      <c r="Y12" s="188">
        <f>SUMIFS(qryContractsToGnatt[Price],qryContractsToGnatt[Cost Code],qryCostSummary[[#This Row],[Cost Code]])</f>
        <v>125</v>
      </c>
    </row>
    <row r="13" spans="1:26">
      <c r="D13" s="435"/>
      <c r="H13" s="179"/>
      <c r="M13" s="11"/>
      <c r="S13" t="s">
        <v>1196</v>
      </c>
      <c r="T13">
        <v>687.5</v>
      </c>
      <c r="U13">
        <v>0</v>
      </c>
      <c r="V13">
        <v>687.5</v>
      </c>
      <c r="W13" s="442" t="e">
        <f>_xlfn.MAXIFS(#REF!,qryContractsToGnatt[Cost Code],qryCostSummary[[#This Row],[Cost Code]])</f>
        <v>#REF!</v>
      </c>
      <c r="X13" s="442" t="e">
        <f>_xlfn.MAXIFS(#REF!,qryContractsToGnatt[Cost Code],qryCostSummary[[#This Row],[Cost Code]])</f>
        <v>#REF!</v>
      </c>
      <c r="Y13" s="188">
        <f>SUMIFS(qryContractsToGnatt[Price],qryContractsToGnatt[Cost Code],qryCostSummary[[#This Row],[Cost Code]])</f>
        <v>687.5</v>
      </c>
    </row>
    <row r="14" spans="1:26">
      <c r="D14" s="435"/>
      <c r="H14" s="179"/>
      <c r="M14" s="11"/>
      <c r="S14" t="s">
        <v>546</v>
      </c>
      <c r="T14">
        <v>150</v>
      </c>
      <c r="U14">
        <v>16</v>
      </c>
      <c r="V14">
        <v>150</v>
      </c>
      <c r="W14" s="442" t="e">
        <f>_xlfn.MAXIFS(#REF!,qryContractsToGnatt[Cost Code],qryCostSummary[[#This Row],[Cost Code]])</f>
        <v>#REF!</v>
      </c>
      <c r="X14" s="442" t="e">
        <f>_xlfn.MAXIFS(#REF!,qryContractsToGnatt[Cost Code],qryCostSummary[[#This Row],[Cost Code]])</f>
        <v>#REF!</v>
      </c>
      <c r="Y14" s="188">
        <f>SUMIFS(qryContractsToGnatt[Price],qryContractsToGnatt[Cost Code],qryCostSummary[[#This Row],[Cost Code]])</f>
        <v>14659.0237</v>
      </c>
    </row>
    <row r="15" spans="1:26">
      <c r="D15" s="435"/>
      <c r="H15" s="179"/>
      <c r="M15" s="11"/>
      <c r="S15" t="s">
        <v>452</v>
      </c>
      <c r="U15">
        <v>0</v>
      </c>
      <c r="W15" s="442" t="e">
        <f>_xlfn.MAXIFS(#REF!,qryContractsToGnatt[Cost Code],qryCostSummary[[#This Row],[Cost Code]])</f>
        <v>#REF!</v>
      </c>
      <c r="X15" s="442" t="e">
        <f>_xlfn.MAXIFS(#REF!,qryContractsToGnatt[Cost Code],qryCostSummary[[#This Row],[Cost Code]])</f>
        <v>#REF!</v>
      </c>
      <c r="Y15" s="188">
        <f>SUMIFS(qryContractsToGnatt[Price],qryContractsToGnatt[Cost Code],qryCostSummary[[#This Row],[Cost Code]])</f>
        <v>0</v>
      </c>
    </row>
    <row r="16" spans="1:26">
      <c r="D16" s="435"/>
      <c r="H16" s="179"/>
      <c r="M16" s="11"/>
      <c r="S16" t="s">
        <v>478</v>
      </c>
      <c r="U16">
        <v>0</v>
      </c>
      <c r="W16" s="442" t="e">
        <f>_xlfn.MAXIFS(#REF!,qryContractsToGnatt[Cost Code],qryCostSummary[[#This Row],[Cost Code]])</f>
        <v>#REF!</v>
      </c>
      <c r="X16" s="442" t="e">
        <f>_xlfn.MAXIFS(#REF!,qryContractsToGnatt[Cost Code],qryCostSummary[[#This Row],[Cost Code]])</f>
        <v>#REF!</v>
      </c>
      <c r="Y16" s="188">
        <f>SUMIFS(qryContractsToGnatt[Price],qryContractsToGnatt[Cost Code],qryCostSummary[[#This Row],[Cost Code]])</f>
        <v>0</v>
      </c>
    </row>
    <row r="17" spans="4:25">
      <c r="D17" s="435"/>
      <c r="H17" s="179"/>
      <c r="M17" s="11"/>
      <c r="S17" t="s">
        <v>512</v>
      </c>
      <c r="U17">
        <v>0</v>
      </c>
      <c r="W17" s="442" t="e">
        <f>_xlfn.MAXIFS(#REF!,qryContractsToGnatt[Cost Code],qryCostSummary[[#This Row],[Cost Code]])</f>
        <v>#REF!</v>
      </c>
      <c r="X17" s="442" t="e">
        <f>_xlfn.MAXIFS(#REF!,qryContractsToGnatt[Cost Code],qryCostSummary[[#This Row],[Cost Code]])</f>
        <v>#REF!</v>
      </c>
      <c r="Y17" s="188">
        <f>SUMIFS(qryContractsToGnatt[Price],qryContractsToGnatt[Cost Code],qryCostSummary[[#This Row],[Cost Code]])</f>
        <v>0</v>
      </c>
    </row>
    <row r="18" spans="4:25">
      <c r="D18" s="435"/>
      <c r="H18" s="179"/>
      <c r="M18" s="11"/>
      <c r="S18" t="s">
        <v>453</v>
      </c>
      <c r="U18">
        <v>0</v>
      </c>
      <c r="W18" s="442" t="e">
        <f>_xlfn.MAXIFS(#REF!,qryContractsToGnatt[Cost Code],qryCostSummary[[#This Row],[Cost Code]])</f>
        <v>#REF!</v>
      </c>
      <c r="X18" s="442" t="e">
        <f>_xlfn.MAXIFS(#REF!,qryContractsToGnatt[Cost Code],qryCostSummary[[#This Row],[Cost Code]])</f>
        <v>#REF!</v>
      </c>
      <c r="Y18" s="188">
        <f>SUMIFS(qryContractsToGnatt[Price],qryContractsToGnatt[Cost Code],qryCostSummary[[#This Row],[Cost Code]])</f>
        <v>0</v>
      </c>
    </row>
    <row r="19" spans="4:25">
      <c r="D19" s="435"/>
      <c r="H19" s="179"/>
      <c r="M19" s="11"/>
      <c r="S19" t="s">
        <v>491</v>
      </c>
      <c r="U19">
        <v>0</v>
      </c>
      <c r="W19" s="442" t="e">
        <f>_xlfn.MAXIFS(#REF!,qryContractsToGnatt[Cost Code],qryCostSummary[[#This Row],[Cost Code]])</f>
        <v>#REF!</v>
      </c>
      <c r="X19" s="442" t="e">
        <f>_xlfn.MAXIFS(#REF!,qryContractsToGnatt[Cost Code],qryCostSummary[[#This Row],[Cost Code]])</f>
        <v>#REF!</v>
      </c>
      <c r="Y19" s="188">
        <f>SUMIFS(qryContractsToGnatt[Price],qryContractsToGnatt[Cost Code],qryCostSummary[[#This Row],[Cost Code]])</f>
        <v>0</v>
      </c>
    </row>
    <row r="20" spans="4:25">
      <c r="D20" s="435"/>
      <c r="H20" s="179"/>
      <c r="M20" s="11"/>
    </row>
    <row r="21" spans="4:25">
      <c r="D21" s="435"/>
      <c r="H21" s="179"/>
      <c r="M21" s="11"/>
    </row>
    <row r="22" spans="4:25">
      <c r="D22" s="435"/>
      <c r="H22" s="179"/>
      <c r="M22" s="11"/>
    </row>
    <row r="23" spans="4:25">
      <c r="D23" s="435"/>
      <c r="H23" s="179"/>
      <c r="M23" s="11"/>
    </row>
    <row r="24" spans="4:25">
      <c r="D24" s="435"/>
      <c r="H24" s="179"/>
      <c r="M24" s="11"/>
    </row>
    <row r="25" spans="4:25">
      <c r="D25" s="435"/>
      <c r="H25" s="179"/>
      <c r="M25" s="11"/>
    </row>
    <row r="26" spans="4:25">
      <c r="D26" s="435"/>
      <c r="H26" s="179"/>
      <c r="M26" s="11"/>
    </row>
    <row r="27" spans="4:25">
      <c r="D27" s="435"/>
      <c r="H27" s="179"/>
      <c r="M27" s="11"/>
    </row>
    <row r="28" spans="4:25">
      <c r="D28" s="435"/>
      <c r="H28" s="179"/>
      <c r="M28" s="11"/>
    </row>
    <row r="29" spans="4:25">
      <c r="D29" s="435"/>
      <c r="H29" s="179"/>
      <c r="M29" s="11"/>
    </row>
    <row r="30" spans="4:25">
      <c r="D30" s="435"/>
      <c r="H30" s="179"/>
      <c r="M30" s="11"/>
    </row>
    <row r="31" spans="4:25">
      <c r="D31" s="435"/>
      <c r="H31" s="179"/>
      <c r="M31" s="11"/>
    </row>
    <row r="32" spans="4:25">
      <c r="D32" s="435"/>
      <c r="H32" s="179"/>
      <c r="M32" s="11"/>
    </row>
    <row r="33" spans="4:13">
      <c r="D33" s="435"/>
      <c r="H33" s="179"/>
      <c r="M33" s="11"/>
    </row>
    <row r="34" spans="4:13">
      <c r="D34" s="435"/>
      <c r="H34" s="179"/>
      <c r="M34" s="11"/>
    </row>
    <row r="35" spans="4:13">
      <c r="D35" s="435"/>
      <c r="H35" s="179"/>
      <c r="M35" s="11"/>
    </row>
    <row r="36" spans="4:13">
      <c r="D36" s="435"/>
      <c r="H36" s="179"/>
      <c r="M36" s="11"/>
    </row>
    <row r="37" spans="4:13">
      <c r="D37" s="435"/>
      <c r="H37" s="179"/>
      <c r="M37" s="11"/>
    </row>
    <row r="38" spans="4:13">
      <c r="D38" s="435"/>
      <c r="H38" s="179"/>
      <c r="M38" s="11"/>
    </row>
    <row r="39" spans="4:13">
      <c r="D39" s="435"/>
      <c r="H39" s="179"/>
      <c r="M39" s="11"/>
    </row>
    <row r="40" spans="4:13">
      <c r="D40" s="435"/>
      <c r="H40" s="179"/>
      <c r="M40" s="11"/>
    </row>
    <row r="41" spans="4:13">
      <c r="D41" s="435"/>
      <c r="H41" s="179"/>
      <c r="M41" s="11"/>
    </row>
    <row r="42" spans="4:13">
      <c r="D42" s="435"/>
      <c r="H42" s="179"/>
      <c r="M42" s="11"/>
    </row>
    <row r="43" spans="4:13">
      <c r="D43" s="435"/>
      <c r="H43" s="179"/>
      <c r="M43" s="11"/>
    </row>
    <row r="44" spans="4:13">
      <c r="D44" s="435"/>
      <c r="H44" s="179"/>
      <c r="M44" s="11"/>
    </row>
    <row r="45" spans="4:13">
      <c r="D45" s="435"/>
      <c r="H45" s="179"/>
      <c r="M45" s="11"/>
    </row>
    <row r="46" spans="4:13">
      <c r="D46" s="435"/>
      <c r="H46" s="179"/>
      <c r="M46" s="11"/>
    </row>
    <row r="47" spans="4:13">
      <c r="D47" s="435"/>
      <c r="H47" s="179"/>
      <c r="M47" s="11"/>
    </row>
    <row r="48" spans="4:13">
      <c r="D48" s="435"/>
      <c r="H48" s="179"/>
      <c r="M48" s="11"/>
    </row>
    <row r="49" spans="4:13">
      <c r="D49" s="435"/>
      <c r="H49" s="179"/>
      <c r="M49" s="11"/>
    </row>
    <row r="50" spans="4:13">
      <c r="D50" s="435"/>
      <c r="H50" s="179"/>
      <c r="M50" s="11"/>
    </row>
    <row r="51" spans="4:13">
      <c r="D51" s="435"/>
      <c r="H51" s="179"/>
      <c r="M51" s="11"/>
    </row>
    <row r="52" spans="4:13">
      <c r="D52" s="435"/>
      <c r="H52" s="179"/>
      <c r="M52" s="11"/>
    </row>
    <row r="53" spans="4:13">
      <c r="D53" s="435"/>
      <c r="H53" s="179"/>
      <c r="M53" s="11"/>
    </row>
    <row r="54" spans="4:13">
      <c r="D54" s="435"/>
      <c r="H54" s="179"/>
      <c r="M54" s="11"/>
    </row>
    <row r="55" spans="4:13">
      <c r="D55" s="435"/>
      <c r="H55" s="179"/>
      <c r="M55" s="11"/>
    </row>
    <row r="56" spans="4:13">
      <c r="D56" s="435"/>
      <c r="H56" s="179"/>
      <c r="M56" s="11"/>
    </row>
    <row r="57" spans="4:13">
      <c r="D57" s="435"/>
      <c r="H57" s="179"/>
      <c r="M57" s="11"/>
    </row>
    <row r="58" spans="4:13">
      <c r="D58" s="435"/>
      <c r="H58" s="179"/>
      <c r="M58" s="11"/>
    </row>
    <row r="59" spans="4:13">
      <c r="D59" s="435"/>
      <c r="H59" s="179"/>
      <c r="M59" s="11"/>
    </row>
    <row r="60" spans="4:13">
      <c r="D60" s="435"/>
      <c r="H60" s="179"/>
      <c r="M60" s="11"/>
    </row>
    <row r="61" spans="4:13">
      <c r="D61" s="435"/>
      <c r="H61" s="179"/>
      <c r="M61" s="11"/>
    </row>
    <row r="62" spans="4:13">
      <c r="D62" s="435"/>
      <c r="H62" s="179"/>
      <c r="M62" s="11"/>
    </row>
    <row r="63" spans="4:13">
      <c r="D63" s="435"/>
      <c r="H63" s="179"/>
      <c r="M63" s="11"/>
    </row>
    <row r="64" spans="4:13">
      <c r="D64" s="435"/>
      <c r="H64" s="179"/>
      <c r="M64" s="11"/>
    </row>
    <row r="65" spans="4:13">
      <c r="D65" s="435"/>
      <c r="H65" s="179"/>
      <c r="M65" s="11"/>
    </row>
    <row r="66" spans="4:13">
      <c r="D66" s="435"/>
      <c r="H66" s="179"/>
      <c r="M66" s="11"/>
    </row>
    <row r="67" spans="4:13">
      <c r="D67" s="435"/>
      <c r="H67" s="179"/>
      <c r="M67" s="11"/>
    </row>
    <row r="68" spans="4:13">
      <c r="D68" s="435"/>
      <c r="H68" s="179"/>
      <c r="M68" s="11"/>
    </row>
    <row r="69" spans="4:13">
      <c r="D69" s="435"/>
      <c r="H69" s="179"/>
      <c r="M69" s="11"/>
    </row>
    <row r="70" spans="4:13">
      <c r="D70" s="435"/>
      <c r="H70" s="179"/>
      <c r="M70" s="11"/>
    </row>
    <row r="71" spans="4:13">
      <c r="D71" s="435"/>
      <c r="H71" s="179"/>
      <c r="M71" s="11"/>
    </row>
    <row r="72" spans="4:13">
      <c r="D72" s="435"/>
      <c r="H72" s="179"/>
      <c r="M72" s="11"/>
    </row>
    <row r="73" spans="4:13">
      <c r="D73" s="435"/>
      <c r="H73" s="179"/>
      <c r="M73" s="11"/>
    </row>
    <row r="74" spans="4:13">
      <c r="D74" s="43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3" bestFit="1" customWidth="1"/>
    <col min="23" max="23" width="7.28515625" style="483" customWidth="1"/>
    <col min="24" max="24" width="11" style="48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7" hidden="1" customWidth="1"/>
    <col min="37" max="40" width="15.28515625" style="477" hidden="1" customWidth="1"/>
    <col min="41" max="43" width="15.85546875" style="47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0" t="s">
        <v>547</v>
      </c>
      <c r="C1" s="710"/>
      <c r="D1" s="429" t="str">
        <f>+Profit!B2</f>
        <v>320 Rose Pl</v>
      </c>
      <c r="F1" s="785" t="str">
        <f>Profit!$E$1&amp; " Your Home"</f>
        <v>Buy Your Home</v>
      </c>
      <c r="G1" s="739"/>
      <c r="H1" s="739"/>
      <c r="I1" s="777" t="s">
        <v>548</v>
      </c>
      <c r="J1" s="710"/>
      <c r="K1" s="710"/>
      <c r="L1" s="777" t="s">
        <v>541</v>
      </c>
      <c r="M1" s="710"/>
      <c r="N1" s="710"/>
      <c r="O1" s="777" t="s">
        <v>549</v>
      </c>
      <c r="P1" s="710"/>
      <c r="Q1" s="710"/>
      <c r="R1" s="710"/>
      <c r="T1" s="494">
        <v>1</v>
      </c>
      <c r="U1" s="49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1">
        <f ca="1">NOW()</f>
        <v>46185.501314004629</v>
      </c>
      <c r="C2" s="710"/>
      <c r="D2" s="771" t="s">
        <v>550</v>
      </c>
      <c r="E2" s="667"/>
      <c r="F2" s="782" t="s">
        <v>551</v>
      </c>
      <c r="G2" s="783"/>
      <c r="H2" s="783"/>
      <c r="I2" s="774">
        <f>SUMIF(qryContractsToGnatt[Assigned],$D2,qryContractsToGnatt[Price])</f>
        <v>33070.431014999995</v>
      </c>
      <c r="J2" s="775"/>
      <c r="K2" s="775"/>
      <c r="L2" s="774">
        <f>SUMIF(qryContractsToGnatt[Assigned],$D2,qryContractsToGnatt[Due])</f>
        <v>33070.431014999995</v>
      </c>
      <c r="M2" s="775"/>
      <c r="N2" s="775"/>
      <c r="O2" s="778">
        <f>+I2-N2</f>
        <v>33070.431014999995</v>
      </c>
      <c r="P2" s="779"/>
      <c r="Q2" s="779"/>
      <c r="R2" s="779"/>
      <c r="T2" s="483"/>
      <c r="U2" s="493" t="s">
        <v>552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2"/>
      <c r="BI2" s="442"/>
      <c r="BJ2" s="442"/>
      <c r="BK2" s="442"/>
      <c r="BL2" s="442"/>
      <c r="BM2" s="442"/>
      <c r="BN2" s="47"/>
      <c r="BO2" s="47"/>
      <c r="BP2" s="47"/>
      <c r="BQ2" s="47"/>
      <c r="BR2" s="47"/>
      <c r="BS2" s="47"/>
      <c r="BT2" s="47"/>
      <c r="BU2" s="47"/>
      <c r="BV2" s="47"/>
      <c r="BW2" s="47"/>
      <c r="BX2" s="47"/>
      <c r="BY2" s="47"/>
      <c r="BZ2" s="48"/>
      <c r="CA2" s="48"/>
      <c r="CF2" s="15"/>
      <c r="CG2" s="15"/>
      <c r="CH2" s="15"/>
    </row>
    <row r="3" spans="1:156" ht="18.75">
      <c r="A3" s="2"/>
      <c r="B3" s="2"/>
      <c r="C3" s="53"/>
      <c r="D3" s="771" t="s">
        <v>553</v>
      </c>
      <c r="E3" s="667"/>
      <c r="F3" s="784" t="str">
        <f>+D3 &amp; " Total:"</f>
        <v>Glasgow DB Total:</v>
      </c>
      <c r="G3" s="773"/>
      <c r="H3" s="773"/>
      <c r="I3" s="774">
        <f>SUMIF(qryContractsToGnatt[Assigned],$D3,qryContractsToGnatt[Price])</f>
        <v>0</v>
      </c>
      <c r="J3" s="775"/>
      <c r="K3" s="775"/>
      <c r="L3" s="774">
        <f>SUMIF(qryContractsToGnatt[Assigned],$D3,qryContractsToGnatt[Due])</f>
        <v>0</v>
      </c>
      <c r="M3" s="775"/>
      <c r="N3" s="775"/>
      <c r="O3" s="778">
        <f>+I3-N3</f>
        <v>0</v>
      </c>
      <c r="P3" s="779"/>
      <c r="Q3" s="779"/>
      <c r="R3" s="779"/>
      <c r="T3" s="483"/>
      <c r="U3" s="493" t="s">
        <v>554</v>
      </c>
      <c r="AC3" s="35"/>
      <c r="AD3" s="35"/>
      <c r="AE3" s="35"/>
      <c r="AF3" s="35"/>
      <c r="AG3" s="35"/>
      <c r="AH3" s="35"/>
      <c r="AI3" s="35"/>
      <c r="AJ3" s="35"/>
      <c r="AK3" s="490"/>
      <c r="AL3" s="490"/>
      <c r="AM3" s="490"/>
      <c r="AN3" s="49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29"/>
      <c r="D4" s="771" t="s">
        <v>480</v>
      </c>
      <c r="E4" s="667"/>
      <c r="F4" s="776" t="str">
        <f>+D4 &amp; " Total:"</f>
        <v>Tim Flemming Total:</v>
      </c>
      <c r="G4" s="773"/>
      <c r="H4" s="773"/>
      <c r="I4" s="774">
        <f>SUMIF(qryContractsToGnatt[Assigned],$D4,qryContractsToGnatt[Price])</f>
        <v>1812.5</v>
      </c>
      <c r="J4" s="775"/>
      <c r="K4" s="775"/>
      <c r="L4" s="774">
        <f>SUMIF(qryContractsToGnatt[Assigned],$D4,qryContractsToGnatt[Due])-SUM(tblContractTim[Paid])</f>
        <v>-250</v>
      </c>
      <c r="M4" s="775"/>
      <c r="N4" s="775"/>
      <c r="O4" s="778">
        <f>+I4-N4</f>
        <v>1812.5</v>
      </c>
      <c r="P4" s="779"/>
      <c r="Q4" s="779"/>
      <c r="R4" s="779"/>
      <c r="T4" s="483"/>
      <c r="U4" s="493" t="s">
        <v>555</v>
      </c>
      <c r="AC4"/>
      <c r="AD4" s="35"/>
      <c r="AE4" s="35"/>
      <c r="AF4" s="35"/>
      <c r="AG4" s="35"/>
      <c r="AH4" s="35"/>
      <c r="AI4" s="35"/>
      <c r="AJ4" s="35"/>
      <c r="AK4" s="490"/>
      <c r="AL4" s="490"/>
      <c r="AM4" s="490"/>
      <c r="AN4" s="49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29"/>
      <c r="D5" s="771" t="s">
        <v>366</v>
      </c>
      <c r="E5" s="667"/>
      <c r="F5" s="787" t="str">
        <f>+D5 &amp; " Total:"</f>
        <v>Buy Your Home Total:</v>
      </c>
      <c r="G5" s="773"/>
      <c r="H5" s="773"/>
      <c r="I5" s="774">
        <f>SUMIF(qryContractsToGnatt[Assigned],$D5,qryContractsToGnatt[Price])</f>
        <v>0</v>
      </c>
      <c r="J5" s="775"/>
      <c r="K5" s="775"/>
      <c r="L5" s="774">
        <f>SUMIF(qryContractsToGnatt[Assigned],$D5,qryContractsToGnatt[Due])</f>
        <v>0</v>
      </c>
      <c r="M5" s="775"/>
      <c r="N5" s="775"/>
      <c r="O5" s="778">
        <f>+I5-N5</f>
        <v>0</v>
      </c>
      <c r="P5" s="779"/>
      <c r="Q5" s="779"/>
      <c r="R5" s="779"/>
      <c r="T5" s="34"/>
      <c r="U5" s="34"/>
      <c r="AC5" s="35"/>
      <c r="AD5" s="35" t="str">
        <f>IFERROR(+IF('Gnatt Chart'!AE$23=#REF!,Milestone_Marker,IF(AND('Gnatt Chart'!AE$23&gt;#REF!,'Gnatt Chart'!AE$23&lt;#REF!+#REF!),#REF!,"")),"")</f>
        <v/>
      </c>
      <c r="AE5" s="35"/>
      <c r="AF5" s="35"/>
      <c r="AG5" s="35"/>
      <c r="AH5" s="35"/>
      <c r="AI5" s="35"/>
      <c r="AJ5" s="35"/>
      <c r="AK5" s="490"/>
      <c r="AL5" s="490"/>
      <c r="AM5" s="490"/>
      <c r="AN5" s="49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72" t="s">
        <v>556</v>
      </c>
      <c r="G6" s="773"/>
      <c r="H6" s="773"/>
      <c r="I6" s="774">
        <f>SUM(I2:K5)</f>
        <v>34882.931014999995</v>
      </c>
      <c r="J6" s="775"/>
      <c r="K6" s="775"/>
      <c r="L6" s="774">
        <f>SUMIF(qryContractsToGnatt[Assigned],$E6,qryContractsToGnatt[Due])</f>
        <v>0</v>
      </c>
      <c r="M6" s="775"/>
      <c r="N6" s="775"/>
      <c r="O6" s="778">
        <f>SUM(O3:O5)</f>
        <v>1812.5</v>
      </c>
      <c r="P6" s="779"/>
      <c r="Q6" s="779"/>
      <c r="R6" s="779"/>
      <c r="T6" s="34"/>
      <c r="U6" s="34"/>
      <c r="AC6" s="35"/>
      <c r="AD6" s="35" t="str">
        <f>IFERROR(+IF('Gnatt Chart'!AE$23=#REF!,Milestone_Marker,IF(AND('Gnatt Chart'!AE$23&gt;#REF!,'Gnatt Chart'!AE$23&lt;#REF!+#REF!),#REF!,"")),"")</f>
        <v/>
      </c>
      <c r="AE6" s="35"/>
      <c r="AF6" s="35"/>
      <c r="AG6" s="35"/>
      <c r="AH6" s="35"/>
      <c r="AI6" s="35"/>
      <c r="AJ6" s="35"/>
      <c r="AK6" s="490"/>
      <c r="AL6" s="490"/>
      <c r="AM6" s="490"/>
      <c r="AN6" s="49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3"/>
      <c r="AC7" s="35"/>
      <c r="AD7" s="35" t="str">
        <f>IFERROR(+IF('Gnatt Chart'!AE$23=#REF!,Milestone_Marker,IF(AND('Gnatt Chart'!AE$23&gt;#REF!,'Gnatt Chart'!AE$23&lt;#REF!+#REF!),#REF!,"")),"")</f>
        <v/>
      </c>
      <c r="AE7" s="35"/>
      <c r="AF7" s="35"/>
      <c r="AG7" s="35"/>
      <c r="AH7" s="35"/>
      <c r="AI7" s="35"/>
      <c r="AJ7" s="35"/>
      <c r="AK7" s="490"/>
      <c r="AL7" s="490"/>
      <c r="AM7" s="490"/>
      <c r="AN7" s="49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3"/>
      <c r="AV7" s="453"/>
      <c r="AW7" s="453"/>
      <c r="AX7" s="453"/>
      <c r="AY7" s="453"/>
      <c r="AZ7" s="453"/>
      <c r="BA7" s="453"/>
      <c r="BB7" s="453"/>
      <c r="BC7" s="453"/>
      <c r="BD7" s="453"/>
      <c r="BE7" s="45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August</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432</v>
      </c>
      <c r="B8" s="57" t="s">
        <v>427</v>
      </c>
      <c r="C8" s="55" t="s">
        <v>428</v>
      </c>
      <c r="D8" s="55" t="s">
        <v>429</v>
      </c>
      <c r="E8" s="55" t="s">
        <v>430</v>
      </c>
      <c r="F8" s="55" t="s">
        <v>431</v>
      </c>
      <c r="G8" s="55" t="s">
        <v>540</v>
      </c>
      <c r="H8" s="55" t="s">
        <v>533</v>
      </c>
      <c r="I8" s="55" t="s">
        <v>541</v>
      </c>
      <c r="J8" s="56" t="s">
        <v>426</v>
      </c>
      <c r="K8" s="466" t="s">
        <v>557</v>
      </c>
      <c r="L8" s="55" t="s">
        <v>558</v>
      </c>
      <c r="M8" s="55" t="s">
        <v>559</v>
      </c>
      <c r="N8" s="55" t="s">
        <v>528</v>
      </c>
      <c r="O8" s="55" t="s">
        <v>560</v>
      </c>
      <c r="P8" s="55" t="s">
        <v>526</v>
      </c>
      <c r="Q8" s="55" t="s">
        <v>529</v>
      </c>
      <c r="R8" s="55" t="s">
        <v>109</v>
      </c>
      <c r="S8" s="55" t="s">
        <v>530</v>
      </c>
      <c r="T8" s="55" t="s">
        <v>561</v>
      </c>
      <c r="U8" s="55" t="s">
        <v>562</v>
      </c>
      <c r="V8" s="55" t="s">
        <v>356</v>
      </c>
      <c r="W8" s="55" t="s">
        <v>527</v>
      </c>
      <c r="X8" s="55" t="s">
        <v>531</v>
      </c>
      <c r="Y8" s="55" t="s">
        <v>532</v>
      </c>
      <c r="Z8" s="55" t="s">
        <v>563</v>
      </c>
      <c r="AA8" s="55" t="s">
        <v>564</v>
      </c>
      <c r="AB8" s="55" t="s">
        <v>565</v>
      </c>
      <c r="AC8" s="55" t="s">
        <v>566</v>
      </c>
      <c r="AD8" s="55" t="s">
        <v>567</v>
      </c>
      <c r="AE8" s="55" t="s">
        <v>568</v>
      </c>
      <c r="AF8" s="55" t="s">
        <v>569</v>
      </c>
      <c r="AG8" s="55" t="s">
        <v>570</v>
      </c>
      <c r="AH8" s="55" t="s">
        <v>571</v>
      </c>
      <c r="AI8" s="55" t="s">
        <v>572</v>
      </c>
      <c r="AJ8" s="55" t="s">
        <v>573</v>
      </c>
      <c r="AK8" s="55" t="s">
        <v>574</v>
      </c>
      <c r="AL8" s="55" t="s">
        <v>575</v>
      </c>
      <c r="AM8" s="55" t="s">
        <v>576</v>
      </c>
      <c r="AN8" s="55"/>
      <c r="AO8" s="35"/>
      <c r="AP8" s="35"/>
      <c r="AQ8" s="35"/>
      <c r="AR8" s="35"/>
      <c r="AS8" s="35" t="str">
        <f>IFERROR(+IF(#REF!=#REF!,Milestone_Marker,IF(AND(#REF!&gt;#REF!,#REF!&lt;#REF!+#REF!),#REF!,"")),"")</f>
        <v/>
      </c>
      <c r="AT8" s="35" t="str">
        <f>IFERROR(+IF(AO$23=#REF!,Milestone_Marker,IF(AND(AO$23&gt;#REF!,AO$23&lt;#REF!+#REF!),#REF!,"")),"")</f>
        <v/>
      </c>
      <c r="AU8" s="49">
        <f ca="1">+AP23</f>
        <v>46214.501314004629</v>
      </c>
      <c r="AV8" s="49">
        <f ca="1">+AU8+1</f>
        <v>46215.501314004629</v>
      </c>
      <c r="AW8" s="49">
        <f ca="1">+AV8+1</f>
        <v>46216.501314004629</v>
      </c>
      <c r="AX8" s="49">
        <f ca="1">+AW8+1</f>
        <v>46217.501314004629</v>
      </c>
      <c r="AY8" s="49">
        <f ca="1">+AX8+1</f>
        <v>46218.501314004629</v>
      </c>
      <c r="AZ8" s="49" t="str">
        <f>+'Gnatt Chart'!AE23</f>
        <v>SiblingRank</v>
      </c>
      <c r="BA8" s="49" t="e">
        <f>+#REF!</f>
        <v>#REF!</v>
      </c>
      <c r="BB8" s="49" t="e">
        <f>+#REF!</f>
        <v>#REF!</v>
      </c>
      <c r="BC8" s="49">
        <f>+AO23</f>
        <v>0</v>
      </c>
      <c r="BD8" s="49" t="e">
        <f>+#REF!</f>
        <v>#REF!</v>
      </c>
      <c r="BE8" s="49">
        <f t="shared" ref="BE8:CJ8" ca="1" si="3">+AQ23</f>
        <v>46215.501314004629</v>
      </c>
      <c r="BF8" s="49">
        <f t="shared" ca="1" si="3"/>
        <v>46216.501314004629</v>
      </c>
      <c r="BG8" s="49">
        <f t="shared" ca="1" si="3"/>
        <v>46217.501314004629</v>
      </c>
      <c r="BH8" s="49">
        <f t="shared" ca="1" si="3"/>
        <v>46218.501314004629</v>
      </c>
      <c r="BI8" s="49">
        <f t="shared" ca="1" si="3"/>
        <v>46219.501314004629</v>
      </c>
      <c r="BJ8" s="49">
        <f t="shared" ca="1" si="3"/>
        <v>46220.501314004629</v>
      </c>
      <c r="BK8" s="49">
        <f t="shared" ca="1" si="3"/>
        <v>46221.501314004629</v>
      </c>
      <c r="BL8" s="49">
        <f t="shared" ca="1" si="3"/>
        <v>46222.501314004629</v>
      </c>
      <c r="BM8" s="49">
        <f t="shared" ca="1" si="3"/>
        <v>46223.501314004629</v>
      </c>
      <c r="BN8" s="49">
        <f t="shared" ca="1" si="3"/>
        <v>46224.501314004629</v>
      </c>
      <c r="BO8" s="49">
        <f t="shared" ca="1" si="3"/>
        <v>46225.501314004629</v>
      </c>
      <c r="BP8" s="49">
        <f t="shared" ca="1" si="3"/>
        <v>46226.501314004629</v>
      </c>
      <c r="BQ8" s="49">
        <f t="shared" ca="1" si="3"/>
        <v>46227.501314004629</v>
      </c>
      <c r="BR8" s="49">
        <f t="shared" ca="1" si="3"/>
        <v>46228.501314004629</v>
      </c>
      <c r="BS8" s="49">
        <f t="shared" ca="1" si="3"/>
        <v>46229.501314004629</v>
      </c>
      <c r="BT8" s="49">
        <f t="shared" ca="1" si="3"/>
        <v>46230.501314004629</v>
      </c>
      <c r="BU8" s="49">
        <f t="shared" ca="1" si="3"/>
        <v>46231.501314004629</v>
      </c>
      <c r="BV8" s="49">
        <f t="shared" ca="1" si="3"/>
        <v>46232.501314004629</v>
      </c>
      <c r="BW8" s="49">
        <f t="shared" ca="1" si="3"/>
        <v>46233.501314004629</v>
      </c>
      <c r="BX8" s="49">
        <f t="shared" ca="1" si="3"/>
        <v>46234.501314004629</v>
      </c>
      <c r="BY8" s="49">
        <f t="shared" ca="1" si="3"/>
        <v>46235.501314004629</v>
      </c>
      <c r="BZ8" s="49">
        <f t="shared" ca="1" si="3"/>
        <v>46236.501314004629</v>
      </c>
      <c r="CA8" s="49">
        <f t="shared" ca="1" si="3"/>
        <v>46237.501314004629</v>
      </c>
      <c r="CB8" s="49">
        <f t="shared" ca="1" si="3"/>
        <v>46238.501314004629</v>
      </c>
      <c r="CC8" s="49">
        <f t="shared" ca="1" si="3"/>
        <v>46239.501314004629</v>
      </c>
      <c r="CD8" s="49">
        <f t="shared" ca="1" si="3"/>
        <v>46240.501314004629</v>
      </c>
      <c r="CE8" s="49">
        <f t="shared" ca="1" si="3"/>
        <v>46241.501314004629</v>
      </c>
      <c r="CF8" s="49">
        <f t="shared" ca="1" si="3"/>
        <v>46242.501314004629</v>
      </c>
      <c r="CG8" s="49">
        <f t="shared" ca="1" si="3"/>
        <v>46243.501314004629</v>
      </c>
      <c r="CH8" s="49">
        <f t="shared" ca="1" si="3"/>
        <v>46244.501314004629</v>
      </c>
      <c r="CI8" s="49">
        <f t="shared" ca="1" si="3"/>
        <v>46245.501314004629</v>
      </c>
      <c r="CJ8" s="49">
        <f t="shared" ca="1" si="3"/>
        <v>46246.501314004629</v>
      </c>
      <c r="CK8" s="49">
        <f t="shared" ref="CK8:DP8" ca="1" si="4">+BW23</f>
        <v>46247.501314004629</v>
      </c>
      <c r="CL8" s="49">
        <f t="shared" ca="1" si="4"/>
        <v>46248.501314004629</v>
      </c>
      <c r="CM8" s="49">
        <f t="shared" ca="1" si="4"/>
        <v>46249.501314004629</v>
      </c>
      <c r="CN8" s="49">
        <f t="shared" ca="1" si="4"/>
        <v>46250.501314004629</v>
      </c>
      <c r="CO8" s="49">
        <f t="shared" ca="1" si="4"/>
        <v>46251.501314004629</v>
      </c>
      <c r="CP8" s="49">
        <f t="shared" ca="1" si="4"/>
        <v>46252.501314004629</v>
      </c>
      <c r="CQ8" s="49">
        <f t="shared" ca="1" si="4"/>
        <v>46253.501314004629</v>
      </c>
      <c r="CR8" s="49">
        <f t="shared" ca="1" si="4"/>
        <v>46254.501314004629</v>
      </c>
      <c r="CS8" s="49">
        <f t="shared" ca="1" si="4"/>
        <v>46255.501314004629</v>
      </c>
      <c r="CT8" s="49">
        <f t="shared" ca="1" si="4"/>
        <v>46256.501314004629</v>
      </c>
      <c r="CU8" s="49">
        <f t="shared" ca="1" si="4"/>
        <v>46257.501314004629</v>
      </c>
      <c r="CV8" s="49">
        <f t="shared" ca="1" si="4"/>
        <v>46258.501314004629</v>
      </c>
      <c r="CW8" s="49">
        <f t="shared" ca="1" si="4"/>
        <v>46259.501314004629</v>
      </c>
      <c r="CX8" s="49">
        <f t="shared" ca="1" si="4"/>
        <v>46260.501314004629</v>
      </c>
      <c r="CY8" s="49">
        <f t="shared" ca="1" si="4"/>
        <v>46261.501314004629</v>
      </c>
      <c r="CZ8" s="49">
        <f t="shared" ca="1" si="4"/>
        <v>46262.501314004629</v>
      </c>
      <c r="DA8" s="49">
        <f t="shared" ca="1" si="4"/>
        <v>46263.501314004629</v>
      </c>
      <c r="DB8" s="49">
        <f t="shared" ca="1" si="4"/>
        <v>46264.501314004629</v>
      </c>
      <c r="DC8" s="49">
        <f t="shared" ca="1" si="4"/>
        <v>46265.501314004629</v>
      </c>
      <c r="DD8" s="49">
        <f t="shared" ca="1" si="4"/>
        <v>46266.501314004629</v>
      </c>
      <c r="DE8" s="49">
        <f t="shared" ca="1" si="4"/>
        <v>46267.501314004629</v>
      </c>
      <c r="DF8" s="49">
        <f t="shared" ca="1" si="4"/>
        <v>46268.501314004629</v>
      </c>
      <c r="DG8" s="49">
        <f t="shared" ca="1" si="4"/>
        <v>46269.501314004629</v>
      </c>
      <c r="DH8" s="49">
        <f t="shared" ca="1" si="4"/>
        <v>46270.501314004629</v>
      </c>
      <c r="DI8" s="49">
        <f t="shared" ca="1" si="4"/>
        <v>46271.501314004629</v>
      </c>
      <c r="DJ8" s="49">
        <f t="shared" ca="1" si="4"/>
        <v>46272.501314004629</v>
      </c>
      <c r="DK8" s="49">
        <f t="shared" ca="1" si="4"/>
        <v>46273.501314004629</v>
      </c>
      <c r="DL8" s="49">
        <f t="shared" ca="1" si="4"/>
        <v>46274.501314004629</v>
      </c>
      <c r="DM8" s="49">
        <f t="shared" ca="1" si="4"/>
        <v>46275.501314004629</v>
      </c>
      <c r="DN8" s="49">
        <f t="shared" ca="1" si="4"/>
        <v>46276.501314004629</v>
      </c>
      <c r="DO8" s="49">
        <f t="shared" ca="1" si="4"/>
        <v>46277.501314004629</v>
      </c>
      <c r="DP8" s="49">
        <f t="shared" ca="1" si="4"/>
        <v>46278.501314004629</v>
      </c>
      <c r="DQ8" s="49">
        <f t="shared" ref="DQ8:DS8" ca="1" si="5">+DC23</f>
        <v>46279.501314004629</v>
      </c>
      <c r="DR8" s="49">
        <f t="shared" ca="1" si="5"/>
        <v>46280.501314004629</v>
      </c>
      <c r="DS8" s="49">
        <f t="shared" ca="1" si="5"/>
        <v>46281.501314004629</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4" t="s">
        <v>550</v>
      </c>
      <c r="B9" t="s">
        <v>545</v>
      </c>
      <c r="C9" s="454" t="s">
        <v>577</v>
      </c>
      <c r="D9" s="454" t="s">
        <v>577</v>
      </c>
      <c r="E9" s="455">
        <v>1</v>
      </c>
      <c r="F9" s="456">
        <f>Legal!H31</f>
        <v>2615</v>
      </c>
      <c r="G9" s="456">
        <f t="shared" ref="G9:G22" si="7">+E9*F9</f>
        <v>2615</v>
      </c>
      <c r="H9" s="456"/>
      <c r="I9" s="457"/>
      <c r="J9" s="455">
        <v>908</v>
      </c>
      <c r="K9" s="457"/>
      <c r="L9" s="458"/>
      <c r="M9" s="461">
        <f>IFERROR(_xlfn.XLOOKUP(Table2[[#This Row],[Index]], Contract_Edits[Index], Contract_Edits[Dep]), Table2[[#This Row],[Index2]])</f>
        <v>1</v>
      </c>
      <c r="N9" s="461">
        <f>IFERROR(_xlfn.XLOOKUP(Table2[[#This Row],[Index]], Contract_Edits[Index], Contract_Edits[Group]), Table2[[#This Row],[Index2]])</f>
        <v>1</v>
      </c>
      <c r="O9" s="458"/>
      <c r="P9" s="458">
        <f>IFERROR(_xlfn.XLOOKUP(Table2[[#This Row],[Index]], Contract_Edits[Index], Contract_Edits[Order]), Table2[[#This Row],[Order]])</f>
        <v>5.0102000000000002</v>
      </c>
      <c r="Q9" s="458">
        <f>IFERROR(_xlfn.XLOOKUP(Table2[[#This Row],[Index]], Contract_Edits[Index], Contract_Edits[Start]), Table2[[#This Row],[Start]])</f>
        <v>0</v>
      </c>
      <c r="R9" s="459"/>
      <c r="S9" s="458">
        <v>0</v>
      </c>
      <c r="T9" s="458"/>
      <c r="U9" s="458"/>
      <c r="V9" s="458">
        <f>IFERROR(_xlfn.XLOOKUP(#REF!, Contract_Edits[Index], Contract_Edits[Notes]), Table2[[#This Row],[Dep Titles]])</f>
        <v>0</v>
      </c>
      <c r="W9" s="487" t="s">
        <v>357</v>
      </c>
      <c r="X9" s="484" t="str">
        <f>IFERROR(_xlfn.XLOOKUP(Table2[[#This Row],[Index]], Contract_Edits[Index], Contract_Edits[Done]), Table2[[#This Row],[Approve]])</f>
        <v>Yes</v>
      </c>
      <c r="Y9" s="484" t="str">
        <f>IFERROR(_xlfn.XLOOKUP(#REF!, Contract_Edits[Index], Contract_Edits[Paid]), Table2[[#This Row],[Done]])</f>
        <v>Yes</v>
      </c>
      <c r="Z9" s="484"/>
      <c r="AA9" s="193"/>
      <c r="AB9" s="193"/>
      <c r="AC9" s="35"/>
      <c r="AD9" s="35"/>
      <c r="AE9" s="35" t="str">
        <f>IFERROR(+IF('Gnatt Chart'!AE$23=#REF!,Milestone_Marker,IF(AND('Gnatt Chart'!AE$23&gt;#REF!,'Gnatt Chart'!AE$23&lt;#REF!+#REF!),#REF!,"")),"")</f>
        <v/>
      </c>
      <c r="AF9" s="35"/>
      <c r="AG9" s="35"/>
      <c r="AH9" s="35"/>
      <c r="AI9" s="35"/>
      <c r="AJ9" s="35"/>
      <c r="AK9" s="490"/>
      <c r="AL9" s="490"/>
      <c r="AM9" s="490"/>
      <c r="AN9" s="49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4" t="s">
        <v>550</v>
      </c>
      <c r="B10" t="s">
        <v>545</v>
      </c>
      <c r="C10" s="454" t="s">
        <v>578</v>
      </c>
      <c r="D10" s="454" t="s">
        <v>579</v>
      </c>
      <c r="E10" s="455">
        <v>1</v>
      </c>
      <c r="F10" s="456">
        <f>+'Demo &amp; Trash Haul'!G24</f>
        <v>505</v>
      </c>
      <c r="G10" s="456">
        <f t="shared" si="7"/>
        <v>505</v>
      </c>
      <c r="H10" s="456"/>
      <c r="I10" s="460"/>
      <c r="J10" s="455">
        <v>900</v>
      </c>
      <c r="K10" s="460"/>
      <c r="L10" s="461"/>
      <c r="M10" s="461">
        <f>IFERROR(_xlfn.XLOOKUP(Table2[[#This Row],[Index]], Contract_Edits[Index], Contract_Edits[Dep]), Table2[[#This Row],[Index2]])</f>
        <v>2</v>
      </c>
      <c r="N10" s="461">
        <f>IFERROR(_xlfn.XLOOKUP(Table2[[#This Row],[Index]], Contract_Edits[Index], Contract_Edits[Group]), Table2[[#This Row],[Index2]])</f>
        <v>1</v>
      </c>
      <c r="O10" s="461"/>
      <c r="P10" s="458">
        <f>IFERROR(_xlfn.XLOOKUP(Table2[[#This Row],[Index]], Contract_Edits[Index], Contract_Edits[Order]), Table2[[#This Row],[Order]])</f>
        <v>15.020099999999999</v>
      </c>
      <c r="Q10" s="458">
        <f>IFERROR(_xlfn.XLOOKUP(Table2[[#This Row],[Index]], Contract_Edits[Index], Contract_Edits[Start]), Table2[[#This Row],[Start]])</f>
        <v>0</v>
      </c>
      <c r="R10" s="462"/>
      <c r="S10" s="458">
        <v>0</v>
      </c>
      <c r="T10" s="461"/>
      <c r="U10" s="461"/>
      <c r="V10" s="461">
        <f>IFERROR(_xlfn.XLOOKUP(#REF!, Contract_Edits[Index], Contract_Edits[Notes]), Table2[[#This Row],[Dep Titles]])</f>
        <v>0</v>
      </c>
      <c r="W10" s="487" t="s">
        <v>357</v>
      </c>
      <c r="X10" s="485" t="str">
        <f>IFERROR(_xlfn.XLOOKUP(Table2[[#This Row],[Index]], Contract_Edits[Index], Contract_Edits[Done]), Table2[[#This Row],[Approve]])</f>
        <v>Yes</v>
      </c>
      <c r="Y10" s="485" t="str">
        <f>IFERROR(_xlfn.XLOOKUP(#REF!, Contract_Edits[Index], Contract_Edits[Paid]), Table2[[#This Row],[Done]])</f>
        <v>Yes</v>
      </c>
      <c r="Z10" s="485"/>
      <c r="AA10" s="193"/>
      <c r="AB10" s="193"/>
      <c r="AC10" s="35"/>
      <c r="AD10" s="35"/>
      <c r="AE10" s="35" t="str">
        <f>IFERROR(+IF('Gnatt Chart'!AE$23=#REF!,Milestone_Marker,IF(AND('Gnatt Chart'!AE$23&gt;#REF!,'Gnatt Chart'!AE$23&lt;#REF!+#REF!),#REF!,"")),"")</f>
        <v/>
      </c>
      <c r="AF10" s="35"/>
      <c r="AG10" s="35"/>
      <c r="AH10" s="35"/>
      <c r="AI10" s="35"/>
      <c r="AJ10" s="35"/>
      <c r="AK10" s="490"/>
      <c r="AL10" s="490"/>
      <c r="AM10" s="490"/>
      <c r="AN10" s="49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4" t="s">
        <v>550</v>
      </c>
      <c r="B11" t="s">
        <v>545</v>
      </c>
      <c r="C11" s="454" t="s">
        <v>580</v>
      </c>
      <c r="D11" s="454" t="s">
        <v>581</v>
      </c>
      <c r="E11" s="455">
        <v>1</v>
      </c>
      <c r="F11" s="456">
        <f>+Lumber!L112</f>
        <v>-310.864125</v>
      </c>
      <c r="G11" s="456">
        <f t="shared" si="7"/>
        <v>-310.864125</v>
      </c>
      <c r="H11" s="456"/>
      <c r="I11" s="460"/>
      <c r="J11" s="455">
        <v>912</v>
      </c>
      <c r="K11" s="460"/>
      <c r="L11" s="461"/>
      <c r="M11" s="461">
        <f>IFERROR(_xlfn.XLOOKUP(Table2[[#This Row],[Index]], Contract_Edits[Index], Contract_Edits[Dep]), Table2[[#This Row],[Index2]])</f>
        <v>7</v>
      </c>
      <c r="N11" s="461">
        <f>IFERROR(_xlfn.XLOOKUP(Table2[[#This Row],[Index]], Contract_Edits[Index], Contract_Edits[Group]), Table2[[#This Row],[Index2]])</f>
        <v>1</v>
      </c>
      <c r="O11" s="461"/>
      <c r="P11" s="458">
        <f>IFERROR(_xlfn.XLOOKUP(Table2[[#This Row],[Index]], Contract_Edits[Index], Contract_Edits[Order]), Table2[[#This Row],[Order]])</f>
        <v>65.010100000000008</v>
      </c>
      <c r="Q11" s="458">
        <f>IFERROR(_xlfn.XLOOKUP(Table2[[#This Row],[Index]], Contract_Edits[Index], Contract_Edits[Start]), Table2[[#This Row],[Start]])</f>
        <v>0</v>
      </c>
      <c r="R11" s="462"/>
      <c r="S11" s="458">
        <v>0</v>
      </c>
      <c r="T11" s="461"/>
      <c r="U11" s="461"/>
      <c r="V11" s="461">
        <f>IFERROR(_xlfn.XLOOKUP(#REF!, Contract_Edits[Index], Contract_Edits[Notes]), Table2[[#This Row],[Dep Titles]])</f>
        <v>0</v>
      </c>
      <c r="W11" s="487" t="s">
        <v>357</v>
      </c>
      <c r="X11" s="485" t="str">
        <f>IFERROR(_xlfn.XLOOKUP(Table2[[#This Row],[Index]], Contract_Edits[Index], Contract_Edits[Done]), Table2[[#This Row],[Approve]])</f>
        <v>Yes</v>
      </c>
      <c r="Y11" s="485" t="str">
        <f>IFERROR(_xlfn.XLOOKUP(#REF!, Contract_Edits[Index], Contract_Edits[Paid]), Table2[[#This Row],[Done]])</f>
        <v>Yes</v>
      </c>
      <c r="Z11" s="485"/>
      <c r="AA11" s="193"/>
      <c r="AB11" s="193"/>
      <c r="AC11" s="35"/>
      <c r="AD11" s="35"/>
      <c r="AE11" s="35" t="str">
        <f>IFERROR(+IF('Gnatt Chart'!AE$23=#REF!,Milestone_Marker,IF(AND('Gnatt Chart'!AE$23&gt;#REF!,'Gnatt Chart'!AE$23&lt;#REF!+#REF!),#REF!,"")),"")</f>
        <v/>
      </c>
      <c r="AF11" s="35"/>
      <c r="AG11" s="35"/>
      <c r="AH11" s="35"/>
      <c r="AI11" s="35"/>
      <c r="AJ11" s="35"/>
      <c r="AK11" s="490"/>
      <c r="AL11" s="490"/>
      <c r="AM11" s="490"/>
      <c r="AN11" s="49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4" t="s">
        <v>550</v>
      </c>
      <c r="B12" t="s">
        <v>545</v>
      </c>
      <c r="C12" s="454" t="s">
        <v>582</v>
      </c>
      <c r="D12" s="454" t="s">
        <v>583</v>
      </c>
      <c r="E12" s="455">
        <v>1</v>
      </c>
      <c r="F12" s="456">
        <f>+Cabinets!J52</f>
        <v>6726.5870099999993</v>
      </c>
      <c r="G12" s="456">
        <f t="shared" si="7"/>
        <v>6726.5870099999993</v>
      </c>
      <c r="H12" s="456"/>
      <c r="I12" s="460"/>
      <c r="J12" s="455">
        <v>904</v>
      </c>
      <c r="K12" s="460"/>
      <c r="L12" s="461"/>
      <c r="M12" s="461">
        <f>IFERROR(_xlfn.XLOOKUP(Table2[[#This Row],[Index]], Contract_Edits[Index], Contract_Edits[Dep]), Table2[[#This Row],[Index2]])</f>
        <v>14</v>
      </c>
      <c r="N12" s="461">
        <f>IFERROR(_xlfn.XLOOKUP(Table2[[#This Row],[Index]], Contract_Edits[Index], Contract_Edits[Group]), Table2[[#This Row],[Index2]])</f>
        <v>1</v>
      </c>
      <c r="O12" s="461"/>
      <c r="P12" s="458">
        <f>IFERROR(_xlfn.XLOOKUP(Table2[[#This Row],[Index]], Contract_Edits[Index], Contract_Edits[Order]), Table2[[#This Row],[Order]])</f>
        <v>135.0102</v>
      </c>
      <c r="Q12" s="458">
        <f>IFERROR(_xlfn.XLOOKUP(Table2[[#This Row],[Index]], Contract_Edits[Index], Contract_Edits[Start]), Table2[[#This Row],[Start]])</f>
        <v>0</v>
      </c>
      <c r="R12" s="462"/>
      <c r="S12" s="458">
        <v>0</v>
      </c>
      <c r="T12" s="461"/>
      <c r="U12" s="461"/>
      <c r="V12" s="461">
        <f>IFERROR(_xlfn.XLOOKUP(#REF!, Contract_Edits[Index], Contract_Edits[Notes]), Table2[[#This Row],[Dep Titles]])</f>
        <v>0</v>
      </c>
      <c r="W12" s="487" t="s">
        <v>357</v>
      </c>
      <c r="X12" s="485" t="str">
        <f>IFERROR(_xlfn.XLOOKUP(Table2[[#This Row],[Index]], Contract_Edits[Index], Contract_Edits[Done]), Table2[[#This Row],[Approve]])</f>
        <v>Yes</v>
      </c>
      <c r="Y12" s="485" t="str">
        <f>IFERROR(_xlfn.XLOOKUP(#REF!, Contract_Edits[Index], Contract_Edits[Paid]), Table2[[#This Row],[Done]])</f>
        <v>Yes</v>
      </c>
      <c r="Z12" s="485"/>
      <c r="AA12" s="193"/>
      <c r="AB12" s="193"/>
      <c r="AC12" s="35"/>
      <c r="AD12" s="35"/>
      <c r="AE12" s="35" t="str">
        <f>IFERROR(+IF('Gnatt Chart'!AE$23=#REF!,Milestone_Marker,IF(AND('Gnatt Chart'!AE$23&gt;#REF!,'Gnatt Chart'!AE$23&lt;#REF!+#REF!),#REF!,"")),"")</f>
        <v/>
      </c>
      <c r="AF12" s="35"/>
      <c r="AG12" s="35"/>
      <c r="AH12" s="35"/>
      <c r="AI12" s="35"/>
      <c r="AJ12" s="35"/>
      <c r="AK12" s="490"/>
      <c r="AL12" s="490"/>
      <c r="AM12" s="490"/>
      <c r="AN12" s="49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4" t="s">
        <v>550</v>
      </c>
      <c r="B13" t="s">
        <v>545</v>
      </c>
      <c r="C13" s="454" t="s">
        <v>462</v>
      </c>
      <c r="D13" s="454" t="s">
        <v>584</v>
      </c>
      <c r="E13" s="455">
        <v>1</v>
      </c>
      <c r="F13" s="456">
        <f>+'Windows &amp; Doors'!H44</f>
        <v>210.10060500000003</v>
      </c>
      <c r="G13" s="456">
        <f t="shared" si="7"/>
        <v>210.10060500000003</v>
      </c>
      <c r="H13" s="456"/>
      <c r="I13" s="460"/>
      <c r="J13" s="455">
        <v>903</v>
      </c>
      <c r="K13" s="460"/>
      <c r="L13" s="461"/>
      <c r="M13" s="461">
        <f>IFERROR(_xlfn.XLOOKUP(Table2[[#This Row],[Index]], Contract_Edits[Index], Contract_Edits[Dep]), Table2[[#This Row],[Index2]])</f>
        <v>15</v>
      </c>
      <c r="N13" s="461">
        <f>IFERROR(_xlfn.XLOOKUP(Table2[[#This Row],[Index]], Contract_Edits[Index], Contract_Edits[Group]), Table2[[#This Row],[Index2]])</f>
        <v>1</v>
      </c>
      <c r="O13" s="461"/>
      <c r="P13" s="458">
        <f>IFERROR(_xlfn.XLOOKUP(Table2[[#This Row],[Index]], Contract_Edits[Index], Contract_Edits[Order]), Table2[[#This Row],[Order]])</f>
        <v>145.01009999999999</v>
      </c>
      <c r="Q13" s="458">
        <f>IFERROR(_xlfn.XLOOKUP(Table2[[#This Row],[Index]], Contract_Edits[Index], Contract_Edits[Start]), Table2[[#This Row],[Start]])</f>
        <v>0</v>
      </c>
      <c r="R13" s="462"/>
      <c r="S13" s="458">
        <v>0</v>
      </c>
      <c r="T13" s="461"/>
      <c r="U13" s="461"/>
      <c r="V13" s="461">
        <f>IFERROR(_xlfn.XLOOKUP(#REF!, Contract_Edits[Index], Contract_Edits[Notes]), Table2[[#This Row],[Dep Titles]])</f>
        <v>0</v>
      </c>
      <c r="W13" s="487" t="s">
        <v>357</v>
      </c>
      <c r="X13" s="485" t="str">
        <f>IFERROR(_xlfn.XLOOKUP(Table2[[#This Row],[Index]], Contract_Edits[Index], Contract_Edits[Done]), Table2[[#This Row],[Approve]])</f>
        <v>Yes</v>
      </c>
      <c r="Y13" s="485" t="str">
        <f>IFERROR(_xlfn.XLOOKUP(#REF!, Contract_Edits[Index], Contract_Edits[Paid]), Table2[[#This Row],[Done]])</f>
        <v>Yes</v>
      </c>
      <c r="Z13" s="485"/>
      <c r="AC13" s="35"/>
      <c r="AD13" s="35"/>
      <c r="AE13" s="35" t="str">
        <f>IFERROR(+IF('Gnatt Chart'!AE$23=#REF!,Milestone_Marker,IF(AND('Gnatt Chart'!AE$23&gt;#REF!,'Gnatt Chart'!AE$23&lt;#REF!+#REF!),#REF!,"")),"")</f>
        <v/>
      </c>
      <c r="AF13" s="35"/>
      <c r="AG13" s="35"/>
      <c r="AH13" s="35"/>
      <c r="AI13" s="35"/>
      <c r="AJ13" s="35"/>
      <c r="AK13" s="490"/>
      <c r="AL13" s="490"/>
      <c r="AM13" s="490"/>
      <c r="AN13" s="49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4" t="s">
        <v>550</v>
      </c>
      <c r="B14" t="s">
        <v>546</v>
      </c>
      <c r="C14" s="454" t="s">
        <v>478</v>
      </c>
      <c r="D14" s="454" t="s">
        <v>585</v>
      </c>
      <c r="E14" s="455">
        <v>1</v>
      </c>
      <c r="F14" s="456">
        <f>+Appliances!I31</f>
        <v>150</v>
      </c>
      <c r="G14" s="456">
        <f t="shared" si="7"/>
        <v>150</v>
      </c>
      <c r="H14" s="456"/>
      <c r="I14" s="460"/>
      <c r="J14" s="455">
        <v>901</v>
      </c>
      <c r="K14" s="460"/>
      <c r="L14" s="461"/>
      <c r="M14" s="461">
        <f>IFERROR(_xlfn.XLOOKUP(Table2[[#This Row],[Index]], Contract_Edits[Index], Contract_Edits[Dep]), Table2[[#This Row],[Index2]])</f>
        <v>16</v>
      </c>
      <c r="N14" s="461">
        <f>IFERROR(_xlfn.XLOOKUP(Table2[[#This Row],[Index]], Contract_Edits[Index], Contract_Edits[Group]), Table2[[#This Row],[Index2]])</f>
        <v>1</v>
      </c>
      <c r="O14" s="461"/>
      <c r="P14" s="458">
        <f>IFERROR(_xlfn.XLOOKUP(Table2[[#This Row],[Index]], Contract_Edits[Index], Contract_Edits[Order]), Table2[[#This Row],[Order]])</f>
        <v>155.01009999999999</v>
      </c>
      <c r="Q14" s="458">
        <f>IFERROR(_xlfn.XLOOKUP(Table2[[#This Row],[Index]], Contract_Edits[Index], Contract_Edits[Start]), Table2[[#This Row],[Start]])</f>
        <v>0</v>
      </c>
      <c r="R14" s="462"/>
      <c r="S14" s="458">
        <v>0</v>
      </c>
      <c r="T14" s="461"/>
      <c r="U14" s="461"/>
      <c r="V14" s="461">
        <f>IFERROR(_xlfn.XLOOKUP(#REF!, Contract_Edits[Index], Contract_Edits[Notes]), Table2[[#This Row],[Dep Titles]])</f>
        <v>0</v>
      </c>
      <c r="W14" s="487" t="s">
        <v>357</v>
      </c>
      <c r="X14" s="485" t="str">
        <f>IFERROR(_xlfn.XLOOKUP(Table2[[#This Row],[Index]], Contract_Edits[Index], Contract_Edits[Done]), Table2[[#This Row],[Approve]])</f>
        <v>Yes</v>
      </c>
      <c r="Y14" s="485" t="str">
        <f>IFERROR(_xlfn.XLOOKUP(#REF!, Contract_Edits[Index], Contract_Edits[Paid]), Table2[[#This Row],[Done]])</f>
        <v>Yes</v>
      </c>
      <c r="Z14" s="485"/>
      <c r="AA14" s="193"/>
      <c r="AB14" s="193"/>
      <c r="AC14" s="35"/>
      <c r="AD14" s="35"/>
      <c r="AE14" s="35" t="str">
        <f>IFERROR(+IF('Gnatt Chart'!AE$23=#REF!,Milestone_Marker,IF(AND('Gnatt Chart'!AE$23&gt;#REF!,'Gnatt Chart'!AE$23&lt;#REF!+#REF!),#REF!,"")),"")</f>
        <v/>
      </c>
      <c r="AF14" s="35"/>
      <c r="AG14" s="35"/>
      <c r="AH14" s="35"/>
      <c r="AI14" s="35"/>
      <c r="AJ14" s="35"/>
      <c r="AK14" s="490"/>
      <c r="AL14" s="490"/>
      <c r="AM14" s="490"/>
      <c r="AN14" s="49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4" t="s">
        <v>550</v>
      </c>
      <c r="B15" t="s">
        <v>545</v>
      </c>
      <c r="C15" s="454" t="s">
        <v>452</v>
      </c>
      <c r="D15" s="454" t="s">
        <v>586</v>
      </c>
      <c r="E15" s="455">
        <v>1</v>
      </c>
      <c r="F15" s="456">
        <f>+'Electrical Fixtures'!H36</f>
        <v>0</v>
      </c>
      <c r="G15" s="456">
        <f t="shared" si="7"/>
        <v>0</v>
      </c>
      <c r="H15" s="456"/>
      <c r="I15" s="460"/>
      <c r="J15" s="455">
        <v>907</v>
      </c>
      <c r="K15" s="460"/>
      <c r="L15" s="461"/>
      <c r="M15" s="461">
        <f>IFERROR(_xlfn.XLOOKUP(Table2[[#This Row],[Index]], Contract_Edits[Index], Contract_Edits[Dep]), Table2[[#This Row],[Index2]])</f>
        <v>16</v>
      </c>
      <c r="N15" s="461">
        <f>IFERROR(_xlfn.XLOOKUP(Table2[[#This Row],[Index]], Contract_Edits[Index], Contract_Edits[Group]), Table2[[#This Row],[Index2]])</f>
        <v>1</v>
      </c>
      <c r="O15" s="461"/>
      <c r="P15" s="458">
        <f>IFERROR(_xlfn.XLOOKUP(Table2[[#This Row],[Index]], Contract_Edits[Index], Contract_Edits[Order]), Table2[[#This Row],[Order]])</f>
        <v>155.0102</v>
      </c>
      <c r="Q15" s="458">
        <f>IFERROR(_xlfn.XLOOKUP(Table2[[#This Row],[Index]], Contract_Edits[Index], Contract_Edits[Start]), Table2[[#This Row],[Start]])</f>
        <v>0</v>
      </c>
      <c r="R15" s="462"/>
      <c r="S15" s="458">
        <v>0</v>
      </c>
      <c r="T15" s="461"/>
      <c r="U15" s="461"/>
      <c r="V15" s="461">
        <f>IFERROR(_xlfn.XLOOKUP(#REF!, Contract_Edits[Index], Contract_Edits[Notes]), Table2[[#This Row],[Dep Titles]])</f>
        <v>0</v>
      </c>
      <c r="W15" s="487" t="s">
        <v>357</v>
      </c>
      <c r="X15" s="485" t="str">
        <f>IFERROR(_xlfn.XLOOKUP(Table2[[#This Row],[Index]], Contract_Edits[Index], Contract_Edits[Done]), Table2[[#This Row],[Approve]])</f>
        <v>Yes</v>
      </c>
      <c r="Y15" s="485" t="str">
        <f>IFERROR(_xlfn.XLOOKUP(#REF!, Contract_Edits[Index], Contract_Edits[Paid]), Table2[[#This Row],[Done]])</f>
        <v>Yes</v>
      </c>
      <c r="Z15" s="485"/>
      <c r="AA15" s="193"/>
      <c r="AB15" s="193"/>
      <c r="AC15" s="35"/>
      <c r="AD15" s="35"/>
      <c r="AE15" s="35" t="str">
        <f>IFERROR(+IF('Gnatt Chart'!AE$23=#REF!,Milestone_Marker,IF(AND('Gnatt Chart'!AE$23&gt;#REF!,'Gnatt Chart'!AE$23&lt;#REF!+#REF!),#REF!,"")),"")</f>
        <v/>
      </c>
      <c r="AF15" s="35"/>
      <c r="AG15" s="35"/>
      <c r="AH15" s="35"/>
      <c r="AI15" s="35"/>
      <c r="AJ15" s="35"/>
      <c r="AK15" s="490"/>
      <c r="AL15" s="490"/>
      <c r="AM15" s="490"/>
      <c r="AN15" s="49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4" t="s">
        <v>550</v>
      </c>
      <c r="B16" t="s">
        <v>545</v>
      </c>
      <c r="C16" s="454" t="s">
        <v>441</v>
      </c>
      <c r="D16" s="454" t="s">
        <v>587</v>
      </c>
      <c r="E16" s="455">
        <v>1</v>
      </c>
      <c r="F16" s="456">
        <f>+'Plumbing Fixtures'!I32</f>
        <v>44.58382499999999</v>
      </c>
      <c r="G16" s="456">
        <f t="shared" si="7"/>
        <v>44.58382499999999</v>
      </c>
      <c r="H16" s="456"/>
      <c r="I16" s="460"/>
      <c r="J16" s="455">
        <v>902</v>
      </c>
      <c r="K16" s="460"/>
      <c r="L16" s="461"/>
      <c r="M16" s="461">
        <f>IFERROR(_xlfn.XLOOKUP(Table2[[#This Row],[Index]], Contract_Edits[Index], Contract_Edits[Dep]), Table2[[#This Row],[Index2]])</f>
        <v>17</v>
      </c>
      <c r="N16" s="461">
        <f>IFERROR(_xlfn.XLOOKUP(Table2[[#This Row],[Index]], Contract_Edits[Index], Contract_Edits[Group]), Table2[[#This Row],[Index2]])</f>
        <v>1</v>
      </c>
      <c r="O16" s="461"/>
      <c r="P16" s="458">
        <f>IFERROR(_xlfn.XLOOKUP(Table2[[#This Row],[Index]], Contract_Edits[Index], Contract_Edits[Order]), Table2[[#This Row],[Order]])</f>
        <v>165.0102</v>
      </c>
      <c r="Q16" s="458">
        <f>IFERROR(_xlfn.XLOOKUP(Table2[[#This Row],[Index]], Contract_Edits[Index], Contract_Edits[Start]), Table2[[#This Row],[Start]])</f>
        <v>0</v>
      </c>
      <c r="R16" s="462"/>
      <c r="S16" s="458">
        <v>0</v>
      </c>
      <c r="T16" s="461"/>
      <c r="U16" s="461"/>
      <c r="V16" s="461">
        <f>IFERROR(_xlfn.XLOOKUP(#REF!, Contract_Edits[Index], Contract_Edits[Notes]), Table2[[#This Row],[Dep Titles]])</f>
        <v>0</v>
      </c>
      <c r="W16" s="487" t="s">
        <v>357</v>
      </c>
      <c r="X16" s="485" t="str">
        <f>IFERROR(_xlfn.XLOOKUP(Table2[[#This Row],[Index]], Contract_Edits[Index], Contract_Edits[Done]), Table2[[#This Row],[Approve]])</f>
        <v>Yes</v>
      </c>
      <c r="Y16" s="485" t="str">
        <f>IFERROR(_xlfn.XLOOKUP(#REF!, Contract_Edits[Index], Contract_Edits[Paid]), Table2[[#This Row],[Done]])</f>
        <v>Yes</v>
      </c>
      <c r="Z16" s="485"/>
      <c r="AA16" s="193"/>
      <c r="AB16" s="193"/>
      <c r="AC16" s="35"/>
      <c r="AD16" s="35"/>
      <c r="AE16" s="35" t="str">
        <f>IFERROR(+IF('Gnatt Chart'!AE$23=#REF!,Milestone_Marker,IF(AND('Gnatt Chart'!AE$23&gt;#REF!,'Gnatt Chart'!AE$23&lt;#REF!+#REF!),#REF!,"")),"")</f>
        <v/>
      </c>
      <c r="AF16" s="35"/>
      <c r="AG16" s="35"/>
      <c r="AH16" s="35"/>
      <c r="AI16" s="35"/>
      <c r="AJ16" s="35"/>
      <c r="AK16" s="490"/>
      <c r="AL16" s="490"/>
      <c r="AM16" s="490"/>
      <c r="AN16" s="49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49" t="s">
        <v>588</v>
      </c>
      <c r="BG16" s="450"/>
      <c r="BH16" s="450"/>
      <c r="BI16" s="450"/>
      <c r="BJ16" s="450"/>
      <c r="BK16" s="450"/>
      <c r="BL16" s="450"/>
      <c r="BM16" s="45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4" t="s">
        <v>550</v>
      </c>
      <c r="B17" t="s">
        <v>545</v>
      </c>
      <c r="C17" s="454" t="s">
        <v>453</v>
      </c>
      <c r="D17" s="454" t="s">
        <v>589</v>
      </c>
      <c r="E17" s="455">
        <v>1</v>
      </c>
      <c r="F17" s="456">
        <f>+HVAC!I18</f>
        <v>8621</v>
      </c>
      <c r="G17" s="456">
        <f t="shared" si="7"/>
        <v>8621</v>
      </c>
      <c r="H17" s="456"/>
      <c r="I17" s="460"/>
      <c r="J17" s="455">
        <v>911</v>
      </c>
      <c r="K17" s="460"/>
      <c r="L17" s="461"/>
      <c r="M17" s="461">
        <f>IFERROR(_xlfn.XLOOKUP(Table2[[#This Row],[Index]], Contract_Edits[Index], Contract_Edits[Dep]), Table2[[#This Row],[Index2]])</f>
        <v>19</v>
      </c>
      <c r="N17" s="461">
        <f>IFERROR(_xlfn.XLOOKUP(Table2[[#This Row],[Index]], Contract_Edits[Index], Contract_Edits[Group]), Table2[[#This Row],[Index2]])</f>
        <v>1</v>
      </c>
      <c r="O17" s="461"/>
      <c r="P17" s="458">
        <f>IFERROR(_xlfn.XLOOKUP(Table2[[#This Row],[Index]], Contract_Edits[Index], Contract_Edits[Order]), Table2[[#This Row],[Order]])</f>
        <v>185.01009999999999</v>
      </c>
      <c r="Q17" s="458">
        <f>IFERROR(_xlfn.XLOOKUP(Table2[[#This Row],[Index]], Contract_Edits[Index], Contract_Edits[Start]), Table2[[#This Row],[Start]])</f>
        <v>0</v>
      </c>
      <c r="R17" s="462"/>
      <c r="S17" s="458">
        <v>0</v>
      </c>
      <c r="T17" s="461"/>
      <c r="U17" s="461"/>
      <c r="V17" s="461">
        <f>IFERROR(_xlfn.XLOOKUP(#REF!, Contract_Edits[Index], Contract_Edits[Notes]), Table2[[#This Row],[Dep Titles]])</f>
        <v>0</v>
      </c>
      <c r="W17" s="487" t="s">
        <v>357</v>
      </c>
      <c r="X17" s="485" t="str">
        <f>IFERROR(_xlfn.XLOOKUP(Table2[[#This Row],[Index]], Contract_Edits[Index], Contract_Edits[Done]), Table2[[#This Row],[Approve]])</f>
        <v>Yes</v>
      </c>
      <c r="Y17" s="485" t="str">
        <f>IFERROR(_xlfn.XLOOKUP(#REF!, Contract_Edits[Index], Contract_Edits[Paid]), Table2[[#This Row],[Done]])</f>
        <v>Yes</v>
      </c>
      <c r="Z17" s="485"/>
      <c r="AA17" s="193"/>
      <c r="AB17" s="193"/>
      <c r="AC17" s="35"/>
      <c r="AD17" s="35"/>
      <c r="AE17" s="35" t="str">
        <f>IFERROR(+IF('Gnatt Chart'!AE$23=#REF!,Milestone_Marker,IF(AND('Gnatt Chart'!AE$23&gt;#REF!,'Gnatt Chart'!AE$23&lt;#REF!+#REF!),#REF!,"")),"")</f>
        <v/>
      </c>
      <c r="AF17" s="35"/>
      <c r="AG17" s="35"/>
      <c r="AH17" s="35"/>
      <c r="AI17" s="35"/>
      <c r="AJ17" s="35"/>
      <c r="AK17" s="490"/>
      <c r="AL17" s="490"/>
      <c r="AM17" s="490"/>
      <c r="AN17" s="49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0"/>
      <c r="BG17" s="450"/>
      <c r="BH17" s="450"/>
      <c r="BI17" s="450"/>
      <c r="BJ17" s="450"/>
      <c r="BK17" s="450"/>
      <c r="BL17" s="450"/>
      <c r="BM17" s="45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4" t="s">
        <v>550</v>
      </c>
      <c r="B18" t="s">
        <v>546</v>
      </c>
      <c r="C18" s="454" t="s">
        <v>590</v>
      </c>
      <c r="D18" s="454" t="s">
        <v>591</v>
      </c>
      <c r="E18" s="455">
        <v>1</v>
      </c>
      <c r="F18" s="456">
        <f>+Flooring!I22</f>
        <v>5905.82</v>
      </c>
      <c r="G18" s="456">
        <f t="shared" si="7"/>
        <v>5905.82</v>
      </c>
      <c r="H18" s="456"/>
      <c r="I18" s="460"/>
      <c r="J18" s="455">
        <v>906</v>
      </c>
      <c r="K18" s="460"/>
      <c r="L18" s="461"/>
      <c r="M18" s="461">
        <f>IFERROR(_xlfn.XLOOKUP(Table2[[#This Row],[Index]], Contract_Edits[Index], Contract_Edits[Dep]), Table2[[#This Row],[Index2]])</f>
        <v>20</v>
      </c>
      <c r="N18" s="461">
        <f>IFERROR(_xlfn.XLOOKUP(Table2[[#This Row],[Index]], Contract_Edits[Index], Contract_Edits[Group]), Table2[[#This Row],[Index2]])</f>
        <v>1</v>
      </c>
      <c r="O18" s="461"/>
      <c r="P18" s="458">
        <f>IFERROR(_xlfn.XLOOKUP(Table2[[#This Row],[Index]], Contract_Edits[Index], Contract_Edits[Order]), Table2[[#This Row],[Order]])</f>
        <v>195.01009999999999</v>
      </c>
      <c r="Q18" s="458">
        <f>IFERROR(_xlfn.XLOOKUP(Table2[[#This Row],[Index]], Contract_Edits[Index], Contract_Edits[Start]), Table2[[#This Row],[Start]])</f>
        <v>0</v>
      </c>
      <c r="R18" s="462"/>
      <c r="S18" s="458">
        <v>0</v>
      </c>
      <c r="T18" s="461"/>
      <c r="U18" s="461"/>
      <c r="V18" s="461">
        <f>IFERROR(_xlfn.XLOOKUP(#REF!, Contract_Edits[Index], Contract_Edits[Notes]), Table2[[#This Row],[Dep Titles]])</f>
        <v>0</v>
      </c>
      <c r="W18" s="487" t="s">
        <v>357</v>
      </c>
      <c r="X18" s="485" t="str">
        <f>IFERROR(_xlfn.XLOOKUP(Table2[[#This Row],[Index]], Contract_Edits[Index], Contract_Edits[Done]), Table2[[#This Row],[Approve]])</f>
        <v>Yes</v>
      </c>
      <c r="Y18" s="485" t="str">
        <f>IFERROR(_xlfn.XLOOKUP(#REF!, Contract_Edits[Index], Contract_Edits[Paid]), Table2[[#This Row],[Done]])</f>
        <v>Yes</v>
      </c>
      <c r="Z18" s="485"/>
      <c r="AA18" s="193"/>
      <c r="AB18" s="193"/>
      <c r="AC18" s="35"/>
      <c r="AD18" s="35"/>
      <c r="AE18" s="35" t="str">
        <f>IFERROR(+IF('Gnatt Chart'!AE$23=#REF!,Milestone_Marker,IF(AND('Gnatt Chart'!AE$23&gt;#REF!,'Gnatt Chart'!AE$23&lt;#REF!+#REF!),#REF!,"")),"")</f>
        <v/>
      </c>
      <c r="AF18" s="35"/>
      <c r="AG18" s="35"/>
      <c r="AH18" s="35"/>
      <c r="AI18" s="35"/>
      <c r="AJ18" s="35"/>
      <c r="AK18" s="490"/>
      <c r="AL18" s="490"/>
      <c r="AM18" s="490"/>
      <c r="AN18" s="49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4" t="s">
        <v>550</v>
      </c>
      <c r="B19" t="s">
        <v>546</v>
      </c>
      <c r="C19" s="454" t="s">
        <v>468</v>
      </c>
      <c r="D19" s="454" t="s">
        <v>592</v>
      </c>
      <c r="E19" s="455">
        <v>1</v>
      </c>
      <c r="F19" s="456">
        <f>+Paint!L55</f>
        <v>8333.2037</v>
      </c>
      <c r="G19" s="456">
        <f t="shared" si="7"/>
        <v>8333.2037</v>
      </c>
      <c r="H19" s="456"/>
      <c r="I19" s="460"/>
      <c r="J19" s="455">
        <v>905</v>
      </c>
      <c r="K19" s="460"/>
      <c r="L19" s="461"/>
      <c r="M19" s="461">
        <f>IFERROR(_xlfn.XLOOKUP(Table2[[#This Row],[Index]], Contract_Edits[Index], Contract_Edits[Dep]), Table2[[#This Row],[Index2]])</f>
        <v>23</v>
      </c>
      <c r="N19" s="461">
        <f>IFERROR(_xlfn.XLOOKUP(Table2[[#This Row],[Index]], Contract_Edits[Index], Contract_Edits[Group]), Table2[[#This Row],[Index2]])</f>
        <v>1</v>
      </c>
      <c r="O19" s="461"/>
      <c r="P19" s="458">
        <f>IFERROR(_xlfn.XLOOKUP(Table2[[#This Row],[Index]], Contract_Edits[Index], Contract_Edits[Order]), Table2[[#This Row],[Order]])</f>
        <v>225.01009999999999</v>
      </c>
      <c r="Q19" s="458">
        <f>IFERROR(_xlfn.XLOOKUP(Table2[[#This Row],[Index]], Contract_Edits[Index], Contract_Edits[Start]), Table2[[#This Row],[Start]])</f>
        <v>0</v>
      </c>
      <c r="R19" s="462"/>
      <c r="S19" s="458">
        <v>0</v>
      </c>
      <c r="T19" s="461"/>
      <c r="U19" s="461"/>
      <c r="V19" s="461">
        <f>IFERROR(_xlfn.XLOOKUP(#REF!, Contract_Edits[Index], Contract_Edits[Notes]), Table2[[#This Row],[Dep Titles]])</f>
        <v>0</v>
      </c>
      <c r="W19" s="487" t="s">
        <v>357</v>
      </c>
      <c r="X19" s="485" t="str">
        <f>IFERROR(_xlfn.XLOOKUP(Table2[[#This Row],[Index]], Contract_Edits[Index], Contract_Edits[Done]), Table2[[#This Row],[Approve]])</f>
        <v>Yes</v>
      </c>
      <c r="Y19" s="485" t="str">
        <f>IFERROR(_xlfn.XLOOKUP(#REF!, Contract_Edits[Index], Contract_Edits[Paid]), Table2[[#This Row],[Done]])</f>
        <v>Yes</v>
      </c>
      <c r="Z19" s="485"/>
      <c r="AA19" s="193"/>
      <c r="AB19" s="193"/>
      <c r="AC19" s="35"/>
      <c r="AD19" s="35"/>
      <c r="AE19" s="35" t="str">
        <f>IFERROR(+IF('Gnatt Chart'!AE$23=#REF!,Milestone_Marker,IF(AND('Gnatt Chart'!AE$23&gt;#REF!,'Gnatt Chart'!AE$23&lt;#REF!+#REF!),#REF!,"")),"")</f>
        <v/>
      </c>
      <c r="AF19" s="35"/>
      <c r="AG19" s="35"/>
      <c r="AH19" s="35"/>
      <c r="AI19" s="35"/>
      <c r="AJ19" s="35"/>
      <c r="AK19" s="490"/>
      <c r="AL19" s="490"/>
      <c r="AM19" s="490"/>
      <c r="AN19" s="49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4" t="s">
        <v>550</v>
      </c>
      <c r="B20" t="s">
        <v>545</v>
      </c>
      <c r="C20" s="454" t="s">
        <v>476</v>
      </c>
      <c r="D20" s="454" t="s">
        <v>593</v>
      </c>
      <c r="E20" s="455">
        <v>1</v>
      </c>
      <c r="F20" s="456">
        <f>+Exterior!F22</f>
        <v>0</v>
      </c>
      <c r="G20" s="456">
        <f t="shared" si="7"/>
        <v>0</v>
      </c>
      <c r="H20" s="456"/>
      <c r="I20" s="460"/>
      <c r="J20" s="455">
        <v>909</v>
      </c>
      <c r="K20" s="460"/>
      <c r="L20" s="461"/>
      <c r="M20" s="461">
        <f>IFERROR(_xlfn.XLOOKUP(Table2[[#This Row],[Index]], Contract_Edits[Index], Contract_Edits[Dep]), Table2[[#This Row],[Index2]])</f>
        <v>28</v>
      </c>
      <c r="N20" s="461">
        <f>IFERROR(_xlfn.XLOOKUP(Table2[[#This Row],[Index]], Contract_Edits[Index], Contract_Edits[Group]), Table2[[#This Row],[Index2]])</f>
        <v>1</v>
      </c>
      <c r="O20" s="461"/>
      <c r="P20" s="458">
        <f>IFERROR(_xlfn.XLOOKUP(Table2[[#This Row],[Index]], Contract_Edits[Index], Contract_Edits[Order]), Table2[[#This Row],[Order]])</f>
        <v>275.01009999999997</v>
      </c>
      <c r="Q20" s="458">
        <f>IFERROR(_xlfn.XLOOKUP(Table2[[#This Row],[Index]], Contract_Edits[Index], Contract_Edits[Start]), Table2[[#This Row],[Start]])</f>
        <v>0</v>
      </c>
      <c r="R20" s="462"/>
      <c r="S20" s="458">
        <v>0</v>
      </c>
      <c r="T20" s="461"/>
      <c r="U20" s="461"/>
      <c r="V20" s="461">
        <f>IFERROR(_xlfn.XLOOKUP(#REF!, Contract_Edits[Index], Contract_Edits[Notes]), Table2[[#This Row],[Dep Titles]])</f>
        <v>0</v>
      </c>
      <c r="W20" s="487" t="s">
        <v>357</v>
      </c>
      <c r="X20" s="485" t="str">
        <f>IFERROR(_xlfn.XLOOKUP(Table2[[#This Row],[Index]], Contract_Edits[Index], Contract_Edits[Done]), Table2[[#This Row],[Approve]])</f>
        <v>Yes</v>
      </c>
      <c r="Y20" s="485" t="str">
        <f>IFERROR(_xlfn.XLOOKUP(#REF!, Contract_Edits[Index], Contract_Edits[Paid]), Table2[[#This Row],[Done]])</f>
        <v>Yes</v>
      </c>
      <c r="Z20" s="485"/>
      <c r="AA20" s="193"/>
      <c r="AB20" s="193"/>
      <c r="AC20" s="35"/>
      <c r="AD20" s="35"/>
      <c r="AE20" s="35" t="str">
        <f>IFERROR(+IF('Gnatt Chart'!AE$23=#REF!,Milestone_Marker,IF(AND('Gnatt Chart'!AE$23&gt;#REF!,'Gnatt Chart'!AE$23&lt;#REF!+#REF!),#REF!,"")),"")</f>
        <v/>
      </c>
      <c r="AF20" s="35"/>
      <c r="AG20" s="35"/>
      <c r="AH20" s="35"/>
      <c r="AI20" s="35"/>
      <c r="AJ20" s="35"/>
      <c r="AK20" s="490"/>
      <c r="AL20" s="490"/>
      <c r="AM20" s="490"/>
      <c r="AN20" s="49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4" t="s">
        <v>550</v>
      </c>
      <c r="B21" t="s">
        <v>546</v>
      </c>
      <c r="C21" s="454" t="s">
        <v>594</v>
      </c>
      <c r="D21" s="454" t="s">
        <v>595</v>
      </c>
      <c r="E21" s="455">
        <v>1</v>
      </c>
      <c r="F21" s="456">
        <f>+Landscape!G17</f>
        <v>270</v>
      </c>
      <c r="G21" s="456">
        <f t="shared" si="7"/>
        <v>270</v>
      </c>
      <c r="H21" s="456"/>
      <c r="I21" s="460"/>
      <c r="J21" s="455">
        <v>910</v>
      </c>
      <c r="K21" s="460"/>
      <c r="L21" s="461"/>
      <c r="M21" s="461">
        <f>IFERROR(_xlfn.XLOOKUP(Table2[[#This Row],[Index]], Contract_Edits[Index], Contract_Edits[Dep]), Table2[[#This Row],[Index2]])</f>
        <v>28</v>
      </c>
      <c r="N21" s="461">
        <f>IFERROR(_xlfn.XLOOKUP(Table2[[#This Row],[Index]], Contract_Edits[Index], Contract_Edits[Group]), Table2[[#This Row],[Index2]])</f>
        <v>1</v>
      </c>
      <c r="O21" s="461"/>
      <c r="P21" s="458">
        <f>IFERROR(_xlfn.XLOOKUP(Table2[[#This Row],[Index]], Contract_Edits[Index], Contract_Edits[Order]), Table2[[#This Row],[Order]])</f>
        <v>275.0102</v>
      </c>
      <c r="Q21" s="458">
        <f>IFERROR(_xlfn.XLOOKUP(Table2[[#This Row],[Index]], Contract_Edits[Index], Contract_Edits[Start]), Table2[[#This Row],[Start]])</f>
        <v>0</v>
      </c>
      <c r="R21" s="462"/>
      <c r="S21" s="458">
        <v>0</v>
      </c>
      <c r="T21" s="461"/>
      <c r="U21" s="461"/>
      <c r="V21" s="461">
        <f>IFERROR(_xlfn.XLOOKUP(#REF!, Contract_Edits[Index], Contract_Edits[Notes]), Table2[[#This Row],[Dep Titles]])</f>
        <v>0</v>
      </c>
      <c r="W21" s="487" t="s">
        <v>357</v>
      </c>
      <c r="X21" s="485" t="str">
        <f>IFERROR(_xlfn.XLOOKUP(Table2[[#This Row],[Index]], Contract_Edits[Index], Contract_Edits[Done]), Table2[[#This Row],[Approve]])</f>
        <v>Yes</v>
      </c>
      <c r="Y21" s="485" t="str">
        <f>IFERROR(_xlfn.XLOOKUP(#REF!, Contract_Edits[Index], Contract_Edits[Paid]), Table2[[#This Row],[Done]])</f>
        <v>Yes</v>
      </c>
      <c r="Z21" s="485"/>
      <c r="AA21" s="193"/>
      <c r="AB21" s="193"/>
      <c r="AC21" s="35"/>
      <c r="AD21" s="35"/>
      <c r="AE21" s="35" t="str">
        <f>IFERROR(+IF('Gnatt Chart'!AE$23=#REF!,Milestone_Marker,IF(AND('Gnatt Chart'!AE$23&gt;#REF!,'Gnatt Chart'!AE$23&lt;#REF!+#REF!),#REF!,"")),"")</f>
        <v/>
      </c>
      <c r="AF21" s="35"/>
      <c r="AG21" s="35"/>
      <c r="AH21" s="35"/>
      <c r="AI21" s="35"/>
      <c r="AJ21" s="35"/>
      <c r="AK21" s="490"/>
      <c r="AL21" s="490"/>
      <c r="AM21" s="490"/>
      <c r="AN21" s="49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4" t="s">
        <v>550</v>
      </c>
      <c r="B22" t="s">
        <v>545</v>
      </c>
      <c r="C22" s="454" t="s">
        <v>596</v>
      </c>
      <c r="D22" s="454" t="s">
        <v>597</v>
      </c>
      <c r="E22" s="455">
        <v>0</v>
      </c>
      <c r="F22" s="456">
        <f>+Furnishing!G18</f>
        <v>0</v>
      </c>
      <c r="G22" s="456">
        <f t="shared" si="7"/>
        <v>0</v>
      </c>
      <c r="H22" s="456"/>
      <c r="I22" s="463"/>
      <c r="J22" s="455">
        <v>913</v>
      </c>
      <c r="K22" s="463"/>
      <c r="L22" s="464"/>
      <c r="M22" s="464">
        <f>IFERROR( _xlfn.XLOOKUP(#REF!, Contract_Edits[Index],#REF!), Table2[[#This Row],[Date]])</f>
        <v>0</v>
      </c>
      <c r="N22" s="461">
        <f>IFERROR(_xlfn.XLOOKUP(Table2[[#This Row],[Index]], Contract_Edits[Index], Contract_Edits[Group]), Table2[[#This Row],[Index2]])</f>
        <v>1</v>
      </c>
      <c r="O22" s="464"/>
      <c r="P22" s="458">
        <f>IFERROR(_xlfn.XLOOKUP(Table2[[#This Row],[Index]], Contract_Edits[Index], Contract_Edits[Order]), Table2[[#This Row],[Order]])</f>
        <v>9999.0100999999995</v>
      </c>
      <c r="Q22" s="458">
        <f>IFERROR(_xlfn.XLOOKUP(Table2[[#This Row],[Index]], Contract_Edits[Index], Contract_Edits[Start]), Table2[[#This Row],[Start]])</f>
        <v>0</v>
      </c>
      <c r="R22" s="465"/>
      <c r="S22" s="464">
        <v>0</v>
      </c>
      <c r="T22" s="464"/>
      <c r="U22" s="464"/>
      <c r="V22" s="464">
        <f>IFERROR(_xlfn.XLOOKUP(#REF!, Contract_Edits[Index], Contract_Edits[Notes]), Table2[[#This Row],[Dep Titles]])</f>
        <v>0</v>
      </c>
      <c r="W22" s="487" t="s">
        <v>598</v>
      </c>
      <c r="X22" s="486" t="str">
        <f>IFERROR(_xlfn.XLOOKUP(Table2[[#This Row],[Index]], Contract_Edits[Index], Contract_Edits[Done]), Table2[[#This Row],[Approve]])</f>
        <v>No</v>
      </c>
      <c r="Y22" s="486" t="str">
        <f>IFERROR(_xlfn.XLOOKUP(#REF!, Contract_Edits[Index], Contract_Edits[Paid]), Table2[[#This Row],[Done]])</f>
        <v>No</v>
      </c>
      <c r="Z22" s="486"/>
      <c r="AA22" s="464"/>
      <c r="AB22" s="464"/>
      <c r="AD22" s="193"/>
      <c r="AE22" s="35" t="str">
        <f>IFERROR(+IF('Gnatt Chart'!AE$23=#REF!,Milestone_Marker,IF(AND('Gnatt Chart'!AE$23&gt;#REF!,'Gnatt Chart'!AE$23&lt;#REF!+#REF!),#REF!,"")),"")</f>
        <v/>
      </c>
      <c r="AF22" s="35"/>
      <c r="AG22" s="35"/>
      <c r="AH22" s="35"/>
      <c r="AI22" s="35"/>
      <c r="AJ22" s="35"/>
      <c r="AK22" s="490"/>
      <c r="AL22" s="490"/>
      <c r="AM22" s="490"/>
      <c r="AN22" s="49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August</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September</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1" customFormat="1" ht="16.5" thickTop="1" thickBot="1">
      <c r="A23" s="474" t="s">
        <v>432</v>
      </c>
      <c r="B23" s="475" t="s">
        <v>427</v>
      </c>
      <c r="C23" s="475" t="s">
        <v>428</v>
      </c>
      <c r="D23" s="475" t="s">
        <v>429</v>
      </c>
      <c r="E23" s="475" t="s">
        <v>430</v>
      </c>
      <c r="F23" s="475" t="s">
        <v>431</v>
      </c>
      <c r="G23" s="475" t="s">
        <v>540</v>
      </c>
      <c r="H23" s="469" t="s">
        <v>533</v>
      </c>
      <c r="I23" s="469" t="s">
        <v>541</v>
      </c>
      <c r="J23" s="475" t="s">
        <v>426</v>
      </c>
      <c r="K23" s="476"/>
      <c r="L23" s="470" t="s">
        <v>426</v>
      </c>
      <c r="M23" s="470" t="s">
        <v>533</v>
      </c>
      <c r="N23" s="471" t="s">
        <v>528</v>
      </c>
      <c r="O23" s="471" t="s">
        <v>599</v>
      </c>
      <c r="P23" s="471" t="s">
        <v>526</v>
      </c>
      <c r="Q23" s="471" t="s">
        <v>529</v>
      </c>
      <c r="R23" s="471" t="s">
        <v>109</v>
      </c>
      <c r="S23" s="471" t="s">
        <v>530</v>
      </c>
      <c r="T23" s="471" t="s">
        <v>561</v>
      </c>
      <c r="U23" s="470" t="s">
        <v>600</v>
      </c>
      <c r="V23" s="471" t="s">
        <v>356</v>
      </c>
      <c r="W23" s="471" t="s">
        <v>527</v>
      </c>
      <c r="X23" s="472" t="s">
        <v>531</v>
      </c>
      <c r="Y23" s="471" t="s">
        <v>532</v>
      </c>
      <c r="Z23" s="473" t="s">
        <v>601</v>
      </c>
      <c r="AA23" s="22" t="s">
        <v>564</v>
      </c>
      <c r="AB23" s="22" t="s">
        <v>565</v>
      </c>
      <c r="AC23" s="478" t="s">
        <v>566</v>
      </c>
      <c r="AD23" s="478" t="s">
        <v>567</v>
      </c>
      <c r="AE23" s="478" t="s">
        <v>568</v>
      </c>
      <c r="AF23" s="478" t="s">
        <v>569</v>
      </c>
      <c r="AG23" s="478" t="s">
        <v>570</v>
      </c>
      <c r="AH23" s="478" t="s">
        <v>571</v>
      </c>
      <c r="AI23" s="478" t="s">
        <v>572</v>
      </c>
      <c r="AJ23" s="478" t="s">
        <v>573</v>
      </c>
      <c r="AK23" s="478" t="s">
        <v>574</v>
      </c>
      <c r="AL23" s="478" t="s">
        <v>575</v>
      </c>
      <c r="AM23" s="478" t="s">
        <v>576</v>
      </c>
      <c r="AN23" s="478"/>
      <c r="AO23" s="35"/>
      <c r="AP23" s="49">
        <f ca="1">IFERROR(Project_Start+Scrolling_Increment,TODAY())</f>
        <v>46214.501314004629</v>
      </c>
      <c r="AQ23" s="49">
        <f t="shared" ref="AQ23:BV23" ca="1" si="12">+AP23+1</f>
        <v>46215.501314004629</v>
      </c>
      <c r="AR23" s="49">
        <f t="shared" ca="1" si="12"/>
        <v>46216.501314004629</v>
      </c>
      <c r="AS23" s="49">
        <f t="shared" ca="1" si="12"/>
        <v>46217.501314004629</v>
      </c>
      <c r="AT23" s="49">
        <f t="shared" ca="1" si="12"/>
        <v>46218.501314004629</v>
      </c>
      <c r="AU23" s="49">
        <f t="shared" ca="1" si="12"/>
        <v>46219.501314004629</v>
      </c>
      <c r="AV23" s="49">
        <f t="shared" ca="1" si="12"/>
        <v>46220.501314004629</v>
      </c>
      <c r="AW23" s="49">
        <f t="shared" ca="1" si="12"/>
        <v>46221.501314004629</v>
      </c>
      <c r="AX23" s="49">
        <f t="shared" ca="1" si="12"/>
        <v>46222.501314004629</v>
      </c>
      <c r="AY23" s="49">
        <f t="shared" ca="1" si="12"/>
        <v>46223.501314004629</v>
      </c>
      <c r="AZ23" s="49">
        <f t="shared" ca="1" si="12"/>
        <v>46224.501314004629</v>
      </c>
      <c r="BA23" s="49">
        <f t="shared" ca="1" si="12"/>
        <v>46225.501314004629</v>
      </c>
      <c r="BB23" s="49">
        <f t="shared" ca="1" si="12"/>
        <v>46226.501314004629</v>
      </c>
      <c r="BC23" s="49">
        <f t="shared" ca="1" si="12"/>
        <v>46227.501314004629</v>
      </c>
      <c r="BD23" s="49">
        <f t="shared" ca="1" si="12"/>
        <v>46228.501314004629</v>
      </c>
      <c r="BE23" s="49">
        <f t="shared" ca="1" si="12"/>
        <v>46229.501314004629</v>
      </c>
      <c r="BF23" s="49">
        <f t="shared" ca="1" si="12"/>
        <v>46230.501314004629</v>
      </c>
      <c r="BG23" s="49">
        <f t="shared" ca="1" si="12"/>
        <v>46231.501314004629</v>
      </c>
      <c r="BH23" s="49">
        <f t="shared" ca="1" si="12"/>
        <v>46232.501314004629</v>
      </c>
      <c r="BI23" s="49">
        <f t="shared" ca="1" si="12"/>
        <v>46233.501314004629</v>
      </c>
      <c r="BJ23" s="49">
        <f t="shared" ca="1" si="12"/>
        <v>46234.501314004629</v>
      </c>
      <c r="BK23" s="49">
        <f t="shared" ca="1" si="12"/>
        <v>46235.501314004629</v>
      </c>
      <c r="BL23" s="49">
        <f t="shared" ca="1" si="12"/>
        <v>46236.501314004629</v>
      </c>
      <c r="BM23" s="49">
        <f t="shared" ca="1" si="12"/>
        <v>46237.501314004629</v>
      </c>
      <c r="BN23" s="49">
        <f t="shared" ca="1" si="12"/>
        <v>46238.501314004629</v>
      </c>
      <c r="BO23" s="49">
        <f t="shared" ca="1" si="12"/>
        <v>46239.501314004629</v>
      </c>
      <c r="BP23" s="49">
        <f t="shared" ca="1" si="12"/>
        <v>46240.501314004629</v>
      </c>
      <c r="BQ23" s="49">
        <f t="shared" ca="1" si="12"/>
        <v>46241.501314004629</v>
      </c>
      <c r="BR23" s="49">
        <f t="shared" ca="1" si="12"/>
        <v>46242.501314004629</v>
      </c>
      <c r="BS23" s="49">
        <f t="shared" ca="1" si="12"/>
        <v>46243.501314004629</v>
      </c>
      <c r="BT23" s="49">
        <f t="shared" ca="1" si="12"/>
        <v>46244.501314004629</v>
      </c>
      <c r="BU23" s="49">
        <f t="shared" ca="1" si="12"/>
        <v>46245.501314004629</v>
      </c>
      <c r="BV23" s="49">
        <f t="shared" ca="1" si="12"/>
        <v>46246.501314004629</v>
      </c>
      <c r="BW23" s="49">
        <f t="shared" ref="BW23:DE23" ca="1" si="13">+BV23+1</f>
        <v>46247.501314004629</v>
      </c>
      <c r="BX23" s="49">
        <f t="shared" ca="1" si="13"/>
        <v>46248.501314004629</v>
      </c>
      <c r="BY23" s="49">
        <f t="shared" ca="1" si="13"/>
        <v>46249.501314004629</v>
      </c>
      <c r="BZ23" s="49">
        <f t="shared" ca="1" si="13"/>
        <v>46250.501314004629</v>
      </c>
      <c r="CA23" s="49">
        <f t="shared" ca="1" si="13"/>
        <v>46251.501314004629</v>
      </c>
      <c r="CB23" s="49">
        <f t="shared" ca="1" si="13"/>
        <v>46252.501314004629</v>
      </c>
      <c r="CC23" s="49">
        <f t="shared" ca="1" si="13"/>
        <v>46253.501314004629</v>
      </c>
      <c r="CD23" s="49">
        <f t="shared" ca="1" si="13"/>
        <v>46254.501314004629</v>
      </c>
      <c r="CE23" s="49">
        <f t="shared" ca="1" si="13"/>
        <v>46255.501314004629</v>
      </c>
      <c r="CF23" s="49">
        <f t="shared" ca="1" si="13"/>
        <v>46256.501314004629</v>
      </c>
      <c r="CG23" s="49">
        <f t="shared" ca="1" si="13"/>
        <v>46257.501314004629</v>
      </c>
      <c r="CH23" s="49">
        <f t="shared" ca="1" si="13"/>
        <v>46258.501314004629</v>
      </c>
      <c r="CI23" s="49">
        <f t="shared" ca="1" si="13"/>
        <v>46259.501314004629</v>
      </c>
      <c r="CJ23" s="49">
        <f t="shared" ca="1" si="13"/>
        <v>46260.501314004629</v>
      </c>
      <c r="CK23" s="49">
        <f t="shared" ca="1" si="13"/>
        <v>46261.501314004629</v>
      </c>
      <c r="CL23" s="49">
        <f t="shared" ca="1" si="13"/>
        <v>46262.501314004629</v>
      </c>
      <c r="CM23" s="49">
        <f t="shared" ca="1" si="13"/>
        <v>46263.501314004629</v>
      </c>
      <c r="CN23" s="49">
        <f t="shared" ca="1" si="13"/>
        <v>46264.501314004629</v>
      </c>
      <c r="CO23" s="49">
        <f t="shared" ca="1" si="13"/>
        <v>46265.501314004629</v>
      </c>
      <c r="CP23" s="49">
        <f t="shared" ca="1" si="13"/>
        <v>46266.501314004629</v>
      </c>
      <c r="CQ23" s="49">
        <f t="shared" ca="1" si="13"/>
        <v>46267.501314004629</v>
      </c>
      <c r="CR23" s="49">
        <f t="shared" ca="1" si="13"/>
        <v>46268.501314004629</v>
      </c>
      <c r="CS23" s="49">
        <f t="shared" ca="1" si="13"/>
        <v>46269.501314004629</v>
      </c>
      <c r="CT23" s="49">
        <f t="shared" ca="1" si="13"/>
        <v>46270.501314004629</v>
      </c>
      <c r="CU23" s="49">
        <f t="shared" ca="1" si="13"/>
        <v>46271.501314004629</v>
      </c>
      <c r="CV23" s="49">
        <f t="shared" ca="1" si="13"/>
        <v>46272.501314004629</v>
      </c>
      <c r="CW23" s="49">
        <f t="shared" ca="1" si="13"/>
        <v>46273.501314004629</v>
      </c>
      <c r="CX23" s="49">
        <f t="shared" ca="1" si="13"/>
        <v>46274.501314004629</v>
      </c>
      <c r="CY23" s="49">
        <f t="shared" ca="1" si="13"/>
        <v>46275.501314004629</v>
      </c>
      <c r="CZ23" s="49">
        <f t="shared" ca="1" si="13"/>
        <v>46276.501314004629</v>
      </c>
      <c r="DA23" s="49">
        <f t="shared" ca="1" si="13"/>
        <v>46277.501314004629</v>
      </c>
      <c r="DB23" s="49">
        <f t="shared" ca="1" si="13"/>
        <v>46278.501314004629</v>
      </c>
      <c r="DC23" s="49">
        <f t="shared" ca="1" si="13"/>
        <v>46279.501314004629</v>
      </c>
      <c r="DD23" s="49">
        <f t="shared" ca="1" si="13"/>
        <v>46280.501314004629</v>
      </c>
      <c r="DE23" s="49">
        <f t="shared" ca="1" si="13"/>
        <v>46281.501314004629</v>
      </c>
    </row>
    <row r="24" spans="1:156" s="40" customFormat="1" ht="15">
      <c r="A24" t="s">
        <v>437</v>
      </c>
      <c r="B24" t="s">
        <v>434</v>
      </c>
      <c r="C24" t="s">
        <v>435</v>
      </c>
      <c r="D24" s="435" t="s">
        <v>436</v>
      </c>
      <c r="E24">
        <v>1</v>
      </c>
      <c r="F24" s="444">
        <v>0</v>
      </c>
      <c r="G24" s="188">
        <v>0</v>
      </c>
      <c r="H24">
        <v>1</v>
      </c>
      <c r="I24">
        <v>0</v>
      </c>
      <c r="J24">
        <v>1</v>
      </c>
      <c r="K24" s="104"/>
      <c r="L24" s="440">
        <v>1</v>
      </c>
      <c r="M24" s="44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7"/>
      <c r="R24" s="50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4" s="179">
        <v>1</v>
      </c>
      <c r="T24" s="179">
        <v>0</v>
      </c>
      <c r="U24" s="11"/>
      <c r="V24" t="s">
        <v>602</v>
      </c>
      <c r="W24" s="22" t="s">
        <v>357</v>
      </c>
      <c r="X24" s="22" t="s">
        <v>357</v>
      </c>
      <c r="Y24" s="22">
        <v>0</v>
      </c>
      <c r="Z24" s="48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2">
        <f>--(
  ISNUMBER(SEARCH("BASE PARENT", UPPER(CLEAN(TRIM(_xlfn.XLOOKUP(TEXT(Contract_Edits[[#This Row],[Index]],"0"), baseIdxTxt, baseCost, "")))))) +
  ISNUMBER(SEARCH("DEPENDENCY GROUP", UPPER(CLEAN(TRIM(_xlfn.XLOOKUP(TEXT(Contract_Edits[[#This Row],[Index]],"0"), baseIdxTxt, baseCost, ""))))))
)</f>
        <v>1</v>
      </c>
      <c r="AG24" s="502" cm="1">
        <f t="array" ref="AG24">IF(Contract_Edits[[#This Row],[BaseFlag]]=1,
   10*BaseDepthL(TEXT(Contract_Edits[[#This Row],[Index]],"0"),500,editsIdxTxt,editsParentKeyTxt,baseIdxTxt,baseCost)-5,
   ""
)</f>
        <v>5</v>
      </c>
      <c r="AH24" s="50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2" t="str">
        <f>IF(Contract_Edits[[#This Row],[Dep]]=0,"Root",
   IF(ISNUMBER(MATCH(Contract_Edits[[#This Row],[Dep]],Contract_Edits[Index],0)),"OK","Missing")
)</f>
        <v>OK</v>
      </c>
      <c r="AJ24" s="502" t="str">
        <f>IF(AND(Contract_Edits[[#This Row],[Dep]]&lt;&gt;0,
        ISNUMBER(MATCH(Contract_Edits[[#This Row],[Dep]], Contract_Edits[Index], 0)),
        INDEX(Contract_Edits[Dep], MATCH(Contract_Edits[[#This Row],[Dep]], Contract_Edits[Index], 0))=Contract_Edits[[#This Row],[Index]]),
   "2-cycle","")</f>
        <v>2-cycle</v>
      </c>
      <c r="AK24" s="502" cm="1">
        <f t="array" ref="AK24">IF(Contract_Edits[[#This Row],[BaseFlag]]&lt;&gt;1,0,
   IF(TEXT(Contract_Edits[[#This Row],[Dep]],"0")=TEXT(Contract_Edits[[#This Row],[Index]],"0"),
      0,
      MAX(0, SUMPRODUCT(--(Contract_Edits[BaseFlag]=1),
                        --(TEXT(Contract_Edits[Dep],"0")=TEXT(Contract_Edits[[#This Row],[Dep]],"0"))) - 1)
   )
)</f>
        <v>0</v>
      </c>
      <c r="AL24" s="502" t="str" cm="1">
        <f t="array" ref="AL24">IF(Contract_Edits[[#This Row],[BaseFlag]]=1,
   TEXT(Contract_Edits[[#This Row],[Index]],"0"),
   NearestBaseL(TEXT(Contract_Edits[[#This Row],[ParentKey]],"0"),500,editsIdxTxt,editsParentKeyTxt,baseIdxTxt,baseCost)
)</f>
        <v>1</v>
      </c>
      <c r="AM24" s="502" cm="1">
        <f t="array" ref="AM24">1+SUMPRODUCT(
  (Contract_Edits[BaseFlag]=1)*
  (TEXT(Contract_Edits[ParentAnchor],"0")=TEXT(Contract_Edits[[#This Row],[ParentAnchor]],"0"))*
  (VALUE(TEXT(Contract_Edits[Index],"0"))&lt;VALUE(TEXT(Contract_Edits[[#This Row],[Index]],"0")))
)</f>
        <v>1</v>
      </c>
      <c r="AN24" s="50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550</v>
      </c>
      <c r="B25" t="s">
        <v>545</v>
      </c>
      <c r="C25" t="s">
        <v>577</v>
      </c>
      <c r="D25" s="435" t="s">
        <v>577</v>
      </c>
      <c r="E25">
        <v>1</v>
      </c>
      <c r="F25" s="444">
        <v>2615</v>
      </c>
      <c r="G25" s="188">
        <v>2615</v>
      </c>
      <c r="H25">
        <v>1</v>
      </c>
      <c r="I25">
        <v>2615</v>
      </c>
      <c r="J25">
        <v>908</v>
      </c>
      <c r="K25" s="104"/>
      <c r="L25" s="440">
        <v>908</v>
      </c>
      <c r="M25" s="44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79"/>
      <c r="R25" s="50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5" s="468"/>
      <c r="T25" s="468"/>
      <c r="U25" s="491" t="s">
        <v>604</v>
      </c>
      <c r="V25" s="193"/>
      <c r="W25" s="22" t="s">
        <v>357</v>
      </c>
      <c r="X25" s="483" t="s">
        <v>357</v>
      </c>
      <c r="Y25" s="48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2">
        <f>--(
  ISNUMBER(SEARCH("BASE PARENT", UPPER(CLEAN(TRIM(_xlfn.XLOOKUP(TEXT(Contract_Edits[[#This Row],[Index]],"0"), baseIdxTxt, baseCost, "")))))) +
  ISNUMBER(SEARCH("DEPENDENCY GROUP", UPPER(CLEAN(TRIM(_xlfn.XLOOKUP(TEXT(Contract_Edits[[#This Row],[Index]],"0"), baseIdxTxt, baseCost, ""))))))
)</f>
        <v>0</v>
      </c>
      <c r="AG25" s="502" t="str" cm="1">
        <f t="array" ref="AG25">IF(Contract_Edits[[#This Row],[BaseFlag]]=1,
   10*BaseDepthL(TEXT(Contract_Edits[[#This Row],[Index]],"0"),500,editsIdxTxt,editsParentKeyTxt,baseIdxTxt,baseCost)-5,
   ""
)</f>
        <v/>
      </c>
      <c r="AH25" s="50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2" t="str">
        <f>IF(Contract_Edits[[#This Row],[Dep]]=0,"Root",
   IF(ISNUMBER(MATCH(Contract_Edits[[#This Row],[Dep]],Contract_Edits[Index],0)),"OK","Missing")
)</f>
        <v>OK</v>
      </c>
      <c r="AJ25" s="502" t="str">
        <f>IF(AND(Contract_Edits[[#This Row],[Dep]]&lt;&gt;0,
        ISNUMBER(MATCH(Contract_Edits[[#This Row],[Dep]], Contract_Edits[Index], 0)),
        INDEX(Contract_Edits[Dep], MATCH(Contract_Edits[[#This Row],[Dep]], Contract_Edits[Index], 0))=Contract_Edits[[#This Row],[Index]]),
   "2-cycle","")</f>
        <v/>
      </c>
      <c r="AK25" s="502" cm="1">
        <f t="array" ref="AK25">IF(Contract_Edits[[#This Row],[BaseFlag]]&lt;&gt;1,0,
   IF(TEXT(Contract_Edits[[#This Row],[Dep]],"0")=TEXT(Contract_Edits[[#This Row],[Index]],"0"),
      0,
      MAX(0, SUMPRODUCT(--(Contract_Edits[BaseFlag]=1),
                        --(TEXT(Contract_Edits[Dep],"0")=TEXT(Contract_Edits[[#This Row],[Dep]],"0"))) - 1)
   )
)</f>
        <v>0</v>
      </c>
      <c r="AL25" s="502" t="str" cm="1">
        <f t="array" ref="AL25">IF(Contract_Edits[[#This Row],[BaseFlag]]=1,
   TEXT(Contract_Edits[[#This Row],[Index]],"0"),
   NearestBaseL(TEXT(Contract_Edits[[#This Row],[ParentKey]],"0"),500,editsIdxTxt,editsParentKeyTxt,baseIdxTxt,baseCost)
)</f>
        <v>1</v>
      </c>
      <c r="AM25" s="502" cm="1">
        <f t="array" ref="AM25">1+SUMPRODUCT(
  (Contract_Edits[BaseFlag]=1)*
  (TEXT(Contract_Edits[ParentAnchor],"0")=TEXT(Contract_Edits[[#This Row],[ParentAnchor]],"0"))*
  (VALUE(TEXT(Contract_Edits[Index],"0"))&lt;VALUE(TEXT(Contract_Edits[[#This Row],[Index]],"0")))
)</f>
        <v>3</v>
      </c>
      <c r="AN25" s="50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437</v>
      </c>
      <c r="B26" t="s">
        <v>434</v>
      </c>
      <c r="C26" t="s">
        <v>438</v>
      </c>
      <c r="D26" s="435" t="s">
        <v>438</v>
      </c>
      <c r="E26">
        <v>1</v>
      </c>
      <c r="F26" s="444">
        <v>0</v>
      </c>
      <c r="G26" s="188">
        <v>0</v>
      </c>
      <c r="H26">
        <v>1</v>
      </c>
      <c r="I26">
        <v>0</v>
      </c>
      <c r="J26">
        <v>2</v>
      </c>
      <c r="K26" s="104"/>
      <c r="L26" s="440">
        <v>2</v>
      </c>
      <c r="M26" s="44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79"/>
      <c r="R26" s="50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6" s="468"/>
      <c r="T26" s="468"/>
      <c r="U26" s="491"/>
      <c r="V26" s="193"/>
      <c r="W26" s="22" t="s">
        <v>357</v>
      </c>
      <c r="X26" s="483" t="s">
        <v>357</v>
      </c>
      <c r="Y26" s="48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2">
        <f>--(
  ISNUMBER(SEARCH("BASE PARENT", UPPER(CLEAN(TRIM(_xlfn.XLOOKUP(TEXT(Contract_Edits[[#This Row],[Index]],"0"), baseIdxTxt, baseCost, "")))))) +
  ISNUMBER(SEARCH("DEPENDENCY GROUP", UPPER(CLEAN(TRIM(_xlfn.XLOOKUP(TEXT(Contract_Edits[[#This Row],[Index]],"0"), baseIdxTxt, baseCost, ""))))))
)</f>
        <v>1</v>
      </c>
      <c r="AG26" s="502" cm="1">
        <f t="array" ref="AG26">IF(Contract_Edits[[#This Row],[BaseFlag]]=1,
   10*BaseDepthL(TEXT(Contract_Edits[[#This Row],[Index]],"0"),500,editsIdxTxt,editsParentKeyTxt,baseIdxTxt,baseCost)-5,
   ""
)</f>
        <v>15</v>
      </c>
      <c r="AH26" s="50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2" t="str">
        <f>IF(Contract_Edits[[#This Row],[Dep]]=0,"Root",
   IF(ISNUMBER(MATCH(Contract_Edits[[#This Row],[Dep]],Contract_Edits[Index],0)),"OK","Missing")
)</f>
        <v>OK</v>
      </c>
      <c r="AJ26" s="502" t="str">
        <f>IF(AND(Contract_Edits[[#This Row],[Dep]]&lt;&gt;0,
        ISNUMBER(MATCH(Contract_Edits[[#This Row],[Dep]], Contract_Edits[Index], 0)),
        INDEX(Contract_Edits[Dep], MATCH(Contract_Edits[[#This Row],[Dep]], Contract_Edits[Index], 0))=Contract_Edits[[#This Row],[Index]]),
   "2-cycle","")</f>
        <v/>
      </c>
      <c r="AK26" s="502" cm="1">
        <f t="array" ref="AK26">IF(Contract_Edits[[#This Row],[BaseFlag]]&lt;&gt;1,0,
   IF(TEXT(Contract_Edits[[#This Row],[Dep]],"0")=TEXT(Contract_Edits[[#This Row],[Index]],"0"),
      0,
      MAX(0, SUMPRODUCT(--(Contract_Edits[BaseFlag]=1),
                        --(TEXT(Contract_Edits[Dep],"0")=TEXT(Contract_Edits[[#This Row],[Dep]],"0"))) - 1)
   )
)</f>
        <v>1</v>
      </c>
      <c r="AL26" s="502" t="str" cm="1">
        <f t="array" ref="AL26">IF(Contract_Edits[[#This Row],[BaseFlag]]=1,
   TEXT(Contract_Edits[[#This Row],[Index]],"0"),
   NearestBaseL(TEXT(Contract_Edits[[#This Row],[ParentKey]],"0"),500,editsIdxTxt,editsParentKeyTxt,baseIdxTxt,baseCost)
)</f>
        <v>2</v>
      </c>
      <c r="AM26" s="502" cm="1">
        <f t="array" ref="AM26">1+SUMPRODUCT(
  (Contract_Edits[BaseFlag]=1)*
  (TEXT(Contract_Edits[ParentAnchor],"0")=TEXT(Contract_Edits[[#This Row],[ParentAnchor]],"0"))*
  (VALUE(TEXT(Contract_Edits[Index],"0"))&lt;VALUE(TEXT(Contract_Edits[[#This Row],[Index]],"0")))
)</f>
        <v>2</v>
      </c>
      <c r="AN26" s="50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550</v>
      </c>
      <c r="B27" t="s">
        <v>545</v>
      </c>
      <c r="C27" t="s">
        <v>578</v>
      </c>
      <c r="D27" s="435" t="s">
        <v>579</v>
      </c>
      <c r="E27">
        <v>1</v>
      </c>
      <c r="F27" s="444">
        <v>505</v>
      </c>
      <c r="G27" s="188">
        <v>505</v>
      </c>
      <c r="H27">
        <v>2</v>
      </c>
      <c r="I27">
        <v>505</v>
      </c>
      <c r="J27">
        <v>900</v>
      </c>
      <c r="K27" s="104"/>
      <c r="L27" s="440">
        <v>900</v>
      </c>
      <c r="M27" s="44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79"/>
      <c r="R27" s="50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7" s="179">
        <v>0</v>
      </c>
      <c r="T27" s="468">
        <v>0</v>
      </c>
      <c r="U27" s="491" t="s">
        <v>605</v>
      </c>
      <c r="V27" s="193"/>
      <c r="W27" s="22" t="s">
        <v>357</v>
      </c>
      <c r="X27" s="483" t="s">
        <v>357</v>
      </c>
      <c r="Y27" s="48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2">
        <f>--(
  ISNUMBER(SEARCH("BASE PARENT", UPPER(CLEAN(TRIM(_xlfn.XLOOKUP(TEXT(Contract_Edits[[#This Row],[Index]],"0"), baseIdxTxt, baseCost, "")))))) +
  ISNUMBER(SEARCH("DEPENDENCY GROUP", UPPER(CLEAN(TRIM(_xlfn.XLOOKUP(TEXT(Contract_Edits[[#This Row],[Index]],"0"), baseIdxTxt, baseCost, ""))))))
)</f>
        <v>0</v>
      </c>
      <c r="AG27" s="502" t="str" cm="1">
        <f t="array" ref="AG27">IF(Contract_Edits[[#This Row],[BaseFlag]]=1,
   10*BaseDepthL(TEXT(Contract_Edits[[#This Row],[Index]],"0"),500,editsIdxTxt,editsParentKeyTxt,baseIdxTxt,baseCost)-5,
   ""
)</f>
        <v/>
      </c>
      <c r="AH27" s="50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2" t="str">
        <f>IF(Contract_Edits[[#This Row],[Dep]]=0,"Root",
   IF(ISNUMBER(MATCH(Contract_Edits[[#This Row],[Dep]],Contract_Edits[Index],0)),"OK","Missing")
)</f>
        <v>OK</v>
      </c>
      <c r="AJ27" s="502" t="str">
        <f>IF(AND(Contract_Edits[[#This Row],[Dep]]&lt;&gt;0,
        ISNUMBER(MATCH(Contract_Edits[[#This Row],[Dep]], Contract_Edits[Index], 0)),
        INDEX(Contract_Edits[Dep], MATCH(Contract_Edits[[#This Row],[Dep]], Contract_Edits[Index], 0))=Contract_Edits[[#This Row],[Index]]),
   "2-cycle","")</f>
        <v/>
      </c>
      <c r="AK27" s="452" cm="1">
        <f t="array" ref="AK27">IF(Contract_Edits[[#This Row],[BaseFlag]]&lt;&gt;1,0,
   IF(TEXT(Contract_Edits[[#This Row],[Dep]],"0")=TEXT(Contract_Edits[[#This Row],[Index]],"0"),
      0,
      MAX(0, SUMPRODUCT(--(Contract_Edits[BaseFlag]=1),
                        --(TEXT(Contract_Edits[Dep],"0")=TEXT(Contract_Edits[[#This Row],[Dep]],"0"))) - 1)
   )
)</f>
        <v>0</v>
      </c>
      <c r="AL27" s="452" t="str" cm="1">
        <f t="array" ref="AL27">IF(Contract_Edits[[#This Row],[BaseFlag]]=1,
   TEXT(Contract_Edits[[#This Row],[Index]],"0"),
   NearestBaseL(TEXT(Contract_Edits[[#This Row],[ParentKey]],"0"),500,editsIdxTxt,editsParentKeyTxt,baseIdxTxt,baseCost)
)</f>
        <v>2</v>
      </c>
      <c r="AM27" s="452" cm="1">
        <f t="array" ref="AM27">1+SUMPRODUCT(
  (Contract_Edits[BaseFlag]=1)*
  (TEXT(Contract_Edits[ParentAnchor],"0")=TEXT(Contract_Edits[[#This Row],[ParentAnchor]],"0"))*
  (VALUE(TEXT(Contract_Edits[Index],"0"))&lt;VALUE(TEXT(Contract_Edits[[#This Row],[Index]],"0")))
)</f>
        <v>2</v>
      </c>
      <c r="AN27" s="45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480</v>
      </c>
      <c r="B28" t="s">
        <v>484</v>
      </c>
      <c r="C28" t="s">
        <v>438</v>
      </c>
      <c r="D28" s="435" t="s">
        <v>506</v>
      </c>
      <c r="E28">
        <v>1</v>
      </c>
      <c r="F28" s="444"/>
      <c r="G28" s="188"/>
      <c r="H28">
        <v>0</v>
      </c>
      <c r="I28"/>
      <c r="J28">
        <v>59</v>
      </c>
      <c r="K28" s="104"/>
      <c r="L28" s="440">
        <v>59</v>
      </c>
      <c r="M28" s="44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7"/>
      <c r="R28" s="50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8" s="179">
        <v>0</v>
      </c>
      <c r="T28" s="179">
        <v>0</v>
      </c>
      <c r="U28" s="11" t="s">
        <v>605</v>
      </c>
      <c r="V28"/>
      <c r="W28" s="22" t="s">
        <v>357</v>
      </c>
      <c r="X28" s="483" t="s">
        <v>357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2">
        <f>--(
  ISNUMBER(SEARCH("BASE PARENT", UPPER(CLEAN(TRIM(_xlfn.XLOOKUP(TEXT(Contract_Edits[[#This Row],[Index]],"0"), baseIdxTxt, baseCost, "")))))) +
  ISNUMBER(SEARCH("DEPENDENCY GROUP", UPPER(CLEAN(TRIM(_xlfn.XLOOKUP(TEXT(Contract_Edits[[#This Row],[Index]],"0"), baseIdxTxt, baseCost, ""))))))
)</f>
        <v>0</v>
      </c>
      <c r="AG28" s="502" t="str" cm="1">
        <f t="array" ref="AG28">IF(Contract_Edits[[#This Row],[BaseFlag]]=1,
   10*BaseDepthL(TEXT(Contract_Edits[[#This Row],[Index]],"0"),500,editsIdxTxt,editsParentKeyTxt,baseIdxTxt,baseCost)-5,
   ""
)</f>
        <v/>
      </c>
      <c r="AH28" s="50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2" t="str">
        <f>IF(Contract_Edits[[#This Row],[Dep]]=0,"Root",
   IF(ISNUMBER(MATCH(Contract_Edits[[#This Row],[Dep]],Contract_Edits[Index],0)),"OK","Missing")
)</f>
        <v>OK</v>
      </c>
      <c r="AJ28" s="502" t="str">
        <f>IF(AND(Contract_Edits[[#This Row],[Dep]]&lt;&gt;0,
        ISNUMBER(MATCH(Contract_Edits[[#This Row],[Dep]], Contract_Edits[Index], 0)),
        INDEX(Contract_Edits[Dep], MATCH(Contract_Edits[[#This Row],[Dep]], Contract_Edits[Index], 0))=Contract_Edits[[#This Row],[Index]]),
   "2-cycle","")</f>
        <v/>
      </c>
      <c r="AK28" s="502" cm="1">
        <f t="array" ref="AK28">IF(Contract_Edits[[#This Row],[BaseFlag]]&lt;&gt;1,0,
   IF(TEXT(Contract_Edits[[#This Row],[Dep]],"0")=TEXT(Contract_Edits[[#This Row],[Index]],"0"),
      0,
      MAX(0, SUMPRODUCT(--(Contract_Edits[BaseFlag]=1),
                        --(TEXT(Contract_Edits[Dep],"0")=TEXT(Contract_Edits[[#This Row],[Dep]],"0"))) - 1)
   )
)</f>
        <v>0</v>
      </c>
      <c r="AL28" s="502" t="str" cm="1">
        <f t="array" ref="AL28">IF(Contract_Edits[[#This Row],[BaseFlag]]=1,
   TEXT(Contract_Edits[[#This Row],[Index]],"0"),
   NearestBaseL(TEXT(Contract_Edits[[#This Row],[ParentKey]],"0"),500,editsIdxTxt,editsParentKeyTxt,baseIdxTxt,baseCost)
)</f>
        <v>2</v>
      </c>
      <c r="AM28" s="502" cm="1">
        <f t="array" ref="AM28">1+SUMPRODUCT(
  (Contract_Edits[BaseFlag]=1)*
  (TEXT(Contract_Edits[ParentAnchor],"0")=TEXT(Contract_Edits[[#This Row],[ParentAnchor]],"0"))*
  (VALUE(TEXT(Contract_Edits[Index],"0"))&lt;VALUE(TEXT(Contract_Edits[[#This Row],[Index]],"0")))
)</f>
        <v>2</v>
      </c>
      <c r="AN28" s="50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480</v>
      </c>
      <c r="B29" t="s">
        <v>484</v>
      </c>
      <c r="C29" t="s">
        <v>438</v>
      </c>
      <c r="D29" s="435" t="s">
        <v>503</v>
      </c>
      <c r="E29">
        <v>1</v>
      </c>
      <c r="F29" s="444"/>
      <c r="G29" s="188"/>
      <c r="H29">
        <v>0</v>
      </c>
      <c r="I29"/>
      <c r="J29">
        <v>55</v>
      </c>
      <c r="K29" s="104"/>
      <c r="L29" s="440">
        <v>55</v>
      </c>
      <c r="M29" s="44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79"/>
      <c r="R29" s="50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9" s="179">
        <v>0</v>
      </c>
      <c r="T29" s="468"/>
      <c r="U29" s="491" t="s">
        <v>605</v>
      </c>
      <c r="V29" s="193"/>
      <c r="W29" s="22" t="s">
        <v>357</v>
      </c>
      <c r="X29" s="483" t="s">
        <v>357</v>
      </c>
      <c r="Y29" s="48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2">
        <f>--(
  ISNUMBER(SEARCH("BASE PARENT", UPPER(CLEAN(TRIM(_xlfn.XLOOKUP(TEXT(Contract_Edits[[#This Row],[Index]],"0"), baseIdxTxt, baseCost, "")))))) +
  ISNUMBER(SEARCH("DEPENDENCY GROUP", UPPER(CLEAN(TRIM(_xlfn.XLOOKUP(TEXT(Contract_Edits[[#This Row],[Index]],"0"), baseIdxTxt, baseCost, ""))))))
)</f>
        <v>0</v>
      </c>
      <c r="AG29" s="502" t="str" cm="1">
        <f t="array" ref="AG29">IF(Contract_Edits[[#This Row],[BaseFlag]]=1,
   10*BaseDepthL(TEXT(Contract_Edits[[#This Row],[Index]],"0"),500,editsIdxTxt,editsParentKeyTxt,baseIdxTxt,baseCost)-5,
   ""
)</f>
        <v/>
      </c>
      <c r="AH29" s="50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2" t="str">
        <f>IF(Contract_Edits[[#This Row],[Dep]]=0,"Root",
   IF(ISNUMBER(MATCH(Contract_Edits[[#This Row],[Dep]],Contract_Edits[Index],0)),"OK","Missing")
)</f>
        <v>OK</v>
      </c>
      <c r="AJ29" s="502" t="str">
        <f>IF(AND(Contract_Edits[[#This Row],[Dep]]&lt;&gt;0,
        ISNUMBER(MATCH(Contract_Edits[[#This Row],[Dep]], Contract_Edits[Index], 0)),
        INDEX(Contract_Edits[Dep], MATCH(Contract_Edits[[#This Row],[Dep]], Contract_Edits[Index], 0))=Contract_Edits[[#This Row],[Index]]),
   "2-cycle","")</f>
        <v/>
      </c>
      <c r="AK29" s="502" cm="1">
        <f t="array" ref="AK29">IF(Contract_Edits[[#This Row],[BaseFlag]]&lt;&gt;1,0,
   IF(TEXT(Contract_Edits[[#This Row],[Dep]],"0")=TEXT(Contract_Edits[[#This Row],[Index]],"0"),
      0,
      MAX(0, SUMPRODUCT(--(Contract_Edits[BaseFlag]=1),
                        --(TEXT(Contract_Edits[Dep],"0")=TEXT(Contract_Edits[[#This Row],[Dep]],"0"))) - 1)
   )
)</f>
        <v>0</v>
      </c>
      <c r="AL29" s="502" t="str" cm="1">
        <f t="array" ref="AL29">IF(Contract_Edits[[#This Row],[BaseFlag]]=1,
   TEXT(Contract_Edits[[#This Row],[Index]],"0"),
   NearestBaseL(TEXT(Contract_Edits[[#This Row],[ParentKey]],"0"),500,editsIdxTxt,editsParentKeyTxt,baseIdxTxt,baseCost)
)</f>
        <v>2</v>
      </c>
      <c r="AM29" s="502" cm="1">
        <f t="array" ref="AM29">1+SUMPRODUCT(
  (Contract_Edits[BaseFlag]=1)*
  (TEXT(Contract_Edits[ParentAnchor],"0")=TEXT(Contract_Edits[[#This Row],[ParentAnchor]],"0"))*
  (VALUE(TEXT(Contract_Edits[Index],"0"))&lt;VALUE(TEXT(Contract_Edits[[#This Row],[Index]],"0")))
)</f>
        <v>2</v>
      </c>
      <c r="AN29" s="50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480</v>
      </c>
      <c r="B30" t="s">
        <v>484</v>
      </c>
      <c r="C30" t="s">
        <v>488</v>
      </c>
      <c r="D30" s="435" t="s">
        <v>490</v>
      </c>
      <c r="E30">
        <v>1</v>
      </c>
      <c r="F30" s="444"/>
      <c r="G30" s="188"/>
      <c r="H30">
        <v>0</v>
      </c>
      <c r="I30"/>
      <c r="J30">
        <v>41</v>
      </c>
      <c r="K30" s="104"/>
      <c r="L30" s="440">
        <v>41</v>
      </c>
      <c r="M30" s="44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7"/>
      <c r="R30" s="50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0" s="179">
        <v>0</v>
      </c>
      <c r="T30" s="179">
        <v>0</v>
      </c>
      <c r="U30" s="11" t="s">
        <v>605</v>
      </c>
      <c r="V30"/>
      <c r="W30" s="22" t="s">
        <v>357</v>
      </c>
      <c r="X30" s="483" t="s">
        <v>357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2">
        <f>--(
  ISNUMBER(SEARCH("BASE PARENT", UPPER(CLEAN(TRIM(_xlfn.XLOOKUP(TEXT(Contract_Edits[[#This Row],[Index]],"0"), baseIdxTxt, baseCost, "")))))) +
  ISNUMBER(SEARCH("DEPENDENCY GROUP", UPPER(CLEAN(TRIM(_xlfn.XLOOKUP(TEXT(Contract_Edits[[#This Row],[Index]],"0"), baseIdxTxt, baseCost, ""))))))
)</f>
        <v>0</v>
      </c>
      <c r="AG30" s="502" t="str" cm="1">
        <f t="array" ref="AG30">IF(Contract_Edits[[#This Row],[BaseFlag]]=1,
   10*BaseDepthL(TEXT(Contract_Edits[[#This Row],[Index]],"0"),500,editsIdxTxt,editsParentKeyTxt,baseIdxTxt,baseCost)-5,
   ""
)</f>
        <v/>
      </c>
      <c r="AH30" s="50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2" t="str">
        <f>IF(Contract_Edits[[#This Row],[Dep]]=0,"Root",
   IF(ISNUMBER(MATCH(Contract_Edits[[#This Row],[Dep]],Contract_Edits[Index],0)),"OK","Missing")
)</f>
        <v>OK</v>
      </c>
      <c r="AJ30" s="502" t="str">
        <f>IF(AND(Contract_Edits[[#This Row],[Dep]]&lt;&gt;0,
        ISNUMBER(MATCH(Contract_Edits[[#This Row],[Dep]], Contract_Edits[Index], 0)),
        INDEX(Contract_Edits[Dep], MATCH(Contract_Edits[[#This Row],[Dep]], Contract_Edits[Index], 0))=Contract_Edits[[#This Row],[Index]]),
   "2-cycle","")</f>
        <v/>
      </c>
      <c r="AK30" s="502" cm="1">
        <f t="array" ref="AK30">IF(Contract_Edits[[#This Row],[BaseFlag]]&lt;&gt;1,0,
   IF(TEXT(Contract_Edits[[#This Row],[Dep]],"0")=TEXT(Contract_Edits[[#This Row],[Index]],"0"),
      0,
      MAX(0, SUMPRODUCT(--(Contract_Edits[BaseFlag]=1),
                        --(TEXT(Contract_Edits[Dep],"0")=TEXT(Contract_Edits[[#This Row],[Dep]],"0"))) - 1)
   )
)</f>
        <v>0</v>
      </c>
      <c r="AL30" s="502" t="str" cm="1">
        <f t="array" ref="AL30">IF(Contract_Edits[[#This Row],[BaseFlag]]=1,
   TEXT(Contract_Edits[[#This Row],[Index]],"0"),
   NearestBaseL(TEXT(Contract_Edits[[#This Row],[ParentKey]],"0"),500,editsIdxTxt,editsParentKeyTxt,baseIdxTxt,baseCost)
)</f>
        <v>2</v>
      </c>
      <c r="AM30" s="502" cm="1">
        <f t="array" ref="AM30">1+SUMPRODUCT(
  (Contract_Edits[BaseFlag]=1)*
  (TEXT(Contract_Edits[ParentAnchor],"0")=TEXT(Contract_Edits[[#This Row],[ParentAnchor]],"0"))*
  (VALUE(TEXT(Contract_Edits[Index],"0"))&lt;VALUE(TEXT(Contract_Edits[[#This Row],[Index]],"0")))
)</f>
        <v>2</v>
      </c>
      <c r="AN30" s="50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480</v>
      </c>
      <c r="B31" t="s">
        <v>484</v>
      </c>
      <c r="C31" t="s">
        <v>438</v>
      </c>
      <c r="D31" s="435" t="s">
        <v>494</v>
      </c>
      <c r="E31">
        <v>1</v>
      </c>
      <c r="F31" s="444"/>
      <c r="G31" s="188"/>
      <c r="H31">
        <v>0</v>
      </c>
      <c r="I31"/>
      <c r="J31">
        <v>49</v>
      </c>
      <c r="K31" s="104"/>
      <c r="L31" s="440">
        <v>49</v>
      </c>
      <c r="M31" s="44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79"/>
      <c r="R31" s="50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1" s="179">
        <v>0</v>
      </c>
      <c r="T31" s="468"/>
      <c r="U31" s="491" t="s">
        <v>605</v>
      </c>
      <c r="V31" s="193"/>
      <c r="W31" s="22" t="s">
        <v>357</v>
      </c>
      <c r="X31" s="483" t="s">
        <v>357</v>
      </c>
      <c r="Y31" s="48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2">
        <f>--(
  ISNUMBER(SEARCH("BASE PARENT", UPPER(CLEAN(TRIM(_xlfn.XLOOKUP(TEXT(Contract_Edits[[#This Row],[Index]],"0"), baseIdxTxt, baseCost, "")))))) +
  ISNUMBER(SEARCH("DEPENDENCY GROUP", UPPER(CLEAN(TRIM(_xlfn.XLOOKUP(TEXT(Contract_Edits[[#This Row],[Index]],"0"), baseIdxTxt, baseCost, ""))))))
)</f>
        <v>0</v>
      </c>
      <c r="AG31" s="502" t="str" cm="1">
        <f t="array" ref="AG31">IF(Contract_Edits[[#This Row],[BaseFlag]]=1,
   10*BaseDepthL(TEXT(Contract_Edits[[#This Row],[Index]],"0"),500,editsIdxTxt,editsParentKeyTxt,baseIdxTxt,baseCost)-5,
   ""
)</f>
        <v/>
      </c>
      <c r="AH31" s="50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2" t="str">
        <f>IF(Contract_Edits[[#This Row],[Dep]]=0,"Root",
   IF(ISNUMBER(MATCH(Contract_Edits[[#This Row],[Dep]],Contract_Edits[Index],0)),"OK","Missing")
)</f>
        <v>OK</v>
      </c>
      <c r="AJ31" s="502" t="str">
        <f>IF(AND(Contract_Edits[[#This Row],[Dep]]&lt;&gt;0,
        ISNUMBER(MATCH(Contract_Edits[[#This Row],[Dep]], Contract_Edits[Index], 0)),
        INDEX(Contract_Edits[Dep], MATCH(Contract_Edits[[#This Row],[Dep]], Contract_Edits[Index], 0))=Contract_Edits[[#This Row],[Index]]),
   "2-cycle","")</f>
        <v/>
      </c>
      <c r="AK31" s="502" cm="1">
        <f t="array" ref="AK31">IF(Contract_Edits[[#This Row],[BaseFlag]]&lt;&gt;1,0,
   IF(TEXT(Contract_Edits[[#This Row],[Dep]],"0")=TEXT(Contract_Edits[[#This Row],[Index]],"0"),
      0,
      MAX(0, SUMPRODUCT(--(Contract_Edits[BaseFlag]=1),
                        --(TEXT(Contract_Edits[Dep],"0")=TEXT(Contract_Edits[[#This Row],[Dep]],"0"))) - 1)
   )
)</f>
        <v>0</v>
      </c>
      <c r="AL31" s="502" t="str" cm="1">
        <f t="array" ref="AL31">IF(Contract_Edits[[#This Row],[BaseFlag]]=1,
   TEXT(Contract_Edits[[#This Row],[Index]],"0"),
   NearestBaseL(TEXT(Contract_Edits[[#This Row],[ParentKey]],"0"),500,editsIdxTxt,editsParentKeyTxt,baseIdxTxt,baseCost)
)</f>
        <v>2</v>
      </c>
      <c r="AM31" s="502" cm="1">
        <f t="array" ref="AM31">1+SUMPRODUCT(
  (Contract_Edits[BaseFlag]=1)*
  (TEXT(Contract_Edits[ParentAnchor],"0")=TEXT(Contract_Edits[[#This Row],[ParentAnchor]],"0"))*
  (VALUE(TEXT(Contract_Edits[Index],"0"))&lt;VALUE(TEXT(Contract_Edits[[#This Row],[Index]],"0")))
)</f>
        <v>2</v>
      </c>
      <c r="AN31" s="50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480</v>
      </c>
      <c r="B32" t="s">
        <v>484</v>
      </c>
      <c r="C32" t="s">
        <v>438</v>
      </c>
      <c r="D32" s="435" t="s">
        <v>485</v>
      </c>
      <c r="E32">
        <v>1</v>
      </c>
      <c r="F32" s="444"/>
      <c r="G32" s="188"/>
      <c r="H32">
        <v>0</v>
      </c>
      <c r="I32"/>
      <c r="J32">
        <v>38</v>
      </c>
      <c r="K32" s="104"/>
      <c r="L32" s="440">
        <v>38</v>
      </c>
      <c r="M32" s="44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7"/>
      <c r="R32" s="50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2" s="179">
        <v>0</v>
      </c>
      <c r="T32" s="179">
        <v>0</v>
      </c>
      <c r="U32" s="11" t="s">
        <v>605</v>
      </c>
      <c r="V32"/>
      <c r="W32" s="22" t="s">
        <v>357</v>
      </c>
      <c r="X32" s="483" t="s">
        <v>357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2">
        <f>--(
  ISNUMBER(SEARCH("BASE PARENT", UPPER(CLEAN(TRIM(_xlfn.XLOOKUP(TEXT(Contract_Edits[[#This Row],[Index]],"0"), baseIdxTxt, baseCost, "")))))) +
  ISNUMBER(SEARCH("DEPENDENCY GROUP", UPPER(CLEAN(TRIM(_xlfn.XLOOKUP(TEXT(Contract_Edits[[#This Row],[Index]],"0"), baseIdxTxt, baseCost, ""))))))
)</f>
        <v>0</v>
      </c>
      <c r="AG32" s="502" t="str" cm="1">
        <f t="array" ref="AG32">IF(Contract_Edits[[#This Row],[BaseFlag]]=1,
   10*BaseDepthL(TEXT(Contract_Edits[[#This Row],[Index]],"0"),500,editsIdxTxt,editsParentKeyTxt,baseIdxTxt,baseCost)-5,
   ""
)</f>
        <v/>
      </c>
      <c r="AH32" s="50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2" t="str">
        <f>IF(Contract_Edits[[#This Row],[Dep]]=0,"Root",
   IF(ISNUMBER(MATCH(Contract_Edits[[#This Row],[Dep]],Contract_Edits[Index],0)),"OK","Missing")
)</f>
        <v>OK</v>
      </c>
      <c r="AJ32" s="502" t="str">
        <f>IF(AND(Contract_Edits[[#This Row],[Dep]]&lt;&gt;0,
        ISNUMBER(MATCH(Contract_Edits[[#This Row],[Dep]], Contract_Edits[Index], 0)),
        INDEX(Contract_Edits[Dep], MATCH(Contract_Edits[[#This Row],[Dep]], Contract_Edits[Index], 0))=Contract_Edits[[#This Row],[Index]]),
   "2-cycle","")</f>
        <v/>
      </c>
      <c r="AK32" s="502" cm="1">
        <f t="array" ref="AK32">IF(Contract_Edits[[#This Row],[BaseFlag]]&lt;&gt;1,0,
   IF(TEXT(Contract_Edits[[#This Row],[Dep]],"0")=TEXT(Contract_Edits[[#This Row],[Index]],"0"),
      0,
      MAX(0, SUMPRODUCT(--(Contract_Edits[BaseFlag]=1),
                        --(TEXT(Contract_Edits[Dep],"0")=TEXT(Contract_Edits[[#This Row],[Dep]],"0"))) - 1)
   )
)</f>
        <v>0</v>
      </c>
      <c r="AL32" s="502" t="str" cm="1">
        <f t="array" ref="AL32">IF(Contract_Edits[[#This Row],[BaseFlag]]=1,
   TEXT(Contract_Edits[[#This Row],[Index]],"0"),
   NearestBaseL(TEXT(Contract_Edits[[#This Row],[ParentKey]],"0"),500,editsIdxTxt,editsParentKeyTxt,baseIdxTxt,baseCost)
)</f>
        <v>2</v>
      </c>
      <c r="AM32" s="502" cm="1">
        <f t="array" ref="AM32">1+SUMPRODUCT(
  (Contract_Edits[BaseFlag]=1)*
  (TEXT(Contract_Edits[ParentAnchor],"0")=TEXT(Contract_Edits[[#This Row],[ParentAnchor]],"0"))*
  (VALUE(TEXT(Contract_Edits[Index],"0"))&lt;VALUE(TEXT(Contract_Edits[[#This Row],[Index]],"0")))
)</f>
        <v>2</v>
      </c>
      <c r="AN32" s="50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480</v>
      </c>
      <c r="B33" t="s">
        <v>484</v>
      </c>
      <c r="C33"/>
      <c r="D33" s="435" t="s">
        <v>486</v>
      </c>
      <c r="E33">
        <v>1</v>
      </c>
      <c r="F33" s="444"/>
      <c r="G33" s="188"/>
      <c r="H33">
        <v>0</v>
      </c>
      <c r="I33"/>
      <c r="J33">
        <v>39</v>
      </c>
      <c r="K33" s="104"/>
      <c r="L33" s="440">
        <v>39</v>
      </c>
      <c r="M33" s="44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7"/>
      <c r="R33" s="50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3" s="179">
        <v>0</v>
      </c>
      <c r="T33" s="179">
        <v>0</v>
      </c>
      <c r="U33" s="11" t="s">
        <v>605</v>
      </c>
      <c r="V33"/>
      <c r="W33" s="22" t="s">
        <v>357</v>
      </c>
      <c r="X33" s="483" t="s">
        <v>357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2">
        <f>--(
  ISNUMBER(SEARCH("BASE PARENT", UPPER(CLEAN(TRIM(_xlfn.XLOOKUP(TEXT(Contract_Edits[[#This Row],[Index]],"0"), baseIdxTxt, baseCost, "")))))) +
  ISNUMBER(SEARCH("DEPENDENCY GROUP", UPPER(CLEAN(TRIM(_xlfn.XLOOKUP(TEXT(Contract_Edits[[#This Row],[Index]],"0"), baseIdxTxt, baseCost, ""))))))
)</f>
        <v>0</v>
      </c>
      <c r="AG33" s="502" t="str" cm="1">
        <f t="array" ref="AG33">IF(Contract_Edits[[#This Row],[BaseFlag]]=1,
   10*BaseDepthL(TEXT(Contract_Edits[[#This Row],[Index]],"0"),500,editsIdxTxt,editsParentKeyTxt,baseIdxTxt,baseCost)-5,
   ""
)</f>
        <v/>
      </c>
      <c r="AH33" s="50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2" t="str">
        <f>IF(Contract_Edits[[#This Row],[Dep]]=0,"Root",
   IF(ISNUMBER(MATCH(Contract_Edits[[#This Row],[Dep]],Contract_Edits[Index],0)),"OK","Missing")
)</f>
        <v>OK</v>
      </c>
      <c r="AJ33" s="502" t="str">
        <f>IF(AND(Contract_Edits[[#This Row],[Dep]]&lt;&gt;0,
        ISNUMBER(MATCH(Contract_Edits[[#This Row],[Dep]], Contract_Edits[Index], 0)),
        INDEX(Contract_Edits[Dep], MATCH(Contract_Edits[[#This Row],[Dep]], Contract_Edits[Index], 0))=Contract_Edits[[#This Row],[Index]]),
   "2-cycle","")</f>
        <v/>
      </c>
      <c r="AK33" s="502" cm="1">
        <f t="array" ref="AK33">IF(Contract_Edits[[#This Row],[BaseFlag]]&lt;&gt;1,0,
   IF(TEXT(Contract_Edits[[#This Row],[Dep]],"0")=TEXT(Contract_Edits[[#This Row],[Index]],"0"),
      0,
      MAX(0, SUMPRODUCT(--(Contract_Edits[BaseFlag]=1),
                        --(TEXT(Contract_Edits[Dep],"0")=TEXT(Contract_Edits[[#This Row],[Dep]],"0"))) - 1)
   )
)</f>
        <v>0</v>
      </c>
      <c r="AL33" s="502" t="str" cm="1">
        <f t="array" ref="AL33">IF(Contract_Edits[[#This Row],[BaseFlag]]=1,
   TEXT(Contract_Edits[[#This Row],[Index]],"0"),
   NearestBaseL(TEXT(Contract_Edits[[#This Row],[ParentKey]],"0"),500,editsIdxTxt,editsParentKeyTxt,baseIdxTxt,baseCost)
)</f>
        <v>2</v>
      </c>
      <c r="AM33" s="502" cm="1">
        <f t="array" ref="AM33">1+SUMPRODUCT(
  (Contract_Edits[BaseFlag]=1)*
  (TEXT(Contract_Edits[ParentAnchor],"0")=TEXT(Contract_Edits[[#This Row],[ParentAnchor]],"0"))*
  (VALUE(TEXT(Contract_Edits[Index],"0"))&lt;VALUE(TEXT(Contract_Edits[[#This Row],[Index]],"0")))
)</f>
        <v>2</v>
      </c>
      <c r="AN33" s="50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480</v>
      </c>
      <c r="B34" t="s">
        <v>484</v>
      </c>
      <c r="C34" t="s">
        <v>520</v>
      </c>
      <c r="D34" s="435" t="s">
        <v>521</v>
      </c>
      <c r="E34">
        <v>1</v>
      </c>
      <c r="F34" s="444"/>
      <c r="G34" s="188"/>
      <c r="H34">
        <v>0</v>
      </c>
      <c r="I34"/>
      <c r="J34">
        <v>77</v>
      </c>
      <c r="K34" s="104"/>
      <c r="L34" s="440">
        <v>77</v>
      </c>
      <c r="M34" s="44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79"/>
      <c r="R34" s="50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4" s="179">
        <v>0</v>
      </c>
      <c r="T34" s="468"/>
      <c r="U34" s="491" t="s">
        <v>605</v>
      </c>
      <c r="V34" s="193"/>
      <c r="W34" s="22" t="s">
        <v>357</v>
      </c>
      <c r="X34" s="483" t="s">
        <v>357</v>
      </c>
      <c r="Y34" s="48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2">
        <f>--(
  ISNUMBER(SEARCH("BASE PARENT", UPPER(CLEAN(TRIM(_xlfn.XLOOKUP(TEXT(Contract_Edits[[#This Row],[Index]],"0"), baseIdxTxt, baseCost, "")))))) +
  ISNUMBER(SEARCH("DEPENDENCY GROUP", UPPER(CLEAN(TRIM(_xlfn.XLOOKUP(TEXT(Contract_Edits[[#This Row],[Index]],"0"), baseIdxTxt, baseCost, ""))))))
)</f>
        <v>0</v>
      </c>
      <c r="AG34" s="502" t="str" cm="1">
        <f t="array" ref="AG34">IF(Contract_Edits[[#This Row],[BaseFlag]]=1,
   10*BaseDepthL(TEXT(Contract_Edits[[#This Row],[Index]],"0"),500,editsIdxTxt,editsParentKeyTxt,baseIdxTxt,baseCost)-5,
   ""
)</f>
        <v/>
      </c>
      <c r="AH34" s="50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2" t="str">
        <f>IF(Contract_Edits[[#This Row],[Dep]]=0,"Root",
   IF(ISNUMBER(MATCH(Contract_Edits[[#This Row],[Dep]],Contract_Edits[Index],0)),"OK","Missing")
)</f>
        <v>OK</v>
      </c>
      <c r="AJ34" s="502" t="str">
        <f>IF(AND(Contract_Edits[[#This Row],[Dep]]&lt;&gt;0,
        ISNUMBER(MATCH(Contract_Edits[[#This Row],[Dep]], Contract_Edits[Index], 0)),
        INDEX(Contract_Edits[Dep], MATCH(Contract_Edits[[#This Row],[Dep]], Contract_Edits[Index], 0))=Contract_Edits[[#This Row],[Index]]),
   "2-cycle","")</f>
        <v/>
      </c>
      <c r="AK34" s="502" cm="1">
        <f t="array" ref="AK34">IF(Contract_Edits[[#This Row],[BaseFlag]]&lt;&gt;1,0,
   IF(TEXT(Contract_Edits[[#This Row],[Dep]],"0")=TEXT(Contract_Edits[[#This Row],[Index]],"0"),
      0,
      MAX(0, SUMPRODUCT(--(Contract_Edits[BaseFlag]=1),
                        --(TEXT(Contract_Edits[Dep],"0")=TEXT(Contract_Edits[[#This Row],[Dep]],"0"))) - 1)
   )
)</f>
        <v>0</v>
      </c>
      <c r="AL34" s="502" t="str" cm="1">
        <f t="array" ref="AL34">IF(Contract_Edits[[#This Row],[BaseFlag]]=1,
   TEXT(Contract_Edits[[#This Row],[Index]],"0"),
   NearestBaseL(TEXT(Contract_Edits[[#This Row],[ParentKey]],"0"),500,editsIdxTxt,editsParentKeyTxt,baseIdxTxt,baseCost)
)</f>
        <v>2</v>
      </c>
      <c r="AM34" s="502" cm="1">
        <f t="array" ref="AM34">1+SUMPRODUCT(
  (Contract_Edits[BaseFlag]=1)*
  (TEXT(Contract_Edits[ParentAnchor],"0")=TEXT(Contract_Edits[[#This Row],[ParentAnchor]],"0"))*
  (VALUE(TEXT(Contract_Edits[Index],"0"))&lt;VALUE(TEXT(Contract_Edits[[#This Row],[Index]],"0")))
)</f>
        <v>2</v>
      </c>
      <c r="AN34" s="50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480</v>
      </c>
      <c r="B35" t="s">
        <v>484</v>
      </c>
      <c r="C35" t="s">
        <v>458</v>
      </c>
      <c r="D35" s="435" t="s">
        <v>519</v>
      </c>
      <c r="E35">
        <v>2</v>
      </c>
      <c r="F35" s="444"/>
      <c r="G35" s="188"/>
      <c r="H35">
        <v>0</v>
      </c>
      <c r="I35"/>
      <c r="J35">
        <v>76</v>
      </c>
      <c r="K35" s="104"/>
      <c r="L35" s="440">
        <v>76</v>
      </c>
      <c r="M35" s="44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7"/>
      <c r="R35" s="50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5" s="179">
        <v>0</v>
      </c>
      <c r="T35" s="179">
        <v>0</v>
      </c>
      <c r="U35" s="11" t="s">
        <v>605</v>
      </c>
      <c r="V35"/>
      <c r="W35" s="22" t="s">
        <v>357</v>
      </c>
      <c r="X35" s="483" t="s">
        <v>357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2">
        <f>--(
  ISNUMBER(SEARCH("BASE PARENT", UPPER(CLEAN(TRIM(_xlfn.XLOOKUP(TEXT(Contract_Edits[[#This Row],[Index]],"0"), baseIdxTxt, baseCost, "")))))) +
  ISNUMBER(SEARCH("DEPENDENCY GROUP", UPPER(CLEAN(TRIM(_xlfn.XLOOKUP(TEXT(Contract_Edits[[#This Row],[Index]],"0"), baseIdxTxt, baseCost, ""))))))
)</f>
        <v>0</v>
      </c>
      <c r="AG35" s="502" t="str" cm="1">
        <f t="array" ref="AG35">IF(Contract_Edits[[#This Row],[BaseFlag]]=1,
   10*BaseDepthL(TEXT(Contract_Edits[[#This Row],[Index]],"0"),500,editsIdxTxt,editsParentKeyTxt,baseIdxTxt,baseCost)-5,
   ""
)</f>
        <v/>
      </c>
      <c r="AH35" s="50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2" t="str">
        <f>IF(Contract_Edits[[#This Row],[Dep]]=0,"Root",
   IF(ISNUMBER(MATCH(Contract_Edits[[#This Row],[Dep]],Contract_Edits[Index],0)),"OK","Missing")
)</f>
        <v>OK</v>
      </c>
      <c r="AJ35" s="502" t="str">
        <f>IF(AND(Contract_Edits[[#This Row],[Dep]]&lt;&gt;0,
        ISNUMBER(MATCH(Contract_Edits[[#This Row],[Dep]], Contract_Edits[Index], 0)),
        INDEX(Contract_Edits[Dep], MATCH(Contract_Edits[[#This Row],[Dep]], Contract_Edits[Index], 0))=Contract_Edits[[#This Row],[Index]]),
   "2-cycle","")</f>
        <v/>
      </c>
      <c r="AK35" s="502" cm="1">
        <f t="array" ref="AK35">IF(Contract_Edits[[#This Row],[BaseFlag]]&lt;&gt;1,0,
   IF(TEXT(Contract_Edits[[#This Row],[Dep]],"0")=TEXT(Contract_Edits[[#This Row],[Index]],"0"),
      0,
      MAX(0, SUMPRODUCT(--(Contract_Edits[BaseFlag]=1),
                        --(TEXT(Contract_Edits[Dep],"0")=TEXT(Contract_Edits[[#This Row],[Dep]],"0"))) - 1)
   )
)</f>
        <v>0</v>
      </c>
      <c r="AL35" s="502" t="str" cm="1">
        <f t="array" ref="AL35">IF(Contract_Edits[[#This Row],[BaseFlag]]=1,
   TEXT(Contract_Edits[[#This Row],[Index]],"0"),
   NearestBaseL(TEXT(Contract_Edits[[#This Row],[ParentKey]],"0"),500,editsIdxTxt,editsParentKeyTxt,baseIdxTxt,baseCost)
)</f>
        <v>2</v>
      </c>
      <c r="AM35" s="502" cm="1">
        <f t="array" ref="AM35">1+SUMPRODUCT(
  (Contract_Edits[BaseFlag]=1)*
  (TEXT(Contract_Edits[ParentAnchor],"0")=TEXT(Contract_Edits[[#This Row],[ParentAnchor]],"0"))*
  (VALUE(TEXT(Contract_Edits[Index],"0"))&lt;VALUE(TEXT(Contract_Edits[[#This Row],[Index]],"0")))
)</f>
        <v>2</v>
      </c>
      <c r="AN35" s="50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437</v>
      </c>
      <c r="B36" t="s">
        <v>434</v>
      </c>
      <c r="C36" t="s">
        <v>447</v>
      </c>
      <c r="D36" s="435" t="s">
        <v>448</v>
      </c>
      <c r="E36">
        <v>1</v>
      </c>
      <c r="F36" s="444">
        <v>0</v>
      </c>
      <c r="G36" s="188">
        <v>0</v>
      </c>
      <c r="H36">
        <v>6</v>
      </c>
      <c r="I36">
        <v>0</v>
      </c>
      <c r="J36">
        <v>7</v>
      </c>
      <c r="K36" s="104"/>
      <c r="L36" s="440">
        <v>7</v>
      </c>
      <c r="M36" s="44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7"/>
      <c r="R36" s="50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6" s="179">
        <v>0</v>
      </c>
      <c r="T36" s="468"/>
      <c r="U36" s="491"/>
      <c r="V36" s="193"/>
      <c r="W36" s="22" t="s">
        <v>357</v>
      </c>
      <c r="X36" s="483" t="s">
        <v>357</v>
      </c>
      <c r="Y36" s="483"/>
      <c r="Z36" s="48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2">
        <f>--(
  ISNUMBER(SEARCH("BASE PARENT", UPPER(CLEAN(TRIM(_xlfn.XLOOKUP(TEXT(Contract_Edits[[#This Row],[Index]],"0"), baseIdxTxt, baseCost, "")))))) +
  ISNUMBER(SEARCH("DEPENDENCY GROUP", UPPER(CLEAN(TRIM(_xlfn.XLOOKUP(TEXT(Contract_Edits[[#This Row],[Index]],"0"), baseIdxTxt, baseCost, ""))))))
)</f>
        <v>1</v>
      </c>
      <c r="AG36" s="502" cm="1">
        <f t="array" ref="AG36">IF(Contract_Edits[[#This Row],[BaseFlag]]=1,
   10*BaseDepthL(TEXT(Contract_Edits[[#This Row],[Index]],"0"),500,editsIdxTxt,editsParentKeyTxt,baseIdxTxt,baseCost)-5,
   ""
)</f>
        <v>65</v>
      </c>
      <c r="AH36" s="50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2" t="str">
        <f>IF(Contract_Edits[[#This Row],[Dep]]=0,"Root",
   IF(ISNUMBER(MATCH(Contract_Edits[[#This Row],[Dep]],Contract_Edits[Index],0)),"OK","Missing")
)</f>
        <v>OK</v>
      </c>
      <c r="AJ36" s="502" t="str">
        <f>IF(AND(Contract_Edits[[#This Row],[Dep]]&lt;&gt;0,
        ISNUMBER(MATCH(Contract_Edits[[#This Row],[Dep]], Contract_Edits[Index], 0)),
        INDEX(Contract_Edits[Dep], MATCH(Contract_Edits[[#This Row],[Dep]], Contract_Edits[Index], 0))=Contract_Edits[[#This Row],[Index]]),
   "2-cycle","")</f>
        <v/>
      </c>
      <c r="AK36" s="502" cm="1">
        <f t="array" ref="AK36">IF(Contract_Edits[[#This Row],[BaseFlag]]&lt;&gt;1,0,
   IF(TEXT(Contract_Edits[[#This Row],[Dep]],"0")=TEXT(Contract_Edits[[#This Row],[Index]],"0"),
      0,
      MAX(0, SUMPRODUCT(--(Contract_Edits[BaseFlag]=1),
                        --(TEXT(Contract_Edits[Dep],"0")=TEXT(Contract_Edits[[#This Row],[Dep]],"0"))) - 1)
   )
)</f>
        <v>0</v>
      </c>
      <c r="AL36" s="502" t="str" cm="1">
        <f t="array" ref="AL36">IF(Contract_Edits[[#This Row],[BaseFlag]]=1,
   TEXT(Contract_Edits[[#This Row],[Index]],"0"),
   NearestBaseL(TEXT(Contract_Edits[[#This Row],[ParentKey]],"0"),500,editsIdxTxt,editsParentKeyTxt,baseIdxTxt,baseCost)
)</f>
        <v>7</v>
      </c>
      <c r="AM36" s="502" cm="1">
        <f t="array" ref="AM36">1+SUMPRODUCT(
  (Contract_Edits[BaseFlag]=1)*
  (TEXT(Contract_Edits[ParentAnchor],"0")=TEXT(Contract_Edits[[#This Row],[ParentAnchor]],"0"))*
  (VALUE(TEXT(Contract_Edits[Index],"0"))&lt;VALUE(TEXT(Contract_Edits[[#This Row],[Index]],"0")))
)</f>
        <v>1</v>
      </c>
      <c r="AN36" s="50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545</v>
      </c>
      <c r="C37" t="s">
        <v>580</v>
      </c>
      <c r="D37" s="435" t="s">
        <v>581</v>
      </c>
      <c r="E37">
        <v>1</v>
      </c>
      <c r="F37" s="444">
        <v>-310.864125</v>
      </c>
      <c r="G37" s="188">
        <v>-310.864125</v>
      </c>
      <c r="H37">
        <v>7</v>
      </c>
      <c r="I37">
        <v>-310.864125</v>
      </c>
      <c r="J37">
        <v>912</v>
      </c>
      <c r="K37" s="104"/>
      <c r="L37" s="440">
        <v>912</v>
      </c>
      <c r="M37" s="44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79"/>
      <c r="R37" s="50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7" s="179">
        <v>0</v>
      </c>
      <c r="T37" s="468"/>
      <c r="U37" s="491" t="s">
        <v>606</v>
      </c>
      <c r="V37" s="193"/>
      <c r="W37" s="22" t="s">
        <v>357</v>
      </c>
      <c r="X37" s="483" t="s">
        <v>357</v>
      </c>
      <c r="Y37" s="48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2">
        <f>--(
  ISNUMBER(SEARCH("BASE PARENT", UPPER(CLEAN(TRIM(_xlfn.XLOOKUP(TEXT(Contract_Edits[[#This Row],[Index]],"0"), baseIdxTxt, baseCost, "")))))) +
  ISNUMBER(SEARCH("DEPENDENCY GROUP", UPPER(CLEAN(TRIM(_xlfn.XLOOKUP(TEXT(Contract_Edits[[#This Row],[Index]],"0"), baseIdxTxt, baseCost, ""))))))
)</f>
        <v>0</v>
      </c>
      <c r="AG37" s="502" t="str" cm="1">
        <f t="array" ref="AG37">IF(Contract_Edits[[#This Row],[BaseFlag]]=1,
   10*BaseDepthL(TEXT(Contract_Edits[[#This Row],[Index]],"0"),500,editsIdxTxt,editsParentKeyTxt,baseIdxTxt,baseCost)-5,
   ""
)</f>
        <v/>
      </c>
      <c r="AH37" s="50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2" t="str">
        <f>IF(Contract_Edits[[#This Row],[Dep]]=0,"Root",
   IF(ISNUMBER(MATCH(Contract_Edits[[#This Row],[Dep]],Contract_Edits[Index],0)),"OK","Missing")
)</f>
        <v>OK</v>
      </c>
      <c r="AJ37" s="502" t="str">
        <f>IF(AND(Contract_Edits[[#This Row],[Dep]]&lt;&gt;0,
        ISNUMBER(MATCH(Contract_Edits[[#This Row],[Dep]], Contract_Edits[Index], 0)),
        INDEX(Contract_Edits[Dep], MATCH(Contract_Edits[[#This Row],[Dep]], Contract_Edits[Index], 0))=Contract_Edits[[#This Row],[Index]]),
   "2-cycle","")</f>
        <v/>
      </c>
      <c r="AK37" s="502" cm="1">
        <f t="array" ref="AK37">IF(Contract_Edits[[#This Row],[BaseFlag]]&lt;&gt;1,0,
   IF(TEXT(Contract_Edits[[#This Row],[Dep]],"0")=TEXT(Contract_Edits[[#This Row],[Index]],"0"),
      0,
      MAX(0, SUMPRODUCT(--(Contract_Edits[BaseFlag]=1),
                        --(TEXT(Contract_Edits[Dep],"0")=TEXT(Contract_Edits[[#This Row],[Dep]],"0"))) - 1)
   )
)</f>
        <v>0</v>
      </c>
      <c r="AL37" s="502" t="str" cm="1">
        <f t="array" ref="AL37">IF(Contract_Edits[[#This Row],[BaseFlag]]=1,
   TEXT(Contract_Edits[[#This Row],[Index]],"0"),
   NearestBaseL(TEXT(Contract_Edits[[#This Row],[ParentKey]],"0"),500,editsIdxTxt,editsParentKeyTxt,baseIdxTxt,baseCost)
)</f>
        <v>7</v>
      </c>
      <c r="AM37" s="502" cm="1">
        <f t="array" ref="AM37">1+SUMPRODUCT(
  (Contract_Edits[BaseFlag]=1)*
  (TEXT(Contract_Edits[ParentAnchor],"0")=TEXT(Contract_Edits[[#This Row],[ParentAnchor]],"0"))*
  (VALUE(TEXT(Contract_Edits[Index],"0"))&lt;VALUE(TEXT(Contract_Edits[[#This Row],[Index]],"0")))
)</f>
        <v>2</v>
      </c>
      <c r="AN37" s="50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480</v>
      </c>
      <c r="B38" t="s">
        <v>487</v>
      </c>
      <c r="C38" t="s">
        <v>495</v>
      </c>
      <c r="D38" s="435" t="s">
        <v>497</v>
      </c>
      <c r="E38">
        <v>1</v>
      </c>
      <c r="F38" s="444"/>
      <c r="G38" s="188"/>
      <c r="H38">
        <v>0</v>
      </c>
      <c r="I38"/>
      <c r="J38">
        <v>51</v>
      </c>
      <c r="K38" s="104"/>
      <c r="L38" s="440">
        <v>51</v>
      </c>
      <c r="M38" s="44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7"/>
      <c r="R38" s="50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8" s="179">
        <v>0</v>
      </c>
      <c r="T38" s="179">
        <v>0</v>
      </c>
      <c r="U38" s="11" t="s">
        <v>606</v>
      </c>
      <c r="V38"/>
      <c r="W38" s="22" t="s">
        <v>357</v>
      </c>
      <c r="X38" s="483" t="s">
        <v>357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2">
        <f>--(
  ISNUMBER(SEARCH("BASE PARENT", UPPER(CLEAN(TRIM(_xlfn.XLOOKUP(TEXT(Contract_Edits[[#This Row],[Index]],"0"), baseIdxTxt, baseCost, "")))))) +
  ISNUMBER(SEARCH("DEPENDENCY GROUP", UPPER(CLEAN(TRIM(_xlfn.XLOOKUP(TEXT(Contract_Edits[[#This Row],[Index]],"0"), baseIdxTxt, baseCost, ""))))))
)</f>
        <v>0</v>
      </c>
      <c r="AG38" s="502" t="str" cm="1">
        <f t="array" ref="AG38">IF(Contract_Edits[[#This Row],[BaseFlag]]=1,
   10*BaseDepthL(TEXT(Contract_Edits[[#This Row],[Index]],"0"),500,editsIdxTxt,editsParentKeyTxt,baseIdxTxt,baseCost)-5,
   ""
)</f>
        <v/>
      </c>
      <c r="AH38" s="50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2" t="str">
        <f>IF(Contract_Edits[[#This Row],[Dep]]=0,"Root",
   IF(ISNUMBER(MATCH(Contract_Edits[[#This Row],[Dep]],Contract_Edits[Index],0)),"OK","Missing")
)</f>
        <v>OK</v>
      </c>
      <c r="AJ38" s="502" t="str">
        <f>IF(AND(Contract_Edits[[#This Row],[Dep]]&lt;&gt;0,
        ISNUMBER(MATCH(Contract_Edits[[#This Row],[Dep]], Contract_Edits[Index], 0)),
        INDEX(Contract_Edits[Dep], MATCH(Contract_Edits[[#This Row],[Dep]], Contract_Edits[Index], 0))=Contract_Edits[[#This Row],[Index]]),
   "2-cycle","")</f>
        <v/>
      </c>
      <c r="AK38" s="502" cm="1">
        <f t="array" ref="AK38">IF(Contract_Edits[[#This Row],[BaseFlag]]&lt;&gt;1,0,
   IF(TEXT(Contract_Edits[[#This Row],[Dep]],"0")=TEXT(Contract_Edits[[#This Row],[Index]],"0"),
      0,
      MAX(0, SUMPRODUCT(--(Contract_Edits[BaseFlag]=1),
                        --(TEXT(Contract_Edits[Dep],"0")=TEXT(Contract_Edits[[#This Row],[Dep]],"0"))) - 1)
   )
)</f>
        <v>0</v>
      </c>
      <c r="AL38" s="502" t="str" cm="1">
        <f t="array" ref="AL38">IF(Contract_Edits[[#This Row],[BaseFlag]]=1,
   TEXT(Contract_Edits[[#This Row],[Index]],"0"),
   NearestBaseL(TEXT(Contract_Edits[[#This Row],[ParentKey]],"0"),500,editsIdxTxt,editsParentKeyTxt,baseIdxTxt,baseCost)
)</f>
        <v>7</v>
      </c>
      <c r="AM38" s="502" cm="1">
        <f t="array" ref="AM38">1+SUMPRODUCT(
  (Contract_Edits[BaseFlag]=1)*
  (TEXT(Contract_Edits[ParentAnchor],"0")=TEXT(Contract_Edits[[#This Row],[ParentAnchor]],"0"))*
  (VALUE(TEXT(Contract_Edits[Index],"0"))&lt;VALUE(TEXT(Contract_Edits[[#This Row],[Index]],"0")))
)</f>
        <v>2</v>
      </c>
      <c r="AN38" s="50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480</v>
      </c>
      <c r="B39" t="s">
        <v>501</v>
      </c>
      <c r="C39" t="s">
        <v>504</v>
      </c>
      <c r="D39" s="435" t="s">
        <v>505</v>
      </c>
      <c r="E39">
        <v>1</v>
      </c>
      <c r="F39" s="444"/>
      <c r="G39" s="188"/>
      <c r="H39">
        <v>0</v>
      </c>
      <c r="I39"/>
      <c r="J39">
        <v>56</v>
      </c>
      <c r="K39" s="104"/>
      <c r="L39" s="440">
        <v>56</v>
      </c>
      <c r="M39" s="44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7"/>
      <c r="R39" s="50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39" s="179">
        <v>0</v>
      </c>
      <c r="T39" s="179">
        <v>0</v>
      </c>
      <c r="U39" s="11" t="s">
        <v>606</v>
      </c>
      <c r="V39"/>
      <c r="W39" s="22" t="s">
        <v>357</v>
      </c>
      <c r="X39" s="483" t="s">
        <v>357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2">
        <f>--(
  ISNUMBER(SEARCH("BASE PARENT", UPPER(CLEAN(TRIM(_xlfn.XLOOKUP(TEXT(Contract_Edits[[#This Row],[Index]],"0"), baseIdxTxt, baseCost, "")))))) +
  ISNUMBER(SEARCH("DEPENDENCY GROUP", UPPER(CLEAN(TRIM(_xlfn.XLOOKUP(TEXT(Contract_Edits[[#This Row],[Index]],"0"), baseIdxTxt, baseCost, ""))))))
)</f>
        <v>0</v>
      </c>
      <c r="AG39" s="502" t="str" cm="1">
        <f t="array" ref="AG39">IF(Contract_Edits[[#This Row],[BaseFlag]]=1,
   10*BaseDepthL(TEXT(Contract_Edits[[#This Row],[Index]],"0"),500,editsIdxTxt,editsParentKeyTxt,baseIdxTxt,baseCost)-5,
   ""
)</f>
        <v/>
      </c>
      <c r="AH39" s="50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2" t="str">
        <f>IF(Contract_Edits[[#This Row],[Dep]]=0,"Root",
   IF(ISNUMBER(MATCH(Contract_Edits[[#This Row],[Dep]],Contract_Edits[Index],0)),"OK","Missing")
)</f>
        <v>OK</v>
      </c>
      <c r="AJ39" s="502" t="str">
        <f>IF(AND(Contract_Edits[[#This Row],[Dep]]&lt;&gt;0,
        ISNUMBER(MATCH(Contract_Edits[[#This Row],[Dep]], Contract_Edits[Index], 0)),
        INDEX(Contract_Edits[Dep], MATCH(Contract_Edits[[#This Row],[Dep]], Contract_Edits[Index], 0))=Contract_Edits[[#This Row],[Index]]),
   "2-cycle","")</f>
        <v/>
      </c>
      <c r="AK39" s="502" cm="1">
        <f t="array" ref="AK39">IF(Contract_Edits[[#This Row],[BaseFlag]]&lt;&gt;1,0,
   IF(TEXT(Contract_Edits[[#This Row],[Dep]],"0")=TEXT(Contract_Edits[[#This Row],[Index]],"0"),
      0,
      MAX(0, SUMPRODUCT(--(Contract_Edits[BaseFlag]=1),
                        --(TEXT(Contract_Edits[Dep],"0")=TEXT(Contract_Edits[[#This Row],[Dep]],"0"))) - 1)
   )
)</f>
        <v>0</v>
      </c>
      <c r="AL39" s="502" t="str" cm="1">
        <f t="array" ref="AL39">IF(Contract_Edits[[#This Row],[BaseFlag]]=1,
   TEXT(Contract_Edits[[#This Row],[Index]],"0"),
   NearestBaseL(TEXT(Contract_Edits[[#This Row],[ParentKey]],"0"),500,editsIdxTxt,editsParentKeyTxt,baseIdxTxt,baseCost)
)</f>
        <v>7</v>
      </c>
      <c r="AM39" s="502" cm="1">
        <f t="array" ref="AM39">1+SUMPRODUCT(
  (Contract_Edits[BaseFlag]=1)*
  (TEXT(Contract_Edits[ParentAnchor],"0")=TEXT(Contract_Edits[[#This Row],[ParentAnchor]],"0"))*
  (VALUE(TEXT(Contract_Edits[Index],"0"))&lt;VALUE(TEXT(Contract_Edits[[#This Row],[Index]],"0")))
)</f>
        <v>2</v>
      </c>
      <c r="AN39" s="50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480</v>
      </c>
      <c r="B40" t="s">
        <v>501</v>
      </c>
      <c r="C40"/>
      <c r="D40" s="435" t="s">
        <v>502</v>
      </c>
      <c r="E40">
        <v>1</v>
      </c>
      <c r="F40" s="444"/>
      <c r="G40" s="188"/>
      <c r="H40">
        <v>0</v>
      </c>
      <c r="I40"/>
      <c r="J40">
        <v>54</v>
      </c>
      <c r="K40" s="104"/>
      <c r="L40" s="440">
        <v>54</v>
      </c>
      <c r="M40" s="44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7"/>
      <c r="R40" s="50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0" s="179">
        <v>0</v>
      </c>
      <c r="T40" s="179">
        <v>0</v>
      </c>
      <c r="U40" s="11" t="s">
        <v>606</v>
      </c>
      <c r="V40"/>
      <c r="W40" s="22" t="s">
        <v>357</v>
      </c>
      <c r="X40" s="483" t="s">
        <v>357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2">
        <f>--(
  ISNUMBER(SEARCH("BASE PARENT", UPPER(CLEAN(TRIM(_xlfn.XLOOKUP(TEXT(Contract_Edits[[#This Row],[Index]],"0"), baseIdxTxt, baseCost, "")))))) +
  ISNUMBER(SEARCH("DEPENDENCY GROUP", UPPER(CLEAN(TRIM(_xlfn.XLOOKUP(TEXT(Contract_Edits[[#This Row],[Index]],"0"), baseIdxTxt, baseCost, ""))))))
)</f>
        <v>0</v>
      </c>
      <c r="AG40" s="502" t="str" cm="1">
        <f t="array" ref="AG40">IF(Contract_Edits[[#This Row],[BaseFlag]]=1,
   10*BaseDepthL(TEXT(Contract_Edits[[#This Row],[Index]],"0"),500,editsIdxTxt,editsParentKeyTxt,baseIdxTxt,baseCost)-5,
   ""
)</f>
        <v/>
      </c>
      <c r="AH40" s="50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2" t="str">
        <f>IF(Contract_Edits[[#This Row],[Dep]]=0,"Root",
   IF(ISNUMBER(MATCH(Contract_Edits[[#This Row],[Dep]],Contract_Edits[Index],0)),"OK","Missing")
)</f>
        <v>OK</v>
      </c>
      <c r="AJ40" s="502" t="str">
        <f>IF(AND(Contract_Edits[[#This Row],[Dep]]&lt;&gt;0,
        ISNUMBER(MATCH(Contract_Edits[[#This Row],[Dep]], Contract_Edits[Index], 0)),
        INDEX(Contract_Edits[Dep], MATCH(Contract_Edits[[#This Row],[Dep]], Contract_Edits[Index], 0))=Contract_Edits[[#This Row],[Index]]),
   "2-cycle","")</f>
        <v/>
      </c>
      <c r="AK40" s="502" cm="1">
        <f t="array" ref="AK40">IF(Contract_Edits[[#This Row],[BaseFlag]]&lt;&gt;1,0,
   IF(TEXT(Contract_Edits[[#This Row],[Dep]],"0")=TEXT(Contract_Edits[[#This Row],[Index]],"0"),
      0,
      MAX(0, SUMPRODUCT(--(Contract_Edits[BaseFlag]=1),
                        --(TEXT(Contract_Edits[Dep],"0")=TEXT(Contract_Edits[[#This Row],[Dep]],"0"))) - 1)
   )
)</f>
        <v>0</v>
      </c>
      <c r="AL40" s="502" t="str" cm="1">
        <f t="array" ref="AL40">IF(Contract_Edits[[#This Row],[BaseFlag]]=1,
   TEXT(Contract_Edits[[#This Row],[Index]],"0"),
   NearestBaseL(TEXT(Contract_Edits[[#This Row],[ParentKey]],"0"),500,editsIdxTxt,editsParentKeyTxt,baseIdxTxt,baseCost)
)</f>
        <v>7</v>
      </c>
      <c r="AM40" s="502" cm="1">
        <f t="array" ref="AM40">1+SUMPRODUCT(
  (Contract_Edits[BaseFlag]=1)*
  (TEXT(Contract_Edits[ParentAnchor],"0")=TEXT(Contract_Edits[[#This Row],[ParentAnchor]],"0"))*
  (VALUE(TEXT(Contract_Edits[Index],"0"))&lt;VALUE(TEXT(Contract_Edits[[#This Row],[Index]],"0")))
)</f>
        <v>2</v>
      </c>
      <c r="AN40" s="50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437</v>
      </c>
      <c r="B41" t="s">
        <v>434</v>
      </c>
      <c r="C41" t="s">
        <v>449</v>
      </c>
      <c r="D41" s="435" t="s">
        <v>450</v>
      </c>
      <c r="E41">
        <v>1</v>
      </c>
      <c r="F41" s="444">
        <v>0</v>
      </c>
      <c r="G41" s="188">
        <v>0</v>
      </c>
      <c r="H41">
        <v>7</v>
      </c>
      <c r="I41">
        <v>0</v>
      </c>
      <c r="J41">
        <v>8</v>
      </c>
      <c r="K41" s="104"/>
      <c r="L41" s="440">
        <v>8</v>
      </c>
      <c r="M41" s="44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7"/>
      <c r="R41" s="50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1" s="179">
        <v>0</v>
      </c>
      <c r="T41" s="468"/>
      <c r="U41" s="491"/>
      <c r="V41" s="193"/>
      <c r="W41" s="22" t="s">
        <v>357</v>
      </c>
      <c r="X41" s="483" t="s">
        <v>357</v>
      </c>
      <c r="Y41" s="483"/>
      <c r="Z41" s="48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2">
        <f>--(
  ISNUMBER(SEARCH("BASE PARENT", UPPER(CLEAN(TRIM(_xlfn.XLOOKUP(TEXT(Contract_Edits[[#This Row],[Index]],"0"), baseIdxTxt, baseCost, "")))))) +
  ISNUMBER(SEARCH("DEPENDENCY GROUP", UPPER(CLEAN(TRIM(_xlfn.XLOOKUP(TEXT(Contract_Edits[[#This Row],[Index]],"0"), baseIdxTxt, baseCost, ""))))))
)</f>
        <v>1</v>
      </c>
      <c r="AG41" s="502" cm="1">
        <f t="array" ref="AG41">IF(Contract_Edits[[#This Row],[BaseFlag]]=1,
   10*BaseDepthL(TEXT(Contract_Edits[[#This Row],[Index]],"0"),500,editsIdxTxt,editsParentKeyTxt,baseIdxTxt,baseCost)-5,
   ""
)</f>
        <v>75</v>
      </c>
      <c r="AH41" s="50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2" t="str">
        <f>IF(Contract_Edits[[#This Row],[Dep]]=0,"Root",
   IF(ISNUMBER(MATCH(Contract_Edits[[#This Row],[Dep]],Contract_Edits[Index],0)),"OK","Missing")
)</f>
        <v>OK</v>
      </c>
      <c r="AJ41" s="502" t="str">
        <f>IF(AND(Contract_Edits[[#This Row],[Dep]]&lt;&gt;0,
        ISNUMBER(MATCH(Contract_Edits[[#This Row],[Dep]], Contract_Edits[Index], 0)),
        INDEX(Contract_Edits[Dep], MATCH(Contract_Edits[[#This Row],[Dep]], Contract_Edits[Index], 0))=Contract_Edits[[#This Row],[Index]]),
   "2-cycle","")</f>
        <v/>
      </c>
      <c r="AK41" s="502" cm="1">
        <f t="array" ref="AK41">IF(Contract_Edits[[#This Row],[BaseFlag]]&lt;&gt;1,0,
   IF(TEXT(Contract_Edits[[#This Row],[Dep]],"0")=TEXT(Contract_Edits[[#This Row],[Index]],"0"),
      0,
      MAX(0, SUMPRODUCT(--(Contract_Edits[BaseFlag]=1),
                        --(TEXT(Contract_Edits[Dep],"0")=TEXT(Contract_Edits[[#This Row],[Dep]],"0"))) - 1)
   )
)</f>
        <v>0</v>
      </c>
      <c r="AL41" s="502" t="str" cm="1">
        <f t="array" ref="AL41">IF(Contract_Edits[[#This Row],[BaseFlag]]=1,
   TEXT(Contract_Edits[[#This Row],[Index]],"0"),
   NearestBaseL(TEXT(Contract_Edits[[#This Row],[ParentKey]],"0"),500,editsIdxTxt,editsParentKeyTxt,baseIdxTxt,baseCost)
)</f>
        <v>8</v>
      </c>
      <c r="AM41" s="502" cm="1">
        <f t="array" ref="AM41">1+SUMPRODUCT(
  (Contract_Edits[BaseFlag]=1)*
  (TEXT(Contract_Edits[ParentAnchor],"0")=TEXT(Contract_Edits[[#This Row],[ParentAnchor]],"0"))*
  (VALUE(TEXT(Contract_Edits[Index],"0"))&lt;VALUE(TEXT(Contract_Edits[[#This Row],[Index]],"0")))
)</f>
        <v>1</v>
      </c>
      <c r="AN41" s="50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437</v>
      </c>
      <c r="B42" t="s">
        <v>434</v>
      </c>
      <c r="C42" t="s">
        <v>451</v>
      </c>
      <c r="D42" s="435" t="s">
        <v>452</v>
      </c>
      <c r="E42">
        <v>1</v>
      </c>
      <c r="F42" s="444">
        <v>0</v>
      </c>
      <c r="G42" s="188">
        <v>0</v>
      </c>
      <c r="H42">
        <v>9</v>
      </c>
      <c r="I42">
        <v>0</v>
      </c>
      <c r="J42">
        <v>10</v>
      </c>
      <c r="K42" s="104"/>
      <c r="L42" s="440">
        <v>10</v>
      </c>
      <c r="M42" s="44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79"/>
      <c r="R42" s="50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2" s="179">
        <v>0</v>
      </c>
      <c r="T42" s="468"/>
      <c r="U42" s="491"/>
      <c r="V42" s="193"/>
      <c r="W42" s="22" t="s">
        <v>357</v>
      </c>
      <c r="X42" s="483" t="s">
        <v>357</v>
      </c>
      <c r="Y42" s="48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2">
        <f>--(
  ISNUMBER(SEARCH("BASE PARENT", UPPER(CLEAN(TRIM(_xlfn.XLOOKUP(TEXT(Contract_Edits[[#This Row],[Index]],"0"), baseIdxTxt, baseCost, "")))))) +
  ISNUMBER(SEARCH("DEPENDENCY GROUP", UPPER(CLEAN(TRIM(_xlfn.XLOOKUP(TEXT(Contract_Edits[[#This Row],[Index]],"0"), baseIdxTxt, baseCost, ""))))))
)</f>
        <v>1</v>
      </c>
      <c r="AG42" s="502" cm="1">
        <f t="array" ref="AG42">IF(Contract_Edits[[#This Row],[BaseFlag]]=1,
   10*BaseDepthL(TEXT(Contract_Edits[[#This Row],[Index]],"0"),500,editsIdxTxt,editsParentKeyTxt,baseIdxTxt,baseCost)-5,
   ""
)</f>
        <v>95</v>
      </c>
      <c r="AH42" s="50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2" t="str">
        <f>IF(Contract_Edits[[#This Row],[Dep]]=0,"Root",
   IF(ISNUMBER(MATCH(Contract_Edits[[#This Row],[Dep]],Contract_Edits[Index],0)),"OK","Missing")
)</f>
        <v>OK</v>
      </c>
      <c r="AJ42" s="502" t="str">
        <f>IF(AND(Contract_Edits[[#This Row],[Dep]]&lt;&gt;0,
        ISNUMBER(MATCH(Contract_Edits[[#This Row],[Dep]], Contract_Edits[Index], 0)),
        INDEX(Contract_Edits[Dep], MATCH(Contract_Edits[[#This Row],[Dep]], Contract_Edits[Index], 0))=Contract_Edits[[#This Row],[Index]]),
   "2-cycle","")</f>
        <v/>
      </c>
      <c r="AK42" s="502" cm="1">
        <f t="array" ref="AK42">IF(Contract_Edits[[#This Row],[BaseFlag]]&lt;&gt;1,0,
   IF(TEXT(Contract_Edits[[#This Row],[Dep]],"0")=TEXT(Contract_Edits[[#This Row],[Index]],"0"),
      0,
      MAX(0, SUMPRODUCT(--(Contract_Edits[BaseFlag]=1),
                        --(TEXT(Contract_Edits[Dep],"0")=TEXT(Contract_Edits[[#This Row],[Dep]],"0"))) - 1)
   )
)</f>
        <v>0</v>
      </c>
      <c r="AL42" s="502" t="str" cm="1">
        <f t="array" ref="AL42">IF(Contract_Edits[[#This Row],[BaseFlag]]=1,
   TEXT(Contract_Edits[[#This Row],[Index]],"0"),
   NearestBaseL(TEXT(Contract_Edits[[#This Row],[ParentKey]],"0"),500,editsIdxTxt,editsParentKeyTxt,baseIdxTxt,baseCost)
)</f>
        <v>10</v>
      </c>
      <c r="AM42" s="502" cm="1">
        <f t="array" ref="AM42">1+SUMPRODUCT(
  (Contract_Edits[BaseFlag]=1)*
  (TEXT(Contract_Edits[ParentAnchor],"0")=TEXT(Contract_Edits[[#This Row],[ParentAnchor]],"0"))*
  (VALUE(TEXT(Contract_Edits[Index],"0"))&lt;VALUE(TEXT(Contract_Edits[[#This Row],[Index]],"0")))
)</f>
        <v>1</v>
      </c>
      <c r="AN42" s="50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437</v>
      </c>
      <c r="B43" t="s">
        <v>434</v>
      </c>
      <c r="C43" t="s">
        <v>451</v>
      </c>
      <c r="D43" s="435" t="s">
        <v>453</v>
      </c>
      <c r="E43">
        <v>1</v>
      </c>
      <c r="F43" s="444">
        <v>0</v>
      </c>
      <c r="G43" s="188">
        <v>0</v>
      </c>
      <c r="H43">
        <v>10</v>
      </c>
      <c r="I43">
        <v>0</v>
      </c>
      <c r="J43">
        <v>11</v>
      </c>
      <c r="K43" s="104"/>
      <c r="L43" s="440">
        <v>11</v>
      </c>
      <c r="M43" s="44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7"/>
      <c r="R43" s="50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3" s="179">
        <v>0</v>
      </c>
      <c r="T43" s="179">
        <v>0</v>
      </c>
      <c r="U43" s="11"/>
      <c r="V43"/>
      <c r="W43" s="22" t="s">
        <v>357</v>
      </c>
      <c r="X43" s="483" t="s">
        <v>357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2">
        <f>--(
  ISNUMBER(SEARCH("BASE PARENT", UPPER(CLEAN(TRIM(_xlfn.XLOOKUP(TEXT(Contract_Edits[[#This Row],[Index]],"0"), baseIdxTxt, baseCost, "")))))) +
  ISNUMBER(SEARCH("DEPENDENCY GROUP", UPPER(CLEAN(TRIM(_xlfn.XLOOKUP(TEXT(Contract_Edits[[#This Row],[Index]],"0"), baseIdxTxt, baseCost, ""))))))
)</f>
        <v>1</v>
      </c>
      <c r="AG43" s="502" cm="1">
        <f t="array" ref="AG43">IF(Contract_Edits[[#This Row],[BaseFlag]]=1,
   10*BaseDepthL(TEXT(Contract_Edits[[#This Row],[Index]],"0"),500,editsIdxTxt,editsParentKeyTxt,baseIdxTxt,baseCost)-5,
   ""
)</f>
        <v>105</v>
      </c>
      <c r="AH43" s="50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2" t="str">
        <f>IF(Contract_Edits[[#This Row],[Dep]]=0,"Root",
   IF(ISNUMBER(MATCH(Contract_Edits[[#This Row],[Dep]],Contract_Edits[Index],0)),"OK","Missing")
)</f>
        <v>OK</v>
      </c>
      <c r="AJ43" s="502" t="str">
        <f>IF(AND(Contract_Edits[[#This Row],[Dep]]&lt;&gt;0,
        ISNUMBER(MATCH(Contract_Edits[[#This Row],[Dep]], Contract_Edits[Index], 0)),
        INDEX(Contract_Edits[Dep], MATCH(Contract_Edits[[#This Row],[Dep]], Contract_Edits[Index], 0))=Contract_Edits[[#This Row],[Index]]),
   "2-cycle","")</f>
        <v/>
      </c>
      <c r="AK43" s="502" cm="1">
        <f t="array" ref="AK43">IF(Contract_Edits[[#This Row],[BaseFlag]]&lt;&gt;1,0,
   IF(TEXT(Contract_Edits[[#This Row],[Dep]],"0")=TEXT(Contract_Edits[[#This Row],[Index]],"0"),
      0,
      MAX(0, SUMPRODUCT(--(Contract_Edits[BaseFlag]=1),
                        --(TEXT(Contract_Edits[Dep],"0")=TEXT(Contract_Edits[[#This Row],[Dep]],"0"))) - 1)
   )
)</f>
        <v>0</v>
      </c>
      <c r="AL43" s="502" t="str" cm="1">
        <f t="array" ref="AL43">IF(Contract_Edits[[#This Row],[BaseFlag]]=1,
   TEXT(Contract_Edits[[#This Row],[Index]],"0"),
   NearestBaseL(TEXT(Contract_Edits[[#This Row],[ParentKey]],"0"),500,editsIdxTxt,editsParentKeyTxt,baseIdxTxt,baseCost)
)</f>
        <v>11</v>
      </c>
      <c r="AM43" s="502" cm="1">
        <f t="array" ref="AM43">1+SUMPRODUCT(
  (Contract_Edits[BaseFlag]=1)*
  (TEXT(Contract_Edits[ParentAnchor],"0")=TEXT(Contract_Edits[[#This Row],[ParentAnchor]],"0"))*
  (VALUE(TEXT(Contract_Edits[Index],"0"))&lt;VALUE(TEXT(Contract_Edits[[#This Row],[Index]],"0")))
)</f>
        <v>1</v>
      </c>
      <c r="AN43" s="50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437</v>
      </c>
      <c r="B44" t="s">
        <v>434</v>
      </c>
      <c r="C44" t="s">
        <v>454</v>
      </c>
      <c r="D44" s="435" t="s">
        <v>455</v>
      </c>
      <c r="E44">
        <v>1</v>
      </c>
      <c r="F44" s="444">
        <v>0</v>
      </c>
      <c r="G44" s="188">
        <v>0</v>
      </c>
      <c r="H44">
        <v>11</v>
      </c>
      <c r="I44">
        <v>0</v>
      </c>
      <c r="J44">
        <v>12</v>
      </c>
      <c r="K44" s="104"/>
      <c r="L44" s="440">
        <v>12</v>
      </c>
      <c r="M44" s="44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7"/>
      <c r="R44" s="50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4" s="179">
        <v>0</v>
      </c>
      <c r="T44" s="179">
        <v>0</v>
      </c>
      <c r="U44" s="11"/>
      <c r="V44"/>
      <c r="W44" s="22" t="s">
        <v>357</v>
      </c>
      <c r="X44" s="483" t="s">
        <v>357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2">
        <f>--(
  ISNUMBER(SEARCH("BASE PARENT", UPPER(CLEAN(TRIM(_xlfn.XLOOKUP(TEXT(Contract_Edits[[#This Row],[Index]],"0"), baseIdxTxt, baseCost, "")))))) +
  ISNUMBER(SEARCH("DEPENDENCY GROUP", UPPER(CLEAN(TRIM(_xlfn.XLOOKUP(TEXT(Contract_Edits[[#This Row],[Index]],"0"), baseIdxTxt, baseCost, ""))))))
)</f>
        <v>1</v>
      </c>
      <c r="AG44" s="502" cm="1">
        <f t="array" ref="AG44">IF(Contract_Edits[[#This Row],[BaseFlag]]=1,
   10*BaseDepthL(TEXT(Contract_Edits[[#This Row],[Index]],"0"),500,editsIdxTxt,editsParentKeyTxt,baseIdxTxt,baseCost)-5,
   ""
)</f>
        <v>115</v>
      </c>
      <c r="AH44" s="50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2" t="str">
        <f>IF(Contract_Edits[[#This Row],[Dep]]=0,"Root",
   IF(ISNUMBER(MATCH(Contract_Edits[[#This Row],[Dep]],Contract_Edits[Index],0)),"OK","Missing")
)</f>
        <v>OK</v>
      </c>
      <c r="AJ44" s="502" t="str">
        <f>IF(AND(Contract_Edits[[#This Row],[Dep]]&lt;&gt;0,
        ISNUMBER(MATCH(Contract_Edits[[#This Row],[Dep]], Contract_Edits[Index], 0)),
        INDEX(Contract_Edits[Dep], MATCH(Contract_Edits[[#This Row],[Dep]], Contract_Edits[Index], 0))=Contract_Edits[[#This Row],[Index]]),
   "2-cycle","")</f>
        <v/>
      </c>
      <c r="AK44" s="502" cm="1">
        <f t="array" ref="AK44">IF(Contract_Edits[[#This Row],[BaseFlag]]&lt;&gt;1,0,
   IF(TEXT(Contract_Edits[[#This Row],[Dep]],"0")=TEXT(Contract_Edits[[#This Row],[Index]],"0"),
      0,
      MAX(0, SUMPRODUCT(--(Contract_Edits[BaseFlag]=1),
                        --(TEXT(Contract_Edits[Dep],"0")=TEXT(Contract_Edits[[#This Row],[Dep]],"0"))) - 1)
   )
)</f>
        <v>0</v>
      </c>
      <c r="AL44" s="502" t="str" cm="1">
        <f t="array" ref="AL44">IF(Contract_Edits[[#This Row],[BaseFlag]]=1,
   TEXT(Contract_Edits[[#This Row],[Index]],"0"),
   NearestBaseL(TEXT(Contract_Edits[[#This Row],[ParentKey]],"0"),500,editsIdxTxt,editsParentKeyTxt,baseIdxTxt,baseCost)
)</f>
        <v>12</v>
      </c>
      <c r="AM44" s="502" cm="1">
        <f t="array" ref="AM44">1+SUMPRODUCT(
  (Contract_Edits[BaseFlag]=1)*
  (TEXT(Contract_Edits[ParentAnchor],"0")=TEXT(Contract_Edits[[#This Row],[ParentAnchor]],"0"))*
  (VALUE(TEXT(Contract_Edits[Index],"0"))&lt;VALUE(TEXT(Contract_Edits[[#This Row],[Index]],"0")))
)</f>
        <v>1</v>
      </c>
      <c r="AN44" s="50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437</v>
      </c>
      <c r="B45" t="s">
        <v>434</v>
      </c>
      <c r="C45" t="s">
        <v>456</v>
      </c>
      <c r="D45" s="435" t="s">
        <v>457</v>
      </c>
      <c r="E45">
        <v>1</v>
      </c>
      <c r="F45" s="444">
        <v>0</v>
      </c>
      <c r="G45" s="188">
        <v>0</v>
      </c>
      <c r="H45">
        <v>12</v>
      </c>
      <c r="I45">
        <v>0</v>
      </c>
      <c r="J45">
        <v>13</v>
      </c>
      <c r="K45" s="104"/>
      <c r="L45" s="440">
        <v>13</v>
      </c>
      <c r="M45" s="44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7"/>
      <c r="R45" s="50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5" s="179">
        <v>0</v>
      </c>
      <c r="T45" s="179">
        <v>0</v>
      </c>
      <c r="U45" s="11"/>
      <c r="V45"/>
      <c r="W45" s="22" t="s">
        <v>357</v>
      </c>
      <c r="X45" s="483" t="s">
        <v>357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2">
        <f>--(
  ISNUMBER(SEARCH("BASE PARENT", UPPER(CLEAN(TRIM(_xlfn.XLOOKUP(TEXT(Contract_Edits[[#This Row],[Index]],"0"), baseIdxTxt, baseCost, "")))))) +
  ISNUMBER(SEARCH("DEPENDENCY GROUP", UPPER(CLEAN(TRIM(_xlfn.XLOOKUP(TEXT(Contract_Edits[[#This Row],[Index]],"0"), baseIdxTxt, baseCost, ""))))))
)</f>
        <v>1</v>
      </c>
      <c r="AG45" s="502" cm="1">
        <f t="array" ref="AG45">IF(Contract_Edits[[#This Row],[BaseFlag]]=1,
   10*BaseDepthL(TEXT(Contract_Edits[[#This Row],[Index]],"0"),500,editsIdxTxt,editsParentKeyTxt,baseIdxTxt,baseCost)-5,
   ""
)</f>
        <v>125</v>
      </c>
      <c r="AH45" s="50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2" t="str">
        <f>IF(Contract_Edits[[#This Row],[Dep]]=0,"Root",
   IF(ISNUMBER(MATCH(Contract_Edits[[#This Row],[Dep]],Contract_Edits[Index],0)),"OK","Missing")
)</f>
        <v>OK</v>
      </c>
      <c r="AJ45" s="502" t="str">
        <f>IF(AND(Contract_Edits[[#This Row],[Dep]]&lt;&gt;0,
        ISNUMBER(MATCH(Contract_Edits[[#This Row],[Dep]], Contract_Edits[Index], 0)),
        INDEX(Contract_Edits[Dep], MATCH(Contract_Edits[[#This Row],[Dep]], Contract_Edits[Index], 0))=Contract_Edits[[#This Row],[Index]]),
   "2-cycle","")</f>
        <v/>
      </c>
      <c r="AK45" s="502" cm="1">
        <f t="array" ref="AK45">IF(Contract_Edits[[#This Row],[BaseFlag]]&lt;&gt;1,0,
   IF(TEXT(Contract_Edits[[#This Row],[Dep]],"0")=TEXT(Contract_Edits[[#This Row],[Index]],"0"),
      0,
      MAX(0, SUMPRODUCT(--(Contract_Edits[BaseFlag]=1),
                        --(TEXT(Contract_Edits[Dep],"0")=TEXT(Contract_Edits[[#This Row],[Dep]],"0"))) - 1)
   )
)</f>
        <v>0</v>
      </c>
      <c r="AL45" s="502" t="str" cm="1">
        <f t="array" ref="AL45">IF(Contract_Edits[[#This Row],[BaseFlag]]=1,
   TEXT(Contract_Edits[[#This Row],[Index]],"0"),
   NearestBaseL(TEXT(Contract_Edits[[#This Row],[ParentKey]],"0"),500,editsIdxTxt,editsParentKeyTxt,baseIdxTxt,baseCost)
)</f>
        <v>13</v>
      </c>
      <c r="AM45" s="502" cm="1">
        <f t="array" ref="AM45">1+SUMPRODUCT(
  (Contract_Edits[BaseFlag]=1)*
  (TEXT(Contract_Edits[ParentAnchor],"0")=TEXT(Contract_Edits[[#This Row],[ParentAnchor]],"0"))*
  (VALUE(TEXT(Contract_Edits[Index],"0"))&lt;VALUE(TEXT(Contract_Edits[[#This Row],[Index]],"0")))
)</f>
        <v>1</v>
      </c>
      <c r="AN45" s="50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437</v>
      </c>
      <c r="B46" t="s">
        <v>434</v>
      </c>
      <c r="C46" t="s">
        <v>458</v>
      </c>
      <c r="D46" s="435" t="s">
        <v>459</v>
      </c>
      <c r="E46">
        <v>1</v>
      </c>
      <c r="F46" s="444">
        <v>0</v>
      </c>
      <c r="G46" s="188">
        <v>0</v>
      </c>
      <c r="H46">
        <v>13</v>
      </c>
      <c r="I46">
        <v>0</v>
      </c>
      <c r="J46">
        <v>14</v>
      </c>
      <c r="K46" s="104"/>
      <c r="L46" s="440">
        <v>14</v>
      </c>
      <c r="M46" s="44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79"/>
      <c r="R46" s="50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6" s="179">
        <v>0</v>
      </c>
      <c r="T46" s="468"/>
      <c r="U46" s="491"/>
      <c r="V46" s="193"/>
      <c r="W46" s="22" t="s">
        <v>357</v>
      </c>
      <c r="X46" s="483" t="s">
        <v>357</v>
      </c>
      <c r="Y46" s="48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2">
        <f>--(
  ISNUMBER(SEARCH("BASE PARENT", UPPER(CLEAN(TRIM(_xlfn.XLOOKUP(TEXT(Contract_Edits[[#This Row],[Index]],"0"), baseIdxTxt, baseCost, "")))))) +
  ISNUMBER(SEARCH("DEPENDENCY GROUP", UPPER(CLEAN(TRIM(_xlfn.XLOOKUP(TEXT(Contract_Edits[[#This Row],[Index]],"0"), baseIdxTxt, baseCost, ""))))))
)</f>
        <v>1</v>
      </c>
      <c r="AG46" s="502" cm="1">
        <f t="array" ref="AG46">IF(Contract_Edits[[#This Row],[BaseFlag]]=1,
   10*BaseDepthL(TEXT(Contract_Edits[[#This Row],[Index]],"0"),500,editsIdxTxt,editsParentKeyTxt,baseIdxTxt,baseCost)-5,
   ""
)</f>
        <v>135</v>
      </c>
      <c r="AH46" s="50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2" t="str">
        <f>IF(Contract_Edits[[#This Row],[Dep]]=0,"Root",
   IF(ISNUMBER(MATCH(Contract_Edits[[#This Row],[Dep]],Contract_Edits[Index],0)),"OK","Missing")
)</f>
        <v>OK</v>
      </c>
      <c r="AJ46" s="502" t="str">
        <f>IF(AND(Contract_Edits[[#This Row],[Dep]]&lt;&gt;0,
        ISNUMBER(MATCH(Contract_Edits[[#This Row],[Dep]], Contract_Edits[Index], 0)),
        INDEX(Contract_Edits[Dep], MATCH(Contract_Edits[[#This Row],[Dep]], Contract_Edits[Index], 0))=Contract_Edits[[#This Row],[Index]]),
   "2-cycle","")</f>
        <v/>
      </c>
      <c r="AK46" s="502" cm="1">
        <f t="array" ref="AK46">IF(Contract_Edits[[#This Row],[BaseFlag]]&lt;&gt;1,0,
   IF(TEXT(Contract_Edits[[#This Row],[Dep]],"0")=TEXT(Contract_Edits[[#This Row],[Index]],"0"),
      0,
      MAX(0, SUMPRODUCT(--(Contract_Edits[BaseFlag]=1),
                        --(TEXT(Contract_Edits[Dep],"0")=TEXT(Contract_Edits[[#This Row],[Dep]],"0"))) - 1)
   )
)</f>
        <v>0</v>
      </c>
      <c r="AL46" s="502" t="str" cm="1">
        <f t="array" ref="AL46">IF(Contract_Edits[[#This Row],[BaseFlag]]=1,
   TEXT(Contract_Edits[[#This Row],[Index]],"0"),
   NearestBaseL(TEXT(Contract_Edits[[#This Row],[ParentKey]],"0"),500,editsIdxTxt,editsParentKeyTxt,baseIdxTxt,baseCost)
)</f>
        <v>14</v>
      </c>
      <c r="AM46" s="502" cm="1">
        <f t="array" ref="AM46">1+SUMPRODUCT(
  (Contract_Edits[BaseFlag]=1)*
  (TEXT(Contract_Edits[ParentAnchor],"0")=TEXT(Contract_Edits[[#This Row],[ParentAnchor]],"0"))*
  (VALUE(TEXT(Contract_Edits[Index],"0"))&lt;VALUE(TEXT(Contract_Edits[[#This Row],[Index]],"0")))
)</f>
        <v>1</v>
      </c>
      <c r="AN46" s="50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480</v>
      </c>
      <c r="B47" t="s">
        <v>458</v>
      </c>
      <c r="C47" t="s">
        <v>522</v>
      </c>
      <c r="D47" s="435" t="s">
        <v>1168</v>
      </c>
      <c r="E47">
        <v>2</v>
      </c>
      <c r="F47" s="444">
        <v>62.5</v>
      </c>
      <c r="G47" s="188">
        <v>125</v>
      </c>
      <c r="H47">
        <v>0</v>
      </c>
      <c r="I47">
        <v>125</v>
      </c>
      <c r="J47">
        <v>80</v>
      </c>
      <c r="K47" s="104"/>
      <c r="L47" s="440">
        <v>80</v>
      </c>
      <c r="M47" s="44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7"/>
      <c r="R47" s="50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7" s="179">
        <v>0</v>
      </c>
      <c r="T47" s="179">
        <v>0</v>
      </c>
      <c r="U47" s="11" t="s">
        <v>607</v>
      </c>
      <c r="V47"/>
      <c r="W47" s="22" t="s">
        <v>357</v>
      </c>
      <c r="X47" s="22" t="s">
        <v>357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2">
        <f>--(
  ISNUMBER(SEARCH("BASE PARENT", UPPER(CLEAN(TRIM(_xlfn.XLOOKUP(TEXT(Contract_Edits[[#This Row],[Index]],"0"), baseIdxTxt, baseCost, "")))))) +
  ISNUMBER(SEARCH("DEPENDENCY GROUP", UPPER(CLEAN(TRIM(_xlfn.XLOOKUP(TEXT(Contract_Edits[[#This Row],[Index]],"0"), baseIdxTxt, baseCost, ""))))))
)</f>
        <v>0</v>
      </c>
      <c r="AG47" s="502" t="str" cm="1">
        <f t="array" ref="AG47">IF(Contract_Edits[[#This Row],[BaseFlag]]=1,
   10*BaseDepthL(TEXT(Contract_Edits[[#This Row],[Index]],"0"),500,editsIdxTxt,editsParentKeyTxt,baseIdxTxt,baseCost)-5,
   ""
)</f>
        <v/>
      </c>
      <c r="AH47" s="50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2" t="str">
        <f>IF(Contract_Edits[[#This Row],[Dep]]=0,"Root",
   IF(ISNUMBER(MATCH(Contract_Edits[[#This Row],[Dep]],Contract_Edits[Index],0)),"OK","Missing")
)</f>
        <v>OK</v>
      </c>
      <c r="AJ47" s="502" t="str">
        <f>IF(AND(Contract_Edits[[#This Row],[Dep]]&lt;&gt;0,
        ISNUMBER(MATCH(Contract_Edits[[#This Row],[Dep]], Contract_Edits[Index], 0)),
        INDEX(Contract_Edits[Dep], MATCH(Contract_Edits[[#This Row],[Dep]], Contract_Edits[Index], 0))=Contract_Edits[[#This Row],[Index]]),
   "2-cycle","")</f>
        <v/>
      </c>
      <c r="AK47" s="502" cm="1">
        <f t="array" ref="AK47">IF(Contract_Edits[[#This Row],[BaseFlag]]&lt;&gt;1,0,
   IF(TEXT(Contract_Edits[[#This Row],[Dep]],"0")=TEXT(Contract_Edits[[#This Row],[Index]],"0"),
      0,
      MAX(0, SUMPRODUCT(--(Contract_Edits[BaseFlag]=1),
                        --(TEXT(Contract_Edits[Dep],"0")=TEXT(Contract_Edits[[#This Row],[Dep]],"0"))) - 1)
   )
)</f>
        <v>0</v>
      </c>
      <c r="AL47" s="502" t="str" cm="1">
        <f t="array" ref="AL47">IF(Contract_Edits[[#This Row],[BaseFlag]]=1,
   TEXT(Contract_Edits[[#This Row],[Index]],"0"),
   NearestBaseL(TEXT(Contract_Edits[[#This Row],[ParentKey]],"0"),500,editsIdxTxt,editsParentKeyTxt,baseIdxTxt,baseCost)
)</f>
        <v>14</v>
      </c>
      <c r="AM47" s="502" cm="1">
        <f t="array" ref="AM47">1+SUMPRODUCT(
  (Contract_Edits[BaseFlag]=1)*
  (TEXT(Contract_Edits[ParentAnchor],"0")=TEXT(Contract_Edits[[#This Row],[ParentAnchor]],"0"))*
  (VALUE(TEXT(Contract_Edits[Index],"0"))&lt;VALUE(TEXT(Contract_Edits[[#This Row],[Index]],"0")))
)</f>
        <v>2</v>
      </c>
      <c r="AN47" s="50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550</v>
      </c>
      <c r="B48" t="s">
        <v>545</v>
      </c>
      <c r="C48" t="s">
        <v>582</v>
      </c>
      <c r="D48" s="435" t="s">
        <v>583</v>
      </c>
      <c r="E48">
        <v>1</v>
      </c>
      <c r="F48" s="444">
        <v>6726.5870099999993</v>
      </c>
      <c r="G48" s="188">
        <v>6726.5870099999993</v>
      </c>
      <c r="H48">
        <v>14</v>
      </c>
      <c r="I48">
        <v>6726.5870099999993</v>
      </c>
      <c r="J48">
        <v>904</v>
      </c>
      <c r="K48" s="104"/>
      <c r="L48" s="440">
        <v>904</v>
      </c>
      <c r="M48" s="44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79"/>
      <c r="R48" s="50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8" s="179">
        <v>0</v>
      </c>
      <c r="T48" s="468"/>
      <c r="U48" s="491" t="s">
        <v>607</v>
      </c>
      <c r="V48" s="193"/>
      <c r="W48" s="22" t="s">
        <v>357</v>
      </c>
      <c r="X48" s="483" t="s">
        <v>357</v>
      </c>
      <c r="Y48" s="48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2">
        <f>--(
  ISNUMBER(SEARCH("BASE PARENT", UPPER(CLEAN(TRIM(_xlfn.XLOOKUP(TEXT(Contract_Edits[[#This Row],[Index]],"0"), baseIdxTxt, baseCost, "")))))) +
  ISNUMBER(SEARCH("DEPENDENCY GROUP", UPPER(CLEAN(TRIM(_xlfn.XLOOKUP(TEXT(Contract_Edits[[#This Row],[Index]],"0"), baseIdxTxt, baseCost, ""))))))
)</f>
        <v>0</v>
      </c>
      <c r="AG48" s="502" t="str" cm="1">
        <f t="array" ref="AG48">IF(Contract_Edits[[#This Row],[BaseFlag]]=1,
   10*BaseDepthL(TEXT(Contract_Edits[[#This Row],[Index]],"0"),500,editsIdxTxt,editsParentKeyTxt,baseIdxTxt,baseCost)-5,
   ""
)</f>
        <v/>
      </c>
      <c r="AH48" s="50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2" t="str">
        <f>IF(Contract_Edits[[#This Row],[Dep]]=0,"Root",
   IF(ISNUMBER(MATCH(Contract_Edits[[#This Row],[Dep]],Contract_Edits[Index],0)),"OK","Missing")
)</f>
        <v>OK</v>
      </c>
      <c r="AJ48" s="502" t="str">
        <f>IF(AND(Contract_Edits[[#This Row],[Dep]]&lt;&gt;0,
        ISNUMBER(MATCH(Contract_Edits[[#This Row],[Dep]], Contract_Edits[Index], 0)),
        INDEX(Contract_Edits[Dep], MATCH(Contract_Edits[[#This Row],[Dep]], Contract_Edits[Index], 0))=Contract_Edits[[#This Row],[Index]]),
   "2-cycle","")</f>
        <v/>
      </c>
      <c r="AK48" s="502" cm="1">
        <f t="array" ref="AK48">IF(Contract_Edits[[#This Row],[BaseFlag]]&lt;&gt;1,0,
   IF(TEXT(Contract_Edits[[#This Row],[Dep]],"0")=TEXT(Contract_Edits[[#This Row],[Index]],"0"),
      0,
      MAX(0, SUMPRODUCT(--(Contract_Edits[BaseFlag]=1),
                        --(TEXT(Contract_Edits[Dep],"0")=TEXT(Contract_Edits[[#This Row],[Dep]],"0"))) - 1)
   )
)</f>
        <v>0</v>
      </c>
      <c r="AL48" s="502" t="str" cm="1">
        <f t="array" ref="AL48">IF(Contract_Edits[[#This Row],[BaseFlag]]=1,
   TEXT(Contract_Edits[[#This Row],[Index]],"0"),
   NearestBaseL(TEXT(Contract_Edits[[#This Row],[ParentKey]],"0"),500,editsIdxTxt,editsParentKeyTxt,baseIdxTxt,baseCost)
)</f>
        <v>14</v>
      </c>
      <c r="AM48" s="502" cm="1">
        <f t="array" ref="AM48">1+SUMPRODUCT(
  (Contract_Edits[BaseFlag]=1)*
  (TEXT(Contract_Edits[ParentAnchor],"0")=TEXT(Contract_Edits[[#This Row],[ParentAnchor]],"0"))*
  (VALUE(TEXT(Contract_Edits[Index],"0"))&lt;VALUE(TEXT(Contract_Edits[[#This Row],[Index]],"0")))
)</f>
        <v>2</v>
      </c>
      <c r="AN48" s="50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480</v>
      </c>
      <c r="B49" t="s">
        <v>458</v>
      </c>
      <c r="C49" t="s">
        <v>458</v>
      </c>
      <c r="D49" s="435" t="s">
        <v>483</v>
      </c>
      <c r="E49">
        <v>1</v>
      </c>
      <c r="F49" s="444"/>
      <c r="G49" s="188"/>
      <c r="H49">
        <v>0</v>
      </c>
      <c r="I49"/>
      <c r="J49">
        <v>34</v>
      </c>
      <c r="K49" s="104"/>
      <c r="L49" s="440">
        <v>34</v>
      </c>
      <c r="M49" s="44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7"/>
      <c r="R49" s="50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49" s="179">
        <v>0</v>
      </c>
      <c r="T49" s="179">
        <v>0</v>
      </c>
      <c r="U49" s="11" t="s">
        <v>607</v>
      </c>
      <c r="V49"/>
      <c r="W49" s="22" t="s">
        <v>357</v>
      </c>
      <c r="X49" s="22" t="s">
        <v>357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2">
        <f>--(
  ISNUMBER(SEARCH("BASE PARENT", UPPER(CLEAN(TRIM(_xlfn.XLOOKUP(TEXT(Contract_Edits[[#This Row],[Index]],"0"), baseIdxTxt, baseCost, "")))))) +
  ISNUMBER(SEARCH("DEPENDENCY GROUP", UPPER(CLEAN(TRIM(_xlfn.XLOOKUP(TEXT(Contract_Edits[[#This Row],[Index]],"0"), baseIdxTxt, baseCost, ""))))))
)</f>
        <v>0</v>
      </c>
      <c r="AG49" s="502" t="str" cm="1">
        <f t="array" ref="AG49">IF(Contract_Edits[[#This Row],[BaseFlag]]=1,
   10*BaseDepthL(TEXT(Contract_Edits[[#This Row],[Index]],"0"),500,editsIdxTxt,editsParentKeyTxt,baseIdxTxt,baseCost)-5,
   ""
)</f>
        <v/>
      </c>
      <c r="AH49" s="50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2" t="str">
        <f>IF(Contract_Edits[[#This Row],[Dep]]=0,"Root",
   IF(ISNUMBER(MATCH(Contract_Edits[[#This Row],[Dep]],Contract_Edits[Index],0)),"OK","Missing")
)</f>
        <v>OK</v>
      </c>
      <c r="AJ49" s="502" t="str">
        <f>IF(AND(Contract_Edits[[#This Row],[Dep]]&lt;&gt;0,
        ISNUMBER(MATCH(Contract_Edits[[#This Row],[Dep]], Contract_Edits[Index], 0)),
        INDEX(Contract_Edits[Dep], MATCH(Contract_Edits[[#This Row],[Dep]], Contract_Edits[Index], 0))=Contract_Edits[[#This Row],[Index]]),
   "2-cycle","")</f>
        <v/>
      </c>
      <c r="AK49" s="502" cm="1">
        <f t="array" ref="AK49">IF(Contract_Edits[[#This Row],[BaseFlag]]&lt;&gt;1,0,
   IF(TEXT(Contract_Edits[[#This Row],[Dep]],"0")=TEXT(Contract_Edits[[#This Row],[Index]],"0"),
      0,
      MAX(0, SUMPRODUCT(--(Contract_Edits[BaseFlag]=1),
                        --(TEXT(Contract_Edits[Dep],"0")=TEXT(Contract_Edits[[#This Row],[Dep]],"0"))) - 1)
   )
)</f>
        <v>0</v>
      </c>
      <c r="AL49" s="502" t="str" cm="1">
        <f t="array" ref="AL49">IF(Contract_Edits[[#This Row],[BaseFlag]]=1,
   TEXT(Contract_Edits[[#This Row],[Index]],"0"),
   NearestBaseL(TEXT(Contract_Edits[[#This Row],[ParentKey]],"0"),500,editsIdxTxt,editsParentKeyTxt,baseIdxTxt,baseCost)
)</f>
        <v>14</v>
      </c>
      <c r="AM49" s="502" cm="1">
        <f t="array" ref="AM49">1+SUMPRODUCT(
  (Contract_Edits[BaseFlag]=1)*
  (TEXT(Contract_Edits[ParentAnchor],"0")=TEXT(Contract_Edits[[#This Row],[ParentAnchor]],"0"))*
  (VALUE(TEXT(Contract_Edits[Index],"0"))&lt;VALUE(TEXT(Contract_Edits[[#This Row],[Index]],"0")))
)</f>
        <v>2</v>
      </c>
      <c r="AN49" s="50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480</v>
      </c>
      <c r="B50" t="s">
        <v>458</v>
      </c>
      <c r="C50" t="s">
        <v>458</v>
      </c>
      <c r="D50" s="435" t="s">
        <v>481</v>
      </c>
      <c r="E50">
        <v>1</v>
      </c>
      <c r="F50" s="444"/>
      <c r="G50" s="188"/>
      <c r="H50">
        <v>0</v>
      </c>
      <c r="I50"/>
      <c r="J50">
        <v>32</v>
      </c>
      <c r="K50" s="104"/>
      <c r="L50" s="440">
        <v>32</v>
      </c>
      <c r="M50" s="44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7"/>
      <c r="R50" s="50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0" s="179">
        <v>0</v>
      </c>
      <c r="T50" s="179">
        <v>0</v>
      </c>
      <c r="U50" s="11" t="s">
        <v>607</v>
      </c>
      <c r="V50"/>
      <c r="W50" s="22" t="s">
        <v>357</v>
      </c>
      <c r="X50" s="22" t="s">
        <v>357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2">
        <f>--(
  ISNUMBER(SEARCH("BASE PARENT", UPPER(CLEAN(TRIM(_xlfn.XLOOKUP(TEXT(Contract_Edits[[#This Row],[Index]],"0"), baseIdxTxt, baseCost, "")))))) +
  ISNUMBER(SEARCH("DEPENDENCY GROUP", UPPER(CLEAN(TRIM(_xlfn.XLOOKUP(TEXT(Contract_Edits[[#This Row],[Index]],"0"), baseIdxTxt, baseCost, ""))))))
)</f>
        <v>0</v>
      </c>
      <c r="AG50" s="502" t="str" cm="1">
        <f t="array" ref="AG50">IF(Contract_Edits[[#This Row],[BaseFlag]]=1,
   10*BaseDepthL(TEXT(Contract_Edits[[#This Row],[Index]],"0"),500,editsIdxTxt,editsParentKeyTxt,baseIdxTxt,baseCost)-5,
   ""
)</f>
        <v/>
      </c>
      <c r="AH50" s="50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2" t="str">
        <f>IF(Contract_Edits[[#This Row],[Dep]]=0,"Root",
   IF(ISNUMBER(MATCH(Contract_Edits[[#This Row],[Dep]],Contract_Edits[Index],0)),"OK","Missing")
)</f>
        <v>OK</v>
      </c>
      <c r="AJ50" s="502" t="str">
        <f>IF(AND(Contract_Edits[[#This Row],[Dep]]&lt;&gt;0,
        ISNUMBER(MATCH(Contract_Edits[[#This Row],[Dep]], Contract_Edits[Index], 0)),
        INDEX(Contract_Edits[Dep], MATCH(Contract_Edits[[#This Row],[Dep]], Contract_Edits[Index], 0))=Contract_Edits[[#This Row],[Index]]),
   "2-cycle","")</f>
        <v/>
      </c>
      <c r="AK50" s="502" cm="1">
        <f t="array" ref="AK50">IF(Contract_Edits[[#This Row],[BaseFlag]]&lt;&gt;1,0,
   IF(TEXT(Contract_Edits[[#This Row],[Dep]],"0")=TEXT(Contract_Edits[[#This Row],[Index]],"0"),
      0,
      MAX(0, SUMPRODUCT(--(Contract_Edits[BaseFlag]=1),
                        --(TEXT(Contract_Edits[Dep],"0")=TEXT(Contract_Edits[[#This Row],[Dep]],"0"))) - 1)
   )
)</f>
        <v>0</v>
      </c>
      <c r="AL50" s="502" t="str" cm="1">
        <f t="array" ref="AL50">IF(Contract_Edits[[#This Row],[BaseFlag]]=1,
   TEXT(Contract_Edits[[#This Row],[Index]],"0"),
   NearestBaseL(TEXT(Contract_Edits[[#This Row],[ParentKey]],"0"),500,editsIdxTxt,editsParentKeyTxt,baseIdxTxt,baseCost)
)</f>
        <v>14</v>
      </c>
      <c r="AM50" s="502" cm="1">
        <f t="array" ref="AM50">1+SUMPRODUCT(
  (Contract_Edits[BaseFlag]=1)*
  (TEXT(Contract_Edits[ParentAnchor],"0")=TEXT(Contract_Edits[[#This Row],[ParentAnchor]],"0"))*
  (VALUE(TEXT(Contract_Edits[Index],"0"))&lt;VALUE(TEXT(Contract_Edits[[#This Row],[Index]],"0")))
)</f>
        <v>2</v>
      </c>
      <c r="AN50" s="50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480</v>
      </c>
      <c r="B51" t="s">
        <v>458</v>
      </c>
      <c r="C51" t="s">
        <v>458</v>
      </c>
      <c r="D51" s="435" t="s">
        <v>482</v>
      </c>
      <c r="E51">
        <v>1</v>
      </c>
      <c r="F51" s="444"/>
      <c r="G51" s="188"/>
      <c r="H51">
        <v>0</v>
      </c>
      <c r="I51"/>
      <c r="J51">
        <v>33</v>
      </c>
      <c r="K51" s="104"/>
      <c r="L51" s="440">
        <v>33</v>
      </c>
      <c r="M51" s="44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7"/>
      <c r="R51" s="50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1" s="179">
        <v>0</v>
      </c>
      <c r="T51" s="179">
        <v>0</v>
      </c>
      <c r="U51" s="11" t="s">
        <v>607</v>
      </c>
      <c r="V51"/>
      <c r="W51" s="22" t="s">
        <v>357</v>
      </c>
      <c r="X51" s="22" t="s">
        <v>357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2">
        <f>--(
  ISNUMBER(SEARCH("BASE PARENT", UPPER(CLEAN(TRIM(_xlfn.XLOOKUP(TEXT(Contract_Edits[[#This Row],[Index]],"0"), baseIdxTxt, baseCost, "")))))) +
  ISNUMBER(SEARCH("DEPENDENCY GROUP", UPPER(CLEAN(TRIM(_xlfn.XLOOKUP(TEXT(Contract_Edits[[#This Row],[Index]],"0"), baseIdxTxt, baseCost, ""))))))
)</f>
        <v>0</v>
      </c>
      <c r="AG51" s="502" t="str" cm="1">
        <f t="array" ref="AG51">IF(Contract_Edits[[#This Row],[BaseFlag]]=1,
   10*BaseDepthL(TEXT(Contract_Edits[[#This Row],[Index]],"0"),500,editsIdxTxt,editsParentKeyTxt,baseIdxTxt,baseCost)-5,
   ""
)</f>
        <v/>
      </c>
      <c r="AH51" s="50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2" t="str">
        <f>IF(Contract_Edits[[#This Row],[Dep]]=0,"Root",
   IF(ISNUMBER(MATCH(Contract_Edits[[#This Row],[Dep]],Contract_Edits[Index],0)),"OK","Missing")
)</f>
        <v>OK</v>
      </c>
      <c r="AJ51" s="502" t="str">
        <f>IF(AND(Contract_Edits[[#This Row],[Dep]]&lt;&gt;0,
        ISNUMBER(MATCH(Contract_Edits[[#This Row],[Dep]], Contract_Edits[Index], 0)),
        INDEX(Contract_Edits[Dep], MATCH(Contract_Edits[[#This Row],[Dep]], Contract_Edits[Index], 0))=Contract_Edits[[#This Row],[Index]]),
   "2-cycle","")</f>
        <v/>
      </c>
      <c r="AK51" s="502" cm="1">
        <f t="array" ref="AK51">IF(Contract_Edits[[#This Row],[BaseFlag]]&lt;&gt;1,0,
   IF(TEXT(Contract_Edits[[#This Row],[Dep]],"0")=TEXT(Contract_Edits[[#This Row],[Index]],"0"),
      0,
      MAX(0, SUMPRODUCT(--(Contract_Edits[BaseFlag]=1),
                        --(TEXT(Contract_Edits[Dep],"0")=TEXT(Contract_Edits[[#This Row],[Dep]],"0"))) - 1)
   )
)</f>
        <v>0</v>
      </c>
      <c r="AL51" s="502" t="str" cm="1">
        <f t="array" ref="AL51">IF(Contract_Edits[[#This Row],[BaseFlag]]=1,
   TEXT(Contract_Edits[[#This Row],[Index]],"0"),
   NearestBaseL(TEXT(Contract_Edits[[#This Row],[ParentKey]],"0"),500,editsIdxTxt,editsParentKeyTxt,baseIdxTxt,baseCost)
)</f>
        <v>14</v>
      </c>
      <c r="AM51" s="502" cm="1">
        <f t="array" ref="AM51">1+SUMPRODUCT(
  (Contract_Edits[BaseFlag]=1)*
  (TEXT(Contract_Edits[ParentAnchor],"0")=TEXT(Contract_Edits[[#This Row],[ParentAnchor]],"0"))*
  (VALUE(TEXT(Contract_Edits[Index],"0"))&lt;VALUE(TEXT(Contract_Edits[[#This Row],[Index]],"0")))
)</f>
        <v>2</v>
      </c>
      <c r="AN51" s="50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480</v>
      </c>
      <c r="B52" t="s">
        <v>458</v>
      </c>
      <c r="C52" t="s">
        <v>458</v>
      </c>
      <c r="D52" s="435" t="s">
        <v>508</v>
      </c>
      <c r="E52">
        <v>2</v>
      </c>
      <c r="F52" s="444"/>
      <c r="G52" s="188"/>
      <c r="H52">
        <v>0</v>
      </c>
      <c r="I52"/>
      <c r="J52">
        <v>61</v>
      </c>
      <c r="K52" s="104"/>
      <c r="L52" s="440">
        <v>61</v>
      </c>
      <c r="M52" s="44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7"/>
      <c r="R52" s="50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2" s="179">
        <v>0</v>
      </c>
      <c r="T52" s="179">
        <v>0</v>
      </c>
      <c r="U52" s="11" t="s">
        <v>607</v>
      </c>
      <c r="V52"/>
      <c r="W52" s="22" t="s">
        <v>357</v>
      </c>
      <c r="X52" s="22" t="s">
        <v>357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2">
        <f>--(
  ISNUMBER(SEARCH("BASE PARENT", UPPER(CLEAN(TRIM(_xlfn.XLOOKUP(TEXT(Contract_Edits[[#This Row],[Index]],"0"), baseIdxTxt, baseCost, "")))))) +
  ISNUMBER(SEARCH("DEPENDENCY GROUP", UPPER(CLEAN(TRIM(_xlfn.XLOOKUP(TEXT(Contract_Edits[[#This Row],[Index]],"0"), baseIdxTxt, baseCost, ""))))))
)</f>
        <v>0</v>
      </c>
      <c r="AG52" s="502" t="str" cm="1">
        <f t="array" ref="AG52">IF(Contract_Edits[[#This Row],[BaseFlag]]=1,
   10*BaseDepthL(TEXT(Contract_Edits[[#This Row],[Index]],"0"),500,editsIdxTxt,editsParentKeyTxt,baseIdxTxt,baseCost)-5,
   ""
)</f>
        <v/>
      </c>
      <c r="AH52" s="50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2" t="str">
        <f>IF(Contract_Edits[[#This Row],[Dep]]=0,"Root",
   IF(ISNUMBER(MATCH(Contract_Edits[[#This Row],[Dep]],Contract_Edits[Index],0)),"OK","Missing")
)</f>
        <v>OK</v>
      </c>
      <c r="AJ52" s="502" t="str">
        <f>IF(AND(Contract_Edits[[#This Row],[Dep]]&lt;&gt;0,
        ISNUMBER(MATCH(Contract_Edits[[#This Row],[Dep]], Contract_Edits[Index], 0)),
        INDEX(Contract_Edits[Dep], MATCH(Contract_Edits[[#This Row],[Dep]], Contract_Edits[Index], 0))=Contract_Edits[[#This Row],[Index]]),
   "2-cycle","")</f>
        <v/>
      </c>
      <c r="AK52" s="502" cm="1">
        <f t="array" ref="AK52">IF(Contract_Edits[[#This Row],[BaseFlag]]&lt;&gt;1,0,
   IF(TEXT(Contract_Edits[[#This Row],[Dep]],"0")=TEXT(Contract_Edits[[#This Row],[Index]],"0"),
      0,
      MAX(0, SUMPRODUCT(--(Contract_Edits[BaseFlag]=1),
                        --(TEXT(Contract_Edits[Dep],"0")=TEXT(Contract_Edits[[#This Row],[Dep]],"0"))) - 1)
   )
)</f>
        <v>0</v>
      </c>
      <c r="AL52" s="502" t="str" cm="1">
        <f t="array" ref="AL52">IF(Contract_Edits[[#This Row],[BaseFlag]]=1,
   TEXT(Contract_Edits[[#This Row],[Index]],"0"),
   NearestBaseL(TEXT(Contract_Edits[[#This Row],[ParentKey]],"0"),500,editsIdxTxt,editsParentKeyTxt,baseIdxTxt,baseCost)
)</f>
        <v>14</v>
      </c>
      <c r="AM52" s="502" cm="1">
        <f t="array" ref="AM52">1+SUMPRODUCT(
  (Contract_Edits[BaseFlag]=1)*
  (TEXT(Contract_Edits[ParentAnchor],"0")=TEXT(Contract_Edits[[#This Row],[ParentAnchor]],"0"))*
  (VALUE(TEXT(Contract_Edits[Index],"0"))&lt;VALUE(TEXT(Contract_Edits[[#This Row],[Index]],"0")))
)</f>
        <v>2</v>
      </c>
      <c r="AN52" s="50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480</v>
      </c>
      <c r="B53" t="s">
        <v>458</v>
      </c>
      <c r="C53" t="s">
        <v>515</v>
      </c>
      <c r="D53" s="435" t="s">
        <v>524</v>
      </c>
      <c r="E53">
        <v>1</v>
      </c>
      <c r="F53" s="444"/>
      <c r="G53" s="188"/>
      <c r="H53">
        <v>0</v>
      </c>
      <c r="I53"/>
      <c r="J53">
        <v>79</v>
      </c>
      <c r="K53" s="104"/>
      <c r="L53" s="440">
        <v>79</v>
      </c>
      <c r="M53" s="44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7"/>
      <c r="R53" s="50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3" s="179">
        <v>0</v>
      </c>
      <c r="T53" s="179">
        <v>0</v>
      </c>
      <c r="U53" s="11" t="s">
        <v>607</v>
      </c>
      <c r="V53"/>
      <c r="W53" s="22" t="s">
        <v>357</v>
      </c>
      <c r="X53" s="22" t="s">
        <v>357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2">
        <f>--(
  ISNUMBER(SEARCH("BASE PARENT", UPPER(CLEAN(TRIM(_xlfn.XLOOKUP(TEXT(Contract_Edits[[#This Row],[Index]],"0"), baseIdxTxt, baseCost, "")))))) +
  ISNUMBER(SEARCH("DEPENDENCY GROUP", UPPER(CLEAN(TRIM(_xlfn.XLOOKUP(TEXT(Contract_Edits[[#This Row],[Index]],"0"), baseIdxTxt, baseCost, ""))))))
)</f>
        <v>0</v>
      </c>
      <c r="AG53" s="502" t="str" cm="1">
        <f t="array" ref="AG53">IF(Contract_Edits[[#This Row],[BaseFlag]]=1,
   10*BaseDepthL(TEXT(Contract_Edits[[#This Row],[Index]],"0"),500,editsIdxTxt,editsParentKeyTxt,baseIdxTxt,baseCost)-5,
   ""
)</f>
        <v/>
      </c>
      <c r="AH53" s="50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2" t="str">
        <f>IF(Contract_Edits[[#This Row],[Dep]]=0,"Root",
   IF(ISNUMBER(MATCH(Contract_Edits[[#This Row],[Dep]],Contract_Edits[Index],0)),"OK","Missing")
)</f>
        <v>OK</v>
      </c>
      <c r="AJ53" s="502" t="str">
        <f>IF(AND(Contract_Edits[[#This Row],[Dep]]&lt;&gt;0,
        ISNUMBER(MATCH(Contract_Edits[[#This Row],[Dep]], Contract_Edits[Index], 0)),
        INDEX(Contract_Edits[Dep], MATCH(Contract_Edits[[#This Row],[Dep]], Contract_Edits[Index], 0))=Contract_Edits[[#This Row],[Index]]),
   "2-cycle","")</f>
        <v/>
      </c>
      <c r="AK53" s="502" cm="1">
        <f t="array" ref="AK53">IF(Contract_Edits[[#This Row],[BaseFlag]]&lt;&gt;1,0,
   IF(TEXT(Contract_Edits[[#This Row],[Dep]],"0")=TEXT(Contract_Edits[[#This Row],[Index]],"0"),
      0,
      MAX(0, SUMPRODUCT(--(Contract_Edits[BaseFlag]=1),
                        --(TEXT(Contract_Edits[Dep],"0")=TEXT(Contract_Edits[[#This Row],[Dep]],"0"))) - 1)
   )
)</f>
        <v>0</v>
      </c>
      <c r="AL53" s="502" t="str" cm="1">
        <f t="array" ref="AL53">IF(Contract_Edits[[#This Row],[BaseFlag]]=1,
   TEXT(Contract_Edits[[#This Row],[Index]],"0"),
   NearestBaseL(TEXT(Contract_Edits[[#This Row],[ParentKey]],"0"),500,editsIdxTxt,editsParentKeyTxt,baseIdxTxt,baseCost)
)</f>
        <v>14</v>
      </c>
      <c r="AM53" s="502" cm="1">
        <f t="array" ref="AM53">1+SUMPRODUCT(
  (Contract_Edits[BaseFlag]=1)*
  (TEXT(Contract_Edits[ParentAnchor],"0")=TEXT(Contract_Edits[[#This Row],[ParentAnchor]],"0"))*
  (VALUE(TEXT(Contract_Edits[Index],"0"))&lt;VALUE(TEXT(Contract_Edits[[#This Row],[Index]],"0")))
)</f>
        <v>2</v>
      </c>
      <c r="AN53" s="50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480</v>
      </c>
      <c r="B54" t="s">
        <v>501</v>
      </c>
      <c r="C54" t="s">
        <v>504</v>
      </c>
      <c r="D54" s="435" t="s">
        <v>1173</v>
      </c>
      <c r="E54">
        <v>16</v>
      </c>
      <c r="F54" s="444">
        <v>62.5</v>
      </c>
      <c r="G54" s="188">
        <v>1000</v>
      </c>
      <c r="H54">
        <v>0</v>
      </c>
      <c r="I54">
        <v>1000</v>
      </c>
      <c r="J54">
        <v>81</v>
      </c>
      <c r="K54" s="104"/>
      <c r="L54" s="440">
        <v>81</v>
      </c>
      <c r="M54" s="44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7"/>
      <c r="R54" s="50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4" s="179">
        <v>0</v>
      </c>
      <c r="T54" s="179">
        <v>0</v>
      </c>
      <c r="U54" s="11"/>
      <c r="V54"/>
      <c r="W54" s="22" t="s">
        <v>357</v>
      </c>
      <c r="X54" s="22" t="s">
        <v>357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2">
        <f>--(
  ISNUMBER(SEARCH("BASE PARENT", UPPER(CLEAN(TRIM(_xlfn.XLOOKUP(TEXT(Contract_Edits[[#This Row],[Index]],"0"), baseIdxTxt, baseCost, "")))))) +
  ISNUMBER(SEARCH("DEPENDENCY GROUP", UPPER(CLEAN(TRIM(_xlfn.XLOOKUP(TEXT(Contract_Edits[[#This Row],[Index]],"0"), baseIdxTxt, baseCost, ""))))))
)</f>
        <v>0</v>
      </c>
      <c r="AG54" s="502" t="str" cm="1">
        <f t="array" ref="AG54">IF(Contract_Edits[[#This Row],[BaseFlag]]=1,
   10*BaseDepthL(TEXT(Contract_Edits[[#This Row],[Index]],"0"),500,editsIdxTxt,editsParentKeyTxt,baseIdxTxt,baseCost)-5,
   ""
)</f>
        <v/>
      </c>
      <c r="AH54" s="50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2" t="str">
        <f>IF(Contract_Edits[[#This Row],[Dep]]=0,"Root",
   IF(ISNUMBER(MATCH(Contract_Edits[[#This Row],[Dep]],Contract_Edits[Index],0)),"OK","Missing")
)</f>
        <v>OK</v>
      </c>
      <c r="AJ54" s="502" t="str">
        <f>IF(AND(Contract_Edits[[#This Row],[Dep]]&lt;&gt;0,
        ISNUMBER(MATCH(Contract_Edits[[#This Row],[Dep]], Contract_Edits[Index], 0)),
        INDEX(Contract_Edits[Dep], MATCH(Contract_Edits[[#This Row],[Dep]], Contract_Edits[Index], 0))=Contract_Edits[[#This Row],[Index]]),
   "2-cycle","")</f>
        <v/>
      </c>
      <c r="AK54" s="502" cm="1">
        <f t="array" ref="AK54">IF(Contract_Edits[[#This Row],[BaseFlag]]&lt;&gt;1,0,
   IF(TEXT(Contract_Edits[[#This Row],[Dep]],"0")=TEXT(Contract_Edits[[#This Row],[Index]],"0"),
      0,
      MAX(0, SUMPRODUCT(--(Contract_Edits[BaseFlag]=1),
                        --(TEXT(Contract_Edits[Dep],"0")=TEXT(Contract_Edits[[#This Row],[Dep]],"0"))) - 1)
   )
)</f>
        <v>0</v>
      </c>
      <c r="AL54" s="502" t="str" cm="1">
        <f t="array" ref="AL54">IF(Contract_Edits[[#This Row],[BaseFlag]]=1,
   TEXT(Contract_Edits[[#This Row],[Index]],"0"),
   NearestBaseL(TEXT(Contract_Edits[[#This Row],[ParentKey]],"0"),500,editsIdxTxt,editsParentKeyTxt,baseIdxTxt,baseCost)
)</f>
        <v>14</v>
      </c>
      <c r="AM54" s="502" cm="1">
        <f t="array" ref="AM54">1+SUMPRODUCT(
  (Contract_Edits[BaseFlag]=1)*
  (TEXT(Contract_Edits[ParentAnchor],"0")=TEXT(Contract_Edits[[#This Row],[ParentAnchor]],"0"))*
  (VALUE(TEXT(Contract_Edits[Index],"0"))&lt;VALUE(TEXT(Contract_Edits[[#This Row],[Index]],"0")))
)</f>
        <v>2</v>
      </c>
      <c r="AN54" s="50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480</v>
      </c>
      <c r="B55" t="s">
        <v>1196</v>
      </c>
      <c r="C55" t="s">
        <v>520</v>
      </c>
      <c r="D55" s="435" t="s">
        <v>1197</v>
      </c>
      <c r="E55">
        <v>11</v>
      </c>
      <c r="F55" s="444">
        <v>62.5</v>
      </c>
      <c r="G55" s="188">
        <v>687.5</v>
      </c>
      <c r="H55">
        <v>0</v>
      </c>
      <c r="I55">
        <v>687.5</v>
      </c>
      <c r="J55">
        <v>83</v>
      </c>
      <c r="K55" s="104"/>
      <c r="L55" s="440">
        <v>83</v>
      </c>
      <c r="M55" s="44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7"/>
      <c r="R55" s="50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5" s="179">
        <v>0</v>
      </c>
      <c r="T55" s="179">
        <v>0</v>
      </c>
      <c r="U55" s="11"/>
      <c r="V55"/>
      <c r="W55" s="22" t="s">
        <v>357</v>
      </c>
      <c r="X55" s="22" t="s">
        <v>357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2">
        <f>--(
  ISNUMBER(SEARCH("BASE PARENT", UPPER(CLEAN(TRIM(_xlfn.XLOOKUP(TEXT(Contract_Edits[[#This Row],[Index]],"0"), baseIdxTxt, baseCost, "")))))) +
  ISNUMBER(SEARCH("DEPENDENCY GROUP", UPPER(CLEAN(TRIM(_xlfn.XLOOKUP(TEXT(Contract_Edits[[#This Row],[Index]],"0"), baseIdxTxt, baseCost, ""))))))
)</f>
        <v>0</v>
      </c>
      <c r="AG55" s="502" t="str" cm="1">
        <f t="array" ref="AG55">IF(Contract_Edits[[#This Row],[BaseFlag]]=1,
   10*BaseDepthL(TEXT(Contract_Edits[[#This Row],[Index]],"0"),500,editsIdxTxt,editsParentKeyTxt,baseIdxTxt,baseCost)-5,
   ""
)</f>
        <v/>
      </c>
      <c r="AH55" s="50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2" t="str">
        <f>IF(Contract_Edits[[#This Row],[Dep]]=0,"Root",
   IF(ISNUMBER(MATCH(Contract_Edits[[#This Row],[Dep]],Contract_Edits[Index],0)),"OK","Missing")
)</f>
        <v>OK</v>
      </c>
      <c r="AJ55" s="502" t="str">
        <f>IF(AND(Contract_Edits[[#This Row],[Dep]]&lt;&gt;0,
        ISNUMBER(MATCH(Contract_Edits[[#This Row],[Dep]], Contract_Edits[Index], 0)),
        INDEX(Contract_Edits[Dep], MATCH(Contract_Edits[[#This Row],[Dep]], Contract_Edits[Index], 0))=Contract_Edits[[#This Row],[Index]]),
   "2-cycle","")</f>
        <v/>
      </c>
      <c r="AK55" s="502" cm="1">
        <f t="array" ref="AK55">IF(Contract_Edits[[#This Row],[BaseFlag]]&lt;&gt;1,0,
   IF(TEXT(Contract_Edits[[#This Row],[Dep]],"0")=TEXT(Contract_Edits[[#This Row],[Index]],"0"),
      0,
      MAX(0, SUMPRODUCT(--(Contract_Edits[BaseFlag]=1),
                        --(TEXT(Contract_Edits[Dep],"0")=TEXT(Contract_Edits[[#This Row],[Dep]],"0"))) - 1)
   )
)</f>
        <v>0</v>
      </c>
      <c r="AL55" s="502" t="str" cm="1">
        <f t="array" ref="AL55">IF(Contract_Edits[[#This Row],[BaseFlag]]=1,
   TEXT(Contract_Edits[[#This Row],[Index]],"0"),
   NearestBaseL(TEXT(Contract_Edits[[#This Row],[ParentKey]],"0"),500,editsIdxTxt,editsParentKeyTxt,baseIdxTxt,baseCost)
)</f>
        <v>14</v>
      </c>
      <c r="AM55" s="502" cm="1">
        <f t="array" ref="AM55">1+SUMPRODUCT(
  (Contract_Edits[BaseFlag]=1)*
  (TEXT(Contract_Edits[ParentAnchor],"0")=TEXT(Contract_Edits[[#This Row],[ParentAnchor]],"0"))*
  (VALUE(TEXT(Contract_Edits[Index],"0"))&lt;VALUE(TEXT(Contract_Edits[[#This Row],[Index]],"0")))
)</f>
        <v>2</v>
      </c>
      <c r="AN55" s="50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480</v>
      </c>
      <c r="B56" t="s">
        <v>458</v>
      </c>
      <c r="C56" t="s">
        <v>520</v>
      </c>
      <c r="D56" s="435" t="s">
        <v>1172</v>
      </c>
      <c r="E56">
        <v>15</v>
      </c>
      <c r="F56" s="444"/>
      <c r="G56" s="188"/>
      <c r="H56">
        <v>0</v>
      </c>
      <c r="I56"/>
      <c r="J56">
        <v>82</v>
      </c>
      <c r="K56" s="104"/>
      <c r="L56" s="440">
        <v>82</v>
      </c>
      <c r="M56" s="44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7"/>
      <c r="R56" s="50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6" s="179">
        <v>0</v>
      </c>
      <c r="T56" s="179">
        <v>0</v>
      </c>
      <c r="U56" s="11"/>
      <c r="V56"/>
      <c r="W56" s="22" t="s">
        <v>357</v>
      </c>
      <c r="X56" s="22" t="s">
        <v>357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2">
        <f>--(
  ISNUMBER(SEARCH("BASE PARENT", UPPER(CLEAN(TRIM(_xlfn.XLOOKUP(TEXT(Contract_Edits[[#This Row],[Index]],"0"), baseIdxTxt, baseCost, "")))))) +
  ISNUMBER(SEARCH("DEPENDENCY GROUP", UPPER(CLEAN(TRIM(_xlfn.XLOOKUP(TEXT(Contract_Edits[[#This Row],[Index]],"0"), baseIdxTxt, baseCost, ""))))))
)</f>
        <v>0</v>
      </c>
      <c r="AG56" s="502" t="str" cm="1">
        <f t="array" ref="AG56">IF(Contract_Edits[[#This Row],[BaseFlag]]=1,
   10*BaseDepthL(TEXT(Contract_Edits[[#This Row],[Index]],"0"),500,editsIdxTxt,editsParentKeyTxt,baseIdxTxt,baseCost)-5,
   ""
)</f>
        <v/>
      </c>
      <c r="AH56" s="50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2" t="str">
        <f>IF(Contract_Edits[[#This Row],[Dep]]=0,"Root",
   IF(ISNUMBER(MATCH(Contract_Edits[[#This Row],[Dep]],Contract_Edits[Index],0)),"OK","Missing")
)</f>
        <v>OK</v>
      </c>
      <c r="AJ56" s="502" t="str">
        <f>IF(AND(Contract_Edits[[#This Row],[Dep]]&lt;&gt;0,
        ISNUMBER(MATCH(Contract_Edits[[#This Row],[Dep]], Contract_Edits[Index], 0)),
        INDEX(Contract_Edits[Dep], MATCH(Contract_Edits[[#This Row],[Dep]], Contract_Edits[Index], 0))=Contract_Edits[[#This Row],[Index]]),
   "2-cycle","")</f>
        <v/>
      </c>
      <c r="AK56" s="502" cm="1">
        <f t="array" ref="AK56">IF(Contract_Edits[[#This Row],[BaseFlag]]&lt;&gt;1,0,
   IF(TEXT(Contract_Edits[[#This Row],[Dep]],"0")=TEXT(Contract_Edits[[#This Row],[Index]],"0"),
      0,
      MAX(0, SUMPRODUCT(--(Contract_Edits[BaseFlag]=1),
                        --(TEXT(Contract_Edits[Dep],"0")=TEXT(Contract_Edits[[#This Row],[Dep]],"0"))) - 1)
   )
)</f>
        <v>0</v>
      </c>
      <c r="AL56" s="502" t="str" cm="1">
        <f t="array" ref="AL56">IF(Contract_Edits[[#This Row],[BaseFlag]]=1,
   TEXT(Contract_Edits[[#This Row],[Index]],"0"),
   NearestBaseL(TEXT(Contract_Edits[[#This Row],[ParentKey]],"0"),500,editsIdxTxt,editsParentKeyTxt,baseIdxTxt,baseCost)
)</f>
        <v>14</v>
      </c>
      <c r="AM56" s="502" cm="1">
        <f t="array" ref="AM56">1+SUMPRODUCT(
  (Contract_Edits[BaseFlag]=1)*
  (TEXT(Contract_Edits[ParentAnchor],"0")=TEXT(Contract_Edits[[#This Row],[ParentAnchor]],"0"))*
  (VALUE(TEXT(Contract_Edits[Index],"0"))&lt;VALUE(TEXT(Contract_Edits[[#This Row],[Index]],"0")))
)</f>
        <v>2</v>
      </c>
      <c r="AN56" s="50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437</v>
      </c>
      <c r="B57" t="s">
        <v>434</v>
      </c>
      <c r="C57" t="s">
        <v>460</v>
      </c>
      <c r="D57" s="435" t="s">
        <v>461</v>
      </c>
      <c r="E57">
        <v>1</v>
      </c>
      <c r="F57" s="444">
        <v>0</v>
      </c>
      <c r="G57" s="188">
        <v>0</v>
      </c>
      <c r="H57">
        <v>14</v>
      </c>
      <c r="I57">
        <v>0</v>
      </c>
      <c r="J57">
        <v>15</v>
      </c>
      <c r="K57" s="104"/>
      <c r="L57" s="440">
        <v>15</v>
      </c>
      <c r="M57" s="44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79"/>
      <c r="R57" s="50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7" s="179">
        <v>0</v>
      </c>
      <c r="T57" s="468"/>
      <c r="U57" s="491"/>
      <c r="V57" s="193"/>
      <c r="W57" s="22" t="s">
        <v>357</v>
      </c>
      <c r="X57" s="483" t="s">
        <v>357</v>
      </c>
      <c r="Y57" s="48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2">
        <f>--(
  ISNUMBER(SEARCH("BASE PARENT", UPPER(CLEAN(TRIM(_xlfn.XLOOKUP(TEXT(Contract_Edits[[#This Row],[Index]],"0"), baseIdxTxt, baseCost, "")))))) +
  ISNUMBER(SEARCH("DEPENDENCY GROUP", UPPER(CLEAN(TRIM(_xlfn.XLOOKUP(TEXT(Contract_Edits[[#This Row],[Index]],"0"), baseIdxTxt, baseCost, ""))))))
)</f>
        <v>1</v>
      </c>
      <c r="AG57" s="502" cm="1">
        <f t="array" ref="AG57">IF(Contract_Edits[[#This Row],[BaseFlag]]=1,
   10*BaseDepthL(TEXT(Contract_Edits[[#This Row],[Index]],"0"),500,editsIdxTxt,editsParentKeyTxt,baseIdxTxt,baseCost)-5,
   ""
)</f>
        <v>145</v>
      </c>
      <c r="AH57" s="50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2" t="str">
        <f>IF(Contract_Edits[[#This Row],[Dep]]=0,"Root",
   IF(ISNUMBER(MATCH(Contract_Edits[[#This Row],[Dep]],Contract_Edits[Index],0)),"OK","Missing")
)</f>
        <v>OK</v>
      </c>
      <c r="AJ57" s="502" t="str">
        <f>IF(AND(Contract_Edits[[#This Row],[Dep]]&lt;&gt;0,
        ISNUMBER(MATCH(Contract_Edits[[#This Row],[Dep]], Contract_Edits[Index], 0)),
        INDEX(Contract_Edits[Dep], MATCH(Contract_Edits[[#This Row],[Dep]], Contract_Edits[Index], 0))=Contract_Edits[[#This Row],[Index]]),
   "2-cycle","")</f>
        <v/>
      </c>
      <c r="AK57" s="502" cm="1">
        <f t="array" ref="AK57">IF(Contract_Edits[[#This Row],[BaseFlag]]&lt;&gt;1,0,
   IF(TEXT(Contract_Edits[[#This Row],[Dep]],"0")=TEXT(Contract_Edits[[#This Row],[Index]],"0"),
      0,
      MAX(0, SUMPRODUCT(--(Contract_Edits[BaseFlag]=1),
                        --(TEXT(Contract_Edits[Dep],"0")=TEXT(Contract_Edits[[#This Row],[Dep]],"0"))) - 1)
   )
)</f>
        <v>0</v>
      </c>
      <c r="AL57" s="502" t="str" cm="1">
        <f t="array" ref="AL57">IF(Contract_Edits[[#This Row],[BaseFlag]]=1,
   TEXT(Contract_Edits[[#This Row],[Index]],"0"),
   NearestBaseL(TEXT(Contract_Edits[[#This Row],[ParentKey]],"0"),500,editsIdxTxt,editsParentKeyTxt,baseIdxTxt,baseCost)
)</f>
        <v>15</v>
      </c>
      <c r="AM57" s="502" cm="1">
        <f t="array" ref="AM57">1+SUMPRODUCT(
  (Contract_Edits[BaseFlag]=1)*
  (TEXT(Contract_Edits[ParentAnchor],"0")=TEXT(Contract_Edits[[#This Row],[ParentAnchor]],"0"))*
  (VALUE(TEXT(Contract_Edits[Index],"0"))&lt;VALUE(TEXT(Contract_Edits[[#This Row],[Index]],"0")))
)</f>
        <v>1</v>
      </c>
      <c r="AN57" s="50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550</v>
      </c>
      <c r="B58" t="s">
        <v>545</v>
      </c>
      <c r="C58" t="s">
        <v>462</v>
      </c>
      <c r="D58" s="435" t="s">
        <v>584</v>
      </c>
      <c r="E58">
        <v>1</v>
      </c>
      <c r="F58" s="444">
        <v>210.10060500000003</v>
      </c>
      <c r="G58" s="188">
        <v>210.10060500000003</v>
      </c>
      <c r="H58">
        <v>15</v>
      </c>
      <c r="I58">
        <v>210.10060500000003</v>
      </c>
      <c r="J58">
        <v>903</v>
      </c>
      <c r="K58" s="104"/>
      <c r="L58" s="440">
        <v>903</v>
      </c>
      <c r="M58" s="44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79"/>
      <c r="R58" s="50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8" s="179">
        <v>0</v>
      </c>
      <c r="T58" s="468"/>
      <c r="U58" s="491" t="s">
        <v>608</v>
      </c>
      <c r="V58" s="193"/>
      <c r="W58" s="22" t="s">
        <v>357</v>
      </c>
      <c r="X58" s="483" t="s">
        <v>357</v>
      </c>
      <c r="Y58" s="48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2">
        <f>--(
  ISNUMBER(SEARCH("BASE PARENT", UPPER(CLEAN(TRIM(_xlfn.XLOOKUP(TEXT(Contract_Edits[[#This Row],[Index]],"0"), baseIdxTxt, baseCost, "")))))) +
  ISNUMBER(SEARCH("DEPENDENCY GROUP", UPPER(CLEAN(TRIM(_xlfn.XLOOKUP(TEXT(Contract_Edits[[#This Row],[Index]],"0"), baseIdxTxt, baseCost, ""))))))
)</f>
        <v>0</v>
      </c>
      <c r="AG58" s="502" t="str" cm="1">
        <f t="array" ref="AG58">IF(Contract_Edits[[#This Row],[BaseFlag]]=1,
   10*BaseDepthL(TEXT(Contract_Edits[[#This Row],[Index]],"0"),500,editsIdxTxt,editsParentKeyTxt,baseIdxTxt,baseCost)-5,
   ""
)</f>
        <v/>
      </c>
      <c r="AH58" s="50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2" t="str">
        <f>IF(Contract_Edits[[#This Row],[Dep]]=0,"Root",
   IF(ISNUMBER(MATCH(Contract_Edits[[#This Row],[Dep]],Contract_Edits[Index],0)),"OK","Missing")
)</f>
        <v>OK</v>
      </c>
      <c r="AJ58" s="502" t="str">
        <f>IF(AND(Contract_Edits[[#This Row],[Dep]]&lt;&gt;0,
        ISNUMBER(MATCH(Contract_Edits[[#This Row],[Dep]], Contract_Edits[Index], 0)),
        INDEX(Contract_Edits[Dep], MATCH(Contract_Edits[[#This Row],[Dep]], Contract_Edits[Index], 0))=Contract_Edits[[#This Row],[Index]]),
   "2-cycle","")</f>
        <v/>
      </c>
      <c r="AK58" s="502" cm="1">
        <f t="array" ref="AK58">IF(Contract_Edits[[#This Row],[BaseFlag]]&lt;&gt;1,0,
   IF(TEXT(Contract_Edits[[#This Row],[Dep]],"0")=TEXT(Contract_Edits[[#This Row],[Index]],"0"),
      0,
      MAX(0, SUMPRODUCT(--(Contract_Edits[BaseFlag]=1),
                        --(TEXT(Contract_Edits[Dep],"0")=TEXT(Contract_Edits[[#This Row],[Dep]],"0"))) - 1)
   )
)</f>
        <v>0</v>
      </c>
      <c r="AL58" s="502" t="str" cm="1">
        <f t="array" ref="AL58">IF(Contract_Edits[[#This Row],[BaseFlag]]=1,
   TEXT(Contract_Edits[[#This Row],[Index]],"0"),
   NearestBaseL(TEXT(Contract_Edits[[#This Row],[ParentKey]],"0"),500,editsIdxTxt,editsParentKeyTxt,baseIdxTxt,baseCost)
)</f>
        <v>15</v>
      </c>
      <c r="AM58" s="502" cm="1">
        <f t="array" ref="AM58">1+SUMPRODUCT(
  (Contract_Edits[BaseFlag]=1)*
  (TEXT(Contract_Edits[ParentAnchor],"0")=TEXT(Contract_Edits[[#This Row],[ParentAnchor]],"0"))*
  (VALUE(TEXT(Contract_Edits[Index],"0"))&lt;VALUE(TEXT(Contract_Edits[[#This Row],[Index]],"0")))
)</f>
        <v>2</v>
      </c>
      <c r="AN58" s="50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480</v>
      </c>
      <c r="B59" t="s">
        <v>487</v>
      </c>
      <c r="C59" t="s">
        <v>488</v>
      </c>
      <c r="D59" s="435" t="s">
        <v>489</v>
      </c>
      <c r="E59">
        <v>1</v>
      </c>
      <c r="F59" s="444"/>
      <c r="G59" s="188"/>
      <c r="H59">
        <v>0</v>
      </c>
      <c r="I59"/>
      <c r="J59">
        <v>40</v>
      </c>
      <c r="K59" s="104"/>
      <c r="L59" s="440">
        <v>40</v>
      </c>
      <c r="M59" s="44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7"/>
      <c r="R59" s="50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59" s="179">
        <v>0</v>
      </c>
      <c r="T59" s="179">
        <v>0</v>
      </c>
      <c r="U59" s="11" t="s">
        <v>608</v>
      </c>
      <c r="V59"/>
      <c r="W59" s="22" t="s">
        <v>357</v>
      </c>
      <c r="X59" s="22" t="s">
        <v>357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2">
        <f>--(
  ISNUMBER(SEARCH("BASE PARENT", UPPER(CLEAN(TRIM(_xlfn.XLOOKUP(TEXT(Contract_Edits[[#This Row],[Index]],"0"), baseIdxTxt, baseCost, "")))))) +
  ISNUMBER(SEARCH("DEPENDENCY GROUP", UPPER(CLEAN(TRIM(_xlfn.XLOOKUP(TEXT(Contract_Edits[[#This Row],[Index]],"0"), baseIdxTxt, baseCost, ""))))))
)</f>
        <v>0</v>
      </c>
      <c r="AG59" s="502" t="str" cm="1">
        <f t="array" ref="AG59">IF(Contract_Edits[[#This Row],[BaseFlag]]=1,
   10*BaseDepthL(TEXT(Contract_Edits[[#This Row],[Index]],"0"),500,editsIdxTxt,editsParentKeyTxt,baseIdxTxt,baseCost)-5,
   ""
)</f>
        <v/>
      </c>
      <c r="AH59" s="50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2" t="str">
        <f>IF(Contract_Edits[[#This Row],[Dep]]=0,"Root",
   IF(ISNUMBER(MATCH(Contract_Edits[[#This Row],[Dep]],Contract_Edits[Index],0)),"OK","Missing")
)</f>
        <v>OK</v>
      </c>
      <c r="AJ59" s="502" t="str">
        <f>IF(AND(Contract_Edits[[#This Row],[Dep]]&lt;&gt;0,
        ISNUMBER(MATCH(Contract_Edits[[#This Row],[Dep]], Contract_Edits[Index], 0)),
        INDEX(Contract_Edits[Dep], MATCH(Contract_Edits[[#This Row],[Dep]], Contract_Edits[Index], 0))=Contract_Edits[[#This Row],[Index]]),
   "2-cycle","")</f>
        <v/>
      </c>
      <c r="AK59" s="502" cm="1">
        <f t="array" ref="AK59">IF(Contract_Edits[[#This Row],[BaseFlag]]&lt;&gt;1,0,
   IF(TEXT(Contract_Edits[[#This Row],[Dep]],"0")=TEXT(Contract_Edits[[#This Row],[Index]],"0"),
      0,
      MAX(0, SUMPRODUCT(--(Contract_Edits[BaseFlag]=1),
                        --(TEXT(Contract_Edits[Dep],"0")=TEXT(Contract_Edits[[#This Row],[Dep]],"0"))) - 1)
   )
)</f>
        <v>0</v>
      </c>
      <c r="AL59" s="502" t="str" cm="1">
        <f t="array" ref="AL59">IF(Contract_Edits[[#This Row],[BaseFlag]]=1,
   TEXT(Contract_Edits[[#This Row],[Index]],"0"),
   NearestBaseL(TEXT(Contract_Edits[[#This Row],[ParentKey]],"0"),500,editsIdxTxt,editsParentKeyTxt,baseIdxTxt,baseCost)
)</f>
        <v>15</v>
      </c>
      <c r="AM59" s="502" cm="1">
        <f t="array" ref="AM59">1+SUMPRODUCT(
  (Contract_Edits[BaseFlag]=1)*
  (TEXT(Contract_Edits[ParentAnchor],"0")=TEXT(Contract_Edits[[#This Row],[ParentAnchor]],"0"))*
  (VALUE(TEXT(Contract_Edits[Index],"0"))&lt;VALUE(TEXT(Contract_Edits[[#This Row],[Index]],"0")))
)</f>
        <v>2</v>
      </c>
      <c r="AN59" s="50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480</v>
      </c>
      <c r="B60" t="s">
        <v>487</v>
      </c>
      <c r="C60" t="s">
        <v>495</v>
      </c>
      <c r="D60" s="435" t="s">
        <v>511</v>
      </c>
      <c r="E60">
        <v>1</v>
      </c>
      <c r="F60" s="444"/>
      <c r="G60" s="188"/>
      <c r="H60">
        <v>0</v>
      </c>
      <c r="I60"/>
      <c r="J60">
        <v>64</v>
      </c>
      <c r="K60" s="104"/>
      <c r="L60" s="440">
        <v>64</v>
      </c>
      <c r="M60" s="44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7"/>
      <c r="R60" s="50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0" s="179">
        <v>0</v>
      </c>
      <c r="T60" s="179">
        <v>0</v>
      </c>
      <c r="U60" s="11" t="s">
        <v>608</v>
      </c>
      <c r="V60"/>
      <c r="W60" s="22" t="s">
        <v>357</v>
      </c>
      <c r="X60" s="22" t="s">
        <v>357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2">
        <f>--(
  ISNUMBER(SEARCH("BASE PARENT", UPPER(CLEAN(TRIM(_xlfn.XLOOKUP(TEXT(Contract_Edits[[#This Row],[Index]],"0"), baseIdxTxt, baseCost, "")))))) +
  ISNUMBER(SEARCH("DEPENDENCY GROUP", UPPER(CLEAN(TRIM(_xlfn.XLOOKUP(TEXT(Contract_Edits[[#This Row],[Index]],"0"), baseIdxTxt, baseCost, ""))))))
)</f>
        <v>0</v>
      </c>
      <c r="AG60" s="502" t="str" cm="1">
        <f t="array" ref="AG60">IF(Contract_Edits[[#This Row],[BaseFlag]]=1,
   10*BaseDepthL(TEXT(Contract_Edits[[#This Row],[Index]],"0"),500,editsIdxTxt,editsParentKeyTxt,baseIdxTxt,baseCost)-5,
   ""
)</f>
        <v/>
      </c>
      <c r="AH60" s="50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2" t="str">
        <f>IF(Contract_Edits[[#This Row],[Dep]]=0,"Root",
   IF(ISNUMBER(MATCH(Contract_Edits[[#This Row],[Dep]],Contract_Edits[Index],0)),"OK","Missing")
)</f>
        <v>OK</v>
      </c>
      <c r="AJ60" s="502" t="str">
        <f>IF(AND(Contract_Edits[[#This Row],[Dep]]&lt;&gt;0,
        ISNUMBER(MATCH(Contract_Edits[[#This Row],[Dep]], Contract_Edits[Index], 0)),
        INDEX(Contract_Edits[Dep], MATCH(Contract_Edits[[#This Row],[Dep]], Contract_Edits[Index], 0))=Contract_Edits[[#This Row],[Index]]),
   "2-cycle","")</f>
        <v/>
      </c>
      <c r="AK60" s="502" cm="1">
        <f t="array" ref="AK60">IF(Contract_Edits[[#This Row],[BaseFlag]]&lt;&gt;1,0,
   IF(TEXT(Contract_Edits[[#This Row],[Dep]],"0")=TEXT(Contract_Edits[[#This Row],[Index]],"0"),
      0,
      MAX(0, SUMPRODUCT(--(Contract_Edits[BaseFlag]=1),
                        --(TEXT(Contract_Edits[Dep],"0")=TEXT(Contract_Edits[[#This Row],[Dep]],"0"))) - 1)
   )
)</f>
        <v>0</v>
      </c>
      <c r="AL60" s="502" t="str" cm="1">
        <f t="array" ref="AL60">IF(Contract_Edits[[#This Row],[BaseFlag]]=1,
   TEXT(Contract_Edits[[#This Row],[Index]],"0"),
   NearestBaseL(TEXT(Contract_Edits[[#This Row],[ParentKey]],"0"),500,editsIdxTxt,editsParentKeyTxt,baseIdxTxt,baseCost)
)</f>
        <v>15</v>
      </c>
      <c r="AM60" s="502" cm="1">
        <f t="array" ref="AM60">1+SUMPRODUCT(
  (Contract_Edits[BaseFlag]=1)*
  (TEXT(Contract_Edits[ParentAnchor],"0")=TEXT(Contract_Edits[[#This Row],[ParentAnchor]],"0"))*
  (VALUE(TEXT(Contract_Edits[Index],"0"))&lt;VALUE(TEXT(Contract_Edits[[#This Row],[Index]],"0")))
)</f>
        <v>2</v>
      </c>
      <c r="AN60" s="50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480</v>
      </c>
      <c r="B61" t="s">
        <v>487</v>
      </c>
      <c r="C61" t="s">
        <v>495</v>
      </c>
      <c r="D61" s="435" t="s">
        <v>507</v>
      </c>
      <c r="E61">
        <v>1</v>
      </c>
      <c r="F61" s="444"/>
      <c r="G61" s="188"/>
      <c r="H61">
        <v>0</v>
      </c>
      <c r="I61"/>
      <c r="J61">
        <v>60</v>
      </c>
      <c r="K61" s="104"/>
      <c r="L61" s="440">
        <v>60</v>
      </c>
      <c r="M61" s="44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7"/>
      <c r="R61" s="50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1" s="179">
        <v>0</v>
      </c>
      <c r="T61" s="179">
        <v>0</v>
      </c>
      <c r="U61" s="11" t="s">
        <v>608</v>
      </c>
      <c r="V61"/>
      <c r="W61" s="22" t="s">
        <v>357</v>
      </c>
      <c r="X61" s="22" t="s">
        <v>357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2">
        <f>--(
  ISNUMBER(SEARCH("BASE PARENT", UPPER(CLEAN(TRIM(_xlfn.XLOOKUP(TEXT(Contract_Edits[[#This Row],[Index]],"0"), baseIdxTxt, baseCost, "")))))) +
  ISNUMBER(SEARCH("DEPENDENCY GROUP", UPPER(CLEAN(TRIM(_xlfn.XLOOKUP(TEXT(Contract_Edits[[#This Row],[Index]],"0"), baseIdxTxt, baseCost, ""))))))
)</f>
        <v>0</v>
      </c>
      <c r="AG61" s="502" t="str" cm="1">
        <f t="array" ref="AG61">IF(Contract_Edits[[#This Row],[BaseFlag]]=1,
   10*BaseDepthL(TEXT(Contract_Edits[[#This Row],[Index]],"0"),500,editsIdxTxt,editsParentKeyTxt,baseIdxTxt,baseCost)-5,
   ""
)</f>
        <v/>
      </c>
      <c r="AH61" s="50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2" t="str">
        <f>IF(Contract_Edits[[#This Row],[Dep]]=0,"Root",
   IF(ISNUMBER(MATCH(Contract_Edits[[#This Row],[Dep]],Contract_Edits[Index],0)),"OK","Missing")
)</f>
        <v>OK</v>
      </c>
      <c r="AJ61" s="502" t="str">
        <f>IF(AND(Contract_Edits[[#This Row],[Dep]]&lt;&gt;0,
        ISNUMBER(MATCH(Contract_Edits[[#This Row],[Dep]], Contract_Edits[Index], 0)),
        INDEX(Contract_Edits[Dep], MATCH(Contract_Edits[[#This Row],[Dep]], Contract_Edits[Index], 0))=Contract_Edits[[#This Row],[Index]]),
   "2-cycle","")</f>
        <v/>
      </c>
      <c r="AK61" s="502" cm="1">
        <f t="array" ref="AK61">IF(Contract_Edits[[#This Row],[BaseFlag]]&lt;&gt;1,0,
   IF(TEXT(Contract_Edits[[#This Row],[Dep]],"0")=TEXT(Contract_Edits[[#This Row],[Index]],"0"),
      0,
      MAX(0, SUMPRODUCT(--(Contract_Edits[BaseFlag]=1),
                        --(TEXT(Contract_Edits[Dep],"0")=TEXT(Contract_Edits[[#This Row],[Dep]],"0"))) - 1)
   )
)</f>
        <v>0</v>
      </c>
      <c r="AL61" s="502" t="str" cm="1">
        <f t="array" ref="AL61">IF(Contract_Edits[[#This Row],[BaseFlag]]=1,
   TEXT(Contract_Edits[[#This Row],[Index]],"0"),
   NearestBaseL(TEXT(Contract_Edits[[#This Row],[ParentKey]],"0"),500,editsIdxTxt,editsParentKeyTxt,baseIdxTxt,baseCost)
)</f>
        <v>15</v>
      </c>
      <c r="AM61" s="502" cm="1">
        <f t="array" ref="AM61">1+SUMPRODUCT(
  (Contract_Edits[BaseFlag]=1)*
  (TEXT(Contract_Edits[ParentAnchor],"0")=TEXT(Contract_Edits[[#This Row],[ParentAnchor]],"0"))*
  (VALUE(TEXT(Contract_Edits[Index],"0"))&lt;VALUE(TEXT(Contract_Edits[[#This Row],[Index]],"0")))
)</f>
        <v>2</v>
      </c>
      <c r="AN61" s="50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480</v>
      </c>
      <c r="B62" t="s">
        <v>487</v>
      </c>
      <c r="C62" t="s">
        <v>495</v>
      </c>
      <c r="D62" s="435" t="s">
        <v>509</v>
      </c>
      <c r="E62">
        <v>1</v>
      </c>
      <c r="F62" s="444"/>
      <c r="G62" s="188"/>
      <c r="H62">
        <v>0</v>
      </c>
      <c r="I62"/>
      <c r="J62">
        <v>62</v>
      </c>
      <c r="K62" s="104"/>
      <c r="L62" s="440">
        <v>62</v>
      </c>
      <c r="M62" s="44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7"/>
      <c r="R62" s="50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2" s="179">
        <v>0</v>
      </c>
      <c r="T62" s="179">
        <v>0</v>
      </c>
      <c r="U62" s="11" t="s">
        <v>608</v>
      </c>
      <c r="V62"/>
      <c r="W62" s="22" t="s">
        <v>357</v>
      </c>
      <c r="X62" s="22" t="s">
        <v>357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2">
        <f>--(
  ISNUMBER(SEARCH("BASE PARENT", UPPER(CLEAN(TRIM(_xlfn.XLOOKUP(TEXT(Contract_Edits[[#This Row],[Index]],"0"), baseIdxTxt, baseCost, "")))))) +
  ISNUMBER(SEARCH("DEPENDENCY GROUP", UPPER(CLEAN(TRIM(_xlfn.XLOOKUP(TEXT(Contract_Edits[[#This Row],[Index]],"0"), baseIdxTxt, baseCost, ""))))))
)</f>
        <v>0</v>
      </c>
      <c r="AG62" s="502" t="str" cm="1">
        <f t="array" ref="AG62">IF(Contract_Edits[[#This Row],[BaseFlag]]=1,
   10*BaseDepthL(TEXT(Contract_Edits[[#This Row],[Index]],"0"),500,editsIdxTxt,editsParentKeyTxt,baseIdxTxt,baseCost)-5,
   ""
)</f>
        <v/>
      </c>
      <c r="AH62" s="50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2" t="str">
        <f>IF(Contract_Edits[[#This Row],[Dep]]=0,"Root",
   IF(ISNUMBER(MATCH(Contract_Edits[[#This Row],[Dep]],Contract_Edits[Index],0)),"OK","Missing")
)</f>
        <v>OK</v>
      </c>
      <c r="AJ62" s="502" t="str">
        <f>IF(AND(Contract_Edits[[#This Row],[Dep]]&lt;&gt;0,
        ISNUMBER(MATCH(Contract_Edits[[#This Row],[Dep]], Contract_Edits[Index], 0)),
        INDEX(Contract_Edits[Dep], MATCH(Contract_Edits[[#This Row],[Dep]], Contract_Edits[Index], 0))=Contract_Edits[[#This Row],[Index]]),
   "2-cycle","")</f>
        <v/>
      </c>
      <c r="AK62" s="502" cm="1">
        <f t="array" ref="AK62">IF(Contract_Edits[[#This Row],[BaseFlag]]&lt;&gt;1,0,
   IF(TEXT(Contract_Edits[[#This Row],[Dep]],"0")=TEXT(Contract_Edits[[#This Row],[Index]],"0"),
      0,
      MAX(0, SUMPRODUCT(--(Contract_Edits[BaseFlag]=1),
                        --(TEXT(Contract_Edits[Dep],"0")=TEXT(Contract_Edits[[#This Row],[Dep]],"0"))) - 1)
   )
)</f>
        <v>0</v>
      </c>
      <c r="AL62" s="502" t="str" cm="1">
        <f t="array" ref="AL62">IF(Contract_Edits[[#This Row],[BaseFlag]]=1,
   TEXT(Contract_Edits[[#This Row],[Index]],"0"),
   NearestBaseL(TEXT(Contract_Edits[[#This Row],[ParentKey]],"0"),500,editsIdxTxt,editsParentKeyTxt,baseIdxTxt,baseCost)
)</f>
        <v>15</v>
      </c>
      <c r="AM62" s="502" cm="1">
        <f t="array" ref="AM62">1+SUMPRODUCT(
  (Contract_Edits[BaseFlag]=1)*
  (TEXT(Contract_Edits[ParentAnchor],"0")=TEXT(Contract_Edits[[#This Row],[ParentAnchor]],"0"))*
  (VALUE(TEXT(Contract_Edits[Index],"0"))&lt;VALUE(TEXT(Contract_Edits[[#This Row],[Index]],"0")))
)</f>
        <v>2</v>
      </c>
      <c r="AN62" s="50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480</v>
      </c>
      <c r="B63" t="s">
        <v>487</v>
      </c>
      <c r="C63" t="s">
        <v>495</v>
      </c>
      <c r="D63" s="435" t="s">
        <v>518</v>
      </c>
      <c r="E63">
        <v>3</v>
      </c>
      <c r="F63" s="444"/>
      <c r="G63" s="188"/>
      <c r="H63">
        <v>0</v>
      </c>
      <c r="I63"/>
      <c r="J63">
        <v>75</v>
      </c>
      <c r="K63" s="104"/>
      <c r="L63" s="440">
        <v>75</v>
      </c>
      <c r="M63" s="44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79"/>
      <c r="R63" s="50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3" s="179">
        <v>0</v>
      </c>
      <c r="T63" s="468"/>
      <c r="U63" s="491" t="s">
        <v>608</v>
      </c>
      <c r="V63" s="193"/>
      <c r="W63" s="22" t="s">
        <v>357</v>
      </c>
      <c r="X63" s="22" t="s">
        <v>357</v>
      </c>
      <c r="Y63" s="48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2">
        <f>--(
  ISNUMBER(SEARCH("BASE PARENT", UPPER(CLEAN(TRIM(_xlfn.XLOOKUP(TEXT(Contract_Edits[[#This Row],[Index]],"0"), baseIdxTxt, baseCost, "")))))) +
  ISNUMBER(SEARCH("DEPENDENCY GROUP", UPPER(CLEAN(TRIM(_xlfn.XLOOKUP(TEXT(Contract_Edits[[#This Row],[Index]],"0"), baseIdxTxt, baseCost, ""))))))
)</f>
        <v>0</v>
      </c>
      <c r="AG63" s="502" t="str" cm="1">
        <f t="array" ref="AG63">IF(Contract_Edits[[#This Row],[BaseFlag]]=1,
   10*BaseDepthL(TEXT(Contract_Edits[[#This Row],[Index]],"0"),500,editsIdxTxt,editsParentKeyTxt,baseIdxTxt,baseCost)-5,
   ""
)</f>
        <v/>
      </c>
      <c r="AH63" s="50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2" t="str">
        <f>IF(Contract_Edits[[#This Row],[Dep]]=0,"Root",
   IF(ISNUMBER(MATCH(Contract_Edits[[#This Row],[Dep]],Contract_Edits[Index],0)),"OK","Missing")
)</f>
        <v>OK</v>
      </c>
      <c r="AJ63" s="502" t="str">
        <f>IF(AND(Contract_Edits[[#This Row],[Dep]]&lt;&gt;0,
        ISNUMBER(MATCH(Contract_Edits[[#This Row],[Dep]], Contract_Edits[Index], 0)),
        INDEX(Contract_Edits[Dep], MATCH(Contract_Edits[[#This Row],[Dep]], Contract_Edits[Index], 0))=Contract_Edits[[#This Row],[Index]]),
   "2-cycle","")</f>
        <v/>
      </c>
      <c r="AK63" s="502" cm="1">
        <f t="array" ref="AK63">IF(Contract_Edits[[#This Row],[BaseFlag]]&lt;&gt;1,0,
   IF(TEXT(Contract_Edits[[#This Row],[Dep]],"0")=TEXT(Contract_Edits[[#This Row],[Index]],"0"),
      0,
      MAX(0, SUMPRODUCT(--(Contract_Edits[BaseFlag]=1),
                        --(TEXT(Contract_Edits[Dep],"0")=TEXT(Contract_Edits[[#This Row],[Dep]],"0"))) - 1)
   )
)</f>
        <v>0</v>
      </c>
      <c r="AL63" s="502" t="str" cm="1">
        <f t="array" ref="AL63">IF(Contract_Edits[[#This Row],[BaseFlag]]=1,
   TEXT(Contract_Edits[[#This Row],[Index]],"0"),
   NearestBaseL(TEXT(Contract_Edits[[#This Row],[ParentKey]],"0"),500,editsIdxTxt,editsParentKeyTxt,baseIdxTxt,baseCost)
)</f>
        <v>15</v>
      </c>
      <c r="AM63" s="502" cm="1">
        <f t="array" ref="AM63">1+SUMPRODUCT(
  (Contract_Edits[BaseFlag]=1)*
  (TEXT(Contract_Edits[ParentAnchor],"0")=TEXT(Contract_Edits[[#This Row],[ParentAnchor]],"0"))*
  (VALUE(TEXT(Contract_Edits[Index],"0"))&lt;VALUE(TEXT(Contract_Edits[[#This Row],[Index]],"0")))
)</f>
        <v>2</v>
      </c>
      <c r="AN63" s="50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480</v>
      </c>
      <c r="B64" t="s">
        <v>487</v>
      </c>
      <c r="C64" t="s">
        <v>495</v>
      </c>
      <c r="D64" s="435" t="s">
        <v>498</v>
      </c>
      <c r="E64">
        <v>1</v>
      </c>
      <c r="F64" s="444"/>
      <c r="G64" s="188"/>
      <c r="H64">
        <v>0</v>
      </c>
      <c r="I64"/>
      <c r="J64">
        <v>52</v>
      </c>
      <c r="K64" s="104"/>
      <c r="L64" s="440">
        <v>52</v>
      </c>
      <c r="M64" s="44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7"/>
      <c r="R64" s="50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4" s="179">
        <v>0</v>
      </c>
      <c r="T64" s="179">
        <v>0</v>
      </c>
      <c r="U64" s="11" t="s">
        <v>608</v>
      </c>
      <c r="V64"/>
      <c r="W64" s="22" t="s">
        <v>357</v>
      </c>
      <c r="X64" s="22" t="s">
        <v>357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2">
        <f>--(
  ISNUMBER(SEARCH("BASE PARENT", UPPER(CLEAN(TRIM(_xlfn.XLOOKUP(TEXT(Contract_Edits[[#This Row],[Index]],"0"), baseIdxTxt, baseCost, "")))))) +
  ISNUMBER(SEARCH("DEPENDENCY GROUP", UPPER(CLEAN(TRIM(_xlfn.XLOOKUP(TEXT(Contract_Edits[[#This Row],[Index]],"0"), baseIdxTxt, baseCost, ""))))))
)</f>
        <v>0</v>
      </c>
      <c r="AG64" s="502" t="str" cm="1">
        <f t="array" ref="AG64">IF(Contract_Edits[[#This Row],[BaseFlag]]=1,
   10*BaseDepthL(TEXT(Contract_Edits[[#This Row],[Index]],"0"),500,editsIdxTxt,editsParentKeyTxt,baseIdxTxt,baseCost)-5,
   ""
)</f>
        <v/>
      </c>
      <c r="AH64" s="50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2" t="str">
        <f>IF(Contract_Edits[[#This Row],[Dep]]=0,"Root",
   IF(ISNUMBER(MATCH(Contract_Edits[[#This Row],[Dep]],Contract_Edits[Index],0)),"OK","Missing")
)</f>
        <v>OK</v>
      </c>
      <c r="AJ64" s="502" t="str">
        <f>IF(AND(Contract_Edits[[#This Row],[Dep]]&lt;&gt;0,
        ISNUMBER(MATCH(Contract_Edits[[#This Row],[Dep]], Contract_Edits[Index], 0)),
        INDEX(Contract_Edits[Dep], MATCH(Contract_Edits[[#This Row],[Dep]], Contract_Edits[Index], 0))=Contract_Edits[[#This Row],[Index]]),
   "2-cycle","")</f>
        <v/>
      </c>
      <c r="AK64" s="502" cm="1">
        <f t="array" ref="AK64">IF(Contract_Edits[[#This Row],[BaseFlag]]&lt;&gt;1,0,
   IF(TEXT(Contract_Edits[[#This Row],[Dep]],"0")=TEXT(Contract_Edits[[#This Row],[Index]],"0"),
      0,
      MAX(0, SUMPRODUCT(--(Contract_Edits[BaseFlag]=1),
                        --(TEXT(Contract_Edits[Dep],"0")=TEXT(Contract_Edits[[#This Row],[Dep]],"0"))) - 1)
   )
)</f>
        <v>0</v>
      </c>
      <c r="AL64" s="502" t="str" cm="1">
        <f t="array" ref="AL64">IF(Contract_Edits[[#This Row],[BaseFlag]]=1,
   TEXT(Contract_Edits[[#This Row],[Index]],"0"),
   NearestBaseL(TEXT(Contract_Edits[[#This Row],[ParentKey]],"0"),500,editsIdxTxt,editsParentKeyTxt,baseIdxTxt,baseCost)
)</f>
        <v>15</v>
      </c>
      <c r="AM64" s="502" cm="1">
        <f t="array" ref="AM64">1+SUMPRODUCT(
  (Contract_Edits[BaseFlag]=1)*
  (TEXT(Contract_Edits[ParentAnchor],"0")=TEXT(Contract_Edits[[#This Row],[ParentAnchor]],"0"))*
  (VALUE(TEXT(Contract_Edits[Index],"0"))&lt;VALUE(TEXT(Contract_Edits[[#This Row],[Index]],"0")))
)</f>
        <v>2</v>
      </c>
      <c r="AN64" s="50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480</v>
      </c>
      <c r="B65" t="s">
        <v>487</v>
      </c>
      <c r="C65" t="s">
        <v>495</v>
      </c>
      <c r="D65" s="435" t="s">
        <v>496</v>
      </c>
      <c r="E65">
        <v>1</v>
      </c>
      <c r="F65" s="444"/>
      <c r="G65" s="188"/>
      <c r="H65">
        <v>0</v>
      </c>
      <c r="I65"/>
      <c r="J65">
        <v>50</v>
      </c>
      <c r="K65" s="104"/>
      <c r="L65" s="440">
        <v>50</v>
      </c>
      <c r="M65" s="44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7"/>
      <c r="R65" s="50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5" s="179">
        <v>0</v>
      </c>
      <c r="T65" s="179">
        <v>0</v>
      </c>
      <c r="U65" s="11" t="s">
        <v>608</v>
      </c>
      <c r="V65"/>
      <c r="W65" s="22" t="s">
        <v>357</v>
      </c>
      <c r="X65" s="22" t="s">
        <v>357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2">
        <f>--(
  ISNUMBER(SEARCH("BASE PARENT", UPPER(CLEAN(TRIM(_xlfn.XLOOKUP(TEXT(Contract_Edits[[#This Row],[Index]],"0"), baseIdxTxt, baseCost, "")))))) +
  ISNUMBER(SEARCH("DEPENDENCY GROUP", UPPER(CLEAN(TRIM(_xlfn.XLOOKUP(TEXT(Contract_Edits[[#This Row],[Index]],"0"), baseIdxTxt, baseCost, ""))))))
)</f>
        <v>0</v>
      </c>
      <c r="AG65" s="502" t="str" cm="1">
        <f t="array" ref="AG65">IF(Contract_Edits[[#This Row],[BaseFlag]]=1,
   10*BaseDepthL(TEXT(Contract_Edits[[#This Row],[Index]],"0"),500,editsIdxTxt,editsParentKeyTxt,baseIdxTxt,baseCost)-5,
   ""
)</f>
        <v/>
      </c>
      <c r="AH65" s="50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2" t="str">
        <f>IF(Contract_Edits[[#This Row],[Dep]]=0,"Root",
   IF(ISNUMBER(MATCH(Contract_Edits[[#This Row],[Dep]],Contract_Edits[Index],0)),"OK","Missing")
)</f>
        <v>OK</v>
      </c>
      <c r="AJ65" s="502" t="str">
        <f>IF(AND(Contract_Edits[[#This Row],[Dep]]&lt;&gt;0,
        ISNUMBER(MATCH(Contract_Edits[[#This Row],[Dep]], Contract_Edits[Index], 0)),
        INDEX(Contract_Edits[Dep], MATCH(Contract_Edits[[#This Row],[Dep]], Contract_Edits[Index], 0))=Contract_Edits[[#This Row],[Index]]),
   "2-cycle","")</f>
        <v/>
      </c>
      <c r="AK65" s="502" cm="1">
        <f t="array" ref="AK65">IF(Contract_Edits[[#This Row],[BaseFlag]]&lt;&gt;1,0,
   IF(TEXT(Contract_Edits[[#This Row],[Dep]],"0")=TEXT(Contract_Edits[[#This Row],[Index]],"0"),
      0,
      MAX(0, SUMPRODUCT(--(Contract_Edits[BaseFlag]=1),
                        --(TEXT(Contract_Edits[Dep],"0")=TEXT(Contract_Edits[[#This Row],[Dep]],"0"))) - 1)
   )
)</f>
        <v>0</v>
      </c>
      <c r="AL65" s="502" t="str" cm="1">
        <f t="array" ref="AL65">IF(Contract_Edits[[#This Row],[BaseFlag]]=1,
   TEXT(Contract_Edits[[#This Row],[Index]],"0"),
   NearestBaseL(TEXT(Contract_Edits[[#This Row],[ParentKey]],"0"),500,editsIdxTxt,editsParentKeyTxt,baseIdxTxt,baseCost)
)</f>
        <v>15</v>
      </c>
      <c r="AM65" s="502" cm="1">
        <f t="array" ref="AM65">1+SUMPRODUCT(
  (Contract_Edits[BaseFlag]=1)*
  (TEXT(Contract_Edits[ParentAnchor],"0")=TEXT(Contract_Edits[[#This Row],[ParentAnchor]],"0"))*
  (VALUE(TEXT(Contract_Edits[Index],"0"))&lt;VALUE(TEXT(Contract_Edits[[#This Row],[Index]],"0")))
)</f>
        <v>2</v>
      </c>
      <c r="AN65" s="50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437</v>
      </c>
      <c r="B66" t="s">
        <v>434</v>
      </c>
      <c r="C66" t="s">
        <v>462</v>
      </c>
      <c r="D66" s="435" t="s">
        <v>452</v>
      </c>
      <c r="E66">
        <v>1</v>
      </c>
      <c r="F66" s="444">
        <v>0</v>
      </c>
      <c r="G66" s="188">
        <v>0</v>
      </c>
      <c r="H66">
        <v>15</v>
      </c>
      <c r="I66">
        <v>0</v>
      </c>
      <c r="J66">
        <v>16</v>
      </c>
      <c r="K66" s="104"/>
      <c r="L66" s="440">
        <v>16</v>
      </c>
      <c r="M66" s="44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7"/>
      <c r="R66" s="50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6" s="179">
        <v>0</v>
      </c>
      <c r="T66" s="179">
        <v>0</v>
      </c>
      <c r="U66" s="11"/>
      <c r="V66"/>
      <c r="W66" s="22" t="s">
        <v>357</v>
      </c>
      <c r="X66" s="22" t="s">
        <v>357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2">
        <f>--(
  ISNUMBER(SEARCH("BASE PARENT", UPPER(CLEAN(TRIM(_xlfn.XLOOKUP(TEXT(Contract_Edits[[#This Row],[Index]],"0"), baseIdxTxt, baseCost, "")))))) +
  ISNUMBER(SEARCH("DEPENDENCY GROUP", UPPER(CLEAN(TRIM(_xlfn.XLOOKUP(TEXT(Contract_Edits[[#This Row],[Index]],"0"), baseIdxTxt, baseCost, ""))))))
)</f>
        <v>1</v>
      </c>
      <c r="AG66" s="502" cm="1">
        <f t="array" ref="AG66">IF(Contract_Edits[[#This Row],[BaseFlag]]=1,
   10*BaseDepthL(TEXT(Contract_Edits[[#This Row],[Index]],"0"),500,editsIdxTxt,editsParentKeyTxt,baseIdxTxt,baseCost)-5,
   ""
)</f>
        <v>155</v>
      </c>
      <c r="AH66" s="50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2" t="str">
        <f>IF(Contract_Edits[[#This Row],[Dep]]=0,"Root",
   IF(ISNUMBER(MATCH(Contract_Edits[[#This Row],[Dep]],Contract_Edits[Index],0)),"OK","Missing")
)</f>
        <v>OK</v>
      </c>
      <c r="AJ66" s="502" t="str">
        <f>IF(AND(Contract_Edits[[#This Row],[Dep]]&lt;&gt;0,
        ISNUMBER(MATCH(Contract_Edits[[#This Row],[Dep]], Contract_Edits[Index], 0)),
        INDEX(Contract_Edits[Dep], MATCH(Contract_Edits[[#This Row],[Dep]], Contract_Edits[Index], 0))=Contract_Edits[[#This Row],[Index]]),
   "2-cycle","")</f>
        <v/>
      </c>
      <c r="AK66" s="502" cm="1">
        <f t="array" ref="AK66">IF(Contract_Edits[[#This Row],[BaseFlag]]&lt;&gt;1,0,
   IF(TEXT(Contract_Edits[[#This Row],[Dep]],"0")=TEXT(Contract_Edits[[#This Row],[Index]],"0"),
      0,
      MAX(0, SUMPRODUCT(--(Contract_Edits[BaseFlag]=1),
                        --(TEXT(Contract_Edits[Dep],"0")=TEXT(Contract_Edits[[#This Row],[Dep]],"0"))) - 1)
   )
)</f>
        <v>0</v>
      </c>
      <c r="AL66" s="502" t="str" cm="1">
        <f t="array" ref="AL66">IF(Contract_Edits[[#This Row],[BaseFlag]]=1,
   TEXT(Contract_Edits[[#This Row],[Index]],"0"),
   NearestBaseL(TEXT(Contract_Edits[[#This Row],[ParentKey]],"0"),500,editsIdxTxt,editsParentKeyTxt,baseIdxTxt,baseCost)
)</f>
        <v>16</v>
      </c>
      <c r="AM66" s="502" cm="1">
        <f t="array" ref="AM66">1+SUMPRODUCT(
  (Contract_Edits[BaseFlag]=1)*
  (TEXT(Contract_Edits[ParentAnchor],"0")=TEXT(Contract_Edits[[#This Row],[ParentAnchor]],"0"))*
  (VALUE(TEXT(Contract_Edits[Index],"0"))&lt;VALUE(TEXT(Contract_Edits[[#This Row],[Index]],"0")))
)</f>
        <v>1</v>
      </c>
      <c r="AN66" s="50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546</v>
      </c>
      <c r="C67" t="s">
        <v>478</v>
      </c>
      <c r="D67" s="435" t="s">
        <v>585</v>
      </c>
      <c r="E67">
        <v>1</v>
      </c>
      <c r="F67" s="444">
        <v>150</v>
      </c>
      <c r="G67" s="188">
        <v>150</v>
      </c>
      <c r="H67">
        <v>16</v>
      </c>
      <c r="I67">
        <v>150</v>
      </c>
      <c r="J67">
        <v>901</v>
      </c>
      <c r="K67" s="104"/>
      <c r="L67" s="440">
        <v>901</v>
      </c>
      <c r="M67" s="44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7"/>
      <c r="R67" s="50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7" s="179">
        <v>0</v>
      </c>
      <c r="T67" s="179">
        <v>0</v>
      </c>
      <c r="U67" s="11" t="s">
        <v>609</v>
      </c>
      <c r="V67"/>
      <c r="W67" s="22" t="s">
        <v>357</v>
      </c>
      <c r="X67" s="22" t="s">
        <v>357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2">
        <f>--(
  ISNUMBER(SEARCH("BASE PARENT", UPPER(CLEAN(TRIM(_xlfn.XLOOKUP(TEXT(Contract_Edits[[#This Row],[Index]],"0"), baseIdxTxt, baseCost, "")))))) +
  ISNUMBER(SEARCH("DEPENDENCY GROUP", UPPER(CLEAN(TRIM(_xlfn.XLOOKUP(TEXT(Contract_Edits[[#This Row],[Index]],"0"), baseIdxTxt, baseCost, ""))))))
)</f>
        <v>0</v>
      </c>
      <c r="AG67" s="502" t="str" cm="1">
        <f t="array" ref="AG67">IF(Contract_Edits[[#This Row],[BaseFlag]]=1,
   10*BaseDepthL(TEXT(Contract_Edits[[#This Row],[Index]],"0"),500,editsIdxTxt,editsParentKeyTxt,baseIdxTxt,baseCost)-5,
   ""
)</f>
        <v/>
      </c>
      <c r="AH67" s="50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2" t="str">
        <f>IF(Contract_Edits[[#This Row],[Dep]]=0,"Root",
   IF(ISNUMBER(MATCH(Contract_Edits[[#This Row],[Dep]],Contract_Edits[Index],0)),"OK","Missing")
)</f>
        <v>OK</v>
      </c>
      <c r="AJ67" s="502" t="str">
        <f>IF(AND(Contract_Edits[[#This Row],[Dep]]&lt;&gt;0,
        ISNUMBER(MATCH(Contract_Edits[[#This Row],[Dep]], Contract_Edits[Index], 0)),
        INDEX(Contract_Edits[Dep], MATCH(Contract_Edits[[#This Row],[Dep]], Contract_Edits[Index], 0))=Contract_Edits[[#This Row],[Index]]),
   "2-cycle","")</f>
        <v/>
      </c>
      <c r="AK67" s="502" cm="1">
        <f t="array" ref="AK67">IF(Contract_Edits[[#This Row],[BaseFlag]]&lt;&gt;1,0,
   IF(TEXT(Contract_Edits[[#This Row],[Dep]],"0")=TEXT(Contract_Edits[[#This Row],[Index]],"0"),
      0,
      MAX(0, SUMPRODUCT(--(Contract_Edits[BaseFlag]=1),
                        --(TEXT(Contract_Edits[Dep],"0")=TEXT(Contract_Edits[[#This Row],[Dep]],"0"))) - 1)
   )
)</f>
        <v>0</v>
      </c>
      <c r="AL67" s="502" t="str" cm="1">
        <f t="array" ref="AL67">IF(Contract_Edits[[#This Row],[BaseFlag]]=1,
   TEXT(Contract_Edits[[#This Row],[Index]],"0"),
   NearestBaseL(TEXT(Contract_Edits[[#This Row],[ParentKey]],"0"),500,editsIdxTxt,editsParentKeyTxt,baseIdxTxt,baseCost)
)</f>
        <v>16</v>
      </c>
      <c r="AM67" s="502" cm="1">
        <f t="array" ref="AM67">1+SUMPRODUCT(
  (Contract_Edits[BaseFlag]=1)*
  (TEXT(Contract_Edits[ParentAnchor],"0")=TEXT(Contract_Edits[[#This Row],[ParentAnchor]],"0"))*
  (VALUE(TEXT(Contract_Edits[Index],"0"))&lt;VALUE(TEXT(Contract_Edits[[#This Row],[Index]],"0")))
)</f>
        <v>2</v>
      </c>
      <c r="AN67" s="50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550</v>
      </c>
      <c r="B68" t="s">
        <v>545</v>
      </c>
      <c r="C68" t="s">
        <v>452</v>
      </c>
      <c r="D68" s="435" t="s">
        <v>586</v>
      </c>
      <c r="E68">
        <v>1</v>
      </c>
      <c r="F68" s="444">
        <v>0</v>
      </c>
      <c r="G68" s="188">
        <v>0</v>
      </c>
      <c r="H68">
        <v>16</v>
      </c>
      <c r="I68">
        <v>0</v>
      </c>
      <c r="J68">
        <v>907</v>
      </c>
      <c r="K68" s="104"/>
      <c r="L68" s="440">
        <v>907</v>
      </c>
      <c r="M68" s="44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79"/>
      <c r="R68" s="50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8" s="179">
        <v>0</v>
      </c>
      <c r="T68" s="468"/>
      <c r="U68" s="491" t="s">
        <v>609</v>
      </c>
      <c r="V68" s="193"/>
      <c r="W68" s="22" t="s">
        <v>357</v>
      </c>
      <c r="X68" s="22" t="s">
        <v>357</v>
      </c>
      <c r="Y68" s="48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2">
        <f>--(
  ISNUMBER(SEARCH("BASE PARENT", UPPER(CLEAN(TRIM(_xlfn.XLOOKUP(TEXT(Contract_Edits[[#This Row],[Index]],"0"), baseIdxTxt, baseCost, "")))))) +
  ISNUMBER(SEARCH("DEPENDENCY GROUP", UPPER(CLEAN(TRIM(_xlfn.XLOOKUP(TEXT(Contract_Edits[[#This Row],[Index]],"0"), baseIdxTxt, baseCost, ""))))))
)</f>
        <v>0</v>
      </c>
      <c r="AG68" s="502" t="str" cm="1">
        <f t="array" ref="AG68">IF(Contract_Edits[[#This Row],[BaseFlag]]=1,
   10*BaseDepthL(TEXT(Contract_Edits[[#This Row],[Index]],"0"),500,editsIdxTxt,editsParentKeyTxt,baseIdxTxt,baseCost)-5,
   ""
)</f>
        <v/>
      </c>
      <c r="AH68" s="50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2" t="str">
        <f>IF(Contract_Edits[[#This Row],[Dep]]=0,"Root",
   IF(ISNUMBER(MATCH(Contract_Edits[[#This Row],[Dep]],Contract_Edits[Index],0)),"OK","Missing")
)</f>
        <v>OK</v>
      </c>
      <c r="AJ68" s="502" t="str">
        <f>IF(AND(Contract_Edits[[#This Row],[Dep]]&lt;&gt;0,
        ISNUMBER(MATCH(Contract_Edits[[#This Row],[Dep]], Contract_Edits[Index], 0)),
        INDEX(Contract_Edits[Dep], MATCH(Contract_Edits[[#This Row],[Dep]], Contract_Edits[Index], 0))=Contract_Edits[[#This Row],[Index]]),
   "2-cycle","")</f>
        <v/>
      </c>
      <c r="AK68" s="502" cm="1">
        <f t="array" ref="AK68">IF(Contract_Edits[[#This Row],[BaseFlag]]&lt;&gt;1,0,
   IF(TEXT(Contract_Edits[[#This Row],[Dep]],"0")=TEXT(Contract_Edits[[#This Row],[Index]],"0"),
      0,
      MAX(0, SUMPRODUCT(--(Contract_Edits[BaseFlag]=1),
                        --(TEXT(Contract_Edits[Dep],"0")=TEXT(Contract_Edits[[#This Row],[Dep]],"0"))) - 1)
   )
)</f>
        <v>0</v>
      </c>
      <c r="AL68" s="502" t="str" cm="1">
        <f t="array" ref="AL68">IF(Contract_Edits[[#This Row],[BaseFlag]]=1,
   TEXT(Contract_Edits[[#This Row],[Index]],"0"),
   NearestBaseL(TEXT(Contract_Edits[[#This Row],[ParentKey]],"0"),500,editsIdxTxt,editsParentKeyTxt,baseIdxTxt,baseCost)
)</f>
        <v>16</v>
      </c>
      <c r="AM68" s="502" cm="1">
        <f t="array" ref="AM68">1+SUMPRODUCT(
  (Contract_Edits[BaseFlag]=1)*
  (TEXT(Contract_Edits[ParentAnchor],"0")=TEXT(Contract_Edits[[#This Row],[ParentAnchor]],"0"))*
  (VALUE(TEXT(Contract_Edits[Index],"0"))&lt;VALUE(TEXT(Contract_Edits[[#This Row],[Index]],"0")))
)</f>
        <v>2</v>
      </c>
      <c r="AN68" s="50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480</v>
      </c>
      <c r="B69" t="s">
        <v>452</v>
      </c>
      <c r="C69" t="s">
        <v>499</v>
      </c>
      <c r="D69" s="435" t="s">
        <v>500</v>
      </c>
      <c r="E69">
        <v>1</v>
      </c>
      <c r="F69" s="444"/>
      <c r="G69" s="188"/>
      <c r="H69">
        <v>0</v>
      </c>
      <c r="I69"/>
      <c r="J69">
        <v>53</v>
      </c>
      <c r="K69" s="104"/>
      <c r="L69" s="440">
        <v>53</v>
      </c>
      <c r="M69" s="44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7"/>
      <c r="R69" s="50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69" s="179">
        <v>0</v>
      </c>
      <c r="T69" s="179">
        <v>0</v>
      </c>
      <c r="U69" s="11" t="s">
        <v>609</v>
      </c>
      <c r="V69"/>
      <c r="W69" s="22" t="s">
        <v>357</v>
      </c>
      <c r="X69" s="22" t="s">
        <v>357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2">
        <f>--(
  ISNUMBER(SEARCH("BASE PARENT", UPPER(CLEAN(TRIM(_xlfn.XLOOKUP(TEXT(Contract_Edits[[#This Row],[Index]],"0"), baseIdxTxt, baseCost, "")))))) +
  ISNUMBER(SEARCH("DEPENDENCY GROUP", UPPER(CLEAN(TRIM(_xlfn.XLOOKUP(TEXT(Contract_Edits[[#This Row],[Index]],"0"), baseIdxTxt, baseCost, ""))))))
)</f>
        <v>0</v>
      </c>
      <c r="AG69" s="502" t="str" cm="1">
        <f t="array" ref="AG69">IF(Contract_Edits[[#This Row],[BaseFlag]]=1,
   10*BaseDepthL(TEXT(Contract_Edits[[#This Row],[Index]],"0"),500,editsIdxTxt,editsParentKeyTxt,baseIdxTxt,baseCost)-5,
   ""
)</f>
        <v/>
      </c>
      <c r="AH69" s="50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2" t="str">
        <f>IF(Contract_Edits[[#This Row],[Dep]]=0,"Root",
   IF(ISNUMBER(MATCH(Contract_Edits[[#This Row],[Dep]],Contract_Edits[Index],0)),"OK","Missing")
)</f>
        <v>OK</v>
      </c>
      <c r="AJ69" s="502" t="str">
        <f>IF(AND(Contract_Edits[[#This Row],[Dep]]&lt;&gt;0,
        ISNUMBER(MATCH(Contract_Edits[[#This Row],[Dep]], Contract_Edits[Index], 0)),
        INDEX(Contract_Edits[Dep], MATCH(Contract_Edits[[#This Row],[Dep]], Contract_Edits[Index], 0))=Contract_Edits[[#This Row],[Index]]),
   "2-cycle","")</f>
        <v/>
      </c>
      <c r="AK69" s="502" cm="1">
        <f t="array" ref="AK69">IF(Contract_Edits[[#This Row],[BaseFlag]]&lt;&gt;1,0,
   IF(TEXT(Contract_Edits[[#This Row],[Dep]],"0")=TEXT(Contract_Edits[[#This Row],[Index]],"0"),
      0,
      MAX(0, SUMPRODUCT(--(Contract_Edits[BaseFlag]=1),
                        --(TEXT(Contract_Edits[Dep],"0")=TEXT(Contract_Edits[[#This Row],[Dep]],"0"))) - 1)
   )
)</f>
        <v>0</v>
      </c>
      <c r="AL69" s="502" t="str" cm="1">
        <f t="array" ref="AL69">IF(Contract_Edits[[#This Row],[BaseFlag]]=1,
   TEXT(Contract_Edits[[#This Row],[Index]],"0"),
   NearestBaseL(TEXT(Contract_Edits[[#This Row],[ParentKey]],"0"),500,editsIdxTxt,editsParentKeyTxt,baseIdxTxt,baseCost)
)</f>
        <v>16</v>
      </c>
      <c r="AM69" s="502" cm="1">
        <f t="array" ref="AM69">1+SUMPRODUCT(
  (Contract_Edits[BaseFlag]=1)*
  (TEXT(Contract_Edits[ParentAnchor],"0")=TEXT(Contract_Edits[[#This Row],[ParentAnchor]],"0"))*
  (VALUE(TEXT(Contract_Edits[Index],"0"))&lt;VALUE(TEXT(Contract_Edits[[#This Row],[Index]],"0")))
)</f>
        <v>2</v>
      </c>
      <c r="AN69" s="50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480</v>
      </c>
      <c r="B70" t="s">
        <v>478</v>
      </c>
      <c r="C70" t="s">
        <v>478</v>
      </c>
      <c r="D70" s="435" t="s">
        <v>479</v>
      </c>
      <c r="E70">
        <v>1</v>
      </c>
      <c r="F70" s="444"/>
      <c r="G70" s="188"/>
      <c r="H70">
        <v>0</v>
      </c>
      <c r="I70"/>
      <c r="J70">
        <v>31</v>
      </c>
      <c r="K70" s="104"/>
      <c r="L70" s="440">
        <v>31</v>
      </c>
      <c r="M70" s="44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7"/>
      <c r="R70" s="50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0" s="179">
        <v>0</v>
      </c>
      <c r="T70" s="179">
        <v>0</v>
      </c>
      <c r="U70" s="11" t="s">
        <v>609</v>
      </c>
      <c r="V70"/>
      <c r="W70" s="22" t="s">
        <v>357</v>
      </c>
      <c r="X70" s="22" t="s">
        <v>357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2">
        <f>--(
  ISNUMBER(SEARCH("BASE PARENT", UPPER(CLEAN(TRIM(_xlfn.XLOOKUP(TEXT(Contract_Edits[[#This Row],[Index]],"0"), baseIdxTxt, baseCost, "")))))) +
  ISNUMBER(SEARCH("DEPENDENCY GROUP", UPPER(CLEAN(TRIM(_xlfn.XLOOKUP(TEXT(Contract_Edits[[#This Row],[Index]],"0"), baseIdxTxt, baseCost, ""))))))
)</f>
        <v>0</v>
      </c>
      <c r="AG70" s="502" t="str" cm="1">
        <f t="array" ref="AG70">IF(Contract_Edits[[#This Row],[BaseFlag]]=1,
   10*BaseDepthL(TEXT(Contract_Edits[[#This Row],[Index]],"0"),500,editsIdxTxt,editsParentKeyTxt,baseIdxTxt,baseCost)-5,
   ""
)</f>
        <v/>
      </c>
      <c r="AH70" s="50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2" t="str">
        <f>IF(Contract_Edits[[#This Row],[Dep]]=0,"Root",
   IF(ISNUMBER(MATCH(Contract_Edits[[#This Row],[Dep]],Contract_Edits[Index],0)),"OK","Missing")
)</f>
        <v>OK</v>
      </c>
      <c r="AJ70" s="502" t="str">
        <f>IF(AND(Contract_Edits[[#This Row],[Dep]]&lt;&gt;0,
        ISNUMBER(MATCH(Contract_Edits[[#This Row],[Dep]], Contract_Edits[Index], 0)),
        INDEX(Contract_Edits[Dep], MATCH(Contract_Edits[[#This Row],[Dep]], Contract_Edits[Index], 0))=Contract_Edits[[#This Row],[Index]]),
   "2-cycle","")</f>
        <v/>
      </c>
      <c r="AK70" s="502" cm="1">
        <f t="array" ref="AK70">IF(Contract_Edits[[#This Row],[BaseFlag]]&lt;&gt;1,0,
   IF(TEXT(Contract_Edits[[#This Row],[Dep]],"0")=TEXT(Contract_Edits[[#This Row],[Index]],"0"),
      0,
      MAX(0, SUMPRODUCT(--(Contract_Edits[BaseFlag]=1),
                        --(TEXT(Contract_Edits[Dep],"0")=TEXT(Contract_Edits[[#This Row],[Dep]],"0"))) - 1)
   )
)</f>
        <v>0</v>
      </c>
      <c r="AL70" s="502" t="str" cm="1">
        <f t="array" ref="AL70">IF(Contract_Edits[[#This Row],[BaseFlag]]=1,
   TEXT(Contract_Edits[[#This Row],[Index]],"0"),
   NearestBaseL(TEXT(Contract_Edits[[#This Row],[ParentKey]],"0"),500,editsIdxTxt,editsParentKeyTxt,baseIdxTxt,baseCost)
)</f>
        <v>16</v>
      </c>
      <c r="AM70" s="502" cm="1">
        <f t="array" ref="AM70">1+SUMPRODUCT(
  (Contract_Edits[BaseFlag]=1)*
  (TEXT(Contract_Edits[ParentAnchor],"0")=TEXT(Contract_Edits[[#This Row],[ParentAnchor]],"0"))*
  (VALUE(TEXT(Contract_Edits[Index],"0"))&lt;VALUE(TEXT(Contract_Edits[[#This Row],[Index]],"0")))
)</f>
        <v>2</v>
      </c>
      <c r="AN70" s="50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480</v>
      </c>
      <c r="B71" t="s">
        <v>452</v>
      </c>
      <c r="C71" t="s">
        <v>515</v>
      </c>
      <c r="D71" s="435" t="s">
        <v>517</v>
      </c>
      <c r="E71">
        <v>1</v>
      </c>
      <c r="F71" s="444"/>
      <c r="G71" s="188"/>
      <c r="H71">
        <v>0</v>
      </c>
      <c r="I71"/>
      <c r="J71">
        <v>71</v>
      </c>
      <c r="K71" s="104"/>
      <c r="L71" s="440">
        <v>71</v>
      </c>
      <c r="M71" s="44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7"/>
      <c r="R71" s="50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1" s="179">
        <v>0</v>
      </c>
      <c r="T71" s="179">
        <v>0</v>
      </c>
      <c r="U71" s="11" t="s">
        <v>609</v>
      </c>
      <c r="V71"/>
      <c r="W71" s="22" t="s">
        <v>357</v>
      </c>
      <c r="X71" s="22" t="s">
        <v>357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2">
        <f>--(
  ISNUMBER(SEARCH("BASE PARENT", UPPER(CLEAN(TRIM(_xlfn.XLOOKUP(TEXT(Contract_Edits[[#This Row],[Index]],"0"), baseIdxTxt, baseCost, "")))))) +
  ISNUMBER(SEARCH("DEPENDENCY GROUP", UPPER(CLEAN(TRIM(_xlfn.XLOOKUP(TEXT(Contract_Edits[[#This Row],[Index]],"0"), baseIdxTxt, baseCost, ""))))))
)</f>
        <v>0</v>
      </c>
      <c r="AG71" s="502" t="str" cm="1">
        <f t="array" ref="AG71">IF(Contract_Edits[[#This Row],[BaseFlag]]=1,
   10*BaseDepthL(TEXT(Contract_Edits[[#This Row],[Index]],"0"),500,editsIdxTxt,editsParentKeyTxt,baseIdxTxt,baseCost)-5,
   ""
)</f>
        <v/>
      </c>
      <c r="AH71" s="50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2" t="str">
        <f>IF(Contract_Edits[[#This Row],[Dep]]=0,"Root",
   IF(ISNUMBER(MATCH(Contract_Edits[[#This Row],[Dep]],Contract_Edits[Index],0)),"OK","Missing")
)</f>
        <v>OK</v>
      </c>
      <c r="AJ71" s="502" t="str">
        <f>IF(AND(Contract_Edits[[#This Row],[Dep]]&lt;&gt;0,
        ISNUMBER(MATCH(Contract_Edits[[#This Row],[Dep]], Contract_Edits[Index], 0)),
        INDEX(Contract_Edits[Dep], MATCH(Contract_Edits[[#This Row],[Dep]], Contract_Edits[Index], 0))=Contract_Edits[[#This Row],[Index]]),
   "2-cycle","")</f>
        <v/>
      </c>
      <c r="AK71" s="502" cm="1">
        <f t="array" ref="AK71">IF(Contract_Edits[[#This Row],[BaseFlag]]&lt;&gt;1,0,
   IF(TEXT(Contract_Edits[[#This Row],[Dep]],"0")=TEXT(Contract_Edits[[#This Row],[Index]],"0"),
      0,
      MAX(0, SUMPRODUCT(--(Contract_Edits[BaseFlag]=1),
                        --(TEXT(Contract_Edits[Dep],"0")=TEXT(Contract_Edits[[#This Row],[Dep]],"0"))) - 1)
   )
)</f>
        <v>0</v>
      </c>
      <c r="AL71" s="502" t="str" cm="1">
        <f t="array" ref="AL71">IF(Contract_Edits[[#This Row],[BaseFlag]]=1,
   TEXT(Contract_Edits[[#This Row],[Index]],"0"),
   NearestBaseL(TEXT(Contract_Edits[[#This Row],[ParentKey]],"0"),500,editsIdxTxt,editsParentKeyTxt,baseIdxTxt,baseCost)
)</f>
        <v>16</v>
      </c>
      <c r="AM71" s="502" cm="1">
        <f t="array" ref="AM71">1+SUMPRODUCT(
  (Contract_Edits[BaseFlag]=1)*
  (TEXT(Contract_Edits[ParentAnchor],"0")=TEXT(Contract_Edits[[#This Row],[ParentAnchor]],"0"))*
  (VALUE(TEXT(Contract_Edits[Index],"0"))&lt;VALUE(TEXT(Contract_Edits[[#This Row],[Index]],"0")))
)</f>
        <v>2</v>
      </c>
      <c r="AN71" s="50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437</v>
      </c>
      <c r="B72" t="s">
        <v>434</v>
      </c>
      <c r="C72" t="s">
        <v>462</v>
      </c>
      <c r="D72" s="435" t="s">
        <v>441</v>
      </c>
      <c r="E72">
        <v>1</v>
      </c>
      <c r="F72" s="444">
        <v>0</v>
      </c>
      <c r="G72" s="188">
        <v>0</v>
      </c>
      <c r="H72">
        <v>16</v>
      </c>
      <c r="I72">
        <v>0</v>
      </c>
      <c r="J72">
        <v>17</v>
      </c>
      <c r="K72" s="104"/>
      <c r="L72" s="440">
        <v>17</v>
      </c>
      <c r="M72" s="44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7"/>
      <c r="R72" s="50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2" s="179">
        <v>0</v>
      </c>
      <c r="T72" s="179">
        <v>0</v>
      </c>
      <c r="U72" s="11"/>
      <c r="V72"/>
      <c r="W72" s="22" t="s">
        <v>357</v>
      </c>
      <c r="X72" s="22" t="s">
        <v>357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2">
        <f>--(
  ISNUMBER(SEARCH("BASE PARENT", UPPER(CLEAN(TRIM(_xlfn.XLOOKUP(TEXT(Contract_Edits[[#This Row],[Index]],"0"), baseIdxTxt, baseCost, "")))))) +
  ISNUMBER(SEARCH("DEPENDENCY GROUP", UPPER(CLEAN(TRIM(_xlfn.XLOOKUP(TEXT(Contract_Edits[[#This Row],[Index]],"0"), baseIdxTxt, baseCost, ""))))))
)</f>
        <v>1</v>
      </c>
      <c r="AG72" s="502" cm="1">
        <f t="array" ref="AG72">IF(Contract_Edits[[#This Row],[BaseFlag]]=1,
   10*BaseDepthL(TEXT(Contract_Edits[[#This Row],[Index]],"0"),500,editsIdxTxt,editsParentKeyTxt,baseIdxTxt,baseCost)-5,
   ""
)</f>
        <v>165</v>
      </c>
      <c r="AH72" s="50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2" t="str">
        <f>IF(Contract_Edits[[#This Row],[Dep]]=0,"Root",
   IF(ISNUMBER(MATCH(Contract_Edits[[#This Row],[Dep]],Contract_Edits[Index],0)),"OK","Missing")
)</f>
        <v>OK</v>
      </c>
      <c r="AJ72" s="502" t="str">
        <f>IF(AND(Contract_Edits[[#This Row],[Dep]]&lt;&gt;0,
        ISNUMBER(MATCH(Contract_Edits[[#This Row],[Dep]], Contract_Edits[Index], 0)),
        INDEX(Contract_Edits[Dep], MATCH(Contract_Edits[[#This Row],[Dep]], Contract_Edits[Index], 0))=Contract_Edits[[#This Row],[Index]]),
   "2-cycle","")</f>
        <v/>
      </c>
      <c r="AK72" s="502" cm="1">
        <f t="array" ref="AK72">IF(Contract_Edits[[#This Row],[BaseFlag]]&lt;&gt;1,0,
   IF(TEXT(Contract_Edits[[#This Row],[Dep]],"0")=TEXT(Contract_Edits[[#This Row],[Index]],"0"),
      0,
      MAX(0, SUMPRODUCT(--(Contract_Edits[BaseFlag]=1),
                        --(TEXT(Contract_Edits[Dep],"0")=TEXT(Contract_Edits[[#This Row],[Dep]],"0"))) - 1)
   )
)</f>
        <v>0</v>
      </c>
      <c r="AL72" s="502" t="str" cm="1">
        <f t="array" ref="AL72">IF(Contract_Edits[[#This Row],[BaseFlag]]=1,
   TEXT(Contract_Edits[[#This Row],[Index]],"0"),
   NearestBaseL(TEXT(Contract_Edits[[#This Row],[ParentKey]],"0"),500,editsIdxTxt,editsParentKeyTxt,baseIdxTxt,baseCost)
)</f>
        <v>17</v>
      </c>
      <c r="AM72" s="502" cm="1">
        <f t="array" ref="AM72">1+SUMPRODUCT(
  (Contract_Edits[BaseFlag]=1)*
  (TEXT(Contract_Edits[ParentAnchor],"0")=TEXT(Contract_Edits[[#This Row],[ParentAnchor]],"0"))*
  (VALUE(TEXT(Contract_Edits[Index],"0"))&lt;VALUE(TEXT(Contract_Edits[[#This Row],[Index]],"0")))
)</f>
        <v>1</v>
      </c>
      <c r="AN72" s="50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480</v>
      </c>
      <c r="B73" t="s">
        <v>512</v>
      </c>
      <c r="C73" t="s">
        <v>522</v>
      </c>
      <c r="D73" s="435" t="s">
        <v>523</v>
      </c>
      <c r="E73">
        <v>1</v>
      </c>
      <c r="F73" s="444"/>
      <c r="G73" s="188"/>
      <c r="H73">
        <v>0</v>
      </c>
      <c r="I73"/>
      <c r="J73">
        <v>78</v>
      </c>
      <c r="K73" s="104"/>
      <c r="L73" s="440">
        <v>78</v>
      </c>
      <c r="M73" s="44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79"/>
      <c r="R73" s="50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3" s="179">
        <v>0</v>
      </c>
      <c r="T73" s="468"/>
      <c r="U73" s="491" t="s">
        <v>610</v>
      </c>
      <c r="V73" s="193"/>
      <c r="W73" s="22" t="s">
        <v>357</v>
      </c>
      <c r="X73" s="22" t="s">
        <v>357</v>
      </c>
      <c r="Y73" s="48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2">
        <f>--(
  ISNUMBER(SEARCH("BASE PARENT", UPPER(CLEAN(TRIM(_xlfn.XLOOKUP(TEXT(Contract_Edits[[#This Row],[Index]],"0"), baseIdxTxt, baseCost, "")))))) +
  ISNUMBER(SEARCH("DEPENDENCY GROUP", UPPER(CLEAN(TRIM(_xlfn.XLOOKUP(TEXT(Contract_Edits[[#This Row],[Index]],"0"), baseIdxTxt, baseCost, ""))))))
)</f>
        <v>0</v>
      </c>
      <c r="AG73" s="502" t="str" cm="1">
        <f t="array" ref="AG73">IF(Contract_Edits[[#This Row],[BaseFlag]]=1,
   10*BaseDepthL(TEXT(Contract_Edits[[#This Row],[Index]],"0"),500,editsIdxTxt,editsParentKeyTxt,baseIdxTxt,baseCost)-5,
   ""
)</f>
        <v/>
      </c>
      <c r="AH73" s="50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2" t="str">
        <f>IF(Contract_Edits[[#This Row],[Dep]]=0,"Root",
   IF(ISNUMBER(MATCH(Contract_Edits[[#This Row],[Dep]],Contract_Edits[Index],0)),"OK","Missing")
)</f>
        <v>OK</v>
      </c>
      <c r="AJ73" s="502" t="str">
        <f>IF(AND(Contract_Edits[[#This Row],[Dep]]&lt;&gt;0,
        ISNUMBER(MATCH(Contract_Edits[[#This Row],[Dep]], Contract_Edits[Index], 0)),
        INDEX(Contract_Edits[Dep], MATCH(Contract_Edits[[#This Row],[Dep]], Contract_Edits[Index], 0))=Contract_Edits[[#This Row],[Index]]),
   "2-cycle","")</f>
        <v/>
      </c>
      <c r="AK73" s="502" cm="1">
        <f t="array" ref="AK73">IF(Contract_Edits[[#This Row],[BaseFlag]]&lt;&gt;1,0,
   IF(TEXT(Contract_Edits[[#This Row],[Dep]],"0")=TEXT(Contract_Edits[[#This Row],[Index]],"0"),
      0,
      MAX(0, SUMPRODUCT(--(Contract_Edits[BaseFlag]=1),
                        --(TEXT(Contract_Edits[Dep],"0")=TEXT(Contract_Edits[[#This Row],[Dep]],"0"))) - 1)
   )
)</f>
        <v>0</v>
      </c>
      <c r="AL73" s="502" t="str" cm="1">
        <f t="array" ref="AL73">IF(Contract_Edits[[#This Row],[BaseFlag]]=1,
   TEXT(Contract_Edits[[#This Row],[Index]],"0"),
   NearestBaseL(TEXT(Contract_Edits[[#This Row],[ParentKey]],"0"),500,editsIdxTxt,editsParentKeyTxt,baseIdxTxt,baseCost)
)</f>
        <v>17</v>
      </c>
      <c r="AM73" s="502" cm="1">
        <f t="array" ref="AM73">1+SUMPRODUCT(
  (Contract_Edits[BaseFlag]=1)*
  (TEXT(Contract_Edits[ParentAnchor],"0")=TEXT(Contract_Edits[[#This Row],[ParentAnchor]],"0"))*
  (VALUE(TEXT(Contract_Edits[Index],"0"))&lt;VALUE(TEXT(Contract_Edits[[#This Row],[Index]],"0")))
)</f>
        <v>2</v>
      </c>
      <c r="AN73" s="50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550</v>
      </c>
      <c r="B74" t="s">
        <v>545</v>
      </c>
      <c r="C74" t="s">
        <v>441</v>
      </c>
      <c r="D74" s="435" t="s">
        <v>587</v>
      </c>
      <c r="E74">
        <v>1</v>
      </c>
      <c r="F74" s="444">
        <v>44.58382499999999</v>
      </c>
      <c r="G74" s="188">
        <v>44.58382499999999</v>
      </c>
      <c r="H74">
        <v>17</v>
      </c>
      <c r="I74">
        <v>44.58382499999999</v>
      </c>
      <c r="J74">
        <v>902</v>
      </c>
      <c r="K74" s="104"/>
      <c r="L74" s="440">
        <v>902</v>
      </c>
      <c r="M74" s="44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79"/>
      <c r="R74" s="50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4" s="179">
        <v>0</v>
      </c>
      <c r="T74" s="468"/>
      <c r="U74" s="491" t="s">
        <v>610</v>
      </c>
      <c r="V74" s="193"/>
      <c r="W74" s="22" t="s">
        <v>357</v>
      </c>
      <c r="X74" s="22" t="s">
        <v>357</v>
      </c>
      <c r="Y74" s="48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2">
        <f>--(
  ISNUMBER(SEARCH("BASE PARENT", UPPER(CLEAN(TRIM(_xlfn.XLOOKUP(TEXT(Contract_Edits[[#This Row],[Index]],"0"), baseIdxTxt, baseCost, "")))))) +
  ISNUMBER(SEARCH("DEPENDENCY GROUP", UPPER(CLEAN(TRIM(_xlfn.XLOOKUP(TEXT(Contract_Edits[[#This Row],[Index]],"0"), baseIdxTxt, baseCost, ""))))))
)</f>
        <v>0</v>
      </c>
      <c r="AG74" s="502" t="str" cm="1">
        <f t="array" ref="AG74">IF(Contract_Edits[[#This Row],[BaseFlag]]=1,
   10*BaseDepthL(TEXT(Contract_Edits[[#This Row],[Index]],"0"),500,editsIdxTxt,editsParentKeyTxt,baseIdxTxt,baseCost)-5,
   ""
)</f>
        <v/>
      </c>
      <c r="AH74" s="50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2" t="str">
        <f>IF(Contract_Edits[[#This Row],[Dep]]=0,"Root",
   IF(ISNUMBER(MATCH(Contract_Edits[[#This Row],[Dep]],Contract_Edits[Index],0)),"OK","Missing")
)</f>
        <v>OK</v>
      </c>
      <c r="AJ74" s="502" t="str">
        <f>IF(AND(Contract_Edits[[#This Row],[Dep]]&lt;&gt;0,
        ISNUMBER(MATCH(Contract_Edits[[#This Row],[Dep]], Contract_Edits[Index], 0)),
        INDEX(Contract_Edits[Dep], MATCH(Contract_Edits[[#This Row],[Dep]], Contract_Edits[Index], 0))=Contract_Edits[[#This Row],[Index]]),
   "2-cycle","")</f>
        <v/>
      </c>
      <c r="AK74" s="502" cm="1">
        <f t="array" ref="AK74">IF(Contract_Edits[[#This Row],[BaseFlag]]&lt;&gt;1,0,
   IF(TEXT(Contract_Edits[[#This Row],[Dep]],"0")=TEXT(Contract_Edits[[#This Row],[Index]],"0"),
      0,
      MAX(0, SUMPRODUCT(--(Contract_Edits[BaseFlag]=1),
                        --(TEXT(Contract_Edits[Dep],"0")=TEXT(Contract_Edits[[#This Row],[Dep]],"0"))) - 1)
   )
)</f>
        <v>0</v>
      </c>
      <c r="AL74" s="502" t="str" cm="1">
        <f t="array" ref="AL74">IF(Contract_Edits[[#This Row],[BaseFlag]]=1,
   TEXT(Contract_Edits[[#This Row],[Index]],"0"),
   NearestBaseL(TEXT(Contract_Edits[[#This Row],[ParentKey]],"0"),500,editsIdxTxt,editsParentKeyTxt,baseIdxTxt,baseCost)
)</f>
        <v>17</v>
      </c>
      <c r="AM74" s="502" cm="1">
        <f t="array" ref="AM74">1+SUMPRODUCT(
  (Contract_Edits[BaseFlag]=1)*
  (TEXT(Contract_Edits[ParentAnchor],"0")=TEXT(Contract_Edits[[#This Row],[ParentAnchor]],"0"))*
  (VALUE(TEXT(Contract_Edits[Index],"0"))&lt;VALUE(TEXT(Contract_Edits[[#This Row],[Index]],"0")))
)</f>
        <v>2</v>
      </c>
      <c r="AN74" s="50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480</v>
      </c>
      <c r="B75" t="s">
        <v>512</v>
      </c>
      <c r="C75" t="s">
        <v>513</v>
      </c>
      <c r="D75" s="435" t="s">
        <v>514</v>
      </c>
      <c r="E75">
        <v>1</v>
      </c>
      <c r="F75" s="444"/>
      <c r="G75" s="188"/>
      <c r="H75">
        <v>0</v>
      </c>
      <c r="I75"/>
      <c r="J75">
        <v>67</v>
      </c>
      <c r="K75" s="104"/>
      <c r="L75" s="440">
        <v>67</v>
      </c>
      <c r="M75" s="44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7"/>
      <c r="R75" s="50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5" s="179">
        <v>0</v>
      </c>
      <c r="T75" s="179">
        <v>0</v>
      </c>
      <c r="U75" s="11" t="s">
        <v>610</v>
      </c>
      <c r="V75"/>
      <c r="W75" s="22" t="s">
        <v>357</v>
      </c>
      <c r="X75" s="22" t="s">
        <v>357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2">
        <f>--(
  ISNUMBER(SEARCH("BASE PARENT", UPPER(CLEAN(TRIM(_xlfn.XLOOKUP(TEXT(Contract_Edits[[#This Row],[Index]],"0"), baseIdxTxt, baseCost, "")))))) +
  ISNUMBER(SEARCH("DEPENDENCY GROUP", UPPER(CLEAN(TRIM(_xlfn.XLOOKUP(TEXT(Contract_Edits[[#This Row],[Index]],"0"), baseIdxTxt, baseCost, ""))))))
)</f>
        <v>0</v>
      </c>
      <c r="AG75" s="502" t="str" cm="1">
        <f t="array" ref="AG75">IF(Contract_Edits[[#This Row],[BaseFlag]]=1,
   10*BaseDepthL(TEXT(Contract_Edits[[#This Row],[Index]],"0"),500,editsIdxTxt,editsParentKeyTxt,baseIdxTxt,baseCost)-5,
   ""
)</f>
        <v/>
      </c>
      <c r="AH75" s="50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2" t="str">
        <f>IF(Contract_Edits[[#This Row],[Dep]]=0,"Root",
   IF(ISNUMBER(MATCH(Contract_Edits[[#This Row],[Dep]],Contract_Edits[Index],0)),"OK","Missing")
)</f>
        <v>OK</v>
      </c>
      <c r="AJ75" s="502" t="str">
        <f>IF(AND(Contract_Edits[[#This Row],[Dep]]&lt;&gt;0,
        ISNUMBER(MATCH(Contract_Edits[[#This Row],[Dep]], Contract_Edits[Index], 0)),
        INDEX(Contract_Edits[Dep], MATCH(Contract_Edits[[#This Row],[Dep]], Contract_Edits[Index], 0))=Contract_Edits[[#This Row],[Index]]),
   "2-cycle","")</f>
        <v/>
      </c>
      <c r="AK75" s="502" cm="1">
        <f t="array" ref="AK75">IF(Contract_Edits[[#This Row],[BaseFlag]]&lt;&gt;1,0,
   IF(TEXT(Contract_Edits[[#This Row],[Dep]],"0")=TEXT(Contract_Edits[[#This Row],[Index]],"0"),
      0,
      MAX(0, SUMPRODUCT(--(Contract_Edits[BaseFlag]=1),
                        --(TEXT(Contract_Edits[Dep],"0")=TEXT(Contract_Edits[[#This Row],[Dep]],"0"))) - 1)
   )
)</f>
        <v>0</v>
      </c>
      <c r="AL75" s="502" t="str" cm="1">
        <f t="array" ref="AL75">IF(Contract_Edits[[#This Row],[BaseFlag]]=1,
   TEXT(Contract_Edits[[#This Row],[Index]],"0"),
   NearestBaseL(TEXT(Contract_Edits[[#This Row],[ParentKey]],"0"),500,editsIdxTxt,editsParentKeyTxt,baseIdxTxt,baseCost)
)</f>
        <v>17</v>
      </c>
      <c r="AM75" s="502" cm="1">
        <f t="array" ref="AM75">1+SUMPRODUCT(
  (Contract_Edits[BaseFlag]=1)*
  (TEXT(Contract_Edits[ParentAnchor],"0")=TEXT(Contract_Edits[[#This Row],[ParentAnchor]],"0"))*
  (VALUE(TEXT(Contract_Edits[Index],"0"))&lt;VALUE(TEXT(Contract_Edits[[#This Row],[Index]],"0")))
)</f>
        <v>2</v>
      </c>
      <c r="AN75" s="50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480</v>
      </c>
      <c r="B76" t="s">
        <v>512</v>
      </c>
      <c r="C76" t="s">
        <v>515</v>
      </c>
      <c r="D76" s="435" t="s">
        <v>516</v>
      </c>
      <c r="E76">
        <v>1</v>
      </c>
      <c r="F76" s="444"/>
      <c r="G76" s="188"/>
      <c r="H76">
        <v>0</v>
      </c>
      <c r="I76"/>
      <c r="J76">
        <v>70</v>
      </c>
      <c r="K76" s="104"/>
      <c r="L76" s="440">
        <v>70</v>
      </c>
      <c r="M76" s="44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7"/>
      <c r="R76" s="50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6" s="179">
        <v>0</v>
      </c>
      <c r="T76" s="179">
        <v>0</v>
      </c>
      <c r="U76" s="11" t="s">
        <v>610</v>
      </c>
      <c r="V76"/>
      <c r="W76" s="22" t="s">
        <v>357</v>
      </c>
      <c r="X76" s="22" t="s">
        <v>357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2">
        <f>--(
  ISNUMBER(SEARCH("BASE PARENT", UPPER(CLEAN(TRIM(_xlfn.XLOOKUP(TEXT(Contract_Edits[[#This Row],[Index]],"0"), baseIdxTxt, baseCost, "")))))) +
  ISNUMBER(SEARCH("DEPENDENCY GROUP", UPPER(CLEAN(TRIM(_xlfn.XLOOKUP(TEXT(Contract_Edits[[#This Row],[Index]],"0"), baseIdxTxt, baseCost, ""))))))
)</f>
        <v>0</v>
      </c>
      <c r="AG76" s="502" t="str" cm="1">
        <f t="array" ref="AG76">IF(Contract_Edits[[#This Row],[BaseFlag]]=1,
   10*BaseDepthL(TEXT(Contract_Edits[[#This Row],[Index]],"0"),500,editsIdxTxt,editsParentKeyTxt,baseIdxTxt,baseCost)-5,
   ""
)</f>
        <v/>
      </c>
      <c r="AH76" s="50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2" t="str">
        <f>IF(Contract_Edits[[#This Row],[Dep]]=0,"Root",
   IF(ISNUMBER(MATCH(Contract_Edits[[#This Row],[Dep]],Contract_Edits[Index],0)),"OK","Missing")
)</f>
        <v>OK</v>
      </c>
      <c r="AJ76" s="502" t="str">
        <f>IF(AND(Contract_Edits[[#This Row],[Dep]]&lt;&gt;0,
        ISNUMBER(MATCH(Contract_Edits[[#This Row],[Dep]], Contract_Edits[Index], 0)),
        INDEX(Contract_Edits[Dep], MATCH(Contract_Edits[[#This Row],[Dep]], Contract_Edits[Index], 0))=Contract_Edits[[#This Row],[Index]]),
   "2-cycle","")</f>
        <v/>
      </c>
      <c r="AK76" s="502" cm="1">
        <f t="array" ref="AK76">IF(Contract_Edits[[#This Row],[BaseFlag]]&lt;&gt;1,0,
   IF(TEXT(Contract_Edits[[#This Row],[Dep]],"0")=TEXT(Contract_Edits[[#This Row],[Index]],"0"),
      0,
      MAX(0, SUMPRODUCT(--(Contract_Edits[BaseFlag]=1),
                        --(TEXT(Contract_Edits[Dep],"0")=TEXT(Contract_Edits[[#This Row],[Dep]],"0"))) - 1)
   )
)</f>
        <v>0</v>
      </c>
      <c r="AL76" s="502" t="str" cm="1">
        <f t="array" ref="AL76">IF(Contract_Edits[[#This Row],[BaseFlag]]=1,
   TEXT(Contract_Edits[[#This Row],[Index]],"0"),
   NearestBaseL(TEXT(Contract_Edits[[#This Row],[ParentKey]],"0"),500,editsIdxTxt,editsParentKeyTxt,baseIdxTxt,baseCost)
)</f>
        <v>17</v>
      </c>
      <c r="AM76" s="502" cm="1">
        <f t="array" ref="AM76">1+SUMPRODUCT(
  (Contract_Edits[BaseFlag]=1)*
  (TEXT(Contract_Edits[ParentAnchor],"0")=TEXT(Contract_Edits[[#This Row],[ParentAnchor]],"0"))*
  (VALUE(TEXT(Contract_Edits[Index],"0"))&lt;VALUE(TEXT(Contract_Edits[[#This Row],[Index]],"0")))
)</f>
        <v>2</v>
      </c>
      <c r="AN76" s="50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437</v>
      </c>
      <c r="B77" t="s">
        <v>434</v>
      </c>
      <c r="C77" t="s">
        <v>462</v>
      </c>
      <c r="D77" s="435" t="s">
        <v>453</v>
      </c>
      <c r="E77">
        <v>1</v>
      </c>
      <c r="F77" s="444">
        <v>0</v>
      </c>
      <c r="G77" s="188">
        <v>0</v>
      </c>
      <c r="H77">
        <v>17</v>
      </c>
      <c r="I77">
        <v>0</v>
      </c>
      <c r="J77">
        <v>18</v>
      </c>
      <c r="K77" s="104"/>
      <c r="L77" s="440">
        <v>18</v>
      </c>
      <c r="M77" s="44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7"/>
      <c r="R77" s="50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7" s="179">
        <v>0</v>
      </c>
      <c r="T77" s="179"/>
      <c r="U77" s="11"/>
      <c r="V77"/>
      <c r="W77" s="22" t="s">
        <v>357</v>
      </c>
      <c r="X77" s="22" t="s">
        <v>357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2">
        <f>--(
  ISNUMBER(SEARCH("BASE PARENT", UPPER(CLEAN(TRIM(_xlfn.XLOOKUP(TEXT(Contract_Edits[[#This Row],[Index]],"0"), baseIdxTxt, baseCost, "")))))) +
  ISNUMBER(SEARCH("DEPENDENCY GROUP", UPPER(CLEAN(TRIM(_xlfn.XLOOKUP(TEXT(Contract_Edits[[#This Row],[Index]],"0"), baseIdxTxt, baseCost, ""))))))
)</f>
        <v>1</v>
      </c>
      <c r="AG77" s="502" cm="1">
        <f t="array" ref="AG77">IF(Contract_Edits[[#This Row],[BaseFlag]]=1,
   10*BaseDepthL(TEXT(Contract_Edits[[#This Row],[Index]],"0"),500,editsIdxTxt,editsParentKeyTxt,baseIdxTxt,baseCost)-5,
   ""
)</f>
        <v>175</v>
      </c>
      <c r="AH77" s="50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2" t="str">
        <f>IF(Contract_Edits[[#This Row],[Dep]]=0,"Root",
   IF(ISNUMBER(MATCH(Contract_Edits[[#This Row],[Dep]],Contract_Edits[Index],0)),"OK","Missing")
)</f>
        <v>OK</v>
      </c>
      <c r="AJ77" s="502" t="str">
        <f>IF(AND(Contract_Edits[[#This Row],[Dep]]&lt;&gt;0,
        ISNUMBER(MATCH(Contract_Edits[[#This Row],[Dep]], Contract_Edits[Index], 0)),
        INDEX(Contract_Edits[Dep], MATCH(Contract_Edits[[#This Row],[Dep]], Contract_Edits[Index], 0))=Contract_Edits[[#This Row],[Index]]),
   "2-cycle","")</f>
        <v/>
      </c>
      <c r="AK77" s="502" cm="1">
        <f t="array" ref="AK77">IF(Contract_Edits[[#This Row],[BaseFlag]]&lt;&gt;1,0,
   IF(TEXT(Contract_Edits[[#This Row],[Dep]],"0")=TEXT(Contract_Edits[[#This Row],[Index]],"0"),
      0,
      MAX(0, SUMPRODUCT(--(Contract_Edits[BaseFlag]=1),
                        --(TEXT(Contract_Edits[Dep],"0")=TEXT(Contract_Edits[[#This Row],[Dep]],"0"))) - 1)
   )
)</f>
        <v>0</v>
      </c>
      <c r="AL77" s="502" t="str" cm="1">
        <f t="array" ref="AL77">IF(Contract_Edits[[#This Row],[BaseFlag]]=1,
   TEXT(Contract_Edits[[#This Row],[Index]],"0"),
   NearestBaseL(TEXT(Contract_Edits[[#This Row],[ParentKey]],"0"),500,editsIdxTxt,editsParentKeyTxt,baseIdxTxt,baseCost)
)</f>
        <v>18</v>
      </c>
      <c r="AM77" s="502" cm="1">
        <f t="array" ref="AM77">1+SUMPRODUCT(
  (Contract_Edits[BaseFlag]=1)*
  (TEXT(Contract_Edits[ParentAnchor],"0")=TEXT(Contract_Edits[[#This Row],[ParentAnchor]],"0"))*
  (VALUE(TEXT(Contract_Edits[Index],"0"))&lt;VALUE(TEXT(Contract_Edits[[#This Row],[Index]],"0")))
)</f>
        <v>1</v>
      </c>
      <c r="AN77" s="50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480</v>
      </c>
      <c r="B78" t="s">
        <v>453</v>
      </c>
      <c r="C78" t="s">
        <v>453</v>
      </c>
      <c r="D78" s="435" t="s">
        <v>510</v>
      </c>
      <c r="E78">
        <v>1</v>
      </c>
      <c r="F78" s="444"/>
      <c r="G78" s="188"/>
      <c r="H78">
        <v>0</v>
      </c>
      <c r="I78"/>
      <c r="J78">
        <v>63</v>
      </c>
      <c r="K78" s="104"/>
      <c r="L78" s="440">
        <v>63</v>
      </c>
      <c r="M78" s="44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79"/>
      <c r="R78" s="50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8" s="179">
        <v>0</v>
      </c>
      <c r="T78" s="468"/>
      <c r="U78" s="491" t="s">
        <v>611</v>
      </c>
      <c r="V78" s="193"/>
      <c r="W78" s="22" t="s">
        <v>357</v>
      </c>
      <c r="X78" s="483" t="s">
        <v>357</v>
      </c>
      <c r="Y78" s="48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2">
        <f>--(
  ISNUMBER(SEARCH("BASE PARENT", UPPER(CLEAN(TRIM(_xlfn.XLOOKUP(TEXT(Contract_Edits[[#This Row],[Index]],"0"), baseIdxTxt, baseCost, "")))))) +
  ISNUMBER(SEARCH("DEPENDENCY GROUP", UPPER(CLEAN(TRIM(_xlfn.XLOOKUP(TEXT(Contract_Edits[[#This Row],[Index]],"0"), baseIdxTxt, baseCost, ""))))))
)</f>
        <v>0</v>
      </c>
      <c r="AG78" s="502" t="str" cm="1">
        <f t="array" ref="AG78">IF(Contract_Edits[[#This Row],[BaseFlag]]=1,
   10*BaseDepthL(TEXT(Contract_Edits[[#This Row],[Index]],"0"),500,editsIdxTxt,editsParentKeyTxt,baseIdxTxt,baseCost)-5,
   ""
)</f>
        <v/>
      </c>
      <c r="AH78" s="50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2" t="str">
        <f>IF(Contract_Edits[[#This Row],[Dep]]=0,"Root",
   IF(ISNUMBER(MATCH(Contract_Edits[[#This Row],[Dep]],Contract_Edits[Index],0)),"OK","Missing")
)</f>
        <v>OK</v>
      </c>
      <c r="AJ78" s="502" t="str">
        <f>IF(AND(Contract_Edits[[#This Row],[Dep]]&lt;&gt;0,
        ISNUMBER(MATCH(Contract_Edits[[#This Row],[Dep]], Contract_Edits[Index], 0)),
        INDEX(Contract_Edits[Dep], MATCH(Contract_Edits[[#This Row],[Dep]], Contract_Edits[Index], 0))=Contract_Edits[[#This Row],[Index]]),
   "2-cycle","")</f>
        <v/>
      </c>
      <c r="AK78" s="502" cm="1">
        <f t="array" ref="AK78">IF(Contract_Edits[[#This Row],[BaseFlag]]&lt;&gt;1,0,
   IF(TEXT(Contract_Edits[[#This Row],[Dep]],"0")=TEXT(Contract_Edits[[#This Row],[Index]],"0"),
      0,
      MAX(0, SUMPRODUCT(--(Contract_Edits[BaseFlag]=1),
                        --(TEXT(Contract_Edits[Dep],"0")=TEXT(Contract_Edits[[#This Row],[Dep]],"0"))) - 1)
   )
)</f>
        <v>0</v>
      </c>
      <c r="AL78" s="502" t="str" cm="1">
        <f t="array" ref="AL78">IF(Contract_Edits[[#This Row],[BaseFlag]]=1,
   TEXT(Contract_Edits[[#This Row],[Index]],"0"),
   NearestBaseL(TEXT(Contract_Edits[[#This Row],[ParentKey]],"0"),500,editsIdxTxt,editsParentKeyTxt,baseIdxTxt,baseCost)
)</f>
        <v>18</v>
      </c>
      <c r="AM78" s="502" cm="1">
        <f t="array" ref="AM78">1+SUMPRODUCT(
  (Contract_Edits[BaseFlag]=1)*
  (TEXT(Contract_Edits[ParentAnchor],"0")=TEXT(Contract_Edits[[#This Row],[ParentAnchor]],"0"))*
  (VALUE(TEXT(Contract_Edits[Index],"0"))&lt;VALUE(TEXT(Contract_Edits[[#This Row],[Index]],"0")))
)</f>
        <v>2</v>
      </c>
      <c r="AN78" s="50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437</v>
      </c>
      <c r="B79" t="s">
        <v>434</v>
      </c>
      <c r="C79" t="s">
        <v>453</v>
      </c>
      <c r="D79" s="435" t="s">
        <v>460</v>
      </c>
      <c r="E79">
        <v>1</v>
      </c>
      <c r="F79" s="444">
        <v>0</v>
      </c>
      <c r="G79" s="188">
        <v>0</v>
      </c>
      <c r="H79">
        <v>18</v>
      </c>
      <c r="I79">
        <v>0</v>
      </c>
      <c r="J79">
        <v>19</v>
      </c>
      <c r="K79" s="104"/>
      <c r="L79" s="440">
        <v>19</v>
      </c>
      <c r="M79" s="44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7"/>
      <c r="R79" s="50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79" s="179">
        <v>0</v>
      </c>
      <c r="T79" s="179">
        <v>0</v>
      </c>
      <c r="U79" s="11"/>
      <c r="V79"/>
      <c r="W79" s="22" t="s">
        <v>357</v>
      </c>
      <c r="X79" s="22" t="s">
        <v>357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2">
        <f>--(
  ISNUMBER(SEARCH("BASE PARENT", UPPER(CLEAN(TRIM(_xlfn.XLOOKUP(TEXT(Contract_Edits[[#This Row],[Index]],"0"), baseIdxTxt, baseCost, "")))))) +
  ISNUMBER(SEARCH("DEPENDENCY GROUP", UPPER(CLEAN(TRIM(_xlfn.XLOOKUP(TEXT(Contract_Edits[[#This Row],[Index]],"0"), baseIdxTxt, baseCost, ""))))))
)</f>
        <v>1</v>
      </c>
      <c r="AG79" s="502" cm="1">
        <f t="array" ref="AG79">IF(Contract_Edits[[#This Row],[BaseFlag]]=1,
   10*BaseDepthL(TEXT(Contract_Edits[[#This Row],[Index]],"0"),500,editsIdxTxt,editsParentKeyTxt,baseIdxTxt,baseCost)-5,
   ""
)</f>
        <v>185</v>
      </c>
      <c r="AH79" s="50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2" t="str">
        <f>IF(Contract_Edits[[#This Row],[Dep]]=0,"Root",
   IF(ISNUMBER(MATCH(Contract_Edits[[#This Row],[Dep]],Contract_Edits[Index],0)),"OK","Missing")
)</f>
        <v>OK</v>
      </c>
      <c r="AJ79" s="502" t="str">
        <f>IF(AND(Contract_Edits[[#This Row],[Dep]]&lt;&gt;0,
        ISNUMBER(MATCH(Contract_Edits[[#This Row],[Dep]], Contract_Edits[Index], 0)),
        INDEX(Contract_Edits[Dep], MATCH(Contract_Edits[[#This Row],[Dep]], Contract_Edits[Index], 0))=Contract_Edits[[#This Row],[Index]]),
   "2-cycle","")</f>
        <v/>
      </c>
      <c r="AK79" s="502" cm="1">
        <f t="array" ref="AK79">IF(Contract_Edits[[#This Row],[BaseFlag]]&lt;&gt;1,0,
   IF(TEXT(Contract_Edits[[#This Row],[Dep]],"0")=TEXT(Contract_Edits[[#This Row],[Index]],"0"),
      0,
      MAX(0, SUMPRODUCT(--(Contract_Edits[BaseFlag]=1),
                        --(TEXT(Contract_Edits[Dep],"0")=TEXT(Contract_Edits[[#This Row],[Dep]],"0"))) - 1)
   )
)</f>
        <v>0</v>
      </c>
      <c r="AL79" s="502" t="str" cm="1">
        <f t="array" ref="AL79">IF(Contract_Edits[[#This Row],[BaseFlag]]=1,
   TEXT(Contract_Edits[[#This Row],[Index]],"0"),
   NearestBaseL(TEXT(Contract_Edits[[#This Row],[ParentKey]],"0"),500,editsIdxTxt,editsParentKeyTxt,baseIdxTxt,baseCost)
)</f>
        <v>19</v>
      </c>
      <c r="AM79" s="502" cm="1">
        <f t="array" ref="AM79">1+SUMPRODUCT(
  (Contract_Edits[BaseFlag]=1)*
  (TEXT(Contract_Edits[ParentAnchor],"0")=TEXT(Contract_Edits[[#This Row],[ParentAnchor]],"0"))*
  (VALUE(TEXT(Contract_Edits[Index],"0"))&lt;VALUE(TEXT(Contract_Edits[[#This Row],[Index]],"0")))
)</f>
        <v>1</v>
      </c>
      <c r="AN79" s="50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550</v>
      </c>
      <c r="B80" t="s">
        <v>545</v>
      </c>
      <c r="C80" t="s">
        <v>453</v>
      </c>
      <c r="D80" s="435" t="s">
        <v>589</v>
      </c>
      <c r="E80">
        <v>1</v>
      </c>
      <c r="F80" s="444">
        <v>8621</v>
      </c>
      <c r="G80" s="188">
        <v>8621</v>
      </c>
      <c r="H80">
        <v>19</v>
      </c>
      <c r="I80">
        <v>8621</v>
      </c>
      <c r="J80">
        <v>911</v>
      </c>
      <c r="K80" s="104"/>
      <c r="L80" s="440">
        <v>911</v>
      </c>
      <c r="M80" s="44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79"/>
      <c r="R80" s="50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0" s="179">
        <v>0</v>
      </c>
      <c r="T80" s="468"/>
      <c r="U80" s="491" t="s">
        <v>612</v>
      </c>
      <c r="V80" s="193"/>
      <c r="W80" s="22" t="s">
        <v>357</v>
      </c>
      <c r="X80" s="483" t="s">
        <v>357</v>
      </c>
      <c r="Y80" s="48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2">
        <f>--(
  ISNUMBER(SEARCH("BASE PARENT", UPPER(CLEAN(TRIM(_xlfn.XLOOKUP(TEXT(Contract_Edits[[#This Row],[Index]],"0"), baseIdxTxt, baseCost, "")))))) +
  ISNUMBER(SEARCH("DEPENDENCY GROUP", UPPER(CLEAN(TRIM(_xlfn.XLOOKUP(TEXT(Contract_Edits[[#This Row],[Index]],"0"), baseIdxTxt, baseCost, ""))))))
)</f>
        <v>0</v>
      </c>
      <c r="AG80" s="502" t="str" cm="1">
        <f t="array" ref="AG80">IF(Contract_Edits[[#This Row],[BaseFlag]]=1,
   10*BaseDepthL(TEXT(Contract_Edits[[#This Row],[Index]],"0"),500,editsIdxTxt,editsParentKeyTxt,baseIdxTxt,baseCost)-5,
   ""
)</f>
        <v/>
      </c>
      <c r="AH80" s="50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2" t="str">
        <f>IF(Contract_Edits[[#This Row],[Dep]]=0,"Root",
   IF(ISNUMBER(MATCH(Contract_Edits[[#This Row],[Dep]],Contract_Edits[Index],0)),"OK","Missing")
)</f>
        <v>OK</v>
      </c>
      <c r="AJ80" s="502" t="str">
        <f>IF(AND(Contract_Edits[[#This Row],[Dep]]&lt;&gt;0,
        ISNUMBER(MATCH(Contract_Edits[[#This Row],[Dep]], Contract_Edits[Index], 0)),
        INDEX(Contract_Edits[Dep], MATCH(Contract_Edits[[#This Row],[Dep]], Contract_Edits[Index], 0))=Contract_Edits[[#This Row],[Index]]),
   "2-cycle","")</f>
        <v/>
      </c>
      <c r="AK80" s="502" cm="1">
        <f t="array" ref="AK80">IF(Contract_Edits[[#This Row],[BaseFlag]]&lt;&gt;1,0,
   IF(TEXT(Contract_Edits[[#This Row],[Dep]],"0")=TEXT(Contract_Edits[[#This Row],[Index]],"0"),
      0,
      MAX(0, SUMPRODUCT(--(Contract_Edits[BaseFlag]=1),
                        --(TEXT(Contract_Edits[Dep],"0")=TEXT(Contract_Edits[[#This Row],[Dep]],"0"))) - 1)
   )
)</f>
        <v>0</v>
      </c>
      <c r="AL80" s="502" t="str" cm="1">
        <f t="array" ref="AL80">IF(Contract_Edits[[#This Row],[BaseFlag]]=1,
   TEXT(Contract_Edits[[#This Row],[Index]],"0"),
   NearestBaseL(TEXT(Contract_Edits[[#This Row],[ParentKey]],"0"),500,editsIdxTxt,editsParentKeyTxt,baseIdxTxt,baseCost)
)</f>
        <v>19</v>
      </c>
      <c r="AM80" s="502" cm="1">
        <f t="array" ref="AM80">1+SUMPRODUCT(
  (Contract_Edits[BaseFlag]=1)*
  (TEXT(Contract_Edits[ParentAnchor],"0")=TEXT(Contract_Edits[[#This Row],[ParentAnchor]],"0"))*
  (VALUE(TEXT(Contract_Edits[Index],"0"))&lt;VALUE(TEXT(Contract_Edits[[#This Row],[Index]],"0")))
)</f>
        <v>2</v>
      </c>
      <c r="AN80" s="50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437</v>
      </c>
      <c r="B81" t="s">
        <v>434</v>
      </c>
      <c r="C81" t="s">
        <v>449</v>
      </c>
      <c r="D81" s="435" t="s">
        <v>463</v>
      </c>
      <c r="E81">
        <v>1</v>
      </c>
      <c r="F81" s="444">
        <v>0</v>
      </c>
      <c r="G81" s="188">
        <v>0</v>
      </c>
      <c r="H81">
        <v>19</v>
      </c>
      <c r="I81">
        <v>0</v>
      </c>
      <c r="J81">
        <v>20</v>
      </c>
      <c r="K81" s="104"/>
      <c r="L81" s="440">
        <v>20</v>
      </c>
      <c r="M81" s="44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7"/>
      <c r="R81" s="50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1" s="179">
        <v>0</v>
      </c>
      <c r="T81" s="179">
        <v>0</v>
      </c>
      <c r="U81" s="11"/>
      <c r="V81"/>
      <c r="W81" s="22" t="s">
        <v>357</v>
      </c>
      <c r="X81" s="22" t="s">
        <v>357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2">
        <f>--(
  ISNUMBER(SEARCH("BASE PARENT", UPPER(CLEAN(TRIM(_xlfn.XLOOKUP(TEXT(Contract_Edits[[#This Row],[Index]],"0"), baseIdxTxt, baseCost, "")))))) +
  ISNUMBER(SEARCH("DEPENDENCY GROUP", UPPER(CLEAN(TRIM(_xlfn.XLOOKUP(TEXT(Contract_Edits[[#This Row],[Index]],"0"), baseIdxTxt, baseCost, ""))))))
)</f>
        <v>1</v>
      </c>
      <c r="AG81" s="502" cm="1">
        <f t="array" ref="AG81">IF(Contract_Edits[[#This Row],[BaseFlag]]=1,
   10*BaseDepthL(TEXT(Contract_Edits[[#This Row],[Index]],"0"),500,editsIdxTxt,editsParentKeyTxt,baseIdxTxt,baseCost)-5,
   ""
)</f>
        <v>195</v>
      </c>
      <c r="AH81" s="50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2" t="str">
        <f>IF(Contract_Edits[[#This Row],[Dep]]=0,"Root",
   IF(ISNUMBER(MATCH(Contract_Edits[[#This Row],[Dep]],Contract_Edits[Index],0)),"OK","Missing")
)</f>
        <v>OK</v>
      </c>
      <c r="AJ81" s="502" t="str">
        <f>IF(AND(Contract_Edits[[#This Row],[Dep]]&lt;&gt;0,
        ISNUMBER(MATCH(Contract_Edits[[#This Row],[Dep]], Contract_Edits[Index], 0)),
        INDEX(Contract_Edits[Dep], MATCH(Contract_Edits[[#This Row],[Dep]], Contract_Edits[Index], 0))=Contract_Edits[[#This Row],[Index]]),
   "2-cycle","")</f>
        <v/>
      </c>
      <c r="AK81" s="502" cm="1">
        <f t="array" ref="AK81">IF(Contract_Edits[[#This Row],[BaseFlag]]&lt;&gt;1,0,
   IF(TEXT(Contract_Edits[[#This Row],[Dep]],"0")=TEXT(Contract_Edits[[#This Row],[Index]],"0"),
      0,
      MAX(0, SUMPRODUCT(--(Contract_Edits[BaseFlag]=1),
                        --(TEXT(Contract_Edits[Dep],"0")=TEXT(Contract_Edits[[#This Row],[Dep]],"0"))) - 1)
   )
)</f>
        <v>0</v>
      </c>
      <c r="AL81" s="502" t="str" cm="1">
        <f t="array" ref="AL81">IF(Contract_Edits[[#This Row],[BaseFlag]]=1,
   TEXT(Contract_Edits[[#This Row],[Index]],"0"),
   NearestBaseL(TEXT(Contract_Edits[[#This Row],[ParentKey]],"0"),500,editsIdxTxt,editsParentKeyTxt,baseIdxTxt,baseCost)
)</f>
        <v>20</v>
      </c>
      <c r="AM81" s="502" cm="1">
        <f t="array" ref="AM81">1+SUMPRODUCT(
  (Contract_Edits[BaseFlag]=1)*
  (TEXT(Contract_Edits[ParentAnchor],"0")=TEXT(Contract_Edits[[#This Row],[ParentAnchor]],"0"))*
  (VALUE(TEXT(Contract_Edits[Index],"0"))&lt;VALUE(TEXT(Contract_Edits[[#This Row],[Index]],"0")))
)</f>
        <v>1</v>
      </c>
      <c r="AN81" s="50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550</v>
      </c>
      <c r="B82" t="s">
        <v>546</v>
      </c>
      <c r="C82" t="s">
        <v>590</v>
      </c>
      <c r="D82" s="435" t="s">
        <v>591</v>
      </c>
      <c r="E82">
        <v>1</v>
      </c>
      <c r="F82" s="444">
        <v>5905.82</v>
      </c>
      <c r="G82" s="188">
        <v>5905.82</v>
      </c>
      <c r="H82">
        <v>20</v>
      </c>
      <c r="I82">
        <v>5905.82</v>
      </c>
      <c r="J82">
        <v>906</v>
      </c>
      <c r="K82" s="104"/>
      <c r="L82" s="440">
        <v>906</v>
      </c>
      <c r="M82" s="44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7"/>
      <c r="R82" s="50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2" s="179">
        <v>0</v>
      </c>
      <c r="T82" s="179">
        <v>0</v>
      </c>
      <c r="U82" s="11" t="s">
        <v>613</v>
      </c>
      <c r="V82"/>
      <c r="W82" s="22" t="s">
        <v>357</v>
      </c>
      <c r="X82" s="22" t="s">
        <v>357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2">
        <f>--(
  ISNUMBER(SEARCH("BASE PARENT", UPPER(CLEAN(TRIM(_xlfn.XLOOKUP(TEXT(Contract_Edits[[#This Row],[Index]],"0"), baseIdxTxt, baseCost, "")))))) +
  ISNUMBER(SEARCH("DEPENDENCY GROUP", UPPER(CLEAN(TRIM(_xlfn.XLOOKUP(TEXT(Contract_Edits[[#This Row],[Index]],"0"), baseIdxTxt, baseCost, ""))))))
)</f>
        <v>0</v>
      </c>
      <c r="AG82" s="502" t="str" cm="1">
        <f t="array" ref="AG82">IF(Contract_Edits[[#This Row],[BaseFlag]]=1,
   10*BaseDepthL(TEXT(Contract_Edits[[#This Row],[Index]],"0"),500,editsIdxTxt,editsParentKeyTxt,baseIdxTxt,baseCost)-5,
   ""
)</f>
        <v/>
      </c>
      <c r="AH82" s="50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2" t="str">
        <f>IF(Contract_Edits[[#This Row],[Dep]]=0,"Root",
   IF(ISNUMBER(MATCH(Contract_Edits[[#This Row],[Dep]],Contract_Edits[Index],0)),"OK","Missing")
)</f>
        <v>OK</v>
      </c>
      <c r="AJ82" s="502" t="str">
        <f>IF(AND(Contract_Edits[[#This Row],[Dep]]&lt;&gt;0,
        ISNUMBER(MATCH(Contract_Edits[[#This Row],[Dep]], Contract_Edits[Index], 0)),
        INDEX(Contract_Edits[Dep], MATCH(Contract_Edits[[#This Row],[Dep]], Contract_Edits[Index], 0))=Contract_Edits[[#This Row],[Index]]),
   "2-cycle","")</f>
        <v/>
      </c>
      <c r="AK82" s="502" cm="1">
        <f t="array" ref="AK82">IF(Contract_Edits[[#This Row],[BaseFlag]]&lt;&gt;1,0,
   IF(TEXT(Contract_Edits[[#This Row],[Dep]],"0")=TEXT(Contract_Edits[[#This Row],[Index]],"0"),
      0,
      MAX(0, SUMPRODUCT(--(Contract_Edits[BaseFlag]=1),
                        --(TEXT(Contract_Edits[Dep],"0")=TEXT(Contract_Edits[[#This Row],[Dep]],"0"))) - 1)
   )
)</f>
        <v>0</v>
      </c>
      <c r="AL82" s="502" t="str" cm="1">
        <f t="array" ref="AL82">IF(Contract_Edits[[#This Row],[BaseFlag]]=1,
   TEXT(Contract_Edits[[#This Row],[Index]],"0"),
   NearestBaseL(TEXT(Contract_Edits[[#This Row],[ParentKey]],"0"),500,editsIdxTxt,editsParentKeyTxt,baseIdxTxt,baseCost)
)</f>
        <v>20</v>
      </c>
      <c r="AM82" s="502" cm="1">
        <f t="array" ref="AM82">1+SUMPRODUCT(
  (Contract_Edits[BaseFlag]=1)*
  (TEXT(Contract_Edits[ParentAnchor],"0")=TEXT(Contract_Edits[[#This Row],[ParentAnchor]],"0"))*
  (VALUE(TEXT(Contract_Edits[Index],"0"))&lt;VALUE(TEXT(Contract_Edits[[#This Row],[Index]],"0")))
)</f>
        <v>2</v>
      </c>
      <c r="AN82" s="50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437</v>
      </c>
      <c r="B83" t="s">
        <v>434</v>
      </c>
      <c r="C83" t="s">
        <v>464</v>
      </c>
      <c r="D83" s="435" t="s">
        <v>465</v>
      </c>
      <c r="E83">
        <v>1</v>
      </c>
      <c r="F83" s="444">
        <v>0</v>
      </c>
      <c r="G83" s="188">
        <v>0</v>
      </c>
      <c r="H83">
        <v>20</v>
      </c>
      <c r="I83">
        <v>0</v>
      </c>
      <c r="J83">
        <v>21</v>
      </c>
      <c r="K83" s="104"/>
      <c r="L83" s="440">
        <v>21</v>
      </c>
      <c r="M83" s="44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79"/>
      <c r="R83" s="50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3" s="179">
        <v>0</v>
      </c>
      <c r="T83" s="468"/>
      <c r="U83" s="491"/>
      <c r="V83" s="193"/>
      <c r="W83" s="22" t="s">
        <v>357</v>
      </c>
      <c r="X83" s="483" t="s">
        <v>357</v>
      </c>
      <c r="Y83" s="48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2">
        <f>--(
  ISNUMBER(SEARCH("BASE PARENT", UPPER(CLEAN(TRIM(_xlfn.XLOOKUP(TEXT(Contract_Edits[[#This Row],[Index]],"0"), baseIdxTxt, baseCost, "")))))) +
  ISNUMBER(SEARCH("DEPENDENCY GROUP", UPPER(CLEAN(TRIM(_xlfn.XLOOKUP(TEXT(Contract_Edits[[#This Row],[Index]],"0"), baseIdxTxt, baseCost, ""))))))
)</f>
        <v>1</v>
      </c>
      <c r="AG83" s="502" cm="1">
        <f t="array" ref="AG83">IF(Contract_Edits[[#This Row],[BaseFlag]]=1,
   10*BaseDepthL(TEXT(Contract_Edits[[#This Row],[Index]],"0"),500,editsIdxTxt,editsParentKeyTxt,baseIdxTxt,baseCost)-5,
   ""
)</f>
        <v>205</v>
      </c>
      <c r="AH83" s="50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2" t="str">
        <f>IF(Contract_Edits[[#This Row],[Dep]]=0,"Root",
   IF(ISNUMBER(MATCH(Contract_Edits[[#This Row],[Dep]],Contract_Edits[Index],0)),"OK","Missing")
)</f>
        <v>OK</v>
      </c>
      <c r="AJ83" s="502" t="str">
        <f>IF(AND(Contract_Edits[[#This Row],[Dep]]&lt;&gt;0,
        ISNUMBER(MATCH(Contract_Edits[[#This Row],[Dep]], Contract_Edits[Index], 0)),
        INDEX(Contract_Edits[Dep], MATCH(Contract_Edits[[#This Row],[Dep]], Contract_Edits[Index], 0))=Contract_Edits[[#This Row],[Index]]),
   "2-cycle","")</f>
        <v/>
      </c>
      <c r="AK83" s="502" cm="1">
        <f t="array" ref="AK83">IF(Contract_Edits[[#This Row],[BaseFlag]]&lt;&gt;1,0,
   IF(TEXT(Contract_Edits[[#This Row],[Dep]],"0")=TEXT(Contract_Edits[[#This Row],[Index]],"0"),
      0,
      MAX(0, SUMPRODUCT(--(Contract_Edits[BaseFlag]=1),
                        --(TEXT(Contract_Edits[Dep],"0")=TEXT(Contract_Edits[[#This Row],[Dep]],"0"))) - 1)
   )
)</f>
        <v>0</v>
      </c>
      <c r="AL83" s="502" t="str" cm="1">
        <f t="array" ref="AL83">IF(Contract_Edits[[#This Row],[BaseFlag]]=1,
   TEXT(Contract_Edits[[#This Row],[Index]],"0"),
   NearestBaseL(TEXT(Contract_Edits[[#This Row],[ParentKey]],"0"),500,editsIdxTxt,editsParentKeyTxt,baseIdxTxt,baseCost)
)</f>
        <v>21</v>
      </c>
      <c r="AM83" s="502" cm="1">
        <f t="array" ref="AM83">1+SUMPRODUCT(
  (Contract_Edits[BaseFlag]=1)*
  (TEXT(Contract_Edits[ParentAnchor],"0")=TEXT(Contract_Edits[[#This Row],[ParentAnchor]],"0"))*
  (VALUE(TEXT(Contract_Edits[Index],"0"))&lt;VALUE(TEXT(Contract_Edits[[#This Row],[Index]],"0")))
)</f>
        <v>1</v>
      </c>
      <c r="AN83" s="50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437</v>
      </c>
      <c r="B84" t="s">
        <v>434</v>
      </c>
      <c r="C84" t="s">
        <v>466</v>
      </c>
      <c r="D84" s="435" t="s">
        <v>467</v>
      </c>
      <c r="E84">
        <v>1</v>
      </c>
      <c r="F84" s="444">
        <v>0</v>
      </c>
      <c r="G84" s="188">
        <v>0</v>
      </c>
      <c r="H84">
        <v>21</v>
      </c>
      <c r="I84">
        <v>0</v>
      </c>
      <c r="J84">
        <v>22</v>
      </c>
      <c r="K84" s="104"/>
      <c r="L84" s="440">
        <v>22</v>
      </c>
      <c r="M84" s="44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7"/>
      <c r="R84" s="50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4" s="179">
        <v>0</v>
      </c>
      <c r="T84" s="179">
        <v>0</v>
      </c>
      <c r="U84" s="11"/>
      <c r="V84"/>
      <c r="W84" s="22" t="s">
        <v>357</v>
      </c>
      <c r="X84" s="483" t="s">
        <v>357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2">
        <f>--(
  ISNUMBER(SEARCH("BASE PARENT", UPPER(CLEAN(TRIM(_xlfn.XLOOKUP(TEXT(Contract_Edits[[#This Row],[Index]],"0"), baseIdxTxt, baseCost, "")))))) +
  ISNUMBER(SEARCH("DEPENDENCY GROUP", UPPER(CLEAN(TRIM(_xlfn.XLOOKUP(TEXT(Contract_Edits[[#This Row],[Index]],"0"), baseIdxTxt, baseCost, ""))))))
)</f>
        <v>1</v>
      </c>
      <c r="AG84" s="502" cm="1">
        <f t="array" ref="AG84">IF(Contract_Edits[[#This Row],[BaseFlag]]=1,
   10*BaseDepthL(TEXT(Contract_Edits[[#This Row],[Index]],"0"),500,editsIdxTxt,editsParentKeyTxt,baseIdxTxt,baseCost)-5,
   ""
)</f>
        <v>215</v>
      </c>
      <c r="AH84" s="50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2" t="str">
        <f>IF(Contract_Edits[[#This Row],[Dep]]=0,"Root",
   IF(ISNUMBER(MATCH(Contract_Edits[[#This Row],[Dep]],Contract_Edits[Index],0)),"OK","Missing")
)</f>
        <v>OK</v>
      </c>
      <c r="AJ84" s="502" t="str">
        <f>IF(AND(Contract_Edits[[#This Row],[Dep]]&lt;&gt;0,
        ISNUMBER(MATCH(Contract_Edits[[#This Row],[Dep]], Contract_Edits[Index], 0)),
        INDEX(Contract_Edits[Dep], MATCH(Contract_Edits[[#This Row],[Dep]], Contract_Edits[Index], 0))=Contract_Edits[[#This Row],[Index]]),
   "2-cycle","")</f>
        <v/>
      </c>
      <c r="AK84" s="502" cm="1">
        <f t="array" ref="AK84">IF(Contract_Edits[[#This Row],[BaseFlag]]&lt;&gt;1,0,
   IF(TEXT(Contract_Edits[[#This Row],[Dep]],"0")=TEXT(Contract_Edits[[#This Row],[Index]],"0"),
      0,
      MAX(0, SUMPRODUCT(--(Contract_Edits[BaseFlag]=1),
                        --(TEXT(Contract_Edits[Dep],"0")=TEXT(Contract_Edits[[#This Row],[Dep]],"0"))) - 1)
   )
)</f>
        <v>0</v>
      </c>
      <c r="AL84" s="502" t="str" cm="1">
        <f t="array" ref="AL84">IF(Contract_Edits[[#This Row],[BaseFlag]]=1,
   TEXT(Contract_Edits[[#This Row],[Index]],"0"),
   NearestBaseL(TEXT(Contract_Edits[[#This Row],[ParentKey]],"0"),500,editsIdxTxt,editsParentKeyTxt,baseIdxTxt,baseCost)
)</f>
        <v>22</v>
      </c>
      <c r="AM84" s="502" cm="1">
        <f t="array" ref="AM84">1+SUMPRODUCT(
  (Contract_Edits[BaseFlag]=1)*
  (TEXT(Contract_Edits[ParentAnchor],"0")=TEXT(Contract_Edits[[#This Row],[ParentAnchor]],"0"))*
  (VALUE(TEXT(Contract_Edits[Index],"0"))&lt;VALUE(TEXT(Contract_Edits[[#This Row],[Index]],"0")))
)</f>
        <v>1</v>
      </c>
      <c r="AN84" s="50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437</v>
      </c>
      <c r="B85" t="s">
        <v>434</v>
      </c>
      <c r="C85" t="s">
        <v>468</v>
      </c>
      <c r="D85" s="435" t="s">
        <v>469</v>
      </c>
      <c r="E85">
        <v>1</v>
      </c>
      <c r="F85" s="444">
        <v>0</v>
      </c>
      <c r="G85" s="188">
        <v>0</v>
      </c>
      <c r="H85">
        <v>22</v>
      </c>
      <c r="I85">
        <v>0</v>
      </c>
      <c r="J85">
        <v>23</v>
      </c>
      <c r="K85" s="104"/>
      <c r="L85" s="440">
        <v>23</v>
      </c>
      <c r="M85" s="44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7"/>
      <c r="R85" s="50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5" s="179">
        <v>0</v>
      </c>
      <c r="T85" s="179">
        <v>0</v>
      </c>
      <c r="U85" s="11"/>
      <c r="V85"/>
      <c r="W85" s="22" t="s">
        <v>357</v>
      </c>
      <c r="X85" s="483" t="s">
        <v>357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2">
        <f>--(
  ISNUMBER(SEARCH("BASE PARENT", UPPER(CLEAN(TRIM(_xlfn.XLOOKUP(TEXT(Contract_Edits[[#This Row],[Index]],"0"), baseIdxTxt, baseCost, "")))))) +
  ISNUMBER(SEARCH("DEPENDENCY GROUP", UPPER(CLEAN(TRIM(_xlfn.XLOOKUP(TEXT(Contract_Edits[[#This Row],[Index]],"0"), baseIdxTxt, baseCost, ""))))))
)</f>
        <v>1</v>
      </c>
      <c r="AG85" s="502" cm="1">
        <f t="array" ref="AG85">IF(Contract_Edits[[#This Row],[BaseFlag]]=1,
   10*BaseDepthL(TEXT(Contract_Edits[[#This Row],[Index]],"0"),500,editsIdxTxt,editsParentKeyTxt,baseIdxTxt,baseCost)-5,
   ""
)</f>
        <v>225</v>
      </c>
      <c r="AH85" s="50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2" t="str">
        <f>IF(Contract_Edits[[#This Row],[Dep]]=0,"Root",
   IF(ISNUMBER(MATCH(Contract_Edits[[#This Row],[Dep]],Contract_Edits[Index],0)),"OK","Missing")
)</f>
        <v>OK</v>
      </c>
      <c r="AJ85" s="502" t="str">
        <f>IF(AND(Contract_Edits[[#This Row],[Dep]]&lt;&gt;0,
        ISNUMBER(MATCH(Contract_Edits[[#This Row],[Dep]], Contract_Edits[Index], 0)),
        INDEX(Contract_Edits[Dep], MATCH(Contract_Edits[[#This Row],[Dep]], Contract_Edits[Index], 0))=Contract_Edits[[#This Row],[Index]]),
   "2-cycle","")</f>
        <v/>
      </c>
      <c r="AK85" s="502" cm="1">
        <f t="array" ref="AK85">IF(Contract_Edits[[#This Row],[BaseFlag]]&lt;&gt;1,0,
   IF(TEXT(Contract_Edits[[#This Row],[Dep]],"0")=TEXT(Contract_Edits[[#This Row],[Index]],"0"),
      0,
      MAX(0, SUMPRODUCT(--(Contract_Edits[BaseFlag]=1),
                        --(TEXT(Contract_Edits[Dep],"0")=TEXT(Contract_Edits[[#This Row],[Dep]],"0"))) - 1)
   )
)</f>
        <v>0</v>
      </c>
      <c r="AL85" s="502" t="str" cm="1">
        <f t="array" ref="AL85">IF(Contract_Edits[[#This Row],[BaseFlag]]=1,
   TEXT(Contract_Edits[[#This Row],[Index]],"0"),
   NearestBaseL(TEXT(Contract_Edits[[#This Row],[ParentKey]],"0"),500,editsIdxTxt,editsParentKeyTxt,baseIdxTxt,baseCost)
)</f>
        <v>23</v>
      </c>
      <c r="AM85" s="502" cm="1">
        <f t="array" ref="AM85">1+SUMPRODUCT(
  (Contract_Edits[BaseFlag]=1)*
  (TEXT(Contract_Edits[ParentAnchor],"0")=TEXT(Contract_Edits[[#This Row],[ParentAnchor]],"0"))*
  (VALUE(TEXT(Contract_Edits[Index],"0"))&lt;VALUE(TEXT(Contract_Edits[[#This Row],[Index]],"0")))
)</f>
        <v>1</v>
      </c>
      <c r="AN85" s="50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550</v>
      </c>
      <c r="B86" t="s">
        <v>546</v>
      </c>
      <c r="C86" t="s">
        <v>468</v>
      </c>
      <c r="D86" s="435" t="s">
        <v>592</v>
      </c>
      <c r="E86">
        <v>1</v>
      </c>
      <c r="F86" s="444">
        <v>8333.2037</v>
      </c>
      <c r="G86" s="188">
        <v>8333.2037</v>
      </c>
      <c r="H86">
        <v>23</v>
      </c>
      <c r="I86">
        <v>8333.2037</v>
      </c>
      <c r="J86">
        <v>905</v>
      </c>
      <c r="K86" s="104"/>
      <c r="L86" s="440">
        <v>905</v>
      </c>
      <c r="M86" s="44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7"/>
      <c r="R86" s="50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6" s="179">
        <v>0</v>
      </c>
      <c r="T86" s="179">
        <v>0</v>
      </c>
      <c r="U86" s="11" t="s">
        <v>614</v>
      </c>
      <c r="V86"/>
      <c r="W86" s="22" t="s">
        <v>357</v>
      </c>
      <c r="X86" s="22" t="s">
        <v>357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2">
        <f>--(
  ISNUMBER(SEARCH("BASE PARENT", UPPER(CLEAN(TRIM(_xlfn.XLOOKUP(TEXT(Contract_Edits[[#This Row],[Index]],"0"), baseIdxTxt, baseCost, "")))))) +
  ISNUMBER(SEARCH("DEPENDENCY GROUP", UPPER(CLEAN(TRIM(_xlfn.XLOOKUP(TEXT(Contract_Edits[[#This Row],[Index]],"0"), baseIdxTxt, baseCost, ""))))))
)</f>
        <v>0</v>
      </c>
      <c r="AG86" s="502" t="str" cm="1">
        <f t="array" ref="AG86">IF(Contract_Edits[[#This Row],[BaseFlag]]=1,
   10*BaseDepthL(TEXT(Contract_Edits[[#This Row],[Index]],"0"),500,editsIdxTxt,editsParentKeyTxt,baseIdxTxt,baseCost)-5,
   ""
)</f>
        <v/>
      </c>
      <c r="AH86" s="50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2" t="str">
        <f>IF(Contract_Edits[[#This Row],[Dep]]=0,"Root",
   IF(ISNUMBER(MATCH(Contract_Edits[[#This Row],[Dep]],Contract_Edits[Index],0)),"OK","Missing")
)</f>
        <v>OK</v>
      </c>
      <c r="AJ86" s="502" t="str">
        <f>IF(AND(Contract_Edits[[#This Row],[Dep]]&lt;&gt;0,
        ISNUMBER(MATCH(Contract_Edits[[#This Row],[Dep]], Contract_Edits[Index], 0)),
        INDEX(Contract_Edits[Dep], MATCH(Contract_Edits[[#This Row],[Dep]], Contract_Edits[Index], 0))=Contract_Edits[[#This Row],[Index]]),
   "2-cycle","")</f>
        <v/>
      </c>
      <c r="AK86" s="502" cm="1">
        <f t="array" ref="AK86">IF(Contract_Edits[[#This Row],[BaseFlag]]&lt;&gt;1,0,
   IF(TEXT(Contract_Edits[[#This Row],[Dep]],"0")=TEXT(Contract_Edits[[#This Row],[Index]],"0"),
      0,
      MAX(0, SUMPRODUCT(--(Contract_Edits[BaseFlag]=1),
                        --(TEXT(Contract_Edits[Dep],"0")=TEXT(Contract_Edits[[#This Row],[Dep]],"0"))) - 1)
   )
)</f>
        <v>0</v>
      </c>
      <c r="AL86" s="502" t="str" cm="1">
        <f t="array" ref="AL86">IF(Contract_Edits[[#This Row],[BaseFlag]]=1,
   TEXT(Contract_Edits[[#This Row],[Index]],"0"),
   NearestBaseL(TEXT(Contract_Edits[[#This Row],[ParentKey]],"0"),500,editsIdxTxt,editsParentKeyTxt,baseIdxTxt,baseCost)
)</f>
        <v>23</v>
      </c>
      <c r="AM86" s="502" cm="1">
        <f t="array" ref="AM86">1+SUMPRODUCT(
  (Contract_Edits[BaseFlag]=1)*
  (TEXT(Contract_Edits[ParentAnchor],"0")=TEXT(Contract_Edits[[#This Row],[ParentAnchor]],"0"))*
  (VALUE(TEXT(Contract_Edits[Index],"0"))&lt;VALUE(TEXT(Contract_Edits[[#This Row],[Index]],"0")))
)</f>
        <v>2</v>
      </c>
      <c r="AN86" s="50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480</v>
      </c>
      <c r="B87" t="s">
        <v>491</v>
      </c>
      <c r="C87" t="s">
        <v>492</v>
      </c>
      <c r="D87" s="435" t="s">
        <v>493</v>
      </c>
      <c r="E87">
        <v>1</v>
      </c>
      <c r="F87" s="444"/>
      <c r="G87" s="188"/>
      <c r="H87">
        <v>0</v>
      </c>
      <c r="I87"/>
      <c r="J87">
        <v>48</v>
      </c>
      <c r="K87" s="104"/>
      <c r="L87" s="440">
        <v>48</v>
      </c>
      <c r="M87" s="44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7"/>
      <c r="R87" s="50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7" s="179">
        <v>0</v>
      </c>
      <c r="T87" s="179">
        <v>0</v>
      </c>
      <c r="U87" s="11" t="s">
        <v>614</v>
      </c>
      <c r="V87"/>
      <c r="W87" s="22" t="s">
        <v>357</v>
      </c>
      <c r="X87" s="22" t="s">
        <v>357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2">
        <f>--(
  ISNUMBER(SEARCH("BASE PARENT", UPPER(CLEAN(TRIM(_xlfn.XLOOKUP(TEXT(Contract_Edits[[#This Row],[Index]],"0"), baseIdxTxt, baseCost, "")))))) +
  ISNUMBER(SEARCH("DEPENDENCY GROUP", UPPER(CLEAN(TRIM(_xlfn.XLOOKUP(TEXT(Contract_Edits[[#This Row],[Index]],"0"), baseIdxTxt, baseCost, ""))))))
)</f>
        <v>0</v>
      </c>
      <c r="AG87" s="502" t="str" cm="1">
        <f t="array" ref="AG87">IF(Contract_Edits[[#This Row],[BaseFlag]]=1,
   10*BaseDepthL(TEXT(Contract_Edits[[#This Row],[Index]],"0"),500,editsIdxTxt,editsParentKeyTxt,baseIdxTxt,baseCost)-5,
   ""
)</f>
        <v/>
      </c>
      <c r="AH87" s="50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2" t="str">
        <f>IF(Contract_Edits[[#This Row],[Dep]]=0,"Root",
   IF(ISNUMBER(MATCH(Contract_Edits[[#This Row],[Dep]],Contract_Edits[Index],0)),"OK","Missing")
)</f>
        <v>OK</v>
      </c>
      <c r="AJ87" s="452" t="str">
        <f>IF(AND(Contract_Edits[[#This Row],[Dep]]&lt;&gt;0,
        ISNUMBER(MATCH(Contract_Edits[[#This Row],[Dep]], Contract_Edits[Index], 0)),
        INDEX(Contract_Edits[Dep], MATCH(Contract_Edits[[#This Row],[Dep]], Contract_Edits[Index], 0))=Contract_Edits[[#This Row],[Index]]),
   "2-cycle","")</f>
        <v/>
      </c>
      <c r="AK87" s="452" cm="1">
        <f t="array" ref="AK87">IF(Contract_Edits[[#This Row],[BaseFlag]]&lt;&gt;1,0,
   IF(TEXT(Contract_Edits[[#This Row],[Dep]],"0")=TEXT(Contract_Edits[[#This Row],[Index]],"0"),
      0,
      MAX(0, SUMPRODUCT(--(Contract_Edits[BaseFlag]=1),
                        --(TEXT(Contract_Edits[Dep],"0")=TEXT(Contract_Edits[[#This Row],[Dep]],"0"))) - 1)
   )
)</f>
        <v>0</v>
      </c>
      <c r="AL87" s="452" t="str" cm="1">
        <f t="array" ref="AL87">IF(Contract_Edits[[#This Row],[BaseFlag]]=1,
   TEXT(Contract_Edits[[#This Row],[Index]],"0"),
   NearestBaseL(TEXT(Contract_Edits[[#This Row],[ParentKey]],"0"),500,editsIdxTxt,editsParentKeyTxt,baseIdxTxt,baseCost)
)</f>
        <v>23</v>
      </c>
      <c r="AM87" s="452" cm="1">
        <f t="array" ref="AM87">1+SUMPRODUCT(
  (Contract_Edits[BaseFlag]=1)*
  (TEXT(Contract_Edits[ParentAnchor],"0")=TEXT(Contract_Edits[[#This Row],[ParentAnchor]],"0"))*
  (VALUE(TEXT(Contract_Edits[Index],"0"))&lt;VALUE(TEXT(Contract_Edits[[#This Row],[Index]],"0")))
)</f>
        <v>2</v>
      </c>
      <c r="AN87" s="45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437</v>
      </c>
      <c r="B88" t="s">
        <v>434</v>
      </c>
      <c r="C88" t="s">
        <v>458</v>
      </c>
      <c r="D88" s="435" t="s">
        <v>470</v>
      </c>
      <c r="E88">
        <v>1</v>
      </c>
      <c r="F88" s="444">
        <v>0</v>
      </c>
      <c r="G88" s="188">
        <v>0</v>
      </c>
      <c r="H88">
        <v>23</v>
      </c>
      <c r="I88">
        <v>0</v>
      </c>
      <c r="J88">
        <v>24</v>
      </c>
      <c r="K88" s="104"/>
      <c r="L88" s="440">
        <v>24</v>
      </c>
      <c r="M88" s="44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7"/>
      <c r="R88" s="50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8" s="179">
        <v>0</v>
      </c>
      <c r="T88" s="179">
        <v>0</v>
      </c>
      <c r="U88" s="11"/>
      <c r="V88"/>
      <c r="W88" s="22" t="s">
        <v>357</v>
      </c>
      <c r="X88" s="22" t="s">
        <v>357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2">
        <f>--(
  ISNUMBER(SEARCH("BASE PARENT", UPPER(CLEAN(TRIM(_xlfn.XLOOKUP(TEXT(Contract_Edits[[#This Row],[Index]],"0"), baseIdxTxt, baseCost, "")))))) +
  ISNUMBER(SEARCH("DEPENDENCY GROUP", UPPER(CLEAN(TRIM(_xlfn.XLOOKUP(TEXT(Contract_Edits[[#This Row],[Index]],"0"), baseIdxTxt, baseCost, ""))))))
)</f>
        <v>1</v>
      </c>
      <c r="AG88" s="502" cm="1">
        <f t="array" ref="AG88">IF(Contract_Edits[[#This Row],[BaseFlag]]=1,
   10*BaseDepthL(TEXT(Contract_Edits[[#This Row],[Index]],"0"),500,editsIdxTxt,editsParentKeyTxt,baseIdxTxt,baseCost)-5,
   ""
)</f>
        <v>235</v>
      </c>
      <c r="AH88" s="50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2" t="str">
        <f>IF(Contract_Edits[[#This Row],[Dep]]=0,"Root",
   IF(ISNUMBER(MATCH(Contract_Edits[[#This Row],[Dep]],Contract_Edits[Index],0)),"OK","Missing")
)</f>
        <v>OK</v>
      </c>
      <c r="AJ88" s="502" t="str">
        <f>IF(AND(Contract_Edits[[#This Row],[Dep]]&lt;&gt;0,
        ISNUMBER(MATCH(Contract_Edits[[#This Row],[Dep]], Contract_Edits[Index], 0)),
        INDEX(Contract_Edits[Dep], MATCH(Contract_Edits[[#This Row],[Dep]], Contract_Edits[Index], 0))=Contract_Edits[[#This Row],[Index]]),
   "2-cycle","")</f>
        <v/>
      </c>
      <c r="AK88" s="502" cm="1">
        <f t="array" ref="AK88">IF(Contract_Edits[[#This Row],[BaseFlag]]&lt;&gt;1,0,
   IF(TEXT(Contract_Edits[[#This Row],[Dep]],"0")=TEXT(Contract_Edits[[#This Row],[Index]],"0"),
      0,
      MAX(0, SUMPRODUCT(--(Contract_Edits[BaseFlag]=1),
                        --(TEXT(Contract_Edits[Dep],"0")=TEXT(Contract_Edits[[#This Row],[Dep]],"0"))) - 1)
   )
)</f>
        <v>0</v>
      </c>
      <c r="AL88" s="502" t="str" cm="1">
        <f t="array" ref="AL88">IF(Contract_Edits[[#This Row],[BaseFlag]]=1,
   TEXT(Contract_Edits[[#This Row],[Index]],"0"),
   NearestBaseL(TEXT(Contract_Edits[[#This Row],[ParentKey]],"0"),500,editsIdxTxt,editsParentKeyTxt,baseIdxTxt,baseCost)
)</f>
        <v>24</v>
      </c>
      <c r="AM88" s="502" cm="1">
        <f t="array" ref="AM88">1+SUMPRODUCT(
  (Contract_Edits[BaseFlag]=1)*
  (TEXT(Contract_Edits[ParentAnchor],"0")=TEXT(Contract_Edits[[#This Row],[ParentAnchor]],"0"))*
  (VALUE(TEXT(Contract_Edits[Index],"0"))&lt;VALUE(TEXT(Contract_Edits[[#This Row],[Index]],"0")))
)</f>
        <v>1</v>
      </c>
      <c r="AN88" s="50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437</v>
      </c>
      <c r="B89" t="s">
        <v>434</v>
      </c>
      <c r="C89" t="s">
        <v>471</v>
      </c>
      <c r="D89" s="435" t="s">
        <v>472</v>
      </c>
      <c r="E89">
        <v>1</v>
      </c>
      <c r="F89" s="444">
        <v>0</v>
      </c>
      <c r="G89" s="188">
        <v>0</v>
      </c>
      <c r="H89">
        <v>24</v>
      </c>
      <c r="I89">
        <v>0</v>
      </c>
      <c r="J89">
        <v>25</v>
      </c>
      <c r="K89" s="104"/>
      <c r="L89" s="440">
        <v>25</v>
      </c>
      <c r="M89" s="44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7"/>
      <c r="R89" s="50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89" s="179">
        <v>0</v>
      </c>
      <c r="T89" s="179">
        <v>0</v>
      </c>
      <c r="U89" s="11"/>
      <c r="V89"/>
      <c r="W89" s="22" t="s">
        <v>357</v>
      </c>
      <c r="X89" s="22" t="s">
        <v>357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2">
        <f>--(
  ISNUMBER(SEARCH("BASE PARENT", UPPER(CLEAN(TRIM(_xlfn.XLOOKUP(TEXT(Contract_Edits[[#This Row],[Index]],"0"), baseIdxTxt, baseCost, "")))))) +
  ISNUMBER(SEARCH("DEPENDENCY GROUP", UPPER(CLEAN(TRIM(_xlfn.XLOOKUP(TEXT(Contract_Edits[[#This Row],[Index]],"0"), baseIdxTxt, baseCost, ""))))))
)</f>
        <v>1</v>
      </c>
      <c r="AG89" s="502" cm="1">
        <f t="array" ref="AG89">IF(Contract_Edits[[#This Row],[BaseFlag]]=1,
   10*BaseDepthL(TEXT(Contract_Edits[[#This Row],[Index]],"0"),500,editsIdxTxt,editsParentKeyTxt,baseIdxTxt,baseCost)-5,
   ""
)</f>
        <v>245</v>
      </c>
      <c r="AH89" s="50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2" t="str">
        <f>IF(Contract_Edits[[#This Row],[Dep]]=0,"Root",
   IF(ISNUMBER(MATCH(Contract_Edits[[#This Row],[Dep]],Contract_Edits[Index],0)),"OK","Missing")
)</f>
        <v>OK</v>
      </c>
      <c r="AJ89" s="502" t="str">
        <f>IF(AND(Contract_Edits[[#This Row],[Dep]]&lt;&gt;0,
        ISNUMBER(MATCH(Contract_Edits[[#This Row],[Dep]], Contract_Edits[Index], 0)),
        INDEX(Contract_Edits[Dep], MATCH(Contract_Edits[[#This Row],[Dep]], Contract_Edits[Index], 0))=Contract_Edits[[#This Row],[Index]]),
   "2-cycle","")</f>
        <v/>
      </c>
      <c r="AK89" s="502" cm="1">
        <f t="array" ref="AK89">IF(Contract_Edits[[#This Row],[BaseFlag]]&lt;&gt;1,0,
   IF(TEXT(Contract_Edits[[#This Row],[Dep]],"0")=TEXT(Contract_Edits[[#This Row],[Index]],"0"),
      0,
      MAX(0, SUMPRODUCT(--(Contract_Edits[BaseFlag]=1),
                        --(TEXT(Contract_Edits[Dep],"0")=TEXT(Contract_Edits[[#This Row],[Dep]],"0"))) - 1)
   )
)</f>
        <v>0</v>
      </c>
      <c r="AL89" s="502" t="str" cm="1">
        <f t="array" ref="AL89">IF(Contract_Edits[[#This Row],[BaseFlag]]=1,
   TEXT(Contract_Edits[[#This Row],[Index]],"0"),
   NearestBaseL(TEXT(Contract_Edits[[#This Row],[ParentKey]],"0"),500,editsIdxTxt,editsParentKeyTxt,baseIdxTxt,baseCost)
)</f>
        <v>25</v>
      </c>
      <c r="AM89" s="502" cm="1">
        <f t="array" ref="AM89">1+SUMPRODUCT(
  (Contract_Edits[BaseFlag]=1)*
  (TEXT(Contract_Edits[ParentAnchor],"0")=TEXT(Contract_Edits[[#This Row],[ParentAnchor]],"0"))*
  (VALUE(TEXT(Contract_Edits[Index],"0"))&lt;VALUE(TEXT(Contract_Edits[[#This Row],[Index]],"0")))
)</f>
        <v>1</v>
      </c>
      <c r="AN89" s="50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437</v>
      </c>
      <c r="B90" t="s">
        <v>434</v>
      </c>
      <c r="C90" t="s">
        <v>473</v>
      </c>
      <c r="D90" s="435" t="s">
        <v>471</v>
      </c>
      <c r="E90">
        <v>1</v>
      </c>
      <c r="F90" s="444">
        <v>0</v>
      </c>
      <c r="G90" s="188">
        <v>0</v>
      </c>
      <c r="H90">
        <v>25</v>
      </c>
      <c r="I90">
        <v>0</v>
      </c>
      <c r="J90">
        <v>26</v>
      </c>
      <c r="K90" s="104"/>
      <c r="L90" s="440">
        <v>26</v>
      </c>
      <c r="M90" s="44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7"/>
      <c r="R90" s="50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0" s="179">
        <v>0</v>
      </c>
      <c r="T90" s="179">
        <v>0</v>
      </c>
      <c r="U90" s="11"/>
      <c r="V90"/>
      <c r="W90" s="22" t="s">
        <v>357</v>
      </c>
      <c r="X90" s="22" t="s">
        <v>357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2">
        <f>--(
  ISNUMBER(SEARCH("BASE PARENT", UPPER(CLEAN(TRIM(_xlfn.XLOOKUP(TEXT(Contract_Edits[[#This Row],[Index]],"0"), baseIdxTxt, baseCost, "")))))) +
  ISNUMBER(SEARCH("DEPENDENCY GROUP", UPPER(CLEAN(TRIM(_xlfn.XLOOKUP(TEXT(Contract_Edits[[#This Row],[Index]],"0"), baseIdxTxt, baseCost, ""))))))
)</f>
        <v>1</v>
      </c>
      <c r="AG90" s="502" cm="1">
        <f t="array" ref="AG90">IF(Contract_Edits[[#This Row],[BaseFlag]]=1,
   10*BaseDepthL(TEXT(Contract_Edits[[#This Row],[Index]],"0"),500,editsIdxTxt,editsParentKeyTxt,baseIdxTxt,baseCost)-5,
   ""
)</f>
        <v>255</v>
      </c>
      <c r="AH90" s="50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2" t="str">
        <f>IF(Contract_Edits[[#This Row],[Dep]]=0,"Root",
   IF(ISNUMBER(MATCH(Contract_Edits[[#This Row],[Dep]],Contract_Edits[Index],0)),"OK","Missing")
)</f>
        <v>OK</v>
      </c>
      <c r="AJ90" s="502" t="str">
        <f>IF(AND(Contract_Edits[[#This Row],[Dep]]&lt;&gt;0,
        ISNUMBER(MATCH(Contract_Edits[[#This Row],[Dep]], Contract_Edits[Index], 0)),
        INDEX(Contract_Edits[Dep], MATCH(Contract_Edits[[#This Row],[Dep]], Contract_Edits[Index], 0))=Contract_Edits[[#This Row],[Index]]),
   "2-cycle","")</f>
        <v/>
      </c>
      <c r="AK90" s="502" cm="1">
        <f t="array" ref="AK90">IF(Contract_Edits[[#This Row],[BaseFlag]]&lt;&gt;1,0,
   IF(TEXT(Contract_Edits[[#This Row],[Dep]],"0")=TEXT(Contract_Edits[[#This Row],[Index]],"0"),
      0,
      MAX(0, SUMPRODUCT(--(Contract_Edits[BaseFlag]=1),
                        --(TEXT(Contract_Edits[Dep],"0")=TEXT(Contract_Edits[[#This Row],[Dep]],"0"))) - 1)
   )
)</f>
        <v>0</v>
      </c>
      <c r="AL90" s="502" t="str" cm="1">
        <f t="array" ref="AL90">IF(Contract_Edits[[#This Row],[BaseFlag]]=1,
   TEXT(Contract_Edits[[#This Row],[Index]],"0"),
   NearestBaseL(TEXT(Contract_Edits[[#This Row],[ParentKey]],"0"),500,editsIdxTxt,editsParentKeyTxt,baseIdxTxt,baseCost)
)</f>
        <v>26</v>
      </c>
      <c r="AM90" s="502" cm="1">
        <f t="array" ref="AM90">1+SUMPRODUCT(
  (Contract_Edits[BaseFlag]=1)*
  (TEXT(Contract_Edits[ParentAnchor],"0")=TEXT(Contract_Edits[[#This Row],[ParentAnchor]],"0"))*
  (VALUE(TEXT(Contract_Edits[Index],"0"))&lt;VALUE(TEXT(Contract_Edits[[#This Row],[Index]],"0")))
)</f>
        <v>1</v>
      </c>
      <c r="AN90" s="50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437</v>
      </c>
      <c r="B91" t="s">
        <v>434</v>
      </c>
      <c r="C91" t="s">
        <v>476</v>
      </c>
      <c r="D91" s="435" t="s">
        <v>477</v>
      </c>
      <c r="E91">
        <v>1</v>
      </c>
      <c r="F91" s="444">
        <v>0</v>
      </c>
      <c r="G91" s="188">
        <v>0</v>
      </c>
      <c r="H91">
        <v>27</v>
      </c>
      <c r="I91">
        <v>0</v>
      </c>
      <c r="J91">
        <v>28</v>
      </c>
      <c r="K91" s="104"/>
      <c r="L91" s="440">
        <v>28</v>
      </c>
      <c r="M91" s="44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7"/>
      <c r="R91" s="50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1" s="179">
        <v>0</v>
      </c>
      <c r="T91" s="179">
        <v>0</v>
      </c>
      <c r="U91" s="11"/>
      <c r="V91"/>
      <c r="W91" s="22" t="s">
        <v>357</v>
      </c>
      <c r="X91" s="22" t="s">
        <v>357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2">
        <f>--(
  ISNUMBER(SEARCH("BASE PARENT", UPPER(CLEAN(TRIM(_xlfn.XLOOKUP(TEXT(Contract_Edits[[#This Row],[Index]],"0"), baseIdxTxt, baseCost, "")))))) +
  ISNUMBER(SEARCH("DEPENDENCY GROUP", UPPER(CLEAN(TRIM(_xlfn.XLOOKUP(TEXT(Contract_Edits[[#This Row],[Index]],"0"), baseIdxTxt, baseCost, ""))))))
)</f>
        <v>1</v>
      </c>
      <c r="AG91" s="502" cm="1">
        <f t="array" ref="AG91">IF(Contract_Edits[[#This Row],[BaseFlag]]=1,
   10*BaseDepthL(TEXT(Contract_Edits[[#This Row],[Index]],"0"),500,editsIdxTxt,editsParentKeyTxt,baseIdxTxt,baseCost)-5,
   ""
)</f>
        <v>275</v>
      </c>
      <c r="AH91" s="50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2" t="str">
        <f>IF(Contract_Edits[[#This Row],[Dep]]=0,"Root",
   IF(ISNUMBER(MATCH(Contract_Edits[[#This Row],[Dep]],Contract_Edits[Index],0)),"OK","Missing")
)</f>
        <v>OK</v>
      </c>
      <c r="AJ91" s="502" t="str">
        <f>IF(AND(Contract_Edits[[#This Row],[Dep]]&lt;&gt;0,
        ISNUMBER(MATCH(Contract_Edits[[#This Row],[Dep]], Contract_Edits[Index], 0)),
        INDEX(Contract_Edits[Dep], MATCH(Contract_Edits[[#This Row],[Dep]], Contract_Edits[Index], 0))=Contract_Edits[[#This Row],[Index]]),
   "2-cycle","")</f>
        <v/>
      </c>
      <c r="AK91" s="502" cm="1">
        <f t="array" ref="AK91">IF(Contract_Edits[[#This Row],[BaseFlag]]&lt;&gt;1,0,
   IF(TEXT(Contract_Edits[[#This Row],[Dep]],"0")=TEXT(Contract_Edits[[#This Row],[Index]],"0"),
      0,
      MAX(0, SUMPRODUCT(--(Contract_Edits[BaseFlag]=1),
                        --(TEXT(Contract_Edits[Dep],"0")=TEXT(Contract_Edits[[#This Row],[Dep]],"0"))) - 1)
   )
)</f>
        <v>0</v>
      </c>
      <c r="AL91" s="502" t="str" cm="1">
        <f t="array" ref="AL91">IF(Contract_Edits[[#This Row],[BaseFlag]]=1,
   TEXT(Contract_Edits[[#This Row],[Index]],"0"),
   NearestBaseL(TEXT(Contract_Edits[[#This Row],[ParentKey]],"0"),500,editsIdxTxt,editsParentKeyTxt,baseIdxTxt,baseCost)
)</f>
        <v>28</v>
      </c>
      <c r="AM91" s="502" cm="1">
        <f t="array" ref="AM91">1+SUMPRODUCT(
  (Contract_Edits[BaseFlag]=1)*
  (TEXT(Contract_Edits[ParentAnchor],"0")=TEXT(Contract_Edits[[#This Row],[ParentAnchor]],"0"))*
  (VALUE(TEXT(Contract_Edits[Index],"0"))&lt;VALUE(TEXT(Contract_Edits[[#This Row],[Index]],"0")))
)</f>
        <v>1</v>
      </c>
      <c r="AN91" s="50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550</v>
      </c>
      <c r="B92" t="s">
        <v>545</v>
      </c>
      <c r="C92" t="s">
        <v>476</v>
      </c>
      <c r="D92" s="435" t="s">
        <v>593</v>
      </c>
      <c r="E92">
        <v>1</v>
      </c>
      <c r="F92" s="444">
        <v>0</v>
      </c>
      <c r="G92" s="188">
        <v>0</v>
      </c>
      <c r="H92">
        <v>28</v>
      </c>
      <c r="I92">
        <v>0</v>
      </c>
      <c r="J92">
        <v>909</v>
      </c>
      <c r="K92" s="104"/>
      <c r="L92" s="440">
        <v>909</v>
      </c>
      <c r="M92" s="44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7"/>
      <c r="R92" s="50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2" s="179">
        <v>0</v>
      </c>
      <c r="T92" s="179">
        <v>0</v>
      </c>
      <c r="U92" s="11" t="s">
        <v>615</v>
      </c>
      <c r="V92"/>
      <c r="W92" s="22" t="s">
        <v>357</v>
      </c>
      <c r="X92" s="22" t="s">
        <v>357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2">
        <f>--(
  ISNUMBER(SEARCH("BASE PARENT", UPPER(CLEAN(TRIM(_xlfn.XLOOKUP(TEXT(Contract_Edits[[#This Row],[Index]],"0"), baseIdxTxt, baseCost, "")))))) +
  ISNUMBER(SEARCH("DEPENDENCY GROUP", UPPER(CLEAN(TRIM(_xlfn.XLOOKUP(TEXT(Contract_Edits[[#This Row],[Index]],"0"), baseIdxTxt, baseCost, ""))))))
)</f>
        <v>0</v>
      </c>
      <c r="AG92" s="502" t="str" cm="1">
        <f t="array" ref="AG92">IF(Contract_Edits[[#This Row],[BaseFlag]]=1,
   10*BaseDepthL(TEXT(Contract_Edits[[#This Row],[Index]],"0"),500,editsIdxTxt,editsParentKeyTxt,baseIdxTxt,baseCost)-5,
   ""
)</f>
        <v/>
      </c>
      <c r="AH92" s="50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2" t="str">
        <f>IF(Contract_Edits[[#This Row],[Dep]]=0,"Root",
   IF(ISNUMBER(MATCH(Contract_Edits[[#This Row],[Dep]],Contract_Edits[Index],0)),"OK","Missing")
)</f>
        <v>OK</v>
      </c>
      <c r="AJ92" s="502" t="str">
        <f>IF(AND(Contract_Edits[[#This Row],[Dep]]&lt;&gt;0,
        ISNUMBER(MATCH(Contract_Edits[[#This Row],[Dep]], Contract_Edits[Index], 0)),
        INDEX(Contract_Edits[Dep], MATCH(Contract_Edits[[#This Row],[Dep]], Contract_Edits[Index], 0))=Contract_Edits[[#This Row],[Index]]),
   "2-cycle","")</f>
        <v/>
      </c>
      <c r="AK92" s="502" cm="1">
        <f t="array" ref="AK92">IF(Contract_Edits[[#This Row],[BaseFlag]]&lt;&gt;1,0,
   IF(TEXT(Contract_Edits[[#This Row],[Dep]],"0")=TEXT(Contract_Edits[[#This Row],[Index]],"0"),
      0,
      MAX(0, SUMPRODUCT(--(Contract_Edits[BaseFlag]=1),
                        --(TEXT(Contract_Edits[Dep],"0")=TEXT(Contract_Edits[[#This Row],[Dep]],"0"))) - 1)
   )
)</f>
        <v>0</v>
      </c>
      <c r="AL92" s="502" t="str" cm="1">
        <f t="array" ref="AL92">IF(Contract_Edits[[#This Row],[BaseFlag]]=1,
   TEXT(Contract_Edits[[#This Row],[Index]],"0"),
   NearestBaseL(TEXT(Contract_Edits[[#This Row],[ParentKey]],"0"),500,editsIdxTxt,editsParentKeyTxt,baseIdxTxt,baseCost)
)</f>
        <v>28</v>
      </c>
      <c r="AM92" s="502" cm="1">
        <f t="array" ref="AM92">1+SUMPRODUCT(
  (Contract_Edits[BaseFlag]=1)*
  (TEXT(Contract_Edits[ParentAnchor],"0")=TEXT(Contract_Edits[[#This Row],[ParentAnchor]],"0"))*
  (VALUE(TEXT(Contract_Edits[Index],"0"))&lt;VALUE(TEXT(Contract_Edits[[#This Row],[Index]],"0")))
)</f>
        <v>1</v>
      </c>
      <c r="AN92" s="50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550</v>
      </c>
      <c r="B93" t="s">
        <v>546</v>
      </c>
      <c r="C93" t="s">
        <v>594</v>
      </c>
      <c r="D93" s="435" t="s">
        <v>595</v>
      </c>
      <c r="E93">
        <v>1</v>
      </c>
      <c r="F93" s="444">
        <v>270</v>
      </c>
      <c r="G93" s="188">
        <v>270</v>
      </c>
      <c r="H93">
        <v>28</v>
      </c>
      <c r="I93">
        <v>270</v>
      </c>
      <c r="J93">
        <v>910</v>
      </c>
      <c r="K93" s="104"/>
      <c r="L93" s="440">
        <v>910</v>
      </c>
      <c r="M93" s="44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79"/>
      <c r="R93" s="50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3" s="179">
        <v>0</v>
      </c>
      <c r="T93" s="468"/>
      <c r="U93" s="491" t="s">
        <v>615</v>
      </c>
      <c r="V93" s="193"/>
      <c r="W93" s="22" t="s">
        <v>357</v>
      </c>
      <c r="X93" s="22" t="s">
        <v>357</v>
      </c>
      <c r="Y93" s="48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2">
        <f>--(
  ISNUMBER(SEARCH("BASE PARENT", UPPER(CLEAN(TRIM(_xlfn.XLOOKUP(TEXT(Contract_Edits[[#This Row],[Index]],"0"), baseIdxTxt, baseCost, "")))))) +
  ISNUMBER(SEARCH("DEPENDENCY GROUP", UPPER(CLEAN(TRIM(_xlfn.XLOOKUP(TEXT(Contract_Edits[[#This Row],[Index]],"0"), baseIdxTxt, baseCost, ""))))))
)</f>
        <v>0</v>
      </c>
      <c r="AG93" s="502" t="str" cm="1">
        <f t="array" ref="AG93">IF(Contract_Edits[[#This Row],[BaseFlag]]=1,
   10*BaseDepthL(TEXT(Contract_Edits[[#This Row],[Index]],"0"),500,editsIdxTxt,editsParentKeyTxt,baseIdxTxt,baseCost)-5,
   ""
)</f>
        <v/>
      </c>
      <c r="AH93" s="50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2" t="str">
        <f>IF(Contract_Edits[[#This Row],[Dep]]=0,"Root",
   IF(ISNUMBER(MATCH(Contract_Edits[[#This Row],[Dep]],Contract_Edits[Index],0)),"OK","Missing")
)</f>
        <v>OK</v>
      </c>
      <c r="AJ93" s="502" t="str">
        <f>IF(AND(Contract_Edits[[#This Row],[Dep]]&lt;&gt;0,
        ISNUMBER(MATCH(Contract_Edits[[#This Row],[Dep]], Contract_Edits[Index], 0)),
        INDEX(Contract_Edits[Dep], MATCH(Contract_Edits[[#This Row],[Dep]], Contract_Edits[Index], 0))=Contract_Edits[[#This Row],[Index]]),
   "2-cycle","")</f>
        <v/>
      </c>
      <c r="AK93" s="502" cm="1">
        <f t="array" ref="AK93">IF(Contract_Edits[[#This Row],[BaseFlag]]&lt;&gt;1,0,
   IF(TEXT(Contract_Edits[[#This Row],[Dep]],"0")=TEXT(Contract_Edits[[#This Row],[Index]],"0"),
      0,
      MAX(0, SUMPRODUCT(--(Contract_Edits[BaseFlag]=1),
                        --(TEXT(Contract_Edits[Dep],"0")=TEXT(Contract_Edits[[#This Row],[Dep]],"0"))) - 1)
   )
)</f>
        <v>0</v>
      </c>
      <c r="AL93" s="502" t="str" cm="1">
        <f t="array" ref="AL93">IF(Contract_Edits[[#This Row],[BaseFlag]]=1,
   TEXT(Contract_Edits[[#This Row],[Index]],"0"),
   NearestBaseL(TEXT(Contract_Edits[[#This Row],[ParentKey]],"0"),500,editsIdxTxt,editsParentKeyTxt,baseIdxTxt,baseCost)
)</f>
        <v>28</v>
      </c>
      <c r="AM93" s="502" cm="1">
        <f t="array" ref="AM93">1+SUMPRODUCT(
  (Contract_Edits[BaseFlag]=1)*
  (TEXT(Contract_Edits[ParentAnchor],"0")=TEXT(Contract_Edits[[#This Row],[ParentAnchor]],"0"))*
  (VALUE(TEXT(Contract_Edits[Index],"0"))&lt;VALUE(TEXT(Contract_Edits[[#This Row],[Index]],"0")))
)</f>
        <v>1</v>
      </c>
      <c r="AN93" s="50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437</v>
      </c>
      <c r="B94" t="s">
        <v>434</v>
      </c>
      <c r="C94" t="s">
        <v>474</v>
      </c>
      <c r="D94" s="435" t="s">
        <v>475</v>
      </c>
      <c r="E94">
        <v>1</v>
      </c>
      <c r="F94" s="444">
        <v>0</v>
      </c>
      <c r="G94" s="188">
        <v>0</v>
      </c>
      <c r="H94">
        <v>26</v>
      </c>
      <c r="I94">
        <v>0</v>
      </c>
      <c r="J94">
        <v>27</v>
      </c>
      <c r="K94" s="104"/>
      <c r="L94" s="440">
        <v>27</v>
      </c>
      <c r="M94" s="44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7"/>
      <c r="R94" s="50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4" s="179">
        <v>0</v>
      </c>
      <c r="T94" s="179">
        <v>0</v>
      </c>
      <c r="U94" s="11"/>
      <c r="V94"/>
      <c r="W94" s="22" t="s">
        <v>357</v>
      </c>
      <c r="X94" s="22" t="s">
        <v>357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2">
        <f>--(
  ISNUMBER(SEARCH("BASE PARENT", UPPER(CLEAN(TRIM(_xlfn.XLOOKUP(TEXT(Contract_Edits[[#This Row],[Index]],"0"), baseIdxTxt, baseCost, "")))))) +
  ISNUMBER(SEARCH("DEPENDENCY GROUP", UPPER(CLEAN(TRIM(_xlfn.XLOOKUP(TEXT(Contract_Edits[[#This Row],[Index]],"0"), baseIdxTxt, baseCost, ""))))))
)</f>
        <v>1</v>
      </c>
      <c r="AG94" s="502" cm="1">
        <f t="array" ref="AG94">IF(Contract_Edits[[#This Row],[BaseFlag]]=1,
   10*BaseDepthL(TEXT(Contract_Edits[[#This Row],[Index]],"0"),500,editsIdxTxt,editsParentKeyTxt,baseIdxTxt,baseCost)-5,
   ""
)</f>
        <v>265</v>
      </c>
      <c r="AH94" s="50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2" t="str">
        <f>IF(Contract_Edits[[#This Row],[Dep]]=0,"Root",
   IF(ISNUMBER(MATCH(Contract_Edits[[#This Row],[Dep]],Contract_Edits[Index],0)),"OK","Missing")
)</f>
        <v>OK</v>
      </c>
      <c r="AJ94" s="502" t="str">
        <f>IF(AND(Contract_Edits[[#This Row],[Dep]]&lt;&gt;0,
        ISNUMBER(MATCH(Contract_Edits[[#This Row],[Dep]], Contract_Edits[Index], 0)),
        INDEX(Contract_Edits[Dep], MATCH(Contract_Edits[[#This Row],[Dep]], Contract_Edits[Index], 0))=Contract_Edits[[#This Row],[Index]]),
   "2-cycle","")</f>
        <v/>
      </c>
      <c r="AK94" s="502" cm="1">
        <f t="array" ref="AK94">IF(Contract_Edits[[#This Row],[BaseFlag]]&lt;&gt;1,0,
   IF(TEXT(Contract_Edits[[#This Row],[Dep]],"0")=TEXT(Contract_Edits[[#This Row],[Index]],"0"),
      0,
      MAX(0, SUMPRODUCT(--(Contract_Edits[BaseFlag]=1),
                        --(TEXT(Contract_Edits[Dep],"0")=TEXT(Contract_Edits[[#This Row],[Dep]],"0"))) - 1)
   )
)</f>
        <v>0</v>
      </c>
      <c r="AL94" s="502" t="str" cm="1">
        <f t="array" ref="AL94">IF(Contract_Edits[[#This Row],[BaseFlag]]=1,
   TEXT(Contract_Edits[[#This Row],[Index]],"0"),
   NearestBaseL(TEXT(Contract_Edits[[#This Row],[ParentKey]],"0"),500,editsIdxTxt,editsParentKeyTxt,baseIdxTxt,baseCost)
)</f>
        <v>27</v>
      </c>
      <c r="AM94" s="502" cm="1">
        <f t="array" ref="AM94">1+SUMPRODUCT(
  (Contract_Edits[BaseFlag]=1)*
  (TEXT(Contract_Edits[ParentAnchor],"0")=TEXT(Contract_Edits[[#This Row],[ParentAnchor]],"0"))*
  (VALUE(TEXT(Contract_Edits[Index],"0"))&lt;VALUE(TEXT(Contract_Edits[[#This Row],[Index]],"0")))
)</f>
        <v>1</v>
      </c>
      <c r="AN94" s="50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437</v>
      </c>
      <c r="B95" t="s">
        <v>434</v>
      </c>
      <c r="C95" t="s">
        <v>451</v>
      </c>
      <c r="D95" s="435" t="s">
        <v>441</v>
      </c>
      <c r="E95">
        <v>1</v>
      </c>
      <c r="F95" s="444">
        <v>0</v>
      </c>
      <c r="G95" s="188">
        <v>0</v>
      </c>
      <c r="H95">
        <v>8</v>
      </c>
      <c r="I95">
        <v>0</v>
      </c>
      <c r="J95">
        <v>9</v>
      </c>
      <c r="K95" s="104"/>
      <c r="L95" s="440">
        <v>9</v>
      </c>
      <c r="M95" s="44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7"/>
      <c r="R95" s="50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5" s="179">
        <v>0</v>
      </c>
      <c r="T95" s="468"/>
      <c r="U95" s="491"/>
      <c r="V95" s="193"/>
      <c r="W95" s="22" t="s">
        <v>357</v>
      </c>
      <c r="X95" s="483" t="s">
        <v>357</v>
      </c>
      <c r="Y95" s="483"/>
      <c r="Z95" s="48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2">
        <f>--(
  ISNUMBER(SEARCH("BASE PARENT", UPPER(CLEAN(TRIM(_xlfn.XLOOKUP(TEXT(Contract_Edits[[#This Row],[Index]],"0"), baseIdxTxt, baseCost, "")))))) +
  ISNUMBER(SEARCH("DEPENDENCY GROUP", UPPER(CLEAN(TRIM(_xlfn.XLOOKUP(TEXT(Contract_Edits[[#This Row],[Index]],"0"), baseIdxTxt, baseCost, ""))))))
)</f>
        <v>1</v>
      </c>
      <c r="AG95" s="502" cm="1">
        <f t="array" ref="AG95">IF(Contract_Edits[[#This Row],[BaseFlag]]=1,
   10*BaseDepthL(TEXT(Contract_Edits[[#This Row],[Index]],"0"),500,editsIdxTxt,editsParentKeyTxt,baseIdxTxt,baseCost)-5,
   ""
)</f>
        <v>85</v>
      </c>
      <c r="AH95" s="50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2" t="str">
        <f>IF(Contract_Edits[[#This Row],[Dep]]=0,"Root",
   IF(ISNUMBER(MATCH(Contract_Edits[[#This Row],[Dep]],Contract_Edits[Index],0)),"OK","Missing")
)</f>
        <v>OK</v>
      </c>
      <c r="AJ95" s="502" t="str">
        <f>IF(AND(Contract_Edits[[#This Row],[Dep]]&lt;&gt;0,
        ISNUMBER(MATCH(Contract_Edits[[#This Row],[Dep]], Contract_Edits[Index], 0)),
        INDEX(Contract_Edits[Dep], MATCH(Contract_Edits[[#This Row],[Dep]], Contract_Edits[Index], 0))=Contract_Edits[[#This Row],[Index]]),
   "2-cycle","")</f>
        <v/>
      </c>
      <c r="AK95" s="502" cm="1">
        <f t="array" ref="AK95">IF(Contract_Edits[[#This Row],[BaseFlag]]&lt;&gt;1,0,
   IF(TEXT(Contract_Edits[[#This Row],[Dep]],"0")=TEXT(Contract_Edits[[#This Row],[Index]],"0"),
      0,
      MAX(0, SUMPRODUCT(--(Contract_Edits[BaseFlag]=1),
                        --(TEXT(Contract_Edits[Dep],"0")=TEXT(Contract_Edits[[#This Row],[Dep]],"0"))) - 1)
   )
)</f>
        <v>0</v>
      </c>
      <c r="AL95" s="502" t="str" cm="1">
        <f t="array" ref="AL95">IF(Contract_Edits[[#This Row],[BaseFlag]]=1,
   TEXT(Contract_Edits[[#This Row],[Index]],"0"),
   NearestBaseL(TEXT(Contract_Edits[[#This Row],[ParentKey]],"0"),500,editsIdxTxt,editsParentKeyTxt,baseIdxTxt,baseCost)
)</f>
        <v>9</v>
      </c>
      <c r="AM95" s="502" cm="1">
        <f t="array" ref="AM95">1+SUMPRODUCT(
  (Contract_Edits[BaseFlag]=1)*
  (TEXT(Contract_Edits[ParentAnchor],"0")=TEXT(Contract_Edits[[#This Row],[ParentAnchor]],"0"))*
  (VALUE(TEXT(Contract_Edits[Index],"0"))&lt;VALUE(TEXT(Contract_Edits[[#This Row],[Index]],"0")))
)</f>
        <v>1</v>
      </c>
      <c r="AN95" s="50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0">
        <v>65</v>
      </c>
      <c r="M96" s="44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7"/>
      <c r="R96" s="50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6" s="179">
        <v>0</v>
      </c>
      <c r="T96" s="179">
        <v>0</v>
      </c>
      <c r="U96" s="11" t="s">
        <v>605</v>
      </c>
      <c r="V96"/>
      <c r="W96" s="22" t="s">
        <v>357</v>
      </c>
      <c r="X96" s="22" t="s">
        <v>603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2">
        <f>--(
  ISNUMBER(SEARCH("BASE PARENT", UPPER(CLEAN(TRIM(_xlfn.XLOOKUP(TEXT(Contract_Edits[[#This Row],[Index]],"0"), baseIdxTxt, baseCost, "")))))) +
  ISNUMBER(SEARCH("DEPENDENCY GROUP", UPPER(CLEAN(TRIM(_xlfn.XLOOKUP(TEXT(Contract_Edits[[#This Row],[Index]],"0"), baseIdxTxt, baseCost, ""))))))
)</f>
        <v>0</v>
      </c>
      <c r="AG96" s="502" t="str" cm="1">
        <f t="array" ref="AG96">IF(Contract_Edits[[#This Row],[BaseFlag]]=1,
   10*BaseDepthL(TEXT(Contract_Edits[[#This Row],[Index]],"0"),500,editsIdxTxt,editsParentKeyTxt,baseIdxTxt,baseCost)-5,
   ""
)</f>
        <v/>
      </c>
      <c r="AH96" s="50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2" t="str">
        <f>IF(Contract_Edits[[#This Row],[Dep]]=0,"Root",
   IF(ISNUMBER(MATCH(Contract_Edits[[#This Row],[Dep]],Contract_Edits[Index],0)),"OK","Missing")
)</f>
        <v>OK</v>
      </c>
      <c r="AJ96" s="502" t="str">
        <f>IF(AND(Contract_Edits[[#This Row],[Dep]]&lt;&gt;0,
        ISNUMBER(MATCH(Contract_Edits[[#This Row],[Dep]], Contract_Edits[Index], 0)),
        INDEX(Contract_Edits[Dep], MATCH(Contract_Edits[[#This Row],[Dep]], Contract_Edits[Index], 0))=Contract_Edits[[#This Row],[Index]]),
   "2-cycle","")</f>
        <v/>
      </c>
      <c r="AK96" s="502" cm="1">
        <f t="array" ref="AK96">IF(Contract_Edits[[#This Row],[BaseFlag]]&lt;&gt;1,0,
   IF(TEXT(Contract_Edits[[#This Row],[Dep]],"0")=TEXT(Contract_Edits[[#This Row],[Index]],"0"),
      0,
      MAX(0, SUMPRODUCT(--(Contract_Edits[BaseFlag]=1),
                        --(TEXT(Contract_Edits[Dep],"0")=TEXT(Contract_Edits[[#This Row],[Dep]],"0"))) - 1)
   )
)</f>
        <v>0</v>
      </c>
      <c r="AL96" s="502" t="str" cm="1">
        <f t="array" ref="AL96">IF(Contract_Edits[[#This Row],[BaseFlag]]=1,
   TEXT(Contract_Edits[[#This Row],[Index]],"0"),
   NearestBaseL(TEXT(Contract_Edits[[#This Row],[ParentKey]],"0"),500,editsIdxTxt,editsParentKeyTxt,baseIdxTxt,baseCost)
)</f>
        <v>2</v>
      </c>
      <c r="AM96" s="502" cm="1">
        <f t="array" ref="AM96">1+SUMPRODUCT(
  (Contract_Edits[BaseFlag]=1)*
  (TEXT(Contract_Edits[ParentAnchor],"0")=TEXT(Contract_Edits[[#This Row],[ParentAnchor]],"0"))*
  (VALUE(TEXT(Contract_Edits[Index],"0"))&lt;VALUE(TEXT(Contract_Edits[[#This Row],[Index]],"0")))
)</f>
        <v>2</v>
      </c>
      <c r="AN96" s="50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0">
        <v>58</v>
      </c>
      <c r="M97" s="44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7"/>
      <c r="R97" s="50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7" s="179">
        <v>0</v>
      </c>
      <c r="T97" s="179">
        <v>0</v>
      </c>
      <c r="U97" s="11" t="s">
        <v>605</v>
      </c>
      <c r="W97" s="22" t="s">
        <v>357</v>
      </c>
      <c r="X97" s="22" t="s">
        <v>603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2">
        <f>--(
  ISNUMBER(SEARCH("BASE PARENT", UPPER(CLEAN(TRIM(_xlfn.XLOOKUP(TEXT(Contract_Edits[[#This Row],[Index]],"0"), baseIdxTxt, baseCost, "")))))) +
  ISNUMBER(SEARCH("DEPENDENCY GROUP", UPPER(CLEAN(TRIM(_xlfn.XLOOKUP(TEXT(Contract_Edits[[#This Row],[Index]],"0"), baseIdxTxt, baseCost, ""))))))
)</f>
        <v>0</v>
      </c>
      <c r="AG97" s="502" t="str" cm="1">
        <f t="array" ref="AG97">IF(Contract_Edits[[#This Row],[BaseFlag]]=1,
   10*BaseDepthL(TEXT(Contract_Edits[[#This Row],[Index]],"0"),500,editsIdxTxt,editsParentKeyTxt,baseIdxTxt,baseCost)-5,
   ""
)</f>
        <v/>
      </c>
      <c r="AH97" s="50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2" t="str">
        <f>IF(Contract_Edits[[#This Row],[Dep]]=0,"Root",
   IF(ISNUMBER(MATCH(Contract_Edits[[#This Row],[Dep]],Contract_Edits[Index],0)),"OK","Missing")
)</f>
        <v>OK</v>
      </c>
      <c r="AJ97" s="502" t="str">
        <f>IF(AND(Contract_Edits[[#This Row],[Dep]]&lt;&gt;0,
        ISNUMBER(MATCH(Contract_Edits[[#This Row],[Dep]], Contract_Edits[Index], 0)),
        INDEX(Contract_Edits[Dep], MATCH(Contract_Edits[[#This Row],[Dep]], Contract_Edits[Index], 0))=Contract_Edits[[#This Row],[Index]]),
   "2-cycle","")</f>
        <v/>
      </c>
      <c r="AK97" s="502" cm="1">
        <f t="array" ref="AK97">IF(Contract_Edits[[#This Row],[BaseFlag]]&lt;&gt;1,0,
   IF(TEXT(Contract_Edits[[#This Row],[Dep]],"0")=TEXT(Contract_Edits[[#This Row],[Index]],"0"),
      0,
      MAX(0, SUMPRODUCT(--(Contract_Edits[BaseFlag]=1),
                        --(TEXT(Contract_Edits[Dep],"0")=TEXT(Contract_Edits[[#This Row],[Dep]],"0"))) - 1)
   )
)</f>
        <v>0</v>
      </c>
      <c r="AL97" s="502" t="str" cm="1">
        <f t="array" ref="AL97">IF(Contract_Edits[[#This Row],[BaseFlag]]=1,
   TEXT(Contract_Edits[[#This Row],[Index]],"0"),
   NearestBaseL(TEXT(Contract_Edits[[#This Row],[ParentKey]],"0"),500,editsIdxTxt,editsParentKeyTxt,baseIdxTxt,baseCost)
)</f>
        <v>2</v>
      </c>
      <c r="AM97" s="502" cm="1">
        <f t="array" ref="AM97">1+SUMPRODUCT(
  (Contract_Edits[BaseFlag]=1)*
  (TEXT(Contract_Edits[ParentAnchor],"0")=TEXT(Contract_Edits[[#This Row],[ParentAnchor]],"0"))*
  (VALUE(TEXT(Contract_Edits[Index],"0"))&lt;VALUE(TEXT(Contract_Edits[[#This Row],[Index]],"0")))
)</f>
        <v>2</v>
      </c>
      <c r="AN97" s="50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0">
        <v>69</v>
      </c>
      <c r="M98" s="44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7"/>
      <c r="R98" s="50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8" s="179">
        <v>0</v>
      </c>
      <c r="T98" s="179">
        <v>0</v>
      </c>
      <c r="U98" s="11" t="s">
        <v>605</v>
      </c>
      <c r="W98" s="22" t="s">
        <v>357</v>
      </c>
      <c r="X98" s="22" t="s">
        <v>603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2">
        <f>--(
  ISNUMBER(SEARCH("BASE PARENT", UPPER(CLEAN(TRIM(_xlfn.XLOOKUP(TEXT(Contract_Edits[[#This Row],[Index]],"0"), baseIdxTxt, baseCost, "")))))) +
  ISNUMBER(SEARCH("DEPENDENCY GROUP", UPPER(CLEAN(TRIM(_xlfn.XLOOKUP(TEXT(Contract_Edits[[#This Row],[Index]],"0"), baseIdxTxt, baseCost, ""))))))
)</f>
        <v>0</v>
      </c>
      <c r="AG98" s="502" t="str" cm="1">
        <f t="array" ref="AG98">IF(Contract_Edits[[#This Row],[BaseFlag]]=1,
   10*BaseDepthL(TEXT(Contract_Edits[[#This Row],[Index]],"0"),500,editsIdxTxt,editsParentKeyTxt,baseIdxTxt,baseCost)-5,
   ""
)</f>
        <v/>
      </c>
      <c r="AH98" s="50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2" t="str">
        <f>IF(Contract_Edits[[#This Row],[Dep]]=0,"Root",
   IF(ISNUMBER(MATCH(Contract_Edits[[#This Row],[Dep]],Contract_Edits[Index],0)),"OK","Missing")
)</f>
        <v>OK</v>
      </c>
      <c r="AJ98" s="502" t="str">
        <f>IF(AND(Contract_Edits[[#This Row],[Dep]]&lt;&gt;0,
        ISNUMBER(MATCH(Contract_Edits[[#This Row],[Dep]], Contract_Edits[Index], 0)),
        INDEX(Contract_Edits[Dep], MATCH(Contract_Edits[[#This Row],[Dep]], Contract_Edits[Index], 0))=Contract_Edits[[#This Row],[Index]]),
   "2-cycle","")</f>
        <v/>
      </c>
      <c r="AK98" s="502" cm="1">
        <f t="array" ref="AK98">IF(Contract_Edits[[#This Row],[BaseFlag]]&lt;&gt;1,0,
   IF(TEXT(Contract_Edits[[#This Row],[Dep]],"0")=TEXT(Contract_Edits[[#This Row],[Index]],"0"),
      0,
      MAX(0, SUMPRODUCT(--(Contract_Edits[BaseFlag]=1),
                        --(TEXT(Contract_Edits[Dep],"0")=TEXT(Contract_Edits[[#This Row],[Dep]],"0"))) - 1)
   )
)</f>
        <v>0</v>
      </c>
      <c r="AL98" s="502" t="str" cm="1">
        <f t="array" ref="AL98">IF(Contract_Edits[[#This Row],[BaseFlag]]=1,
   TEXT(Contract_Edits[[#This Row],[Index]],"0"),
   NearestBaseL(TEXT(Contract_Edits[[#This Row],[ParentKey]],"0"),500,editsIdxTxt,editsParentKeyTxt,baseIdxTxt,baseCost)
)</f>
        <v>2</v>
      </c>
      <c r="AM98" s="502" cm="1">
        <f t="array" ref="AM98">1+SUMPRODUCT(
  (Contract_Edits[BaseFlag]=1)*
  (TEXT(Contract_Edits[ParentAnchor],"0")=TEXT(Contract_Edits[[#This Row],[ParentAnchor]],"0"))*
  (VALUE(TEXT(Contract_Edits[Index],"0"))&lt;VALUE(TEXT(Contract_Edits[[#This Row],[Index]],"0")))
)</f>
        <v>2</v>
      </c>
      <c r="AN98" s="50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0">
        <v>43</v>
      </c>
      <c r="M99" s="44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7"/>
      <c r="R99" s="50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99" s="179">
        <v>0</v>
      </c>
      <c r="T99" s="179">
        <v>0</v>
      </c>
      <c r="U99" s="11" t="s">
        <v>605</v>
      </c>
      <c r="W99" s="22" t="s">
        <v>357</v>
      </c>
      <c r="X99" s="22" t="s">
        <v>603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2">
        <f>--(
  ISNUMBER(SEARCH("BASE PARENT", UPPER(CLEAN(TRIM(_xlfn.XLOOKUP(TEXT(Contract_Edits[[#This Row],[Index]],"0"), baseIdxTxt, baseCost, "")))))) +
  ISNUMBER(SEARCH("DEPENDENCY GROUP", UPPER(CLEAN(TRIM(_xlfn.XLOOKUP(TEXT(Contract_Edits[[#This Row],[Index]],"0"), baseIdxTxt, baseCost, ""))))))
)</f>
        <v>0</v>
      </c>
      <c r="AG99" s="502" t="str" cm="1">
        <f t="array" ref="AG99">IF(Contract_Edits[[#This Row],[BaseFlag]]=1,
   10*BaseDepthL(TEXT(Contract_Edits[[#This Row],[Index]],"0"),500,editsIdxTxt,editsParentKeyTxt,baseIdxTxt,baseCost)-5,
   ""
)</f>
        <v/>
      </c>
      <c r="AH99" s="50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2" t="str">
        <f>IF(Contract_Edits[[#This Row],[Dep]]=0,"Root",
   IF(ISNUMBER(MATCH(Contract_Edits[[#This Row],[Dep]],Contract_Edits[Index],0)),"OK","Missing")
)</f>
        <v>OK</v>
      </c>
      <c r="AJ99" s="502" t="str">
        <f>IF(AND(Contract_Edits[[#This Row],[Dep]]&lt;&gt;0,
        ISNUMBER(MATCH(Contract_Edits[[#This Row],[Dep]], Contract_Edits[Index], 0)),
        INDEX(Contract_Edits[Dep], MATCH(Contract_Edits[[#This Row],[Dep]], Contract_Edits[Index], 0))=Contract_Edits[[#This Row],[Index]]),
   "2-cycle","")</f>
        <v/>
      </c>
      <c r="AK99" s="502" cm="1">
        <f t="array" ref="AK99">IF(Contract_Edits[[#This Row],[BaseFlag]]&lt;&gt;1,0,
   IF(TEXT(Contract_Edits[[#This Row],[Dep]],"0")=TEXT(Contract_Edits[[#This Row],[Index]],"0"),
      0,
      MAX(0, SUMPRODUCT(--(Contract_Edits[BaseFlag]=1),
                        --(TEXT(Contract_Edits[Dep],"0")=TEXT(Contract_Edits[[#This Row],[Dep]],"0"))) - 1)
   )
)</f>
        <v>0</v>
      </c>
      <c r="AL99" s="502" t="str" cm="1">
        <f t="array" ref="AL99">IF(Contract_Edits[[#This Row],[BaseFlag]]=1,
   TEXT(Contract_Edits[[#This Row],[Index]],"0"),
   NearestBaseL(TEXT(Contract_Edits[[#This Row],[ParentKey]],"0"),500,editsIdxTxt,editsParentKeyTxt,baseIdxTxt,baseCost)
)</f>
        <v>2</v>
      </c>
      <c r="AM99" s="502" cm="1">
        <f t="array" ref="AM99">1+SUMPRODUCT(
  (Contract_Edits[BaseFlag]=1)*
  (TEXT(Contract_Edits[ParentAnchor],"0")=TEXT(Contract_Edits[[#This Row],[ParentAnchor]],"0"))*
  (VALUE(TEXT(Contract_Edits[Index],"0"))&lt;VALUE(TEXT(Contract_Edits[[#This Row],[Index]],"0")))
)</f>
        <v>2</v>
      </c>
      <c r="AN99" s="50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0">
        <v>29</v>
      </c>
      <c r="M100" s="44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7"/>
      <c r="R100" s="50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0" s="179">
        <v>0</v>
      </c>
      <c r="T100" s="179">
        <v>0</v>
      </c>
      <c r="U100" s="11" t="s">
        <v>605</v>
      </c>
      <c r="W100" s="22" t="s">
        <v>357</v>
      </c>
      <c r="X100" s="22" t="s">
        <v>603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2">
        <f>--(
  ISNUMBER(SEARCH("BASE PARENT", UPPER(CLEAN(TRIM(_xlfn.XLOOKUP(TEXT(Contract_Edits[[#This Row],[Index]],"0"), baseIdxTxt, baseCost, "")))))) +
  ISNUMBER(SEARCH("DEPENDENCY GROUP", UPPER(CLEAN(TRIM(_xlfn.XLOOKUP(TEXT(Contract_Edits[[#This Row],[Index]],"0"), baseIdxTxt, baseCost, ""))))))
)</f>
        <v>0</v>
      </c>
      <c r="AG100" s="502" t="str" cm="1">
        <f t="array" ref="AG100">IF(Contract_Edits[[#This Row],[BaseFlag]]=1,
   10*BaseDepthL(TEXT(Contract_Edits[[#This Row],[Index]],"0"),500,editsIdxTxt,editsParentKeyTxt,baseIdxTxt,baseCost)-5,
   ""
)</f>
        <v/>
      </c>
      <c r="AH100" s="50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2" t="str">
        <f>IF(Contract_Edits[[#This Row],[Dep]]=0,"Root",
   IF(ISNUMBER(MATCH(Contract_Edits[[#This Row],[Dep]],Contract_Edits[Index],0)),"OK","Missing")
)</f>
        <v>OK</v>
      </c>
      <c r="AJ100" s="502" t="str">
        <f>IF(AND(Contract_Edits[[#This Row],[Dep]]&lt;&gt;0,
        ISNUMBER(MATCH(Contract_Edits[[#This Row],[Dep]], Contract_Edits[Index], 0)),
        INDEX(Contract_Edits[Dep], MATCH(Contract_Edits[[#This Row],[Dep]], Contract_Edits[Index], 0))=Contract_Edits[[#This Row],[Index]]),
   "2-cycle","")</f>
        <v/>
      </c>
      <c r="AK100" s="502" cm="1">
        <f t="array" ref="AK100">IF(Contract_Edits[[#This Row],[BaseFlag]]&lt;&gt;1,0,
   IF(TEXT(Contract_Edits[[#This Row],[Dep]],"0")=TEXT(Contract_Edits[[#This Row],[Index]],"0"),
      0,
      MAX(0, SUMPRODUCT(--(Contract_Edits[BaseFlag]=1),
                        --(TEXT(Contract_Edits[Dep],"0")=TEXT(Contract_Edits[[#This Row],[Dep]],"0"))) - 1)
   )
)</f>
        <v>0</v>
      </c>
      <c r="AL100" s="502" t="str" cm="1">
        <f t="array" ref="AL100">IF(Contract_Edits[[#This Row],[BaseFlag]]=1,
   TEXT(Contract_Edits[[#This Row],[Index]],"0"),
   NearestBaseL(TEXT(Contract_Edits[[#This Row],[ParentKey]],"0"),500,editsIdxTxt,editsParentKeyTxt,baseIdxTxt,baseCost)
)</f>
        <v>2</v>
      </c>
      <c r="AM100" s="502" cm="1">
        <f t="array" ref="AM100">1+SUMPRODUCT(
  (Contract_Edits[BaseFlag]=1)*
  (TEXT(Contract_Edits[ParentAnchor],"0")=TEXT(Contract_Edits[[#This Row],[ParentAnchor]],"0"))*
  (VALUE(TEXT(Contract_Edits[Index],"0"))&lt;VALUE(TEXT(Contract_Edits[[#This Row],[Index]],"0")))
)</f>
        <v>2</v>
      </c>
      <c r="AN100" s="50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0">
        <v>46</v>
      </c>
      <c r="M101" s="44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7"/>
      <c r="R101" s="50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1" s="179">
        <v>0</v>
      </c>
      <c r="T101" s="179">
        <v>0</v>
      </c>
      <c r="U101" s="11" t="s">
        <v>605</v>
      </c>
      <c r="W101" s="22" t="s">
        <v>357</v>
      </c>
      <c r="X101" s="22" t="s">
        <v>603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2">
        <f>--(
  ISNUMBER(SEARCH("BASE PARENT", UPPER(CLEAN(TRIM(_xlfn.XLOOKUP(TEXT(Contract_Edits[[#This Row],[Index]],"0"), baseIdxTxt, baseCost, "")))))) +
  ISNUMBER(SEARCH("DEPENDENCY GROUP", UPPER(CLEAN(TRIM(_xlfn.XLOOKUP(TEXT(Contract_Edits[[#This Row],[Index]],"0"), baseIdxTxt, baseCost, ""))))))
)</f>
        <v>0</v>
      </c>
      <c r="AG101" s="502" t="str" cm="1">
        <f t="array" ref="AG101">IF(Contract_Edits[[#This Row],[BaseFlag]]=1,
   10*BaseDepthL(TEXT(Contract_Edits[[#This Row],[Index]],"0"),500,editsIdxTxt,editsParentKeyTxt,baseIdxTxt,baseCost)-5,
   ""
)</f>
        <v/>
      </c>
      <c r="AH101" s="50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2" t="str">
        <f>IF(Contract_Edits[[#This Row],[Dep]]=0,"Root",
   IF(ISNUMBER(MATCH(Contract_Edits[[#This Row],[Dep]],Contract_Edits[Index],0)),"OK","Missing")
)</f>
        <v>OK</v>
      </c>
      <c r="AJ101" s="502" t="str">
        <f>IF(AND(Contract_Edits[[#This Row],[Dep]]&lt;&gt;0,
        ISNUMBER(MATCH(Contract_Edits[[#This Row],[Dep]], Contract_Edits[Index], 0)),
        INDEX(Contract_Edits[Dep], MATCH(Contract_Edits[[#This Row],[Dep]], Contract_Edits[Index], 0))=Contract_Edits[[#This Row],[Index]]),
   "2-cycle","")</f>
        <v/>
      </c>
      <c r="AK101" s="502" cm="1">
        <f t="array" ref="AK101">IF(Contract_Edits[[#This Row],[BaseFlag]]&lt;&gt;1,0,
   IF(TEXT(Contract_Edits[[#This Row],[Dep]],"0")=TEXT(Contract_Edits[[#This Row],[Index]],"0"),
      0,
      MAX(0, SUMPRODUCT(--(Contract_Edits[BaseFlag]=1),
                        --(TEXT(Contract_Edits[Dep],"0")=TEXT(Contract_Edits[[#This Row],[Dep]],"0"))) - 1)
   )
)</f>
        <v>0</v>
      </c>
      <c r="AL101" s="502" t="str" cm="1">
        <f t="array" ref="AL101">IF(Contract_Edits[[#This Row],[BaseFlag]]=1,
   TEXT(Contract_Edits[[#This Row],[Index]],"0"),
   NearestBaseL(TEXT(Contract_Edits[[#This Row],[ParentKey]],"0"),500,editsIdxTxt,editsParentKeyTxt,baseIdxTxt,baseCost)
)</f>
        <v>2</v>
      </c>
      <c r="AM101" s="502" cm="1">
        <f t="array" ref="AM101">1+SUMPRODUCT(
  (Contract_Edits[BaseFlag]=1)*
  (TEXT(Contract_Edits[ParentAnchor],"0")=TEXT(Contract_Edits[[#This Row],[ParentAnchor]],"0"))*
  (VALUE(TEXT(Contract_Edits[Index],"0"))&lt;VALUE(TEXT(Contract_Edits[[#This Row],[Index]],"0")))
)</f>
        <v>2</v>
      </c>
      <c r="AN101" s="50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0">
        <v>42</v>
      </c>
      <c r="M102" s="44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7"/>
      <c r="R102" s="50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2" s="179">
        <v>0</v>
      </c>
      <c r="T102" s="179">
        <v>0</v>
      </c>
      <c r="U102" s="11" t="s">
        <v>605</v>
      </c>
      <c r="W102" s="22" t="s">
        <v>357</v>
      </c>
      <c r="X102" s="22" t="s">
        <v>603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2">
        <f>--(
  ISNUMBER(SEARCH("BASE PARENT", UPPER(CLEAN(TRIM(_xlfn.XLOOKUP(TEXT(Contract_Edits[[#This Row],[Index]],"0"), baseIdxTxt, baseCost, "")))))) +
  ISNUMBER(SEARCH("DEPENDENCY GROUP", UPPER(CLEAN(TRIM(_xlfn.XLOOKUP(TEXT(Contract_Edits[[#This Row],[Index]],"0"), baseIdxTxt, baseCost, ""))))))
)</f>
        <v>0</v>
      </c>
      <c r="AG102" s="502" t="str" cm="1">
        <f t="array" ref="AG102">IF(Contract_Edits[[#This Row],[BaseFlag]]=1,
   10*BaseDepthL(TEXT(Contract_Edits[[#This Row],[Index]],"0"),500,editsIdxTxt,editsParentKeyTxt,baseIdxTxt,baseCost)-5,
   ""
)</f>
        <v/>
      </c>
      <c r="AH102" s="50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2" t="str">
        <f>IF(Contract_Edits[[#This Row],[Dep]]=0,"Root",
   IF(ISNUMBER(MATCH(Contract_Edits[[#This Row],[Dep]],Contract_Edits[Index],0)),"OK","Missing")
)</f>
        <v>OK</v>
      </c>
      <c r="AJ102" s="502" t="str">
        <f>IF(AND(Contract_Edits[[#This Row],[Dep]]&lt;&gt;0,
        ISNUMBER(MATCH(Contract_Edits[[#This Row],[Dep]], Contract_Edits[Index], 0)),
        INDEX(Contract_Edits[Dep], MATCH(Contract_Edits[[#This Row],[Dep]], Contract_Edits[Index], 0))=Contract_Edits[[#This Row],[Index]]),
   "2-cycle","")</f>
        <v/>
      </c>
      <c r="AK102" s="502" cm="1">
        <f t="array" ref="AK102">IF(Contract_Edits[[#This Row],[BaseFlag]]&lt;&gt;1,0,
   IF(TEXT(Contract_Edits[[#This Row],[Dep]],"0")=TEXT(Contract_Edits[[#This Row],[Index]],"0"),
      0,
      MAX(0, SUMPRODUCT(--(Contract_Edits[BaseFlag]=1),
                        --(TEXT(Contract_Edits[Dep],"0")=TEXT(Contract_Edits[[#This Row],[Dep]],"0"))) - 1)
   )
)</f>
        <v>0</v>
      </c>
      <c r="AL102" s="502" t="str" cm="1">
        <f t="array" ref="AL102">IF(Contract_Edits[[#This Row],[BaseFlag]]=1,
   TEXT(Contract_Edits[[#This Row],[Index]],"0"),
   NearestBaseL(TEXT(Contract_Edits[[#This Row],[ParentKey]],"0"),500,editsIdxTxt,editsParentKeyTxt,baseIdxTxt,baseCost)
)</f>
        <v>2</v>
      </c>
      <c r="AM102" s="502" cm="1">
        <f t="array" ref="AM102">1+SUMPRODUCT(
  (Contract_Edits[BaseFlag]=1)*
  (TEXT(Contract_Edits[ParentAnchor],"0")=TEXT(Contract_Edits[[#This Row],[ParentAnchor]],"0"))*
  (VALUE(TEXT(Contract_Edits[Index],"0"))&lt;VALUE(TEXT(Contract_Edits[[#This Row],[Index]],"0")))
)</f>
        <v>2</v>
      </c>
      <c r="AN102" s="50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0">
        <v>66</v>
      </c>
      <c r="M103" s="44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7"/>
      <c r="R103" s="50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3" s="179">
        <v>0</v>
      </c>
      <c r="T103" s="179">
        <v>0</v>
      </c>
      <c r="U103" s="11" t="s">
        <v>616</v>
      </c>
      <c r="W103" s="22" t="s">
        <v>357</v>
      </c>
      <c r="X103" s="22" t="s">
        <v>603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2">
        <f>--(
  ISNUMBER(SEARCH("BASE PARENT", UPPER(CLEAN(TRIM(_xlfn.XLOOKUP(TEXT(Contract_Edits[[#This Row],[Index]],"0"), baseIdxTxt, baseCost, "")))))) +
  ISNUMBER(SEARCH("DEPENDENCY GROUP", UPPER(CLEAN(TRIM(_xlfn.XLOOKUP(TEXT(Contract_Edits[[#This Row],[Index]],"0"), baseIdxTxt, baseCost, ""))))))
)</f>
        <v>0</v>
      </c>
      <c r="AG103" s="502" t="str" cm="1">
        <f t="array" ref="AG103">IF(Contract_Edits[[#This Row],[BaseFlag]]=1,
   10*BaseDepthL(TEXT(Contract_Edits[[#This Row],[Index]],"0"),500,editsIdxTxt,editsParentKeyTxt,baseIdxTxt,baseCost)-5,
   ""
)</f>
        <v/>
      </c>
      <c r="AH103" s="50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2" t="str">
        <f>IF(Contract_Edits[[#This Row],[Dep]]=0,"Root",
   IF(ISNUMBER(MATCH(Contract_Edits[[#This Row],[Dep]],Contract_Edits[Index],0)),"OK","Missing")
)</f>
        <v>OK</v>
      </c>
      <c r="AJ103" s="502" t="str">
        <f>IF(AND(Contract_Edits[[#This Row],[Dep]]&lt;&gt;0,
        ISNUMBER(MATCH(Contract_Edits[[#This Row],[Dep]], Contract_Edits[Index], 0)),
        INDEX(Contract_Edits[Dep], MATCH(Contract_Edits[[#This Row],[Dep]], Contract_Edits[Index], 0))=Contract_Edits[[#This Row],[Index]]),
   "2-cycle","")</f>
        <v/>
      </c>
      <c r="AK103" s="502" cm="1">
        <f t="array" ref="AK103">IF(Contract_Edits[[#This Row],[BaseFlag]]&lt;&gt;1,0,
   IF(TEXT(Contract_Edits[[#This Row],[Dep]],"0")=TEXT(Contract_Edits[[#This Row],[Index]],"0"),
      0,
      MAX(0, SUMPRODUCT(--(Contract_Edits[BaseFlag]=1),
                        --(TEXT(Contract_Edits[Dep],"0")=TEXT(Contract_Edits[[#This Row],[Dep]],"0"))) - 1)
   )
)</f>
        <v>0</v>
      </c>
      <c r="AL103" s="502" t="str" cm="1">
        <f t="array" ref="AL103">IF(Contract_Edits[[#This Row],[BaseFlag]]=1,
   TEXT(Contract_Edits[[#This Row],[Index]],"0"),
   NearestBaseL(TEXT(Contract_Edits[[#This Row],[ParentKey]],"0"),500,editsIdxTxt,editsParentKeyTxt,baseIdxTxt,baseCost)
)</f>
        <v>11</v>
      </c>
      <c r="AM103" s="502" cm="1">
        <f t="array" ref="AM103">1+SUMPRODUCT(
  (Contract_Edits[BaseFlag]=1)*
  (TEXT(Contract_Edits[ParentAnchor],"0")=TEXT(Contract_Edits[[#This Row],[ParentAnchor]],"0"))*
  (VALUE(TEXT(Contract_Edits[Index],"0"))&lt;VALUE(TEXT(Contract_Edits[[#This Row],[Index]],"0")))
)</f>
        <v>2</v>
      </c>
      <c r="AN103" s="50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0">
        <v>30</v>
      </c>
      <c r="M104" s="44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7"/>
      <c r="R104" s="50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4" s="179">
        <v>0</v>
      </c>
      <c r="T104" s="179">
        <v>0</v>
      </c>
      <c r="U104" s="11" t="s">
        <v>607</v>
      </c>
      <c r="W104" s="22" t="s">
        <v>357</v>
      </c>
      <c r="X104" s="22" t="s">
        <v>603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2">
        <f>--(
  ISNUMBER(SEARCH("BASE PARENT", UPPER(CLEAN(TRIM(_xlfn.XLOOKUP(TEXT(Contract_Edits[[#This Row],[Index]],"0"), baseIdxTxt, baseCost, "")))))) +
  ISNUMBER(SEARCH("DEPENDENCY GROUP", UPPER(CLEAN(TRIM(_xlfn.XLOOKUP(TEXT(Contract_Edits[[#This Row],[Index]],"0"), baseIdxTxt, baseCost, ""))))))
)</f>
        <v>0</v>
      </c>
      <c r="AG104" s="502" t="str" cm="1">
        <f t="array" ref="AG104">IF(Contract_Edits[[#This Row],[BaseFlag]]=1,
   10*BaseDepthL(TEXT(Contract_Edits[[#This Row],[Index]],"0"),500,editsIdxTxt,editsParentKeyTxt,baseIdxTxt,baseCost)-5,
   ""
)</f>
        <v/>
      </c>
      <c r="AH104" s="50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2" t="str">
        <f>IF(Contract_Edits[[#This Row],[Dep]]=0,"Root",
   IF(ISNUMBER(MATCH(Contract_Edits[[#This Row],[Dep]],Contract_Edits[Index],0)),"OK","Missing")
)</f>
        <v>OK</v>
      </c>
      <c r="AJ104" s="502" t="str">
        <f>IF(AND(Contract_Edits[[#This Row],[Dep]]&lt;&gt;0,
        ISNUMBER(MATCH(Contract_Edits[[#This Row],[Dep]], Contract_Edits[Index], 0)),
        INDEX(Contract_Edits[Dep], MATCH(Contract_Edits[[#This Row],[Dep]], Contract_Edits[Index], 0))=Contract_Edits[[#This Row],[Index]]),
   "2-cycle","")</f>
        <v/>
      </c>
      <c r="AK104" s="502" cm="1">
        <f t="array" ref="AK104">IF(Contract_Edits[[#This Row],[BaseFlag]]&lt;&gt;1,0,
   IF(TEXT(Contract_Edits[[#This Row],[Dep]],"0")=TEXT(Contract_Edits[[#This Row],[Index]],"0"),
      0,
      MAX(0, SUMPRODUCT(--(Contract_Edits[BaseFlag]=1),
                        --(TEXT(Contract_Edits[Dep],"0")=TEXT(Contract_Edits[[#This Row],[Dep]],"0"))) - 1)
   )
)</f>
        <v>0</v>
      </c>
      <c r="AL104" s="502" t="str" cm="1">
        <f t="array" ref="AL104">IF(Contract_Edits[[#This Row],[BaseFlag]]=1,
   TEXT(Contract_Edits[[#This Row],[Index]],"0"),
   NearestBaseL(TEXT(Contract_Edits[[#This Row],[ParentKey]],"0"),500,editsIdxTxt,editsParentKeyTxt,baseIdxTxt,baseCost)
)</f>
        <v>14</v>
      </c>
      <c r="AM104" s="502" cm="1">
        <f t="array" ref="AM104">1+SUMPRODUCT(
  (Contract_Edits[BaseFlag]=1)*
  (TEXT(Contract_Edits[ParentAnchor],"0")=TEXT(Contract_Edits[[#This Row],[ParentAnchor]],"0"))*
  (VALUE(TEXT(Contract_Edits[Index],"0"))&lt;VALUE(TEXT(Contract_Edits[[#This Row],[Index]],"0")))
)</f>
        <v>2</v>
      </c>
      <c r="AN104" s="50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0">
        <v>68</v>
      </c>
      <c r="M105" s="44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7"/>
      <c r="R105" s="50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5" s="179">
        <v>0</v>
      </c>
      <c r="T105" s="179">
        <v>0</v>
      </c>
      <c r="U105" s="11" t="s">
        <v>608</v>
      </c>
      <c r="W105" s="22" t="s">
        <v>357</v>
      </c>
      <c r="X105" s="22" t="s">
        <v>603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2">
        <f>--(
  ISNUMBER(SEARCH("BASE PARENT", UPPER(CLEAN(TRIM(_xlfn.XLOOKUP(TEXT(Contract_Edits[[#This Row],[Index]],"0"), baseIdxTxt, baseCost, "")))))) +
  ISNUMBER(SEARCH("DEPENDENCY GROUP", UPPER(CLEAN(TRIM(_xlfn.XLOOKUP(TEXT(Contract_Edits[[#This Row],[Index]],"0"), baseIdxTxt, baseCost, ""))))))
)</f>
        <v>0</v>
      </c>
      <c r="AG105" s="502" t="str" cm="1">
        <f t="array" ref="AG105">IF(Contract_Edits[[#This Row],[BaseFlag]]=1,
   10*BaseDepthL(TEXT(Contract_Edits[[#This Row],[Index]],"0"),500,editsIdxTxt,editsParentKeyTxt,baseIdxTxt,baseCost)-5,
   ""
)</f>
        <v/>
      </c>
      <c r="AH105" s="50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2" t="str">
        <f>IF(Contract_Edits[[#This Row],[Dep]]=0,"Root",
   IF(ISNUMBER(MATCH(Contract_Edits[[#This Row],[Dep]],Contract_Edits[Index],0)),"OK","Missing")
)</f>
        <v>OK</v>
      </c>
      <c r="AJ105" s="502" t="str">
        <f>IF(AND(Contract_Edits[[#This Row],[Dep]]&lt;&gt;0,
        ISNUMBER(MATCH(Contract_Edits[[#This Row],[Dep]], Contract_Edits[Index], 0)),
        INDEX(Contract_Edits[Dep], MATCH(Contract_Edits[[#This Row],[Dep]], Contract_Edits[Index], 0))=Contract_Edits[[#This Row],[Index]]),
   "2-cycle","")</f>
        <v/>
      </c>
      <c r="AK105" s="502" cm="1">
        <f t="array" ref="AK105">IF(Contract_Edits[[#This Row],[BaseFlag]]&lt;&gt;1,0,
   IF(TEXT(Contract_Edits[[#This Row],[Dep]],"0")=TEXT(Contract_Edits[[#This Row],[Index]],"0"),
      0,
      MAX(0, SUMPRODUCT(--(Contract_Edits[BaseFlag]=1),
                        --(TEXT(Contract_Edits[Dep],"0")=TEXT(Contract_Edits[[#This Row],[Dep]],"0"))) - 1)
   )
)</f>
        <v>0</v>
      </c>
      <c r="AL105" s="502" t="str" cm="1">
        <f t="array" ref="AL105">IF(Contract_Edits[[#This Row],[BaseFlag]]=1,
   TEXT(Contract_Edits[[#This Row],[Index]],"0"),
   NearestBaseL(TEXT(Contract_Edits[[#This Row],[ParentKey]],"0"),500,editsIdxTxt,editsParentKeyTxt,baseIdxTxt,baseCost)
)</f>
        <v>15</v>
      </c>
      <c r="AM105" s="502" cm="1">
        <f t="array" ref="AM105">1+SUMPRODUCT(
  (Contract_Edits[BaseFlag]=1)*
  (TEXT(Contract_Edits[ParentAnchor],"0")=TEXT(Contract_Edits[[#This Row],[ParentAnchor]],"0"))*
  (VALUE(TEXT(Contract_Edits[Index],"0"))&lt;VALUE(TEXT(Contract_Edits[[#This Row],[Index]],"0")))
)</f>
        <v>2</v>
      </c>
      <c r="AN105" s="50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0">
        <v>57</v>
      </c>
      <c r="M106" s="44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7"/>
      <c r="R106" s="50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6" s="179">
        <v>0</v>
      </c>
      <c r="T106" s="179">
        <v>0</v>
      </c>
      <c r="U106" s="11" t="s">
        <v>608</v>
      </c>
      <c r="W106" s="22" t="s">
        <v>357</v>
      </c>
      <c r="X106" s="22" t="s">
        <v>603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2">
        <f>--(
  ISNUMBER(SEARCH("BASE PARENT", UPPER(CLEAN(TRIM(_xlfn.XLOOKUP(TEXT(Contract_Edits[[#This Row],[Index]],"0"), baseIdxTxt, baseCost, "")))))) +
  ISNUMBER(SEARCH("DEPENDENCY GROUP", UPPER(CLEAN(TRIM(_xlfn.XLOOKUP(TEXT(Contract_Edits[[#This Row],[Index]],"0"), baseIdxTxt, baseCost, ""))))))
)</f>
        <v>0</v>
      </c>
      <c r="AG106" s="502" t="str" cm="1">
        <f t="array" ref="AG106">IF(Contract_Edits[[#This Row],[BaseFlag]]=1,
   10*BaseDepthL(TEXT(Contract_Edits[[#This Row],[Index]],"0"),500,editsIdxTxt,editsParentKeyTxt,baseIdxTxt,baseCost)-5,
   ""
)</f>
        <v/>
      </c>
      <c r="AH106" s="50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2" t="str">
        <f>IF(Contract_Edits[[#This Row],[Dep]]=0,"Root",
   IF(ISNUMBER(MATCH(Contract_Edits[[#This Row],[Dep]],Contract_Edits[Index],0)),"OK","Missing")
)</f>
        <v>OK</v>
      </c>
      <c r="AJ106" s="502" t="str">
        <f>IF(AND(Contract_Edits[[#This Row],[Dep]]&lt;&gt;0,
        ISNUMBER(MATCH(Contract_Edits[[#This Row],[Dep]], Contract_Edits[Index], 0)),
        INDEX(Contract_Edits[Dep], MATCH(Contract_Edits[[#This Row],[Dep]], Contract_Edits[Index], 0))=Contract_Edits[[#This Row],[Index]]),
   "2-cycle","")</f>
        <v/>
      </c>
      <c r="AK106" s="502" cm="1">
        <f t="array" ref="AK106">IF(Contract_Edits[[#This Row],[BaseFlag]]&lt;&gt;1,0,
   IF(TEXT(Contract_Edits[[#This Row],[Dep]],"0")=TEXT(Contract_Edits[[#This Row],[Index]],"0"),
      0,
      MAX(0, SUMPRODUCT(--(Contract_Edits[BaseFlag]=1),
                        --(TEXT(Contract_Edits[Dep],"0")=TEXT(Contract_Edits[[#This Row],[Dep]],"0"))) - 1)
   )
)</f>
        <v>0</v>
      </c>
      <c r="AL106" s="502" t="str" cm="1">
        <f t="array" ref="AL106">IF(Contract_Edits[[#This Row],[BaseFlag]]=1,
   TEXT(Contract_Edits[[#This Row],[Index]],"0"),
   NearestBaseL(TEXT(Contract_Edits[[#This Row],[ParentKey]],"0"),500,editsIdxTxt,editsParentKeyTxt,baseIdxTxt,baseCost)
)</f>
        <v>15</v>
      </c>
      <c r="AM106" s="502" cm="1">
        <f t="array" ref="AM106">1+SUMPRODUCT(
  (Contract_Edits[BaseFlag]=1)*
  (TEXT(Contract_Edits[ParentAnchor],"0")=TEXT(Contract_Edits[[#This Row],[ParentAnchor]],"0"))*
  (VALUE(TEXT(Contract_Edits[Index],"0"))&lt;VALUE(TEXT(Contract_Edits[[#This Row],[Index]],"0")))
)</f>
        <v>2</v>
      </c>
      <c r="AN106" s="50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0">
        <v>45</v>
      </c>
      <c r="M107" s="44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7"/>
      <c r="R107" s="50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7" s="179">
        <v>0</v>
      </c>
      <c r="T107" s="179">
        <v>0</v>
      </c>
      <c r="U107" s="11" t="s">
        <v>609</v>
      </c>
      <c r="W107" s="22" t="s">
        <v>357</v>
      </c>
      <c r="X107" s="22" t="s">
        <v>603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2">
        <f>--(
  ISNUMBER(SEARCH("BASE PARENT", UPPER(CLEAN(TRIM(_xlfn.XLOOKUP(TEXT(Contract_Edits[[#This Row],[Index]],"0"), baseIdxTxt, baseCost, "")))))) +
  ISNUMBER(SEARCH("DEPENDENCY GROUP", UPPER(CLEAN(TRIM(_xlfn.XLOOKUP(TEXT(Contract_Edits[[#This Row],[Index]],"0"), baseIdxTxt, baseCost, ""))))))
)</f>
        <v>0</v>
      </c>
      <c r="AG107" s="502" t="str" cm="1">
        <f t="array" ref="AG107">IF(Contract_Edits[[#This Row],[BaseFlag]]=1,
   10*BaseDepthL(TEXT(Contract_Edits[[#This Row],[Index]],"0"),500,editsIdxTxt,editsParentKeyTxt,baseIdxTxt,baseCost)-5,
   ""
)</f>
        <v/>
      </c>
      <c r="AH107" s="50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2" t="str">
        <f>IF(Contract_Edits[[#This Row],[Dep]]=0,"Root",
   IF(ISNUMBER(MATCH(Contract_Edits[[#This Row],[Dep]],Contract_Edits[Index],0)),"OK","Missing")
)</f>
        <v>OK</v>
      </c>
      <c r="AJ107" s="502" t="str">
        <f>IF(AND(Contract_Edits[[#This Row],[Dep]]&lt;&gt;0,
        ISNUMBER(MATCH(Contract_Edits[[#This Row],[Dep]], Contract_Edits[Index], 0)),
        INDEX(Contract_Edits[Dep], MATCH(Contract_Edits[[#This Row],[Dep]], Contract_Edits[Index], 0))=Contract_Edits[[#This Row],[Index]]),
   "2-cycle","")</f>
        <v/>
      </c>
      <c r="AK107" s="502" cm="1">
        <f t="array" ref="AK107">IF(Contract_Edits[[#This Row],[BaseFlag]]&lt;&gt;1,0,
   IF(TEXT(Contract_Edits[[#This Row],[Dep]],"0")=TEXT(Contract_Edits[[#This Row],[Index]],"0"),
      0,
      MAX(0, SUMPRODUCT(--(Contract_Edits[BaseFlag]=1),
                        --(TEXT(Contract_Edits[Dep],"0")=TEXT(Contract_Edits[[#This Row],[Dep]],"0"))) - 1)
   )
)</f>
        <v>0</v>
      </c>
      <c r="AL107" s="502" t="str" cm="1">
        <f t="array" ref="AL107">IF(Contract_Edits[[#This Row],[BaseFlag]]=1,
   TEXT(Contract_Edits[[#This Row],[Index]],"0"),
   NearestBaseL(TEXT(Contract_Edits[[#This Row],[ParentKey]],"0"),500,editsIdxTxt,editsParentKeyTxt,baseIdxTxt,baseCost)
)</f>
        <v>16</v>
      </c>
      <c r="AM107" s="502" cm="1">
        <f t="array" ref="AM107">1+SUMPRODUCT(
  (Contract_Edits[BaseFlag]=1)*
  (TEXT(Contract_Edits[ParentAnchor],"0")=TEXT(Contract_Edits[[#This Row],[ParentAnchor]],"0"))*
  (VALUE(TEXT(Contract_Edits[Index],"0"))&lt;VALUE(TEXT(Contract_Edits[[#This Row],[Index]],"0")))
)</f>
        <v>2</v>
      </c>
      <c r="AN107" s="50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0">
        <v>47</v>
      </c>
      <c r="M108" s="44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7"/>
      <c r="R108" s="50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8" s="179">
        <v>0</v>
      </c>
      <c r="T108" s="179">
        <v>0</v>
      </c>
      <c r="U108" s="11" t="s">
        <v>609</v>
      </c>
      <c r="W108" s="22" t="s">
        <v>357</v>
      </c>
      <c r="X108" s="22" t="s">
        <v>603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2">
        <f>--(
  ISNUMBER(SEARCH("BASE PARENT", UPPER(CLEAN(TRIM(_xlfn.XLOOKUP(TEXT(Contract_Edits[[#This Row],[Index]],"0"), baseIdxTxt, baseCost, "")))))) +
  ISNUMBER(SEARCH("DEPENDENCY GROUP", UPPER(CLEAN(TRIM(_xlfn.XLOOKUP(TEXT(Contract_Edits[[#This Row],[Index]],"0"), baseIdxTxt, baseCost, ""))))))
)</f>
        <v>0</v>
      </c>
      <c r="AG108" s="502" t="str" cm="1">
        <f t="array" ref="AG108">IF(Contract_Edits[[#This Row],[BaseFlag]]=1,
   10*BaseDepthL(TEXT(Contract_Edits[[#This Row],[Index]],"0"),500,editsIdxTxt,editsParentKeyTxt,baseIdxTxt,baseCost)-5,
   ""
)</f>
        <v/>
      </c>
      <c r="AH108" s="50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2" t="str">
        <f>IF(Contract_Edits[[#This Row],[Dep]]=0,"Root",
   IF(ISNUMBER(MATCH(Contract_Edits[[#This Row],[Dep]],Contract_Edits[Index],0)),"OK","Missing")
)</f>
        <v>OK</v>
      </c>
      <c r="AJ108" s="502" t="str">
        <f>IF(AND(Contract_Edits[[#This Row],[Dep]]&lt;&gt;0,
        ISNUMBER(MATCH(Contract_Edits[[#This Row],[Dep]], Contract_Edits[Index], 0)),
        INDEX(Contract_Edits[Dep], MATCH(Contract_Edits[[#This Row],[Dep]], Contract_Edits[Index], 0))=Contract_Edits[[#This Row],[Index]]),
   "2-cycle","")</f>
        <v/>
      </c>
      <c r="AK108" s="502" cm="1">
        <f t="array" ref="AK108">IF(Contract_Edits[[#This Row],[BaseFlag]]&lt;&gt;1,0,
   IF(TEXT(Contract_Edits[[#This Row],[Dep]],"0")=TEXT(Contract_Edits[[#This Row],[Index]],"0"),
      0,
      MAX(0, SUMPRODUCT(--(Contract_Edits[BaseFlag]=1),
                        --(TEXT(Contract_Edits[Dep],"0")=TEXT(Contract_Edits[[#This Row],[Dep]],"0"))) - 1)
   )
)</f>
        <v>0</v>
      </c>
      <c r="AL108" s="502" t="str" cm="1">
        <f t="array" ref="AL108">IF(Contract_Edits[[#This Row],[BaseFlag]]=1,
   TEXT(Contract_Edits[[#This Row],[Index]],"0"),
   NearestBaseL(TEXT(Contract_Edits[[#This Row],[ParentKey]],"0"),500,editsIdxTxt,editsParentKeyTxt,baseIdxTxt,baseCost)
)</f>
        <v>16</v>
      </c>
      <c r="AM108" s="502" cm="1">
        <f t="array" ref="AM108">1+SUMPRODUCT(
  (Contract_Edits[BaseFlag]=1)*
  (TEXT(Contract_Edits[ParentAnchor],"0")=TEXT(Contract_Edits[[#This Row],[ParentAnchor]],"0"))*
  (VALUE(TEXT(Contract_Edits[Index],"0"))&lt;VALUE(TEXT(Contract_Edits[[#This Row],[Index]],"0")))
)</f>
        <v>2</v>
      </c>
      <c r="AN108" s="50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0">
        <v>72</v>
      </c>
      <c r="M109" s="44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7"/>
      <c r="R109" s="50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09" s="179">
        <v>0</v>
      </c>
      <c r="T109" s="179">
        <v>0</v>
      </c>
      <c r="U109" s="11" t="s">
        <v>610</v>
      </c>
      <c r="W109" s="22" t="s">
        <v>357</v>
      </c>
      <c r="X109" s="22" t="s">
        <v>603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2">
        <f>--(
  ISNUMBER(SEARCH("BASE PARENT", UPPER(CLEAN(TRIM(_xlfn.XLOOKUP(TEXT(Contract_Edits[[#This Row],[Index]],"0"), baseIdxTxt, baseCost, "")))))) +
  ISNUMBER(SEARCH("DEPENDENCY GROUP", UPPER(CLEAN(TRIM(_xlfn.XLOOKUP(TEXT(Contract_Edits[[#This Row],[Index]],"0"), baseIdxTxt, baseCost, ""))))))
)</f>
        <v>0</v>
      </c>
      <c r="AG109" s="502" t="str" cm="1">
        <f t="array" ref="AG109">IF(Contract_Edits[[#This Row],[BaseFlag]]=1,
   10*BaseDepthL(TEXT(Contract_Edits[[#This Row],[Index]],"0"),500,editsIdxTxt,editsParentKeyTxt,baseIdxTxt,baseCost)-5,
   ""
)</f>
        <v/>
      </c>
      <c r="AH109" s="50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2" t="str">
        <f>IF(Contract_Edits[[#This Row],[Dep]]=0,"Root",
   IF(ISNUMBER(MATCH(Contract_Edits[[#This Row],[Dep]],Contract_Edits[Index],0)),"OK","Missing")
)</f>
        <v>OK</v>
      </c>
      <c r="AJ109" s="502" t="str">
        <f>IF(AND(Contract_Edits[[#This Row],[Dep]]&lt;&gt;0,
        ISNUMBER(MATCH(Contract_Edits[[#This Row],[Dep]], Contract_Edits[Index], 0)),
        INDEX(Contract_Edits[Dep], MATCH(Contract_Edits[[#This Row],[Dep]], Contract_Edits[Index], 0))=Contract_Edits[[#This Row],[Index]]),
   "2-cycle","")</f>
        <v/>
      </c>
      <c r="AK109" s="502" cm="1">
        <f t="array" ref="AK109">IF(Contract_Edits[[#This Row],[BaseFlag]]&lt;&gt;1,0,
   IF(TEXT(Contract_Edits[[#This Row],[Dep]],"0")=TEXT(Contract_Edits[[#This Row],[Index]],"0"),
      0,
      MAX(0, SUMPRODUCT(--(Contract_Edits[BaseFlag]=1),
                        --(TEXT(Contract_Edits[Dep],"0")=TEXT(Contract_Edits[[#This Row],[Dep]],"0"))) - 1)
   )
)</f>
        <v>0</v>
      </c>
      <c r="AL109" s="502" t="str" cm="1">
        <f t="array" ref="AL109">IF(Contract_Edits[[#This Row],[BaseFlag]]=1,
   TEXT(Contract_Edits[[#This Row],[Index]],"0"),
   NearestBaseL(TEXT(Contract_Edits[[#This Row],[ParentKey]],"0"),500,editsIdxTxt,editsParentKeyTxt,baseIdxTxt,baseCost)
)</f>
        <v>17</v>
      </c>
      <c r="AM109" s="502" cm="1">
        <f t="array" ref="AM109">1+SUMPRODUCT(
  (Contract_Edits[BaseFlag]=1)*
  (TEXT(Contract_Edits[ParentAnchor],"0")=TEXT(Contract_Edits[[#This Row],[ParentAnchor]],"0"))*
  (VALUE(TEXT(Contract_Edits[Index],"0"))&lt;VALUE(TEXT(Contract_Edits[[#This Row],[Index]],"0")))
)</f>
        <v>2</v>
      </c>
      <c r="AN109" s="50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0">
        <v>37</v>
      </c>
      <c r="M110" s="44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79"/>
      <c r="R110" s="50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0" s="179">
        <v>0</v>
      </c>
      <c r="T110" s="468"/>
      <c r="U110" s="491" t="s">
        <v>610</v>
      </c>
      <c r="V110" s="193"/>
      <c r="W110" s="22" t="s">
        <v>357</v>
      </c>
      <c r="X110" s="483" t="s">
        <v>603</v>
      </c>
      <c r="Y110" s="48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2">
        <f>--(
  ISNUMBER(SEARCH("BASE PARENT", UPPER(CLEAN(TRIM(_xlfn.XLOOKUP(TEXT(Contract_Edits[[#This Row],[Index]],"0"), baseIdxTxt, baseCost, "")))))) +
  ISNUMBER(SEARCH("DEPENDENCY GROUP", UPPER(CLEAN(TRIM(_xlfn.XLOOKUP(TEXT(Contract_Edits[[#This Row],[Index]],"0"), baseIdxTxt, baseCost, ""))))))
)</f>
        <v>0</v>
      </c>
      <c r="AG110" s="502" t="str" cm="1">
        <f t="array" ref="AG110">IF(Contract_Edits[[#This Row],[BaseFlag]]=1,
   10*BaseDepthL(TEXT(Contract_Edits[[#This Row],[Index]],"0"),500,editsIdxTxt,editsParentKeyTxt,baseIdxTxt,baseCost)-5,
   ""
)</f>
        <v/>
      </c>
      <c r="AH110" s="50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2" t="str">
        <f>IF(Contract_Edits[[#This Row],[Dep]]=0,"Root",
   IF(ISNUMBER(MATCH(Contract_Edits[[#This Row],[Dep]],Contract_Edits[Index],0)),"OK","Missing")
)</f>
        <v>OK</v>
      </c>
      <c r="AJ110" s="502" t="str">
        <f>IF(AND(Contract_Edits[[#This Row],[Dep]]&lt;&gt;0,
        ISNUMBER(MATCH(Contract_Edits[[#This Row],[Dep]], Contract_Edits[Index], 0)),
        INDEX(Contract_Edits[Dep], MATCH(Contract_Edits[[#This Row],[Dep]], Contract_Edits[Index], 0))=Contract_Edits[[#This Row],[Index]]),
   "2-cycle","")</f>
        <v/>
      </c>
      <c r="AK110" s="502" cm="1">
        <f t="array" ref="AK110">IF(Contract_Edits[[#This Row],[BaseFlag]]&lt;&gt;1,0,
   IF(TEXT(Contract_Edits[[#This Row],[Dep]],"0")=TEXT(Contract_Edits[[#This Row],[Index]],"0"),
      0,
      MAX(0, SUMPRODUCT(--(Contract_Edits[BaseFlag]=1),
                        --(TEXT(Contract_Edits[Dep],"0")=TEXT(Contract_Edits[[#This Row],[Dep]],"0"))) - 1)
   )
)</f>
        <v>0</v>
      </c>
      <c r="AL110" s="502" t="str" cm="1">
        <f t="array" ref="AL110">IF(Contract_Edits[[#This Row],[BaseFlag]]=1,
   TEXT(Contract_Edits[[#This Row],[Index]],"0"),
   NearestBaseL(TEXT(Contract_Edits[[#This Row],[ParentKey]],"0"),500,editsIdxTxt,editsParentKeyTxt,baseIdxTxt,baseCost)
)</f>
        <v>17</v>
      </c>
      <c r="AM110" s="502" cm="1">
        <f t="array" ref="AM110">1+SUMPRODUCT(
  (Contract_Edits[BaseFlag]=1)*
  (TEXT(Contract_Edits[ParentAnchor],"0")=TEXT(Contract_Edits[[#This Row],[ParentAnchor]],"0"))*
  (VALUE(TEXT(Contract_Edits[Index],"0"))&lt;VALUE(TEXT(Contract_Edits[[#This Row],[Index]],"0")))
)</f>
        <v>2</v>
      </c>
      <c r="AN110" s="50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0">
        <v>35</v>
      </c>
      <c r="M111" s="44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7"/>
      <c r="R111" s="50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1" s="179">
        <v>0</v>
      </c>
      <c r="T111" s="179">
        <v>0</v>
      </c>
      <c r="U111" s="11" t="s">
        <v>617</v>
      </c>
      <c r="W111" s="22" t="s">
        <v>357</v>
      </c>
      <c r="X111" s="22" t="s">
        <v>603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2">
        <f>--(
  ISNUMBER(SEARCH("BASE PARENT", UPPER(CLEAN(TRIM(_xlfn.XLOOKUP(TEXT(Contract_Edits[[#This Row],[Index]],"0"), baseIdxTxt, baseCost, "")))))) +
  ISNUMBER(SEARCH("DEPENDENCY GROUP", UPPER(CLEAN(TRIM(_xlfn.XLOOKUP(TEXT(Contract_Edits[[#This Row],[Index]],"0"), baseIdxTxt, baseCost, ""))))))
)</f>
        <v>0</v>
      </c>
      <c r="AG111" s="502" t="str" cm="1">
        <f t="array" ref="AG111">IF(Contract_Edits[[#This Row],[BaseFlag]]=1,
   10*BaseDepthL(TEXT(Contract_Edits[[#This Row],[Index]],"0"),500,editsIdxTxt,editsParentKeyTxt,baseIdxTxt,baseCost)-5,
   ""
)</f>
        <v/>
      </c>
      <c r="AH111" s="50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2" t="str">
        <f>IF(Contract_Edits[[#This Row],[Dep]]=0,"Root",
   IF(ISNUMBER(MATCH(Contract_Edits[[#This Row],[Dep]],Contract_Edits[Index],0)),"OK","Missing")
)</f>
        <v>OK</v>
      </c>
      <c r="AJ111" s="502" t="str">
        <f>IF(AND(Contract_Edits[[#This Row],[Dep]]&lt;&gt;0,
        ISNUMBER(MATCH(Contract_Edits[[#This Row],[Dep]], Contract_Edits[Index], 0)),
        INDEX(Contract_Edits[Dep], MATCH(Contract_Edits[[#This Row],[Dep]], Contract_Edits[Index], 0))=Contract_Edits[[#This Row],[Index]]),
   "2-cycle","")</f>
        <v/>
      </c>
      <c r="AK111" s="502" cm="1">
        <f t="array" ref="AK111">IF(Contract_Edits[[#This Row],[BaseFlag]]&lt;&gt;1,0,
   IF(TEXT(Contract_Edits[[#This Row],[Dep]],"0")=TEXT(Contract_Edits[[#This Row],[Index]],"0"),
      0,
      MAX(0, SUMPRODUCT(--(Contract_Edits[BaseFlag]=1),
                        --(TEXT(Contract_Edits[Dep],"0")=TEXT(Contract_Edits[[#This Row],[Dep]],"0"))) - 1)
   )
)</f>
        <v>0</v>
      </c>
      <c r="AL111" s="502" t="str" cm="1">
        <f t="array" ref="AL111">IF(Contract_Edits[[#This Row],[BaseFlag]]=1,
   TEXT(Contract_Edits[[#This Row],[Index]],"0"),
   NearestBaseL(TEXT(Contract_Edits[[#This Row],[ParentKey]],"0"),500,editsIdxTxt,editsParentKeyTxt,baseIdxTxt,baseCost)
)</f>
        <v>24</v>
      </c>
      <c r="AM111" s="502" cm="1">
        <f t="array" ref="AM111">1+SUMPRODUCT(
  (Contract_Edits[BaseFlag]=1)*
  (TEXT(Contract_Edits[ParentAnchor],"0")=TEXT(Contract_Edits[[#This Row],[ParentAnchor]],"0"))*
  (VALUE(TEXT(Contract_Edits[Index],"0"))&lt;VALUE(TEXT(Contract_Edits[[#This Row],[Index]],"0")))
)</f>
        <v>2</v>
      </c>
      <c r="AN111" s="50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0">
        <v>36</v>
      </c>
      <c r="M112" s="44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79"/>
      <c r="R112" s="50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2" s="179">
        <v>0</v>
      </c>
      <c r="T112" s="468"/>
      <c r="U112" s="491" t="s">
        <v>617</v>
      </c>
      <c r="V112" s="193"/>
      <c r="W112" s="22" t="s">
        <v>357</v>
      </c>
      <c r="X112" s="483" t="s">
        <v>603</v>
      </c>
      <c r="Y112" s="48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2">
        <f>--(
  ISNUMBER(SEARCH("BASE PARENT", UPPER(CLEAN(TRIM(_xlfn.XLOOKUP(TEXT(Contract_Edits[[#This Row],[Index]],"0"), baseIdxTxt, baseCost, "")))))) +
  ISNUMBER(SEARCH("DEPENDENCY GROUP", UPPER(CLEAN(TRIM(_xlfn.XLOOKUP(TEXT(Contract_Edits[[#This Row],[Index]],"0"), baseIdxTxt, baseCost, ""))))))
)</f>
        <v>0</v>
      </c>
      <c r="AG112" s="502" t="str" cm="1">
        <f t="array" ref="AG112">IF(Contract_Edits[[#This Row],[BaseFlag]]=1,
   10*BaseDepthL(TEXT(Contract_Edits[[#This Row],[Index]],"0"),500,editsIdxTxt,editsParentKeyTxt,baseIdxTxt,baseCost)-5,
   ""
)</f>
        <v/>
      </c>
      <c r="AH112" s="50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2" t="str">
        <f>IF(Contract_Edits[[#This Row],[Dep]]=0,"Root",
   IF(ISNUMBER(MATCH(Contract_Edits[[#This Row],[Dep]],Contract_Edits[Index],0)),"OK","Missing")
)</f>
        <v>OK</v>
      </c>
      <c r="AJ112" s="502" t="str">
        <f>IF(AND(Contract_Edits[[#This Row],[Dep]]&lt;&gt;0,
        ISNUMBER(MATCH(Contract_Edits[[#This Row],[Dep]], Contract_Edits[Index], 0)),
        INDEX(Contract_Edits[Dep], MATCH(Contract_Edits[[#This Row],[Dep]], Contract_Edits[Index], 0))=Contract_Edits[[#This Row],[Index]]),
   "2-cycle","")</f>
        <v/>
      </c>
      <c r="AK112" s="502" cm="1">
        <f t="array" ref="AK112">IF(Contract_Edits[[#This Row],[BaseFlag]]&lt;&gt;1,0,
   IF(TEXT(Contract_Edits[[#This Row],[Dep]],"0")=TEXT(Contract_Edits[[#This Row],[Index]],"0"),
      0,
      MAX(0, SUMPRODUCT(--(Contract_Edits[BaseFlag]=1),
                        --(TEXT(Contract_Edits[Dep],"0")=TEXT(Contract_Edits[[#This Row],[Dep]],"0"))) - 1)
   )
)</f>
        <v>0</v>
      </c>
      <c r="AL112" s="502" t="str" cm="1">
        <f t="array" ref="AL112">IF(Contract_Edits[[#This Row],[BaseFlag]]=1,
   TEXT(Contract_Edits[[#This Row],[Index]],"0"),
   NearestBaseL(TEXT(Contract_Edits[[#This Row],[ParentKey]],"0"),500,editsIdxTxt,editsParentKeyTxt,baseIdxTxt,baseCost)
)</f>
        <v>24</v>
      </c>
      <c r="AM112" s="502" cm="1">
        <f t="array" ref="AM112">1+SUMPRODUCT(
  (Contract_Edits[BaseFlag]=1)*
  (TEXT(Contract_Edits[ParentAnchor],"0")=TEXT(Contract_Edits[[#This Row],[ParentAnchor]],"0"))*
  (VALUE(TEXT(Contract_Edits[Index],"0"))&lt;VALUE(TEXT(Contract_Edits[[#This Row],[Index]],"0")))
)</f>
        <v>2</v>
      </c>
      <c r="AN112" s="50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0">
        <v>74</v>
      </c>
      <c r="M113" s="44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79"/>
      <c r="R113" s="50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3" s="179">
        <v>0</v>
      </c>
      <c r="T113" s="468"/>
      <c r="U113" s="491" t="s">
        <v>615</v>
      </c>
      <c r="V113" s="193"/>
      <c r="W113" s="22" t="s">
        <v>357</v>
      </c>
      <c r="X113" s="483" t="s">
        <v>603</v>
      </c>
      <c r="Y113" s="48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2">
        <f>--(
  ISNUMBER(SEARCH("BASE PARENT", UPPER(CLEAN(TRIM(_xlfn.XLOOKUP(TEXT(Contract_Edits[[#This Row],[Index]],"0"), baseIdxTxt, baseCost, "")))))) +
  ISNUMBER(SEARCH("DEPENDENCY GROUP", UPPER(CLEAN(TRIM(_xlfn.XLOOKUP(TEXT(Contract_Edits[[#This Row],[Index]],"0"), baseIdxTxt, baseCost, ""))))))
)</f>
        <v>0</v>
      </c>
      <c r="AG113" s="502" t="str" cm="1">
        <f t="array" ref="AG113">IF(Contract_Edits[[#This Row],[BaseFlag]]=1,
   10*BaseDepthL(TEXT(Contract_Edits[[#This Row],[Index]],"0"),500,editsIdxTxt,editsParentKeyTxt,baseIdxTxt,baseCost)-5,
   ""
)</f>
        <v/>
      </c>
      <c r="AH113" s="50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2" t="str">
        <f>IF(Contract_Edits[[#This Row],[Dep]]=0,"Root",
   IF(ISNUMBER(MATCH(Contract_Edits[[#This Row],[Dep]],Contract_Edits[Index],0)),"OK","Missing")
)</f>
        <v>OK</v>
      </c>
      <c r="AJ113" s="502" t="str">
        <f>IF(AND(Contract_Edits[[#This Row],[Dep]]&lt;&gt;0,
        ISNUMBER(MATCH(Contract_Edits[[#This Row],[Dep]], Contract_Edits[Index], 0)),
        INDEX(Contract_Edits[Dep], MATCH(Contract_Edits[[#This Row],[Dep]], Contract_Edits[Index], 0))=Contract_Edits[[#This Row],[Index]]),
   "2-cycle","")</f>
        <v/>
      </c>
      <c r="AK113" s="502" cm="1">
        <f t="array" ref="AK113">IF(Contract_Edits[[#This Row],[BaseFlag]]&lt;&gt;1,0,
   IF(TEXT(Contract_Edits[[#This Row],[Dep]],"0")=TEXT(Contract_Edits[[#This Row],[Index]],"0"),
      0,
      MAX(0, SUMPRODUCT(--(Contract_Edits[BaseFlag]=1),
                        --(TEXT(Contract_Edits[Dep],"0")=TEXT(Contract_Edits[[#This Row],[Dep]],"0"))) - 1)
   )
)</f>
        <v>0</v>
      </c>
      <c r="AL113" s="502" t="str" cm="1">
        <f t="array" ref="AL113">IF(Contract_Edits[[#This Row],[BaseFlag]]=1,
   TEXT(Contract_Edits[[#This Row],[Index]],"0"),
   NearestBaseL(TEXT(Contract_Edits[[#This Row],[ParentKey]],"0"),500,editsIdxTxt,editsParentKeyTxt,baseIdxTxt,baseCost)
)</f>
        <v>28</v>
      </c>
      <c r="AM113" s="502" cm="1">
        <f t="array" ref="AM113">1+SUMPRODUCT(
  (Contract_Edits[BaseFlag]=1)*
  (TEXT(Contract_Edits[ParentAnchor],"0")=TEXT(Contract_Edits[[#This Row],[ParentAnchor]],"0"))*
  (VALUE(TEXT(Contract_Edits[Index],"0"))&lt;VALUE(TEXT(Contract_Edits[[#This Row],[Index]],"0")))
)</f>
        <v>1</v>
      </c>
      <c r="AN113" s="50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0">
        <v>73</v>
      </c>
      <c r="M114" s="44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79"/>
      <c r="R114" s="50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4" s="179">
        <v>0</v>
      </c>
      <c r="T114" s="468"/>
      <c r="U114" s="491" t="s">
        <v>615</v>
      </c>
      <c r="V114" s="193"/>
      <c r="W114" s="22" t="s">
        <v>357</v>
      </c>
      <c r="X114" s="483" t="s">
        <v>603</v>
      </c>
      <c r="Y114" s="48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2">
        <f>--(
  ISNUMBER(SEARCH("BASE PARENT", UPPER(CLEAN(TRIM(_xlfn.XLOOKUP(TEXT(Contract_Edits[[#This Row],[Index]],"0"), baseIdxTxt, baseCost, "")))))) +
  ISNUMBER(SEARCH("DEPENDENCY GROUP", UPPER(CLEAN(TRIM(_xlfn.XLOOKUP(TEXT(Contract_Edits[[#This Row],[Index]],"0"), baseIdxTxt, baseCost, ""))))))
)</f>
        <v>0</v>
      </c>
      <c r="AG114" s="502" t="str" cm="1">
        <f t="array" ref="AG114">IF(Contract_Edits[[#This Row],[BaseFlag]]=1,
   10*BaseDepthL(TEXT(Contract_Edits[[#This Row],[Index]],"0"),500,editsIdxTxt,editsParentKeyTxt,baseIdxTxt,baseCost)-5,
   ""
)</f>
        <v/>
      </c>
      <c r="AH114" s="50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2" t="str">
        <f>IF(Contract_Edits[[#This Row],[Dep]]=0,"Root",
   IF(ISNUMBER(MATCH(Contract_Edits[[#This Row],[Dep]],Contract_Edits[Index],0)),"OK","Missing")
)</f>
        <v>OK</v>
      </c>
      <c r="AJ114" s="502" t="str">
        <f>IF(AND(Contract_Edits[[#This Row],[Dep]]&lt;&gt;0,
        ISNUMBER(MATCH(Contract_Edits[[#This Row],[Dep]], Contract_Edits[Index], 0)),
        INDEX(Contract_Edits[Dep], MATCH(Contract_Edits[[#This Row],[Dep]], Contract_Edits[Index], 0))=Contract_Edits[[#This Row],[Index]]),
   "2-cycle","")</f>
        <v/>
      </c>
      <c r="AK114" s="502" cm="1">
        <f t="array" ref="AK114">IF(Contract_Edits[[#This Row],[BaseFlag]]&lt;&gt;1,0,
   IF(TEXT(Contract_Edits[[#This Row],[Dep]],"0")=TEXT(Contract_Edits[[#This Row],[Index]],"0"),
      0,
      MAX(0, SUMPRODUCT(--(Contract_Edits[BaseFlag]=1),
                        --(TEXT(Contract_Edits[Dep],"0")=TEXT(Contract_Edits[[#This Row],[Dep]],"0"))) - 1)
   )
)</f>
        <v>0</v>
      </c>
      <c r="AL114" s="502" t="str" cm="1">
        <f t="array" ref="AL114">IF(Contract_Edits[[#This Row],[BaseFlag]]=1,
   TEXT(Contract_Edits[[#This Row],[Index]],"0"),
   NearestBaseL(TEXT(Contract_Edits[[#This Row],[ParentKey]],"0"),500,editsIdxTxt,editsParentKeyTxt,baseIdxTxt,baseCost)
)</f>
        <v>28</v>
      </c>
      <c r="AM114" s="502" cm="1">
        <f t="array" ref="AM114">1+SUMPRODUCT(
  (Contract_Edits[BaseFlag]=1)*
  (TEXT(Contract_Edits[ParentAnchor],"0")=TEXT(Contract_Edits[[#This Row],[ParentAnchor]],"0"))*
  (VALUE(TEXT(Contract_Edits[Index],"0"))&lt;VALUE(TEXT(Contract_Edits[[#This Row],[Index]],"0")))
)</f>
        <v>1</v>
      </c>
      <c r="AN114" s="50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0">
        <v>44</v>
      </c>
      <c r="M115" s="44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7"/>
      <c r="R115" s="50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5" s="179">
        <v>0</v>
      </c>
      <c r="T115" s="179">
        <v>0</v>
      </c>
      <c r="U115" s="11"/>
      <c r="W115" s="22" t="s">
        <v>357</v>
      </c>
      <c r="X115" s="22" t="s">
        <v>603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2">
        <f>--(
  ISNUMBER(SEARCH("BASE PARENT", UPPER(CLEAN(TRIM(_xlfn.XLOOKUP(TEXT(Contract_Edits[[#This Row],[Index]],"0"), baseIdxTxt, baseCost, "")))))) +
  ISNUMBER(SEARCH("DEPENDENCY GROUP", UPPER(CLEAN(TRIM(_xlfn.XLOOKUP(TEXT(Contract_Edits[[#This Row],[Index]],"0"), baseIdxTxt, baseCost, ""))))))
)</f>
        <v>0</v>
      </c>
      <c r="AG115" s="502" t="str" cm="1">
        <f t="array" ref="AG115">IF(Contract_Edits[[#This Row],[BaseFlag]]=1,
   10*BaseDepthL(TEXT(Contract_Edits[[#This Row],[Index]],"0"),500,editsIdxTxt,editsParentKeyTxt,baseIdxTxt,baseCost)-5,
   ""
)</f>
        <v/>
      </c>
      <c r="AH115" s="50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2" t="str">
        <f>IF(Contract_Edits[[#This Row],[Dep]]=0,"Root",
   IF(ISNUMBER(MATCH(Contract_Edits[[#This Row],[Dep]],Contract_Edits[Index],0)),"OK","Missing")
)</f>
        <v>Root</v>
      </c>
      <c r="AJ115" s="502" t="e">
        <f>IF(AND(Contract_Edits[[#This Row],[Dep]]&lt;&gt;0,
        ISNUMBER(MATCH(Contract_Edits[[#This Row],[Dep]], Contract_Edits[Index], 0)),
        INDEX(Contract_Edits[Dep], MATCH(Contract_Edits[[#This Row],[Dep]], Contract_Edits[Index], 0))=Contract_Edits[[#This Row],[Index]]),
   "2-cycle","")</f>
        <v>#N/A</v>
      </c>
      <c r="AK115" s="502" cm="1">
        <f t="array" ref="AK115">IF(Contract_Edits[[#This Row],[BaseFlag]]&lt;&gt;1,0,
   IF(TEXT(Contract_Edits[[#This Row],[Dep]],"0")=TEXT(Contract_Edits[[#This Row],[Index]],"0"),
      0,
      MAX(0, SUMPRODUCT(--(Contract_Edits[BaseFlag]=1),
                        --(TEXT(Contract_Edits[Dep],"0")=TEXT(Contract_Edits[[#This Row],[Dep]],"0"))) - 1)
   )
)</f>
        <v>0</v>
      </c>
      <c r="AL115" s="502" t="str" cm="1">
        <f t="array" ref="AL115">IF(Contract_Edits[[#This Row],[BaseFlag]]=1,
   TEXT(Contract_Edits[[#This Row],[Index]],"0"),
   NearestBaseL(TEXT(Contract_Edits[[#This Row],[ParentKey]],"0"),500,editsIdxTxt,editsParentKeyTxt,baseIdxTxt,baseCost)
)</f>
        <v>0</v>
      </c>
      <c r="AM115" s="502" cm="1">
        <f t="array" ref="AM115">1+SUMPRODUCT(
  (Contract_Edits[BaseFlag]=1)*
  (TEXT(Contract_Edits[ParentAnchor],"0")=TEXT(Contract_Edits[[#This Row],[ParentAnchor]],"0"))*
  (VALUE(TEXT(Contract_Edits[Index],"0"))&lt;VALUE(TEXT(Contract_Edits[[#This Row],[Index]],"0")))
)</f>
        <v>1</v>
      </c>
      <c r="AN115" s="50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0">
        <v>4</v>
      </c>
      <c r="M116" s="44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7"/>
      <c r="R116" s="50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6" s="179">
        <v>0</v>
      </c>
      <c r="T116" s="179">
        <v>0</v>
      </c>
      <c r="U116" s="11"/>
      <c r="W116" s="22" t="s">
        <v>603</v>
      </c>
      <c r="X116" s="22" t="s">
        <v>603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2">
        <f>--(
  ISNUMBER(SEARCH("BASE PARENT", UPPER(CLEAN(TRIM(_xlfn.XLOOKUP(TEXT(Contract_Edits[[#This Row],[Index]],"0"), baseIdxTxt, baseCost, "")))))) +
  ISNUMBER(SEARCH("DEPENDENCY GROUP", UPPER(CLEAN(TRIM(_xlfn.XLOOKUP(TEXT(Contract_Edits[[#This Row],[Index]],"0"), baseIdxTxt, baseCost, ""))))))
)</f>
        <v>1</v>
      </c>
      <c r="AG116" s="502" cm="1">
        <f t="array" ref="AG116">IF(Contract_Edits[[#This Row],[BaseFlag]]=1,
   10*BaseDepthL(TEXT(Contract_Edits[[#This Row],[Index]],"0"),500,editsIdxTxt,editsParentKeyTxt,baseIdxTxt,baseCost)-5,
   ""
)</f>
        <v>35</v>
      </c>
      <c r="AH116" s="50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2" t="str">
        <f>IF(Contract_Edits[[#This Row],[Dep]]=0,"Root",
   IF(ISNUMBER(MATCH(Contract_Edits[[#This Row],[Dep]],Contract_Edits[Index],0)),"OK","Missing")
)</f>
        <v>OK</v>
      </c>
      <c r="AJ116" s="502" t="str">
        <f>IF(AND(Contract_Edits[[#This Row],[Dep]]&lt;&gt;0,
        ISNUMBER(MATCH(Contract_Edits[[#This Row],[Dep]], Contract_Edits[Index], 0)),
        INDEX(Contract_Edits[Dep], MATCH(Contract_Edits[[#This Row],[Dep]], Contract_Edits[Index], 0))=Contract_Edits[[#This Row],[Index]]),
   "2-cycle","")</f>
        <v/>
      </c>
      <c r="AK116" s="502" cm="1">
        <f t="array" ref="AK116">IF(Contract_Edits[[#This Row],[BaseFlag]]&lt;&gt;1,0,
   IF(TEXT(Contract_Edits[[#This Row],[Dep]],"0")=TEXT(Contract_Edits[[#This Row],[Index]],"0"),
      0,
      MAX(0, SUMPRODUCT(--(Contract_Edits[BaseFlag]=1),
                        --(TEXT(Contract_Edits[Dep],"0")=TEXT(Contract_Edits[[#This Row],[Dep]],"0"))) - 1)
   )
)</f>
        <v>0</v>
      </c>
      <c r="AL116" s="502" t="str" cm="1">
        <f t="array" ref="AL116">IF(Contract_Edits[[#This Row],[BaseFlag]]=1,
   TEXT(Contract_Edits[[#This Row],[Index]],"0"),
   NearestBaseL(TEXT(Contract_Edits[[#This Row],[ParentKey]],"0"),500,editsIdxTxt,editsParentKeyTxt,baseIdxTxt,baseCost)
)</f>
        <v>4</v>
      </c>
      <c r="AM116" s="502" cm="1">
        <f t="array" ref="AM116">1+SUMPRODUCT(
  (Contract_Edits[BaseFlag]=1)*
  (TEXT(Contract_Edits[ParentAnchor],"0")=TEXT(Contract_Edits[[#This Row],[ParentAnchor]],"0"))*
  (VALUE(TEXT(Contract_Edits[Index],"0"))&lt;VALUE(TEXT(Contract_Edits[[#This Row],[Index]],"0")))
)</f>
        <v>1</v>
      </c>
      <c r="AN116" s="50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0">
        <v>5</v>
      </c>
      <c r="M117" s="44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79"/>
      <c r="R117" s="50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7" s="179">
        <v>0</v>
      </c>
      <c r="T117" s="468"/>
      <c r="U117" s="491"/>
      <c r="V117" s="193"/>
      <c r="W117" s="22" t="s">
        <v>603</v>
      </c>
      <c r="X117" s="483" t="s">
        <v>603</v>
      </c>
      <c r="Y117" s="48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2">
        <f>--(
  ISNUMBER(SEARCH("BASE PARENT", UPPER(CLEAN(TRIM(_xlfn.XLOOKUP(TEXT(Contract_Edits[[#This Row],[Index]],"0"), baseIdxTxt, baseCost, "")))))) +
  ISNUMBER(SEARCH("DEPENDENCY GROUP", UPPER(CLEAN(TRIM(_xlfn.XLOOKUP(TEXT(Contract_Edits[[#This Row],[Index]],"0"), baseIdxTxt, baseCost, ""))))))
)</f>
        <v>1</v>
      </c>
      <c r="AG117" s="502" cm="1">
        <f t="array" ref="AG117">IF(Contract_Edits[[#This Row],[BaseFlag]]=1,
   10*BaseDepthL(TEXT(Contract_Edits[[#This Row],[Index]],"0"),500,editsIdxTxt,editsParentKeyTxt,baseIdxTxt,baseCost)-5,
   ""
)</f>
        <v>45</v>
      </c>
      <c r="AH117" s="50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2" t="str">
        <f>IF(Contract_Edits[[#This Row],[Dep]]=0,"Root",
   IF(ISNUMBER(MATCH(Contract_Edits[[#This Row],[Dep]],Contract_Edits[Index],0)),"OK","Missing")
)</f>
        <v>OK</v>
      </c>
      <c r="AJ117" s="502" t="str">
        <f>IF(AND(Contract_Edits[[#This Row],[Dep]]&lt;&gt;0,
        ISNUMBER(MATCH(Contract_Edits[[#This Row],[Dep]], Contract_Edits[Index], 0)),
        INDEX(Contract_Edits[Dep], MATCH(Contract_Edits[[#This Row],[Dep]], Contract_Edits[Index], 0))=Contract_Edits[[#This Row],[Index]]),
   "2-cycle","")</f>
        <v/>
      </c>
      <c r="AK117" s="502" cm="1">
        <f t="array" ref="AK117">IF(Contract_Edits[[#This Row],[BaseFlag]]&lt;&gt;1,0,
   IF(TEXT(Contract_Edits[[#This Row],[Dep]],"0")=TEXT(Contract_Edits[[#This Row],[Index]],"0"),
      0,
      MAX(0, SUMPRODUCT(--(Contract_Edits[BaseFlag]=1),
                        --(TEXT(Contract_Edits[Dep],"0")=TEXT(Contract_Edits[[#This Row],[Dep]],"0"))) - 1)
   )
)</f>
        <v>0</v>
      </c>
      <c r="AL117" s="502" t="str" cm="1">
        <f t="array" ref="AL117">IF(Contract_Edits[[#This Row],[BaseFlag]]=1,
   TEXT(Contract_Edits[[#This Row],[Index]],"0"),
   NearestBaseL(TEXT(Contract_Edits[[#This Row],[ParentKey]],"0"),500,editsIdxTxt,editsParentKeyTxt,baseIdxTxt,baseCost)
)</f>
        <v>5</v>
      </c>
      <c r="AM117" s="502" cm="1">
        <f t="array" ref="AM117">1+SUMPRODUCT(
  (Contract_Edits[BaseFlag]=1)*
  (TEXT(Contract_Edits[ParentAnchor],"0")=TEXT(Contract_Edits[[#This Row],[ParentAnchor]],"0"))*
  (VALUE(TEXT(Contract_Edits[Index],"0"))&lt;VALUE(TEXT(Contract_Edits[[#This Row],[Index]],"0")))
)</f>
        <v>1</v>
      </c>
      <c r="AN117" s="50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0">
        <v>6</v>
      </c>
      <c r="M118" s="44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7"/>
      <c r="R118" s="50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8" s="179">
        <v>0</v>
      </c>
      <c r="T118" s="468"/>
      <c r="U118" s="491"/>
      <c r="V118" s="193"/>
      <c r="W118" s="22" t="s">
        <v>603</v>
      </c>
      <c r="X118" s="483"/>
      <c r="Y118" s="483"/>
      <c r="Z118" s="48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2">
        <f>--(
  ISNUMBER(SEARCH("BASE PARENT", UPPER(CLEAN(TRIM(_xlfn.XLOOKUP(TEXT(Contract_Edits[[#This Row],[Index]],"0"), baseIdxTxt, baseCost, "")))))) +
  ISNUMBER(SEARCH("DEPENDENCY GROUP", UPPER(CLEAN(TRIM(_xlfn.XLOOKUP(TEXT(Contract_Edits[[#This Row],[Index]],"0"), baseIdxTxt, baseCost, ""))))))
)</f>
        <v>1</v>
      </c>
      <c r="AG118" s="502" cm="1">
        <f t="array" ref="AG118">IF(Contract_Edits[[#This Row],[BaseFlag]]=1,
   10*BaseDepthL(TEXT(Contract_Edits[[#This Row],[Index]],"0"),500,editsIdxTxt,editsParentKeyTxt,baseIdxTxt,baseCost)-5,
   ""
)</f>
        <v>55</v>
      </c>
      <c r="AH118" s="50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2" t="str">
        <f>IF(Contract_Edits[[#This Row],[Dep]]=0,"Root",
   IF(ISNUMBER(MATCH(Contract_Edits[[#This Row],[Dep]],Contract_Edits[Index],0)),"OK","Missing")
)</f>
        <v>OK</v>
      </c>
      <c r="AJ118" s="502" t="str">
        <f>IF(AND(Contract_Edits[[#This Row],[Dep]]&lt;&gt;0,
        ISNUMBER(MATCH(Contract_Edits[[#This Row],[Dep]], Contract_Edits[Index], 0)),
        INDEX(Contract_Edits[Dep], MATCH(Contract_Edits[[#This Row],[Dep]], Contract_Edits[Index], 0))=Contract_Edits[[#This Row],[Index]]),
   "2-cycle","")</f>
        <v/>
      </c>
      <c r="AK118" s="502" cm="1">
        <f t="array" ref="AK118">IF(Contract_Edits[[#This Row],[BaseFlag]]&lt;&gt;1,0,
   IF(TEXT(Contract_Edits[[#This Row],[Dep]],"0")=TEXT(Contract_Edits[[#This Row],[Index]],"0"),
      0,
      MAX(0, SUMPRODUCT(--(Contract_Edits[BaseFlag]=1),
                        --(TEXT(Contract_Edits[Dep],"0")=TEXT(Contract_Edits[[#This Row],[Dep]],"0"))) - 1)
   )
)</f>
        <v>0</v>
      </c>
      <c r="AL118" s="502" t="str" cm="1">
        <f t="array" ref="AL118">IF(Contract_Edits[[#This Row],[BaseFlag]]=1,
   TEXT(Contract_Edits[[#This Row],[Index]],"0"),
   NearestBaseL(TEXT(Contract_Edits[[#This Row],[ParentKey]],"0"),500,editsIdxTxt,editsParentKeyTxt,baseIdxTxt,baseCost)
)</f>
        <v>6</v>
      </c>
      <c r="AM118" s="502" cm="1">
        <f t="array" ref="AM118">1+SUMPRODUCT(
  (Contract_Edits[BaseFlag]=1)*
  (TEXT(Contract_Edits[ParentAnchor],"0")=TEXT(Contract_Edits[[#This Row],[ParentAnchor]],"0"))*
  (VALUE(TEXT(Contract_Edits[Index],"0"))&lt;VALUE(TEXT(Contract_Edits[[#This Row],[Index]],"0")))
)</f>
        <v>1</v>
      </c>
      <c r="AN118" s="50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0">
        <v>3</v>
      </c>
      <c r="M119" s="44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79"/>
      <c r="R119" s="50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19" s="179">
        <v>0</v>
      </c>
      <c r="T119" s="468"/>
      <c r="U119" s="491"/>
      <c r="V119" s="193"/>
      <c r="W119" s="22" t="s">
        <v>603</v>
      </c>
      <c r="X119" s="483"/>
      <c r="Y119" s="48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2">
        <f>--(
  ISNUMBER(SEARCH("BASE PARENT", UPPER(CLEAN(TRIM(_xlfn.XLOOKUP(TEXT(Contract_Edits[[#This Row],[Index]],"0"), baseIdxTxt, baseCost, "")))))) +
  ISNUMBER(SEARCH("DEPENDENCY GROUP", UPPER(CLEAN(TRIM(_xlfn.XLOOKUP(TEXT(Contract_Edits[[#This Row],[Index]],"0"), baseIdxTxt, baseCost, ""))))))
)</f>
        <v>1</v>
      </c>
      <c r="AG119" s="502" cm="1">
        <f t="array" ref="AG119">IF(Contract_Edits[[#This Row],[BaseFlag]]=1,
   10*BaseDepthL(TEXT(Contract_Edits[[#This Row],[Index]],"0"),500,editsIdxTxt,editsParentKeyTxt,baseIdxTxt,baseCost)-5,
   ""
)</f>
        <v>25</v>
      </c>
      <c r="AH119" s="50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2" t="str">
        <f>IF(Contract_Edits[[#This Row],[Dep]]=0,"Root",
   IF(ISNUMBER(MATCH(Contract_Edits[[#This Row],[Dep]],Contract_Edits[Index],0)),"OK","Missing")
)</f>
        <v>OK</v>
      </c>
      <c r="AJ119" s="502" t="str">
        <f>IF(AND(Contract_Edits[[#This Row],[Dep]]&lt;&gt;0,
        ISNUMBER(MATCH(Contract_Edits[[#This Row],[Dep]], Contract_Edits[Index], 0)),
        INDEX(Contract_Edits[Dep], MATCH(Contract_Edits[[#This Row],[Dep]], Contract_Edits[Index], 0))=Contract_Edits[[#This Row],[Index]]),
   "2-cycle","")</f>
        <v/>
      </c>
      <c r="AK119" s="502" cm="1">
        <f t="array" ref="AK119">IF(Contract_Edits[[#This Row],[BaseFlag]]&lt;&gt;1,0,
   IF(TEXT(Contract_Edits[[#This Row],[Dep]],"0")=TEXT(Contract_Edits[[#This Row],[Index]],"0"),
      0,
      MAX(0, SUMPRODUCT(--(Contract_Edits[BaseFlag]=1),
                        --(TEXT(Contract_Edits[Dep],"0")=TEXT(Contract_Edits[[#This Row],[Dep]],"0"))) - 1)
   )
)</f>
        <v>0</v>
      </c>
      <c r="AL119" s="502" t="str" cm="1">
        <f t="array" ref="AL119">IF(Contract_Edits[[#This Row],[BaseFlag]]=1,
   TEXT(Contract_Edits[[#This Row],[Index]],"0"),
   NearestBaseL(TEXT(Contract_Edits[[#This Row],[ParentKey]],"0"),500,editsIdxTxt,editsParentKeyTxt,baseIdxTxt,baseCost)
)</f>
        <v>3</v>
      </c>
      <c r="AM119" s="502" cm="1">
        <f t="array" ref="AM119">1+SUMPRODUCT(
  (Contract_Edits[BaseFlag]=1)*
  (TEXT(Contract_Edits[ParentAnchor],"0")=TEXT(Contract_Edits[[#This Row],[ParentAnchor]],"0"))*
  (VALUE(TEXT(Contract_Edits[Index],"0"))&lt;VALUE(TEXT(Contract_Edits[[#This Row],[Index]],"0")))
)</f>
        <v>1</v>
      </c>
      <c r="AN119" s="50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0">
        <v>913</v>
      </c>
      <c r="M120" s="44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7"/>
      <c r="R120" s="50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0" s="179">
        <v>0</v>
      </c>
      <c r="T120" s="179">
        <v>0</v>
      </c>
      <c r="U120" s="11"/>
      <c r="W120" s="22" t="s">
        <v>357</v>
      </c>
      <c r="X120" s="22" t="s">
        <v>603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2">
        <f>--(
  ISNUMBER(SEARCH("BASE PARENT", UPPER(CLEAN(TRIM(_xlfn.XLOOKUP(TEXT(Contract_Edits[[#This Row],[Index]],"0"), baseIdxTxt, baseCost, "")))))) +
  ISNUMBER(SEARCH("DEPENDENCY GROUP", UPPER(CLEAN(TRIM(_xlfn.XLOOKUP(TEXT(Contract_Edits[[#This Row],[Index]],"0"), baseIdxTxt, baseCost, ""))))))
)</f>
        <v>0</v>
      </c>
      <c r="AG120" s="502" t="str" cm="1">
        <f t="array" ref="AG120">IF(Contract_Edits[[#This Row],[BaseFlag]]=1,
   10*BaseDepthL(TEXT(Contract_Edits[[#This Row],[Index]],"0"),500,editsIdxTxt,editsParentKeyTxt,baseIdxTxt,baseCost)-5,
   ""
)</f>
        <v/>
      </c>
      <c r="AH120" s="50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2" t="str">
        <f>IF(Contract_Edits[[#This Row],[Dep]]=0,"Root",
   IF(ISNUMBER(MATCH(Contract_Edits[[#This Row],[Dep]],Contract_Edits[Index],0)),"OK","Missing")
)</f>
        <v>Root</v>
      </c>
      <c r="AJ120" s="502" t="e">
        <f>IF(AND(Contract_Edits[[#This Row],[Dep]]&lt;&gt;0,
        ISNUMBER(MATCH(Contract_Edits[[#This Row],[Dep]], Contract_Edits[Index], 0)),
        INDEX(Contract_Edits[Dep], MATCH(Contract_Edits[[#This Row],[Dep]], Contract_Edits[Index], 0))=Contract_Edits[[#This Row],[Index]]),
   "2-cycle","")</f>
        <v>#N/A</v>
      </c>
      <c r="AK120" s="502" cm="1">
        <f t="array" ref="AK120">IF(Contract_Edits[[#This Row],[BaseFlag]]&lt;&gt;1,0,
   IF(TEXT(Contract_Edits[[#This Row],[Dep]],"0")=TEXT(Contract_Edits[[#This Row],[Index]],"0"),
      0,
      MAX(0, SUMPRODUCT(--(Contract_Edits[BaseFlag]=1),
                        --(TEXT(Contract_Edits[Dep],"0")=TEXT(Contract_Edits[[#This Row],[Dep]],"0"))) - 1)
   )
)</f>
        <v>0</v>
      </c>
      <c r="AL120" s="502" t="str" cm="1">
        <f t="array" ref="AL120">IF(Contract_Edits[[#This Row],[BaseFlag]]=1,
   TEXT(Contract_Edits[[#This Row],[Index]],"0"),
   NearestBaseL(TEXT(Contract_Edits[[#This Row],[ParentKey]],"0"),500,editsIdxTxt,editsParentKeyTxt,baseIdxTxt,baseCost)
)</f>
        <v>0</v>
      </c>
      <c r="AM120" s="502" cm="1">
        <f t="array" ref="AM120">1+SUMPRODUCT(
  (Contract_Edits[BaseFlag]=1)*
  (TEXT(Contract_Edits[ParentAnchor],"0")=TEXT(Contract_Edits[[#This Row],[ParentAnchor]],"0"))*
  (VALUE(TEXT(Contract_Edits[Index],"0"))&lt;VALUE(TEXT(Contract_Edits[[#This Row],[Index]],"0")))
)</f>
        <v>1</v>
      </c>
      <c r="AN120" s="50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0">
        <v>149</v>
      </c>
      <c r="M121" s="44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7"/>
      <c r="R121" s="50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1" s="179">
        <v>0</v>
      </c>
      <c r="T121" s="179">
        <v>0</v>
      </c>
      <c r="U121" s="11"/>
      <c r="W121" s="22" t="s">
        <v>357</v>
      </c>
      <c r="X121" s="22" t="s">
        <v>603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2">
        <f>--(
  ISNUMBER(SEARCH("BASE PARENT", UPPER(CLEAN(TRIM(_xlfn.XLOOKUP(TEXT(Contract_Edits[[#This Row],[Index]],"0"), baseIdxTxt, baseCost, "")))))) +
  ISNUMBER(SEARCH("DEPENDENCY GROUP", UPPER(CLEAN(TRIM(_xlfn.XLOOKUP(TEXT(Contract_Edits[[#This Row],[Index]],"0"), baseIdxTxt, baseCost, ""))))))
)</f>
        <v>0</v>
      </c>
      <c r="AG121" s="502" t="str" cm="1">
        <f t="array" ref="AG121">IF(Contract_Edits[[#This Row],[BaseFlag]]=1,
   10*BaseDepthL(TEXT(Contract_Edits[[#This Row],[Index]],"0"),500,editsIdxTxt,editsParentKeyTxt,baseIdxTxt,baseCost)-5,
   ""
)</f>
        <v/>
      </c>
      <c r="AH121" s="50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2" t="str">
        <f>IF(Contract_Edits[[#This Row],[Dep]]=0,"Root",
   IF(ISNUMBER(MATCH(Contract_Edits[[#This Row],[Dep]],Contract_Edits[Index],0)),"OK","Missing")
)</f>
        <v>Root</v>
      </c>
      <c r="AJ121" s="502" t="e">
        <f>IF(AND(Contract_Edits[[#This Row],[Dep]]&lt;&gt;0,
        ISNUMBER(MATCH(Contract_Edits[[#This Row],[Dep]], Contract_Edits[Index], 0)),
        INDEX(Contract_Edits[Dep], MATCH(Contract_Edits[[#This Row],[Dep]], Contract_Edits[Index], 0))=Contract_Edits[[#This Row],[Index]]),
   "2-cycle","")</f>
        <v>#N/A</v>
      </c>
      <c r="AK121" s="502" cm="1">
        <f t="array" ref="AK121">IF(Contract_Edits[[#This Row],[BaseFlag]]&lt;&gt;1,0,
   IF(TEXT(Contract_Edits[[#This Row],[Dep]],"0")=TEXT(Contract_Edits[[#This Row],[Index]],"0"),
      0,
      MAX(0, SUMPRODUCT(--(Contract_Edits[BaseFlag]=1),
                        --(TEXT(Contract_Edits[Dep],"0")=TEXT(Contract_Edits[[#This Row],[Dep]],"0"))) - 1)
   )
)</f>
        <v>0</v>
      </c>
      <c r="AL121" s="502" t="str" cm="1">
        <f t="array" ref="AL121">IF(Contract_Edits[[#This Row],[BaseFlag]]=1,
   TEXT(Contract_Edits[[#This Row],[Index]],"0"),
   NearestBaseL(TEXT(Contract_Edits[[#This Row],[ParentKey]],"0"),500,editsIdxTxt,editsParentKeyTxt,baseIdxTxt,baseCost)
)</f>
        <v>0</v>
      </c>
      <c r="AM121" s="502" cm="1">
        <f t="array" ref="AM121">1+SUMPRODUCT(
  (Contract_Edits[BaseFlag]=1)*
  (TEXT(Contract_Edits[ParentAnchor],"0")=TEXT(Contract_Edits[[#This Row],[ParentAnchor]],"0"))*
  (VALUE(TEXT(Contract_Edits[Index],"0"))&lt;VALUE(TEXT(Contract_Edits[[#This Row],[Index]],"0")))
)</f>
        <v>1</v>
      </c>
      <c r="AN121" s="50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0">
        <v>100</v>
      </c>
      <c r="M122" s="44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79"/>
      <c r="R122" s="50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2" s="179">
        <v>0</v>
      </c>
      <c r="T122" s="468"/>
      <c r="U122" s="491"/>
      <c r="V122" s="193"/>
      <c r="W122" s="22" t="s">
        <v>357</v>
      </c>
      <c r="X122" s="483" t="s">
        <v>603</v>
      </c>
      <c r="Y122" s="48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2">
        <f>--(
  ISNUMBER(SEARCH("BASE PARENT", UPPER(CLEAN(TRIM(_xlfn.XLOOKUP(TEXT(Contract_Edits[[#This Row],[Index]],"0"), baseIdxTxt, baseCost, "")))))) +
  ISNUMBER(SEARCH("DEPENDENCY GROUP", UPPER(CLEAN(TRIM(_xlfn.XLOOKUP(TEXT(Contract_Edits[[#This Row],[Index]],"0"), baseIdxTxt, baseCost, ""))))))
)</f>
        <v>0</v>
      </c>
      <c r="AG122" s="502" t="str" cm="1">
        <f t="array" ref="AG122">IF(Contract_Edits[[#This Row],[BaseFlag]]=1,
   10*BaseDepthL(TEXT(Contract_Edits[[#This Row],[Index]],"0"),500,editsIdxTxt,editsParentKeyTxt,baseIdxTxt,baseCost)-5,
   ""
)</f>
        <v/>
      </c>
      <c r="AH122" s="50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2" t="str">
        <f>IF(Contract_Edits[[#This Row],[Dep]]=0,"Root",
   IF(ISNUMBER(MATCH(Contract_Edits[[#This Row],[Dep]],Contract_Edits[Index],0)),"OK","Missing")
)</f>
        <v>Root</v>
      </c>
      <c r="AJ122" s="502" t="e">
        <f>IF(AND(Contract_Edits[[#This Row],[Dep]]&lt;&gt;0,
        ISNUMBER(MATCH(Contract_Edits[[#This Row],[Dep]], Contract_Edits[Index], 0)),
        INDEX(Contract_Edits[Dep], MATCH(Contract_Edits[[#This Row],[Dep]], Contract_Edits[Index], 0))=Contract_Edits[[#This Row],[Index]]),
   "2-cycle","")</f>
        <v>#N/A</v>
      </c>
      <c r="AK122" s="502" cm="1">
        <f t="array" ref="AK122">IF(Contract_Edits[[#This Row],[BaseFlag]]&lt;&gt;1,0,
   IF(TEXT(Contract_Edits[[#This Row],[Dep]],"0")=TEXT(Contract_Edits[[#This Row],[Index]],"0"),
      0,
      MAX(0, SUMPRODUCT(--(Contract_Edits[BaseFlag]=1),
                        --(TEXT(Contract_Edits[Dep],"0")=TEXT(Contract_Edits[[#This Row],[Dep]],"0"))) - 1)
   )
)</f>
        <v>0</v>
      </c>
      <c r="AL122" s="502" t="str" cm="1">
        <f t="array" ref="AL122">IF(Contract_Edits[[#This Row],[BaseFlag]]=1,
   TEXT(Contract_Edits[[#This Row],[Index]],"0"),
   NearestBaseL(TEXT(Contract_Edits[[#This Row],[ParentKey]],"0"),500,editsIdxTxt,editsParentKeyTxt,baseIdxTxt,baseCost)
)</f>
        <v>0</v>
      </c>
      <c r="AM122" s="502" cm="1">
        <f t="array" ref="AM122">1+SUMPRODUCT(
  (Contract_Edits[BaseFlag]=1)*
  (TEXT(Contract_Edits[ParentAnchor],"0")=TEXT(Contract_Edits[[#This Row],[ParentAnchor]],"0"))*
  (VALUE(TEXT(Contract_Edits[Index],"0"))&lt;VALUE(TEXT(Contract_Edits[[#This Row],[Index]],"0")))
)</f>
        <v>1</v>
      </c>
      <c r="AN122" s="50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0">
        <v>146</v>
      </c>
      <c r="M123" s="44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79"/>
      <c r="R123" s="50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3" s="179">
        <v>0</v>
      </c>
      <c r="T123" s="468"/>
      <c r="U123" s="491"/>
      <c r="V123" s="193"/>
      <c r="W123" s="22" t="s">
        <v>357</v>
      </c>
      <c r="X123" s="483" t="s">
        <v>603</v>
      </c>
      <c r="Y123" s="48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2">
        <f>--(
  ISNUMBER(SEARCH("BASE PARENT", UPPER(CLEAN(TRIM(_xlfn.XLOOKUP(TEXT(Contract_Edits[[#This Row],[Index]],"0"), baseIdxTxt, baseCost, "")))))) +
  ISNUMBER(SEARCH("DEPENDENCY GROUP", UPPER(CLEAN(TRIM(_xlfn.XLOOKUP(TEXT(Contract_Edits[[#This Row],[Index]],"0"), baseIdxTxt, baseCost, ""))))))
)</f>
        <v>0</v>
      </c>
      <c r="AG123" s="502" t="str" cm="1">
        <f t="array" ref="AG123">IF(Contract_Edits[[#This Row],[BaseFlag]]=1,
   10*BaseDepthL(TEXT(Contract_Edits[[#This Row],[Index]],"0"),500,editsIdxTxt,editsParentKeyTxt,baseIdxTxt,baseCost)-5,
   ""
)</f>
        <v/>
      </c>
      <c r="AH123" s="50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2" t="str">
        <f>IF(Contract_Edits[[#This Row],[Dep]]=0,"Root",
   IF(ISNUMBER(MATCH(Contract_Edits[[#This Row],[Dep]],Contract_Edits[Index],0)),"OK","Missing")
)</f>
        <v>Root</v>
      </c>
      <c r="AJ123" s="502" t="e">
        <f>IF(AND(Contract_Edits[[#This Row],[Dep]]&lt;&gt;0,
        ISNUMBER(MATCH(Contract_Edits[[#This Row],[Dep]], Contract_Edits[Index], 0)),
        INDEX(Contract_Edits[Dep], MATCH(Contract_Edits[[#This Row],[Dep]], Contract_Edits[Index], 0))=Contract_Edits[[#This Row],[Index]]),
   "2-cycle","")</f>
        <v>#N/A</v>
      </c>
      <c r="AK123" s="502" cm="1">
        <f t="array" ref="AK123">IF(Contract_Edits[[#This Row],[BaseFlag]]&lt;&gt;1,0,
   IF(TEXT(Contract_Edits[[#This Row],[Dep]],"0")=TEXT(Contract_Edits[[#This Row],[Index]],"0"),
      0,
      MAX(0, SUMPRODUCT(--(Contract_Edits[BaseFlag]=1),
                        --(TEXT(Contract_Edits[Dep],"0")=TEXT(Contract_Edits[[#This Row],[Dep]],"0"))) - 1)
   )
)</f>
        <v>0</v>
      </c>
      <c r="AL123" s="502" t="str" cm="1">
        <f t="array" ref="AL123">IF(Contract_Edits[[#This Row],[BaseFlag]]=1,
   TEXT(Contract_Edits[[#This Row],[Index]],"0"),
   NearestBaseL(TEXT(Contract_Edits[[#This Row],[ParentKey]],"0"),500,editsIdxTxt,editsParentKeyTxt,baseIdxTxt,baseCost)
)</f>
        <v>0</v>
      </c>
      <c r="AM123" s="502" cm="1">
        <f t="array" ref="AM123">1+SUMPRODUCT(
  (Contract_Edits[BaseFlag]=1)*
  (TEXT(Contract_Edits[ParentAnchor],"0")=TEXT(Contract_Edits[[#This Row],[ParentAnchor]],"0"))*
  (VALUE(TEXT(Contract_Edits[Index],"0"))&lt;VALUE(TEXT(Contract_Edits[[#This Row],[Index]],"0")))
)</f>
        <v>1</v>
      </c>
      <c r="AN123" s="50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0">
        <v>176</v>
      </c>
      <c r="M124" s="44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79"/>
      <c r="R124" s="50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4" s="179">
        <v>0</v>
      </c>
      <c r="T124" s="468"/>
      <c r="U124" s="491"/>
      <c r="V124" s="193"/>
      <c r="W124" s="22" t="s">
        <v>357</v>
      </c>
      <c r="X124" s="483" t="s">
        <v>603</v>
      </c>
      <c r="Y124" s="48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2">
        <f>--(
  ISNUMBER(SEARCH("BASE PARENT", UPPER(CLEAN(TRIM(_xlfn.XLOOKUP(TEXT(Contract_Edits[[#This Row],[Index]],"0"), baseIdxTxt, baseCost, "")))))) +
  ISNUMBER(SEARCH("DEPENDENCY GROUP", UPPER(CLEAN(TRIM(_xlfn.XLOOKUP(TEXT(Contract_Edits[[#This Row],[Index]],"0"), baseIdxTxt, baseCost, ""))))))
)</f>
        <v>0</v>
      </c>
      <c r="AG124" s="502" t="str" cm="1">
        <f t="array" ref="AG124">IF(Contract_Edits[[#This Row],[BaseFlag]]=1,
   10*BaseDepthL(TEXT(Contract_Edits[[#This Row],[Index]],"0"),500,editsIdxTxt,editsParentKeyTxt,baseIdxTxt,baseCost)-5,
   ""
)</f>
        <v/>
      </c>
      <c r="AH124" s="50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2" t="str">
        <f>IF(Contract_Edits[[#This Row],[Dep]]=0,"Root",
   IF(ISNUMBER(MATCH(Contract_Edits[[#This Row],[Dep]],Contract_Edits[Index],0)),"OK","Missing")
)</f>
        <v>Root</v>
      </c>
      <c r="AJ124" s="502" t="e">
        <f>IF(AND(Contract_Edits[[#This Row],[Dep]]&lt;&gt;0,
        ISNUMBER(MATCH(Contract_Edits[[#This Row],[Dep]], Contract_Edits[Index], 0)),
        INDEX(Contract_Edits[Dep], MATCH(Contract_Edits[[#This Row],[Dep]], Contract_Edits[Index], 0))=Contract_Edits[[#This Row],[Index]]),
   "2-cycle","")</f>
        <v>#N/A</v>
      </c>
      <c r="AK124" s="502" cm="1">
        <f t="array" ref="AK124">IF(Contract_Edits[[#This Row],[BaseFlag]]&lt;&gt;1,0,
   IF(TEXT(Contract_Edits[[#This Row],[Dep]],"0")=TEXT(Contract_Edits[[#This Row],[Index]],"0"),
      0,
      MAX(0, SUMPRODUCT(--(Contract_Edits[BaseFlag]=1),
                        --(TEXT(Contract_Edits[Dep],"0")=TEXT(Contract_Edits[[#This Row],[Dep]],"0"))) - 1)
   )
)</f>
        <v>0</v>
      </c>
      <c r="AL124" s="502" t="str" cm="1">
        <f t="array" ref="AL124">IF(Contract_Edits[[#This Row],[BaseFlag]]=1,
   TEXT(Contract_Edits[[#This Row],[Index]],"0"),
   NearestBaseL(TEXT(Contract_Edits[[#This Row],[ParentKey]],"0"),500,editsIdxTxt,editsParentKeyTxt,baseIdxTxt,baseCost)
)</f>
        <v>0</v>
      </c>
      <c r="AM124" s="502" cm="1">
        <f t="array" ref="AM124">1+SUMPRODUCT(
  (Contract_Edits[BaseFlag]=1)*
  (TEXT(Contract_Edits[ParentAnchor],"0")=TEXT(Contract_Edits[[#This Row],[ParentAnchor]],"0"))*
  (VALUE(TEXT(Contract_Edits[Index],"0"))&lt;VALUE(TEXT(Contract_Edits[[#This Row],[Index]],"0")))
)</f>
        <v>1</v>
      </c>
      <c r="AN124" s="50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0">
        <v>150</v>
      </c>
      <c r="M125" s="44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7"/>
      <c r="R125" s="50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5" s="179">
        <v>0</v>
      </c>
      <c r="T125" s="179">
        <v>0</v>
      </c>
      <c r="U125" s="11"/>
      <c r="W125" s="22" t="s">
        <v>357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2">
        <f>--(
  ISNUMBER(SEARCH("BASE PARENT", UPPER(CLEAN(TRIM(_xlfn.XLOOKUP(TEXT(Contract_Edits[[#This Row],[Index]],"0"), baseIdxTxt, baseCost, "")))))) +
  ISNUMBER(SEARCH("DEPENDENCY GROUP", UPPER(CLEAN(TRIM(_xlfn.XLOOKUP(TEXT(Contract_Edits[[#This Row],[Index]],"0"), baseIdxTxt, baseCost, ""))))))
)</f>
        <v>0</v>
      </c>
      <c r="AG125" s="502" t="str" cm="1">
        <f t="array" ref="AG125">IF(Contract_Edits[[#This Row],[BaseFlag]]=1,
   10*BaseDepthL(TEXT(Contract_Edits[[#This Row],[Index]],"0"),500,editsIdxTxt,editsParentKeyTxt,baseIdxTxt,baseCost)-5,
   ""
)</f>
        <v/>
      </c>
      <c r="AH125" s="50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2" t="str">
        <f>IF(Contract_Edits[[#This Row],[Dep]]=0,"Root",
   IF(ISNUMBER(MATCH(Contract_Edits[[#This Row],[Dep]],Contract_Edits[Index],0)),"OK","Missing")
)</f>
        <v>Root</v>
      </c>
      <c r="AJ125" s="502" t="e">
        <f>IF(AND(Contract_Edits[[#This Row],[Dep]]&lt;&gt;0,
        ISNUMBER(MATCH(Contract_Edits[[#This Row],[Dep]], Contract_Edits[Index], 0)),
        INDEX(Contract_Edits[Dep], MATCH(Contract_Edits[[#This Row],[Dep]], Contract_Edits[Index], 0))=Contract_Edits[[#This Row],[Index]]),
   "2-cycle","")</f>
        <v>#N/A</v>
      </c>
      <c r="AK125" s="502" cm="1">
        <f t="array" ref="AK125">IF(Contract_Edits[[#This Row],[BaseFlag]]&lt;&gt;1,0,
   IF(TEXT(Contract_Edits[[#This Row],[Dep]],"0")=TEXT(Contract_Edits[[#This Row],[Index]],"0"),
      0,
      MAX(0, SUMPRODUCT(--(Contract_Edits[BaseFlag]=1),
                        --(TEXT(Contract_Edits[Dep],"0")=TEXT(Contract_Edits[[#This Row],[Dep]],"0"))) - 1)
   )
)</f>
        <v>0</v>
      </c>
      <c r="AL125" s="502" t="str" cm="1">
        <f t="array" ref="AL125">IF(Contract_Edits[[#This Row],[BaseFlag]]=1,
   TEXT(Contract_Edits[[#This Row],[Index]],"0"),
   NearestBaseL(TEXT(Contract_Edits[[#This Row],[ParentKey]],"0"),500,editsIdxTxt,editsParentKeyTxt,baseIdxTxt,baseCost)
)</f>
        <v>0</v>
      </c>
      <c r="AM125" s="502" cm="1">
        <f t="array" ref="AM125">1+SUMPRODUCT(
  (Contract_Edits[BaseFlag]=1)*
  (TEXT(Contract_Edits[ParentAnchor],"0")=TEXT(Contract_Edits[[#This Row],[ParentAnchor]],"0"))*
  (VALUE(TEXT(Contract_Edits[Index],"0"))&lt;VALUE(TEXT(Contract_Edits[[#This Row],[Index]],"0")))
)</f>
        <v>1</v>
      </c>
      <c r="AN125" s="50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0">
        <v>98</v>
      </c>
      <c r="M126" s="44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79"/>
      <c r="R126" s="50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6" s="179">
        <v>0</v>
      </c>
      <c r="T126" s="468"/>
      <c r="U126" s="491"/>
      <c r="V126" s="193"/>
      <c r="W126" s="22" t="s">
        <v>357</v>
      </c>
      <c r="X126" s="483" t="s">
        <v>603</v>
      </c>
      <c r="Y126" s="48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2">
        <f>--(
  ISNUMBER(SEARCH("BASE PARENT", UPPER(CLEAN(TRIM(_xlfn.XLOOKUP(TEXT(Contract_Edits[[#This Row],[Index]],"0"), baseIdxTxt, baseCost, "")))))) +
  ISNUMBER(SEARCH("DEPENDENCY GROUP", UPPER(CLEAN(TRIM(_xlfn.XLOOKUP(TEXT(Contract_Edits[[#This Row],[Index]],"0"), baseIdxTxt, baseCost, ""))))))
)</f>
        <v>0</v>
      </c>
      <c r="AG126" s="502" t="str" cm="1">
        <f t="array" ref="AG126">IF(Contract_Edits[[#This Row],[BaseFlag]]=1,
   10*BaseDepthL(TEXT(Contract_Edits[[#This Row],[Index]],"0"),500,editsIdxTxt,editsParentKeyTxt,baseIdxTxt,baseCost)-5,
   ""
)</f>
        <v/>
      </c>
      <c r="AH126" s="50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2" t="str">
        <f>IF(Contract_Edits[[#This Row],[Dep]]=0,"Root",
   IF(ISNUMBER(MATCH(Contract_Edits[[#This Row],[Dep]],Contract_Edits[Index],0)),"OK","Missing")
)</f>
        <v>Root</v>
      </c>
      <c r="AJ126" s="502" t="e">
        <f>IF(AND(Contract_Edits[[#This Row],[Dep]]&lt;&gt;0,
        ISNUMBER(MATCH(Contract_Edits[[#This Row],[Dep]], Contract_Edits[Index], 0)),
        INDEX(Contract_Edits[Dep], MATCH(Contract_Edits[[#This Row],[Dep]], Contract_Edits[Index], 0))=Contract_Edits[[#This Row],[Index]]),
   "2-cycle","")</f>
        <v>#N/A</v>
      </c>
      <c r="AK126" s="502" cm="1">
        <f t="array" ref="AK126">IF(Contract_Edits[[#This Row],[BaseFlag]]&lt;&gt;1,0,
   IF(TEXT(Contract_Edits[[#This Row],[Dep]],"0")=TEXT(Contract_Edits[[#This Row],[Index]],"0"),
      0,
      MAX(0, SUMPRODUCT(--(Contract_Edits[BaseFlag]=1),
                        --(TEXT(Contract_Edits[Dep],"0")=TEXT(Contract_Edits[[#This Row],[Dep]],"0"))) - 1)
   )
)</f>
        <v>0</v>
      </c>
      <c r="AL126" s="502" t="str" cm="1">
        <f t="array" ref="AL126">IF(Contract_Edits[[#This Row],[BaseFlag]]=1,
   TEXT(Contract_Edits[[#This Row],[Index]],"0"),
   NearestBaseL(TEXT(Contract_Edits[[#This Row],[ParentKey]],"0"),500,editsIdxTxt,editsParentKeyTxt,baseIdxTxt,baseCost)
)</f>
        <v>0</v>
      </c>
      <c r="AM126" s="502" cm="1">
        <f t="array" ref="AM126">1+SUMPRODUCT(
  (Contract_Edits[BaseFlag]=1)*
  (TEXT(Contract_Edits[ParentAnchor],"0")=TEXT(Contract_Edits[[#This Row],[ParentAnchor]],"0"))*
  (VALUE(TEXT(Contract_Edits[Index],"0"))&lt;VALUE(TEXT(Contract_Edits[[#This Row],[Index]],"0")))
)</f>
        <v>1</v>
      </c>
      <c r="AN126" s="50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0">
        <v>143</v>
      </c>
      <c r="M127" s="44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7"/>
      <c r="R127" s="50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7" s="179">
        <v>0</v>
      </c>
      <c r="T127" s="179">
        <v>0</v>
      </c>
      <c r="U127" s="11"/>
      <c r="W127" s="22" t="s">
        <v>357</v>
      </c>
      <c r="X127" s="22" t="s">
        <v>603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2">
        <f>--(
  ISNUMBER(SEARCH("BASE PARENT", UPPER(CLEAN(TRIM(_xlfn.XLOOKUP(TEXT(Contract_Edits[[#This Row],[Index]],"0"), baseIdxTxt, baseCost, "")))))) +
  ISNUMBER(SEARCH("DEPENDENCY GROUP", UPPER(CLEAN(TRIM(_xlfn.XLOOKUP(TEXT(Contract_Edits[[#This Row],[Index]],"0"), baseIdxTxt, baseCost, ""))))))
)</f>
        <v>0</v>
      </c>
      <c r="AG127" s="502" t="str" cm="1">
        <f t="array" ref="AG127">IF(Contract_Edits[[#This Row],[BaseFlag]]=1,
   10*BaseDepthL(TEXT(Contract_Edits[[#This Row],[Index]],"0"),500,editsIdxTxt,editsParentKeyTxt,baseIdxTxt,baseCost)-5,
   ""
)</f>
        <v/>
      </c>
      <c r="AH127" s="50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2" t="str">
        <f>IF(Contract_Edits[[#This Row],[Dep]]=0,"Root",
   IF(ISNUMBER(MATCH(Contract_Edits[[#This Row],[Dep]],Contract_Edits[Index],0)),"OK","Missing")
)</f>
        <v>Root</v>
      </c>
      <c r="AJ127" s="502" t="e">
        <f>IF(AND(Contract_Edits[[#This Row],[Dep]]&lt;&gt;0,
        ISNUMBER(MATCH(Contract_Edits[[#This Row],[Dep]], Contract_Edits[Index], 0)),
        INDEX(Contract_Edits[Dep], MATCH(Contract_Edits[[#This Row],[Dep]], Contract_Edits[Index], 0))=Contract_Edits[[#This Row],[Index]]),
   "2-cycle","")</f>
        <v>#N/A</v>
      </c>
      <c r="AK127" s="502" cm="1">
        <f t="array" ref="AK127">IF(Contract_Edits[[#This Row],[BaseFlag]]&lt;&gt;1,0,
   IF(TEXT(Contract_Edits[[#This Row],[Dep]],"0")=TEXT(Contract_Edits[[#This Row],[Index]],"0"),
      0,
      MAX(0, SUMPRODUCT(--(Contract_Edits[BaseFlag]=1),
                        --(TEXT(Contract_Edits[Dep],"0")=TEXT(Contract_Edits[[#This Row],[Dep]],"0"))) - 1)
   )
)</f>
        <v>0</v>
      </c>
      <c r="AL127" s="502" t="str" cm="1">
        <f t="array" ref="AL127">IF(Contract_Edits[[#This Row],[BaseFlag]]=1,
   TEXT(Contract_Edits[[#This Row],[Index]],"0"),
   NearestBaseL(TEXT(Contract_Edits[[#This Row],[ParentKey]],"0"),500,editsIdxTxt,editsParentKeyTxt,baseIdxTxt,baseCost)
)</f>
        <v>0</v>
      </c>
      <c r="AM127" s="502" cm="1">
        <f t="array" ref="AM127">1+SUMPRODUCT(
  (Contract_Edits[BaseFlag]=1)*
  (TEXT(Contract_Edits[ParentAnchor],"0")=TEXT(Contract_Edits[[#This Row],[ParentAnchor]],"0"))*
  (VALUE(TEXT(Contract_Edits[Index],"0"))&lt;VALUE(TEXT(Contract_Edits[[#This Row],[Index]],"0")))
)</f>
        <v>1</v>
      </c>
      <c r="AN127" s="50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0">
        <v>151</v>
      </c>
      <c r="M128" s="44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79"/>
      <c r="R128" s="50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8" s="179">
        <v>0</v>
      </c>
      <c r="T128" s="468"/>
      <c r="U128" s="491"/>
      <c r="V128" s="193"/>
      <c r="W128" s="22" t="s">
        <v>357</v>
      </c>
      <c r="X128" s="483"/>
      <c r="Y128" s="48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2">
        <f>--(
  ISNUMBER(SEARCH("BASE PARENT", UPPER(CLEAN(TRIM(_xlfn.XLOOKUP(TEXT(Contract_Edits[[#This Row],[Index]],"0"), baseIdxTxt, baseCost, "")))))) +
  ISNUMBER(SEARCH("DEPENDENCY GROUP", UPPER(CLEAN(TRIM(_xlfn.XLOOKUP(TEXT(Contract_Edits[[#This Row],[Index]],"0"), baseIdxTxt, baseCost, ""))))))
)</f>
        <v>0</v>
      </c>
      <c r="AG128" s="502" t="str" cm="1">
        <f t="array" ref="AG128">IF(Contract_Edits[[#This Row],[BaseFlag]]=1,
   10*BaseDepthL(TEXT(Contract_Edits[[#This Row],[Index]],"0"),500,editsIdxTxt,editsParentKeyTxt,baseIdxTxt,baseCost)-5,
   ""
)</f>
        <v/>
      </c>
      <c r="AH128" s="50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2" t="str">
        <f>IF(Contract_Edits[[#This Row],[Dep]]=0,"Root",
   IF(ISNUMBER(MATCH(Contract_Edits[[#This Row],[Dep]],Contract_Edits[Index],0)),"OK","Missing")
)</f>
        <v>Root</v>
      </c>
      <c r="AJ128" s="502" t="e">
        <f>IF(AND(Contract_Edits[[#This Row],[Dep]]&lt;&gt;0,
        ISNUMBER(MATCH(Contract_Edits[[#This Row],[Dep]], Contract_Edits[Index], 0)),
        INDEX(Contract_Edits[Dep], MATCH(Contract_Edits[[#This Row],[Dep]], Contract_Edits[Index], 0))=Contract_Edits[[#This Row],[Index]]),
   "2-cycle","")</f>
        <v>#N/A</v>
      </c>
      <c r="AK128" s="502" cm="1">
        <f t="array" ref="AK128">IF(Contract_Edits[[#This Row],[BaseFlag]]&lt;&gt;1,0,
   IF(TEXT(Contract_Edits[[#This Row],[Dep]],"0")=TEXT(Contract_Edits[[#This Row],[Index]],"0"),
      0,
      MAX(0, SUMPRODUCT(--(Contract_Edits[BaseFlag]=1),
                        --(TEXT(Contract_Edits[Dep],"0")=TEXT(Contract_Edits[[#This Row],[Dep]],"0"))) - 1)
   )
)</f>
        <v>0</v>
      </c>
      <c r="AL128" s="502" t="str" cm="1">
        <f t="array" ref="AL128">IF(Contract_Edits[[#This Row],[BaseFlag]]=1,
   TEXT(Contract_Edits[[#This Row],[Index]],"0"),
   NearestBaseL(TEXT(Contract_Edits[[#This Row],[ParentKey]],"0"),500,editsIdxTxt,editsParentKeyTxt,baseIdxTxt,baseCost)
)</f>
        <v>0</v>
      </c>
      <c r="AM128" s="502" cm="1">
        <f t="array" ref="AM128">1+SUMPRODUCT(
  (Contract_Edits[BaseFlag]=1)*
  (TEXT(Contract_Edits[ParentAnchor],"0")=TEXT(Contract_Edits[[#This Row],[ParentAnchor]],"0"))*
  (VALUE(TEXT(Contract_Edits[Index],"0"))&lt;VALUE(TEXT(Contract_Edits[[#This Row],[Index]],"0")))
)</f>
        <v>1</v>
      </c>
      <c r="AN128" s="50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0">
        <v>101</v>
      </c>
      <c r="M129" s="44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7"/>
      <c r="R129" s="50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29" s="179">
        <v>0</v>
      </c>
      <c r="T129" s="179">
        <v>0</v>
      </c>
      <c r="U129" s="11"/>
      <c r="V129"/>
      <c r="W129" s="22" t="s">
        <v>357</v>
      </c>
      <c r="X129" s="22" t="s">
        <v>603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2">
        <f>--(
  ISNUMBER(SEARCH("BASE PARENT", UPPER(CLEAN(TRIM(_xlfn.XLOOKUP(TEXT(Contract_Edits[[#This Row],[Index]],"0"), baseIdxTxt, baseCost, "")))))) +
  ISNUMBER(SEARCH("DEPENDENCY GROUP", UPPER(CLEAN(TRIM(_xlfn.XLOOKUP(TEXT(Contract_Edits[[#This Row],[Index]],"0"), baseIdxTxt, baseCost, ""))))))
)</f>
        <v>0</v>
      </c>
      <c r="AG129" s="502" t="str" cm="1">
        <f t="array" ref="AG129">IF(Contract_Edits[[#This Row],[BaseFlag]]=1,
   10*BaseDepthL(TEXT(Contract_Edits[[#This Row],[Index]],"0"),500,editsIdxTxt,editsParentKeyTxt,baseIdxTxt,baseCost)-5,
   ""
)</f>
        <v/>
      </c>
      <c r="AH129" s="50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2" t="str">
        <f>IF(Contract_Edits[[#This Row],[Dep]]=0,"Root",
   IF(ISNUMBER(MATCH(Contract_Edits[[#This Row],[Dep]],Contract_Edits[Index],0)),"OK","Missing")
)</f>
        <v>Root</v>
      </c>
      <c r="AJ129" s="502" t="e">
        <f>IF(AND(Contract_Edits[[#This Row],[Dep]]&lt;&gt;0,
        ISNUMBER(MATCH(Contract_Edits[[#This Row],[Dep]], Contract_Edits[Index], 0)),
        INDEX(Contract_Edits[Dep], MATCH(Contract_Edits[[#This Row],[Dep]], Contract_Edits[Index], 0))=Contract_Edits[[#This Row],[Index]]),
   "2-cycle","")</f>
        <v>#N/A</v>
      </c>
      <c r="AK129" s="502" cm="1">
        <f t="array" ref="AK129">IF(Contract_Edits[[#This Row],[BaseFlag]]&lt;&gt;1,0,
   IF(TEXT(Contract_Edits[[#This Row],[Dep]],"0")=TEXT(Contract_Edits[[#This Row],[Index]],"0"),
      0,
      MAX(0, SUMPRODUCT(--(Contract_Edits[BaseFlag]=1),
                        --(TEXT(Contract_Edits[Dep],"0")=TEXT(Contract_Edits[[#This Row],[Dep]],"0"))) - 1)
   )
)</f>
        <v>0</v>
      </c>
      <c r="AL129" s="502" t="str" cm="1">
        <f t="array" ref="AL129">IF(Contract_Edits[[#This Row],[BaseFlag]]=1,
   TEXT(Contract_Edits[[#This Row],[Index]],"0"),
   NearestBaseL(TEXT(Contract_Edits[[#This Row],[ParentKey]],"0"),500,editsIdxTxt,editsParentKeyTxt,baseIdxTxt,baseCost)
)</f>
        <v>0</v>
      </c>
      <c r="AM129" s="502" cm="1">
        <f t="array" ref="AM129">1+SUMPRODUCT(
  (Contract_Edits[BaseFlag]=1)*
  (TEXT(Contract_Edits[ParentAnchor],"0")=TEXT(Contract_Edits[[#This Row],[ParentAnchor]],"0"))*
  (VALUE(TEXT(Contract_Edits[Index],"0"))&lt;VALUE(TEXT(Contract_Edits[[#This Row],[Index]],"0")))
)</f>
        <v>1</v>
      </c>
      <c r="AN129" s="50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0">
        <v>137</v>
      </c>
      <c r="M130" s="44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7"/>
      <c r="R130" s="50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0" s="179">
        <v>0</v>
      </c>
      <c r="T130" s="179">
        <v>0</v>
      </c>
      <c r="U130" s="11"/>
      <c r="V130"/>
      <c r="W130" s="22" t="s">
        <v>357</v>
      </c>
      <c r="X130" s="22" t="s">
        <v>603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2">
        <f>--(
  ISNUMBER(SEARCH("BASE PARENT", UPPER(CLEAN(TRIM(_xlfn.XLOOKUP(TEXT(Contract_Edits[[#This Row],[Index]],"0"), baseIdxTxt, baseCost, "")))))) +
  ISNUMBER(SEARCH("DEPENDENCY GROUP", UPPER(CLEAN(TRIM(_xlfn.XLOOKUP(TEXT(Contract_Edits[[#This Row],[Index]],"0"), baseIdxTxt, baseCost, ""))))))
)</f>
        <v>0</v>
      </c>
      <c r="AG130" s="502" t="str" cm="1">
        <f t="array" ref="AG130">IF(Contract_Edits[[#This Row],[BaseFlag]]=1,
   10*BaseDepthL(TEXT(Contract_Edits[[#This Row],[Index]],"0"),500,editsIdxTxt,editsParentKeyTxt,baseIdxTxt,baseCost)-5,
   ""
)</f>
        <v/>
      </c>
      <c r="AH130" s="50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2" t="str">
        <f>IF(Contract_Edits[[#This Row],[Dep]]=0,"Root",
   IF(ISNUMBER(MATCH(Contract_Edits[[#This Row],[Dep]],Contract_Edits[Index],0)),"OK","Missing")
)</f>
        <v>Root</v>
      </c>
      <c r="AJ130" s="502" t="e">
        <f>IF(AND(Contract_Edits[[#This Row],[Dep]]&lt;&gt;0,
        ISNUMBER(MATCH(Contract_Edits[[#This Row],[Dep]], Contract_Edits[Index], 0)),
        INDEX(Contract_Edits[Dep], MATCH(Contract_Edits[[#This Row],[Dep]], Contract_Edits[Index], 0))=Contract_Edits[[#This Row],[Index]]),
   "2-cycle","")</f>
        <v>#N/A</v>
      </c>
      <c r="AK130" s="502" cm="1">
        <f t="array" ref="AK130">IF(Contract_Edits[[#This Row],[BaseFlag]]&lt;&gt;1,0,
   IF(TEXT(Contract_Edits[[#This Row],[Dep]],"0")=TEXT(Contract_Edits[[#This Row],[Index]],"0"),
      0,
      MAX(0, SUMPRODUCT(--(Contract_Edits[BaseFlag]=1),
                        --(TEXT(Contract_Edits[Dep],"0")=TEXT(Contract_Edits[[#This Row],[Dep]],"0"))) - 1)
   )
)</f>
        <v>0</v>
      </c>
      <c r="AL130" s="502" t="str" cm="1">
        <f t="array" ref="AL130">IF(Contract_Edits[[#This Row],[BaseFlag]]=1,
   TEXT(Contract_Edits[[#This Row],[Index]],"0"),
   NearestBaseL(TEXT(Contract_Edits[[#This Row],[ParentKey]],"0"),500,editsIdxTxt,editsParentKeyTxt,baseIdxTxt,baseCost)
)</f>
        <v>0</v>
      </c>
      <c r="AM130" s="502" cm="1">
        <f t="array" ref="AM130">1+SUMPRODUCT(
  (Contract_Edits[BaseFlag]=1)*
  (TEXT(Contract_Edits[ParentAnchor],"0")=TEXT(Contract_Edits[[#This Row],[ParentAnchor]],"0"))*
  (VALUE(TEXT(Contract_Edits[Index],"0"))&lt;VALUE(TEXT(Contract_Edits[[#This Row],[Index]],"0")))
)</f>
        <v>1</v>
      </c>
      <c r="AN130" s="50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0">
        <v>148</v>
      </c>
      <c r="M131" s="44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7"/>
      <c r="R131" s="50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1" s="179">
        <v>0</v>
      </c>
      <c r="T131" s="179">
        <v>0</v>
      </c>
      <c r="U131" s="11"/>
      <c r="V131"/>
      <c r="W131" s="22" t="s">
        <v>357</v>
      </c>
      <c r="X131" s="22" t="s">
        <v>603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2">
        <f>--(
  ISNUMBER(SEARCH("BASE PARENT", UPPER(CLEAN(TRIM(_xlfn.XLOOKUP(TEXT(Contract_Edits[[#This Row],[Index]],"0"), baseIdxTxt, baseCost, "")))))) +
  ISNUMBER(SEARCH("DEPENDENCY GROUP", UPPER(CLEAN(TRIM(_xlfn.XLOOKUP(TEXT(Contract_Edits[[#This Row],[Index]],"0"), baseIdxTxt, baseCost, ""))))))
)</f>
        <v>0</v>
      </c>
      <c r="AG131" s="502" t="str" cm="1">
        <f t="array" ref="AG131">IF(Contract_Edits[[#This Row],[BaseFlag]]=1,
   10*BaseDepthL(TEXT(Contract_Edits[[#This Row],[Index]],"0"),500,editsIdxTxt,editsParentKeyTxt,baseIdxTxt,baseCost)-5,
   ""
)</f>
        <v/>
      </c>
      <c r="AH131" s="50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2" t="str">
        <f>IF(Contract_Edits[[#This Row],[Dep]]=0,"Root",
   IF(ISNUMBER(MATCH(Contract_Edits[[#This Row],[Dep]],Contract_Edits[Index],0)),"OK","Missing")
)</f>
        <v>Root</v>
      </c>
      <c r="AJ131" s="502" t="e">
        <f>IF(AND(Contract_Edits[[#This Row],[Dep]]&lt;&gt;0,
        ISNUMBER(MATCH(Contract_Edits[[#This Row],[Dep]], Contract_Edits[Index], 0)),
        INDEX(Contract_Edits[Dep], MATCH(Contract_Edits[[#This Row],[Dep]], Contract_Edits[Index], 0))=Contract_Edits[[#This Row],[Index]]),
   "2-cycle","")</f>
        <v>#N/A</v>
      </c>
      <c r="AK131" s="502" cm="1">
        <f t="array" ref="AK131">IF(Contract_Edits[[#This Row],[BaseFlag]]&lt;&gt;1,0,
   IF(TEXT(Contract_Edits[[#This Row],[Dep]],"0")=TEXT(Contract_Edits[[#This Row],[Index]],"0"),
      0,
      MAX(0, SUMPRODUCT(--(Contract_Edits[BaseFlag]=1),
                        --(TEXT(Contract_Edits[Dep],"0")=TEXT(Contract_Edits[[#This Row],[Dep]],"0"))) - 1)
   )
)</f>
        <v>0</v>
      </c>
      <c r="AL131" s="502" t="str" cm="1">
        <f t="array" ref="AL131">IF(Contract_Edits[[#This Row],[BaseFlag]]=1,
   TEXT(Contract_Edits[[#This Row],[Index]],"0"),
   NearestBaseL(TEXT(Contract_Edits[[#This Row],[ParentKey]],"0"),500,editsIdxTxt,editsParentKeyTxt,baseIdxTxt,baseCost)
)</f>
        <v>0</v>
      </c>
      <c r="AM131" s="502" cm="1">
        <f t="array" ref="AM131">1+SUMPRODUCT(
  (Contract_Edits[BaseFlag]=1)*
  (TEXT(Contract_Edits[ParentAnchor],"0")=TEXT(Contract_Edits[[#This Row],[ParentAnchor]],"0"))*
  (VALUE(TEXT(Contract_Edits[Index],"0"))&lt;VALUE(TEXT(Contract_Edits[[#This Row],[Index]],"0")))
)</f>
        <v>1</v>
      </c>
      <c r="AN131" s="50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0">
        <v>128</v>
      </c>
      <c r="M132" s="44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79"/>
      <c r="R132" s="50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2" s="179">
        <v>0</v>
      </c>
      <c r="T132" s="468"/>
      <c r="U132" s="491"/>
      <c r="V132" s="193"/>
      <c r="W132" s="22" t="s">
        <v>357</v>
      </c>
      <c r="X132" s="483" t="s">
        <v>603</v>
      </c>
      <c r="Y132" s="48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2">
        <f>--(
  ISNUMBER(SEARCH("BASE PARENT", UPPER(CLEAN(TRIM(_xlfn.XLOOKUP(TEXT(Contract_Edits[[#This Row],[Index]],"0"), baseIdxTxt, baseCost, "")))))) +
  ISNUMBER(SEARCH("DEPENDENCY GROUP", UPPER(CLEAN(TRIM(_xlfn.XLOOKUP(TEXT(Contract_Edits[[#This Row],[Index]],"0"), baseIdxTxt, baseCost, ""))))))
)</f>
        <v>0</v>
      </c>
      <c r="AG132" s="502" t="str" cm="1">
        <f t="array" ref="AG132">IF(Contract_Edits[[#This Row],[BaseFlag]]=1,
   10*BaseDepthL(TEXT(Contract_Edits[[#This Row],[Index]],"0"),500,editsIdxTxt,editsParentKeyTxt,baseIdxTxt,baseCost)-5,
   ""
)</f>
        <v/>
      </c>
      <c r="AH132" s="50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2" t="str">
        <f>IF(Contract_Edits[[#This Row],[Dep]]=0,"Root",
   IF(ISNUMBER(MATCH(Contract_Edits[[#This Row],[Dep]],Contract_Edits[Index],0)),"OK","Missing")
)</f>
        <v>Root</v>
      </c>
      <c r="AJ132" s="502" t="e">
        <f>IF(AND(Contract_Edits[[#This Row],[Dep]]&lt;&gt;0,
        ISNUMBER(MATCH(Contract_Edits[[#This Row],[Dep]], Contract_Edits[Index], 0)),
        INDEX(Contract_Edits[Dep], MATCH(Contract_Edits[[#This Row],[Dep]], Contract_Edits[Index], 0))=Contract_Edits[[#This Row],[Index]]),
   "2-cycle","")</f>
        <v>#N/A</v>
      </c>
      <c r="AK132" s="502" cm="1">
        <f t="array" ref="AK132">IF(Contract_Edits[[#This Row],[BaseFlag]]&lt;&gt;1,0,
   IF(TEXT(Contract_Edits[[#This Row],[Dep]],"0")=TEXT(Contract_Edits[[#This Row],[Index]],"0"),
      0,
      MAX(0, SUMPRODUCT(--(Contract_Edits[BaseFlag]=1),
                        --(TEXT(Contract_Edits[Dep],"0")=TEXT(Contract_Edits[[#This Row],[Dep]],"0"))) - 1)
   )
)</f>
        <v>0</v>
      </c>
      <c r="AL132" s="502" t="str" cm="1">
        <f t="array" ref="AL132">IF(Contract_Edits[[#This Row],[BaseFlag]]=1,
   TEXT(Contract_Edits[[#This Row],[Index]],"0"),
   NearestBaseL(TEXT(Contract_Edits[[#This Row],[ParentKey]],"0"),500,editsIdxTxt,editsParentKeyTxt,baseIdxTxt,baseCost)
)</f>
        <v>0</v>
      </c>
      <c r="AM132" s="502" cm="1">
        <f t="array" ref="AM132">1+SUMPRODUCT(
  (Contract_Edits[BaseFlag]=1)*
  (TEXT(Contract_Edits[ParentAnchor],"0")=TEXT(Contract_Edits[[#This Row],[ParentAnchor]],"0"))*
  (VALUE(TEXT(Contract_Edits[Index],"0"))&lt;VALUE(TEXT(Contract_Edits[[#This Row],[Index]],"0")))
)</f>
        <v>1</v>
      </c>
      <c r="AN132" s="50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3">
        <v>152</v>
      </c>
      <c r="M133" s="44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79"/>
      <c r="R133" s="50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3" s="179">
        <v>0</v>
      </c>
      <c r="T133" s="468"/>
      <c r="U133" s="491"/>
      <c r="V133" s="193"/>
      <c r="W133" s="22" t="s">
        <v>357</v>
      </c>
      <c r="Y133" s="48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2">
        <f>--(
  ISNUMBER(SEARCH("BASE PARENT", UPPER(CLEAN(TRIM(_xlfn.XLOOKUP(TEXT(Contract_Edits[[#This Row],[Index]],"0"), baseIdxTxt, baseCost, "")))))) +
  ISNUMBER(SEARCH("DEPENDENCY GROUP", UPPER(CLEAN(TRIM(_xlfn.XLOOKUP(TEXT(Contract_Edits[[#This Row],[Index]],"0"), baseIdxTxt, baseCost, ""))))))
)</f>
        <v>0</v>
      </c>
      <c r="AG133" s="502" t="str" cm="1">
        <f t="array" ref="AG133">IF(Contract_Edits[[#This Row],[BaseFlag]]=1,
   10*BaseDepthL(TEXT(Contract_Edits[[#This Row],[Index]],"0"),500,editsIdxTxt,editsParentKeyTxt,baseIdxTxt,baseCost)-5,
   ""
)</f>
        <v/>
      </c>
      <c r="AH133" s="50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2" t="str">
        <f>IF(Contract_Edits[[#This Row],[Dep]]=0,"Root",
   IF(ISNUMBER(MATCH(Contract_Edits[[#This Row],[Dep]],Contract_Edits[Index],0)),"OK","Missing")
)</f>
        <v>Root</v>
      </c>
      <c r="AJ133" s="502" t="e">
        <f>IF(AND(Contract_Edits[[#This Row],[Dep]]&lt;&gt;0,
        ISNUMBER(MATCH(Contract_Edits[[#This Row],[Dep]], Contract_Edits[Index], 0)),
        INDEX(Contract_Edits[Dep], MATCH(Contract_Edits[[#This Row],[Dep]], Contract_Edits[Index], 0))=Contract_Edits[[#This Row],[Index]]),
   "2-cycle","")</f>
        <v>#N/A</v>
      </c>
      <c r="AK133" s="502" cm="1">
        <f t="array" ref="AK133">IF(Contract_Edits[[#This Row],[BaseFlag]]&lt;&gt;1,0,
   IF(TEXT(Contract_Edits[[#This Row],[Dep]],"0")=TEXT(Contract_Edits[[#This Row],[Index]],"0"),
      0,
      MAX(0, SUMPRODUCT(--(Contract_Edits[BaseFlag]=1),
                        --(TEXT(Contract_Edits[Dep],"0")=TEXT(Contract_Edits[[#This Row],[Dep]],"0"))) - 1)
   )
)</f>
        <v>0</v>
      </c>
      <c r="AL133" s="502" t="str" cm="1">
        <f t="array" ref="AL133">IF(Contract_Edits[[#This Row],[BaseFlag]]=1,
   TEXT(Contract_Edits[[#This Row],[Index]],"0"),
   NearestBaseL(TEXT(Contract_Edits[[#This Row],[ParentKey]],"0"),500,editsIdxTxt,editsParentKeyTxt,baseIdxTxt,baseCost)
)</f>
        <v>0</v>
      </c>
      <c r="AM133" s="502" cm="1">
        <f t="array" ref="AM133">1+SUMPRODUCT(
  (Contract_Edits[BaseFlag]=1)*
  (TEXT(Contract_Edits[ParentAnchor],"0")=TEXT(Contract_Edits[[#This Row],[ParentAnchor]],"0"))*
  (VALUE(TEXT(Contract_Edits[Index],"0"))&lt;VALUE(TEXT(Contract_Edits[[#This Row],[Index]],"0")))
)</f>
        <v>1</v>
      </c>
      <c r="AN133" s="50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0">
        <v>153</v>
      </c>
      <c r="M134" s="44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79"/>
      <c r="R134" s="50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4" s="179">
        <v>0</v>
      </c>
      <c r="T134" s="468"/>
      <c r="U134" s="491"/>
      <c r="V134" s="193"/>
      <c r="W134" s="22" t="s">
        <v>357</v>
      </c>
      <c r="Y134" s="48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2">
        <f>--(
  ISNUMBER(SEARCH("BASE PARENT", UPPER(CLEAN(TRIM(_xlfn.XLOOKUP(TEXT(Contract_Edits[[#This Row],[Index]],"0"), baseIdxTxt, baseCost, "")))))) +
  ISNUMBER(SEARCH("DEPENDENCY GROUP", UPPER(CLEAN(TRIM(_xlfn.XLOOKUP(TEXT(Contract_Edits[[#This Row],[Index]],"0"), baseIdxTxt, baseCost, ""))))))
)</f>
        <v>0</v>
      </c>
      <c r="AG134" s="502" t="str" cm="1">
        <f t="array" ref="AG134">IF(Contract_Edits[[#This Row],[BaseFlag]]=1,
   10*BaseDepthL(TEXT(Contract_Edits[[#This Row],[Index]],"0"),500,editsIdxTxt,editsParentKeyTxt,baseIdxTxt,baseCost)-5,
   ""
)</f>
        <v/>
      </c>
      <c r="AH134" s="50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2" t="str">
        <f>IF(Contract_Edits[[#This Row],[Dep]]=0,"Root",
   IF(ISNUMBER(MATCH(Contract_Edits[[#This Row],[Dep]],Contract_Edits[Index],0)),"OK","Missing")
)</f>
        <v>Root</v>
      </c>
      <c r="AJ134" s="502" t="e">
        <f>IF(AND(Contract_Edits[[#This Row],[Dep]]&lt;&gt;0,
        ISNUMBER(MATCH(Contract_Edits[[#This Row],[Dep]], Contract_Edits[Index], 0)),
        INDEX(Contract_Edits[Dep], MATCH(Contract_Edits[[#This Row],[Dep]], Contract_Edits[Index], 0))=Contract_Edits[[#This Row],[Index]]),
   "2-cycle","")</f>
        <v>#N/A</v>
      </c>
      <c r="AK134" s="502" cm="1">
        <f t="array" ref="AK134">IF(Contract_Edits[[#This Row],[BaseFlag]]&lt;&gt;1,0,
   IF(TEXT(Contract_Edits[[#This Row],[Dep]],"0")=TEXT(Contract_Edits[[#This Row],[Index]],"0"),
      0,
      MAX(0, SUMPRODUCT(--(Contract_Edits[BaseFlag]=1),
                        --(TEXT(Contract_Edits[Dep],"0")=TEXT(Contract_Edits[[#This Row],[Dep]],"0"))) - 1)
   )
)</f>
        <v>0</v>
      </c>
      <c r="AL134" s="502" t="str" cm="1">
        <f t="array" ref="AL134">IF(Contract_Edits[[#This Row],[BaseFlag]]=1,
   TEXT(Contract_Edits[[#This Row],[Index]],"0"),
   NearestBaseL(TEXT(Contract_Edits[[#This Row],[ParentKey]],"0"),500,editsIdxTxt,editsParentKeyTxt,baseIdxTxt,baseCost)
)</f>
        <v>0</v>
      </c>
      <c r="AM134" s="502" cm="1">
        <f t="array" ref="AM134">1+SUMPRODUCT(
  (Contract_Edits[BaseFlag]=1)*
  (TEXT(Contract_Edits[ParentAnchor],"0")=TEXT(Contract_Edits[[#This Row],[ParentAnchor]],"0"))*
  (VALUE(TEXT(Contract_Edits[Index],"0"))&lt;VALUE(TEXT(Contract_Edits[[#This Row],[Index]],"0")))
)</f>
        <v>1</v>
      </c>
      <c r="AN134" s="50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0">
        <v>129</v>
      </c>
      <c r="M135" s="44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7"/>
      <c r="R135" s="50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5" s="179">
        <v>0</v>
      </c>
      <c r="T135" s="179">
        <v>0</v>
      </c>
      <c r="U135" s="11"/>
      <c r="V135"/>
      <c r="W135" s="22" t="s">
        <v>357</v>
      </c>
      <c r="X135" s="22" t="s">
        <v>603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2">
        <f>--(
  ISNUMBER(SEARCH("BASE PARENT", UPPER(CLEAN(TRIM(_xlfn.XLOOKUP(TEXT(Contract_Edits[[#This Row],[Index]],"0"), baseIdxTxt, baseCost, "")))))) +
  ISNUMBER(SEARCH("DEPENDENCY GROUP", UPPER(CLEAN(TRIM(_xlfn.XLOOKUP(TEXT(Contract_Edits[[#This Row],[Index]],"0"), baseIdxTxt, baseCost, ""))))))
)</f>
        <v>0</v>
      </c>
      <c r="AG135" s="502" t="str" cm="1">
        <f t="array" ref="AG135">IF(Contract_Edits[[#This Row],[BaseFlag]]=1,
   10*BaseDepthL(TEXT(Contract_Edits[[#This Row],[Index]],"0"),500,editsIdxTxt,editsParentKeyTxt,baseIdxTxt,baseCost)-5,
   ""
)</f>
        <v/>
      </c>
      <c r="AH135" s="50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2" t="str">
        <f>IF(Contract_Edits[[#This Row],[Dep]]=0,"Root",
   IF(ISNUMBER(MATCH(Contract_Edits[[#This Row],[Dep]],Contract_Edits[Index],0)),"OK","Missing")
)</f>
        <v>Root</v>
      </c>
      <c r="AJ135" s="502" t="e">
        <f>IF(AND(Contract_Edits[[#This Row],[Dep]]&lt;&gt;0,
        ISNUMBER(MATCH(Contract_Edits[[#This Row],[Dep]], Contract_Edits[Index], 0)),
        INDEX(Contract_Edits[Dep], MATCH(Contract_Edits[[#This Row],[Dep]], Contract_Edits[Index], 0))=Contract_Edits[[#This Row],[Index]]),
   "2-cycle","")</f>
        <v>#N/A</v>
      </c>
      <c r="AK135" s="502" cm="1">
        <f t="array" ref="AK135">IF(Contract_Edits[[#This Row],[BaseFlag]]&lt;&gt;1,0,
   IF(TEXT(Contract_Edits[[#This Row],[Dep]],"0")=TEXT(Contract_Edits[[#This Row],[Index]],"0"),
      0,
      MAX(0, SUMPRODUCT(--(Contract_Edits[BaseFlag]=1),
                        --(TEXT(Contract_Edits[Dep],"0")=TEXT(Contract_Edits[[#This Row],[Dep]],"0"))) - 1)
   )
)</f>
        <v>0</v>
      </c>
      <c r="AL135" s="502" t="str" cm="1">
        <f t="array" ref="AL135">IF(Contract_Edits[[#This Row],[BaseFlag]]=1,
   TEXT(Contract_Edits[[#This Row],[Index]],"0"),
   NearestBaseL(TEXT(Contract_Edits[[#This Row],[ParentKey]],"0"),500,editsIdxTxt,editsParentKeyTxt,baseIdxTxt,baseCost)
)</f>
        <v>0</v>
      </c>
      <c r="AM135" s="502" cm="1">
        <f t="array" ref="AM135">1+SUMPRODUCT(
  (Contract_Edits[BaseFlag]=1)*
  (TEXT(Contract_Edits[ParentAnchor],"0")=TEXT(Contract_Edits[[#This Row],[ParentAnchor]],"0"))*
  (VALUE(TEXT(Contract_Edits[Index],"0"))&lt;VALUE(TEXT(Contract_Edits[[#This Row],[Index]],"0")))
)</f>
        <v>1</v>
      </c>
      <c r="AN135" s="50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0">
        <v>154</v>
      </c>
      <c r="M136" s="44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79"/>
      <c r="R136" s="50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6" s="179">
        <v>0</v>
      </c>
      <c r="T136" s="468"/>
      <c r="U136" s="491"/>
      <c r="V136" s="193"/>
      <c r="W136" s="22" t="s">
        <v>357</v>
      </c>
      <c r="Y136" s="48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2">
        <f>--(
  ISNUMBER(SEARCH("BASE PARENT", UPPER(CLEAN(TRIM(_xlfn.XLOOKUP(TEXT(Contract_Edits[[#This Row],[Index]],"0"), baseIdxTxt, baseCost, "")))))) +
  ISNUMBER(SEARCH("DEPENDENCY GROUP", UPPER(CLEAN(TRIM(_xlfn.XLOOKUP(TEXT(Contract_Edits[[#This Row],[Index]],"0"), baseIdxTxt, baseCost, ""))))))
)</f>
        <v>0</v>
      </c>
      <c r="AG136" s="502" t="str" cm="1">
        <f t="array" ref="AG136">IF(Contract_Edits[[#This Row],[BaseFlag]]=1,
   10*BaseDepthL(TEXT(Contract_Edits[[#This Row],[Index]],"0"),500,editsIdxTxt,editsParentKeyTxt,baseIdxTxt,baseCost)-5,
   ""
)</f>
        <v/>
      </c>
      <c r="AH136" s="50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2" t="str">
        <f>IF(Contract_Edits[[#This Row],[Dep]]=0,"Root",
   IF(ISNUMBER(MATCH(Contract_Edits[[#This Row],[Dep]],Contract_Edits[Index],0)),"OK","Missing")
)</f>
        <v>Root</v>
      </c>
      <c r="AJ136" s="502" t="e">
        <f>IF(AND(Contract_Edits[[#This Row],[Dep]]&lt;&gt;0,
        ISNUMBER(MATCH(Contract_Edits[[#This Row],[Dep]], Contract_Edits[Index], 0)),
        INDEX(Contract_Edits[Dep], MATCH(Contract_Edits[[#This Row],[Dep]], Contract_Edits[Index], 0))=Contract_Edits[[#This Row],[Index]]),
   "2-cycle","")</f>
        <v>#N/A</v>
      </c>
      <c r="AK136" s="502" cm="1">
        <f t="array" ref="AK136">IF(Contract_Edits[[#This Row],[BaseFlag]]&lt;&gt;1,0,
   IF(TEXT(Contract_Edits[[#This Row],[Dep]],"0")=TEXT(Contract_Edits[[#This Row],[Index]],"0"),
      0,
      MAX(0, SUMPRODUCT(--(Contract_Edits[BaseFlag]=1),
                        --(TEXT(Contract_Edits[Dep],"0")=TEXT(Contract_Edits[[#This Row],[Dep]],"0"))) - 1)
   )
)</f>
        <v>0</v>
      </c>
      <c r="AL136" s="502" t="str" cm="1">
        <f t="array" ref="AL136">IF(Contract_Edits[[#This Row],[BaseFlag]]=1,
   TEXT(Contract_Edits[[#This Row],[Index]],"0"),
   NearestBaseL(TEXT(Contract_Edits[[#This Row],[ParentKey]],"0"),500,editsIdxTxt,editsParentKeyTxt,baseIdxTxt,baseCost)
)</f>
        <v>0</v>
      </c>
      <c r="AM136" s="502" cm="1">
        <f t="array" ref="AM136">1+SUMPRODUCT(
  (Contract_Edits[BaseFlag]=1)*
  (TEXT(Contract_Edits[ParentAnchor],"0")=TEXT(Contract_Edits[[#This Row],[ParentAnchor]],"0"))*
  (VALUE(TEXT(Contract_Edits[Index],"0"))&lt;VALUE(TEXT(Contract_Edits[[#This Row],[Index]],"0")))
)</f>
        <v>1</v>
      </c>
      <c r="AN136" s="50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0">
        <v>107</v>
      </c>
      <c r="M137" s="44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7"/>
      <c r="R137" s="50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7" s="179">
        <v>0</v>
      </c>
      <c r="T137" s="179">
        <v>0</v>
      </c>
      <c r="U137" s="11"/>
      <c r="V137"/>
      <c r="W137" s="22" t="s">
        <v>357</v>
      </c>
      <c r="X137" s="22" t="s">
        <v>603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2">
        <f>--(
  ISNUMBER(SEARCH("BASE PARENT", UPPER(CLEAN(TRIM(_xlfn.XLOOKUP(TEXT(Contract_Edits[[#This Row],[Index]],"0"), baseIdxTxt, baseCost, "")))))) +
  ISNUMBER(SEARCH("DEPENDENCY GROUP", UPPER(CLEAN(TRIM(_xlfn.XLOOKUP(TEXT(Contract_Edits[[#This Row],[Index]],"0"), baseIdxTxt, baseCost, ""))))))
)</f>
        <v>0</v>
      </c>
      <c r="AG137" s="502" t="str" cm="1">
        <f t="array" ref="AG137">IF(Contract_Edits[[#This Row],[BaseFlag]]=1,
   10*BaseDepthL(TEXT(Contract_Edits[[#This Row],[Index]],"0"),500,editsIdxTxt,editsParentKeyTxt,baseIdxTxt,baseCost)-5,
   ""
)</f>
        <v/>
      </c>
      <c r="AH137" s="50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2" t="str">
        <f>IF(Contract_Edits[[#This Row],[Dep]]=0,"Root",
   IF(ISNUMBER(MATCH(Contract_Edits[[#This Row],[Dep]],Contract_Edits[Index],0)),"OK","Missing")
)</f>
        <v>Root</v>
      </c>
      <c r="AJ137" s="502" t="e">
        <f>IF(AND(Contract_Edits[[#This Row],[Dep]]&lt;&gt;0,
        ISNUMBER(MATCH(Contract_Edits[[#This Row],[Dep]], Contract_Edits[Index], 0)),
        INDEX(Contract_Edits[Dep], MATCH(Contract_Edits[[#This Row],[Dep]], Contract_Edits[Index], 0))=Contract_Edits[[#This Row],[Index]]),
   "2-cycle","")</f>
        <v>#N/A</v>
      </c>
      <c r="AK137" s="502" cm="1">
        <f t="array" ref="AK137">IF(Contract_Edits[[#This Row],[BaseFlag]]&lt;&gt;1,0,
   IF(TEXT(Contract_Edits[[#This Row],[Dep]],"0")=TEXT(Contract_Edits[[#This Row],[Index]],"0"),
      0,
      MAX(0, SUMPRODUCT(--(Contract_Edits[BaseFlag]=1),
                        --(TEXT(Contract_Edits[Dep],"0")=TEXT(Contract_Edits[[#This Row],[Dep]],"0"))) - 1)
   )
)</f>
        <v>0</v>
      </c>
      <c r="AL137" s="502" t="str" cm="1">
        <f t="array" ref="AL137">IF(Contract_Edits[[#This Row],[BaseFlag]]=1,
   TEXT(Contract_Edits[[#This Row],[Index]],"0"),
   NearestBaseL(TEXT(Contract_Edits[[#This Row],[ParentKey]],"0"),500,editsIdxTxt,editsParentKeyTxt,baseIdxTxt,baseCost)
)</f>
        <v>0</v>
      </c>
      <c r="AM137" s="502" cm="1">
        <f t="array" ref="AM137">1+SUMPRODUCT(
  (Contract_Edits[BaseFlag]=1)*
  (TEXT(Contract_Edits[ParentAnchor],"0")=TEXT(Contract_Edits[[#This Row],[ParentAnchor]],"0"))*
  (VALUE(TEXT(Contract_Edits[Index],"0"))&lt;VALUE(TEXT(Contract_Edits[[#This Row],[Index]],"0")))
)</f>
        <v>1</v>
      </c>
      <c r="AN137" s="50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0">
        <v>130</v>
      </c>
      <c r="M138" s="44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7"/>
      <c r="R138" s="50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8" s="179">
        <v>0</v>
      </c>
      <c r="T138" s="179">
        <v>0</v>
      </c>
      <c r="U138" s="11"/>
      <c r="V138"/>
      <c r="W138" s="22" t="s">
        <v>357</v>
      </c>
      <c r="X138" s="22" t="s">
        <v>603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2">
        <f>--(
  ISNUMBER(SEARCH("BASE PARENT", UPPER(CLEAN(TRIM(_xlfn.XLOOKUP(TEXT(Contract_Edits[[#This Row],[Index]],"0"), baseIdxTxt, baseCost, "")))))) +
  ISNUMBER(SEARCH("DEPENDENCY GROUP", UPPER(CLEAN(TRIM(_xlfn.XLOOKUP(TEXT(Contract_Edits[[#This Row],[Index]],"0"), baseIdxTxt, baseCost, ""))))))
)</f>
        <v>0</v>
      </c>
      <c r="AG138" s="502" t="str" cm="1">
        <f t="array" ref="AG138">IF(Contract_Edits[[#This Row],[BaseFlag]]=1,
   10*BaseDepthL(TEXT(Contract_Edits[[#This Row],[Index]],"0"),500,editsIdxTxt,editsParentKeyTxt,baseIdxTxt,baseCost)-5,
   ""
)</f>
        <v/>
      </c>
      <c r="AH138" s="50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2" t="str">
        <f>IF(Contract_Edits[[#This Row],[Dep]]=0,"Root",
   IF(ISNUMBER(MATCH(Contract_Edits[[#This Row],[Dep]],Contract_Edits[Index],0)),"OK","Missing")
)</f>
        <v>Root</v>
      </c>
      <c r="AJ138" s="502" t="e">
        <f>IF(AND(Contract_Edits[[#This Row],[Dep]]&lt;&gt;0,
        ISNUMBER(MATCH(Contract_Edits[[#This Row],[Dep]], Contract_Edits[Index], 0)),
        INDEX(Contract_Edits[Dep], MATCH(Contract_Edits[[#This Row],[Dep]], Contract_Edits[Index], 0))=Contract_Edits[[#This Row],[Index]]),
   "2-cycle","")</f>
        <v>#N/A</v>
      </c>
      <c r="AK138" s="502" cm="1">
        <f t="array" ref="AK138">IF(Contract_Edits[[#This Row],[BaseFlag]]&lt;&gt;1,0,
   IF(TEXT(Contract_Edits[[#This Row],[Dep]],"0")=TEXT(Contract_Edits[[#This Row],[Index]],"0"),
      0,
      MAX(0, SUMPRODUCT(--(Contract_Edits[BaseFlag]=1),
                        --(TEXT(Contract_Edits[Dep],"0")=TEXT(Contract_Edits[[#This Row],[Dep]],"0"))) - 1)
   )
)</f>
        <v>0</v>
      </c>
      <c r="AL138" s="502" t="str" cm="1">
        <f t="array" ref="AL138">IF(Contract_Edits[[#This Row],[BaseFlag]]=1,
   TEXT(Contract_Edits[[#This Row],[Index]],"0"),
   NearestBaseL(TEXT(Contract_Edits[[#This Row],[ParentKey]],"0"),500,editsIdxTxt,editsParentKeyTxt,baseIdxTxt,baseCost)
)</f>
        <v>0</v>
      </c>
      <c r="AM138" s="502" cm="1">
        <f t="array" ref="AM138">1+SUMPRODUCT(
  (Contract_Edits[BaseFlag]=1)*
  (TEXT(Contract_Edits[ParentAnchor],"0")=TEXT(Contract_Edits[[#This Row],[ParentAnchor]],"0"))*
  (VALUE(TEXT(Contract_Edits[Index],"0"))&lt;VALUE(TEXT(Contract_Edits[[#This Row],[Index]],"0")))
)</f>
        <v>1</v>
      </c>
      <c r="AN138" s="50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0">
        <v>109</v>
      </c>
      <c r="M139" s="44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7"/>
      <c r="R139" s="50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39" s="179">
        <v>0</v>
      </c>
      <c r="T139" s="179">
        <v>0</v>
      </c>
      <c r="U139" s="11"/>
      <c r="V139"/>
      <c r="W139" s="22" t="s">
        <v>357</v>
      </c>
      <c r="X139" s="22" t="s">
        <v>603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2">
        <f>--(
  ISNUMBER(SEARCH("BASE PARENT", UPPER(CLEAN(TRIM(_xlfn.XLOOKUP(TEXT(Contract_Edits[[#This Row],[Index]],"0"), baseIdxTxt, baseCost, "")))))) +
  ISNUMBER(SEARCH("DEPENDENCY GROUP", UPPER(CLEAN(TRIM(_xlfn.XLOOKUP(TEXT(Contract_Edits[[#This Row],[Index]],"0"), baseIdxTxt, baseCost, ""))))))
)</f>
        <v>0</v>
      </c>
      <c r="AG139" s="502" t="str" cm="1">
        <f t="array" ref="AG139">IF(Contract_Edits[[#This Row],[BaseFlag]]=1,
   10*BaseDepthL(TEXT(Contract_Edits[[#This Row],[Index]],"0"),500,editsIdxTxt,editsParentKeyTxt,baseIdxTxt,baseCost)-5,
   ""
)</f>
        <v/>
      </c>
      <c r="AH139" s="50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2" t="str">
        <f>IF(Contract_Edits[[#This Row],[Dep]]=0,"Root",
   IF(ISNUMBER(MATCH(Contract_Edits[[#This Row],[Dep]],Contract_Edits[Index],0)),"OK","Missing")
)</f>
        <v>Root</v>
      </c>
      <c r="AJ139" s="502" t="e">
        <f>IF(AND(Contract_Edits[[#This Row],[Dep]]&lt;&gt;0,
        ISNUMBER(MATCH(Contract_Edits[[#This Row],[Dep]], Contract_Edits[Index], 0)),
        INDEX(Contract_Edits[Dep], MATCH(Contract_Edits[[#This Row],[Dep]], Contract_Edits[Index], 0))=Contract_Edits[[#This Row],[Index]]),
   "2-cycle","")</f>
        <v>#N/A</v>
      </c>
      <c r="AK139" s="502" cm="1">
        <f t="array" ref="AK139">IF(Contract_Edits[[#This Row],[BaseFlag]]&lt;&gt;1,0,
   IF(TEXT(Contract_Edits[[#This Row],[Dep]],"0")=TEXT(Contract_Edits[[#This Row],[Index]],"0"),
      0,
      MAX(0, SUMPRODUCT(--(Contract_Edits[BaseFlag]=1),
                        --(TEXT(Contract_Edits[Dep],"0")=TEXT(Contract_Edits[[#This Row],[Dep]],"0"))) - 1)
   )
)</f>
        <v>0</v>
      </c>
      <c r="AL139" s="502" t="str" cm="1">
        <f t="array" ref="AL139">IF(Contract_Edits[[#This Row],[BaseFlag]]=1,
   TEXT(Contract_Edits[[#This Row],[Index]],"0"),
   NearestBaseL(TEXT(Contract_Edits[[#This Row],[ParentKey]],"0"),500,editsIdxTxt,editsParentKeyTxt,baseIdxTxt,baseCost)
)</f>
        <v>0</v>
      </c>
      <c r="AM139" s="502" cm="1">
        <f t="array" ref="AM139">1+SUMPRODUCT(
  (Contract_Edits[BaseFlag]=1)*
  (TEXT(Contract_Edits[ParentAnchor],"0")=TEXT(Contract_Edits[[#This Row],[ParentAnchor]],"0"))*
  (VALUE(TEXT(Contract_Edits[Index],"0"))&lt;VALUE(TEXT(Contract_Edits[[#This Row],[Index]],"0")))
)</f>
        <v>1</v>
      </c>
      <c r="AN139" s="50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0">
        <v>155</v>
      </c>
      <c r="M140" s="44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79"/>
      <c r="R140" s="50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0" s="179">
        <v>0</v>
      </c>
      <c r="T140" s="468"/>
      <c r="U140" s="491"/>
      <c r="V140" s="193"/>
      <c r="W140" s="22" t="s">
        <v>357</v>
      </c>
      <c r="Y140" s="48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2">
        <f>--(
  ISNUMBER(SEARCH("BASE PARENT", UPPER(CLEAN(TRIM(_xlfn.XLOOKUP(TEXT(Contract_Edits[[#This Row],[Index]],"0"), baseIdxTxt, baseCost, "")))))) +
  ISNUMBER(SEARCH("DEPENDENCY GROUP", UPPER(CLEAN(TRIM(_xlfn.XLOOKUP(TEXT(Contract_Edits[[#This Row],[Index]],"0"), baseIdxTxt, baseCost, ""))))))
)</f>
        <v>0</v>
      </c>
      <c r="AG140" s="502" t="str" cm="1">
        <f t="array" ref="AG140">IF(Contract_Edits[[#This Row],[BaseFlag]]=1,
   10*BaseDepthL(TEXT(Contract_Edits[[#This Row],[Index]],"0"),500,editsIdxTxt,editsParentKeyTxt,baseIdxTxt,baseCost)-5,
   ""
)</f>
        <v/>
      </c>
      <c r="AH140" s="50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2" t="str">
        <f>IF(Contract_Edits[[#This Row],[Dep]]=0,"Root",
   IF(ISNUMBER(MATCH(Contract_Edits[[#This Row],[Dep]],Contract_Edits[Index],0)),"OK","Missing")
)</f>
        <v>Root</v>
      </c>
      <c r="AJ140" s="502" t="e">
        <f>IF(AND(Contract_Edits[[#This Row],[Dep]]&lt;&gt;0,
        ISNUMBER(MATCH(Contract_Edits[[#This Row],[Dep]], Contract_Edits[Index], 0)),
        INDEX(Contract_Edits[Dep], MATCH(Contract_Edits[[#This Row],[Dep]], Contract_Edits[Index], 0))=Contract_Edits[[#This Row],[Index]]),
   "2-cycle","")</f>
        <v>#N/A</v>
      </c>
      <c r="AK140" s="502" cm="1">
        <f t="array" ref="AK140">IF(Contract_Edits[[#This Row],[BaseFlag]]&lt;&gt;1,0,
   IF(TEXT(Contract_Edits[[#This Row],[Dep]],"0")=TEXT(Contract_Edits[[#This Row],[Index]],"0"),
      0,
      MAX(0, SUMPRODUCT(--(Contract_Edits[BaseFlag]=1),
                        --(TEXT(Contract_Edits[Dep],"0")=TEXT(Contract_Edits[[#This Row],[Dep]],"0"))) - 1)
   )
)</f>
        <v>0</v>
      </c>
      <c r="AL140" s="502" t="str" cm="1">
        <f t="array" ref="AL140">IF(Contract_Edits[[#This Row],[BaseFlag]]=1,
   TEXT(Contract_Edits[[#This Row],[Index]],"0"),
   NearestBaseL(TEXT(Contract_Edits[[#This Row],[ParentKey]],"0"),500,editsIdxTxt,editsParentKeyTxt,baseIdxTxt,baseCost)
)</f>
        <v>0</v>
      </c>
      <c r="AM140" s="502" cm="1">
        <f t="array" ref="AM140">1+SUMPRODUCT(
  (Contract_Edits[BaseFlag]=1)*
  (TEXT(Contract_Edits[ParentAnchor],"0")=TEXT(Contract_Edits[[#This Row],[ParentAnchor]],"0"))*
  (VALUE(TEXT(Contract_Edits[Index],"0"))&lt;VALUE(TEXT(Contract_Edits[[#This Row],[Index]],"0")))
)</f>
        <v>1</v>
      </c>
      <c r="AN140" s="50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0">
        <v>103</v>
      </c>
      <c r="M141" s="44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79"/>
      <c r="R141" s="50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1" s="179">
        <v>0</v>
      </c>
      <c r="T141" s="468"/>
      <c r="U141" s="491"/>
      <c r="V141" s="193"/>
      <c r="W141" s="22" t="s">
        <v>357</v>
      </c>
      <c r="X141" s="483" t="s">
        <v>603</v>
      </c>
      <c r="Y141" s="48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2">
        <f>--(
  ISNUMBER(SEARCH("BASE PARENT", UPPER(CLEAN(TRIM(_xlfn.XLOOKUP(TEXT(Contract_Edits[[#This Row],[Index]],"0"), baseIdxTxt, baseCost, "")))))) +
  ISNUMBER(SEARCH("DEPENDENCY GROUP", UPPER(CLEAN(TRIM(_xlfn.XLOOKUP(TEXT(Contract_Edits[[#This Row],[Index]],"0"), baseIdxTxt, baseCost, ""))))))
)</f>
        <v>0</v>
      </c>
      <c r="AG141" s="502" t="str" cm="1">
        <f t="array" ref="AG141">IF(Contract_Edits[[#This Row],[BaseFlag]]=1,
   10*BaseDepthL(TEXT(Contract_Edits[[#This Row],[Index]],"0"),500,editsIdxTxt,editsParentKeyTxt,baseIdxTxt,baseCost)-5,
   ""
)</f>
        <v/>
      </c>
      <c r="AH141" s="50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2" t="str">
        <f>IF(Contract_Edits[[#This Row],[Dep]]=0,"Root",
   IF(ISNUMBER(MATCH(Contract_Edits[[#This Row],[Dep]],Contract_Edits[Index],0)),"OK","Missing")
)</f>
        <v>Root</v>
      </c>
      <c r="AJ141" s="502" t="e">
        <f>IF(AND(Contract_Edits[[#This Row],[Dep]]&lt;&gt;0,
        ISNUMBER(MATCH(Contract_Edits[[#This Row],[Dep]], Contract_Edits[Index], 0)),
        INDEX(Contract_Edits[Dep], MATCH(Contract_Edits[[#This Row],[Dep]], Contract_Edits[Index], 0))=Contract_Edits[[#This Row],[Index]]),
   "2-cycle","")</f>
        <v>#N/A</v>
      </c>
      <c r="AK141" s="502" cm="1">
        <f t="array" ref="AK141">IF(Contract_Edits[[#This Row],[BaseFlag]]&lt;&gt;1,0,
   IF(TEXT(Contract_Edits[[#This Row],[Dep]],"0")=TEXT(Contract_Edits[[#This Row],[Index]],"0"),
      0,
      MAX(0, SUMPRODUCT(--(Contract_Edits[BaseFlag]=1),
                        --(TEXT(Contract_Edits[Dep],"0")=TEXT(Contract_Edits[[#This Row],[Dep]],"0"))) - 1)
   )
)</f>
        <v>0</v>
      </c>
      <c r="AL141" s="502" t="str" cm="1">
        <f t="array" ref="AL141">IF(Contract_Edits[[#This Row],[BaseFlag]]=1,
   TEXT(Contract_Edits[[#This Row],[Index]],"0"),
   NearestBaseL(TEXT(Contract_Edits[[#This Row],[ParentKey]],"0"),500,editsIdxTxt,editsParentKeyTxt,baseIdxTxt,baseCost)
)</f>
        <v>0</v>
      </c>
      <c r="AM141" s="502" cm="1">
        <f t="array" ref="AM141">1+SUMPRODUCT(
  (Contract_Edits[BaseFlag]=1)*
  (TEXT(Contract_Edits[ParentAnchor],"0")=TEXT(Contract_Edits[[#This Row],[ParentAnchor]],"0"))*
  (VALUE(TEXT(Contract_Edits[Index],"0"))&lt;VALUE(TEXT(Contract_Edits[[#This Row],[Index]],"0")))
)</f>
        <v>1</v>
      </c>
      <c r="AN141" s="50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0">
        <v>131</v>
      </c>
      <c r="M142" s="44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79"/>
      <c r="R142" s="50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2" s="179">
        <v>0</v>
      </c>
      <c r="T142" s="468"/>
      <c r="U142" s="491"/>
      <c r="V142" s="193"/>
      <c r="W142" s="22" t="s">
        <v>357</v>
      </c>
      <c r="X142" s="483" t="s">
        <v>603</v>
      </c>
      <c r="Y142" s="48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2">
        <f>--(
  ISNUMBER(SEARCH("BASE PARENT", UPPER(CLEAN(TRIM(_xlfn.XLOOKUP(TEXT(Contract_Edits[[#This Row],[Index]],"0"), baseIdxTxt, baseCost, "")))))) +
  ISNUMBER(SEARCH("DEPENDENCY GROUP", UPPER(CLEAN(TRIM(_xlfn.XLOOKUP(TEXT(Contract_Edits[[#This Row],[Index]],"0"), baseIdxTxt, baseCost, ""))))))
)</f>
        <v>0</v>
      </c>
      <c r="AG142" s="502" t="str" cm="1">
        <f t="array" ref="AG142">IF(Contract_Edits[[#This Row],[BaseFlag]]=1,
   10*BaseDepthL(TEXT(Contract_Edits[[#This Row],[Index]],"0"),500,editsIdxTxt,editsParentKeyTxt,baseIdxTxt,baseCost)-5,
   ""
)</f>
        <v/>
      </c>
      <c r="AH142" s="50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2" t="str">
        <f>IF(Contract_Edits[[#This Row],[Dep]]=0,"Root",
   IF(ISNUMBER(MATCH(Contract_Edits[[#This Row],[Dep]],Contract_Edits[Index],0)),"OK","Missing")
)</f>
        <v>Root</v>
      </c>
      <c r="AJ142" s="502" t="e">
        <f>IF(AND(Contract_Edits[[#This Row],[Dep]]&lt;&gt;0,
        ISNUMBER(MATCH(Contract_Edits[[#This Row],[Dep]], Contract_Edits[Index], 0)),
        INDEX(Contract_Edits[Dep], MATCH(Contract_Edits[[#This Row],[Dep]], Contract_Edits[Index], 0))=Contract_Edits[[#This Row],[Index]]),
   "2-cycle","")</f>
        <v>#N/A</v>
      </c>
      <c r="AK142" s="502" cm="1">
        <f t="array" ref="AK142">IF(Contract_Edits[[#This Row],[BaseFlag]]&lt;&gt;1,0,
   IF(TEXT(Contract_Edits[[#This Row],[Dep]],"0")=TEXT(Contract_Edits[[#This Row],[Index]],"0"),
      0,
      MAX(0, SUMPRODUCT(--(Contract_Edits[BaseFlag]=1),
                        --(TEXT(Contract_Edits[Dep],"0")=TEXT(Contract_Edits[[#This Row],[Dep]],"0"))) - 1)
   )
)</f>
        <v>0</v>
      </c>
      <c r="AL142" s="502" t="str" cm="1">
        <f t="array" ref="AL142">IF(Contract_Edits[[#This Row],[BaseFlag]]=1,
   TEXT(Contract_Edits[[#This Row],[Index]],"0"),
   NearestBaseL(TEXT(Contract_Edits[[#This Row],[ParentKey]],"0"),500,editsIdxTxt,editsParentKeyTxt,baseIdxTxt,baseCost)
)</f>
        <v>0</v>
      </c>
      <c r="AM142" s="502" cm="1">
        <f t="array" ref="AM142">1+SUMPRODUCT(
  (Contract_Edits[BaseFlag]=1)*
  (TEXT(Contract_Edits[ParentAnchor],"0")=TEXT(Contract_Edits[[#This Row],[ParentAnchor]],"0"))*
  (VALUE(TEXT(Contract_Edits[Index],"0"))&lt;VALUE(TEXT(Contract_Edits[[#This Row],[Index]],"0")))
)</f>
        <v>1</v>
      </c>
      <c r="AN142" s="50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0">
        <v>132</v>
      </c>
      <c r="M143" s="44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7"/>
      <c r="R143" s="50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3" s="179">
        <v>0</v>
      </c>
      <c r="T143" s="179">
        <v>0</v>
      </c>
      <c r="U143" s="11"/>
      <c r="V143"/>
      <c r="W143" s="22" t="s">
        <v>357</v>
      </c>
      <c r="X143" s="22" t="s">
        <v>603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2">
        <f>--(
  ISNUMBER(SEARCH("BASE PARENT", UPPER(CLEAN(TRIM(_xlfn.XLOOKUP(TEXT(Contract_Edits[[#This Row],[Index]],"0"), baseIdxTxt, baseCost, "")))))) +
  ISNUMBER(SEARCH("DEPENDENCY GROUP", UPPER(CLEAN(TRIM(_xlfn.XLOOKUP(TEXT(Contract_Edits[[#This Row],[Index]],"0"), baseIdxTxt, baseCost, ""))))))
)</f>
        <v>0</v>
      </c>
      <c r="AG143" s="502" t="str" cm="1">
        <f t="array" ref="AG143">IF(Contract_Edits[[#This Row],[BaseFlag]]=1,
   10*BaseDepthL(TEXT(Contract_Edits[[#This Row],[Index]],"0"),500,editsIdxTxt,editsParentKeyTxt,baseIdxTxt,baseCost)-5,
   ""
)</f>
        <v/>
      </c>
      <c r="AH143" s="50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2" t="str">
        <f>IF(Contract_Edits[[#This Row],[Dep]]=0,"Root",
   IF(ISNUMBER(MATCH(Contract_Edits[[#This Row],[Dep]],Contract_Edits[Index],0)),"OK","Missing")
)</f>
        <v>Root</v>
      </c>
      <c r="AJ143" s="502" t="e">
        <f>IF(AND(Contract_Edits[[#This Row],[Dep]]&lt;&gt;0,
        ISNUMBER(MATCH(Contract_Edits[[#This Row],[Dep]], Contract_Edits[Index], 0)),
        INDEX(Contract_Edits[Dep], MATCH(Contract_Edits[[#This Row],[Dep]], Contract_Edits[Index], 0))=Contract_Edits[[#This Row],[Index]]),
   "2-cycle","")</f>
        <v>#N/A</v>
      </c>
      <c r="AK143" s="502" cm="1">
        <f t="array" ref="AK143">IF(Contract_Edits[[#This Row],[BaseFlag]]&lt;&gt;1,0,
   IF(TEXT(Contract_Edits[[#This Row],[Dep]],"0")=TEXT(Contract_Edits[[#This Row],[Index]],"0"),
      0,
      MAX(0, SUMPRODUCT(--(Contract_Edits[BaseFlag]=1),
                        --(TEXT(Contract_Edits[Dep],"0")=TEXT(Contract_Edits[[#This Row],[Dep]],"0"))) - 1)
   )
)</f>
        <v>0</v>
      </c>
      <c r="AL143" s="502" t="str" cm="1">
        <f t="array" ref="AL143">IF(Contract_Edits[[#This Row],[BaseFlag]]=1,
   TEXT(Contract_Edits[[#This Row],[Index]],"0"),
   NearestBaseL(TEXT(Contract_Edits[[#This Row],[ParentKey]],"0"),500,editsIdxTxt,editsParentKeyTxt,baseIdxTxt,baseCost)
)</f>
        <v>0</v>
      </c>
      <c r="AM143" s="502" cm="1">
        <f t="array" ref="AM143">1+SUMPRODUCT(
  (Contract_Edits[BaseFlag]=1)*
  (TEXT(Contract_Edits[ParentAnchor],"0")=TEXT(Contract_Edits[[#This Row],[ParentAnchor]],"0"))*
  (VALUE(TEXT(Contract_Edits[Index],"0"))&lt;VALUE(TEXT(Contract_Edits[[#This Row],[Index]],"0")))
)</f>
        <v>1</v>
      </c>
      <c r="AN143" s="50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0">
        <v>102</v>
      </c>
      <c r="M144" s="44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7"/>
      <c r="R144" s="50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4" s="179">
        <v>0</v>
      </c>
      <c r="T144" s="179">
        <v>0</v>
      </c>
      <c r="U144" s="11"/>
      <c r="V144"/>
      <c r="W144" s="22" t="s">
        <v>357</v>
      </c>
      <c r="X144" s="22" t="s">
        <v>603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2">
        <f>--(
  ISNUMBER(SEARCH("BASE PARENT", UPPER(CLEAN(TRIM(_xlfn.XLOOKUP(TEXT(Contract_Edits[[#This Row],[Index]],"0"), baseIdxTxt, baseCost, "")))))) +
  ISNUMBER(SEARCH("DEPENDENCY GROUP", UPPER(CLEAN(TRIM(_xlfn.XLOOKUP(TEXT(Contract_Edits[[#This Row],[Index]],"0"), baseIdxTxt, baseCost, ""))))))
)</f>
        <v>0</v>
      </c>
      <c r="AG144" s="502" t="str" cm="1">
        <f t="array" ref="AG144">IF(Contract_Edits[[#This Row],[BaseFlag]]=1,
   10*BaseDepthL(TEXT(Contract_Edits[[#This Row],[Index]],"0"),500,editsIdxTxt,editsParentKeyTxt,baseIdxTxt,baseCost)-5,
   ""
)</f>
        <v/>
      </c>
      <c r="AH144" s="50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2" t="str">
        <f>IF(Contract_Edits[[#This Row],[Dep]]=0,"Root",
   IF(ISNUMBER(MATCH(Contract_Edits[[#This Row],[Dep]],Contract_Edits[Index],0)),"OK","Missing")
)</f>
        <v>Root</v>
      </c>
      <c r="AJ144" s="502" t="e">
        <f>IF(AND(Contract_Edits[[#This Row],[Dep]]&lt;&gt;0,
        ISNUMBER(MATCH(Contract_Edits[[#This Row],[Dep]], Contract_Edits[Index], 0)),
        INDEX(Contract_Edits[Dep], MATCH(Contract_Edits[[#This Row],[Dep]], Contract_Edits[Index], 0))=Contract_Edits[[#This Row],[Index]]),
   "2-cycle","")</f>
        <v>#N/A</v>
      </c>
      <c r="AK144" s="502" cm="1">
        <f t="array" ref="AK144">IF(Contract_Edits[[#This Row],[BaseFlag]]&lt;&gt;1,0,
   IF(TEXT(Contract_Edits[[#This Row],[Dep]],"0")=TEXT(Contract_Edits[[#This Row],[Index]],"0"),
      0,
      MAX(0, SUMPRODUCT(--(Contract_Edits[BaseFlag]=1),
                        --(TEXT(Contract_Edits[Dep],"0")=TEXT(Contract_Edits[[#This Row],[Dep]],"0"))) - 1)
   )
)</f>
        <v>0</v>
      </c>
      <c r="AL144" s="502" t="str" cm="1">
        <f t="array" ref="AL144">IF(Contract_Edits[[#This Row],[BaseFlag]]=1,
   TEXT(Contract_Edits[[#This Row],[Index]],"0"),
   NearestBaseL(TEXT(Contract_Edits[[#This Row],[ParentKey]],"0"),500,editsIdxTxt,editsParentKeyTxt,baseIdxTxt,baseCost)
)</f>
        <v>0</v>
      </c>
      <c r="AM144" s="502" cm="1">
        <f t="array" ref="AM144">1+SUMPRODUCT(
  (Contract_Edits[BaseFlag]=1)*
  (TEXT(Contract_Edits[ParentAnchor],"0")=TEXT(Contract_Edits[[#This Row],[ParentAnchor]],"0"))*
  (VALUE(TEXT(Contract_Edits[Index],"0"))&lt;VALUE(TEXT(Contract_Edits[[#This Row],[Index]],"0")))
)</f>
        <v>1</v>
      </c>
      <c r="AN144" s="50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3">
        <v>156</v>
      </c>
      <c r="M145" s="44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79"/>
      <c r="R145" s="50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5" s="179">
        <v>0</v>
      </c>
      <c r="T145" s="468"/>
      <c r="U145" s="491"/>
      <c r="V145" s="193"/>
      <c r="W145" s="22" t="s">
        <v>357</v>
      </c>
      <c r="Y145" s="48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2">
        <f>--(
  ISNUMBER(SEARCH("BASE PARENT", UPPER(CLEAN(TRIM(_xlfn.XLOOKUP(TEXT(Contract_Edits[[#This Row],[Index]],"0"), baseIdxTxt, baseCost, "")))))) +
  ISNUMBER(SEARCH("DEPENDENCY GROUP", UPPER(CLEAN(TRIM(_xlfn.XLOOKUP(TEXT(Contract_Edits[[#This Row],[Index]],"0"), baseIdxTxt, baseCost, ""))))))
)</f>
        <v>0</v>
      </c>
      <c r="AG145" s="502" t="str" cm="1">
        <f t="array" ref="AG145">IF(Contract_Edits[[#This Row],[BaseFlag]]=1,
   10*BaseDepthL(TEXT(Contract_Edits[[#This Row],[Index]],"0"),500,editsIdxTxt,editsParentKeyTxt,baseIdxTxt,baseCost)-5,
   ""
)</f>
        <v/>
      </c>
      <c r="AH145" s="50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2" t="str">
        <f>IF(Contract_Edits[[#This Row],[Dep]]=0,"Root",
   IF(ISNUMBER(MATCH(Contract_Edits[[#This Row],[Dep]],Contract_Edits[Index],0)),"OK","Missing")
)</f>
        <v>Root</v>
      </c>
      <c r="AJ145" s="502" t="e">
        <f>IF(AND(Contract_Edits[[#This Row],[Dep]]&lt;&gt;0,
        ISNUMBER(MATCH(Contract_Edits[[#This Row],[Dep]], Contract_Edits[Index], 0)),
        INDEX(Contract_Edits[Dep], MATCH(Contract_Edits[[#This Row],[Dep]], Contract_Edits[Index], 0))=Contract_Edits[[#This Row],[Index]]),
   "2-cycle","")</f>
        <v>#N/A</v>
      </c>
      <c r="AK145" s="502" cm="1">
        <f t="array" ref="AK145">IF(Contract_Edits[[#This Row],[BaseFlag]]&lt;&gt;1,0,
   IF(TEXT(Contract_Edits[[#This Row],[Dep]],"0")=TEXT(Contract_Edits[[#This Row],[Index]],"0"),
      0,
      MAX(0, SUMPRODUCT(--(Contract_Edits[BaseFlag]=1),
                        --(TEXT(Contract_Edits[Dep],"0")=TEXT(Contract_Edits[[#This Row],[Dep]],"0"))) - 1)
   )
)</f>
        <v>0</v>
      </c>
      <c r="AL145" s="502" t="str" cm="1">
        <f t="array" ref="AL145">IF(Contract_Edits[[#This Row],[BaseFlag]]=1,
   TEXT(Contract_Edits[[#This Row],[Index]],"0"),
   NearestBaseL(TEXT(Contract_Edits[[#This Row],[ParentKey]],"0"),500,editsIdxTxt,editsParentKeyTxt,baseIdxTxt,baseCost)
)</f>
        <v>0</v>
      </c>
      <c r="AM145" s="502" cm="1">
        <f t="array" ref="AM145">1+SUMPRODUCT(
  (Contract_Edits[BaseFlag]=1)*
  (TEXT(Contract_Edits[ParentAnchor],"0")=TEXT(Contract_Edits[[#This Row],[ParentAnchor]],"0"))*
  (VALUE(TEXT(Contract_Edits[Index],"0"))&lt;VALUE(TEXT(Contract_Edits[[#This Row],[Index]],"0")))
)</f>
        <v>1</v>
      </c>
      <c r="AN145" s="50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0">
        <v>157</v>
      </c>
      <c r="M146" s="44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79"/>
      <c r="R146" s="50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6" s="179">
        <v>0</v>
      </c>
      <c r="T146" s="468"/>
      <c r="U146" s="491"/>
      <c r="V146" s="193"/>
      <c r="W146" s="22" t="s">
        <v>357</v>
      </c>
      <c r="Y146" s="48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2">
        <f>--(
  ISNUMBER(SEARCH("BASE PARENT", UPPER(CLEAN(TRIM(_xlfn.XLOOKUP(TEXT(Contract_Edits[[#This Row],[Index]],"0"), baseIdxTxt, baseCost, "")))))) +
  ISNUMBER(SEARCH("DEPENDENCY GROUP", UPPER(CLEAN(TRIM(_xlfn.XLOOKUP(TEXT(Contract_Edits[[#This Row],[Index]],"0"), baseIdxTxt, baseCost, ""))))))
)</f>
        <v>0</v>
      </c>
      <c r="AG146" s="502" t="str" cm="1">
        <f t="array" ref="AG146">IF(Contract_Edits[[#This Row],[BaseFlag]]=1,
   10*BaseDepthL(TEXT(Contract_Edits[[#This Row],[Index]],"0"),500,editsIdxTxt,editsParentKeyTxt,baseIdxTxt,baseCost)-5,
   ""
)</f>
        <v/>
      </c>
      <c r="AH146" s="50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2" t="str">
        <f>IF(Contract_Edits[[#This Row],[Dep]]=0,"Root",
   IF(ISNUMBER(MATCH(Contract_Edits[[#This Row],[Dep]],Contract_Edits[Index],0)),"OK","Missing")
)</f>
        <v>Root</v>
      </c>
      <c r="AJ146" s="502" t="e">
        <f>IF(AND(Contract_Edits[[#This Row],[Dep]]&lt;&gt;0,
        ISNUMBER(MATCH(Contract_Edits[[#This Row],[Dep]], Contract_Edits[Index], 0)),
        INDEX(Contract_Edits[Dep], MATCH(Contract_Edits[[#This Row],[Dep]], Contract_Edits[Index], 0))=Contract_Edits[[#This Row],[Index]]),
   "2-cycle","")</f>
        <v>#N/A</v>
      </c>
      <c r="AK146" s="502" cm="1">
        <f t="array" ref="AK146">IF(Contract_Edits[[#This Row],[BaseFlag]]&lt;&gt;1,0,
   IF(TEXT(Contract_Edits[[#This Row],[Dep]],"0")=TEXT(Contract_Edits[[#This Row],[Index]],"0"),
      0,
      MAX(0, SUMPRODUCT(--(Contract_Edits[BaseFlag]=1),
                        --(TEXT(Contract_Edits[Dep],"0")=TEXT(Contract_Edits[[#This Row],[Dep]],"0"))) - 1)
   )
)</f>
        <v>0</v>
      </c>
      <c r="AL146" s="502" t="str" cm="1">
        <f t="array" ref="AL146">IF(Contract_Edits[[#This Row],[BaseFlag]]=1,
   TEXT(Contract_Edits[[#This Row],[Index]],"0"),
   NearestBaseL(TEXT(Contract_Edits[[#This Row],[ParentKey]],"0"),500,editsIdxTxt,editsParentKeyTxt,baseIdxTxt,baseCost)
)</f>
        <v>0</v>
      </c>
      <c r="AM146" s="502" cm="1">
        <f t="array" ref="AM146">1+SUMPRODUCT(
  (Contract_Edits[BaseFlag]=1)*
  (TEXT(Contract_Edits[ParentAnchor],"0")=TEXT(Contract_Edits[[#This Row],[ParentAnchor]],"0"))*
  (VALUE(TEXT(Contract_Edits[Index],"0"))&lt;VALUE(TEXT(Contract_Edits[[#This Row],[Index]],"0")))
)</f>
        <v>1</v>
      </c>
      <c r="AN146" s="50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0">
        <v>110</v>
      </c>
      <c r="M147" s="44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7"/>
      <c r="R147" s="50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7" s="179">
        <v>0</v>
      </c>
      <c r="T147" s="179">
        <v>0</v>
      </c>
      <c r="U147" s="11"/>
      <c r="V147"/>
      <c r="W147" s="22" t="s">
        <v>357</v>
      </c>
      <c r="X147" s="22" t="s">
        <v>603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2">
        <f>--(
  ISNUMBER(SEARCH("BASE PARENT", UPPER(CLEAN(TRIM(_xlfn.XLOOKUP(TEXT(Contract_Edits[[#This Row],[Index]],"0"), baseIdxTxt, baseCost, "")))))) +
  ISNUMBER(SEARCH("DEPENDENCY GROUP", UPPER(CLEAN(TRIM(_xlfn.XLOOKUP(TEXT(Contract_Edits[[#This Row],[Index]],"0"), baseIdxTxt, baseCost, ""))))))
)</f>
        <v>0</v>
      </c>
      <c r="AG147" s="502" t="str" cm="1">
        <f t="array" ref="AG147">IF(Contract_Edits[[#This Row],[BaseFlag]]=1,
   10*BaseDepthL(TEXT(Contract_Edits[[#This Row],[Index]],"0"),500,editsIdxTxt,editsParentKeyTxt,baseIdxTxt,baseCost)-5,
   ""
)</f>
        <v/>
      </c>
      <c r="AH147" s="50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2" t="str">
        <f>IF(Contract_Edits[[#This Row],[Dep]]=0,"Root",
   IF(ISNUMBER(MATCH(Contract_Edits[[#This Row],[Dep]],Contract_Edits[Index],0)),"OK","Missing")
)</f>
        <v>Root</v>
      </c>
      <c r="AJ147" s="502" t="e">
        <f>IF(AND(Contract_Edits[[#This Row],[Dep]]&lt;&gt;0,
        ISNUMBER(MATCH(Contract_Edits[[#This Row],[Dep]], Contract_Edits[Index], 0)),
        INDEX(Contract_Edits[Dep], MATCH(Contract_Edits[[#This Row],[Dep]], Contract_Edits[Index], 0))=Contract_Edits[[#This Row],[Index]]),
   "2-cycle","")</f>
        <v>#N/A</v>
      </c>
      <c r="AK147" s="502" cm="1">
        <f t="array" ref="AK147">IF(Contract_Edits[[#This Row],[BaseFlag]]&lt;&gt;1,0,
   IF(TEXT(Contract_Edits[[#This Row],[Dep]],"0")=TEXT(Contract_Edits[[#This Row],[Index]],"0"),
      0,
      MAX(0, SUMPRODUCT(--(Contract_Edits[BaseFlag]=1),
                        --(TEXT(Contract_Edits[Dep],"0")=TEXT(Contract_Edits[[#This Row],[Dep]],"0"))) - 1)
   )
)</f>
        <v>0</v>
      </c>
      <c r="AL147" s="502" t="str" cm="1">
        <f t="array" ref="AL147">IF(Contract_Edits[[#This Row],[BaseFlag]]=1,
   TEXT(Contract_Edits[[#This Row],[Index]],"0"),
   NearestBaseL(TEXT(Contract_Edits[[#This Row],[ParentKey]],"0"),500,editsIdxTxt,editsParentKeyTxt,baseIdxTxt,baseCost)
)</f>
        <v>0</v>
      </c>
      <c r="AM147" s="502" cm="1">
        <f t="array" ref="AM147">1+SUMPRODUCT(
  (Contract_Edits[BaseFlag]=1)*
  (TEXT(Contract_Edits[ParentAnchor],"0")=TEXT(Contract_Edits[[#This Row],[ParentAnchor]],"0"))*
  (VALUE(TEXT(Contract_Edits[Index],"0"))&lt;VALUE(TEXT(Contract_Edits[[#This Row],[Index]],"0")))
)</f>
        <v>1</v>
      </c>
      <c r="AN147" s="502"/>
      <c r="AO147" s="35"/>
      <c r="AP147" s="35" t="str">
        <f ca="1">IFERROR(+IF(AP$23=#REF!,Milestone_Marker,IF(AND(AP$23&gt;#REF!,AP$23&lt;#REF!+#REF!),#REF!,"")),"")</f>
        <v/>
      </c>
      <c r="AQ147" s="35" t="str">
        <f ca="1">IFERROR(+IF(AQ$23=#REF!,Milestone_Marker,IF(AND(AQ$23&gt;#REF!,AQ$23&lt;#REF!+#REF!),#REF!,"")),"")</f>
        <v/>
      </c>
      <c r="AS147" s="46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0">
        <v>158</v>
      </c>
      <c r="M148" s="44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79"/>
      <c r="R148" s="50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8" s="179">
        <v>0</v>
      </c>
      <c r="T148" s="468"/>
      <c r="U148" s="491"/>
      <c r="V148" s="193"/>
      <c r="W148" s="22" t="s">
        <v>357</v>
      </c>
      <c r="Y148" s="48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2">
        <f>--(
  ISNUMBER(SEARCH("BASE PARENT", UPPER(CLEAN(TRIM(_xlfn.XLOOKUP(TEXT(Contract_Edits[[#This Row],[Index]],"0"), baseIdxTxt, baseCost, "")))))) +
  ISNUMBER(SEARCH("DEPENDENCY GROUP", UPPER(CLEAN(TRIM(_xlfn.XLOOKUP(TEXT(Contract_Edits[[#This Row],[Index]],"0"), baseIdxTxt, baseCost, ""))))))
)</f>
        <v>0</v>
      </c>
      <c r="AG148" s="502" t="str" cm="1">
        <f t="array" ref="AG148">IF(Contract_Edits[[#This Row],[BaseFlag]]=1,
   10*BaseDepthL(TEXT(Contract_Edits[[#This Row],[Index]],"0"),500,editsIdxTxt,editsParentKeyTxt,baseIdxTxt,baseCost)-5,
   ""
)</f>
        <v/>
      </c>
      <c r="AH148" s="50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2" t="str">
        <f>IF(Contract_Edits[[#This Row],[Dep]]=0,"Root",
   IF(ISNUMBER(MATCH(Contract_Edits[[#This Row],[Dep]],Contract_Edits[Index],0)),"OK","Missing")
)</f>
        <v>Root</v>
      </c>
      <c r="AJ148" s="502" t="e">
        <f>IF(AND(Contract_Edits[[#This Row],[Dep]]&lt;&gt;0,
        ISNUMBER(MATCH(Contract_Edits[[#This Row],[Dep]], Contract_Edits[Index], 0)),
        INDEX(Contract_Edits[Dep], MATCH(Contract_Edits[[#This Row],[Dep]], Contract_Edits[Index], 0))=Contract_Edits[[#This Row],[Index]]),
   "2-cycle","")</f>
        <v>#N/A</v>
      </c>
      <c r="AK148" s="502" cm="1">
        <f t="array" ref="AK148">IF(Contract_Edits[[#This Row],[BaseFlag]]&lt;&gt;1,0,
   IF(TEXT(Contract_Edits[[#This Row],[Dep]],"0")=TEXT(Contract_Edits[[#This Row],[Index]],"0"),
      0,
      MAX(0, SUMPRODUCT(--(Contract_Edits[BaseFlag]=1),
                        --(TEXT(Contract_Edits[Dep],"0")=TEXT(Contract_Edits[[#This Row],[Dep]],"0"))) - 1)
   )
)</f>
        <v>0</v>
      </c>
      <c r="AL148" s="502" t="str" cm="1">
        <f t="array" ref="AL148">IF(Contract_Edits[[#This Row],[BaseFlag]]=1,
   TEXT(Contract_Edits[[#This Row],[Index]],"0"),
   NearestBaseL(TEXT(Contract_Edits[[#This Row],[ParentKey]],"0"),500,editsIdxTxt,editsParentKeyTxt,baseIdxTxt,baseCost)
)</f>
        <v>0</v>
      </c>
      <c r="AM148" s="502" cm="1">
        <f t="array" ref="AM148">1+SUMPRODUCT(
  (Contract_Edits[BaseFlag]=1)*
  (TEXT(Contract_Edits[ParentAnchor],"0")=TEXT(Contract_Edits[[#This Row],[ParentAnchor]],"0"))*
  (VALUE(TEXT(Contract_Edits[Index],"0"))&lt;VALUE(TEXT(Contract_Edits[[#This Row],[Index]],"0")))
)</f>
        <v>1</v>
      </c>
      <c r="AN148" s="502"/>
      <c r="AO148" s="35"/>
      <c r="AP148" s="35" t="str">
        <f ca="1">IFERROR(+IF(AP$23=#REF!,Milestone_Marker,IF(AND(AP$23&gt;#REF!,AP$23&lt;#REF!+#REF!),#REF!,"")),"")</f>
        <v/>
      </c>
      <c r="AQ148" s="35" t="str">
        <f ca="1">IFERROR(+IF(AQ$23=#REF!,Milestone_Marker,IF(AND(AQ$23&gt;#REF!,AQ$23&lt;#REF!+#REF!),#REF!,"")),"")</f>
        <v/>
      </c>
      <c r="AR148" s="468"/>
      <c r="AS148" s="46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0">
        <v>112</v>
      </c>
      <c r="M149" s="44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7"/>
      <c r="R149" s="50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49" s="179">
        <v>0</v>
      </c>
      <c r="T149" s="179">
        <v>0</v>
      </c>
      <c r="U149" s="11"/>
      <c r="V149"/>
      <c r="W149" s="22" t="s">
        <v>357</v>
      </c>
      <c r="X149" s="22" t="s">
        <v>603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2">
        <f>--(
  ISNUMBER(SEARCH("BASE PARENT", UPPER(CLEAN(TRIM(_xlfn.XLOOKUP(TEXT(Contract_Edits[[#This Row],[Index]],"0"), baseIdxTxt, baseCost, "")))))) +
  ISNUMBER(SEARCH("DEPENDENCY GROUP", UPPER(CLEAN(TRIM(_xlfn.XLOOKUP(TEXT(Contract_Edits[[#This Row],[Index]],"0"), baseIdxTxt, baseCost, ""))))))
)</f>
        <v>0</v>
      </c>
      <c r="AG149" s="502" t="str" cm="1">
        <f t="array" ref="AG149">IF(Contract_Edits[[#This Row],[BaseFlag]]=1,
   10*BaseDepthL(TEXT(Contract_Edits[[#This Row],[Index]],"0"),500,editsIdxTxt,editsParentKeyTxt,baseIdxTxt,baseCost)-5,
   ""
)</f>
        <v/>
      </c>
      <c r="AH149" s="50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2" t="str">
        <f>IF(Contract_Edits[[#This Row],[Dep]]=0,"Root",
   IF(ISNUMBER(MATCH(Contract_Edits[[#This Row],[Dep]],Contract_Edits[Index],0)),"OK","Missing")
)</f>
        <v>Root</v>
      </c>
      <c r="AJ149" s="502" t="e">
        <f>IF(AND(Contract_Edits[[#This Row],[Dep]]&lt;&gt;0,
        ISNUMBER(MATCH(Contract_Edits[[#This Row],[Dep]], Contract_Edits[Index], 0)),
        INDEX(Contract_Edits[Dep], MATCH(Contract_Edits[[#This Row],[Dep]], Contract_Edits[Index], 0))=Contract_Edits[[#This Row],[Index]]),
   "2-cycle","")</f>
        <v>#N/A</v>
      </c>
      <c r="AK149" s="502" cm="1">
        <f t="array" ref="AK149">IF(Contract_Edits[[#This Row],[BaseFlag]]&lt;&gt;1,0,
   IF(TEXT(Contract_Edits[[#This Row],[Dep]],"0")=TEXT(Contract_Edits[[#This Row],[Index]],"0"),
      0,
      MAX(0, SUMPRODUCT(--(Contract_Edits[BaseFlag]=1),
                        --(TEXT(Contract_Edits[Dep],"0")=TEXT(Contract_Edits[[#This Row],[Dep]],"0"))) - 1)
   )
)</f>
        <v>0</v>
      </c>
      <c r="AL149" s="502" t="str" cm="1">
        <f t="array" ref="AL149">IF(Contract_Edits[[#This Row],[BaseFlag]]=1,
   TEXT(Contract_Edits[[#This Row],[Index]],"0"),
   NearestBaseL(TEXT(Contract_Edits[[#This Row],[ParentKey]],"0"),500,editsIdxTxt,editsParentKeyTxt,baseIdxTxt,baseCost)
)</f>
        <v>0</v>
      </c>
      <c r="AM149" s="502" cm="1">
        <f t="array" ref="AM149">1+SUMPRODUCT(
  (Contract_Edits[BaseFlag]=1)*
  (TEXT(Contract_Edits[ParentAnchor],"0")=TEXT(Contract_Edits[[#This Row],[ParentAnchor]],"0"))*
  (VALUE(TEXT(Contract_Edits[Index],"0"))&lt;VALUE(TEXT(Contract_Edits[[#This Row],[Index]],"0")))
)</f>
        <v>1</v>
      </c>
      <c r="AN149" s="502"/>
      <c r="AO149" s="35"/>
      <c r="AP149" s="35" t="str">
        <f ca="1">IFERROR(+IF(AP$23=#REF!,Milestone_Marker,IF(AND(AP$23&gt;#REF!,AP$23&lt;#REF!+#REF!),#REF!,"")),"")</f>
        <v/>
      </c>
      <c r="AQ149" s="35" t="str">
        <f ca="1">IFERROR(+IF(AQ$23=#REF!,Milestone_Marker,IF(AND(AQ$23&gt;#REF!,AQ$23&lt;#REF!+#REF!),#REF!,"")),"")</f>
        <v/>
      </c>
      <c r="AR149" s="468"/>
      <c r="AS149" s="46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0">
        <v>159</v>
      </c>
      <c r="M150" s="44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79"/>
      <c r="R150" s="50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0" s="179">
        <v>0</v>
      </c>
      <c r="T150" s="468"/>
      <c r="U150" s="491"/>
      <c r="V150" s="193"/>
      <c r="W150" s="22" t="s">
        <v>357</v>
      </c>
      <c r="Y150" s="48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2">
        <f>--(
  ISNUMBER(SEARCH("BASE PARENT", UPPER(CLEAN(TRIM(_xlfn.XLOOKUP(TEXT(Contract_Edits[[#This Row],[Index]],"0"), baseIdxTxt, baseCost, "")))))) +
  ISNUMBER(SEARCH("DEPENDENCY GROUP", UPPER(CLEAN(TRIM(_xlfn.XLOOKUP(TEXT(Contract_Edits[[#This Row],[Index]],"0"), baseIdxTxt, baseCost, ""))))))
)</f>
        <v>0</v>
      </c>
      <c r="AG150" s="502" t="str" cm="1">
        <f t="array" ref="AG150">IF(Contract_Edits[[#This Row],[BaseFlag]]=1,
   10*BaseDepthL(TEXT(Contract_Edits[[#This Row],[Index]],"0"),500,editsIdxTxt,editsParentKeyTxt,baseIdxTxt,baseCost)-5,
   ""
)</f>
        <v/>
      </c>
      <c r="AH150" s="50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2" t="str">
        <f>IF(Contract_Edits[[#This Row],[Dep]]=0,"Root",
   IF(ISNUMBER(MATCH(Contract_Edits[[#This Row],[Dep]],Contract_Edits[Index],0)),"OK","Missing")
)</f>
        <v>Root</v>
      </c>
      <c r="AJ150" s="502" t="e">
        <f>IF(AND(Contract_Edits[[#This Row],[Dep]]&lt;&gt;0,
        ISNUMBER(MATCH(Contract_Edits[[#This Row],[Dep]], Contract_Edits[Index], 0)),
        INDEX(Contract_Edits[Dep], MATCH(Contract_Edits[[#This Row],[Dep]], Contract_Edits[Index], 0))=Contract_Edits[[#This Row],[Index]]),
   "2-cycle","")</f>
        <v>#N/A</v>
      </c>
      <c r="AK150" s="502" cm="1">
        <f t="array" ref="AK150">IF(Contract_Edits[[#This Row],[BaseFlag]]&lt;&gt;1,0,
   IF(TEXT(Contract_Edits[[#This Row],[Dep]],"0")=TEXT(Contract_Edits[[#This Row],[Index]],"0"),
      0,
      MAX(0, SUMPRODUCT(--(Contract_Edits[BaseFlag]=1),
                        --(TEXT(Contract_Edits[Dep],"0")=TEXT(Contract_Edits[[#This Row],[Dep]],"0"))) - 1)
   )
)</f>
        <v>0</v>
      </c>
      <c r="AL150" s="502" t="str" cm="1">
        <f t="array" ref="AL150">IF(Contract_Edits[[#This Row],[BaseFlag]]=1,
   TEXT(Contract_Edits[[#This Row],[Index]],"0"),
   NearestBaseL(TEXT(Contract_Edits[[#This Row],[ParentKey]],"0"),500,editsIdxTxt,editsParentKeyTxt,baseIdxTxt,baseCost)
)</f>
        <v>0</v>
      </c>
      <c r="AM150" s="502" cm="1">
        <f t="array" ref="AM150">1+SUMPRODUCT(
  (Contract_Edits[BaseFlag]=1)*
  (TEXT(Contract_Edits[ParentAnchor],"0")=TEXT(Contract_Edits[[#This Row],[ParentAnchor]],"0"))*
  (VALUE(TEXT(Contract_Edits[Index],"0"))&lt;VALUE(TEXT(Contract_Edits[[#This Row],[Index]],"0")))
)</f>
        <v>1</v>
      </c>
      <c r="AN150" s="502"/>
      <c r="AO150" s="35"/>
      <c r="AP150" s="35" t="str">
        <f ca="1">IFERROR(+IF(AP$23=#REF!,Milestone_Marker,IF(AND(AP$23&gt;#REF!,AP$23&lt;#REF!+#REF!),#REF!,"")),"")</f>
        <v/>
      </c>
      <c r="AQ150" s="35" t="str">
        <f ca="1">IFERROR(+IF(AQ$23=#REF!,Milestone_Marker,IF(AND(AQ$23&gt;#REF!,AQ$23&lt;#REF!+#REF!),#REF!,"")),"")</f>
        <v/>
      </c>
      <c r="AR150" s="468"/>
      <c r="AS150" s="46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0">
        <v>111</v>
      </c>
      <c r="M151" s="44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7"/>
      <c r="R151" s="50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1" s="179">
        <v>0</v>
      </c>
      <c r="T151" s="179">
        <v>0</v>
      </c>
      <c r="U151" s="11"/>
      <c r="V151"/>
      <c r="W151" s="22" t="s">
        <v>357</v>
      </c>
      <c r="X151" s="22" t="s">
        <v>603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2">
        <f>--(
  ISNUMBER(SEARCH("BASE PARENT", UPPER(CLEAN(TRIM(_xlfn.XLOOKUP(TEXT(Contract_Edits[[#This Row],[Index]],"0"), baseIdxTxt, baseCost, "")))))) +
  ISNUMBER(SEARCH("DEPENDENCY GROUP", UPPER(CLEAN(TRIM(_xlfn.XLOOKUP(TEXT(Contract_Edits[[#This Row],[Index]],"0"), baseIdxTxt, baseCost, ""))))))
)</f>
        <v>0</v>
      </c>
      <c r="AG151" s="502" t="str" cm="1">
        <f t="array" ref="AG151">IF(Contract_Edits[[#This Row],[BaseFlag]]=1,
   10*BaseDepthL(TEXT(Contract_Edits[[#This Row],[Index]],"0"),500,editsIdxTxt,editsParentKeyTxt,baseIdxTxt,baseCost)-5,
   ""
)</f>
        <v/>
      </c>
      <c r="AH151" s="50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2" t="str">
        <f>IF(Contract_Edits[[#This Row],[Dep]]=0,"Root",
   IF(ISNUMBER(MATCH(Contract_Edits[[#This Row],[Dep]],Contract_Edits[Index],0)),"OK","Missing")
)</f>
        <v>Root</v>
      </c>
      <c r="AJ151" s="502" t="e">
        <f>IF(AND(Contract_Edits[[#This Row],[Dep]]&lt;&gt;0,
        ISNUMBER(MATCH(Contract_Edits[[#This Row],[Dep]], Contract_Edits[Index], 0)),
        INDEX(Contract_Edits[Dep], MATCH(Contract_Edits[[#This Row],[Dep]], Contract_Edits[Index], 0))=Contract_Edits[[#This Row],[Index]]),
   "2-cycle","")</f>
        <v>#N/A</v>
      </c>
      <c r="AK151" s="502" cm="1">
        <f t="array" ref="AK151">IF(Contract_Edits[[#This Row],[BaseFlag]]&lt;&gt;1,0,
   IF(TEXT(Contract_Edits[[#This Row],[Dep]],"0")=TEXT(Contract_Edits[[#This Row],[Index]],"0"),
      0,
      MAX(0, SUMPRODUCT(--(Contract_Edits[BaseFlag]=1),
                        --(TEXT(Contract_Edits[Dep],"0")=TEXT(Contract_Edits[[#This Row],[Dep]],"0"))) - 1)
   )
)</f>
        <v>0</v>
      </c>
      <c r="AL151" s="502" t="str" cm="1">
        <f t="array" ref="AL151">IF(Contract_Edits[[#This Row],[BaseFlag]]=1,
   TEXT(Contract_Edits[[#This Row],[Index]],"0"),
   NearestBaseL(TEXT(Contract_Edits[[#This Row],[ParentKey]],"0"),500,editsIdxTxt,editsParentKeyTxt,baseIdxTxt,baseCost)
)</f>
        <v>0</v>
      </c>
      <c r="AM151" s="502" cm="1">
        <f t="array" ref="AM151">1+SUMPRODUCT(
  (Contract_Edits[BaseFlag]=1)*
  (TEXT(Contract_Edits[ParentAnchor],"0")=TEXT(Contract_Edits[[#This Row],[ParentAnchor]],"0"))*
  (VALUE(TEXT(Contract_Edits[Index],"0"))&lt;VALUE(TEXT(Contract_Edits[[#This Row],[Index]],"0")))
)</f>
        <v>1</v>
      </c>
      <c r="AN151" s="502"/>
      <c r="AO151" s="35"/>
      <c r="AP151" s="35" t="str">
        <f ca="1">IFERROR(+IF(AP$23=#REF!,Milestone_Marker,IF(AND(AP$23&gt;#REF!,AP$23&lt;#REF!+#REF!),#REF!,"")),"")</f>
        <v/>
      </c>
      <c r="AQ151" s="35" t="str">
        <f ca="1">IFERROR(+IF(AQ$23=#REF!,Milestone_Marker,IF(AND(AQ$23&gt;#REF!,AQ$23&lt;#REF!+#REF!),#REF!,"")),"")</f>
        <v/>
      </c>
      <c r="AR151" s="468"/>
      <c r="AS151" s="46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0">
        <v>160</v>
      </c>
      <c r="M152" s="44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79"/>
      <c r="R152" s="50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2" s="179">
        <v>0</v>
      </c>
      <c r="T152" s="468"/>
      <c r="U152" s="491"/>
      <c r="V152" s="193"/>
      <c r="W152" s="22" t="s">
        <v>357</v>
      </c>
      <c r="Y152" s="48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2">
        <f>--(
  ISNUMBER(SEARCH("BASE PARENT", UPPER(CLEAN(TRIM(_xlfn.XLOOKUP(TEXT(Contract_Edits[[#This Row],[Index]],"0"), baseIdxTxt, baseCost, "")))))) +
  ISNUMBER(SEARCH("DEPENDENCY GROUP", UPPER(CLEAN(TRIM(_xlfn.XLOOKUP(TEXT(Contract_Edits[[#This Row],[Index]],"0"), baseIdxTxt, baseCost, ""))))))
)</f>
        <v>0</v>
      </c>
      <c r="AG152" s="502" t="str" cm="1">
        <f t="array" ref="AG152">IF(Contract_Edits[[#This Row],[BaseFlag]]=1,
   10*BaseDepthL(TEXT(Contract_Edits[[#This Row],[Index]],"0"),500,editsIdxTxt,editsParentKeyTxt,baseIdxTxt,baseCost)-5,
   ""
)</f>
        <v/>
      </c>
      <c r="AH152" s="50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2" t="str">
        <f>IF(Contract_Edits[[#This Row],[Dep]]=0,"Root",
   IF(ISNUMBER(MATCH(Contract_Edits[[#This Row],[Dep]],Contract_Edits[Index],0)),"OK","Missing")
)</f>
        <v>Root</v>
      </c>
      <c r="AJ152" s="452" t="e">
        <f>IF(AND(Contract_Edits[[#This Row],[Dep]]&lt;&gt;0,
        ISNUMBER(MATCH(Contract_Edits[[#This Row],[Dep]], Contract_Edits[Index], 0)),
        INDEX(Contract_Edits[Dep], MATCH(Contract_Edits[[#This Row],[Dep]], Contract_Edits[Index], 0))=Contract_Edits[[#This Row],[Index]]),
   "2-cycle","")</f>
        <v>#N/A</v>
      </c>
      <c r="AK152" s="452" cm="1">
        <f t="array" ref="AK152">IF(Contract_Edits[[#This Row],[BaseFlag]]&lt;&gt;1,0,
   IF(TEXT(Contract_Edits[[#This Row],[Dep]],"0")=TEXT(Contract_Edits[[#This Row],[Index]],"0"),
      0,
      MAX(0, SUMPRODUCT(--(Contract_Edits[BaseFlag]=1),
                        --(TEXT(Contract_Edits[Dep],"0")=TEXT(Contract_Edits[[#This Row],[Dep]],"0"))) - 1)
   )
)</f>
        <v>0</v>
      </c>
      <c r="AL152" s="452" t="str" cm="1">
        <f t="array" ref="AL152">IF(Contract_Edits[[#This Row],[BaseFlag]]=1,
   TEXT(Contract_Edits[[#This Row],[Index]],"0"),
   NearestBaseL(TEXT(Contract_Edits[[#This Row],[ParentKey]],"0"),500,editsIdxTxt,editsParentKeyTxt,baseIdxTxt,baseCost)
)</f>
        <v>0</v>
      </c>
      <c r="AM152" s="452" cm="1">
        <f t="array" ref="AM152">1+SUMPRODUCT(
  (Contract_Edits[BaseFlag]=1)*
  (TEXT(Contract_Edits[ParentAnchor],"0")=TEXT(Contract_Edits[[#This Row],[ParentAnchor]],"0"))*
  (VALUE(TEXT(Contract_Edits[Index],"0"))&lt;VALUE(TEXT(Contract_Edits[[#This Row],[Index]],"0")))
)</f>
        <v>1</v>
      </c>
      <c r="AN152" s="452"/>
      <c r="AO152" s="193"/>
      <c r="AP152" s="193"/>
      <c r="AQ152" s="193"/>
      <c r="AR152" s="468"/>
      <c r="AS152" s="468"/>
      <c r="BB152" s="34"/>
      <c r="BC152" s="34"/>
      <c r="BD152" s="34"/>
      <c r="BE152" s="34"/>
      <c r="BY152"/>
      <c r="BZ152"/>
      <c r="CA152"/>
      <c r="CB152"/>
    </row>
    <row r="153" spans="11:80" ht="15">
      <c r="K153" s="104"/>
      <c r="L153" s="440">
        <v>113</v>
      </c>
      <c r="M153" s="44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7"/>
      <c r="R153" s="50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3" s="179">
        <v>0</v>
      </c>
      <c r="T153" s="179">
        <v>0</v>
      </c>
      <c r="U153" s="11"/>
      <c r="V153"/>
      <c r="W153" s="22" t="s">
        <v>357</v>
      </c>
      <c r="X153" s="22" t="s">
        <v>603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2">
        <f>--(
  ISNUMBER(SEARCH("BASE PARENT", UPPER(CLEAN(TRIM(_xlfn.XLOOKUP(TEXT(Contract_Edits[[#This Row],[Index]],"0"), baseIdxTxt, baseCost, "")))))) +
  ISNUMBER(SEARCH("DEPENDENCY GROUP", UPPER(CLEAN(TRIM(_xlfn.XLOOKUP(TEXT(Contract_Edits[[#This Row],[Index]],"0"), baseIdxTxt, baseCost, ""))))))
)</f>
        <v>0</v>
      </c>
      <c r="AG153" s="502" t="str" cm="1">
        <f t="array" ref="AG153">IF(Contract_Edits[[#This Row],[BaseFlag]]=1,
   10*BaseDepthL(TEXT(Contract_Edits[[#This Row],[Index]],"0"),500,editsIdxTxt,editsParentKeyTxt,baseIdxTxt,baseCost)-5,
   ""
)</f>
        <v/>
      </c>
      <c r="AH153" s="50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2" t="str">
        <f>IF(Contract_Edits[[#This Row],[Dep]]=0,"Root",
   IF(ISNUMBER(MATCH(Contract_Edits[[#This Row],[Dep]],Contract_Edits[Index],0)),"OK","Missing")
)</f>
        <v>Root</v>
      </c>
      <c r="AJ153" s="452" t="e">
        <f>IF(AND(Contract_Edits[[#This Row],[Dep]]&lt;&gt;0,
        ISNUMBER(MATCH(Contract_Edits[[#This Row],[Dep]], Contract_Edits[Index], 0)),
        INDEX(Contract_Edits[Dep], MATCH(Contract_Edits[[#This Row],[Dep]], Contract_Edits[Index], 0))=Contract_Edits[[#This Row],[Index]]),
   "2-cycle","")</f>
        <v>#N/A</v>
      </c>
      <c r="AK153" s="452" cm="1">
        <f t="array" ref="AK153">IF(Contract_Edits[[#This Row],[BaseFlag]]&lt;&gt;1,0,
   IF(TEXT(Contract_Edits[[#This Row],[Dep]],"0")=TEXT(Contract_Edits[[#This Row],[Index]],"0"),
      0,
      MAX(0, SUMPRODUCT(--(Contract_Edits[BaseFlag]=1),
                        --(TEXT(Contract_Edits[Dep],"0")=TEXT(Contract_Edits[[#This Row],[Dep]],"0"))) - 1)
   )
)</f>
        <v>0</v>
      </c>
      <c r="AL153" s="452" t="str" cm="1">
        <f t="array" ref="AL153">IF(Contract_Edits[[#This Row],[BaseFlag]]=1,
   TEXT(Contract_Edits[[#This Row],[Index]],"0"),
   NearestBaseL(TEXT(Contract_Edits[[#This Row],[ParentKey]],"0"),500,editsIdxTxt,editsParentKeyTxt,baseIdxTxt,baseCost)
)</f>
        <v>0</v>
      </c>
      <c r="AM153" s="452" cm="1">
        <f t="array" ref="AM153">1+SUMPRODUCT(
  (Contract_Edits[BaseFlag]=1)*
  (TEXT(Contract_Edits[ParentAnchor],"0")=TEXT(Contract_Edits[[#This Row],[ParentAnchor]],"0"))*
  (VALUE(TEXT(Contract_Edits[Index],"0"))&lt;VALUE(TEXT(Contract_Edits[[#This Row],[Index]],"0")))
)</f>
        <v>1</v>
      </c>
      <c r="AN153" s="452"/>
      <c r="AO153" s="193"/>
      <c r="AP153" s="193"/>
      <c r="AQ153" s="193"/>
      <c r="AR153" s="468"/>
      <c r="AS153" s="468"/>
      <c r="AW153" s="786"/>
      <c r="AX153" s="786"/>
      <c r="AY153" s="786"/>
      <c r="AZ153" s="786"/>
      <c r="BB153" s="34"/>
      <c r="BC153" s="34"/>
      <c r="BD153" s="34"/>
      <c r="BE153" s="34"/>
      <c r="BY153"/>
      <c r="BZ153"/>
      <c r="CA153"/>
      <c r="CB153"/>
    </row>
    <row r="154" spans="11:80" ht="15">
      <c r="K154" s="104"/>
      <c r="L154" s="440">
        <v>161</v>
      </c>
      <c r="M154" s="44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79"/>
      <c r="R154" s="50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4" s="179">
        <v>0</v>
      </c>
      <c r="T154" s="468"/>
      <c r="U154" s="491"/>
      <c r="V154" s="193"/>
      <c r="W154" s="22" t="s">
        <v>357</v>
      </c>
      <c r="Y154" s="48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2">
        <f>--(
  ISNUMBER(SEARCH("BASE PARENT", UPPER(CLEAN(TRIM(_xlfn.XLOOKUP(TEXT(Contract_Edits[[#This Row],[Index]],"0"), baseIdxTxt, baseCost, "")))))) +
  ISNUMBER(SEARCH("DEPENDENCY GROUP", UPPER(CLEAN(TRIM(_xlfn.XLOOKUP(TEXT(Contract_Edits[[#This Row],[Index]],"0"), baseIdxTxt, baseCost, ""))))))
)</f>
        <v>0</v>
      </c>
      <c r="AG154" s="502" t="str" cm="1">
        <f t="array" ref="AG154">IF(Contract_Edits[[#This Row],[BaseFlag]]=1,
   10*BaseDepthL(TEXT(Contract_Edits[[#This Row],[Index]],"0"),500,editsIdxTxt,editsParentKeyTxt,baseIdxTxt,baseCost)-5,
   ""
)</f>
        <v/>
      </c>
      <c r="AH154" s="50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2" t="str">
        <f>IF(Contract_Edits[[#This Row],[Dep]]=0,"Root",
   IF(ISNUMBER(MATCH(Contract_Edits[[#This Row],[Dep]],Contract_Edits[Index],0)),"OK","Missing")
)</f>
        <v>Root</v>
      </c>
      <c r="AJ154" s="452" t="e">
        <f>IF(AND(Contract_Edits[[#This Row],[Dep]]&lt;&gt;0,
        ISNUMBER(MATCH(Contract_Edits[[#This Row],[Dep]], Contract_Edits[Index], 0)),
        INDEX(Contract_Edits[Dep], MATCH(Contract_Edits[[#This Row],[Dep]], Contract_Edits[Index], 0))=Contract_Edits[[#This Row],[Index]]),
   "2-cycle","")</f>
        <v>#N/A</v>
      </c>
      <c r="AK154" s="452" cm="1">
        <f t="array" ref="AK154">IF(Contract_Edits[[#This Row],[BaseFlag]]&lt;&gt;1,0,
   IF(TEXT(Contract_Edits[[#This Row],[Dep]],"0")=TEXT(Contract_Edits[[#This Row],[Index]],"0"),
      0,
      MAX(0, SUMPRODUCT(--(Contract_Edits[BaseFlag]=1),
                        --(TEXT(Contract_Edits[Dep],"0")=TEXT(Contract_Edits[[#This Row],[Dep]],"0"))) - 1)
   )
)</f>
        <v>0</v>
      </c>
      <c r="AL154" s="452" t="str" cm="1">
        <f t="array" ref="AL154">IF(Contract_Edits[[#This Row],[BaseFlag]]=1,
   TEXT(Contract_Edits[[#This Row],[Index]],"0"),
   NearestBaseL(TEXT(Contract_Edits[[#This Row],[ParentKey]],"0"),500,editsIdxTxt,editsParentKeyTxt,baseIdxTxt,baseCost)
)</f>
        <v>0</v>
      </c>
      <c r="AM154" s="452" cm="1">
        <f t="array" ref="AM154">1+SUMPRODUCT(
  (Contract_Edits[BaseFlag]=1)*
  (TEXT(Contract_Edits[ParentAnchor],"0")=TEXT(Contract_Edits[[#This Row],[ParentAnchor]],"0"))*
  (VALUE(TEXT(Contract_Edits[Index],"0"))&lt;VALUE(TEXT(Contract_Edits[[#This Row],[Index]],"0")))
)</f>
        <v>1</v>
      </c>
      <c r="AN154" s="452"/>
      <c r="AO154" s="193"/>
      <c r="AP154" s="193"/>
      <c r="AQ154" s="193"/>
      <c r="AR154" s="468"/>
      <c r="AS154" s="468"/>
      <c r="BC154" s="34"/>
      <c r="BD154" s="34"/>
      <c r="BE154" s="34"/>
      <c r="BZ154"/>
      <c r="CA154"/>
      <c r="CB154"/>
    </row>
    <row r="155" spans="11:80" ht="15">
      <c r="K155" s="104"/>
      <c r="L155" s="440">
        <v>85</v>
      </c>
      <c r="M155" s="44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7"/>
      <c r="R155" s="50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5" s="179">
        <v>0</v>
      </c>
      <c r="T155" s="179">
        <v>0</v>
      </c>
      <c r="U155" s="11"/>
      <c r="V155"/>
      <c r="W155" s="22" t="s">
        <v>357</v>
      </c>
      <c r="X155" s="22" t="s">
        <v>603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2">
        <f>--(
  ISNUMBER(SEARCH("BASE PARENT", UPPER(CLEAN(TRIM(_xlfn.XLOOKUP(TEXT(Contract_Edits[[#This Row],[Index]],"0"), baseIdxTxt, baseCost, "")))))) +
  ISNUMBER(SEARCH("DEPENDENCY GROUP", UPPER(CLEAN(TRIM(_xlfn.XLOOKUP(TEXT(Contract_Edits[[#This Row],[Index]],"0"), baseIdxTxt, baseCost, ""))))))
)</f>
        <v>0</v>
      </c>
      <c r="AG155" s="502" t="str" cm="1">
        <f t="array" ref="AG155">IF(Contract_Edits[[#This Row],[BaseFlag]]=1,
   10*BaseDepthL(TEXT(Contract_Edits[[#This Row],[Index]],"0"),500,editsIdxTxt,editsParentKeyTxt,baseIdxTxt,baseCost)-5,
   ""
)</f>
        <v/>
      </c>
      <c r="AH155" s="50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2" t="str">
        <f>IF(Contract_Edits[[#This Row],[Dep]]=0,"Root",
   IF(ISNUMBER(MATCH(Contract_Edits[[#This Row],[Dep]],Contract_Edits[Index],0)),"OK","Missing")
)</f>
        <v>Root</v>
      </c>
      <c r="AJ155" s="452" t="e">
        <f>IF(AND(Contract_Edits[[#This Row],[Dep]]&lt;&gt;0,
        ISNUMBER(MATCH(Contract_Edits[[#This Row],[Dep]], Contract_Edits[Index], 0)),
        INDEX(Contract_Edits[Dep], MATCH(Contract_Edits[[#This Row],[Dep]], Contract_Edits[Index], 0))=Contract_Edits[[#This Row],[Index]]),
   "2-cycle","")</f>
        <v>#N/A</v>
      </c>
      <c r="AK155" s="452" cm="1">
        <f t="array" ref="AK155">IF(Contract_Edits[[#This Row],[BaseFlag]]&lt;&gt;1,0,
   IF(TEXT(Contract_Edits[[#This Row],[Dep]],"0")=TEXT(Contract_Edits[[#This Row],[Index]],"0"),
      0,
      MAX(0, SUMPRODUCT(--(Contract_Edits[BaseFlag]=1),
                        --(TEXT(Contract_Edits[Dep],"0")=TEXT(Contract_Edits[[#This Row],[Dep]],"0"))) - 1)
   )
)</f>
        <v>0</v>
      </c>
      <c r="AL155" s="452" t="str" cm="1">
        <f t="array" ref="AL155">IF(Contract_Edits[[#This Row],[BaseFlag]]=1,
   TEXT(Contract_Edits[[#This Row],[Index]],"0"),
   NearestBaseL(TEXT(Contract_Edits[[#This Row],[ParentKey]],"0"),500,editsIdxTxt,editsParentKeyTxt,baseIdxTxt,baseCost)
)</f>
        <v>0</v>
      </c>
      <c r="AM155" s="452" cm="1">
        <f t="array" ref="AM155">1+SUMPRODUCT(
  (Contract_Edits[BaseFlag]=1)*
  (TEXT(Contract_Edits[ParentAnchor],"0")=TEXT(Contract_Edits[[#This Row],[ParentAnchor]],"0"))*
  (VALUE(TEXT(Contract_Edits[Index],"0"))&lt;VALUE(TEXT(Contract_Edits[[#This Row],[Index]],"0")))
)</f>
        <v>1</v>
      </c>
      <c r="AN155" s="452"/>
      <c r="AO155" s="193"/>
      <c r="AP155" s="193"/>
      <c r="AQ155" s="193"/>
      <c r="AR155" s="468"/>
      <c r="AS155" s="468"/>
      <c r="BC155" s="34"/>
      <c r="BD155" s="34"/>
      <c r="BE155" s="34"/>
      <c r="BZ155"/>
      <c r="CA155"/>
      <c r="CB155"/>
    </row>
    <row r="156" spans="11:80" ht="15">
      <c r="K156" s="104"/>
      <c r="L156" s="440">
        <v>84</v>
      </c>
      <c r="M156" s="44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7"/>
      <c r="R156" s="50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6" s="179">
        <v>0</v>
      </c>
      <c r="T156" s="179">
        <v>0</v>
      </c>
      <c r="U156" s="11"/>
      <c r="V156"/>
      <c r="W156" s="22" t="s">
        <v>357</v>
      </c>
      <c r="X156" s="22" t="s">
        <v>603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2">
        <f>--(
  ISNUMBER(SEARCH("BASE PARENT", UPPER(CLEAN(TRIM(_xlfn.XLOOKUP(TEXT(Contract_Edits[[#This Row],[Index]],"0"), baseIdxTxt, baseCost, "")))))) +
  ISNUMBER(SEARCH("DEPENDENCY GROUP", UPPER(CLEAN(TRIM(_xlfn.XLOOKUP(TEXT(Contract_Edits[[#This Row],[Index]],"0"), baseIdxTxt, baseCost, ""))))))
)</f>
        <v>0</v>
      </c>
      <c r="AG156" s="502" t="str" cm="1">
        <f t="array" ref="AG156">IF(Contract_Edits[[#This Row],[BaseFlag]]=1,
   10*BaseDepthL(TEXT(Contract_Edits[[#This Row],[Index]],"0"),500,editsIdxTxt,editsParentKeyTxt,baseIdxTxt,baseCost)-5,
   ""
)</f>
        <v/>
      </c>
      <c r="AH156" s="50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2" t="str">
        <f>IF(Contract_Edits[[#This Row],[Dep]]=0,"Root",
   IF(ISNUMBER(MATCH(Contract_Edits[[#This Row],[Dep]],Contract_Edits[Index],0)),"OK","Missing")
)</f>
        <v>Root</v>
      </c>
      <c r="AJ156" s="452" t="e">
        <f>IF(AND(Contract_Edits[[#This Row],[Dep]]&lt;&gt;0,
        ISNUMBER(MATCH(Contract_Edits[[#This Row],[Dep]], Contract_Edits[Index], 0)),
        INDEX(Contract_Edits[Dep], MATCH(Contract_Edits[[#This Row],[Dep]], Contract_Edits[Index], 0))=Contract_Edits[[#This Row],[Index]]),
   "2-cycle","")</f>
        <v>#N/A</v>
      </c>
      <c r="AK156" s="452" cm="1">
        <f t="array" ref="AK156">IF(Contract_Edits[[#This Row],[BaseFlag]]&lt;&gt;1,0,
   IF(TEXT(Contract_Edits[[#This Row],[Dep]],"0")=TEXT(Contract_Edits[[#This Row],[Index]],"0"),
      0,
      MAX(0, SUMPRODUCT(--(Contract_Edits[BaseFlag]=1),
                        --(TEXT(Contract_Edits[Dep],"0")=TEXT(Contract_Edits[[#This Row],[Dep]],"0"))) - 1)
   )
)</f>
        <v>0</v>
      </c>
      <c r="AL156" s="452" t="str" cm="1">
        <f t="array" ref="AL156">IF(Contract_Edits[[#This Row],[BaseFlag]]=1,
   TEXT(Contract_Edits[[#This Row],[Index]],"0"),
   NearestBaseL(TEXT(Contract_Edits[[#This Row],[ParentKey]],"0"),500,editsIdxTxt,editsParentKeyTxt,baseIdxTxt,baseCost)
)</f>
        <v>0</v>
      </c>
      <c r="AM156" s="452" cm="1">
        <f t="array" ref="AM156">1+SUMPRODUCT(
  (Contract_Edits[BaseFlag]=1)*
  (TEXT(Contract_Edits[ParentAnchor],"0")=TEXT(Contract_Edits[[#This Row],[ParentAnchor]],"0"))*
  (VALUE(TEXT(Contract_Edits[Index],"0"))&lt;VALUE(TEXT(Contract_Edits[[#This Row],[Index]],"0")))
)</f>
        <v>1</v>
      </c>
      <c r="AN156" s="452"/>
      <c r="AO156" s="193"/>
      <c r="AP156" s="193"/>
      <c r="AQ156" s="193"/>
      <c r="BC156" s="34"/>
      <c r="BD156" s="34"/>
      <c r="BE156" s="34"/>
      <c r="BZ156"/>
      <c r="CA156"/>
      <c r="CB156"/>
    </row>
    <row r="157" spans="11:80" ht="15">
      <c r="K157" s="104"/>
      <c r="L157" s="440">
        <v>114</v>
      </c>
      <c r="M157" s="44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7"/>
      <c r="R157" s="50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7" s="179">
        <v>0</v>
      </c>
      <c r="T157" s="179">
        <v>0</v>
      </c>
      <c r="U157" s="11"/>
      <c r="V157"/>
      <c r="W157" s="22" t="s">
        <v>357</v>
      </c>
      <c r="X157" s="22" t="s">
        <v>603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2">
        <f>--(
  ISNUMBER(SEARCH("BASE PARENT", UPPER(CLEAN(TRIM(_xlfn.XLOOKUP(TEXT(Contract_Edits[[#This Row],[Index]],"0"), baseIdxTxt, baseCost, "")))))) +
  ISNUMBER(SEARCH("DEPENDENCY GROUP", UPPER(CLEAN(TRIM(_xlfn.XLOOKUP(TEXT(Contract_Edits[[#This Row],[Index]],"0"), baseIdxTxt, baseCost, ""))))))
)</f>
        <v>0</v>
      </c>
      <c r="AG157" s="502" t="str" cm="1">
        <f t="array" ref="AG157">IF(Contract_Edits[[#This Row],[BaseFlag]]=1,
   10*BaseDepthL(TEXT(Contract_Edits[[#This Row],[Index]],"0"),500,editsIdxTxt,editsParentKeyTxt,baseIdxTxt,baseCost)-5,
   ""
)</f>
        <v/>
      </c>
      <c r="AH157" s="50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2" t="str">
        <f>IF(Contract_Edits[[#This Row],[Dep]]=0,"Root",
   IF(ISNUMBER(MATCH(Contract_Edits[[#This Row],[Dep]],Contract_Edits[Index],0)),"OK","Missing")
)</f>
        <v>Root</v>
      </c>
      <c r="AJ157" s="452" t="e">
        <f>IF(AND(Contract_Edits[[#This Row],[Dep]]&lt;&gt;0,
        ISNUMBER(MATCH(Contract_Edits[[#This Row],[Dep]], Contract_Edits[Index], 0)),
        INDEX(Contract_Edits[Dep], MATCH(Contract_Edits[[#This Row],[Dep]], Contract_Edits[Index], 0))=Contract_Edits[[#This Row],[Index]]),
   "2-cycle","")</f>
        <v>#N/A</v>
      </c>
      <c r="AK157" s="452" cm="1">
        <f t="array" ref="AK157">IF(Contract_Edits[[#This Row],[BaseFlag]]&lt;&gt;1,0,
   IF(TEXT(Contract_Edits[[#This Row],[Dep]],"0")=TEXT(Contract_Edits[[#This Row],[Index]],"0"),
      0,
      MAX(0, SUMPRODUCT(--(Contract_Edits[BaseFlag]=1),
                        --(TEXT(Contract_Edits[Dep],"0")=TEXT(Contract_Edits[[#This Row],[Dep]],"0"))) - 1)
   )
)</f>
        <v>0</v>
      </c>
      <c r="AL157" s="452" t="str" cm="1">
        <f t="array" ref="AL157">IF(Contract_Edits[[#This Row],[BaseFlag]]=1,
   TEXT(Contract_Edits[[#This Row],[Index]],"0"),
   NearestBaseL(TEXT(Contract_Edits[[#This Row],[ParentKey]],"0"),500,editsIdxTxt,editsParentKeyTxt,baseIdxTxt,baseCost)
)</f>
        <v>0</v>
      </c>
      <c r="AM157" s="452" cm="1">
        <f t="array" ref="AM157">1+SUMPRODUCT(
  (Contract_Edits[BaseFlag]=1)*
  (TEXT(Contract_Edits[ParentAnchor],"0")=TEXT(Contract_Edits[[#This Row],[ParentAnchor]],"0"))*
  (VALUE(TEXT(Contract_Edits[Index],"0"))&lt;VALUE(TEXT(Contract_Edits[[#This Row],[Index]],"0")))
)</f>
        <v>1</v>
      </c>
      <c r="AN157" s="452"/>
      <c r="AO157" s="193"/>
      <c r="AP157" s="193"/>
      <c r="AQ157" s="193"/>
      <c r="BC157" s="34"/>
      <c r="BD157" s="34"/>
      <c r="BE157" s="34"/>
      <c r="BZ157"/>
      <c r="CA157"/>
      <c r="CB157"/>
    </row>
    <row r="158" spans="11:80" ht="15">
      <c r="K158" s="104"/>
      <c r="L158" s="440">
        <v>115</v>
      </c>
      <c r="M158" s="44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7"/>
      <c r="R158" s="50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8" s="179">
        <v>0</v>
      </c>
      <c r="T158" s="179">
        <v>0</v>
      </c>
      <c r="U158" s="11"/>
      <c r="V158"/>
      <c r="W158" s="22" t="s">
        <v>357</v>
      </c>
      <c r="X158" s="22" t="s">
        <v>603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2">
        <f>--(
  ISNUMBER(SEARCH("BASE PARENT", UPPER(CLEAN(TRIM(_xlfn.XLOOKUP(TEXT(Contract_Edits[[#This Row],[Index]],"0"), baseIdxTxt, baseCost, "")))))) +
  ISNUMBER(SEARCH("DEPENDENCY GROUP", UPPER(CLEAN(TRIM(_xlfn.XLOOKUP(TEXT(Contract_Edits[[#This Row],[Index]],"0"), baseIdxTxt, baseCost, ""))))))
)</f>
        <v>0</v>
      </c>
      <c r="AG158" s="502" t="str" cm="1">
        <f t="array" ref="AG158">IF(Contract_Edits[[#This Row],[BaseFlag]]=1,
   10*BaseDepthL(TEXT(Contract_Edits[[#This Row],[Index]],"0"),500,editsIdxTxt,editsParentKeyTxt,baseIdxTxt,baseCost)-5,
   ""
)</f>
        <v/>
      </c>
      <c r="AH158" s="50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2" t="str">
        <f>IF(Contract_Edits[[#This Row],[Dep]]=0,"Root",
   IF(ISNUMBER(MATCH(Contract_Edits[[#This Row],[Dep]],Contract_Edits[Index],0)),"OK","Missing")
)</f>
        <v>Root</v>
      </c>
      <c r="AJ158" s="452" t="e">
        <f>IF(AND(Contract_Edits[[#This Row],[Dep]]&lt;&gt;0,
        ISNUMBER(MATCH(Contract_Edits[[#This Row],[Dep]], Contract_Edits[Index], 0)),
        INDEX(Contract_Edits[Dep], MATCH(Contract_Edits[[#This Row],[Dep]], Contract_Edits[Index], 0))=Contract_Edits[[#This Row],[Index]]),
   "2-cycle","")</f>
        <v>#N/A</v>
      </c>
      <c r="AK158" s="452" cm="1">
        <f t="array" ref="AK158">IF(Contract_Edits[[#This Row],[BaseFlag]]&lt;&gt;1,0,
   IF(TEXT(Contract_Edits[[#This Row],[Dep]],"0")=TEXT(Contract_Edits[[#This Row],[Index]],"0"),
      0,
      MAX(0, SUMPRODUCT(--(Contract_Edits[BaseFlag]=1),
                        --(TEXT(Contract_Edits[Dep],"0")=TEXT(Contract_Edits[[#This Row],[Dep]],"0"))) - 1)
   )
)</f>
        <v>0</v>
      </c>
      <c r="AL158" s="452" t="str" cm="1">
        <f t="array" ref="AL158">IF(Contract_Edits[[#This Row],[BaseFlag]]=1,
   TEXT(Contract_Edits[[#This Row],[Index]],"0"),
   NearestBaseL(TEXT(Contract_Edits[[#This Row],[ParentKey]],"0"),500,editsIdxTxt,editsParentKeyTxt,baseIdxTxt,baseCost)
)</f>
        <v>0</v>
      </c>
      <c r="AM158" s="452" cm="1">
        <f t="array" ref="AM158">1+SUMPRODUCT(
  (Contract_Edits[BaseFlag]=1)*
  (TEXT(Contract_Edits[ParentAnchor],"0")=TEXT(Contract_Edits[[#This Row],[ParentAnchor]],"0"))*
  (VALUE(TEXT(Contract_Edits[Index],"0"))&lt;VALUE(TEXT(Contract_Edits[[#This Row],[Index]],"0")))
)</f>
        <v>1</v>
      </c>
      <c r="AN158" s="452"/>
      <c r="AO158" s="193"/>
      <c r="AP158" s="193"/>
      <c r="AQ158" s="193"/>
      <c r="BC158" s="34"/>
      <c r="BD158" s="34"/>
      <c r="BE158" s="34"/>
      <c r="BZ158"/>
      <c r="CA158"/>
      <c r="CB158"/>
    </row>
    <row r="159" spans="11:80" ht="15">
      <c r="K159" s="104"/>
      <c r="L159" s="440">
        <v>162</v>
      </c>
      <c r="M159" s="44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79"/>
      <c r="R159" s="50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59" s="179">
        <v>0</v>
      </c>
      <c r="T159" s="468"/>
      <c r="U159" s="491"/>
      <c r="V159" s="193"/>
      <c r="W159" s="22" t="s">
        <v>357</v>
      </c>
      <c r="Y159" s="48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2">
        <f>--(
  ISNUMBER(SEARCH("BASE PARENT", UPPER(CLEAN(TRIM(_xlfn.XLOOKUP(TEXT(Contract_Edits[[#This Row],[Index]],"0"), baseIdxTxt, baseCost, "")))))) +
  ISNUMBER(SEARCH("DEPENDENCY GROUP", UPPER(CLEAN(TRIM(_xlfn.XLOOKUP(TEXT(Contract_Edits[[#This Row],[Index]],"0"), baseIdxTxt, baseCost, ""))))))
)</f>
        <v>0</v>
      </c>
      <c r="AG159" s="502" t="str" cm="1">
        <f t="array" ref="AG159">IF(Contract_Edits[[#This Row],[BaseFlag]]=1,
   10*BaseDepthL(TEXT(Contract_Edits[[#This Row],[Index]],"0"),500,editsIdxTxt,editsParentKeyTxt,baseIdxTxt,baseCost)-5,
   ""
)</f>
        <v/>
      </c>
      <c r="AH159" s="50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2" t="str">
        <f>IF(Contract_Edits[[#This Row],[Dep]]=0,"Root",
   IF(ISNUMBER(MATCH(Contract_Edits[[#This Row],[Dep]],Contract_Edits[Index],0)),"OK","Missing")
)</f>
        <v>Root</v>
      </c>
      <c r="AJ159" s="452" t="e">
        <f>IF(AND(Contract_Edits[[#This Row],[Dep]]&lt;&gt;0,
        ISNUMBER(MATCH(Contract_Edits[[#This Row],[Dep]], Contract_Edits[Index], 0)),
        INDEX(Contract_Edits[Dep], MATCH(Contract_Edits[[#This Row],[Dep]], Contract_Edits[Index], 0))=Contract_Edits[[#This Row],[Index]]),
   "2-cycle","")</f>
        <v>#N/A</v>
      </c>
      <c r="AK159" s="452" cm="1">
        <f t="array" ref="AK159">IF(Contract_Edits[[#This Row],[BaseFlag]]&lt;&gt;1,0,
   IF(TEXT(Contract_Edits[[#This Row],[Dep]],"0")=TEXT(Contract_Edits[[#This Row],[Index]],"0"),
      0,
      MAX(0, SUMPRODUCT(--(Contract_Edits[BaseFlag]=1),
                        --(TEXT(Contract_Edits[Dep],"0")=TEXT(Contract_Edits[[#This Row],[Dep]],"0"))) - 1)
   )
)</f>
        <v>0</v>
      </c>
      <c r="AL159" s="452" t="str" cm="1">
        <f t="array" ref="AL159">IF(Contract_Edits[[#This Row],[BaseFlag]]=1,
   TEXT(Contract_Edits[[#This Row],[Index]],"0"),
   NearestBaseL(TEXT(Contract_Edits[[#This Row],[ParentKey]],"0"),500,editsIdxTxt,editsParentKeyTxt,baseIdxTxt,baseCost)
)</f>
        <v>0</v>
      </c>
      <c r="AM159" s="452" cm="1">
        <f t="array" ref="AM159">1+SUMPRODUCT(
  (Contract_Edits[BaseFlag]=1)*
  (TEXT(Contract_Edits[ParentAnchor],"0")=TEXT(Contract_Edits[[#This Row],[ParentAnchor]],"0"))*
  (VALUE(TEXT(Contract_Edits[Index],"0"))&lt;VALUE(TEXT(Contract_Edits[[#This Row],[Index]],"0")))
)</f>
        <v>1</v>
      </c>
      <c r="AN159" s="452"/>
      <c r="AO159" s="193"/>
      <c r="AP159" s="193"/>
      <c r="AQ159" s="193"/>
      <c r="BC159" s="34"/>
      <c r="BD159" s="34"/>
      <c r="BE159" s="34"/>
      <c r="BZ159"/>
      <c r="CA159"/>
      <c r="CB159"/>
    </row>
    <row r="160" spans="11:80" ht="15">
      <c r="K160" s="104"/>
      <c r="L160" s="440">
        <v>135</v>
      </c>
      <c r="M160" s="44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79"/>
      <c r="R160" s="50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0" s="179">
        <v>0</v>
      </c>
      <c r="T160" s="468">
        <v>0</v>
      </c>
      <c r="U160" s="491"/>
      <c r="V160" s="193"/>
      <c r="W160" s="22" t="s">
        <v>357</v>
      </c>
      <c r="X160" s="483" t="s">
        <v>603</v>
      </c>
      <c r="Y160" s="483"/>
      <c r="Z160" s="48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2">
        <f>--(
  ISNUMBER(SEARCH("BASE PARENT", UPPER(CLEAN(TRIM(_xlfn.XLOOKUP(TEXT(Contract_Edits[[#This Row],[Index]],"0"), baseIdxTxt, baseCost, "")))))) +
  ISNUMBER(SEARCH("DEPENDENCY GROUP", UPPER(CLEAN(TRIM(_xlfn.XLOOKUP(TEXT(Contract_Edits[[#This Row],[Index]],"0"), baseIdxTxt, baseCost, ""))))))
)</f>
        <v>0</v>
      </c>
      <c r="AG160" s="502" t="str" cm="1">
        <f t="array" ref="AG160">IF(Contract_Edits[[#This Row],[BaseFlag]]=1,
   10*BaseDepthL(TEXT(Contract_Edits[[#This Row],[Index]],"0"),500,editsIdxTxt,editsParentKeyTxt,baseIdxTxt,baseCost)-5,
   ""
)</f>
        <v/>
      </c>
      <c r="AH160" s="50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2" t="str">
        <f>IF(Contract_Edits[[#This Row],[Dep]]=0,"Root",
   IF(ISNUMBER(MATCH(Contract_Edits[[#This Row],[Dep]],Contract_Edits[Index],0)),"OK","Missing")
)</f>
        <v>Root</v>
      </c>
      <c r="AJ160" s="452" t="e">
        <f>IF(AND(Contract_Edits[[#This Row],[Dep]]&lt;&gt;0,
        ISNUMBER(MATCH(Contract_Edits[[#This Row],[Dep]], Contract_Edits[Index], 0)),
        INDEX(Contract_Edits[Dep], MATCH(Contract_Edits[[#This Row],[Dep]], Contract_Edits[Index], 0))=Contract_Edits[[#This Row],[Index]]),
   "2-cycle","")</f>
        <v>#N/A</v>
      </c>
      <c r="AK160" s="452" cm="1">
        <f t="array" ref="AK160">IF(Contract_Edits[[#This Row],[BaseFlag]]&lt;&gt;1,0,
   IF(TEXT(Contract_Edits[[#This Row],[Dep]],"0")=TEXT(Contract_Edits[[#This Row],[Index]],"0"),
      0,
      MAX(0, SUMPRODUCT(--(Contract_Edits[BaseFlag]=1),
                        --(TEXT(Contract_Edits[Dep],"0")=TEXT(Contract_Edits[[#This Row],[Dep]],"0"))) - 1)
   )
)</f>
        <v>0</v>
      </c>
      <c r="AL160" s="452" t="str" cm="1">
        <f t="array" ref="AL160">IF(Contract_Edits[[#This Row],[BaseFlag]]=1,
   TEXT(Contract_Edits[[#This Row],[Index]],"0"),
   NearestBaseL(TEXT(Contract_Edits[[#This Row],[ParentKey]],"0"),500,editsIdxTxt,editsParentKeyTxt,baseIdxTxt,baseCost)
)</f>
        <v>0</v>
      </c>
      <c r="AM160" s="452" cm="1">
        <f t="array" ref="AM160">1+SUMPRODUCT(
  (Contract_Edits[BaseFlag]=1)*
  (TEXT(Contract_Edits[ParentAnchor],"0")=TEXT(Contract_Edits[[#This Row],[ParentAnchor]],"0"))*
  (VALUE(TEXT(Contract_Edits[Index],"0"))&lt;VALUE(TEXT(Contract_Edits[[#This Row],[Index]],"0")))
)</f>
        <v>1</v>
      </c>
      <c r="AN160" s="452"/>
      <c r="AO160" s="193"/>
      <c r="AP160" s="193"/>
      <c r="AQ160" s="193"/>
      <c r="BC160" s="34"/>
      <c r="BD160" s="34"/>
      <c r="BE160" s="34"/>
      <c r="BZ160"/>
      <c r="CA160"/>
      <c r="CB160"/>
    </row>
    <row r="161" spans="11:80" ht="15">
      <c r="K161" s="104"/>
      <c r="L161" s="440">
        <v>88</v>
      </c>
      <c r="M161" s="44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7"/>
      <c r="R161" s="50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1" s="179">
        <v>0</v>
      </c>
      <c r="T161" s="179">
        <v>0</v>
      </c>
      <c r="U161" s="11"/>
      <c r="V161"/>
      <c r="W161" s="22" t="s">
        <v>357</v>
      </c>
      <c r="X161" s="22" t="s">
        <v>603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2">
        <f>--(
  ISNUMBER(SEARCH("BASE PARENT", UPPER(CLEAN(TRIM(_xlfn.XLOOKUP(TEXT(Contract_Edits[[#This Row],[Index]],"0"), baseIdxTxt, baseCost, "")))))) +
  ISNUMBER(SEARCH("DEPENDENCY GROUP", UPPER(CLEAN(TRIM(_xlfn.XLOOKUP(TEXT(Contract_Edits[[#This Row],[Index]],"0"), baseIdxTxt, baseCost, ""))))))
)</f>
        <v>0</v>
      </c>
      <c r="AG161" s="502" t="str" cm="1">
        <f t="array" ref="AG161">IF(Contract_Edits[[#This Row],[BaseFlag]]=1,
   10*BaseDepthL(TEXT(Contract_Edits[[#This Row],[Index]],"0"),500,editsIdxTxt,editsParentKeyTxt,baseIdxTxt,baseCost)-5,
   ""
)</f>
        <v/>
      </c>
      <c r="AH161" s="50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2" t="str">
        <f>IF(Contract_Edits[[#This Row],[Dep]]=0,"Root",
   IF(ISNUMBER(MATCH(Contract_Edits[[#This Row],[Dep]],Contract_Edits[Index],0)),"OK","Missing")
)</f>
        <v>Root</v>
      </c>
      <c r="AJ161" s="452" t="e">
        <f>IF(AND(Contract_Edits[[#This Row],[Dep]]&lt;&gt;0,
        ISNUMBER(MATCH(Contract_Edits[[#This Row],[Dep]], Contract_Edits[Index], 0)),
        INDEX(Contract_Edits[Dep], MATCH(Contract_Edits[[#This Row],[Dep]], Contract_Edits[Index], 0))=Contract_Edits[[#This Row],[Index]]),
   "2-cycle","")</f>
        <v>#N/A</v>
      </c>
      <c r="AK161" s="452" cm="1">
        <f t="array" ref="AK161">IF(Contract_Edits[[#This Row],[BaseFlag]]&lt;&gt;1,0,
   IF(TEXT(Contract_Edits[[#This Row],[Dep]],"0")=TEXT(Contract_Edits[[#This Row],[Index]],"0"),
      0,
      MAX(0, SUMPRODUCT(--(Contract_Edits[BaseFlag]=1),
                        --(TEXT(Contract_Edits[Dep],"0")=TEXT(Contract_Edits[[#This Row],[Dep]],"0"))) - 1)
   )
)</f>
        <v>0</v>
      </c>
      <c r="AL161" s="452" t="str" cm="1">
        <f t="array" ref="AL161">IF(Contract_Edits[[#This Row],[BaseFlag]]=1,
   TEXT(Contract_Edits[[#This Row],[Index]],"0"),
   NearestBaseL(TEXT(Contract_Edits[[#This Row],[ParentKey]],"0"),500,editsIdxTxt,editsParentKeyTxt,baseIdxTxt,baseCost)
)</f>
        <v>0</v>
      </c>
      <c r="AM161" s="452" cm="1">
        <f t="array" ref="AM161">1+SUMPRODUCT(
  (Contract_Edits[BaseFlag]=1)*
  (TEXT(Contract_Edits[ParentAnchor],"0")=TEXT(Contract_Edits[[#This Row],[ParentAnchor]],"0"))*
  (VALUE(TEXT(Contract_Edits[Index],"0"))&lt;VALUE(TEXT(Contract_Edits[[#This Row],[Index]],"0")))
)</f>
        <v>1</v>
      </c>
      <c r="AN161" s="452"/>
      <c r="AO161" s="193"/>
      <c r="AP161" s="193"/>
      <c r="AQ161" s="193"/>
      <c r="BC161" s="34"/>
      <c r="BD161" s="34"/>
      <c r="BE161" s="34"/>
      <c r="BZ161"/>
      <c r="CA161"/>
      <c r="CB161"/>
    </row>
    <row r="162" spans="11:80" ht="15">
      <c r="K162" s="104"/>
      <c r="L162" s="440">
        <v>99</v>
      </c>
      <c r="M162" s="44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7"/>
      <c r="R162" s="50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2" s="179">
        <v>0</v>
      </c>
      <c r="T162" s="179">
        <v>0</v>
      </c>
      <c r="U162" s="11"/>
      <c r="V162"/>
      <c r="W162" s="22" t="s">
        <v>357</v>
      </c>
      <c r="X162" s="22" t="s">
        <v>603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2">
        <f>--(
  ISNUMBER(SEARCH("BASE PARENT", UPPER(CLEAN(TRIM(_xlfn.XLOOKUP(TEXT(Contract_Edits[[#This Row],[Index]],"0"), baseIdxTxt, baseCost, "")))))) +
  ISNUMBER(SEARCH("DEPENDENCY GROUP", UPPER(CLEAN(TRIM(_xlfn.XLOOKUP(TEXT(Contract_Edits[[#This Row],[Index]],"0"), baseIdxTxt, baseCost, ""))))))
)</f>
        <v>0</v>
      </c>
      <c r="AG162" s="502" t="str" cm="1">
        <f t="array" ref="AG162">IF(Contract_Edits[[#This Row],[BaseFlag]]=1,
   10*BaseDepthL(TEXT(Contract_Edits[[#This Row],[Index]],"0"),500,editsIdxTxt,editsParentKeyTxt,baseIdxTxt,baseCost)-5,
   ""
)</f>
        <v/>
      </c>
      <c r="AH162" s="50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2" t="str">
        <f>IF(Contract_Edits[[#This Row],[Dep]]=0,"Root",
   IF(ISNUMBER(MATCH(Contract_Edits[[#This Row],[Dep]],Contract_Edits[Index],0)),"OK","Missing")
)</f>
        <v>Root</v>
      </c>
      <c r="AJ162" s="452" t="e">
        <f>IF(AND(Contract_Edits[[#This Row],[Dep]]&lt;&gt;0,
        ISNUMBER(MATCH(Contract_Edits[[#This Row],[Dep]], Contract_Edits[Index], 0)),
        INDEX(Contract_Edits[Dep], MATCH(Contract_Edits[[#This Row],[Dep]], Contract_Edits[Index], 0))=Contract_Edits[[#This Row],[Index]]),
   "2-cycle","")</f>
        <v>#N/A</v>
      </c>
      <c r="AK162" s="452" cm="1">
        <f t="array" ref="AK162">IF(Contract_Edits[[#This Row],[BaseFlag]]&lt;&gt;1,0,
   IF(TEXT(Contract_Edits[[#This Row],[Dep]],"0")=TEXT(Contract_Edits[[#This Row],[Index]],"0"),
      0,
      MAX(0, SUMPRODUCT(--(Contract_Edits[BaseFlag]=1),
                        --(TEXT(Contract_Edits[Dep],"0")=TEXT(Contract_Edits[[#This Row],[Dep]],"0"))) - 1)
   )
)</f>
        <v>0</v>
      </c>
      <c r="AL162" s="452" t="str" cm="1">
        <f t="array" ref="AL162">IF(Contract_Edits[[#This Row],[BaseFlag]]=1,
   TEXT(Contract_Edits[[#This Row],[Index]],"0"),
   NearestBaseL(TEXT(Contract_Edits[[#This Row],[ParentKey]],"0"),500,editsIdxTxt,editsParentKeyTxt,baseIdxTxt,baseCost)
)</f>
        <v>0</v>
      </c>
      <c r="AM162" s="452" cm="1">
        <f t="array" ref="AM162">1+SUMPRODUCT(
  (Contract_Edits[BaseFlag]=1)*
  (TEXT(Contract_Edits[ParentAnchor],"0")=TEXT(Contract_Edits[[#This Row],[ParentAnchor]],"0"))*
  (VALUE(TEXT(Contract_Edits[Index],"0"))&lt;VALUE(TEXT(Contract_Edits[[#This Row],[Index]],"0")))
)</f>
        <v>1</v>
      </c>
      <c r="AN162" s="452"/>
      <c r="AO162" s="193"/>
      <c r="AP162" s="193"/>
      <c r="AQ162" s="193"/>
      <c r="BC162" s="34"/>
      <c r="BD162" s="34"/>
      <c r="BE162" s="34"/>
      <c r="BZ162"/>
      <c r="CA162"/>
      <c r="CB162"/>
    </row>
    <row r="163" spans="11:80" ht="15">
      <c r="K163" s="104"/>
      <c r="L163" s="440">
        <v>116</v>
      </c>
      <c r="M163" s="44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79"/>
      <c r="R163" s="50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3" s="179">
        <v>0</v>
      </c>
      <c r="T163" s="468"/>
      <c r="U163" s="491"/>
      <c r="V163" s="193"/>
      <c r="W163" s="22" t="s">
        <v>357</v>
      </c>
      <c r="X163" s="483" t="s">
        <v>603</v>
      </c>
      <c r="Y163" s="48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2">
        <f>--(
  ISNUMBER(SEARCH("BASE PARENT", UPPER(CLEAN(TRIM(_xlfn.XLOOKUP(TEXT(Contract_Edits[[#This Row],[Index]],"0"), baseIdxTxt, baseCost, "")))))) +
  ISNUMBER(SEARCH("DEPENDENCY GROUP", UPPER(CLEAN(TRIM(_xlfn.XLOOKUP(TEXT(Contract_Edits[[#This Row],[Index]],"0"), baseIdxTxt, baseCost, ""))))))
)</f>
        <v>0</v>
      </c>
      <c r="AG163" s="502" t="str" cm="1">
        <f t="array" ref="AG163">IF(Contract_Edits[[#This Row],[BaseFlag]]=1,
   10*BaseDepthL(TEXT(Contract_Edits[[#This Row],[Index]],"0"),500,editsIdxTxt,editsParentKeyTxt,baseIdxTxt,baseCost)-5,
   ""
)</f>
        <v/>
      </c>
      <c r="AH163" s="50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2" t="str">
        <f>IF(Contract_Edits[[#This Row],[Dep]]=0,"Root",
   IF(ISNUMBER(MATCH(Contract_Edits[[#This Row],[Dep]],Contract_Edits[Index],0)),"OK","Missing")
)</f>
        <v>Root</v>
      </c>
      <c r="AJ163" s="452" t="e">
        <f>IF(AND(Contract_Edits[[#This Row],[Dep]]&lt;&gt;0,
        ISNUMBER(MATCH(Contract_Edits[[#This Row],[Dep]], Contract_Edits[Index], 0)),
        INDEX(Contract_Edits[Dep], MATCH(Contract_Edits[[#This Row],[Dep]], Contract_Edits[Index], 0))=Contract_Edits[[#This Row],[Index]]),
   "2-cycle","")</f>
        <v>#N/A</v>
      </c>
      <c r="AK163" s="452" cm="1">
        <f t="array" ref="AK163">IF(Contract_Edits[[#This Row],[BaseFlag]]&lt;&gt;1,0,
   IF(TEXT(Contract_Edits[[#This Row],[Dep]],"0")=TEXT(Contract_Edits[[#This Row],[Index]],"0"),
      0,
      MAX(0, SUMPRODUCT(--(Contract_Edits[BaseFlag]=1),
                        --(TEXT(Contract_Edits[Dep],"0")=TEXT(Contract_Edits[[#This Row],[Dep]],"0"))) - 1)
   )
)</f>
        <v>0</v>
      </c>
      <c r="AL163" s="452" t="str" cm="1">
        <f t="array" ref="AL163">IF(Contract_Edits[[#This Row],[BaseFlag]]=1,
   TEXT(Contract_Edits[[#This Row],[Index]],"0"),
   NearestBaseL(TEXT(Contract_Edits[[#This Row],[ParentKey]],"0"),500,editsIdxTxt,editsParentKeyTxt,baseIdxTxt,baseCost)
)</f>
        <v>0</v>
      </c>
      <c r="AM163" s="452" cm="1">
        <f t="array" ref="AM163">1+SUMPRODUCT(
  (Contract_Edits[BaseFlag]=1)*
  (TEXT(Contract_Edits[ParentAnchor],"0")=TEXT(Contract_Edits[[#This Row],[ParentAnchor]],"0"))*
  (VALUE(TEXT(Contract_Edits[Index],"0"))&lt;VALUE(TEXT(Contract_Edits[[#This Row],[Index]],"0")))
)</f>
        <v>1</v>
      </c>
      <c r="AN163" s="452"/>
      <c r="AO163" s="193"/>
      <c r="AP163" s="193"/>
      <c r="AQ163" s="193"/>
      <c r="BC163" s="34"/>
      <c r="BD163" s="34"/>
      <c r="BE163" s="34"/>
      <c r="BZ163"/>
      <c r="CA163"/>
      <c r="CB163"/>
    </row>
    <row r="164" spans="11:80" ht="15">
      <c r="K164" s="104"/>
      <c r="L164" s="440">
        <v>163</v>
      </c>
      <c r="M164" s="44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79"/>
      <c r="R164" s="50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4" s="179">
        <v>0</v>
      </c>
      <c r="T164" s="468"/>
      <c r="U164" s="491"/>
      <c r="V164" s="193"/>
      <c r="W164" s="22" t="s">
        <v>357</v>
      </c>
      <c r="Y164" s="48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2">
        <f>--(
  ISNUMBER(SEARCH("BASE PARENT", UPPER(CLEAN(TRIM(_xlfn.XLOOKUP(TEXT(Contract_Edits[[#This Row],[Index]],"0"), baseIdxTxt, baseCost, "")))))) +
  ISNUMBER(SEARCH("DEPENDENCY GROUP", UPPER(CLEAN(TRIM(_xlfn.XLOOKUP(TEXT(Contract_Edits[[#This Row],[Index]],"0"), baseIdxTxt, baseCost, ""))))))
)</f>
        <v>0</v>
      </c>
      <c r="AG164" s="502" t="str" cm="1">
        <f t="array" ref="AG164">IF(Contract_Edits[[#This Row],[BaseFlag]]=1,
   10*BaseDepthL(TEXT(Contract_Edits[[#This Row],[Index]],"0"),500,editsIdxTxt,editsParentKeyTxt,baseIdxTxt,baseCost)-5,
   ""
)</f>
        <v/>
      </c>
      <c r="AH164" s="50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2" t="str">
        <f>IF(Contract_Edits[[#This Row],[Dep]]=0,"Root",
   IF(ISNUMBER(MATCH(Contract_Edits[[#This Row],[Dep]],Contract_Edits[Index],0)),"OK","Missing")
)</f>
        <v>Root</v>
      </c>
      <c r="AJ164" s="452" t="e">
        <f>IF(AND(Contract_Edits[[#This Row],[Dep]]&lt;&gt;0,
        ISNUMBER(MATCH(Contract_Edits[[#This Row],[Dep]], Contract_Edits[Index], 0)),
        INDEX(Contract_Edits[Dep], MATCH(Contract_Edits[[#This Row],[Dep]], Contract_Edits[Index], 0))=Contract_Edits[[#This Row],[Index]]),
   "2-cycle","")</f>
        <v>#N/A</v>
      </c>
      <c r="AK164" s="452" cm="1">
        <f t="array" ref="AK164">IF(Contract_Edits[[#This Row],[BaseFlag]]&lt;&gt;1,0,
   IF(TEXT(Contract_Edits[[#This Row],[Dep]],"0")=TEXT(Contract_Edits[[#This Row],[Index]],"0"),
      0,
      MAX(0, SUMPRODUCT(--(Contract_Edits[BaseFlag]=1),
                        --(TEXT(Contract_Edits[Dep],"0")=TEXT(Contract_Edits[[#This Row],[Dep]],"0"))) - 1)
   )
)</f>
        <v>0</v>
      </c>
      <c r="AL164" s="452" t="str" cm="1">
        <f t="array" ref="AL164">IF(Contract_Edits[[#This Row],[BaseFlag]]=1,
   TEXT(Contract_Edits[[#This Row],[Index]],"0"),
   NearestBaseL(TEXT(Contract_Edits[[#This Row],[ParentKey]],"0"),500,editsIdxTxt,editsParentKeyTxt,baseIdxTxt,baseCost)
)</f>
        <v>0</v>
      </c>
      <c r="AM164" s="452" cm="1">
        <f t="array" ref="AM164">1+SUMPRODUCT(
  (Contract_Edits[BaseFlag]=1)*
  (TEXT(Contract_Edits[ParentAnchor],"0")=TEXT(Contract_Edits[[#This Row],[ParentAnchor]],"0"))*
  (VALUE(TEXT(Contract_Edits[Index],"0"))&lt;VALUE(TEXT(Contract_Edits[[#This Row],[Index]],"0")))
)</f>
        <v>1</v>
      </c>
      <c r="AN164" s="452"/>
      <c r="AO164" s="193"/>
      <c r="AP164" s="193"/>
      <c r="AQ164" s="193"/>
      <c r="BC164" s="34"/>
      <c r="BD164" s="34"/>
      <c r="BE164" s="34"/>
      <c r="BZ164"/>
      <c r="CA164"/>
      <c r="CB164"/>
    </row>
    <row r="165" spans="11:80" ht="15">
      <c r="K165" s="104"/>
      <c r="L165" s="440">
        <v>104</v>
      </c>
      <c r="M165" s="44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7"/>
      <c r="R165" s="50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5" s="179">
        <v>0</v>
      </c>
      <c r="T165" s="179">
        <v>0</v>
      </c>
      <c r="U165" s="11"/>
      <c r="V165"/>
      <c r="W165" s="22" t="s">
        <v>357</v>
      </c>
      <c r="X165" s="22" t="s">
        <v>603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2">
        <f>--(
  ISNUMBER(SEARCH("BASE PARENT", UPPER(CLEAN(TRIM(_xlfn.XLOOKUP(TEXT(Contract_Edits[[#This Row],[Index]],"0"), baseIdxTxt, baseCost, "")))))) +
  ISNUMBER(SEARCH("DEPENDENCY GROUP", UPPER(CLEAN(TRIM(_xlfn.XLOOKUP(TEXT(Contract_Edits[[#This Row],[Index]],"0"), baseIdxTxt, baseCost, ""))))))
)</f>
        <v>0</v>
      </c>
      <c r="AG165" s="502" t="str" cm="1">
        <f t="array" ref="AG165">IF(Contract_Edits[[#This Row],[BaseFlag]]=1,
   10*BaseDepthL(TEXT(Contract_Edits[[#This Row],[Index]],"0"),500,editsIdxTxt,editsParentKeyTxt,baseIdxTxt,baseCost)-5,
   ""
)</f>
        <v/>
      </c>
      <c r="AH165" s="50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2" t="str">
        <f>IF(Contract_Edits[[#This Row],[Dep]]=0,"Root",
   IF(ISNUMBER(MATCH(Contract_Edits[[#This Row],[Dep]],Contract_Edits[Index],0)),"OK","Missing")
)</f>
        <v>Root</v>
      </c>
      <c r="AJ165" s="452" t="e">
        <f>IF(AND(Contract_Edits[[#This Row],[Dep]]&lt;&gt;0,
        ISNUMBER(MATCH(Contract_Edits[[#This Row],[Dep]], Contract_Edits[Index], 0)),
        INDEX(Contract_Edits[Dep], MATCH(Contract_Edits[[#This Row],[Dep]], Contract_Edits[Index], 0))=Contract_Edits[[#This Row],[Index]]),
   "2-cycle","")</f>
        <v>#N/A</v>
      </c>
      <c r="AK165" s="452" cm="1">
        <f t="array" ref="AK165">IF(Contract_Edits[[#This Row],[BaseFlag]]&lt;&gt;1,0,
   IF(TEXT(Contract_Edits[[#This Row],[Dep]],"0")=TEXT(Contract_Edits[[#This Row],[Index]],"0"),
      0,
      MAX(0, SUMPRODUCT(--(Contract_Edits[BaseFlag]=1),
                        --(TEXT(Contract_Edits[Dep],"0")=TEXT(Contract_Edits[[#This Row],[Dep]],"0"))) - 1)
   )
)</f>
        <v>0</v>
      </c>
      <c r="AL165" s="452" t="str" cm="1">
        <f t="array" ref="AL165">IF(Contract_Edits[[#This Row],[BaseFlag]]=1,
   TEXT(Contract_Edits[[#This Row],[Index]],"0"),
   NearestBaseL(TEXT(Contract_Edits[[#This Row],[ParentKey]],"0"),500,editsIdxTxt,editsParentKeyTxt,baseIdxTxt,baseCost)
)</f>
        <v>0</v>
      </c>
      <c r="AM165" s="452" cm="1">
        <f t="array" ref="AM165">1+SUMPRODUCT(
  (Contract_Edits[BaseFlag]=1)*
  (TEXT(Contract_Edits[ParentAnchor],"0")=TEXT(Contract_Edits[[#This Row],[ParentAnchor]],"0"))*
  (VALUE(TEXT(Contract_Edits[Index],"0"))&lt;VALUE(TEXT(Contract_Edits[[#This Row],[Index]],"0")))
)</f>
        <v>1</v>
      </c>
      <c r="AN165" s="452"/>
      <c r="AO165" s="193"/>
      <c r="AP165" s="193"/>
      <c r="AQ165" s="193"/>
      <c r="BC165" s="34"/>
      <c r="BD165" s="34"/>
      <c r="BE165" s="34"/>
      <c r="BZ165"/>
      <c r="CA165"/>
      <c r="CB165"/>
    </row>
    <row r="166" spans="11:80" ht="15">
      <c r="K166" s="104"/>
      <c r="L166" s="440">
        <v>86</v>
      </c>
      <c r="M166" s="44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7"/>
      <c r="R166" s="50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6" s="179">
        <v>0</v>
      </c>
      <c r="T166" s="179">
        <v>0</v>
      </c>
      <c r="U166" s="11"/>
      <c r="V166"/>
      <c r="W166" s="22" t="s">
        <v>357</v>
      </c>
      <c r="X166" s="22" t="s">
        <v>603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2">
        <f>--(
  ISNUMBER(SEARCH("BASE PARENT", UPPER(CLEAN(TRIM(_xlfn.XLOOKUP(TEXT(Contract_Edits[[#This Row],[Index]],"0"), baseIdxTxt, baseCost, "")))))) +
  ISNUMBER(SEARCH("DEPENDENCY GROUP", UPPER(CLEAN(TRIM(_xlfn.XLOOKUP(TEXT(Contract_Edits[[#This Row],[Index]],"0"), baseIdxTxt, baseCost, ""))))))
)</f>
        <v>0</v>
      </c>
      <c r="AG166" s="502" t="str" cm="1">
        <f t="array" ref="AG166">IF(Contract_Edits[[#This Row],[BaseFlag]]=1,
   10*BaseDepthL(TEXT(Contract_Edits[[#This Row],[Index]],"0"),500,editsIdxTxt,editsParentKeyTxt,baseIdxTxt,baseCost)-5,
   ""
)</f>
        <v/>
      </c>
      <c r="AH166" s="50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2" t="str">
        <f>IF(Contract_Edits[[#This Row],[Dep]]=0,"Root",
   IF(ISNUMBER(MATCH(Contract_Edits[[#This Row],[Dep]],Contract_Edits[Index],0)),"OK","Missing")
)</f>
        <v>Root</v>
      </c>
      <c r="AJ166" s="452" t="e">
        <f>IF(AND(Contract_Edits[[#This Row],[Dep]]&lt;&gt;0,
        ISNUMBER(MATCH(Contract_Edits[[#This Row],[Dep]], Contract_Edits[Index], 0)),
        INDEX(Contract_Edits[Dep], MATCH(Contract_Edits[[#This Row],[Dep]], Contract_Edits[Index], 0))=Contract_Edits[[#This Row],[Index]]),
   "2-cycle","")</f>
        <v>#N/A</v>
      </c>
      <c r="AK166" s="452" cm="1">
        <f t="array" ref="AK166">IF(Contract_Edits[[#This Row],[BaseFlag]]&lt;&gt;1,0,
   IF(TEXT(Contract_Edits[[#This Row],[Dep]],"0")=TEXT(Contract_Edits[[#This Row],[Index]],"0"),
      0,
      MAX(0, SUMPRODUCT(--(Contract_Edits[BaseFlag]=1),
                        --(TEXT(Contract_Edits[Dep],"0")=TEXT(Contract_Edits[[#This Row],[Dep]],"0"))) - 1)
   )
)</f>
        <v>0</v>
      </c>
      <c r="AL166" s="452" t="str" cm="1">
        <f t="array" ref="AL166">IF(Contract_Edits[[#This Row],[BaseFlag]]=1,
   TEXT(Contract_Edits[[#This Row],[Index]],"0"),
   NearestBaseL(TEXT(Contract_Edits[[#This Row],[ParentKey]],"0"),500,editsIdxTxt,editsParentKeyTxt,baseIdxTxt,baseCost)
)</f>
        <v>0</v>
      </c>
      <c r="AM166" s="452" cm="1">
        <f t="array" ref="AM166">1+SUMPRODUCT(
  (Contract_Edits[BaseFlag]=1)*
  (TEXT(Contract_Edits[ParentAnchor],"0")=TEXT(Contract_Edits[[#This Row],[ParentAnchor]],"0"))*
  (VALUE(TEXT(Contract_Edits[Index],"0"))&lt;VALUE(TEXT(Contract_Edits[[#This Row],[Index]],"0")))
)</f>
        <v>1</v>
      </c>
      <c r="AN166" s="452"/>
      <c r="AO166" s="193"/>
      <c r="AP166" s="193"/>
      <c r="AQ166" s="193"/>
      <c r="BC166" s="34"/>
      <c r="BD166" s="34"/>
      <c r="BE166" s="34"/>
      <c r="BZ166"/>
      <c r="CA166"/>
      <c r="CB166"/>
    </row>
    <row r="167" spans="11:80" ht="15">
      <c r="K167" s="104"/>
      <c r="L167" s="440">
        <v>96</v>
      </c>
      <c r="M167" s="44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7"/>
      <c r="R167" s="50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7" s="179">
        <v>0</v>
      </c>
      <c r="T167" s="179">
        <v>0</v>
      </c>
      <c r="U167" s="11"/>
      <c r="V167"/>
      <c r="W167" s="22" t="s">
        <v>357</v>
      </c>
      <c r="X167" s="22" t="s">
        <v>603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2">
        <f>--(
  ISNUMBER(SEARCH("BASE PARENT", UPPER(CLEAN(TRIM(_xlfn.XLOOKUP(TEXT(Contract_Edits[[#This Row],[Index]],"0"), baseIdxTxt, baseCost, "")))))) +
  ISNUMBER(SEARCH("DEPENDENCY GROUP", UPPER(CLEAN(TRIM(_xlfn.XLOOKUP(TEXT(Contract_Edits[[#This Row],[Index]],"0"), baseIdxTxt, baseCost, ""))))))
)</f>
        <v>0</v>
      </c>
      <c r="AG167" s="502" t="str" cm="1">
        <f t="array" ref="AG167">IF(Contract_Edits[[#This Row],[BaseFlag]]=1,
   10*BaseDepthL(TEXT(Contract_Edits[[#This Row],[Index]],"0"),500,editsIdxTxt,editsParentKeyTxt,baseIdxTxt,baseCost)-5,
   ""
)</f>
        <v/>
      </c>
      <c r="AH167" s="50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2" t="str">
        <f>IF(Contract_Edits[[#This Row],[Dep]]=0,"Root",
   IF(ISNUMBER(MATCH(Contract_Edits[[#This Row],[Dep]],Contract_Edits[Index],0)),"OK","Missing")
)</f>
        <v>Root</v>
      </c>
      <c r="AJ167" s="452" t="e">
        <f>IF(AND(Contract_Edits[[#This Row],[Dep]]&lt;&gt;0,
        ISNUMBER(MATCH(Contract_Edits[[#This Row],[Dep]], Contract_Edits[Index], 0)),
        INDEX(Contract_Edits[Dep], MATCH(Contract_Edits[[#This Row],[Dep]], Contract_Edits[Index], 0))=Contract_Edits[[#This Row],[Index]]),
   "2-cycle","")</f>
        <v>#N/A</v>
      </c>
      <c r="AK167" s="452" cm="1">
        <f t="array" ref="AK167">IF(Contract_Edits[[#This Row],[BaseFlag]]&lt;&gt;1,0,
   IF(TEXT(Contract_Edits[[#This Row],[Dep]],"0")=TEXT(Contract_Edits[[#This Row],[Index]],"0"),
      0,
      MAX(0, SUMPRODUCT(--(Contract_Edits[BaseFlag]=1),
                        --(TEXT(Contract_Edits[Dep],"0")=TEXT(Contract_Edits[[#This Row],[Dep]],"0"))) - 1)
   )
)</f>
        <v>0</v>
      </c>
      <c r="AL167" s="452" t="str" cm="1">
        <f t="array" ref="AL167">IF(Contract_Edits[[#This Row],[BaseFlag]]=1,
   TEXT(Contract_Edits[[#This Row],[Index]],"0"),
   NearestBaseL(TEXT(Contract_Edits[[#This Row],[ParentKey]],"0"),500,editsIdxTxt,editsParentKeyTxt,baseIdxTxt,baseCost)
)</f>
        <v>0</v>
      </c>
      <c r="AM167" s="452" cm="1">
        <f t="array" ref="AM167">1+SUMPRODUCT(
  (Contract_Edits[BaseFlag]=1)*
  (TEXT(Contract_Edits[ParentAnchor],"0")=TEXT(Contract_Edits[[#This Row],[ParentAnchor]],"0"))*
  (VALUE(TEXT(Contract_Edits[Index],"0"))&lt;VALUE(TEXT(Contract_Edits[[#This Row],[Index]],"0")))
)</f>
        <v>1</v>
      </c>
      <c r="AN167" s="452"/>
      <c r="AO167" s="193"/>
      <c r="AP167" s="193"/>
      <c r="AQ167" s="193"/>
      <c r="BC167" s="34"/>
      <c r="BD167" s="34"/>
      <c r="BE167" s="34"/>
      <c r="BZ167"/>
      <c r="CA167"/>
      <c r="CB167"/>
    </row>
    <row r="168" spans="11:80" ht="15">
      <c r="K168" s="104"/>
      <c r="L168" s="440">
        <v>117</v>
      </c>
      <c r="M168" s="44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7"/>
      <c r="R168" s="50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8" s="179">
        <v>0</v>
      </c>
      <c r="T168" s="179">
        <v>0</v>
      </c>
      <c r="U168" s="11"/>
      <c r="V168"/>
      <c r="W168" s="22" t="s">
        <v>357</v>
      </c>
      <c r="X168" s="22" t="s">
        <v>603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2">
        <f>--(
  ISNUMBER(SEARCH("BASE PARENT", UPPER(CLEAN(TRIM(_xlfn.XLOOKUP(TEXT(Contract_Edits[[#This Row],[Index]],"0"), baseIdxTxt, baseCost, "")))))) +
  ISNUMBER(SEARCH("DEPENDENCY GROUP", UPPER(CLEAN(TRIM(_xlfn.XLOOKUP(TEXT(Contract_Edits[[#This Row],[Index]],"0"), baseIdxTxt, baseCost, ""))))))
)</f>
        <v>0</v>
      </c>
      <c r="AG168" s="502" t="str" cm="1">
        <f t="array" ref="AG168">IF(Contract_Edits[[#This Row],[BaseFlag]]=1,
   10*BaseDepthL(TEXT(Contract_Edits[[#This Row],[Index]],"0"),500,editsIdxTxt,editsParentKeyTxt,baseIdxTxt,baseCost)-5,
   ""
)</f>
        <v/>
      </c>
      <c r="AH168" s="50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2" t="str">
        <f>IF(Contract_Edits[[#This Row],[Dep]]=0,"Root",
   IF(ISNUMBER(MATCH(Contract_Edits[[#This Row],[Dep]],Contract_Edits[Index],0)),"OK","Missing")
)</f>
        <v>Root</v>
      </c>
      <c r="AJ168" s="452" t="e">
        <f>IF(AND(Contract_Edits[[#This Row],[Dep]]&lt;&gt;0,
        ISNUMBER(MATCH(Contract_Edits[[#This Row],[Dep]], Contract_Edits[Index], 0)),
        INDEX(Contract_Edits[Dep], MATCH(Contract_Edits[[#This Row],[Dep]], Contract_Edits[Index], 0))=Contract_Edits[[#This Row],[Index]]),
   "2-cycle","")</f>
        <v>#N/A</v>
      </c>
      <c r="AK168" s="452" cm="1">
        <f t="array" ref="AK168">IF(Contract_Edits[[#This Row],[BaseFlag]]&lt;&gt;1,0,
   IF(TEXT(Contract_Edits[[#This Row],[Dep]],"0")=TEXT(Contract_Edits[[#This Row],[Index]],"0"),
      0,
      MAX(0, SUMPRODUCT(--(Contract_Edits[BaseFlag]=1),
                        --(TEXT(Contract_Edits[Dep],"0")=TEXT(Contract_Edits[[#This Row],[Dep]],"0"))) - 1)
   )
)</f>
        <v>0</v>
      </c>
      <c r="AL168" s="452" t="str" cm="1">
        <f t="array" ref="AL168">IF(Contract_Edits[[#This Row],[BaseFlag]]=1,
   TEXT(Contract_Edits[[#This Row],[Index]],"0"),
   NearestBaseL(TEXT(Contract_Edits[[#This Row],[ParentKey]],"0"),500,editsIdxTxt,editsParentKeyTxt,baseIdxTxt,baseCost)
)</f>
        <v>0</v>
      </c>
      <c r="AM168" s="452" cm="1">
        <f t="array" ref="AM168">1+SUMPRODUCT(
  (Contract_Edits[BaseFlag]=1)*
  (TEXT(Contract_Edits[ParentAnchor],"0")=TEXT(Contract_Edits[[#This Row],[ParentAnchor]],"0"))*
  (VALUE(TEXT(Contract_Edits[Index],"0"))&lt;VALUE(TEXT(Contract_Edits[[#This Row],[Index]],"0")))
)</f>
        <v>1</v>
      </c>
      <c r="AN168" s="452"/>
      <c r="AO168" s="193"/>
      <c r="AP168" s="193"/>
      <c r="AQ168" s="193"/>
      <c r="BC168" s="34"/>
      <c r="BD168" s="34"/>
      <c r="BE168" s="34"/>
      <c r="BZ168"/>
      <c r="CA168"/>
      <c r="CB168"/>
    </row>
    <row r="169" spans="11:80" ht="15">
      <c r="K169" s="104"/>
      <c r="L169" s="440">
        <v>118</v>
      </c>
      <c r="M169" s="44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7"/>
      <c r="R169" s="50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69" s="179">
        <v>0</v>
      </c>
      <c r="T169" s="179">
        <v>0</v>
      </c>
      <c r="U169" s="11"/>
      <c r="V169"/>
      <c r="W169" s="22" t="s">
        <v>357</v>
      </c>
      <c r="X169" s="22" t="s">
        <v>603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2">
        <f>--(
  ISNUMBER(SEARCH("BASE PARENT", UPPER(CLEAN(TRIM(_xlfn.XLOOKUP(TEXT(Contract_Edits[[#This Row],[Index]],"0"), baseIdxTxt, baseCost, "")))))) +
  ISNUMBER(SEARCH("DEPENDENCY GROUP", UPPER(CLEAN(TRIM(_xlfn.XLOOKUP(TEXT(Contract_Edits[[#This Row],[Index]],"0"), baseIdxTxt, baseCost, ""))))))
)</f>
        <v>0</v>
      </c>
      <c r="AG169" s="502" t="str" cm="1">
        <f t="array" ref="AG169">IF(Contract_Edits[[#This Row],[BaseFlag]]=1,
   10*BaseDepthL(TEXT(Contract_Edits[[#This Row],[Index]],"0"),500,editsIdxTxt,editsParentKeyTxt,baseIdxTxt,baseCost)-5,
   ""
)</f>
        <v/>
      </c>
      <c r="AH169" s="50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2" t="str">
        <f>IF(Contract_Edits[[#This Row],[Dep]]=0,"Root",
   IF(ISNUMBER(MATCH(Contract_Edits[[#This Row],[Dep]],Contract_Edits[Index],0)),"OK","Missing")
)</f>
        <v>Root</v>
      </c>
      <c r="AJ169" s="452" t="e">
        <f>IF(AND(Contract_Edits[[#This Row],[Dep]]&lt;&gt;0,
        ISNUMBER(MATCH(Contract_Edits[[#This Row],[Dep]], Contract_Edits[Index], 0)),
        INDEX(Contract_Edits[Dep], MATCH(Contract_Edits[[#This Row],[Dep]], Contract_Edits[Index], 0))=Contract_Edits[[#This Row],[Index]]),
   "2-cycle","")</f>
        <v>#N/A</v>
      </c>
      <c r="AK169" s="452" cm="1">
        <f t="array" ref="AK169">IF(Contract_Edits[[#This Row],[BaseFlag]]&lt;&gt;1,0,
   IF(TEXT(Contract_Edits[[#This Row],[Dep]],"0")=TEXT(Contract_Edits[[#This Row],[Index]],"0"),
      0,
      MAX(0, SUMPRODUCT(--(Contract_Edits[BaseFlag]=1),
                        --(TEXT(Contract_Edits[Dep],"0")=TEXT(Contract_Edits[[#This Row],[Dep]],"0"))) - 1)
   )
)</f>
        <v>0</v>
      </c>
      <c r="AL169" s="452" t="str" cm="1">
        <f t="array" ref="AL169">IF(Contract_Edits[[#This Row],[BaseFlag]]=1,
   TEXT(Contract_Edits[[#This Row],[Index]],"0"),
   NearestBaseL(TEXT(Contract_Edits[[#This Row],[ParentKey]],"0"),500,editsIdxTxt,editsParentKeyTxt,baseIdxTxt,baseCost)
)</f>
        <v>0</v>
      </c>
      <c r="AM169" s="452" cm="1">
        <f t="array" ref="AM169">1+SUMPRODUCT(
  (Contract_Edits[BaseFlag]=1)*
  (TEXT(Contract_Edits[ParentAnchor],"0")=TEXT(Contract_Edits[[#This Row],[ParentAnchor]],"0"))*
  (VALUE(TEXT(Contract_Edits[Index],"0"))&lt;VALUE(TEXT(Contract_Edits[[#This Row],[Index]],"0")))
)</f>
        <v>1</v>
      </c>
      <c r="AN169" s="452"/>
      <c r="AO169" s="193"/>
      <c r="AP169" s="193"/>
      <c r="AQ169" s="193"/>
      <c r="BC169" s="34"/>
      <c r="BD169" s="34"/>
      <c r="BE169" s="34"/>
      <c r="BZ169"/>
      <c r="CA169"/>
      <c r="CB169"/>
    </row>
    <row r="170" spans="11:80" ht="15">
      <c r="K170" s="104"/>
      <c r="L170" s="440">
        <v>120</v>
      </c>
      <c r="M170" s="44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7"/>
      <c r="R170" s="50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0" s="179">
        <v>0</v>
      </c>
      <c r="T170" s="179">
        <v>0</v>
      </c>
      <c r="U170" s="11"/>
      <c r="V170"/>
      <c r="W170" s="22" t="s">
        <v>357</v>
      </c>
      <c r="X170" s="22" t="s">
        <v>603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2">
        <f>--(
  ISNUMBER(SEARCH("BASE PARENT", UPPER(CLEAN(TRIM(_xlfn.XLOOKUP(TEXT(Contract_Edits[[#This Row],[Index]],"0"), baseIdxTxt, baseCost, "")))))) +
  ISNUMBER(SEARCH("DEPENDENCY GROUP", UPPER(CLEAN(TRIM(_xlfn.XLOOKUP(TEXT(Contract_Edits[[#This Row],[Index]],"0"), baseIdxTxt, baseCost, ""))))))
)</f>
        <v>0</v>
      </c>
      <c r="AG170" s="502" t="str" cm="1">
        <f t="array" ref="AG170">IF(Contract_Edits[[#This Row],[BaseFlag]]=1,
   10*BaseDepthL(TEXT(Contract_Edits[[#This Row],[Index]],"0"),500,editsIdxTxt,editsParentKeyTxt,baseIdxTxt,baseCost)-5,
   ""
)</f>
        <v/>
      </c>
      <c r="AH170" s="50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2" t="str">
        <f>IF(Contract_Edits[[#This Row],[Dep]]=0,"Root",
   IF(ISNUMBER(MATCH(Contract_Edits[[#This Row],[Dep]],Contract_Edits[Index],0)),"OK","Missing")
)</f>
        <v>Root</v>
      </c>
      <c r="AJ170" s="452" t="e">
        <f>IF(AND(Contract_Edits[[#This Row],[Dep]]&lt;&gt;0,
        ISNUMBER(MATCH(Contract_Edits[[#This Row],[Dep]], Contract_Edits[Index], 0)),
        INDEX(Contract_Edits[Dep], MATCH(Contract_Edits[[#This Row],[Dep]], Contract_Edits[Index], 0))=Contract_Edits[[#This Row],[Index]]),
   "2-cycle","")</f>
        <v>#N/A</v>
      </c>
      <c r="AK170" s="452" cm="1">
        <f t="array" ref="AK170">IF(Contract_Edits[[#This Row],[BaseFlag]]&lt;&gt;1,0,
   IF(TEXT(Contract_Edits[[#This Row],[Dep]],"0")=TEXT(Contract_Edits[[#This Row],[Index]],"0"),
      0,
      MAX(0, SUMPRODUCT(--(Contract_Edits[BaseFlag]=1),
                        --(TEXT(Contract_Edits[Dep],"0")=TEXT(Contract_Edits[[#This Row],[Dep]],"0"))) - 1)
   )
)</f>
        <v>0</v>
      </c>
      <c r="AL170" s="452" t="str" cm="1">
        <f t="array" ref="AL170">IF(Contract_Edits[[#This Row],[BaseFlag]]=1,
   TEXT(Contract_Edits[[#This Row],[Index]],"0"),
   NearestBaseL(TEXT(Contract_Edits[[#This Row],[ParentKey]],"0"),500,editsIdxTxt,editsParentKeyTxt,baseIdxTxt,baseCost)
)</f>
        <v>0</v>
      </c>
      <c r="AM170" s="452" cm="1">
        <f t="array" ref="AM170">1+SUMPRODUCT(
  (Contract_Edits[BaseFlag]=1)*
  (TEXT(Contract_Edits[ParentAnchor],"0")=TEXT(Contract_Edits[[#This Row],[ParentAnchor]],"0"))*
  (VALUE(TEXT(Contract_Edits[Index],"0"))&lt;VALUE(TEXT(Contract_Edits[[#This Row],[Index]],"0")))
)</f>
        <v>1</v>
      </c>
      <c r="AN170" s="452"/>
      <c r="AO170" s="193"/>
      <c r="AP170" s="193"/>
      <c r="AQ170" s="193"/>
      <c r="BC170" s="34"/>
      <c r="BD170" s="34"/>
      <c r="BE170" s="34"/>
      <c r="BZ170"/>
      <c r="CA170"/>
      <c r="CB170"/>
    </row>
    <row r="171" spans="11:80" ht="15">
      <c r="K171" s="104"/>
      <c r="L171" s="440">
        <v>164</v>
      </c>
      <c r="M171" s="44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79"/>
      <c r="R171" s="50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1" s="179">
        <v>0</v>
      </c>
      <c r="T171" s="468"/>
      <c r="U171" s="491"/>
      <c r="V171" s="193"/>
      <c r="W171" s="22" t="s">
        <v>357</v>
      </c>
      <c r="X171" s="483" t="s">
        <v>603</v>
      </c>
      <c r="Y171" s="48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2">
        <f>--(
  ISNUMBER(SEARCH("BASE PARENT", UPPER(CLEAN(TRIM(_xlfn.XLOOKUP(TEXT(Contract_Edits[[#This Row],[Index]],"0"), baseIdxTxt, baseCost, "")))))) +
  ISNUMBER(SEARCH("DEPENDENCY GROUP", UPPER(CLEAN(TRIM(_xlfn.XLOOKUP(TEXT(Contract_Edits[[#This Row],[Index]],"0"), baseIdxTxt, baseCost, ""))))))
)</f>
        <v>0</v>
      </c>
      <c r="AG171" s="502" t="str" cm="1">
        <f t="array" ref="AG171">IF(Contract_Edits[[#This Row],[BaseFlag]]=1,
   10*BaseDepthL(TEXT(Contract_Edits[[#This Row],[Index]],"0"),500,editsIdxTxt,editsParentKeyTxt,baseIdxTxt,baseCost)-5,
   ""
)</f>
        <v/>
      </c>
      <c r="AH171" s="50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2" t="str">
        <f>IF(Contract_Edits[[#This Row],[Dep]]=0,"Root",
   IF(ISNUMBER(MATCH(Contract_Edits[[#This Row],[Dep]],Contract_Edits[Index],0)),"OK","Missing")
)</f>
        <v>Root</v>
      </c>
      <c r="AJ171" s="452" t="e">
        <f>IF(AND(Contract_Edits[[#This Row],[Dep]]&lt;&gt;0,
        ISNUMBER(MATCH(Contract_Edits[[#This Row],[Dep]], Contract_Edits[Index], 0)),
        INDEX(Contract_Edits[Dep], MATCH(Contract_Edits[[#This Row],[Dep]], Contract_Edits[Index], 0))=Contract_Edits[[#This Row],[Index]]),
   "2-cycle","")</f>
        <v>#N/A</v>
      </c>
      <c r="AK171" s="452" cm="1">
        <f t="array" ref="AK171">IF(Contract_Edits[[#This Row],[BaseFlag]]&lt;&gt;1,0,
   IF(TEXT(Contract_Edits[[#This Row],[Dep]],"0")=TEXT(Contract_Edits[[#This Row],[Index]],"0"),
      0,
      MAX(0, SUMPRODUCT(--(Contract_Edits[BaseFlag]=1),
                        --(TEXT(Contract_Edits[Dep],"0")=TEXT(Contract_Edits[[#This Row],[Dep]],"0"))) - 1)
   )
)</f>
        <v>0</v>
      </c>
      <c r="AL171" s="452" t="str" cm="1">
        <f t="array" ref="AL171">IF(Contract_Edits[[#This Row],[BaseFlag]]=1,
   TEXT(Contract_Edits[[#This Row],[Index]],"0"),
   NearestBaseL(TEXT(Contract_Edits[[#This Row],[ParentKey]],"0"),500,editsIdxTxt,editsParentKeyTxt,baseIdxTxt,baseCost)
)</f>
        <v>0</v>
      </c>
      <c r="AM171" s="452" cm="1">
        <f t="array" ref="AM171">1+SUMPRODUCT(
  (Contract_Edits[BaseFlag]=1)*
  (TEXT(Contract_Edits[ParentAnchor],"0")=TEXT(Contract_Edits[[#This Row],[ParentAnchor]],"0"))*
  (VALUE(TEXT(Contract_Edits[Index],"0"))&lt;VALUE(TEXT(Contract_Edits[[#This Row],[Index]],"0")))
)</f>
        <v>1</v>
      </c>
      <c r="AN171" s="452"/>
      <c r="AO171" s="193"/>
      <c r="AP171" s="193"/>
      <c r="AQ171" s="193"/>
      <c r="BC171" s="34"/>
      <c r="BD171" s="34"/>
      <c r="BE171" s="34"/>
      <c r="BZ171"/>
      <c r="CA171"/>
      <c r="CB171"/>
    </row>
    <row r="172" spans="11:80" ht="15">
      <c r="K172" s="104"/>
      <c r="L172" s="440">
        <v>123</v>
      </c>
      <c r="M172" s="44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7"/>
      <c r="R172" s="50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2" s="179">
        <v>0</v>
      </c>
      <c r="T172" s="179">
        <v>0</v>
      </c>
      <c r="U172" s="11"/>
      <c r="V172"/>
      <c r="W172" s="22" t="s">
        <v>357</v>
      </c>
      <c r="X172" s="22" t="s">
        <v>603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2">
        <f>--(
  ISNUMBER(SEARCH("BASE PARENT", UPPER(CLEAN(TRIM(_xlfn.XLOOKUP(TEXT(Contract_Edits[[#This Row],[Index]],"0"), baseIdxTxt, baseCost, "")))))) +
  ISNUMBER(SEARCH("DEPENDENCY GROUP", UPPER(CLEAN(TRIM(_xlfn.XLOOKUP(TEXT(Contract_Edits[[#This Row],[Index]],"0"), baseIdxTxt, baseCost, ""))))))
)</f>
        <v>0</v>
      </c>
      <c r="AG172" s="502" t="str" cm="1">
        <f t="array" ref="AG172">IF(Contract_Edits[[#This Row],[BaseFlag]]=1,
   10*BaseDepthL(TEXT(Contract_Edits[[#This Row],[Index]],"0"),500,editsIdxTxt,editsParentKeyTxt,baseIdxTxt,baseCost)-5,
   ""
)</f>
        <v/>
      </c>
      <c r="AH172" s="50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2" t="str">
        <f>IF(Contract_Edits[[#This Row],[Dep]]=0,"Root",
   IF(ISNUMBER(MATCH(Contract_Edits[[#This Row],[Dep]],Contract_Edits[Index],0)),"OK","Missing")
)</f>
        <v>Root</v>
      </c>
      <c r="AJ172" s="452" t="e">
        <f>IF(AND(Contract_Edits[[#This Row],[Dep]]&lt;&gt;0,
        ISNUMBER(MATCH(Contract_Edits[[#This Row],[Dep]], Contract_Edits[Index], 0)),
        INDEX(Contract_Edits[Dep], MATCH(Contract_Edits[[#This Row],[Dep]], Contract_Edits[Index], 0))=Contract_Edits[[#This Row],[Index]]),
   "2-cycle","")</f>
        <v>#N/A</v>
      </c>
      <c r="AK172" s="452" cm="1">
        <f t="array" ref="AK172">IF(Contract_Edits[[#This Row],[BaseFlag]]&lt;&gt;1,0,
   IF(TEXT(Contract_Edits[[#This Row],[Dep]],"0")=TEXT(Contract_Edits[[#This Row],[Index]],"0"),
      0,
      MAX(0, SUMPRODUCT(--(Contract_Edits[BaseFlag]=1),
                        --(TEXT(Contract_Edits[Dep],"0")=TEXT(Contract_Edits[[#This Row],[Dep]],"0"))) - 1)
   )
)</f>
        <v>0</v>
      </c>
      <c r="AL172" s="452" t="str" cm="1">
        <f t="array" ref="AL172">IF(Contract_Edits[[#This Row],[BaseFlag]]=1,
   TEXT(Contract_Edits[[#This Row],[Index]],"0"),
   NearestBaseL(TEXT(Contract_Edits[[#This Row],[ParentKey]],"0"),500,editsIdxTxt,editsParentKeyTxt,baseIdxTxt,baseCost)
)</f>
        <v>0</v>
      </c>
      <c r="AM172" s="452" cm="1">
        <f t="array" ref="AM172">1+SUMPRODUCT(
  (Contract_Edits[BaseFlag]=1)*
  (TEXT(Contract_Edits[ParentAnchor],"0")=TEXT(Contract_Edits[[#This Row],[ParentAnchor]],"0"))*
  (VALUE(TEXT(Contract_Edits[Index],"0"))&lt;VALUE(TEXT(Contract_Edits[[#This Row],[Index]],"0")))
)</f>
        <v>1</v>
      </c>
      <c r="AN172" s="452"/>
      <c r="AO172" s="193"/>
      <c r="AP172" s="193"/>
      <c r="AQ172" s="193"/>
      <c r="BC172" s="34"/>
      <c r="BD172" s="34"/>
      <c r="BE172" s="34"/>
      <c r="BZ172"/>
      <c r="CA172"/>
      <c r="CB172"/>
    </row>
    <row r="173" spans="11:80" ht="15">
      <c r="K173" s="104"/>
      <c r="L173" s="440">
        <v>136</v>
      </c>
      <c r="M173" s="44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79"/>
      <c r="R173" s="50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3" s="179">
        <v>0</v>
      </c>
      <c r="T173" s="468"/>
      <c r="U173" s="491"/>
      <c r="V173" s="193"/>
      <c r="W173" s="22" t="s">
        <v>357</v>
      </c>
      <c r="X173" s="483" t="s">
        <v>603</v>
      </c>
      <c r="Y173" s="48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2">
        <f>--(
  ISNUMBER(SEARCH("BASE PARENT", UPPER(CLEAN(TRIM(_xlfn.XLOOKUP(TEXT(Contract_Edits[[#This Row],[Index]],"0"), baseIdxTxt, baseCost, "")))))) +
  ISNUMBER(SEARCH("DEPENDENCY GROUP", UPPER(CLEAN(TRIM(_xlfn.XLOOKUP(TEXT(Contract_Edits[[#This Row],[Index]],"0"), baseIdxTxt, baseCost, ""))))))
)</f>
        <v>0</v>
      </c>
      <c r="AG173" s="502" t="str" cm="1">
        <f t="array" ref="AG173">IF(Contract_Edits[[#This Row],[BaseFlag]]=1,
   10*BaseDepthL(TEXT(Contract_Edits[[#This Row],[Index]],"0"),500,editsIdxTxt,editsParentKeyTxt,baseIdxTxt,baseCost)-5,
   ""
)</f>
        <v/>
      </c>
      <c r="AH173" s="50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2" t="str">
        <f>IF(Contract_Edits[[#This Row],[Dep]]=0,"Root",
   IF(ISNUMBER(MATCH(Contract_Edits[[#This Row],[Dep]],Contract_Edits[Index],0)),"OK","Missing")
)</f>
        <v>Root</v>
      </c>
      <c r="AJ173" s="452" t="e">
        <f>IF(AND(Contract_Edits[[#This Row],[Dep]]&lt;&gt;0,
        ISNUMBER(MATCH(Contract_Edits[[#This Row],[Dep]], Contract_Edits[Index], 0)),
        INDEX(Contract_Edits[Dep], MATCH(Contract_Edits[[#This Row],[Dep]], Contract_Edits[Index], 0))=Contract_Edits[[#This Row],[Index]]),
   "2-cycle","")</f>
        <v>#N/A</v>
      </c>
      <c r="AK173" s="452" cm="1">
        <f t="array" ref="AK173">IF(Contract_Edits[[#This Row],[BaseFlag]]&lt;&gt;1,0,
   IF(TEXT(Contract_Edits[[#This Row],[Dep]],"0")=TEXT(Contract_Edits[[#This Row],[Index]],"0"),
      0,
      MAX(0, SUMPRODUCT(--(Contract_Edits[BaseFlag]=1),
                        --(TEXT(Contract_Edits[Dep],"0")=TEXT(Contract_Edits[[#This Row],[Dep]],"0"))) - 1)
   )
)</f>
        <v>0</v>
      </c>
      <c r="AL173" s="452" t="str" cm="1">
        <f t="array" ref="AL173">IF(Contract_Edits[[#This Row],[BaseFlag]]=1,
   TEXT(Contract_Edits[[#This Row],[Index]],"0"),
   NearestBaseL(TEXT(Contract_Edits[[#This Row],[ParentKey]],"0"),500,editsIdxTxt,editsParentKeyTxt,baseIdxTxt,baseCost)
)</f>
        <v>0</v>
      </c>
      <c r="AM173" s="452" cm="1">
        <f t="array" ref="AM173">1+SUMPRODUCT(
  (Contract_Edits[BaseFlag]=1)*
  (TEXT(Contract_Edits[ParentAnchor],"0")=TEXT(Contract_Edits[[#This Row],[ParentAnchor]],"0"))*
  (VALUE(TEXT(Contract_Edits[Index],"0"))&lt;VALUE(TEXT(Contract_Edits[[#This Row],[Index]],"0")))
)</f>
        <v>1</v>
      </c>
      <c r="AN173" s="452"/>
      <c r="AO173" s="193"/>
      <c r="AP173" s="193"/>
      <c r="AQ173" s="193"/>
      <c r="BC173" s="34"/>
      <c r="BD173" s="34"/>
      <c r="BE173" s="34"/>
      <c r="BZ173"/>
      <c r="CA173"/>
      <c r="CB173"/>
    </row>
    <row r="174" spans="11:80" ht="15">
      <c r="K174" s="104"/>
      <c r="L174" s="440">
        <v>93</v>
      </c>
      <c r="M174" s="44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7"/>
      <c r="R174" s="50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4" s="179">
        <v>0</v>
      </c>
      <c r="T174" s="179">
        <v>0</v>
      </c>
      <c r="U174" s="11"/>
      <c r="V174"/>
      <c r="W174" s="22" t="s">
        <v>357</v>
      </c>
      <c r="X174" s="22" t="s">
        <v>603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2">
        <f>--(
  ISNUMBER(SEARCH("BASE PARENT", UPPER(CLEAN(TRIM(_xlfn.XLOOKUP(TEXT(Contract_Edits[[#This Row],[Index]],"0"), baseIdxTxt, baseCost, "")))))) +
  ISNUMBER(SEARCH("DEPENDENCY GROUP", UPPER(CLEAN(TRIM(_xlfn.XLOOKUP(TEXT(Contract_Edits[[#This Row],[Index]],"0"), baseIdxTxt, baseCost, ""))))))
)</f>
        <v>0</v>
      </c>
      <c r="AG174" s="502" t="str" cm="1">
        <f t="array" ref="AG174">IF(Contract_Edits[[#This Row],[BaseFlag]]=1,
   10*BaseDepthL(TEXT(Contract_Edits[[#This Row],[Index]],"0"),500,editsIdxTxt,editsParentKeyTxt,baseIdxTxt,baseCost)-5,
   ""
)</f>
        <v/>
      </c>
      <c r="AH174" s="50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2" t="str">
        <f>IF(Contract_Edits[[#This Row],[Dep]]=0,"Root",
   IF(ISNUMBER(MATCH(Contract_Edits[[#This Row],[Dep]],Contract_Edits[Index],0)),"OK","Missing")
)</f>
        <v>Root</v>
      </c>
      <c r="AJ174" s="452" t="e">
        <f>IF(AND(Contract_Edits[[#This Row],[Dep]]&lt;&gt;0,
        ISNUMBER(MATCH(Contract_Edits[[#This Row],[Dep]], Contract_Edits[Index], 0)),
        INDEX(Contract_Edits[Dep], MATCH(Contract_Edits[[#This Row],[Dep]], Contract_Edits[Index], 0))=Contract_Edits[[#This Row],[Index]]),
   "2-cycle","")</f>
        <v>#N/A</v>
      </c>
      <c r="AK174" s="452" cm="1">
        <f t="array" ref="AK174">IF(Contract_Edits[[#This Row],[BaseFlag]]&lt;&gt;1,0,
   IF(TEXT(Contract_Edits[[#This Row],[Dep]],"0")=TEXT(Contract_Edits[[#This Row],[Index]],"0"),
      0,
      MAX(0, SUMPRODUCT(--(Contract_Edits[BaseFlag]=1),
                        --(TEXT(Contract_Edits[Dep],"0")=TEXT(Contract_Edits[[#This Row],[Dep]],"0"))) - 1)
   )
)</f>
        <v>0</v>
      </c>
      <c r="AL174" s="452" t="str" cm="1">
        <f t="array" ref="AL174">IF(Contract_Edits[[#This Row],[BaseFlag]]=1,
   TEXT(Contract_Edits[[#This Row],[Index]],"0"),
   NearestBaseL(TEXT(Contract_Edits[[#This Row],[ParentKey]],"0"),500,editsIdxTxt,editsParentKeyTxt,baseIdxTxt,baseCost)
)</f>
        <v>0</v>
      </c>
      <c r="AM174" s="452" cm="1">
        <f t="array" ref="AM174">1+SUMPRODUCT(
  (Contract_Edits[BaseFlag]=1)*
  (TEXT(Contract_Edits[ParentAnchor],"0")=TEXT(Contract_Edits[[#This Row],[ParentAnchor]],"0"))*
  (VALUE(TEXT(Contract_Edits[Index],"0"))&lt;VALUE(TEXT(Contract_Edits[[#This Row],[Index]],"0")))
)</f>
        <v>1</v>
      </c>
      <c r="AN174" s="452"/>
      <c r="AO174" s="193"/>
      <c r="AP174" s="193"/>
      <c r="AQ174" s="193"/>
      <c r="AR174" s="477"/>
      <c r="BC174" s="34"/>
      <c r="BD174" s="34"/>
      <c r="BE174" s="34"/>
      <c r="BZ174"/>
      <c r="CA174"/>
      <c r="CB174"/>
    </row>
    <row r="175" spans="11:80" ht="15">
      <c r="K175" s="104"/>
      <c r="L175" s="440">
        <v>122</v>
      </c>
      <c r="M175" s="44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7"/>
      <c r="R175" s="50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5" s="179">
        <v>0</v>
      </c>
      <c r="T175" s="179">
        <v>0</v>
      </c>
      <c r="U175" s="11"/>
      <c r="V175"/>
      <c r="W175" s="22" t="s">
        <v>357</v>
      </c>
      <c r="X175" s="22" t="s">
        <v>603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2">
        <f>--(
  ISNUMBER(SEARCH("BASE PARENT", UPPER(CLEAN(TRIM(_xlfn.XLOOKUP(TEXT(Contract_Edits[[#This Row],[Index]],"0"), baseIdxTxt, baseCost, "")))))) +
  ISNUMBER(SEARCH("DEPENDENCY GROUP", UPPER(CLEAN(TRIM(_xlfn.XLOOKUP(TEXT(Contract_Edits[[#This Row],[Index]],"0"), baseIdxTxt, baseCost, ""))))))
)</f>
        <v>0</v>
      </c>
      <c r="AG175" s="502" t="str" cm="1">
        <f t="array" ref="AG175">IF(Contract_Edits[[#This Row],[BaseFlag]]=1,
   10*BaseDepthL(TEXT(Contract_Edits[[#This Row],[Index]],"0"),500,editsIdxTxt,editsParentKeyTxt,baseIdxTxt,baseCost)-5,
   ""
)</f>
        <v/>
      </c>
      <c r="AH175" s="50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2" t="str">
        <f>IF(Contract_Edits[[#This Row],[Dep]]=0,"Root",
   IF(ISNUMBER(MATCH(Contract_Edits[[#This Row],[Dep]],Contract_Edits[Index],0)),"OK","Missing")
)</f>
        <v>Root</v>
      </c>
      <c r="AJ175" s="452" t="e">
        <f>IF(AND(Contract_Edits[[#This Row],[Dep]]&lt;&gt;0,
        ISNUMBER(MATCH(Contract_Edits[[#This Row],[Dep]], Contract_Edits[Index], 0)),
        INDEX(Contract_Edits[Dep], MATCH(Contract_Edits[[#This Row],[Dep]], Contract_Edits[Index], 0))=Contract_Edits[[#This Row],[Index]]),
   "2-cycle","")</f>
        <v>#N/A</v>
      </c>
      <c r="AK175" s="452" cm="1">
        <f t="array" ref="AK175">IF(Contract_Edits[[#This Row],[BaseFlag]]&lt;&gt;1,0,
   IF(TEXT(Contract_Edits[[#This Row],[Dep]],"0")=TEXT(Contract_Edits[[#This Row],[Index]],"0"),
      0,
      MAX(0, SUMPRODUCT(--(Contract_Edits[BaseFlag]=1),
                        --(TEXT(Contract_Edits[Dep],"0")=TEXT(Contract_Edits[[#This Row],[Dep]],"0"))) - 1)
   )
)</f>
        <v>0</v>
      </c>
      <c r="AL175" s="452" t="str" cm="1">
        <f t="array" ref="AL175">IF(Contract_Edits[[#This Row],[BaseFlag]]=1,
   TEXT(Contract_Edits[[#This Row],[Index]],"0"),
   NearestBaseL(TEXT(Contract_Edits[[#This Row],[ParentKey]],"0"),500,editsIdxTxt,editsParentKeyTxt,baseIdxTxt,baseCost)
)</f>
        <v>0</v>
      </c>
      <c r="AM175" s="452" cm="1">
        <f t="array" ref="AM175">1+SUMPRODUCT(
  (Contract_Edits[BaseFlag]=1)*
  (TEXT(Contract_Edits[ParentAnchor],"0")=TEXT(Contract_Edits[[#This Row],[ParentAnchor]],"0"))*
  (VALUE(TEXT(Contract_Edits[Index],"0"))&lt;VALUE(TEXT(Contract_Edits[[#This Row],[Index]],"0")))
)</f>
        <v>1</v>
      </c>
      <c r="AN175" s="452"/>
      <c r="AP175" s="193"/>
      <c r="AQ175" s="193"/>
      <c r="BC175" s="34"/>
      <c r="BD175" s="34"/>
      <c r="BE175" s="34"/>
      <c r="BZ175"/>
      <c r="CA175"/>
      <c r="CB175"/>
    </row>
    <row r="176" spans="11:80" ht="15">
      <c r="K176" s="104"/>
      <c r="L176" s="440">
        <v>165</v>
      </c>
      <c r="M176" s="44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79"/>
      <c r="R176" s="50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6" s="179">
        <v>0</v>
      </c>
      <c r="T176" s="468"/>
      <c r="U176" s="491"/>
      <c r="V176" s="193"/>
      <c r="W176" s="22" t="s">
        <v>357</v>
      </c>
      <c r="Y176" s="48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2">
        <f>--(
  ISNUMBER(SEARCH("BASE PARENT", UPPER(CLEAN(TRIM(_xlfn.XLOOKUP(TEXT(Contract_Edits[[#This Row],[Index]],"0"), baseIdxTxt, baseCost, "")))))) +
  ISNUMBER(SEARCH("DEPENDENCY GROUP", UPPER(CLEAN(TRIM(_xlfn.XLOOKUP(TEXT(Contract_Edits[[#This Row],[Index]],"0"), baseIdxTxt, baseCost, ""))))))
)</f>
        <v>0</v>
      </c>
      <c r="AG176" s="502" t="str" cm="1">
        <f t="array" ref="AG176">IF(Contract_Edits[[#This Row],[BaseFlag]]=1,
   10*BaseDepthL(TEXT(Contract_Edits[[#This Row],[Index]],"0"),500,editsIdxTxt,editsParentKeyTxt,baseIdxTxt,baseCost)-5,
   ""
)</f>
        <v/>
      </c>
      <c r="AH176" s="50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2" t="str">
        <f>IF(Contract_Edits[[#This Row],[Dep]]=0,"Root",
   IF(ISNUMBER(MATCH(Contract_Edits[[#This Row],[Dep]],Contract_Edits[Index],0)),"OK","Missing")
)</f>
        <v>Root</v>
      </c>
      <c r="AJ176" s="452" t="e">
        <f>IF(AND(Contract_Edits[[#This Row],[Dep]]&lt;&gt;0,
        ISNUMBER(MATCH(Contract_Edits[[#This Row],[Dep]], Contract_Edits[Index], 0)),
        INDEX(Contract_Edits[Dep], MATCH(Contract_Edits[[#This Row],[Dep]], Contract_Edits[Index], 0))=Contract_Edits[[#This Row],[Index]]),
   "2-cycle","")</f>
        <v>#N/A</v>
      </c>
      <c r="AK176" s="452" cm="1">
        <f t="array" ref="AK176">IF(Contract_Edits[[#This Row],[BaseFlag]]&lt;&gt;1,0,
   IF(TEXT(Contract_Edits[[#This Row],[Dep]],"0")=TEXT(Contract_Edits[[#This Row],[Index]],"0"),
      0,
      MAX(0, SUMPRODUCT(--(Contract_Edits[BaseFlag]=1),
                        --(TEXT(Contract_Edits[Dep],"0")=TEXT(Contract_Edits[[#This Row],[Dep]],"0"))) - 1)
   )
)</f>
        <v>0</v>
      </c>
      <c r="AL176" s="452" t="str" cm="1">
        <f t="array" ref="AL176">IF(Contract_Edits[[#This Row],[BaseFlag]]=1,
   TEXT(Contract_Edits[[#This Row],[Index]],"0"),
   NearestBaseL(TEXT(Contract_Edits[[#This Row],[ParentKey]],"0"),500,editsIdxTxt,editsParentKeyTxt,baseIdxTxt,baseCost)
)</f>
        <v>0</v>
      </c>
      <c r="AM176" s="452" cm="1">
        <f t="array" ref="AM176">1+SUMPRODUCT(
  (Contract_Edits[BaseFlag]=1)*
  (TEXT(Contract_Edits[ParentAnchor],"0")=TEXT(Contract_Edits[[#This Row],[ParentAnchor]],"0"))*
  (VALUE(TEXT(Contract_Edits[Index],"0"))&lt;VALUE(TEXT(Contract_Edits[[#This Row],[Index]],"0")))
)</f>
        <v>1</v>
      </c>
      <c r="AN176" s="452"/>
      <c r="AP176" s="193"/>
      <c r="AQ176" s="193"/>
      <c r="BC176" s="34"/>
      <c r="BD176" s="34"/>
      <c r="BE176" s="34"/>
      <c r="BZ176"/>
      <c r="CA176"/>
      <c r="CB176"/>
    </row>
    <row r="177" spans="11:80" ht="15">
      <c r="K177" s="104"/>
      <c r="L177" s="440">
        <v>91</v>
      </c>
      <c r="M177" s="44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7"/>
      <c r="R177" s="50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7" s="179">
        <v>0</v>
      </c>
      <c r="T177" s="179">
        <v>0</v>
      </c>
      <c r="U177" s="11"/>
      <c r="V177"/>
      <c r="W177" s="22" t="s">
        <v>357</v>
      </c>
      <c r="X177" s="22" t="s">
        <v>603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2">
        <f>--(
  ISNUMBER(SEARCH("BASE PARENT", UPPER(CLEAN(TRIM(_xlfn.XLOOKUP(TEXT(Contract_Edits[[#This Row],[Index]],"0"), baseIdxTxt, baseCost, "")))))) +
  ISNUMBER(SEARCH("DEPENDENCY GROUP", UPPER(CLEAN(TRIM(_xlfn.XLOOKUP(TEXT(Contract_Edits[[#This Row],[Index]],"0"), baseIdxTxt, baseCost, ""))))))
)</f>
        <v>0</v>
      </c>
      <c r="AG177" s="502" t="str" cm="1">
        <f t="array" ref="AG177">IF(Contract_Edits[[#This Row],[BaseFlag]]=1,
   10*BaseDepthL(TEXT(Contract_Edits[[#This Row],[Index]],"0"),500,editsIdxTxt,editsParentKeyTxt,baseIdxTxt,baseCost)-5,
   ""
)</f>
        <v/>
      </c>
      <c r="AH177" s="50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2" t="str">
        <f>IF(Contract_Edits[[#This Row],[Dep]]=0,"Root",
   IF(ISNUMBER(MATCH(Contract_Edits[[#This Row],[Dep]],Contract_Edits[Index],0)),"OK","Missing")
)</f>
        <v>Root</v>
      </c>
      <c r="AJ177" s="452" t="e">
        <f>IF(AND(Contract_Edits[[#This Row],[Dep]]&lt;&gt;0,
        ISNUMBER(MATCH(Contract_Edits[[#This Row],[Dep]], Contract_Edits[Index], 0)),
        INDEX(Contract_Edits[Dep], MATCH(Contract_Edits[[#This Row],[Dep]], Contract_Edits[Index], 0))=Contract_Edits[[#This Row],[Index]]),
   "2-cycle","")</f>
        <v>#N/A</v>
      </c>
      <c r="AK177" s="452" cm="1">
        <f t="array" ref="AK177">IF(Contract_Edits[[#This Row],[BaseFlag]]&lt;&gt;1,0,
   IF(TEXT(Contract_Edits[[#This Row],[Dep]],"0")=TEXT(Contract_Edits[[#This Row],[Index]],"0"),
      0,
      MAX(0, SUMPRODUCT(--(Contract_Edits[BaseFlag]=1),
                        --(TEXT(Contract_Edits[Dep],"0")=TEXT(Contract_Edits[[#This Row],[Dep]],"0"))) - 1)
   )
)</f>
        <v>0</v>
      </c>
      <c r="AL177" s="452" t="str" cm="1">
        <f t="array" ref="AL177">IF(Contract_Edits[[#This Row],[BaseFlag]]=1,
   TEXT(Contract_Edits[[#This Row],[Index]],"0"),
   NearestBaseL(TEXT(Contract_Edits[[#This Row],[ParentKey]],"0"),500,editsIdxTxt,editsParentKeyTxt,baseIdxTxt,baseCost)
)</f>
        <v>0</v>
      </c>
      <c r="AM177" s="452" cm="1">
        <f t="array" ref="AM177">1+SUMPRODUCT(
  (Contract_Edits[BaseFlag]=1)*
  (TEXT(Contract_Edits[ParentAnchor],"0")=TEXT(Contract_Edits[[#This Row],[ParentAnchor]],"0"))*
  (VALUE(TEXT(Contract_Edits[Index],"0"))&lt;VALUE(TEXT(Contract_Edits[[#This Row],[Index]],"0")))
)</f>
        <v>1</v>
      </c>
      <c r="AN177" s="452"/>
      <c r="AP177" s="193"/>
      <c r="AQ177" s="193"/>
      <c r="BC177" s="34"/>
      <c r="BD177" s="34"/>
      <c r="BE177" s="34"/>
      <c r="BZ177"/>
      <c r="CA177"/>
      <c r="CB177"/>
    </row>
    <row r="178" spans="11:80" ht="15">
      <c r="K178" s="104"/>
      <c r="L178" s="440">
        <v>166</v>
      </c>
      <c r="M178" s="44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79"/>
      <c r="R178" s="50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8" s="179">
        <v>0</v>
      </c>
      <c r="T178" s="468"/>
      <c r="U178" s="491"/>
      <c r="V178" s="193"/>
      <c r="W178" s="22" t="s">
        <v>357</v>
      </c>
      <c r="Y178" s="48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2">
        <f>--(
  ISNUMBER(SEARCH("BASE PARENT", UPPER(CLEAN(TRIM(_xlfn.XLOOKUP(TEXT(Contract_Edits[[#This Row],[Index]],"0"), baseIdxTxt, baseCost, "")))))) +
  ISNUMBER(SEARCH("DEPENDENCY GROUP", UPPER(CLEAN(TRIM(_xlfn.XLOOKUP(TEXT(Contract_Edits[[#This Row],[Index]],"0"), baseIdxTxt, baseCost, ""))))))
)</f>
        <v>0</v>
      </c>
      <c r="AG178" s="502" t="str" cm="1">
        <f t="array" ref="AG178">IF(Contract_Edits[[#This Row],[BaseFlag]]=1,
   10*BaseDepthL(TEXT(Contract_Edits[[#This Row],[Index]],"0"),500,editsIdxTxt,editsParentKeyTxt,baseIdxTxt,baseCost)-5,
   ""
)</f>
        <v/>
      </c>
      <c r="AH178" s="50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2" t="str">
        <f>IF(Contract_Edits[[#This Row],[Dep]]=0,"Root",
   IF(ISNUMBER(MATCH(Contract_Edits[[#This Row],[Dep]],Contract_Edits[Index],0)),"OK","Missing")
)</f>
        <v>Root</v>
      </c>
      <c r="AJ178" s="452" t="e">
        <f>IF(AND(Contract_Edits[[#This Row],[Dep]]&lt;&gt;0,
        ISNUMBER(MATCH(Contract_Edits[[#This Row],[Dep]], Contract_Edits[Index], 0)),
        INDEX(Contract_Edits[Dep], MATCH(Contract_Edits[[#This Row],[Dep]], Contract_Edits[Index], 0))=Contract_Edits[[#This Row],[Index]]),
   "2-cycle","")</f>
        <v>#N/A</v>
      </c>
      <c r="AK178" s="452" cm="1">
        <f t="array" ref="AK178">IF(Contract_Edits[[#This Row],[BaseFlag]]&lt;&gt;1,0,
   IF(TEXT(Contract_Edits[[#This Row],[Dep]],"0")=TEXT(Contract_Edits[[#This Row],[Index]],"0"),
      0,
      MAX(0, SUMPRODUCT(--(Contract_Edits[BaseFlag]=1),
                        --(TEXT(Contract_Edits[Dep],"0")=TEXT(Contract_Edits[[#This Row],[Dep]],"0"))) - 1)
   )
)</f>
        <v>0</v>
      </c>
      <c r="AL178" s="452" t="str" cm="1">
        <f t="array" ref="AL178">IF(Contract_Edits[[#This Row],[BaseFlag]]=1,
   TEXT(Contract_Edits[[#This Row],[Index]],"0"),
   NearestBaseL(TEXT(Contract_Edits[[#This Row],[ParentKey]],"0"),500,editsIdxTxt,editsParentKeyTxt,baseIdxTxt,baseCost)
)</f>
        <v>0</v>
      </c>
      <c r="AM178" s="452" cm="1">
        <f t="array" ref="AM178">1+SUMPRODUCT(
  (Contract_Edits[BaseFlag]=1)*
  (TEXT(Contract_Edits[ParentAnchor],"0")=TEXT(Contract_Edits[[#This Row],[ParentAnchor]],"0"))*
  (VALUE(TEXT(Contract_Edits[Index],"0"))&lt;VALUE(TEXT(Contract_Edits[[#This Row],[Index]],"0")))
)</f>
        <v>1</v>
      </c>
      <c r="AN178" s="452"/>
      <c r="AP178" s="193"/>
      <c r="AQ178" s="193"/>
      <c r="BC178" s="34"/>
      <c r="BD178" s="34"/>
      <c r="BE178" s="34"/>
      <c r="BZ178"/>
      <c r="CA178"/>
      <c r="CB178"/>
    </row>
    <row r="179" spans="11:80" ht="15">
      <c r="K179" s="104"/>
      <c r="L179" s="440">
        <v>145</v>
      </c>
      <c r="M179" s="44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7"/>
      <c r="R179" s="50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79" s="179">
        <v>0</v>
      </c>
      <c r="T179" s="179">
        <v>0</v>
      </c>
      <c r="U179" s="11"/>
      <c r="V179"/>
      <c r="W179" s="22" t="s">
        <v>357</v>
      </c>
      <c r="X179" s="22" t="s">
        <v>603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2">
        <f>--(
  ISNUMBER(SEARCH("BASE PARENT", UPPER(CLEAN(TRIM(_xlfn.XLOOKUP(TEXT(Contract_Edits[[#This Row],[Index]],"0"), baseIdxTxt, baseCost, "")))))) +
  ISNUMBER(SEARCH("DEPENDENCY GROUP", UPPER(CLEAN(TRIM(_xlfn.XLOOKUP(TEXT(Contract_Edits[[#This Row],[Index]],"0"), baseIdxTxt, baseCost, ""))))))
)</f>
        <v>0</v>
      </c>
      <c r="AG179" s="502" t="str" cm="1">
        <f t="array" ref="AG179">IF(Contract_Edits[[#This Row],[BaseFlag]]=1,
   10*BaseDepthL(TEXT(Contract_Edits[[#This Row],[Index]],"0"),500,editsIdxTxt,editsParentKeyTxt,baseIdxTxt,baseCost)-5,
   ""
)</f>
        <v/>
      </c>
      <c r="AH179" s="50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2" t="str">
        <f>IF(Contract_Edits[[#This Row],[Dep]]=0,"Root",
   IF(ISNUMBER(MATCH(Contract_Edits[[#This Row],[Dep]],Contract_Edits[Index],0)),"OK","Missing")
)</f>
        <v>Root</v>
      </c>
      <c r="AJ179" s="452" t="e">
        <f>IF(AND(Contract_Edits[[#This Row],[Dep]]&lt;&gt;0,
        ISNUMBER(MATCH(Contract_Edits[[#This Row],[Dep]], Contract_Edits[Index], 0)),
        INDEX(Contract_Edits[Dep], MATCH(Contract_Edits[[#This Row],[Dep]], Contract_Edits[Index], 0))=Contract_Edits[[#This Row],[Index]]),
   "2-cycle","")</f>
        <v>#N/A</v>
      </c>
      <c r="AK179" s="452" cm="1">
        <f t="array" ref="AK179">IF(Contract_Edits[[#This Row],[BaseFlag]]&lt;&gt;1,0,
   IF(TEXT(Contract_Edits[[#This Row],[Dep]],"0")=TEXT(Contract_Edits[[#This Row],[Index]],"0"),
      0,
      MAX(0, SUMPRODUCT(--(Contract_Edits[BaseFlag]=1),
                        --(TEXT(Contract_Edits[Dep],"0")=TEXT(Contract_Edits[[#This Row],[Dep]],"0"))) - 1)
   )
)</f>
        <v>0</v>
      </c>
      <c r="AL179" s="452" t="str" cm="1">
        <f t="array" ref="AL179">IF(Contract_Edits[[#This Row],[BaseFlag]]=1,
   TEXT(Contract_Edits[[#This Row],[Index]],"0"),
   NearestBaseL(TEXT(Contract_Edits[[#This Row],[ParentKey]],"0"),500,editsIdxTxt,editsParentKeyTxt,baseIdxTxt,baseCost)
)</f>
        <v>0</v>
      </c>
      <c r="AM179" s="452" cm="1">
        <f t="array" ref="AM179">1+SUMPRODUCT(
  (Contract_Edits[BaseFlag]=1)*
  (TEXT(Contract_Edits[ParentAnchor],"0")=TEXT(Contract_Edits[[#This Row],[ParentAnchor]],"0"))*
  (VALUE(TEXT(Contract_Edits[Index],"0"))&lt;VALUE(TEXT(Contract_Edits[[#This Row],[Index]],"0")))
)</f>
        <v>1</v>
      </c>
      <c r="AN179" s="452"/>
      <c r="AP179" s="193"/>
      <c r="AQ179" s="193"/>
      <c r="BC179" s="34"/>
      <c r="BD179" s="34"/>
      <c r="BE179" s="34"/>
      <c r="BZ179"/>
      <c r="CA179"/>
      <c r="CB179"/>
    </row>
    <row r="180" spans="11:80" ht="15">
      <c r="K180" s="104"/>
      <c r="L180" s="440">
        <v>92</v>
      </c>
      <c r="M180" s="44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7"/>
      <c r="R180" s="50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0" s="179">
        <v>0</v>
      </c>
      <c r="T180" s="179">
        <v>0</v>
      </c>
      <c r="U180" s="11"/>
      <c r="V180"/>
      <c r="W180" s="22" t="s">
        <v>357</v>
      </c>
      <c r="X180" s="22" t="s">
        <v>603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2">
        <f>--(
  ISNUMBER(SEARCH("BASE PARENT", UPPER(CLEAN(TRIM(_xlfn.XLOOKUP(TEXT(Contract_Edits[[#This Row],[Index]],"0"), baseIdxTxt, baseCost, "")))))) +
  ISNUMBER(SEARCH("DEPENDENCY GROUP", UPPER(CLEAN(TRIM(_xlfn.XLOOKUP(TEXT(Contract_Edits[[#This Row],[Index]],"0"), baseIdxTxt, baseCost, ""))))))
)</f>
        <v>0</v>
      </c>
      <c r="AG180" s="502" t="str" cm="1">
        <f t="array" ref="AG180">IF(Contract_Edits[[#This Row],[BaseFlag]]=1,
   10*BaseDepthL(TEXT(Contract_Edits[[#This Row],[Index]],"0"),500,editsIdxTxt,editsParentKeyTxt,baseIdxTxt,baseCost)-5,
   ""
)</f>
        <v/>
      </c>
      <c r="AH180" s="50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2" t="str">
        <f>IF(Contract_Edits[[#This Row],[Dep]]=0,"Root",
   IF(ISNUMBER(MATCH(Contract_Edits[[#This Row],[Dep]],Contract_Edits[Index],0)),"OK","Missing")
)</f>
        <v>Root</v>
      </c>
      <c r="AJ180" s="452" t="e">
        <f>IF(AND(Contract_Edits[[#This Row],[Dep]]&lt;&gt;0,
        ISNUMBER(MATCH(Contract_Edits[[#This Row],[Dep]], Contract_Edits[Index], 0)),
        INDEX(Contract_Edits[Dep], MATCH(Contract_Edits[[#This Row],[Dep]], Contract_Edits[Index], 0))=Contract_Edits[[#This Row],[Index]]),
   "2-cycle","")</f>
        <v>#N/A</v>
      </c>
      <c r="AK180" s="452" cm="1">
        <f t="array" ref="AK180">IF(Contract_Edits[[#This Row],[BaseFlag]]&lt;&gt;1,0,
   IF(TEXT(Contract_Edits[[#This Row],[Dep]],"0")=TEXT(Contract_Edits[[#This Row],[Index]],"0"),
      0,
      MAX(0, SUMPRODUCT(--(Contract_Edits[BaseFlag]=1),
                        --(TEXT(Contract_Edits[Dep],"0")=TEXT(Contract_Edits[[#This Row],[Dep]],"0"))) - 1)
   )
)</f>
        <v>0</v>
      </c>
      <c r="AL180" s="452" t="str" cm="1">
        <f t="array" ref="AL180">IF(Contract_Edits[[#This Row],[BaseFlag]]=1,
   TEXT(Contract_Edits[[#This Row],[Index]],"0"),
   NearestBaseL(TEXT(Contract_Edits[[#This Row],[ParentKey]],"0"),500,editsIdxTxt,editsParentKeyTxt,baseIdxTxt,baseCost)
)</f>
        <v>0</v>
      </c>
      <c r="AM180" s="452" cm="1">
        <f t="array" ref="AM180">1+SUMPRODUCT(
  (Contract_Edits[BaseFlag]=1)*
  (TEXT(Contract_Edits[ParentAnchor],"0")=TEXT(Contract_Edits[[#This Row],[ParentAnchor]],"0"))*
  (VALUE(TEXT(Contract_Edits[Index],"0"))&lt;VALUE(TEXT(Contract_Edits[[#This Row],[Index]],"0")))
)</f>
        <v>1</v>
      </c>
      <c r="AN180" s="452"/>
      <c r="AP180" s="193"/>
      <c r="AQ180" s="193"/>
      <c r="BC180" s="34"/>
      <c r="BD180" s="34"/>
      <c r="BE180" s="34"/>
      <c r="BZ180"/>
      <c r="CA180"/>
      <c r="CB180"/>
    </row>
    <row r="181" spans="11:80" ht="15">
      <c r="K181" s="104"/>
      <c r="L181" s="440">
        <v>167</v>
      </c>
      <c r="M181" s="44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79"/>
      <c r="R181" s="50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1" s="179">
        <v>0</v>
      </c>
      <c r="T181" s="468"/>
      <c r="U181" s="491"/>
      <c r="V181" s="193"/>
      <c r="W181" s="22" t="s">
        <v>357</v>
      </c>
      <c r="Y181" s="48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2">
        <f>--(
  ISNUMBER(SEARCH("BASE PARENT", UPPER(CLEAN(TRIM(_xlfn.XLOOKUP(TEXT(Contract_Edits[[#This Row],[Index]],"0"), baseIdxTxt, baseCost, "")))))) +
  ISNUMBER(SEARCH("DEPENDENCY GROUP", UPPER(CLEAN(TRIM(_xlfn.XLOOKUP(TEXT(Contract_Edits[[#This Row],[Index]],"0"), baseIdxTxt, baseCost, ""))))))
)</f>
        <v>0</v>
      </c>
      <c r="AG181" s="502" t="str" cm="1">
        <f t="array" ref="AG181">IF(Contract_Edits[[#This Row],[BaseFlag]]=1,
   10*BaseDepthL(TEXT(Contract_Edits[[#This Row],[Index]],"0"),500,editsIdxTxt,editsParentKeyTxt,baseIdxTxt,baseCost)-5,
   ""
)</f>
        <v/>
      </c>
      <c r="AH181" s="50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2" t="str">
        <f>IF(Contract_Edits[[#This Row],[Dep]]=0,"Root",
   IF(ISNUMBER(MATCH(Contract_Edits[[#This Row],[Dep]],Contract_Edits[Index],0)),"OK","Missing")
)</f>
        <v>Root</v>
      </c>
      <c r="AJ181" s="452" t="e">
        <f>IF(AND(Contract_Edits[[#This Row],[Dep]]&lt;&gt;0,
        ISNUMBER(MATCH(Contract_Edits[[#This Row],[Dep]], Contract_Edits[Index], 0)),
        INDEX(Contract_Edits[Dep], MATCH(Contract_Edits[[#This Row],[Dep]], Contract_Edits[Index], 0))=Contract_Edits[[#This Row],[Index]]),
   "2-cycle","")</f>
        <v>#N/A</v>
      </c>
      <c r="AK181" s="452" cm="1">
        <f t="array" ref="AK181">IF(Contract_Edits[[#This Row],[BaseFlag]]&lt;&gt;1,0,
   IF(TEXT(Contract_Edits[[#This Row],[Dep]],"0")=TEXT(Contract_Edits[[#This Row],[Index]],"0"),
      0,
      MAX(0, SUMPRODUCT(--(Contract_Edits[BaseFlag]=1),
                        --(TEXT(Contract_Edits[Dep],"0")=TEXT(Contract_Edits[[#This Row],[Dep]],"0"))) - 1)
   )
)</f>
        <v>0</v>
      </c>
      <c r="AL181" s="452" t="str" cm="1">
        <f t="array" ref="AL181">IF(Contract_Edits[[#This Row],[BaseFlag]]=1,
   TEXT(Contract_Edits[[#This Row],[Index]],"0"),
   NearestBaseL(TEXT(Contract_Edits[[#This Row],[ParentKey]],"0"),500,editsIdxTxt,editsParentKeyTxt,baseIdxTxt,baseCost)
)</f>
        <v>0</v>
      </c>
      <c r="AM181" s="452" cm="1">
        <f t="array" ref="AM181">1+SUMPRODUCT(
  (Contract_Edits[BaseFlag]=1)*
  (TEXT(Contract_Edits[ParentAnchor],"0")=TEXT(Contract_Edits[[#This Row],[ParentAnchor]],"0"))*
  (VALUE(TEXT(Contract_Edits[Index],"0"))&lt;VALUE(TEXT(Contract_Edits[[#This Row],[Index]],"0")))
)</f>
        <v>1</v>
      </c>
      <c r="AN181" s="452"/>
      <c r="AP181" s="193"/>
      <c r="AQ181" s="193"/>
      <c r="BC181" s="34"/>
      <c r="BD181" s="34"/>
      <c r="BE181" s="34"/>
      <c r="BZ181"/>
      <c r="CA181"/>
      <c r="CB181"/>
    </row>
    <row r="182" spans="11:80" ht="15">
      <c r="K182" s="104"/>
      <c r="L182" s="440">
        <v>168</v>
      </c>
      <c r="M182" s="44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79"/>
      <c r="R182" s="50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2" s="179">
        <v>0</v>
      </c>
      <c r="T182" s="468"/>
      <c r="U182" s="491"/>
      <c r="V182" s="193"/>
      <c r="W182" s="22" t="s">
        <v>357</v>
      </c>
      <c r="Y182" s="48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2">
        <f>--(
  ISNUMBER(SEARCH("BASE PARENT", UPPER(CLEAN(TRIM(_xlfn.XLOOKUP(TEXT(Contract_Edits[[#This Row],[Index]],"0"), baseIdxTxt, baseCost, "")))))) +
  ISNUMBER(SEARCH("DEPENDENCY GROUP", UPPER(CLEAN(TRIM(_xlfn.XLOOKUP(TEXT(Contract_Edits[[#This Row],[Index]],"0"), baseIdxTxt, baseCost, ""))))))
)</f>
        <v>0</v>
      </c>
      <c r="AG182" s="502" t="str" cm="1">
        <f t="array" ref="AG182">IF(Contract_Edits[[#This Row],[BaseFlag]]=1,
   10*BaseDepthL(TEXT(Contract_Edits[[#This Row],[Index]],"0"),500,editsIdxTxt,editsParentKeyTxt,baseIdxTxt,baseCost)-5,
   ""
)</f>
        <v/>
      </c>
      <c r="AH182" s="50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2" t="str">
        <f>IF(Contract_Edits[[#This Row],[Dep]]=0,"Root",
   IF(ISNUMBER(MATCH(Contract_Edits[[#This Row],[Dep]],Contract_Edits[Index],0)),"OK","Missing")
)</f>
        <v>Root</v>
      </c>
      <c r="AJ182" s="452" t="e">
        <f>IF(AND(Contract_Edits[[#This Row],[Dep]]&lt;&gt;0,
        ISNUMBER(MATCH(Contract_Edits[[#This Row],[Dep]], Contract_Edits[Index], 0)),
        INDEX(Contract_Edits[Dep], MATCH(Contract_Edits[[#This Row],[Dep]], Contract_Edits[Index], 0))=Contract_Edits[[#This Row],[Index]]),
   "2-cycle","")</f>
        <v>#N/A</v>
      </c>
      <c r="AK182" s="452" cm="1">
        <f t="array" ref="AK182">IF(Contract_Edits[[#This Row],[BaseFlag]]&lt;&gt;1,0,
   IF(TEXT(Contract_Edits[[#This Row],[Dep]],"0")=TEXT(Contract_Edits[[#This Row],[Index]],"0"),
      0,
      MAX(0, SUMPRODUCT(--(Contract_Edits[BaseFlag]=1),
                        --(TEXT(Contract_Edits[Dep],"0")=TEXT(Contract_Edits[[#This Row],[Dep]],"0"))) - 1)
   )
)</f>
        <v>0</v>
      </c>
      <c r="AL182" s="452" t="str" cm="1">
        <f t="array" ref="AL182">IF(Contract_Edits[[#This Row],[BaseFlag]]=1,
   TEXT(Contract_Edits[[#This Row],[Index]],"0"),
   NearestBaseL(TEXT(Contract_Edits[[#This Row],[ParentKey]],"0"),500,editsIdxTxt,editsParentKeyTxt,baseIdxTxt,baseCost)
)</f>
        <v>0</v>
      </c>
      <c r="AM182" s="452" cm="1">
        <f t="array" ref="AM182">1+SUMPRODUCT(
  (Contract_Edits[BaseFlag]=1)*
  (TEXT(Contract_Edits[ParentAnchor],"0")=TEXT(Contract_Edits[[#This Row],[ParentAnchor]],"0"))*
  (VALUE(TEXT(Contract_Edits[Index],"0"))&lt;VALUE(TEXT(Contract_Edits[[#This Row],[Index]],"0")))
)</f>
        <v>1</v>
      </c>
      <c r="AN182" s="452"/>
      <c r="AP182" s="193"/>
      <c r="AQ182" s="193"/>
      <c r="BC182" s="34"/>
      <c r="BD182" s="34"/>
      <c r="BE182" s="34"/>
      <c r="BZ182"/>
      <c r="CA182"/>
      <c r="CB182"/>
    </row>
    <row r="183" spans="11:80" ht="15">
      <c r="K183" s="104"/>
      <c r="L183" s="440">
        <v>121</v>
      </c>
      <c r="M183" s="44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7"/>
      <c r="R183" s="50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3" s="179">
        <v>0</v>
      </c>
      <c r="T183" s="179">
        <v>0</v>
      </c>
      <c r="U183" s="11"/>
      <c r="V183"/>
      <c r="W183" s="22" t="s">
        <v>357</v>
      </c>
      <c r="X183" s="22" t="s">
        <v>603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2">
        <f>--(
  ISNUMBER(SEARCH("BASE PARENT", UPPER(CLEAN(TRIM(_xlfn.XLOOKUP(TEXT(Contract_Edits[[#This Row],[Index]],"0"), baseIdxTxt, baseCost, "")))))) +
  ISNUMBER(SEARCH("DEPENDENCY GROUP", UPPER(CLEAN(TRIM(_xlfn.XLOOKUP(TEXT(Contract_Edits[[#This Row],[Index]],"0"), baseIdxTxt, baseCost, ""))))))
)</f>
        <v>0</v>
      </c>
      <c r="AG183" s="502" t="str" cm="1">
        <f t="array" ref="AG183">IF(Contract_Edits[[#This Row],[BaseFlag]]=1,
   10*BaseDepthL(TEXT(Contract_Edits[[#This Row],[Index]],"0"),500,editsIdxTxt,editsParentKeyTxt,baseIdxTxt,baseCost)-5,
   ""
)</f>
        <v/>
      </c>
      <c r="AH183" s="50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2" t="str">
        <f>IF(Contract_Edits[[#This Row],[Dep]]=0,"Root",
   IF(ISNUMBER(MATCH(Contract_Edits[[#This Row],[Dep]],Contract_Edits[Index],0)),"OK","Missing")
)</f>
        <v>Root</v>
      </c>
      <c r="AJ183" s="452" t="e">
        <f>IF(AND(Contract_Edits[[#This Row],[Dep]]&lt;&gt;0,
        ISNUMBER(MATCH(Contract_Edits[[#This Row],[Dep]], Contract_Edits[Index], 0)),
        INDEX(Contract_Edits[Dep], MATCH(Contract_Edits[[#This Row],[Dep]], Contract_Edits[Index], 0))=Contract_Edits[[#This Row],[Index]]),
   "2-cycle","")</f>
        <v>#N/A</v>
      </c>
      <c r="AK183" s="452" cm="1">
        <f t="array" ref="AK183">IF(Contract_Edits[[#This Row],[BaseFlag]]&lt;&gt;1,0,
   IF(TEXT(Contract_Edits[[#This Row],[Dep]],"0")=TEXT(Contract_Edits[[#This Row],[Index]],"0"),
      0,
      MAX(0, SUMPRODUCT(--(Contract_Edits[BaseFlag]=1),
                        --(TEXT(Contract_Edits[Dep],"0")=TEXT(Contract_Edits[[#This Row],[Dep]],"0"))) - 1)
   )
)</f>
        <v>0</v>
      </c>
      <c r="AL183" s="452" t="str" cm="1">
        <f t="array" ref="AL183">IF(Contract_Edits[[#This Row],[BaseFlag]]=1,
   TEXT(Contract_Edits[[#This Row],[Index]],"0"),
   NearestBaseL(TEXT(Contract_Edits[[#This Row],[ParentKey]],"0"),500,editsIdxTxt,editsParentKeyTxt,baseIdxTxt,baseCost)
)</f>
        <v>0</v>
      </c>
      <c r="AM183" s="452" cm="1">
        <f t="array" ref="AM183">1+SUMPRODUCT(
  (Contract_Edits[BaseFlag]=1)*
  (TEXT(Contract_Edits[ParentAnchor],"0")=TEXT(Contract_Edits[[#This Row],[ParentAnchor]],"0"))*
  (VALUE(TEXT(Contract_Edits[Index],"0"))&lt;VALUE(TEXT(Contract_Edits[[#This Row],[Index]],"0")))
)</f>
        <v>1</v>
      </c>
      <c r="AN183" s="452"/>
      <c r="AP183" s="193"/>
      <c r="AQ183" s="193"/>
      <c r="BC183" s="34"/>
      <c r="BD183" s="34"/>
      <c r="BE183" s="34"/>
      <c r="BZ183"/>
      <c r="CA183"/>
      <c r="CB183"/>
    </row>
    <row r="184" spans="11:80" ht="15">
      <c r="K184" s="104"/>
      <c r="L184" s="440">
        <v>89</v>
      </c>
      <c r="M184" s="44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7"/>
      <c r="R184" s="50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4" s="179">
        <v>0</v>
      </c>
      <c r="T184" s="179">
        <v>0</v>
      </c>
      <c r="U184" s="11"/>
      <c r="V184"/>
      <c r="W184" s="22" t="s">
        <v>357</v>
      </c>
      <c r="X184" s="22" t="s">
        <v>603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2">
        <f>--(
  ISNUMBER(SEARCH("BASE PARENT", UPPER(CLEAN(TRIM(_xlfn.XLOOKUP(TEXT(Contract_Edits[[#This Row],[Index]],"0"), baseIdxTxt, baseCost, "")))))) +
  ISNUMBER(SEARCH("DEPENDENCY GROUP", UPPER(CLEAN(TRIM(_xlfn.XLOOKUP(TEXT(Contract_Edits[[#This Row],[Index]],"0"), baseIdxTxt, baseCost, ""))))))
)</f>
        <v>0</v>
      </c>
      <c r="AG184" s="502" t="str" cm="1">
        <f t="array" ref="AG184">IF(Contract_Edits[[#This Row],[BaseFlag]]=1,
   10*BaseDepthL(TEXT(Contract_Edits[[#This Row],[Index]],"0"),500,editsIdxTxt,editsParentKeyTxt,baseIdxTxt,baseCost)-5,
   ""
)</f>
        <v/>
      </c>
      <c r="AH184" s="50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2" t="str">
        <f>IF(Contract_Edits[[#This Row],[Dep]]=0,"Root",
   IF(ISNUMBER(MATCH(Contract_Edits[[#This Row],[Dep]],Contract_Edits[Index],0)),"OK","Missing")
)</f>
        <v>Root</v>
      </c>
      <c r="AJ184" s="452" t="e">
        <f>IF(AND(Contract_Edits[[#This Row],[Dep]]&lt;&gt;0,
        ISNUMBER(MATCH(Contract_Edits[[#This Row],[Dep]], Contract_Edits[Index], 0)),
        INDEX(Contract_Edits[Dep], MATCH(Contract_Edits[[#This Row],[Dep]], Contract_Edits[Index], 0))=Contract_Edits[[#This Row],[Index]]),
   "2-cycle","")</f>
        <v>#N/A</v>
      </c>
      <c r="AK184" s="452" cm="1">
        <f t="array" ref="AK184">IF(Contract_Edits[[#This Row],[BaseFlag]]&lt;&gt;1,0,
   IF(TEXT(Contract_Edits[[#This Row],[Dep]],"0")=TEXT(Contract_Edits[[#This Row],[Index]],"0"),
      0,
      MAX(0, SUMPRODUCT(--(Contract_Edits[BaseFlag]=1),
                        --(TEXT(Contract_Edits[Dep],"0")=TEXT(Contract_Edits[[#This Row],[Dep]],"0"))) - 1)
   )
)</f>
        <v>0</v>
      </c>
      <c r="AL184" s="452" t="str" cm="1">
        <f t="array" ref="AL184">IF(Contract_Edits[[#This Row],[BaseFlag]]=1,
   TEXT(Contract_Edits[[#This Row],[Index]],"0"),
   NearestBaseL(TEXT(Contract_Edits[[#This Row],[ParentKey]],"0"),500,editsIdxTxt,editsParentKeyTxt,baseIdxTxt,baseCost)
)</f>
        <v>0</v>
      </c>
      <c r="AM184" s="452" cm="1">
        <f t="array" ref="AM184">1+SUMPRODUCT(
  (Contract_Edits[BaseFlag]=1)*
  (TEXT(Contract_Edits[ParentAnchor],"0")=TEXT(Contract_Edits[[#This Row],[ParentAnchor]],"0"))*
  (VALUE(TEXT(Contract_Edits[Index],"0"))&lt;VALUE(TEXT(Contract_Edits[[#This Row],[Index]],"0")))
)</f>
        <v>1</v>
      </c>
      <c r="AN184" s="452"/>
      <c r="AP184" s="193"/>
      <c r="AQ184" s="193"/>
      <c r="BC184" s="34"/>
      <c r="BD184" s="34"/>
      <c r="BE184" s="34"/>
      <c r="BZ184"/>
      <c r="CA184"/>
      <c r="CB184"/>
    </row>
    <row r="185" spans="11:80" ht="15">
      <c r="K185" s="104"/>
      <c r="L185" s="440">
        <v>169</v>
      </c>
      <c r="M185" s="44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79"/>
      <c r="R185" s="50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5" s="179">
        <v>0</v>
      </c>
      <c r="T185" s="468"/>
      <c r="U185" s="491"/>
      <c r="V185" s="193"/>
      <c r="W185" s="22" t="s">
        <v>357</v>
      </c>
      <c r="Y185" s="48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2">
        <f>--(
  ISNUMBER(SEARCH("BASE PARENT", UPPER(CLEAN(TRIM(_xlfn.XLOOKUP(TEXT(Contract_Edits[[#This Row],[Index]],"0"), baseIdxTxt, baseCost, "")))))) +
  ISNUMBER(SEARCH("DEPENDENCY GROUP", UPPER(CLEAN(TRIM(_xlfn.XLOOKUP(TEXT(Contract_Edits[[#This Row],[Index]],"0"), baseIdxTxt, baseCost, ""))))))
)</f>
        <v>0</v>
      </c>
      <c r="AG185" s="502" t="str" cm="1">
        <f t="array" ref="AG185">IF(Contract_Edits[[#This Row],[BaseFlag]]=1,
   10*BaseDepthL(TEXT(Contract_Edits[[#This Row],[Index]],"0"),500,editsIdxTxt,editsParentKeyTxt,baseIdxTxt,baseCost)-5,
   ""
)</f>
        <v/>
      </c>
      <c r="AH185" s="50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2" t="str">
        <f>IF(Contract_Edits[[#This Row],[Dep]]=0,"Root",
   IF(ISNUMBER(MATCH(Contract_Edits[[#This Row],[Dep]],Contract_Edits[Index],0)),"OK","Missing")
)</f>
        <v>Root</v>
      </c>
      <c r="AJ185" s="452" t="e">
        <f>IF(AND(Contract_Edits[[#This Row],[Dep]]&lt;&gt;0,
        ISNUMBER(MATCH(Contract_Edits[[#This Row],[Dep]], Contract_Edits[Index], 0)),
        INDEX(Contract_Edits[Dep], MATCH(Contract_Edits[[#This Row],[Dep]], Contract_Edits[Index], 0))=Contract_Edits[[#This Row],[Index]]),
   "2-cycle","")</f>
        <v>#N/A</v>
      </c>
      <c r="AK185" s="452" cm="1">
        <f t="array" ref="AK185">IF(Contract_Edits[[#This Row],[BaseFlag]]&lt;&gt;1,0,
   IF(TEXT(Contract_Edits[[#This Row],[Dep]],"0")=TEXT(Contract_Edits[[#This Row],[Index]],"0"),
      0,
      MAX(0, SUMPRODUCT(--(Contract_Edits[BaseFlag]=1),
                        --(TEXT(Contract_Edits[Dep],"0")=TEXT(Contract_Edits[[#This Row],[Dep]],"0"))) - 1)
   )
)</f>
        <v>0</v>
      </c>
      <c r="AL185" s="452" t="str" cm="1">
        <f t="array" ref="AL185">IF(Contract_Edits[[#This Row],[BaseFlag]]=1,
   TEXT(Contract_Edits[[#This Row],[Index]],"0"),
   NearestBaseL(TEXT(Contract_Edits[[#This Row],[ParentKey]],"0"),500,editsIdxTxt,editsParentKeyTxt,baseIdxTxt,baseCost)
)</f>
        <v>0</v>
      </c>
      <c r="AM185" s="452" cm="1">
        <f t="array" ref="AM185">1+SUMPRODUCT(
  (Contract_Edits[BaseFlag]=1)*
  (TEXT(Contract_Edits[ParentAnchor],"0")=TEXT(Contract_Edits[[#This Row],[ParentAnchor]],"0"))*
  (VALUE(TEXT(Contract_Edits[Index],"0"))&lt;VALUE(TEXT(Contract_Edits[[#This Row],[Index]],"0")))
)</f>
        <v>1</v>
      </c>
      <c r="AN185" s="452"/>
      <c r="AP185" s="193"/>
      <c r="AQ185" s="193"/>
      <c r="BC185" s="34"/>
      <c r="BD185" s="34"/>
      <c r="BE185" s="34"/>
      <c r="BZ185"/>
      <c r="CA185"/>
      <c r="CB185"/>
    </row>
    <row r="186" spans="11:80" ht="15">
      <c r="K186" s="104"/>
      <c r="L186" s="440">
        <v>108</v>
      </c>
      <c r="M186" s="44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7"/>
      <c r="R186" s="50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6" s="179">
        <v>0</v>
      </c>
      <c r="T186" s="179">
        <v>0</v>
      </c>
      <c r="U186" s="11"/>
      <c r="V186"/>
      <c r="W186" s="22" t="s">
        <v>357</v>
      </c>
      <c r="X186" s="22" t="s">
        <v>603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2">
        <f>--(
  ISNUMBER(SEARCH("BASE PARENT", UPPER(CLEAN(TRIM(_xlfn.XLOOKUP(TEXT(Contract_Edits[[#This Row],[Index]],"0"), baseIdxTxt, baseCost, "")))))) +
  ISNUMBER(SEARCH("DEPENDENCY GROUP", UPPER(CLEAN(TRIM(_xlfn.XLOOKUP(TEXT(Contract_Edits[[#This Row],[Index]],"0"), baseIdxTxt, baseCost, ""))))))
)</f>
        <v>0</v>
      </c>
      <c r="AG186" s="502" t="str" cm="1">
        <f t="array" ref="AG186">IF(Contract_Edits[[#This Row],[BaseFlag]]=1,
   10*BaseDepthL(TEXT(Contract_Edits[[#This Row],[Index]],"0"),500,editsIdxTxt,editsParentKeyTxt,baseIdxTxt,baseCost)-5,
   ""
)</f>
        <v/>
      </c>
      <c r="AH186" s="50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2" t="str">
        <f>IF(Contract_Edits[[#This Row],[Dep]]=0,"Root",
   IF(ISNUMBER(MATCH(Contract_Edits[[#This Row],[Dep]],Contract_Edits[Index],0)),"OK","Missing")
)</f>
        <v>Root</v>
      </c>
      <c r="AJ186" s="452" t="e">
        <f>IF(AND(Contract_Edits[[#This Row],[Dep]]&lt;&gt;0,
        ISNUMBER(MATCH(Contract_Edits[[#This Row],[Dep]], Contract_Edits[Index], 0)),
        INDEX(Contract_Edits[Dep], MATCH(Contract_Edits[[#This Row],[Dep]], Contract_Edits[Index], 0))=Contract_Edits[[#This Row],[Index]]),
   "2-cycle","")</f>
        <v>#N/A</v>
      </c>
      <c r="AK186" s="452" cm="1">
        <f t="array" ref="AK186">IF(Contract_Edits[[#This Row],[BaseFlag]]&lt;&gt;1,0,
   IF(TEXT(Contract_Edits[[#This Row],[Dep]],"0")=TEXT(Contract_Edits[[#This Row],[Index]],"0"),
      0,
      MAX(0, SUMPRODUCT(--(Contract_Edits[BaseFlag]=1),
                        --(TEXT(Contract_Edits[Dep],"0")=TEXT(Contract_Edits[[#This Row],[Dep]],"0"))) - 1)
   )
)</f>
        <v>0</v>
      </c>
      <c r="AL186" s="452" t="str" cm="1">
        <f t="array" ref="AL186">IF(Contract_Edits[[#This Row],[BaseFlag]]=1,
   TEXT(Contract_Edits[[#This Row],[Index]],"0"),
   NearestBaseL(TEXT(Contract_Edits[[#This Row],[ParentKey]],"0"),500,editsIdxTxt,editsParentKeyTxt,baseIdxTxt,baseCost)
)</f>
        <v>0</v>
      </c>
      <c r="AM186" s="452" cm="1">
        <f t="array" ref="AM186">1+SUMPRODUCT(
  (Contract_Edits[BaseFlag]=1)*
  (TEXT(Contract_Edits[ParentAnchor],"0")=TEXT(Contract_Edits[[#This Row],[ParentAnchor]],"0"))*
  (VALUE(TEXT(Contract_Edits[Index],"0"))&lt;VALUE(TEXT(Contract_Edits[[#This Row],[Index]],"0")))
)</f>
        <v>1</v>
      </c>
      <c r="AN186" s="452"/>
      <c r="AP186" s="193"/>
      <c r="AQ186" s="193"/>
      <c r="BC186" s="34"/>
      <c r="BD186" s="34"/>
      <c r="BE186" s="34"/>
      <c r="BZ186"/>
      <c r="CA186"/>
      <c r="CB186"/>
    </row>
    <row r="187" spans="11:80" ht="15">
      <c r="K187" s="104"/>
      <c r="L187" s="440">
        <v>170</v>
      </c>
      <c r="M187" s="44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79"/>
      <c r="R187" s="50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7" s="179">
        <v>0</v>
      </c>
      <c r="T187" s="468"/>
      <c r="U187" s="491"/>
      <c r="V187" s="193"/>
      <c r="W187" s="22" t="s">
        <v>357</v>
      </c>
      <c r="Y187" s="48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2">
        <f>--(
  ISNUMBER(SEARCH("BASE PARENT", UPPER(CLEAN(TRIM(_xlfn.XLOOKUP(TEXT(Contract_Edits[[#This Row],[Index]],"0"), baseIdxTxt, baseCost, "")))))) +
  ISNUMBER(SEARCH("DEPENDENCY GROUP", UPPER(CLEAN(TRIM(_xlfn.XLOOKUP(TEXT(Contract_Edits[[#This Row],[Index]],"0"), baseIdxTxt, baseCost, ""))))))
)</f>
        <v>0</v>
      </c>
      <c r="AG187" s="502" t="str" cm="1">
        <f t="array" ref="AG187">IF(Contract_Edits[[#This Row],[BaseFlag]]=1,
   10*BaseDepthL(TEXT(Contract_Edits[[#This Row],[Index]],"0"),500,editsIdxTxt,editsParentKeyTxt,baseIdxTxt,baseCost)-5,
   ""
)</f>
        <v/>
      </c>
      <c r="AH187" s="50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2" t="str">
        <f>IF(Contract_Edits[[#This Row],[Dep]]=0,"Root",
   IF(ISNUMBER(MATCH(Contract_Edits[[#This Row],[Dep]],Contract_Edits[Index],0)),"OK","Missing")
)</f>
        <v>Root</v>
      </c>
      <c r="AJ187" s="452" t="e">
        <f>IF(AND(Contract_Edits[[#This Row],[Dep]]&lt;&gt;0,
        ISNUMBER(MATCH(Contract_Edits[[#This Row],[Dep]], Contract_Edits[Index], 0)),
        INDEX(Contract_Edits[Dep], MATCH(Contract_Edits[[#This Row],[Dep]], Contract_Edits[Index], 0))=Contract_Edits[[#This Row],[Index]]),
   "2-cycle","")</f>
        <v>#N/A</v>
      </c>
      <c r="AK187" s="452" cm="1">
        <f t="array" ref="AK187">IF(Contract_Edits[[#This Row],[BaseFlag]]&lt;&gt;1,0,
   IF(TEXT(Contract_Edits[[#This Row],[Dep]],"0")=TEXT(Contract_Edits[[#This Row],[Index]],"0"),
      0,
      MAX(0, SUMPRODUCT(--(Contract_Edits[BaseFlag]=1),
                        --(TEXT(Contract_Edits[Dep],"0")=TEXT(Contract_Edits[[#This Row],[Dep]],"0"))) - 1)
   )
)</f>
        <v>0</v>
      </c>
      <c r="AL187" s="452" t="str" cm="1">
        <f t="array" ref="AL187">IF(Contract_Edits[[#This Row],[BaseFlag]]=1,
   TEXT(Contract_Edits[[#This Row],[Index]],"0"),
   NearestBaseL(TEXT(Contract_Edits[[#This Row],[ParentKey]],"0"),500,editsIdxTxt,editsParentKeyTxt,baseIdxTxt,baseCost)
)</f>
        <v>0</v>
      </c>
      <c r="AM187" s="452" cm="1">
        <f t="array" ref="AM187">1+SUMPRODUCT(
  (Contract_Edits[BaseFlag]=1)*
  (TEXT(Contract_Edits[ParentAnchor],"0")=TEXT(Contract_Edits[[#This Row],[ParentAnchor]],"0"))*
  (VALUE(TEXT(Contract_Edits[Index],"0"))&lt;VALUE(TEXT(Contract_Edits[[#This Row],[Index]],"0")))
)</f>
        <v>1</v>
      </c>
      <c r="AN187" s="452"/>
      <c r="AP187" s="193"/>
      <c r="AQ187" s="193"/>
      <c r="BC187" s="34"/>
      <c r="BD187" s="34"/>
      <c r="BE187" s="34"/>
      <c r="BZ187"/>
      <c r="CA187"/>
      <c r="CB187"/>
    </row>
    <row r="188" spans="11:80" ht="15">
      <c r="K188" s="104"/>
      <c r="L188" s="440">
        <v>95</v>
      </c>
      <c r="M188" s="44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7"/>
      <c r="R188" s="50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8" s="179">
        <v>0</v>
      </c>
      <c r="T188" s="179">
        <v>0</v>
      </c>
      <c r="U188" s="11"/>
      <c r="V188"/>
      <c r="W188" s="22" t="s">
        <v>357</v>
      </c>
      <c r="X188" s="22" t="s">
        <v>603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2">
        <f>--(
  ISNUMBER(SEARCH("BASE PARENT", UPPER(CLEAN(TRIM(_xlfn.XLOOKUP(TEXT(Contract_Edits[[#This Row],[Index]],"0"), baseIdxTxt, baseCost, "")))))) +
  ISNUMBER(SEARCH("DEPENDENCY GROUP", UPPER(CLEAN(TRIM(_xlfn.XLOOKUP(TEXT(Contract_Edits[[#This Row],[Index]],"0"), baseIdxTxt, baseCost, ""))))))
)</f>
        <v>0</v>
      </c>
      <c r="AG188" s="502" t="str" cm="1">
        <f t="array" ref="AG188">IF(Contract_Edits[[#This Row],[BaseFlag]]=1,
   10*BaseDepthL(TEXT(Contract_Edits[[#This Row],[Index]],"0"),500,editsIdxTxt,editsParentKeyTxt,baseIdxTxt,baseCost)-5,
   ""
)</f>
        <v/>
      </c>
      <c r="AH188" s="50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2" t="str">
        <f>IF(Contract_Edits[[#This Row],[Dep]]=0,"Root",
   IF(ISNUMBER(MATCH(Contract_Edits[[#This Row],[Dep]],Contract_Edits[Index],0)),"OK","Missing")
)</f>
        <v>Root</v>
      </c>
      <c r="AJ188" s="452" t="e">
        <f>IF(AND(Contract_Edits[[#This Row],[Dep]]&lt;&gt;0,
        ISNUMBER(MATCH(Contract_Edits[[#This Row],[Dep]], Contract_Edits[Index], 0)),
        INDEX(Contract_Edits[Dep], MATCH(Contract_Edits[[#This Row],[Dep]], Contract_Edits[Index], 0))=Contract_Edits[[#This Row],[Index]]),
   "2-cycle","")</f>
        <v>#N/A</v>
      </c>
      <c r="AK188" s="452" cm="1">
        <f t="array" ref="AK188">IF(Contract_Edits[[#This Row],[BaseFlag]]&lt;&gt;1,0,
   IF(TEXT(Contract_Edits[[#This Row],[Dep]],"0")=TEXT(Contract_Edits[[#This Row],[Index]],"0"),
      0,
      MAX(0, SUMPRODUCT(--(Contract_Edits[BaseFlag]=1),
                        --(TEXT(Contract_Edits[Dep],"0")=TEXT(Contract_Edits[[#This Row],[Dep]],"0"))) - 1)
   )
)</f>
        <v>0</v>
      </c>
      <c r="AL188" s="452" t="str" cm="1">
        <f t="array" ref="AL188">IF(Contract_Edits[[#This Row],[BaseFlag]]=1,
   TEXT(Contract_Edits[[#This Row],[Index]],"0"),
   NearestBaseL(TEXT(Contract_Edits[[#This Row],[ParentKey]],"0"),500,editsIdxTxt,editsParentKeyTxt,baseIdxTxt,baseCost)
)</f>
        <v>0</v>
      </c>
      <c r="AM188" s="452" cm="1">
        <f t="array" ref="AM188">1+SUMPRODUCT(
  (Contract_Edits[BaseFlag]=1)*
  (TEXT(Contract_Edits[ParentAnchor],"0")=TEXT(Contract_Edits[[#This Row],[ParentAnchor]],"0"))*
  (VALUE(TEXT(Contract_Edits[Index],"0"))&lt;VALUE(TEXT(Contract_Edits[[#This Row],[Index]],"0")))
)</f>
        <v>1</v>
      </c>
      <c r="AN188" s="452"/>
      <c r="AP188" s="193"/>
      <c r="AQ188" s="193"/>
      <c r="BC188" s="34"/>
      <c r="BD188" s="34"/>
      <c r="BE188" s="34"/>
      <c r="BZ188"/>
      <c r="CA188"/>
      <c r="CB188"/>
    </row>
    <row r="189" spans="11:80" ht="15.75" thickBot="1">
      <c r="K189" s="104"/>
      <c r="L189" s="440">
        <v>171</v>
      </c>
      <c r="M189" s="44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79"/>
      <c r="R189" s="50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89" s="179">
        <v>0</v>
      </c>
      <c r="T189" s="468"/>
      <c r="U189" s="491"/>
      <c r="V189" s="193"/>
      <c r="W189" s="22" t="s">
        <v>357</v>
      </c>
      <c r="Y189" s="48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2">
        <f>--(
  ISNUMBER(SEARCH("BASE PARENT", UPPER(CLEAN(TRIM(_xlfn.XLOOKUP(TEXT(Contract_Edits[[#This Row],[Index]],"0"), baseIdxTxt, baseCost, "")))))) +
  ISNUMBER(SEARCH("DEPENDENCY GROUP", UPPER(CLEAN(TRIM(_xlfn.XLOOKUP(TEXT(Contract_Edits[[#This Row],[Index]],"0"), baseIdxTxt, baseCost, ""))))))
)</f>
        <v>0</v>
      </c>
      <c r="AG189" s="502" t="str" cm="1">
        <f t="array" ref="AG189">IF(Contract_Edits[[#This Row],[BaseFlag]]=1,
   10*BaseDepthL(TEXT(Contract_Edits[[#This Row],[Index]],"0"),500,editsIdxTxt,editsParentKeyTxt,baseIdxTxt,baseCost)-5,
   ""
)</f>
        <v/>
      </c>
      <c r="AH189" s="50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2" t="str">
        <f>IF(Contract_Edits[[#This Row],[Dep]]=0,"Root",
   IF(ISNUMBER(MATCH(Contract_Edits[[#This Row],[Dep]],Contract_Edits[Index],0)),"OK","Missing")
)</f>
        <v>Root</v>
      </c>
      <c r="AJ189" s="452" t="e">
        <f>IF(AND(Contract_Edits[[#This Row],[Dep]]&lt;&gt;0,
        ISNUMBER(MATCH(Contract_Edits[[#This Row],[Dep]], Contract_Edits[Index], 0)),
        INDEX(Contract_Edits[Dep], MATCH(Contract_Edits[[#This Row],[Dep]], Contract_Edits[Index], 0))=Contract_Edits[[#This Row],[Index]]),
   "2-cycle","")</f>
        <v>#N/A</v>
      </c>
      <c r="AK189" s="452" cm="1">
        <f t="array" ref="AK189">IF(Contract_Edits[[#This Row],[BaseFlag]]&lt;&gt;1,0,
   IF(TEXT(Contract_Edits[[#This Row],[Dep]],"0")=TEXT(Contract_Edits[[#This Row],[Index]],"0"),
      0,
      MAX(0, SUMPRODUCT(--(Contract_Edits[BaseFlag]=1),
                        --(TEXT(Contract_Edits[Dep],"0")=TEXT(Contract_Edits[[#This Row],[Dep]],"0"))) - 1)
   )
)</f>
        <v>0</v>
      </c>
      <c r="AL189" s="452" t="str" cm="1">
        <f t="array" ref="AL189">IF(Contract_Edits[[#This Row],[BaseFlag]]=1,
   TEXT(Contract_Edits[[#This Row],[Index]],"0"),
   NearestBaseL(TEXT(Contract_Edits[[#This Row],[ParentKey]],"0"),500,editsIdxTxt,editsParentKeyTxt,baseIdxTxt,baseCost)
)</f>
        <v>0</v>
      </c>
      <c r="AM189" s="452" cm="1">
        <f t="array" ref="AM189">1+SUMPRODUCT(
  (Contract_Edits[BaseFlag]=1)*
  (TEXT(Contract_Edits[ParentAnchor],"0")=TEXT(Contract_Edits[[#This Row],[ParentAnchor]],"0"))*
  (VALUE(TEXT(Contract_Edits[Index],"0"))&lt;VALUE(TEXT(Contract_Edits[[#This Row],[Index]],"0")))
)</f>
        <v>1</v>
      </c>
      <c r="AN189" s="452"/>
    </row>
    <row r="190" spans="11:80" ht="16.5" thickTop="1" thickBot="1">
      <c r="K190" s="104"/>
      <c r="L190" s="504">
        <v>119</v>
      </c>
      <c r="M190" s="44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7"/>
      <c r="R190" s="50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0" s="179">
        <v>0</v>
      </c>
      <c r="T190" s="179">
        <v>0</v>
      </c>
      <c r="U190" s="11"/>
      <c r="V190"/>
      <c r="W190" s="22" t="s">
        <v>357</v>
      </c>
      <c r="X190" s="22" t="s">
        <v>603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2">
        <f>--(
  ISNUMBER(SEARCH("BASE PARENT", UPPER(CLEAN(TRIM(_xlfn.XLOOKUP(TEXT(Contract_Edits[[#This Row],[Index]],"0"), baseIdxTxt, baseCost, "")))))) +
  ISNUMBER(SEARCH("DEPENDENCY GROUP", UPPER(CLEAN(TRIM(_xlfn.XLOOKUP(TEXT(Contract_Edits[[#This Row],[Index]],"0"), baseIdxTxt, baseCost, ""))))))
)</f>
        <v>0</v>
      </c>
      <c r="AG190" s="502" t="str" cm="1">
        <f t="array" ref="AG190">IF(Contract_Edits[[#This Row],[BaseFlag]]=1,
   10*BaseDepthL(TEXT(Contract_Edits[[#This Row],[Index]],"0"),500,editsIdxTxt,editsParentKeyTxt,baseIdxTxt,baseCost)-5,
   ""
)</f>
        <v/>
      </c>
      <c r="AH190" s="50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2" t="str">
        <f>IF(Contract_Edits[[#This Row],[Dep]]=0,"Root",
   IF(ISNUMBER(MATCH(Contract_Edits[[#This Row],[Dep]],Contract_Edits[Index],0)),"OK","Missing")
)</f>
        <v>Root</v>
      </c>
      <c r="AJ190" s="452" t="e">
        <f>IF(AND(Contract_Edits[[#This Row],[Dep]]&lt;&gt;0,
        ISNUMBER(MATCH(Contract_Edits[[#This Row],[Dep]], Contract_Edits[Index], 0)),
        INDEX(Contract_Edits[Dep], MATCH(Contract_Edits[[#This Row],[Dep]], Contract_Edits[Index], 0))=Contract_Edits[[#This Row],[Index]]),
   "2-cycle","")</f>
        <v>#N/A</v>
      </c>
      <c r="AK190" s="452" cm="1">
        <f t="array" ref="AK190">IF(Contract_Edits[[#This Row],[BaseFlag]]&lt;&gt;1,0,
   IF(TEXT(Contract_Edits[[#This Row],[Dep]],"0")=TEXT(Contract_Edits[[#This Row],[Index]],"0"),
      0,
      MAX(0, SUMPRODUCT(--(Contract_Edits[BaseFlag]=1),
                        --(TEXT(Contract_Edits[Dep],"0")=TEXT(Contract_Edits[[#This Row],[Dep]],"0"))) - 1)
   )
)</f>
        <v>0</v>
      </c>
      <c r="AL190" s="452" t="str" cm="1">
        <f t="array" ref="AL190">IF(Contract_Edits[[#This Row],[BaseFlag]]=1,
   TEXT(Contract_Edits[[#This Row],[Index]],"0"),
   NearestBaseL(TEXT(Contract_Edits[[#This Row],[ParentKey]],"0"),500,editsIdxTxt,editsParentKeyTxt,baseIdxTxt,baseCost)
)</f>
        <v>0</v>
      </c>
      <c r="AM190" s="452" cm="1">
        <f t="array" ref="AM190">1+SUMPRODUCT(
  (Contract_Edits[BaseFlag]=1)*
  (TEXT(Contract_Edits[ParentAnchor],"0")=TEXT(Contract_Edits[[#This Row],[ParentAnchor]],"0"))*
  (VALUE(TEXT(Contract_Edits[Index],"0"))&lt;VALUE(TEXT(Contract_Edits[[#This Row],[Index]],"0")))
)</f>
        <v>1</v>
      </c>
      <c r="AN190" s="452"/>
    </row>
    <row r="191" spans="11:80" ht="16.5" thickTop="1" thickBot="1">
      <c r="K191" s="104"/>
      <c r="L191" s="504">
        <v>90</v>
      </c>
      <c r="M191" s="44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7"/>
      <c r="R191" s="50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1" s="179">
        <v>0</v>
      </c>
      <c r="T191" s="179">
        <v>0</v>
      </c>
      <c r="U191" s="11"/>
      <c r="V191"/>
      <c r="W191" s="22" t="s">
        <v>357</v>
      </c>
      <c r="X191" s="22" t="s">
        <v>603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2">
        <f>--(
  ISNUMBER(SEARCH("BASE PARENT", UPPER(CLEAN(TRIM(_xlfn.XLOOKUP(TEXT(Contract_Edits[[#This Row],[Index]],"0"), baseIdxTxt, baseCost, "")))))) +
  ISNUMBER(SEARCH("DEPENDENCY GROUP", UPPER(CLEAN(TRIM(_xlfn.XLOOKUP(TEXT(Contract_Edits[[#This Row],[Index]],"0"), baseIdxTxt, baseCost, ""))))))
)</f>
        <v>0</v>
      </c>
      <c r="AG191" s="502" t="str" cm="1">
        <f t="array" ref="AG191">IF(Contract_Edits[[#This Row],[BaseFlag]]=1,
   10*BaseDepthL(TEXT(Contract_Edits[[#This Row],[Index]],"0"),500,editsIdxTxt,editsParentKeyTxt,baseIdxTxt,baseCost)-5,
   ""
)</f>
        <v/>
      </c>
      <c r="AH191" s="50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2" t="str">
        <f>IF(Contract_Edits[[#This Row],[Dep]]=0,"Root",
   IF(ISNUMBER(MATCH(Contract_Edits[[#This Row],[Dep]],Contract_Edits[Index],0)),"OK","Missing")
)</f>
        <v>Root</v>
      </c>
      <c r="AJ191" s="452" t="e">
        <f>IF(AND(Contract_Edits[[#This Row],[Dep]]&lt;&gt;0,
        ISNUMBER(MATCH(Contract_Edits[[#This Row],[Dep]], Contract_Edits[Index], 0)),
        INDEX(Contract_Edits[Dep], MATCH(Contract_Edits[[#This Row],[Dep]], Contract_Edits[Index], 0))=Contract_Edits[[#This Row],[Index]]),
   "2-cycle","")</f>
        <v>#N/A</v>
      </c>
      <c r="AK191" s="452" cm="1">
        <f t="array" ref="AK191">IF(Contract_Edits[[#This Row],[BaseFlag]]&lt;&gt;1,0,
   IF(TEXT(Contract_Edits[[#This Row],[Dep]],"0")=TEXT(Contract_Edits[[#This Row],[Index]],"0"),
      0,
      MAX(0, SUMPRODUCT(--(Contract_Edits[BaseFlag]=1),
                        --(TEXT(Contract_Edits[Dep],"0")=TEXT(Contract_Edits[[#This Row],[Dep]],"0"))) - 1)
   )
)</f>
        <v>0</v>
      </c>
      <c r="AL191" s="452" t="str" cm="1">
        <f t="array" ref="AL191">IF(Contract_Edits[[#This Row],[BaseFlag]]=1,
   TEXT(Contract_Edits[[#This Row],[Index]],"0"),
   NearestBaseL(TEXT(Contract_Edits[[#This Row],[ParentKey]],"0"),500,editsIdxTxt,editsParentKeyTxt,baseIdxTxt,baseCost)
)</f>
        <v>0</v>
      </c>
      <c r="AM191" s="452" cm="1">
        <f t="array" ref="AM191">1+SUMPRODUCT(
  (Contract_Edits[BaseFlag]=1)*
  (TEXT(Contract_Edits[ParentAnchor],"0")=TEXT(Contract_Edits[[#This Row],[ParentAnchor]],"0"))*
  (VALUE(TEXT(Contract_Edits[Index],"0"))&lt;VALUE(TEXT(Contract_Edits[[#This Row],[Index]],"0")))
)</f>
        <v>1</v>
      </c>
      <c r="AN191" s="452"/>
    </row>
    <row r="192" spans="11:80" ht="16.5" thickTop="1" thickBot="1">
      <c r="K192" s="104"/>
      <c r="L192" s="504">
        <v>94</v>
      </c>
      <c r="M192" s="44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7"/>
      <c r="R192" s="50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2" s="179">
        <v>0</v>
      </c>
      <c r="T192" s="179">
        <v>0</v>
      </c>
      <c r="U192" s="11"/>
      <c r="V192"/>
      <c r="W192" s="22" t="s">
        <v>357</v>
      </c>
      <c r="X192" s="22" t="s">
        <v>603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2">
        <f>--(
  ISNUMBER(SEARCH("BASE PARENT", UPPER(CLEAN(TRIM(_xlfn.XLOOKUP(TEXT(Contract_Edits[[#This Row],[Index]],"0"), baseIdxTxt, baseCost, "")))))) +
  ISNUMBER(SEARCH("DEPENDENCY GROUP", UPPER(CLEAN(TRIM(_xlfn.XLOOKUP(TEXT(Contract_Edits[[#This Row],[Index]],"0"), baseIdxTxt, baseCost, ""))))))
)</f>
        <v>0</v>
      </c>
      <c r="AG192" s="502" t="str" cm="1">
        <f t="array" ref="AG192">IF(Contract_Edits[[#This Row],[BaseFlag]]=1,
   10*BaseDepthL(TEXT(Contract_Edits[[#This Row],[Index]],"0"),500,editsIdxTxt,editsParentKeyTxt,baseIdxTxt,baseCost)-5,
   ""
)</f>
        <v/>
      </c>
      <c r="AH192" s="50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2" t="str">
        <f>IF(Contract_Edits[[#This Row],[Dep]]=0,"Root",
   IF(ISNUMBER(MATCH(Contract_Edits[[#This Row],[Dep]],Contract_Edits[Index],0)),"OK","Missing")
)</f>
        <v>Root</v>
      </c>
      <c r="AJ192" s="452" t="e">
        <f>IF(AND(Contract_Edits[[#This Row],[Dep]]&lt;&gt;0,
        ISNUMBER(MATCH(Contract_Edits[[#This Row],[Dep]], Contract_Edits[Index], 0)),
        INDEX(Contract_Edits[Dep], MATCH(Contract_Edits[[#This Row],[Dep]], Contract_Edits[Index], 0))=Contract_Edits[[#This Row],[Index]]),
   "2-cycle","")</f>
        <v>#N/A</v>
      </c>
      <c r="AK192" s="452" cm="1">
        <f t="array" ref="AK192">IF(Contract_Edits[[#This Row],[BaseFlag]]&lt;&gt;1,0,
   IF(TEXT(Contract_Edits[[#This Row],[Dep]],"0")=TEXT(Contract_Edits[[#This Row],[Index]],"0"),
      0,
      MAX(0, SUMPRODUCT(--(Contract_Edits[BaseFlag]=1),
                        --(TEXT(Contract_Edits[Dep],"0")=TEXT(Contract_Edits[[#This Row],[Dep]],"0"))) - 1)
   )
)</f>
        <v>0</v>
      </c>
      <c r="AL192" s="452" t="str" cm="1">
        <f t="array" ref="AL192">IF(Contract_Edits[[#This Row],[BaseFlag]]=1,
   TEXT(Contract_Edits[[#This Row],[Index]],"0"),
   NearestBaseL(TEXT(Contract_Edits[[#This Row],[ParentKey]],"0"),500,editsIdxTxt,editsParentKeyTxt,baseIdxTxt,baseCost)
)</f>
        <v>0</v>
      </c>
      <c r="AM192" s="452" cm="1">
        <f t="array" ref="AM192">1+SUMPRODUCT(
  (Contract_Edits[BaseFlag]=1)*
  (TEXT(Contract_Edits[ParentAnchor],"0")=TEXT(Contract_Edits[[#This Row],[ParentAnchor]],"0"))*
  (VALUE(TEXT(Contract_Edits[Index],"0"))&lt;VALUE(TEXT(Contract_Edits[[#This Row],[Index]],"0")))
)</f>
        <v>1</v>
      </c>
      <c r="AN192" s="452"/>
    </row>
    <row r="193" spans="11:40" ht="16.5" thickTop="1" thickBot="1">
      <c r="K193" s="508"/>
      <c r="L193" s="504">
        <v>87</v>
      </c>
      <c r="M193" s="44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7"/>
      <c r="R193" s="50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3" s="179">
        <v>0</v>
      </c>
      <c r="T193" s="179">
        <v>0</v>
      </c>
      <c r="U193" s="11"/>
      <c r="V193"/>
      <c r="W193" s="22" t="s">
        <v>357</v>
      </c>
      <c r="X193" s="22" t="s">
        <v>603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2">
        <f>--(
  ISNUMBER(SEARCH("BASE PARENT", UPPER(CLEAN(TRIM(_xlfn.XLOOKUP(TEXT(Contract_Edits[[#This Row],[Index]],"0"), baseIdxTxt, baseCost, "")))))) +
  ISNUMBER(SEARCH("DEPENDENCY GROUP", UPPER(CLEAN(TRIM(_xlfn.XLOOKUP(TEXT(Contract_Edits[[#This Row],[Index]],"0"), baseIdxTxt, baseCost, ""))))))
)</f>
        <v>0</v>
      </c>
      <c r="AG193" s="502" t="str" cm="1">
        <f t="array" ref="AG193">IF(Contract_Edits[[#This Row],[BaseFlag]]=1,
   10*BaseDepthL(TEXT(Contract_Edits[[#This Row],[Index]],"0"),500,editsIdxTxt,editsParentKeyTxt,baseIdxTxt,baseCost)-5,
   ""
)</f>
        <v/>
      </c>
      <c r="AH193" s="50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2" t="str">
        <f>IF(Contract_Edits[[#This Row],[Dep]]=0,"Root",
   IF(ISNUMBER(MATCH(Contract_Edits[[#This Row],[Dep]],Contract_Edits[Index],0)),"OK","Missing")
)</f>
        <v>Root</v>
      </c>
      <c r="AJ193" s="452" t="e">
        <f>IF(AND(Contract_Edits[[#This Row],[Dep]]&lt;&gt;0,
        ISNUMBER(MATCH(Contract_Edits[[#This Row],[Dep]], Contract_Edits[Index], 0)),
        INDEX(Contract_Edits[Dep], MATCH(Contract_Edits[[#This Row],[Dep]], Contract_Edits[Index], 0))=Contract_Edits[[#This Row],[Index]]),
   "2-cycle","")</f>
        <v>#N/A</v>
      </c>
      <c r="AK193" s="452" cm="1">
        <f t="array" ref="AK193">IF(Contract_Edits[[#This Row],[BaseFlag]]&lt;&gt;1,0,
   IF(TEXT(Contract_Edits[[#This Row],[Dep]],"0")=TEXT(Contract_Edits[[#This Row],[Index]],"0"),
      0,
      MAX(0, SUMPRODUCT(--(Contract_Edits[BaseFlag]=1),
                        --(TEXT(Contract_Edits[Dep],"0")=TEXT(Contract_Edits[[#This Row],[Dep]],"0"))) - 1)
   )
)</f>
        <v>0</v>
      </c>
      <c r="AL193" s="452" t="str" cm="1">
        <f t="array" ref="AL193">IF(Contract_Edits[[#This Row],[BaseFlag]]=1,
   TEXT(Contract_Edits[[#This Row],[Index]],"0"),
   NearestBaseL(TEXT(Contract_Edits[[#This Row],[ParentKey]],"0"),500,editsIdxTxt,editsParentKeyTxt,baseIdxTxt,baseCost)
)</f>
        <v>0</v>
      </c>
      <c r="AM193" s="452" cm="1">
        <f t="array" ref="AM193">1+SUMPRODUCT(
  (Contract_Edits[BaseFlag]=1)*
  (TEXT(Contract_Edits[ParentAnchor],"0")=TEXT(Contract_Edits[[#This Row],[ParentAnchor]],"0"))*
  (VALUE(TEXT(Contract_Edits[Index],"0"))&lt;VALUE(TEXT(Contract_Edits[[#This Row],[Index]],"0")))
)</f>
        <v>1</v>
      </c>
      <c r="AN193" s="452"/>
    </row>
    <row r="194" spans="11:40" ht="16.5" thickTop="1" thickBot="1">
      <c r="K194" s="104"/>
      <c r="L194" s="504">
        <v>172</v>
      </c>
      <c r="M194" s="44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79"/>
      <c r="R194" s="50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4" s="179">
        <v>0</v>
      </c>
      <c r="T194" s="468"/>
      <c r="U194" s="491"/>
      <c r="V194" s="193"/>
      <c r="W194" s="22" t="s">
        <v>357</v>
      </c>
      <c r="Y194" s="48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2">
        <f>--(
  ISNUMBER(SEARCH("BASE PARENT", UPPER(CLEAN(TRIM(_xlfn.XLOOKUP(TEXT(Contract_Edits[[#This Row],[Index]],"0"), baseIdxTxt, baseCost, "")))))) +
  ISNUMBER(SEARCH("DEPENDENCY GROUP", UPPER(CLEAN(TRIM(_xlfn.XLOOKUP(TEXT(Contract_Edits[[#This Row],[Index]],"0"), baseIdxTxt, baseCost, ""))))))
)</f>
        <v>0</v>
      </c>
      <c r="AG194" s="502" t="str" cm="1">
        <f t="array" ref="AG194">IF(Contract_Edits[[#This Row],[BaseFlag]]=1,
   10*BaseDepthL(TEXT(Contract_Edits[[#This Row],[Index]],"0"),500,editsIdxTxt,editsParentKeyTxt,baseIdxTxt,baseCost)-5,
   ""
)</f>
        <v/>
      </c>
      <c r="AH194" s="50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2" t="str">
        <f>IF(Contract_Edits[[#This Row],[Dep]]=0,"Root",
   IF(ISNUMBER(MATCH(Contract_Edits[[#This Row],[Dep]],Contract_Edits[Index],0)),"OK","Missing")
)</f>
        <v>Root</v>
      </c>
      <c r="AJ194" s="452" t="e">
        <f>IF(AND(Contract_Edits[[#This Row],[Dep]]&lt;&gt;0,
        ISNUMBER(MATCH(Contract_Edits[[#This Row],[Dep]], Contract_Edits[Index], 0)),
        INDEX(Contract_Edits[Dep], MATCH(Contract_Edits[[#This Row],[Dep]], Contract_Edits[Index], 0))=Contract_Edits[[#This Row],[Index]]),
   "2-cycle","")</f>
        <v>#N/A</v>
      </c>
      <c r="AK194" s="452" cm="1">
        <f t="array" ref="AK194">IF(Contract_Edits[[#This Row],[BaseFlag]]&lt;&gt;1,0,
   IF(TEXT(Contract_Edits[[#This Row],[Dep]],"0")=TEXT(Contract_Edits[[#This Row],[Index]],"0"),
      0,
      MAX(0, SUMPRODUCT(--(Contract_Edits[BaseFlag]=1),
                        --(TEXT(Contract_Edits[Dep],"0")=TEXT(Contract_Edits[[#This Row],[Dep]],"0"))) - 1)
   )
)</f>
        <v>0</v>
      </c>
      <c r="AL194" s="452" t="str" cm="1">
        <f t="array" ref="AL194">IF(Contract_Edits[[#This Row],[BaseFlag]]=1,
   TEXT(Contract_Edits[[#This Row],[Index]],"0"),
   NearestBaseL(TEXT(Contract_Edits[[#This Row],[ParentKey]],"0"),500,editsIdxTxt,editsParentKeyTxt,baseIdxTxt,baseCost)
)</f>
        <v>0</v>
      </c>
      <c r="AM194" s="452" cm="1">
        <f t="array" ref="AM194">1+SUMPRODUCT(
  (Contract_Edits[BaseFlag]=1)*
  (TEXT(Contract_Edits[ParentAnchor],"0")=TEXT(Contract_Edits[[#This Row],[ParentAnchor]],"0"))*
  (VALUE(TEXT(Contract_Edits[Index],"0"))&lt;VALUE(TEXT(Contract_Edits[[#This Row],[Index]],"0")))
)</f>
        <v>1</v>
      </c>
      <c r="AN194" s="452"/>
    </row>
    <row r="195" spans="11:40" ht="16.5" thickTop="1" thickBot="1">
      <c r="K195" s="104"/>
      <c r="L195" s="504">
        <v>142</v>
      </c>
      <c r="M195" s="44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79"/>
      <c r="R195" s="50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5" s="179">
        <v>0</v>
      </c>
      <c r="T195" s="468"/>
      <c r="U195" s="491"/>
      <c r="V195" s="193"/>
      <c r="W195" s="22" t="s">
        <v>357</v>
      </c>
      <c r="X195" s="483" t="s">
        <v>603</v>
      </c>
      <c r="Y195" s="48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2">
        <f>--(
  ISNUMBER(SEARCH("BASE PARENT", UPPER(CLEAN(TRIM(_xlfn.XLOOKUP(TEXT(Contract_Edits[[#This Row],[Index]],"0"), baseIdxTxt, baseCost, "")))))) +
  ISNUMBER(SEARCH("DEPENDENCY GROUP", UPPER(CLEAN(TRIM(_xlfn.XLOOKUP(TEXT(Contract_Edits[[#This Row],[Index]],"0"), baseIdxTxt, baseCost, ""))))))
)</f>
        <v>0</v>
      </c>
      <c r="AG195" s="502" t="str" cm="1">
        <f t="array" ref="AG195">IF(Contract_Edits[[#This Row],[BaseFlag]]=1,
   10*BaseDepthL(TEXT(Contract_Edits[[#This Row],[Index]],"0"),500,editsIdxTxt,editsParentKeyTxt,baseIdxTxt,baseCost)-5,
   ""
)</f>
        <v/>
      </c>
      <c r="AH195" s="50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2" t="str">
        <f>IF(Contract_Edits[[#This Row],[Dep]]=0,"Root",
   IF(ISNUMBER(MATCH(Contract_Edits[[#This Row],[Dep]],Contract_Edits[Index],0)),"OK","Missing")
)</f>
        <v>Root</v>
      </c>
      <c r="AJ195" s="452" t="e">
        <f>IF(AND(Contract_Edits[[#This Row],[Dep]]&lt;&gt;0,
        ISNUMBER(MATCH(Contract_Edits[[#This Row],[Dep]], Contract_Edits[Index], 0)),
        INDEX(Contract_Edits[Dep], MATCH(Contract_Edits[[#This Row],[Dep]], Contract_Edits[Index], 0))=Contract_Edits[[#This Row],[Index]]),
   "2-cycle","")</f>
        <v>#N/A</v>
      </c>
      <c r="AK195" s="452" cm="1">
        <f t="array" ref="AK195">IF(Contract_Edits[[#This Row],[BaseFlag]]&lt;&gt;1,0,
   IF(TEXT(Contract_Edits[[#This Row],[Dep]],"0")=TEXT(Contract_Edits[[#This Row],[Index]],"0"),
      0,
      MAX(0, SUMPRODUCT(--(Contract_Edits[BaseFlag]=1),
                        --(TEXT(Contract_Edits[Dep],"0")=TEXT(Contract_Edits[[#This Row],[Dep]],"0"))) - 1)
   )
)</f>
        <v>0</v>
      </c>
      <c r="AL195" s="452" t="str" cm="1">
        <f t="array" ref="AL195">IF(Contract_Edits[[#This Row],[BaseFlag]]=1,
   TEXT(Contract_Edits[[#This Row],[Index]],"0"),
   NearestBaseL(TEXT(Contract_Edits[[#This Row],[ParentKey]],"0"),500,editsIdxTxt,editsParentKeyTxt,baseIdxTxt,baseCost)
)</f>
        <v>0</v>
      </c>
      <c r="AM195" s="452" cm="1">
        <f t="array" ref="AM195">1+SUMPRODUCT(
  (Contract_Edits[BaseFlag]=1)*
  (TEXT(Contract_Edits[ParentAnchor],"0")=TEXT(Contract_Edits[[#This Row],[ParentAnchor]],"0"))*
  (VALUE(TEXT(Contract_Edits[Index],"0"))&lt;VALUE(TEXT(Contract_Edits[[#This Row],[Index]],"0")))
)</f>
        <v>1</v>
      </c>
      <c r="AN195" s="452"/>
    </row>
    <row r="196" spans="11:40" ht="16.5" thickTop="1" thickBot="1">
      <c r="K196" s="104"/>
      <c r="L196" s="504">
        <v>138</v>
      </c>
      <c r="M196" s="44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7"/>
      <c r="R196" s="50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6" s="179">
        <v>0</v>
      </c>
      <c r="T196" s="179">
        <v>0</v>
      </c>
      <c r="U196" s="11"/>
      <c r="V196"/>
      <c r="W196" s="22" t="s">
        <v>357</v>
      </c>
      <c r="X196" s="22" t="s">
        <v>603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2">
        <f>--(
  ISNUMBER(SEARCH("BASE PARENT", UPPER(CLEAN(TRIM(_xlfn.XLOOKUP(TEXT(Contract_Edits[[#This Row],[Index]],"0"), baseIdxTxt, baseCost, "")))))) +
  ISNUMBER(SEARCH("DEPENDENCY GROUP", UPPER(CLEAN(TRIM(_xlfn.XLOOKUP(TEXT(Contract_Edits[[#This Row],[Index]],"0"), baseIdxTxt, baseCost, ""))))))
)</f>
        <v>0</v>
      </c>
      <c r="AG196" s="502" t="str" cm="1">
        <f t="array" ref="AG196">IF(Contract_Edits[[#This Row],[BaseFlag]]=1,
   10*BaseDepthL(TEXT(Contract_Edits[[#This Row],[Index]],"0"),500,editsIdxTxt,editsParentKeyTxt,baseIdxTxt,baseCost)-5,
   ""
)</f>
        <v/>
      </c>
      <c r="AH196" s="50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2" t="str">
        <f>IF(Contract_Edits[[#This Row],[Dep]]=0,"Root",
   IF(ISNUMBER(MATCH(Contract_Edits[[#This Row],[Dep]],Contract_Edits[Index],0)),"OK","Missing")
)</f>
        <v>Root</v>
      </c>
      <c r="AJ196" s="452" t="e">
        <f>IF(AND(Contract_Edits[[#This Row],[Dep]]&lt;&gt;0,
        ISNUMBER(MATCH(Contract_Edits[[#This Row],[Dep]], Contract_Edits[Index], 0)),
        INDEX(Contract_Edits[Dep], MATCH(Contract_Edits[[#This Row],[Dep]], Contract_Edits[Index], 0))=Contract_Edits[[#This Row],[Index]]),
   "2-cycle","")</f>
        <v>#N/A</v>
      </c>
      <c r="AK196" s="452" cm="1">
        <f t="array" ref="AK196">IF(Contract_Edits[[#This Row],[BaseFlag]]&lt;&gt;1,0,
   IF(TEXT(Contract_Edits[[#This Row],[Dep]],"0")=TEXT(Contract_Edits[[#This Row],[Index]],"0"),
      0,
      MAX(0, SUMPRODUCT(--(Contract_Edits[BaseFlag]=1),
                        --(TEXT(Contract_Edits[Dep],"0")=TEXT(Contract_Edits[[#This Row],[Dep]],"0"))) - 1)
   )
)</f>
        <v>0</v>
      </c>
      <c r="AL196" s="452" t="str" cm="1">
        <f t="array" ref="AL196">IF(Contract_Edits[[#This Row],[BaseFlag]]=1,
   TEXT(Contract_Edits[[#This Row],[Index]],"0"),
   NearestBaseL(TEXT(Contract_Edits[[#This Row],[ParentKey]],"0"),500,editsIdxTxt,editsParentKeyTxt,baseIdxTxt,baseCost)
)</f>
        <v>0</v>
      </c>
      <c r="AM196" s="452" cm="1">
        <f t="array" ref="AM196">1+SUMPRODUCT(
  (Contract_Edits[BaseFlag]=1)*
  (TEXT(Contract_Edits[ParentAnchor],"0")=TEXT(Contract_Edits[[#This Row],[ParentAnchor]],"0"))*
  (VALUE(TEXT(Contract_Edits[Index],"0"))&lt;VALUE(TEXT(Contract_Edits[[#This Row],[Index]],"0")))
)</f>
        <v>1</v>
      </c>
      <c r="AN196" s="452"/>
    </row>
    <row r="197" spans="11:40" ht="16.5" thickTop="1" thickBot="1">
      <c r="K197" s="104"/>
      <c r="L197" s="504">
        <v>139</v>
      </c>
      <c r="M197" s="44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7"/>
      <c r="R197" s="50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7" s="179">
        <v>0</v>
      </c>
      <c r="T197" s="179">
        <v>0</v>
      </c>
      <c r="U197" s="11"/>
      <c r="V197"/>
      <c r="W197" s="22" t="s">
        <v>357</v>
      </c>
      <c r="X197" s="22" t="s">
        <v>603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2">
        <f>--(
  ISNUMBER(SEARCH("BASE PARENT", UPPER(CLEAN(TRIM(_xlfn.XLOOKUP(TEXT(Contract_Edits[[#This Row],[Index]],"0"), baseIdxTxt, baseCost, "")))))) +
  ISNUMBER(SEARCH("DEPENDENCY GROUP", UPPER(CLEAN(TRIM(_xlfn.XLOOKUP(TEXT(Contract_Edits[[#This Row],[Index]],"0"), baseIdxTxt, baseCost, ""))))))
)</f>
        <v>0</v>
      </c>
      <c r="AG197" s="502" t="str" cm="1">
        <f t="array" ref="AG197">IF(Contract_Edits[[#This Row],[BaseFlag]]=1,
   10*BaseDepthL(TEXT(Contract_Edits[[#This Row],[Index]],"0"),500,editsIdxTxt,editsParentKeyTxt,baseIdxTxt,baseCost)-5,
   ""
)</f>
        <v/>
      </c>
      <c r="AH197" s="50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2" t="str">
        <f>IF(Contract_Edits[[#This Row],[Dep]]=0,"Root",
   IF(ISNUMBER(MATCH(Contract_Edits[[#This Row],[Dep]],Contract_Edits[Index],0)),"OK","Missing")
)</f>
        <v>Root</v>
      </c>
      <c r="AJ197" s="452" t="e">
        <f>IF(AND(Contract_Edits[[#This Row],[Dep]]&lt;&gt;0,
        ISNUMBER(MATCH(Contract_Edits[[#This Row],[Dep]], Contract_Edits[Index], 0)),
        INDEX(Contract_Edits[Dep], MATCH(Contract_Edits[[#This Row],[Dep]], Contract_Edits[Index], 0))=Contract_Edits[[#This Row],[Index]]),
   "2-cycle","")</f>
        <v>#N/A</v>
      </c>
      <c r="AK197" s="452" cm="1">
        <f t="array" ref="AK197">IF(Contract_Edits[[#This Row],[BaseFlag]]&lt;&gt;1,0,
   IF(TEXT(Contract_Edits[[#This Row],[Dep]],"0")=TEXT(Contract_Edits[[#This Row],[Index]],"0"),
      0,
      MAX(0, SUMPRODUCT(--(Contract_Edits[BaseFlag]=1),
                        --(TEXT(Contract_Edits[Dep],"0")=TEXT(Contract_Edits[[#This Row],[Dep]],"0"))) - 1)
   )
)</f>
        <v>0</v>
      </c>
      <c r="AL197" s="452" t="str" cm="1">
        <f t="array" ref="AL197">IF(Contract_Edits[[#This Row],[BaseFlag]]=1,
   TEXT(Contract_Edits[[#This Row],[Index]],"0"),
   NearestBaseL(TEXT(Contract_Edits[[#This Row],[ParentKey]],"0"),500,editsIdxTxt,editsParentKeyTxt,baseIdxTxt,baseCost)
)</f>
        <v>0</v>
      </c>
      <c r="AM197" s="452" cm="1">
        <f t="array" ref="AM197">1+SUMPRODUCT(
  (Contract_Edits[BaseFlag]=1)*
  (TEXT(Contract_Edits[ParentAnchor],"0")=TEXT(Contract_Edits[[#This Row],[ParentAnchor]],"0"))*
  (VALUE(TEXT(Contract_Edits[Index],"0"))&lt;VALUE(TEXT(Contract_Edits[[#This Row],[Index]],"0")))
)</f>
        <v>1</v>
      </c>
      <c r="AN197" s="452"/>
    </row>
    <row r="198" spans="11:40" ht="16.5" thickTop="1" thickBot="1">
      <c r="K198" s="104"/>
      <c r="L198" s="504">
        <v>140</v>
      </c>
      <c r="M198" s="44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7"/>
      <c r="R198" s="50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8" s="179">
        <v>0</v>
      </c>
      <c r="T198" s="468"/>
      <c r="U198" s="491"/>
      <c r="V198" s="193"/>
      <c r="W198" s="22" t="s">
        <v>357</v>
      </c>
      <c r="X198" s="483" t="s">
        <v>603</v>
      </c>
      <c r="Y198" s="483"/>
      <c r="Z198" s="48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2">
        <f>--(
  ISNUMBER(SEARCH("BASE PARENT", UPPER(CLEAN(TRIM(_xlfn.XLOOKUP(TEXT(Contract_Edits[[#This Row],[Index]],"0"), baseIdxTxt, baseCost, "")))))) +
  ISNUMBER(SEARCH("DEPENDENCY GROUP", UPPER(CLEAN(TRIM(_xlfn.XLOOKUP(TEXT(Contract_Edits[[#This Row],[Index]],"0"), baseIdxTxt, baseCost, ""))))))
)</f>
        <v>0</v>
      </c>
      <c r="AG198" s="502" t="str" cm="1">
        <f t="array" ref="AG198">IF(Contract_Edits[[#This Row],[BaseFlag]]=1,
   10*BaseDepthL(TEXT(Contract_Edits[[#This Row],[Index]],"0"),500,editsIdxTxt,editsParentKeyTxt,baseIdxTxt,baseCost)-5,
   ""
)</f>
        <v/>
      </c>
      <c r="AH198" s="50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2" t="str">
        <f>IF(Contract_Edits[[#This Row],[Dep]]=0,"Root",
   IF(ISNUMBER(MATCH(Contract_Edits[[#This Row],[Dep]],Contract_Edits[Index],0)),"OK","Missing")
)</f>
        <v>Root</v>
      </c>
      <c r="AJ198" s="452" t="e">
        <f>IF(AND(Contract_Edits[[#This Row],[Dep]]&lt;&gt;0,
        ISNUMBER(MATCH(Contract_Edits[[#This Row],[Dep]], Contract_Edits[Index], 0)),
        INDEX(Contract_Edits[Dep], MATCH(Contract_Edits[[#This Row],[Dep]], Contract_Edits[Index], 0))=Contract_Edits[[#This Row],[Index]]),
   "2-cycle","")</f>
        <v>#N/A</v>
      </c>
      <c r="AK198" s="452" cm="1">
        <f t="array" ref="AK198">IF(Contract_Edits[[#This Row],[BaseFlag]]&lt;&gt;1,0,
   IF(TEXT(Contract_Edits[[#This Row],[Dep]],"0")=TEXT(Contract_Edits[[#This Row],[Index]],"0"),
      0,
      MAX(0, SUMPRODUCT(--(Contract_Edits[BaseFlag]=1),
                        --(TEXT(Contract_Edits[Dep],"0")=TEXT(Contract_Edits[[#This Row],[Dep]],"0"))) - 1)
   )
)</f>
        <v>0</v>
      </c>
      <c r="AL198" s="452" t="str" cm="1">
        <f t="array" ref="AL198">IF(Contract_Edits[[#This Row],[BaseFlag]]=1,
   TEXT(Contract_Edits[[#This Row],[Index]],"0"),
   NearestBaseL(TEXT(Contract_Edits[[#This Row],[ParentKey]],"0"),500,editsIdxTxt,editsParentKeyTxt,baseIdxTxt,baseCost)
)</f>
        <v>0</v>
      </c>
      <c r="AM198" s="452" cm="1">
        <f t="array" ref="AM198">1+SUMPRODUCT(
  (Contract_Edits[BaseFlag]=1)*
  (TEXT(Contract_Edits[ParentAnchor],"0")=TEXT(Contract_Edits[[#This Row],[ParentAnchor]],"0"))*
  (VALUE(TEXT(Contract_Edits[Index],"0"))&lt;VALUE(TEXT(Contract_Edits[[#This Row],[Index]],"0")))
)</f>
        <v>1</v>
      </c>
      <c r="AN198" s="452"/>
    </row>
    <row r="199" spans="11:40" ht="16.5" thickTop="1" thickBot="1">
      <c r="K199" s="104"/>
      <c r="L199" s="504">
        <v>127</v>
      </c>
      <c r="M199" s="44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7"/>
      <c r="R199" s="50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199" s="179">
        <v>0</v>
      </c>
      <c r="T199" s="179">
        <v>0</v>
      </c>
      <c r="U199" s="11"/>
      <c r="V199"/>
      <c r="W199" s="22" t="s">
        <v>357</v>
      </c>
      <c r="X199" s="22" t="s">
        <v>603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2">
        <f>--(
  ISNUMBER(SEARCH("BASE PARENT", UPPER(CLEAN(TRIM(_xlfn.XLOOKUP(TEXT(Contract_Edits[[#This Row],[Index]],"0"), baseIdxTxt, baseCost, "")))))) +
  ISNUMBER(SEARCH("DEPENDENCY GROUP", UPPER(CLEAN(TRIM(_xlfn.XLOOKUP(TEXT(Contract_Edits[[#This Row],[Index]],"0"), baseIdxTxt, baseCost, ""))))))
)</f>
        <v>0</v>
      </c>
      <c r="AG199" s="502" t="str" cm="1">
        <f t="array" ref="AG199">IF(Contract_Edits[[#This Row],[BaseFlag]]=1,
   10*BaseDepthL(TEXT(Contract_Edits[[#This Row],[Index]],"0"),500,editsIdxTxt,editsParentKeyTxt,baseIdxTxt,baseCost)-5,
   ""
)</f>
        <v/>
      </c>
      <c r="AH199" s="50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2" t="str">
        <f>IF(Contract_Edits[[#This Row],[Dep]]=0,"Root",
   IF(ISNUMBER(MATCH(Contract_Edits[[#This Row],[Dep]],Contract_Edits[Index],0)),"OK","Missing")
)</f>
        <v>Root</v>
      </c>
      <c r="AJ199" s="452" t="e">
        <f>IF(AND(Contract_Edits[[#This Row],[Dep]]&lt;&gt;0,
        ISNUMBER(MATCH(Contract_Edits[[#This Row],[Dep]], Contract_Edits[Index], 0)),
        INDEX(Contract_Edits[Dep], MATCH(Contract_Edits[[#This Row],[Dep]], Contract_Edits[Index], 0))=Contract_Edits[[#This Row],[Index]]),
   "2-cycle","")</f>
        <v>#N/A</v>
      </c>
      <c r="AK199" s="452" cm="1">
        <f t="array" ref="AK199">IF(Contract_Edits[[#This Row],[BaseFlag]]&lt;&gt;1,0,
   IF(TEXT(Contract_Edits[[#This Row],[Dep]],"0")=TEXT(Contract_Edits[[#This Row],[Index]],"0"),
      0,
      MAX(0, SUMPRODUCT(--(Contract_Edits[BaseFlag]=1),
                        --(TEXT(Contract_Edits[Dep],"0")=TEXT(Contract_Edits[[#This Row],[Dep]],"0"))) - 1)
   )
)</f>
        <v>0</v>
      </c>
      <c r="AL199" s="452" t="str" cm="1">
        <f t="array" ref="AL199">IF(Contract_Edits[[#This Row],[BaseFlag]]=1,
   TEXT(Contract_Edits[[#This Row],[Index]],"0"),
   NearestBaseL(TEXT(Contract_Edits[[#This Row],[ParentKey]],"0"),500,editsIdxTxt,editsParentKeyTxt,baseIdxTxt,baseCost)
)</f>
        <v>0</v>
      </c>
      <c r="AM199" s="452" cm="1">
        <f t="array" ref="AM199">1+SUMPRODUCT(
  (Contract_Edits[BaseFlag]=1)*
  (TEXT(Contract_Edits[ParentAnchor],"0")=TEXT(Contract_Edits[[#This Row],[ParentAnchor]],"0"))*
  (VALUE(TEXT(Contract_Edits[Index],"0"))&lt;VALUE(TEXT(Contract_Edits[[#This Row],[Index]],"0")))
)</f>
        <v>1</v>
      </c>
      <c r="AN199" s="452"/>
    </row>
    <row r="200" spans="11:40" ht="16.5" thickTop="1" thickBot="1">
      <c r="K200" s="104"/>
      <c r="L200" s="504">
        <v>141</v>
      </c>
      <c r="M200" s="44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7"/>
      <c r="R200" s="50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0" s="179">
        <v>0</v>
      </c>
      <c r="T200" s="468"/>
      <c r="U200" s="491"/>
      <c r="V200" s="193"/>
      <c r="W200" s="22" t="s">
        <v>357</v>
      </c>
      <c r="X200" s="483" t="s">
        <v>603</v>
      </c>
      <c r="Y200" s="483"/>
      <c r="Z200" s="48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2">
        <f>--(
  ISNUMBER(SEARCH("BASE PARENT", UPPER(CLEAN(TRIM(_xlfn.XLOOKUP(TEXT(Contract_Edits[[#This Row],[Index]],"0"), baseIdxTxt, baseCost, "")))))) +
  ISNUMBER(SEARCH("DEPENDENCY GROUP", UPPER(CLEAN(TRIM(_xlfn.XLOOKUP(TEXT(Contract_Edits[[#This Row],[Index]],"0"), baseIdxTxt, baseCost, ""))))))
)</f>
        <v>0</v>
      </c>
      <c r="AG200" s="502" t="str" cm="1">
        <f t="array" ref="AG200">IF(Contract_Edits[[#This Row],[BaseFlag]]=1,
   10*BaseDepthL(TEXT(Contract_Edits[[#This Row],[Index]],"0"),500,editsIdxTxt,editsParentKeyTxt,baseIdxTxt,baseCost)-5,
   ""
)</f>
        <v/>
      </c>
      <c r="AH200" s="50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2" t="str">
        <f>IF(Contract_Edits[[#This Row],[Dep]]=0,"Root",
   IF(ISNUMBER(MATCH(Contract_Edits[[#This Row],[Dep]],Contract_Edits[Index],0)),"OK","Missing")
)</f>
        <v>Root</v>
      </c>
      <c r="AJ200" s="452" t="e">
        <f>IF(AND(Contract_Edits[[#This Row],[Dep]]&lt;&gt;0,
        ISNUMBER(MATCH(Contract_Edits[[#This Row],[Dep]], Contract_Edits[Index], 0)),
        INDEX(Contract_Edits[Dep], MATCH(Contract_Edits[[#This Row],[Dep]], Contract_Edits[Index], 0))=Contract_Edits[[#This Row],[Index]]),
   "2-cycle","")</f>
        <v>#N/A</v>
      </c>
      <c r="AK200" s="452" cm="1">
        <f t="array" ref="AK200">IF(Contract_Edits[[#This Row],[BaseFlag]]&lt;&gt;1,0,
   IF(TEXT(Contract_Edits[[#This Row],[Dep]],"0")=TEXT(Contract_Edits[[#This Row],[Index]],"0"),
      0,
      MAX(0, SUMPRODUCT(--(Contract_Edits[BaseFlag]=1),
                        --(TEXT(Contract_Edits[Dep],"0")=TEXT(Contract_Edits[[#This Row],[Dep]],"0"))) - 1)
   )
)</f>
        <v>0</v>
      </c>
      <c r="AL200" s="452" t="str" cm="1">
        <f t="array" ref="AL200">IF(Contract_Edits[[#This Row],[BaseFlag]]=1,
   TEXT(Contract_Edits[[#This Row],[Index]],"0"),
   NearestBaseL(TEXT(Contract_Edits[[#This Row],[ParentKey]],"0"),500,editsIdxTxt,editsParentKeyTxt,baseIdxTxt,baseCost)
)</f>
        <v>0</v>
      </c>
      <c r="AM200" s="452" cm="1">
        <f t="array" ref="AM200">1+SUMPRODUCT(
  (Contract_Edits[BaseFlag]=1)*
  (TEXT(Contract_Edits[ParentAnchor],"0")=TEXT(Contract_Edits[[#This Row],[ParentAnchor]],"0"))*
  (VALUE(TEXT(Contract_Edits[Index],"0"))&lt;VALUE(TEXT(Contract_Edits[[#This Row],[Index]],"0")))
)</f>
        <v>1</v>
      </c>
      <c r="AN200" s="452"/>
    </row>
    <row r="201" spans="11:40" ht="16.5" thickTop="1" thickBot="1">
      <c r="K201" s="104"/>
      <c r="L201" s="504">
        <v>134</v>
      </c>
      <c r="M201" s="44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7"/>
      <c r="R201" s="50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1" s="179">
        <v>0</v>
      </c>
      <c r="T201" s="179">
        <v>0</v>
      </c>
      <c r="U201" s="11"/>
      <c r="V201"/>
      <c r="W201" s="22" t="s">
        <v>357</v>
      </c>
      <c r="X201" s="22" t="s">
        <v>603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2">
        <f>--(
  ISNUMBER(SEARCH("BASE PARENT", UPPER(CLEAN(TRIM(_xlfn.XLOOKUP(TEXT(Contract_Edits[[#This Row],[Index]],"0"), baseIdxTxt, baseCost, "")))))) +
  ISNUMBER(SEARCH("DEPENDENCY GROUP", UPPER(CLEAN(TRIM(_xlfn.XLOOKUP(TEXT(Contract_Edits[[#This Row],[Index]],"0"), baseIdxTxt, baseCost, ""))))))
)</f>
        <v>0</v>
      </c>
      <c r="AG201" s="502" t="str" cm="1">
        <f t="array" ref="AG201">IF(Contract_Edits[[#This Row],[BaseFlag]]=1,
   10*BaseDepthL(TEXT(Contract_Edits[[#This Row],[Index]],"0"),500,editsIdxTxt,editsParentKeyTxt,baseIdxTxt,baseCost)-5,
   ""
)</f>
        <v/>
      </c>
      <c r="AH201" s="50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2" t="str">
        <f>IF(Contract_Edits[[#This Row],[Dep]]=0,"Root",
   IF(ISNUMBER(MATCH(Contract_Edits[[#This Row],[Dep]],Contract_Edits[Index],0)),"OK","Missing")
)</f>
        <v>Root</v>
      </c>
      <c r="AJ201" s="452" t="e">
        <f>IF(AND(Contract_Edits[[#This Row],[Dep]]&lt;&gt;0,
        ISNUMBER(MATCH(Contract_Edits[[#This Row],[Dep]], Contract_Edits[Index], 0)),
        INDEX(Contract_Edits[Dep], MATCH(Contract_Edits[[#This Row],[Dep]], Contract_Edits[Index], 0))=Contract_Edits[[#This Row],[Index]]),
   "2-cycle","")</f>
        <v>#N/A</v>
      </c>
      <c r="AK201" s="452" cm="1">
        <f t="array" ref="AK201">IF(Contract_Edits[[#This Row],[BaseFlag]]&lt;&gt;1,0,
   IF(TEXT(Contract_Edits[[#This Row],[Dep]],"0")=TEXT(Contract_Edits[[#This Row],[Index]],"0"),
      0,
      MAX(0, SUMPRODUCT(--(Contract_Edits[BaseFlag]=1),
                        --(TEXT(Contract_Edits[Dep],"0")=TEXT(Contract_Edits[[#This Row],[Dep]],"0"))) - 1)
   )
)</f>
        <v>0</v>
      </c>
      <c r="AL201" s="452" t="str" cm="1">
        <f t="array" ref="AL201">IF(Contract_Edits[[#This Row],[BaseFlag]]=1,
   TEXT(Contract_Edits[[#This Row],[Index]],"0"),
   NearestBaseL(TEXT(Contract_Edits[[#This Row],[ParentKey]],"0"),500,editsIdxTxt,editsParentKeyTxt,baseIdxTxt,baseCost)
)</f>
        <v>0</v>
      </c>
      <c r="AM201" s="452" cm="1">
        <f t="array" ref="AM201">1+SUMPRODUCT(
  (Contract_Edits[BaseFlag]=1)*
  (TEXT(Contract_Edits[ParentAnchor],"0")=TEXT(Contract_Edits[[#This Row],[ParentAnchor]],"0"))*
  (VALUE(TEXT(Contract_Edits[Index],"0"))&lt;VALUE(TEXT(Contract_Edits[[#This Row],[Index]],"0")))
)</f>
        <v>1</v>
      </c>
      <c r="AN201" s="452"/>
    </row>
    <row r="202" spans="11:40" ht="16.5" thickTop="1" thickBot="1">
      <c r="K202" s="104"/>
      <c r="L202" s="504">
        <v>173</v>
      </c>
      <c r="M202" s="44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79"/>
      <c r="R202" s="50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2" s="179">
        <v>0</v>
      </c>
      <c r="T202" s="468"/>
      <c r="U202" s="491"/>
      <c r="V202" s="193"/>
      <c r="W202" s="22" t="s">
        <v>357</v>
      </c>
      <c r="Y202" s="48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2">
        <f>--(
  ISNUMBER(SEARCH("BASE PARENT", UPPER(CLEAN(TRIM(_xlfn.XLOOKUP(TEXT(Contract_Edits[[#This Row],[Index]],"0"), baseIdxTxt, baseCost, "")))))) +
  ISNUMBER(SEARCH("DEPENDENCY GROUP", UPPER(CLEAN(TRIM(_xlfn.XLOOKUP(TEXT(Contract_Edits[[#This Row],[Index]],"0"), baseIdxTxt, baseCost, ""))))))
)</f>
        <v>0</v>
      </c>
      <c r="AG202" s="502" t="str" cm="1">
        <f t="array" ref="AG202">IF(Contract_Edits[[#This Row],[BaseFlag]]=1,
   10*BaseDepthL(TEXT(Contract_Edits[[#This Row],[Index]],"0"),500,editsIdxTxt,editsParentKeyTxt,baseIdxTxt,baseCost)-5,
   ""
)</f>
        <v/>
      </c>
      <c r="AH202" s="50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2" t="str">
        <f>IF(Contract_Edits[[#This Row],[Dep]]=0,"Root",
   IF(ISNUMBER(MATCH(Contract_Edits[[#This Row],[Dep]],Contract_Edits[Index],0)),"OK","Missing")
)</f>
        <v>Root</v>
      </c>
      <c r="AJ202" s="452" t="e">
        <f>IF(AND(Contract_Edits[[#This Row],[Dep]]&lt;&gt;0,
        ISNUMBER(MATCH(Contract_Edits[[#This Row],[Dep]], Contract_Edits[Index], 0)),
        INDEX(Contract_Edits[Dep], MATCH(Contract_Edits[[#This Row],[Dep]], Contract_Edits[Index], 0))=Contract_Edits[[#This Row],[Index]]),
   "2-cycle","")</f>
        <v>#N/A</v>
      </c>
      <c r="AK202" s="452" cm="1">
        <f t="array" ref="AK202">IF(Contract_Edits[[#This Row],[BaseFlag]]&lt;&gt;1,0,
   IF(TEXT(Contract_Edits[[#This Row],[Dep]],"0")=TEXT(Contract_Edits[[#This Row],[Index]],"0"),
      0,
      MAX(0, SUMPRODUCT(--(Contract_Edits[BaseFlag]=1),
                        --(TEXT(Contract_Edits[Dep],"0")=TEXT(Contract_Edits[[#This Row],[Dep]],"0"))) - 1)
   )
)</f>
        <v>0</v>
      </c>
      <c r="AL202" s="452" t="str" cm="1">
        <f t="array" ref="AL202">IF(Contract_Edits[[#This Row],[BaseFlag]]=1,
   TEXT(Contract_Edits[[#This Row],[Index]],"0"),
   NearestBaseL(TEXT(Contract_Edits[[#This Row],[ParentKey]],"0"),500,editsIdxTxt,editsParentKeyTxt,baseIdxTxt,baseCost)
)</f>
        <v>0</v>
      </c>
      <c r="AM202" s="452" cm="1">
        <f t="array" ref="AM202">1+SUMPRODUCT(
  (Contract_Edits[BaseFlag]=1)*
  (TEXT(Contract_Edits[ParentAnchor],"0")=TEXT(Contract_Edits[[#This Row],[ParentAnchor]],"0"))*
  (VALUE(TEXT(Contract_Edits[Index],"0"))&lt;VALUE(TEXT(Contract_Edits[[#This Row],[Index]],"0")))
)</f>
        <v>1</v>
      </c>
      <c r="AN202" s="452"/>
    </row>
    <row r="203" spans="11:40" ht="16.5" thickTop="1" thickBot="1">
      <c r="K203" s="104"/>
      <c r="L203" s="519">
        <v>174</v>
      </c>
      <c r="M203" s="44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79"/>
      <c r="R203" s="50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3" s="179">
        <v>0</v>
      </c>
      <c r="T203" s="468"/>
      <c r="U203" s="491"/>
      <c r="V203" s="193"/>
      <c r="W203" s="22" t="s">
        <v>357</v>
      </c>
      <c r="X203" s="483" t="s">
        <v>603</v>
      </c>
      <c r="Y203" s="48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2">
        <f>--(
  ISNUMBER(SEARCH("BASE PARENT", UPPER(CLEAN(TRIM(_xlfn.XLOOKUP(TEXT(Contract_Edits[[#This Row],[Index]],"0"), baseIdxTxt, baseCost, "")))))) +
  ISNUMBER(SEARCH("DEPENDENCY GROUP", UPPER(CLEAN(TRIM(_xlfn.XLOOKUP(TEXT(Contract_Edits[[#This Row],[Index]],"0"), baseIdxTxt, baseCost, ""))))))
)</f>
        <v>0</v>
      </c>
      <c r="AG203" s="502" t="str" cm="1">
        <f t="array" ref="AG203">IF(Contract_Edits[[#This Row],[BaseFlag]]=1,
   10*BaseDepthL(TEXT(Contract_Edits[[#This Row],[Index]],"0"),500,editsIdxTxt,editsParentKeyTxt,baseIdxTxt,baseCost)-5,
   ""
)</f>
        <v/>
      </c>
      <c r="AH203" s="50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2" t="str">
        <f>IF(Contract_Edits[[#This Row],[Dep]]=0,"Root",
   IF(ISNUMBER(MATCH(Contract_Edits[[#This Row],[Dep]],Contract_Edits[Index],0)),"OK","Missing")
)</f>
        <v>Root</v>
      </c>
      <c r="AJ203" s="452" t="e">
        <f>IF(AND(Contract_Edits[[#This Row],[Dep]]&lt;&gt;0,
        ISNUMBER(MATCH(Contract_Edits[[#This Row],[Dep]], Contract_Edits[Index], 0)),
        INDEX(Contract_Edits[Dep], MATCH(Contract_Edits[[#This Row],[Dep]], Contract_Edits[Index], 0))=Contract_Edits[[#This Row],[Index]]),
   "2-cycle","")</f>
        <v>#N/A</v>
      </c>
      <c r="AK203" s="452" cm="1">
        <f t="array" ref="AK203">IF(Contract_Edits[[#This Row],[BaseFlag]]&lt;&gt;1,0,
   IF(TEXT(Contract_Edits[[#This Row],[Dep]],"0")=TEXT(Contract_Edits[[#This Row],[Index]],"0"),
      0,
      MAX(0, SUMPRODUCT(--(Contract_Edits[BaseFlag]=1),
                        --(TEXT(Contract_Edits[Dep],"0")=TEXT(Contract_Edits[[#This Row],[Dep]],"0"))) - 1)
   )
)</f>
        <v>0</v>
      </c>
      <c r="AL203" s="452" t="str" cm="1">
        <f t="array" ref="AL203">IF(Contract_Edits[[#This Row],[BaseFlag]]=1,
   TEXT(Contract_Edits[[#This Row],[Index]],"0"),
   NearestBaseL(TEXT(Contract_Edits[[#This Row],[ParentKey]],"0"),500,editsIdxTxt,editsParentKeyTxt,baseIdxTxt,baseCost)
)</f>
        <v>0</v>
      </c>
      <c r="AM203" s="452" cm="1">
        <f t="array" ref="AM203">1+SUMPRODUCT(
  (Contract_Edits[BaseFlag]=1)*
  (TEXT(Contract_Edits[ParentAnchor],"0")=TEXT(Contract_Edits[[#This Row],[ParentAnchor]],"0"))*
  (VALUE(TEXT(Contract_Edits[Index],"0"))&lt;VALUE(TEXT(Contract_Edits[[#This Row],[Index]],"0")))
)</f>
        <v>1</v>
      </c>
      <c r="AN203" s="452"/>
    </row>
    <row r="204" spans="11:40" ht="16.5" thickTop="1" thickBot="1">
      <c r="K204" s="104"/>
      <c r="L204" s="504">
        <v>125</v>
      </c>
      <c r="M204" s="44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7"/>
      <c r="R204" s="50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4" s="179">
        <v>0</v>
      </c>
      <c r="T204" s="179">
        <v>0</v>
      </c>
      <c r="U204" s="11"/>
      <c r="V204"/>
      <c r="W204" s="22" t="s">
        <v>357</v>
      </c>
      <c r="X204" s="22" t="s">
        <v>603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2">
        <f>--(
  ISNUMBER(SEARCH("BASE PARENT", UPPER(CLEAN(TRIM(_xlfn.XLOOKUP(TEXT(Contract_Edits[[#This Row],[Index]],"0"), baseIdxTxt, baseCost, "")))))) +
  ISNUMBER(SEARCH("DEPENDENCY GROUP", UPPER(CLEAN(TRIM(_xlfn.XLOOKUP(TEXT(Contract_Edits[[#This Row],[Index]],"0"), baseIdxTxt, baseCost, ""))))))
)</f>
        <v>0</v>
      </c>
      <c r="AG204" s="502" t="str" cm="1">
        <f t="array" ref="AG204">IF(Contract_Edits[[#This Row],[BaseFlag]]=1,
   10*BaseDepthL(TEXT(Contract_Edits[[#This Row],[Index]],"0"),500,editsIdxTxt,editsParentKeyTxt,baseIdxTxt,baseCost)-5,
   ""
)</f>
        <v/>
      </c>
      <c r="AH204" s="50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2" t="str">
        <f>IF(Contract_Edits[[#This Row],[Dep]]=0,"Root",
   IF(ISNUMBER(MATCH(Contract_Edits[[#This Row],[Dep]],Contract_Edits[Index],0)),"OK","Missing")
)</f>
        <v>Root</v>
      </c>
      <c r="AJ204" s="452" t="e">
        <f>IF(AND(Contract_Edits[[#This Row],[Dep]]&lt;&gt;0,
        ISNUMBER(MATCH(Contract_Edits[[#This Row],[Dep]], Contract_Edits[Index], 0)),
        INDEX(Contract_Edits[Dep], MATCH(Contract_Edits[[#This Row],[Dep]], Contract_Edits[Index], 0))=Contract_Edits[[#This Row],[Index]]),
   "2-cycle","")</f>
        <v>#N/A</v>
      </c>
      <c r="AK204" s="452" cm="1">
        <f t="array" ref="AK204">IF(Contract_Edits[[#This Row],[BaseFlag]]&lt;&gt;1,0,
   IF(TEXT(Contract_Edits[[#This Row],[Dep]],"0")=TEXT(Contract_Edits[[#This Row],[Index]],"0"),
      0,
      MAX(0, SUMPRODUCT(--(Contract_Edits[BaseFlag]=1),
                        --(TEXT(Contract_Edits[Dep],"0")=TEXT(Contract_Edits[[#This Row],[Dep]],"0"))) - 1)
   )
)</f>
        <v>0</v>
      </c>
      <c r="AL204" s="452" t="str" cm="1">
        <f t="array" ref="AL204">IF(Contract_Edits[[#This Row],[BaseFlag]]=1,
   TEXT(Contract_Edits[[#This Row],[Index]],"0"),
   NearestBaseL(TEXT(Contract_Edits[[#This Row],[ParentKey]],"0"),500,editsIdxTxt,editsParentKeyTxt,baseIdxTxt,baseCost)
)</f>
        <v>0</v>
      </c>
      <c r="AM204" s="452" cm="1">
        <f t="array" ref="AM204">1+SUMPRODUCT(
  (Contract_Edits[BaseFlag]=1)*
  (TEXT(Contract_Edits[ParentAnchor],"0")=TEXT(Contract_Edits[[#This Row],[ParentAnchor]],"0"))*
  (VALUE(TEXT(Contract_Edits[Index],"0"))&lt;VALUE(TEXT(Contract_Edits[[#This Row],[Index]],"0")))
)</f>
        <v>1</v>
      </c>
      <c r="AN204" s="452"/>
    </row>
    <row r="205" spans="11:40" ht="16.5" thickTop="1" thickBot="1">
      <c r="K205" s="104"/>
      <c r="L205" s="504">
        <v>97</v>
      </c>
      <c r="M205" s="44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7"/>
      <c r="R205" s="50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5" s="179">
        <v>0</v>
      </c>
      <c r="T205" s="179">
        <v>0</v>
      </c>
      <c r="U205" s="11"/>
      <c r="V205"/>
      <c r="W205" s="22" t="s">
        <v>357</v>
      </c>
      <c r="X205" s="22" t="s">
        <v>603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2">
        <f>--(
  ISNUMBER(SEARCH("BASE PARENT", UPPER(CLEAN(TRIM(_xlfn.XLOOKUP(TEXT(Contract_Edits[[#This Row],[Index]],"0"), baseIdxTxt, baseCost, "")))))) +
  ISNUMBER(SEARCH("DEPENDENCY GROUP", UPPER(CLEAN(TRIM(_xlfn.XLOOKUP(TEXT(Contract_Edits[[#This Row],[Index]],"0"), baseIdxTxt, baseCost, ""))))))
)</f>
        <v>0</v>
      </c>
      <c r="AG205" s="502" t="str" cm="1">
        <f t="array" ref="AG205">IF(Contract_Edits[[#This Row],[BaseFlag]]=1,
   10*BaseDepthL(TEXT(Contract_Edits[[#This Row],[Index]],"0"),500,editsIdxTxt,editsParentKeyTxt,baseIdxTxt,baseCost)-5,
   ""
)</f>
        <v/>
      </c>
      <c r="AH205" s="50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2" t="str">
        <f>IF(Contract_Edits[[#This Row],[Dep]]=0,"Root",
   IF(ISNUMBER(MATCH(Contract_Edits[[#This Row],[Dep]],Contract_Edits[Index],0)),"OK","Missing")
)</f>
        <v>Root</v>
      </c>
      <c r="AJ205" s="452" t="e">
        <f>IF(AND(Contract_Edits[[#This Row],[Dep]]&lt;&gt;0,
        ISNUMBER(MATCH(Contract_Edits[[#This Row],[Dep]], Contract_Edits[Index], 0)),
        INDEX(Contract_Edits[Dep], MATCH(Contract_Edits[[#This Row],[Dep]], Contract_Edits[Index], 0))=Contract_Edits[[#This Row],[Index]]),
   "2-cycle","")</f>
        <v>#N/A</v>
      </c>
      <c r="AK205" s="452" cm="1">
        <f t="array" ref="AK205">IF(Contract_Edits[[#This Row],[BaseFlag]]&lt;&gt;1,0,
   IF(TEXT(Contract_Edits[[#This Row],[Dep]],"0")=TEXT(Contract_Edits[[#This Row],[Index]],"0"),
      0,
      MAX(0, SUMPRODUCT(--(Contract_Edits[BaseFlag]=1),
                        --(TEXT(Contract_Edits[Dep],"0")=TEXT(Contract_Edits[[#This Row],[Dep]],"0"))) - 1)
   )
)</f>
        <v>0</v>
      </c>
      <c r="AL205" s="452" t="str" cm="1">
        <f t="array" ref="AL205">IF(Contract_Edits[[#This Row],[BaseFlag]]=1,
   TEXT(Contract_Edits[[#This Row],[Index]],"0"),
   NearestBaseL(TEXT(Contract_Edits[[#This Row],[ParentKey]],"0"),500,editsIdxTxt,editsParentKeyTxt,baseIdxTxt,baseCost)
)</f>
        <v>0</v>
      </c>
      <c r="AM205" s="452" cm="1">
        <f t="array" ref="AM205">1+SUMPRODUCT(
  (Contract_Edits[BaseFlag]=1)*
  (TEXT(Contract_Edits[ParentAnchor],"0")=TEXT(Contract_Edits[[#This Row],[ParentAnchor]],"0"))*
  (VALUE(TEXT(Contract_Edits[Index],"0"))&lt;VALUE(TEXT(Contract_Edits[[#This Row],[Index]],"0")))
)</f>
        <v>1</v>
      </c>
      <c r="AN205" s="452"/>
    </row>
    <row r="206" spans="11:40" ht="16.5" thickTop="1" thickBot="1">
      <c r="K206" s="104"/>
      <c r="L206" s="504">
        <v>175</v>
      </c>
      <c r="M206" s="44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79"/>
      <c r="R206" s="50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6" s="179">
        <v>0</v>
      </c>
      <c r="T206" s="468"/>
      <c r="U206" s="491"/>
      <c r="V206" s="193"/>
      <c r="W206" s="22" t="s">
        <v>357</v>
      </c>
      <c r="X206" s="483" t="s">
        <v>603</v>
      </c>
      <c r="Y206" s="48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2">
        <f>--(
  ISNUMBER(SEARCH("BASE PARENT", UPPER(CLEAN(TRIM(_xlfn.XLOOKUP(TEXT(Contract_Edits[[#This Row],[Index]],"0"), baseIdxTxt, baseCost, "")))))) +
  ISNUMBER(SEARCH("DEPENDENCY GROUP", UPPER(CLEAN(TRIM(_xlfn.XLOOKUP(TEXT(Contract_Edits[[#This Row],[Index]],"0"), baseIdxTxt, baseCost, ""))))))
)</f>
        <v>0</v>
      </c>
      <c r="AG206" s="502" t="str" cm="1">
        <f t="array" ref="AG206">IF(Contract_Edits[[#This Row],[BaseFlag]]=1,
   10*BaseDepthL(TEXT(Contract_Edits[[#This Row],[Index]],"0"),500,editsIdxTxt,editsParentKeyTxt,baseIdxTxt,baseCost)-5,
   ""
)</f>
        <v/>
      </c>
      <c r="AH206" s="50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2" t="str">
        <f>IF(Contract_Edits[[#This Row],[Dep]]=0,"Root",
   IF(ISNUMBER(MATCH(Contract_Edits[[#This Row],[Dep]],Contract_Edits[Index],0)),"OK","Missing")
)</f>
        <v>Root</v>
      </c>
      <c r="AJ206" s="452" t="e">
        <f>IF(AND(Contract_Edits[[#This Row],[Dep]]&lt;&gt;0,
        ISNUMBER(MATCH(Contract_Edits[[#This Row],[Dep]], Contract_Edits[Index], 0)),
        INDEX(Contract_Edits[Dep], MATCH(Contract_Edits[[#This Row],[Dep]], Contract_Edits[Index], 0))=Contract_Edits[[#This Row],[Index]]),
   "2-cycle","")</f>
        <v>#N/A</v>
      </c>
      <c r="AK206" s="452" cm="1">
        <f t="array" ref="AK206">IF(Contract_Edits[[#This Row],[BaseFlag]]&lt;&gt;1,0,
   IF(TEXT(Contract_Edits[[#This Row],[Dep]],"0")=TEXT(Contract_Edits[[#This Row],[Index]],"0"),
      0,
      MAX(0, SUMPRODUCT(--(Contract_Edits[BaseFlag]=1),
                        --(TEXT(Contract_Edits[Dep],"0")=TEXT(Contract_Edits[[#This Row],[Dep]],"0"))) - 1)
   )
)</f>
        <v>0</v>
      </c>
      <c r="AL206" s="452" t="str" cm="1">
        <f t="array" ref="AL206">IF(Contract_Edits[[#This Row],[BaseFlag]]=1,
   TEXT(Contract_Edits[[#This Row],[Index]],"0"),
   NearestBaseL(TEXT(Contract_Edits[[#This Row],[ParentKey]],"0"),500,editsIdxTxt,editsParentKeyTxt,baseIdxTxt,baseCost)
)</f>
        <v>0</v>
      </c>
      <c r="AM206" s="452" cm="1">
        <f t="array" ref="AM206">1+SUMPRODUCT(
  (Contract_Edits[BaseFlag]=1)*
  (TEXT(Contract_Edits[ParentAnchor],"0")=TEXT(Contract_Edits[[#This Row],[ParentAnchor]],"0"))*
  (VALUE(TEXT(Contract_Edits[Index],"0"))&lt;VALUE(TEXT(Contract_Edits[[#This Row],[Index]],"0")))
)</f>
        <v>1</v>
      </c>
      <c r="AN206" s="452"/>
    </row>
    <row r="207" spans="11:40" ht="16.5" thickTop="1" thickBot="1">
      <c r="K207" s="104"/>
      <c r="L207" s="504">
        <v>133</v>
      </c>
      <c r="M207" s="44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7"/>
      <c r="R207" s="50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7" s="179">
        <v>0</v>
      </c>
      <c r="T207" s="179">
        <v>0</v>
      </c>
      <c r="U207" s="11"/>
      <c r="V207"/>
      <c r="W207" s="22" t="s">
        <v>357</v>
      </c>
      <c r="X207" s="22" t="s">
        <v>603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2">
        <f>--(
  ISNUMBER(SEARCH("BASE PARENT", UPPER(CLEAN(TRIM(_xlfn.XLOOKUP(TEXT(Contract_Edits[[#This Row],[Index]],"0"), baseIdxTxt, baseCost, "")))))) +
  ISNUMBER(SEARCH("DEPENDENCY GROUP", UPPER(CLEAN(TRIM(_xlfn.XLOOKUP(TEXT(Contract_Edits[[#This Row],[Index]],"0"), baseIdxTxt, baseCost, ""))))))
)</f>
        <v>0</v>
      </c>
      <c r="AG207" s="502" t="str" cm="1">
        <f t="array" ref="AG207">IF(Contract_Edits[[#This Row],[BaseFlag]]=1,
   10*BaseDepthL(TEXT(Contract_Edits[[#This Row],[Index]],"0"),500,editsIdxTxt,editsParentKeyTxt,baseIdxTxt,baseCost)-5,
   ""
)</f>
        <v/>
      </c>
      <c r="AH207" s="50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2" t="str">
        <f>IF(Contract_Edits[[#This Row],[Dep]]=0,"Root",
   IF(ISNUMBER(MATCH(Contract_Edits[[#This Row],[Dep]],Contract_Edits[Index],0)),"OK","Missing")
)</f>
        <v>Root</v>
      </c>
      <c r="AJ207" s="452" t="e">
        <f>IF(AND(Contract_Edits[[#This Row],[Dep]]&lt;&gt;0,
        ISNUMBER(MATCH(Contract_Edits[[#This Row],[Dep]], Contract_Edits[Index], 0)),
        INDEX(Contract_Edits[Dep], MATCH(Contract_Edits[[#This Row],[Dep]], Contract_Edits[Index], 0))=Contract_Edits[[#This Row],[Index]]),
   "2-cycle","")</f>
        <v>#N/A</v>
      </c>
      <c r="AK207" s="452" cm="1">
        <f t="array" ref="AK207">IF(Contract_Edits[[#This Row],[BaseFlag]]&lt;&gt;1,0,
   IF(TEXT(Contract_Edits[[#This Row],[Dep]],"0")=TEXT(Contract_Edits[[#This Row],[Index]],"0"),
      0,
      MAX(0, SUMPRODUCT(--(Contract_Edits[BaseFlag]=1),
                        --(TEXT(Contract_Edits[Dep],"0")=TEXT(Contract_Edits[[#This Row],[Dep]],"0"))) - 1)
   )
)</f>
        <v>0</v>
      </c>
      <c r="AL207" s="452" t="str" cm="1">
        <f t="array" ref="AL207">IF(Contract_Edits[[#This Row],[BaseFlag]]=1,
   TEXT(Contract_Edits[[#This Row],[Index]],"0"),
   NearestBaseL(TEXT(Contract_Edits[[#This Row],[ParentKey]],"0"),500,editsIdxTxt,editsParentKeyTxt,baseIdxTxt,baseCost)
)</f>
        <v>0</v>
      </c>
      <c r="AM207" s="452" cm="1">
        <f t="array" ref="AM207">1+SUMPRODUCT(
  (Contract_Edits[BaseFlag]=1)*
  (TEXT(Contract_Edits[ParentAnchor],"0")=TEXT(Contract_Edits[[#This Row],[ParentAnchor]],"0"))*
  (VALUE(TEXT(Contract_Edits[Index],"0"))&lt;VALUE(TEXT(Contract_Edits[[#This Row],[Index]],"0")))
)</f>
        <v>1</v>
      </c>
      <c r="AN207" s="452"/>
    </row>
    <row r="208" spans="11:40" ht="16.5" thickTop="1" thickBot="1">
      <c r="K208" s="104"/>
      <c r="L208" s="504">
        <v>105</v>
      </c>
      <c r="M208" s="44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7"/>
      <c r="R208" s="50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8" s="179">
        <v>0</v>
      </c>
      <c r="T208" s="179">
        <v>0</v>
      </c>
      <c r="U208" s="11"/>
      <c r="V208"/>
      <c r="W208" s="22" t="s">
        <v>357</v>
      </c>
      <c r="X208" s="22" t="s">
        <v>603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2">
        <f>--(
  ISNUMBER(SEARCH("BASE PARENT", UPPER(CLEAN(TRIM(_xlfn.XLOOKUP(TEXT(Contract_Edits[[#This Row],[Index]],"0"), baseIdxTxt, baseCost, "")))))) +
  ISNUMBER(SEARCH("DEPENDENCY GROUP", UPPER(CLEAN(TRIM(_xlfn.XLOOKUP(TEXT(Contract_Edits[[#This Row],[Index]],"0"), baseIdxTxt, baseCost, ""))))))
)</f>
        <v>0</v>
      </c>
      <c r="AG208" s="502" t="str" cm="1">
        <f t="array" ref="AG208">IF(Contract_Edits[[#This Row],[BaseFlag]]=1,
   10*BaseDepthL(TEXT(Contract_Edits[[#This Row],[Index]],"0"),500,editsIdxTxt,editsParentKeyTxt,baseIdxTxt,baseCost)-5,
   ""
)</f>
        <v/>
      </c>
      <c r="AH208" s="50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2" t="str">
        <f>IF(Contract_Edits[[#This Row],[Dep]]=0,"Root",
   IF(ISNUMBER(MATCH(Contract_Edits[[#This Row],[Dep]],Contract_Edits[Index],0)),"OK","Missing")
)</f>
        <v>Root</v>
      </c>
      <c r="AJ208" s="452" t="e">
        <f>IF(AND(Contract_Edits[[#This Row],[Dep]]&lt;&gt;0,
        ISNUMBER(MATCH(Contract_Edits[[#This Row],[Dep]], Contract_Edits[Index], 0)),
        INDEX(Contract_Edits[Dep], MATCH(Contract_Edits[[#This Row],[Dep]], Contract_Edits[Index], 0))=Contract_Edits[[#This Row],[Index]]),
   "2-cycle","")</f>
        <v>#N/A</v>
      </c>
      <c r="AK208" s="452" cm="1">
        <f t="array" ref="AK208">IF(Contract_Edits[[#This Row],[BaseFlag]]&lt;&gt;1,0,
   IF(TEXT(Contract_Edits[[#This Row],[Dep]],"0")=TEXT(Contract_Edits[[#This Row],[Index]],"0"),
      0,
      MAX(0, SUMPRODUCT(--(Contract_Edits[BaseFlag]=1),
                        --(TEXT(Contract_Edits[Dep],"0")=TEXT(Contract_Edits[[#This Row],[Dep]],"0"))) - 1)
   )
)</f>
        <v>0</v>
      </c>
      <c r="AL208" s="452" t="str" cm="1">
        <f t="array" ref="AL208">IF(Contract_Edits[[#This Row],[BaseFlag]]=1,
   TEXT(Contract_Edits[[#This Row],[Index]],"0"),
   NearestBaseL(TEXT(Contract_Edits[[#This Row],[ParentKey]],"0"),500,editsIdxTxt,editsParentKeyTxt,baseIdxTxt,baseCost)
)</f>
        <v>0</v>
      </c>
      <c r="AM208" s="452" cm="1">
        <f t="array" ref="AM208">1+SUMPRODUCT(
  (Contract_Edits[BaseFlag]=1)*
  (TEXT(Contract_Edits[ParentAnchor],"0")=TEXT(Contract_Edits[[#This Row],[ParentAnchor]],"0"))*
  (VALUE(TEXT(Contract_Edits[Index],"0"))&lt;VALUE(TEXT(Contract_Edits[[#This Row],[Index]],"0")))
)</f>
        <v>1</v>
      </c>
      <c r="AN208" s="452"/>
    </row>
    <row r="209" spans="11:80" ht="15.75" thickTop="1">
      <c r="K209" s="104"/>
      <c r="L209" s="505">
        <v>106</v>
      </c>
      <c r="M209" s="44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7"/>
      <c r="R209" s="50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09" s="179">
        <v>0</v>
      </c>
      <c r="T209" s="179">
        <v>0</v>
      </c>
      <c r="U209" s="11"/>
      <c r="V209"/>
      <c r="W209" s="22" t="s">
        <v>357</v>
      </c>
      <c r="X209" s="22" t="s">
        <v>603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2">
        <f>--(
  ISNUMBER(SEARCH("BASE PARENT", UPPER(CLEAN(TRIM(_xlfn.XLOOKUP(TEXT(Contract_Edits[[#This Row],[Index]],"0"), baseIdxTxt, baseCost, "")))))) +
  ISNUMBER(SEARCH("DEPENDENCY GROUP", UPPER(CLEAN(TRIM(_xlfn.XLOOKUP(TEXT(Contract_Edits[[#This Row],[Index]],"0"), baseIdxTxt, baseCost, ""))))))
)</f>
        <v>0</v>
      </c>
      <c r="AG209" s="502" t="str" cm="1">
        <f t="array" ref="AG209">IF(Contract_Edits[[#This Row],[BaseFlag]]=1,
   10*BaseDepthL(TEXT(Contract_Edits[[#This Row],[Index]],"0"),500,editsIdxTxt,editsParentKeyTxt,baseIdxTxt,baseCost)-5,
   ""
)</f>
        <v/>
      </c>
      <c r="AH209" s="50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2" t="str">
        <f>IF(Contract_Edits[[#This Row],[Dep]]=0,"Root",
   IF(ISNUMBER(MATCH(Contract_Edits[[#This Row],[Dep]],Contract_Edits[Index],0)),"OK","Missing")
)</f>
        <v>Root</v>
      </c>
      <c r="AJ209" s="452" t="e">
        <f>IF(AND(Contract_Edits[[#This Row],[Dep]]&lt;&gt;0,
        ISNUMBER(MATCH(Contract_Edits[[#This Row],[Dep]], Contract_Edits[Index], 0)),
        INDEX(Contract_Edits[Dep], MATCH(Contract_Edits[[#This Row],[Dep]], Contract_Edits[Index], 0))=Contract_Edits[[#This Row],[Index]]),
   "2-cycle","")</f>
        <v>#N/A</v>
      </c>
      <c r="AK209" s="452" cm="1">
        <f t="array" ref="AK209">IF(Contract_Edits[[#This Row],[BaseFlag]]&lt;&gt;1,0,
   IF(TEXT(Contract_Edits[[#This Row],[Dep]],"0")=TEXT(Contract_Edits[[#This Row],[Index]],"0"),
      0,
      MAX(0, SUMPRODUCT(--(Contract_Edits[BaseFlag]=1),
                        --(TEXT(Contract_Edits[Dep],"0")=TEXT(Contract_Edits[[#This Row],[Dep]],"0"))) - 1)
   )
)</f>
        <v>0</v>
      </c>
      <c r="AL209" s="452" t="str" cm="1">
        <f t="array" ref="AL209">IF(Contract_Edits[[#This Row],[BaseFlag]]=1,
   TEXT(Contract_Edits[[#This Row],[Index]],"0"),
   NearestBaseL(TEXT(Contract_Edits[[#This Row],[ParentKey]],"0"),500,editsIdxTxt,editsParentKeyTxt,baseIdxTxt,baseCost)
)</f>
        <v>0</v>
      </c>
      <c r="AM209" s="452" cm="1">
        <f t="array" ref="AM209">1+SUMPRODUCT(
  (Contract_Edits[BaseFlag]=1)*
  (TEXT(Contract_Edits[ParentAnchor],"0")=TEXT(Contract_Edits[[#This Row],[ParentAnchor]],"0"))*
  (VALUE(TEXT(Contract_Edits[Index],"0"))&lt;VALUE(TEXT(Contract_Edits[[#This Row],[Index]],"0")))
)</f>
        <v>1</v>
      </c>
      <c r="AN209" s="452"/>
    </row>
    <row r="210" spans="11:80" ht="15">
      <c r="K210" s="104"/>
      <c r="L210" s="440">
        <v>126</v>
      </c>
      <c r="M210" s="44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7"/>
      <c r="R210" s="50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0" s="179">
        <v>0</v>
      </c>
      <c r="T210" s="179">
        <v>0</v>
      </c>
      <c r="U210" s="11"/>
      <c r="V210"/>
      <c r="W210" s="22" t="s">
        <v>357</v>
      </c>
      <c r="X210" s="22" t="s">
        <v>603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2">
        <f>--(
  ISNUMBER(SEARCH("BASE PARENT", UPPER(CLEAN(TRIM(_xlfn.XLOOKUP(TEXT(Contract_Edits[[#This Row],[Index]],"0"), baseIdxTxt, baseCost, "")))))) +
  ISNUMBER(SEARCH("DEPENDENCY GROUP", UPPER(CLEAN(TRIM(_xlfn.XLOOKUP(TEXT(Contract_Edits[[#This Row],[Index]],"0"), baseIdxTxt, baseCost, ""))))))
)</f>
        <v>0</v>
      </c>
      <c r="AG210" s="502" t="str" cm="1">
        <f t="array" ref="AG210">IF(Contract_Edits[[#This Row],[BaseFlag]]=1,
   10*BaseDepthL(TEXT(Contract_Edits[[#This Row],[Index]],"0"),500,editsIdxTxt,editsParentKeyTxt,baseIdxTxt,baseCost)-5,
   ""
)</f>
        <v/>
      </c>
      <c r="AH210" s="50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2" t="str">
        <f>IF(Contract_Edits[[#This Row],[Dep]]=0,"Root",
   IF(ISNUMBER(MATCH(Contract_Edits[[#This Row],[Dep]],Contract_Edits[Index],0)),"OK","Missing")
)</f>
        <v>Root</v>
      </c>
      <c r="AJ210" s="452" t="e">
        <f>IF(AND(Contract_Edits[[#This Row],[Dep]]&lt;&gt;0,
        ISNUMBER(MATCH(Contract_Edits[[#This Row],[Dep]], Contract_Edits[Index], 0)),
        INDEX(Contract_Edits[Dep], MATCH(Contract_Edits[[#This Row],[Dep]], Contract_Edits[Index], 0))=Contract_Edits[[#This Row],[Index]]),
   "2-cycle","")</f>
        <v>#N/A</v>
      </c>
      <c r="AK210" s="452" cm="1">
        <f t="array" ref="AK210">IF(Contract_Edits[[#This Row],[BaseFlag]]&lt;&gt;1,0,
   IF(TEXT(Contract_Edits[[#This Row],[Dep]],"0")=TEXT(Contract_Edits[[#This Row],[Index]],"0"),
      0,
      MAX(0, SUMPRODUCT(--(Contract_Edits[BaseFlag]=1),
                        --(TEXT(Contract_Edits[Dep],"0")=TEXT(Contract_Edits[[#This Row],[Dep]],"0"))) - 1)
   )
)</f>
        <v>0</v>
      </c>
      <c r="AL210" s="452" t="str" cm="1">
        <f t="array" ref="AL210">IF(Contract_Edits[[#This Row],[BaseFlag]]=1,
   TEXT(Contract_Edits[[#This Row],[Index]],"0"),
   NearestBaseL(TEXT(Contract_Edits[[#This Row],[ParentKey]],"0"),500,editsIdxTxt,editsParentKeyTxt,baseIdxTxt,baseCost)
)</f>
        <v>0</v>
      </c>
      <c r="AM210" s="452" cm="1">
        <f t="array" ref="AM210">1+SUMPRODUCT(
  (Contract_Edits[BaseFlag]=1)*
  (TEXT(Contract_Edits[ParentAnchor],"0")=TEXT(Contract_Edits[[#This Row],[ParentAnchor]],"0"))*
  (VALUE(TEXT(Contract_Edits[Index],"0"))&lt;VALUE(TEXT(Contract_Edits[[#This Row],[Index]],"0")))
)</f>
        <v>1</v>
      </c>
      <c r="AN210" s="452"/>
    </row>
    <row r="211" spans="11:80" ht="15">
      <c r="K211" s="104"/>
      <c r="L211" s="440">
        <v>144</v>
      </c>
      <c r="M211" s="44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7"/>
      <c r="R211" s="50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1" s="179">
        <v>0</v>
      </c>
      <c r="T211" s="179">
        <v>0</v>
      </c>
      <c r="U211" s="11"/>
      <c r="V211"/>
      <c r="W211" s="22" t="s">
        <v>357</v>
      </c>
      <c r="X211" s="22" t="s">
        <v>603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2">
        <f>--(
  ISNUMBER(SEARCH("BASE PARENT", UPPER(CLEAN(TRIM(_xlfn.XLOOKUP(TEXT(Contract_Edits[[#This Row],[Index]],"0"), baseIdxTxt, baseCost, "")))))) +
  ISNUMBER(SEARCH("DEPENDENCY GROUP", UPPER(CLEAN(TRIM(_xlfn.XLOOKUP(TEXT(Contract_Edits[[#This Row],[Index]],"0"), baseIdxTxt, baseCost, ""))))))
)</f>
        <v>0</v>
      </c>
      <c r="AG211" s="502" t="str" cm="1">
        <f t="array" ref="AG211">IF(Contract_Edits[[#This Row],[BaseFlag]]=1,
   10*BaseDepthL(TEXT(Contract_Edits[[#This Row],[Index]],"0"),500,editsIdxTxt,editsParentKeyTxt,baseIdxTxt,baseCost)-5,
   ""
)</f>
        <v/>
      </c>
      <c r="AH211" s="50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2" t="str">
        <f>IF(Contract_Edits[[#This Row],[Dep]]=0,"Root",
   IF(ISNUMBER(MATCH(Contract_Edits[[#This Row],[Dep]],Contract_Edits[Index],0)),"OK","Missing")
)</f>
        <v>Root</v>
      </c>
      <c r="AJ211" s="452" t="e">
        <f>IF(AND(Contract_Edits[[#This Row],[Dep]]&lt;&gt;0,
        ISNUMBER(MATCH(Contract_Edits[[#This Row],[Dep]], Contract_Edits[Index], 0)),
        INDEX(Contract_Edits[Dep], MATCH(Contract_Edits[[#This Row],[Dep]], Contract_Edits[Index], 0))=Contract_Edits[[#This Row],[Index]]),
   "2-cycle","")</f>
        <v>#N/A</v>
      </c>
      <c r="AK211" s="452" cm="1">
        <f t="array" ref="AK211">IF(Contract_Edits[[#This Row],[BaseFlag]]&lt;&gt;1,0,
   IF(TEXT(Contract_Edits[[#This Row],[Dep]],"0")=TEXT(Contract_Edits[[#This Row],[Index]],"0"),
      0,
      MAX(0, SUMPRODUCT(--(Contract_Edits[BaseFlag]=1),
                        --(TEXT(Contract_Edits[Dep],"0")=TEXT(Contract_Edits[[#This Row],[Dep]],"0"))) - 1)
   )
)</f>
        <v>0</v>
      </c>
      <c r="AL211" s="452" t="str" cm="1">
        <f t="array" ref="AL211">IF(Contract_Edits[[#This Row],[BaseFlag]]=1,
   TEXT(Contract_Edits[[#This Row],[Index]],"0"),
   NearestBaseL(TEXT(Contract_Edits[[#This Row],[ParentKey]],"0"),500,editsIdxTxt,editsParentKeyTxt,baseIdxTxt,baseCost)
)</f>
        <v>0</v>
      </c>
      <c r="AM211" s="452" cm="1">
        <f t="array" ref="AM211">1+SUMPRODUCT(
  (Contract_Edits[BaseFlag]=1)*
  (TEXT(Contract_Edits[ParentAnchor],"0")=TEXT(Contract_Edits[[#This Row],[ParentAnchor]],"0"))*
  (VALUE(TEXT(Contract_Edits[Index],"0"))&lt;VALUE(TEXT(Contract_Edits[[#This Row],[Index]],"0")))
)</f>
        <v>1</v>
      </c>
      <c r="AN211" s="452"/>
    </row>
    <row r="212" spans="11:80" ht="15">
      <c r="L212" s="440">
        <v>147</v>
      </c>
      <c r="M212" s="44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79"/>
      <c r="R212" s="50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2" s="179">
        <v>0</v>
      </c>
      <c r="T212" s="468"/>
      <c r="U212" s="491"/>
      <c r="V212" s="193"/>
      <c r="W212" s="22" t="s">
        <v>357</v>
      </c>
      <c r="X212" s="483" t="s">
        <v>603</v>
      </c>
      <c r="Y212" s="48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2">
        <f>--(
  ISNUMBER(SEARCH("BASE PARENT", UPPER(CLEAN(TRIM(_xlfn.XLOOKUP(TEXT(Contract_Edits[[#This Row],[Index]],"0"), baseIdxTxt, baseCost, "")))))) +
  ISNUMBER(SEARCH("DEPENDENCY GROUP", UPPER(CLEAN(TRIM(_xlfn.XLOOKUP(TEXT(Contract_Edits[[#This Row],[Index]],"0"), baseIdxTxt, baseCost, ""))))))
)</f>
        <v>0</v>
      </c>
      <c r="AG212" s="502" t="str" cm="1">
        <f t="array" ref="AG212">IF(Contract_Edits[[#This Row],[BaseFlag]]=1,
   10*BaseDepthL(TEXT(Contract_Edits[[#This Row],[Index]],"0"),500,editsIdxTxt,editsParentKeyTxt,baseIdxTxt,baseCost)-5,
   ""
)</f>
        <v/>
      </c>
      <c r="AH212" s="50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2" t="str">
        <f>IF(Contract_Edits[[#This Row],[Dep]]=0,"Root",
   IF(ISNUMBER(MATCH(Contract_Edits[[#This Row],[Dep]],Contract_Edits[Index],0)),"OK","Missing")
)</f>
        <v>Root</v>
      </c>
      <c r="AJ212" s="452" t="e">
        <f>IF(AND(Contract_Edits[[#This Row],[Dep]]&lt;&gt;0,
        ISNUMBER(MATCH(Contract_Edits[[#This Row],[Dep]], Contract_Edits[Index], 0)),
        INDEX(Contract_Edits[Dep], MATCH(Contract_Edits[[#This Row],[Dep]], Contract_Edits[Index], 0))=Contract_Edits[[#This Row],[Index]]),
   "2-cycle","")</f>
        <v>#N/A</v>
      </c>
      <c r="AK212" s="452" cm="1">
        <f t="array" ref="AK212">IF(Contract_Edits[[#This Row],[BaseFlag]]&lt;&gt;1,0,
   IF(TEXT(Contract_Edits[[#This Row],[Dep]],"0")=TEXT(Contract_Edits[[#This Row],[Index]],"0"),
      0,
      MAX(0, SUMPRODUCT(--(Contract_Edits[BaseFlag]=1),
                        --(TEXT(Contract_Edits[Dep],"0")=TEXT(Contract_Edits[[#This Row],[Dep]],"0"))) - 1)
   )
)</f>
        <v>0</v>
      </c>
      <c r="AL212" s="452" t="str" cm="1">
        <f t="array" ref="AL212">IF(Contract_Edits[[#This Row],[BaseFlag]]=1,
   TEXT(Contract_Edits[[#This Row],[Index]],"0"),
   NearestBaseL(TEXT(Contract_Edits[[#This Row],[ParentKey]],"0"),500,editsIdxTxt,editsParentKeyTxt,baseIdxTxt,baseCost)
)</f>
        <v>0</v>
      </c>
      <c r="AM212" s="452" cm="1">
        <f t="array" ref="AM212">1+SUMPRODUCT(
  (Contract_Edits[BaseFlag]=1)*
  (TEXT(Contract_Edits[ParentAnchor],"0")=TEXT(Contract_Edits[[#This Row],[ParentAnchor]],"0"))*
  (VALUE(TEXT(Contract_Edits[Index],"0"))&lt;VALUE(TEXT(Contract_Edits[[#This Row],[Index]],"0")))
)</f>
        <v>1</v>
      </c>
      <c r="AN212" s="452"/>
      <c r="AO212" s="468" t="e" cm="1" vm="1">
        <f t="array" ref="AO212">_xlfn._xlws.FILTER(
   tblContractBase[Index],
   ISNA(MATCH(tblContractBase[Index], Contract_Edits[Index], 0))
)</f>
        <v>#VALUE!</v>
      </c>
      <c r="AP212" s="477" t="str" cm="1">
        <f t="array" ref="AP212">_xlfn.LET(
  _xlpm.bIdx, TEXT(tblContractBase[Index],"0"),
  _xlpm.eIdx, TEXT(Contract_Edits[Index],"0"),
  _xlpm.isBP, ISNUMBER(SEARCH("BASE PARENT", UPPER(tblContractBase[Cost Code]))),
  _xlfn._xlws.FILTER(tblContractBase[Index], _xlpm.isBP*ISNA(MATCH(_xlpm.bIdx, _xlpm.eIdx, 0)), "None")
)</f>
        <v>None</v>
      </c>
      <c r="AQ212" s="477" t="str" cm="1">
        <f t="array" ref="AQ212">_xlfn.LET(
  _xlpm.bIdx, TEXT(tblContractBase[Index],"0"),
  _xlpm.eIdx, TEXT(Contract_Edits[Index],"0"),
  _xlfn._xlws.FILTER(tblContractBase[Index], ISNA(MATCH(_xlpm.bIdx, _xlpm.eIdx, 0)), "None")
)</f>
        <v>None</v>
      </c>
    </row>
    <row r="213" spans="11:80" ht="15">
      <c r="L213" s="440">
        <v>124</v>
      </c>
      <c r="M213" s="44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79"/>
      <c r="R213" s="50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46188</v>
      </c>
      <c r="S213" s="179">
        <v>0</v>
      </c>
      <c r="T213" s="468"/>
      <c r="U213" s="491"/>
      <c r="V213" s="193"/>
      <c r="W213" s="22" t="s">
        <v>357</v>
      </c>
      <c r="X213" s="483" t="s">
        <v>603</v>
      </c>
      <c r="Y213" s="483"/>
      <c r="Z213" s="48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2">
        <f>--(
  ISNUMBER(SEARCH("BASE PARENT", UPPER(CLEAN(TRIM(_xlfn.XLOOKUP(TEXT(Contract_Edits[[#This Row],[Index]],"0"), baseIdxTxt, baseCost, "")))))) +
  ISNUMBER(SEARCH("DEPENDENCY GROUP", UPPER(CLEAN(TRIM(_xlfn.XLOOKUP(TEXT(Contract_Edits[[#This Row],[Index]],"0"), baseIdxTxt, baseCost, ""))))))
)</f>
        <v>0</v>
      </c>
      <c r="AG213" s="502" t="str" cm="1">
        <f t="array" ref="AG213">IF(Contract_Edits[[#This Row],[BaseFlag]]=1,
   10*BaseDepthL(TEXT(Contract_Edits[[#This Row],[Index]],"0"),500,editsIdxTxt,editsParentKeyTxt,baseIdxTxt,baseCost)-5,
   ""
)</f>
        <v/>
      </c>
      <c r="AH213" s="50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2" t="str">
        <f>IF(Contract_Edits[[#This Row],[Dep]]=0,"Root",
   IF(ISNUMBER(MATCH(Contract_Edits[[#This Row],[Dep]],Contract_Edits[Index],0)),"OK","Missing")
)</f>
        <v>Root</v>
      </c>
      <c r="AJ213" s="452" t="e">
        <f>IF(AND(Contract_Edits[[#This Row],[Dep]]&lt;&gt;0,
        ISNUMBER(MATCH(Contract_Edits[[#This Row],[Dep]], Contract_Edits[Index], 0)),
        INDEX(Contract_Edits[Dep], MATCH(Contract_Edits[[#This Row],[Dep]], Contract_Edits[Index], 0))=Contract_Edits[[#This Row],[Index]]),
   "2-cycle","")</f>
        <v>#N/A</v>
      </c>
      <c r="AK213" s="452" cm="1">
        <f t="array" ref="AK213">IF(Contract_Edits[[#This Row],[BaseFlag]]&lt;&gt;1,0,
   IF(TEXT(Contract_Edits[[#This Row],[Dep]],"0")=TEXT(Contract_Edits[[#This Row],[Index]],"0"),
      0,
      MAX(0, SUMPRODUCT(--(Contract_Edits[BaseFlag]=1),
                        --(TEXT(Contract_Edits[Dep],"0")=TEXT(Contract_Edits[[#This Row],[Dep]],"0"))) - 1)
   )
)</f>
        <v>0</v>
      </c>
      <c r="AL213" s="452" t="str" cm="1">
        <f t="array" ref="AL213">IF(Contract_Edits[[#This Row],[BaseFlag]]=1,
   TEXT(Contract_Edits[[#This Row],[Index]],"0"),
   NearestBaseL(TEXT(Contract_Edits[[#This Row],[ParentKey]],"0"),500,editsIdxTxt,editsParentKeyTxt,baseIdxTxt,baseCost)
)</f>
        <v>0</v>
      </c>
      <c r="AM213" s="452" cm="1">
        <f t="array" ref="AM213">1+SUMPRODUCT(
  (Contract_Edits[BaseFlag]=1)*
  (TEXT(Contract_Edits[ParentAnchor],"0")=TEXT(Contract_Edits[[#This Row],[ParentAnchor]],"0"))*
  (VALUE(TEXT(Contract_Edits[Index],"0"))&lt;VALUE(TEXT(Contract_Edits[[#This Row],[Index]],"0")))
)</f>
        <v>1</v>
      </c>
      <c r="AN213" s="452"/>
    </row>
    <row r="214" spans="11:80" ht="15">
      <c r="M214"/>
      <c r="T214" s="34"/>
      <c r="V214" s="193"/>
      <c r="Y214" s="483"/>
      <c r="AD214" s="193"/>
      <c r="AI214" s="34"/>
      <c r="AJ214" s="34"/>
      <c r="AK214" s="34"/>
      <c r="AL214" s="34"/>
      <c r="AM214" s="34"/>
      <c r="AN214" s="34"/>
      <c r="AO214" s="468"/>
    </row>
    <row r="215" spans="11:80" ht="15">
      <c r="AK215" s="468"/>
      <c r="AL215" s="468"/>
      <c r="AM215" s="468"/>
      <c r="AN215" s="468"/>
      <c r="AQ215" s="193"/>
      <c r="BE215" s="34"/>
      <c r="CB215"/>
    </row>
    <row r="216" spans="11:80" ht="15">
      <c r="AK216" s="468"/>
      <c r="AL216" s="468"/>
      <c r="AM216" s="468"/>
      <c r="AN216" s="468"/>
      <c r="AQ216" s="193"/>
      <c r="BE216" s="34"/>
      <c r="CB216"/>
    </row>
    <row r="217" spans="11:80" ht="15">
      <c r="AK217" s="468"/>
      <c r="AL217" s="468"/>
      <c r="AM217" s="468"/>
      <c r="AN217" s="468"/>
      <c r="AQ217" s="193"/>
      <c r="BE217" s="34"/>
      <c r="CB217"/>
    </row>
    <row r="218" spans="11:80" ht="15">
      <c r="AK218" s="468"/>
      <c r="AL218" s="468"/>
      <c r="AM218" s="468"/>
      <c r="AN218" s="468"/>
      <c r="AQ218" s="193"/>
      <c r="BE218" s="34"/>
      <c r="CB218"/>
    </row>
    <row r="219" spans="11:80" ht="15">
      <c r="AK219" s="468"/>
      <c r="AL219" s="468"/>
      <c r="AM219" s="468"/>
      <c r="AN219" s="468"/>
      <c r="AQ219" s="193"/>
      <c r="BE219" s="34"/>
      <c r="CB219"/>
    </row>
    <row r="220" spans="11:80" ht="15">
      <c r="AK220" s="468"/>
      <c r="AL220" s="468"/>
      <c r="AM220" s="468"/>
      <c r="AN220" s="468"/>
      <c r="AQ220" s="193"/>
      <c r="BE220" s="34"/>
      <c r="CB220"/>
    </row>
    <row r="221" spans="11:80" ht="15">
      <c r="AK221" s="468"/>
      <c r="AL221" s="468"/>
      <c r="AM221" s="468"/>
      <c r="AN221" s="468"/>
      <c r="AQ221" s="193"/>
      <c r="BE221" s="34"/>
      <c r="CB221"/>
    </row>
    <row r="222" spans="11:80" ht="15">
      <c r="AK222" s="468"/>
      <c r="AL222" s="468"/>
      <c r="AM222" s="468"/>
      <c r="AN222" s="468"/>
      <c r="AQ222" s="193"/>
      <c r="BE222" s="34"/>
      <c r="CB222"/>
    </row>
    <row r="223" spans="11:80" ht="15">
      <c r="AK223" s="468"/>
      <c r="AL223" s="468"/>
      <c r="AM223" s="468"/>
      <c r="AN223" s="468"/>
      <c r="AQ223" s="193"/>
      <c r="BE223" s="34"/>
      <c r="CB223"/>
    </row>
    <row r="224" spans="11:80" ht="15">
      <c r="AK224" s="468"/>
      <c r="AL224" s="468"/>
      <c r="AM224" s="468"/>
      <c r="AN224" s="468"/>
      <c r="AQ224" s="193"/>
      <c r="BE224" s="34"/>
      <c r="CB224"/>
    </row>
    <row r="225" spans="37:80" ht="15">
      <c r="AK225" s="468"/>
      <c r="AL225" s="468"/>
      <c r="AM225" s="468"/>
      <c r="AN225" s="468"/>
      <c r="AQ225" s="193"/>
      <c r="BE225" s="34"/>
      <c r="CB225"/>
    </row>
    <row r="226" spans="37:80" ht="15">
      <c r="AK226" s="468"/>
      <c r="AL226" s="468"/>
      <c r="AM226" s="468"/>
      <c r="AN226" s="468"/>
      <c r="AQ226" s="193"/>
      <c r="BE226" s="34"/>
      <c r="CB226"/>
    </row>
    <row r="227" spans="37:80" ht="15">
      <c r="AK227" s="468"/>
      <c r="AL227" s="468"/>
      <c r="AM227" s="468"/>
      <c r="AN227" s="468"/>
      <c r="AQ227" s="193"/>
      <c r="BE227" s="34"/>
      <c r="CB227"/>
    </row>
    <row r="228" spans="37:80" ht="15">
      <c r="AK228" s="468"/>
      <c r="AL228" s="468"/>
      <c r="AM228" s="468"/>
      <c r="AN228" s="468"/>
      <c r="AQ228" s="193"/>
      <c r="BE228" s="34"/>
      <c r="CB228"/>
    </row>
    <row r="229" spans="37:80" ht="15">
      <c r="AK229" s="468"/>
      <c r="AL229" s="468"/>
      <c r="AM229" s="468"/>
      <c r="AN229" s="468"/>
      <c r="AQ229" s="193"/>
      <c r="BE229" s="34"/>
      <c r="CB229"/>
    </row>
    <row r="230" spans="37:80" ht="15">
      <c r="AK230" s="468"/>
      <c r="AL230" s="468"/>
      <c r="AM230" s="468"/>
      <c r="AN230" s="468"/>
      <c r="AQ230" s="193"/>
      <c r="BE230" s="34"/>
      <c r="CB230"/>
    </row>
    <row r="231" spans="37:80" ht="15">
      <c r="AK231" s="468"/>
      <c r="AL231" s="468"/>
      <c r="AM231" s="468"/>
      <c r="AN231" s="468"/>
      <c r="AQ231" s="193"/>
      <c r="BE231" s="34"/>
      <c r="CB231"/>
    </row>
    <row r="232" spans="37:80" ht="15">
      <c r="AK232" s="468"/>
      <c r="AL232" s="468"/>
      <c r="AM232" s="468"/>
      <c r="AN232" s="46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09" t="s">
        <v>618</v>
      </c>
    </row>
    <row r="4" spans="2:5">
      <c r="B4" t="str">
        <v>2 - Demolition - Demolition - 19 Base Parent</v>
      </c>
      <c r="E4" s="510"/>
    </row>
    <row r="5" spans="2:5">
      <c r="B5" t="str">
        <v>3 - Excavation - Equipment, Trenching, Bac - 19 Base Parent</v>
      </c>
      <c r="E5" s="511" t="s">
        <v>619</v>
      </c>
    </row>
    <row r="6" spans="2:5">
      <c r="B6" t="str">
        <v>4 - Plumbing - Groundwork - 19 Base Parent</v>
      </c>
      <c r="E6" s="510" t="s">
        <v>620</v>
      </c>
    </row>
    <row r="7" spans="2:5">
      <c r="B7" t="str">
        <v>5 - Concrete - Slabs, driveways, Foundat - 19 Base Parent</v>
      </c>
      <c r="E7" s="510"/>
    </row>
    <row r="8" spans="2:5">
      <c r="B8" t="str">
        <v>6 - Roofing - Repair, Dry-in, Shingles - 19 Base Parent</v>
      </c>
      <c r="E8" s="511" t="s">
        <v>621</v>
      </c>
    </row>
    <row r="9" spans="2:5">
      <c r="B9" t="str">
        <v>7 - Framing - Walls, Floors, etc - 19 Base Parent</v>
      </c>
      <c r="E9" s="510" t="s">
        <v>622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09" t="s">
        <v>623</v>
      </c>
    </row>
    <row r="14" spans="2:5">
      <c r="B14" t="str">
        <v>12 - Insulation - Walls, Roofs, etc - 19 Base Parent</v>
      </c>
      <c r="E14" s="510"/>
    </row>
    <row r="15" spans="2:5">
      <c r="B15" t="str">
        <v>13 - Drywall - sheetrock, tape, mud, san - 19 Base Parent</v>
      </c>
      <c r="E15" s="511" t="s">
        <v>624</v>
      </c>
    </row>
    <row r="16" spans="2:5">
      <c r="B16" t="str">
        <v>14 - Cabinetry - Cabinets,  Shelving - 19 Base Parent</v>
      </c>
      <c r="E16" s="513" t="s">
        <v>625</v>
      </c>
    </row>
    <row r="17" spans="2:5">
      <c r="B17" t="str">
        <v>15 - Installation - Doors &amp; Windows - 19 Base Parent</v>
      </c>
      <c r="E17" s="512"/>
    </row>
    <row r="18" spans="2:5">
      <c r="B18" t="str">
        <v>16 - Trim - Electrical - 19 Base Parent</v>
      </c>
      <c r="E18" s="512" t="s">
        <v>626</v>
      </c>
    </row>
    <row r="19" spans="2:5">
      <c r="B19" t="str">
        <v>17 - Trim - Plumbing - 19 Base Parent</v>
      </c>
    </row>
    <row r="20" spans="2:5">
      <c r="B20" t="str">
        <v>18 - Trim - HVAC - 19 Base Parent</v>
      </c>
      <c r="E20" t="s">
        <v>627</v>
      </c>
    </row>
    <row r="21" spans="2:5">
      <c r="B21" t="str">
        <v>19 - HVAC - Installation - 19 Base Parent</v>
      </c>
    </row>
    <row r="22" spans="2:5" ht="23.25">
      <c r="B22" t="str">
        <v>20 - Flooring - Floor covering - 19 Base Parent</v>
      </c>
      <c r="E22" s="509" t="s">
        <v>628</v>
      </c>
    </row>
    <row r="23" spans="2:5">
      <c r="B23" t="str">
        <v>21 - Siding - Exterior walls - 19 Base Parent</v>
      </c>
      <c r="E23" s="510"/>
    </row>
    <row r="24" spans="2:5">
      <c r="B24" t="str">
        <v>22 - Tile - Backsplash, Shower Enclos - 19 Base Parent</v>
      </c>
      <c r="E24" s="511" t="s">
        <v>629</v>
      </c>
    </row>
    <row r="25" spans="2:5">
      <c r="B25" t="str">
        <v>23 - Paint - Prime, Finish, Trim, bath - 19 Base Parent</v>
      </c>
      <c r="E25" s="512" t="s">
        <v>630</v>
      </c>
    </row>
    <row r="26" spans="2:5">
      <c r="B26" t="str">
        <v>24 - Cabinetry - Template, Install Counter - 19 Base Parent</v>
      </c>
      <c r="E26" s="512"/>
    </row>
    <row r="27" spans="2:5">
      <c r="B27" t="str">
        <v>25 - Final - Final Details to prepare  - 19 Base Parent</v>
      </c>
      <c r="E27" s="512" t="s">
        <v>631</v>
      </c>
    </row>
    <row r="28" spans="2:5">
      <c r="B28" t="str">
        <v>26 - Cleaning - Final - 19 Base Parent</v>
      </c>
    </row>
    <row r="29" spans="2:5">
      <c r="B29" t="str">
        <v>27 - Draws - Deposits, Draws, Contract - 19 Base Parent</v>
      </c>
      <c r="E29" s="511" t="s">
        <v>632</v>
      </c>
    </row>
    <row r="30" spans="2:5">
      <c r="B30" t="str">
        <v>28 - Exterior - Landscaping, Fence, Sod,  - 19 Base Parent</v>
      </c>
      <c r="E30" s="512" t="s">
        <v>633</v>
      </c>
    </row>
    <row r="31" spans="2:5">
      <c r="E31" s="512"/>
    </row>
    <row r="32" spans="2:5">
      <c r="E32" s="512" t="s">
        <v>634</v>
      </c>
    </row>
    <row r="33" spans="5:5">
      <c r="E33" s="512"/>
    </row>
    <row r="34" spans="5:5">
      <c r="E34" s="512" t="s">
        <v>635</v>
      </c>
    </row>
    <row r="36" spans="5:5" ht="23.25">
      <c r="E36" s="509" t="s">
        <v>636</v>
      </c>
    </row>
    <row r="37" spans="5:5">
      <c r="E37" s="510"/>
    </row>
    <row r="38" spans="5:5">
      <c r="E38" s="511" t="s">
        <v>637</v>
      </c>
    </row>
    <row r="39" spans="5:5">
      <c r="E39" s="512" t="s">
        <v>638</v>
      </c>
    </row>
    <row r="40" spans="5:5">
      <c r="E40" s="512"/>
    </row>
    <row r="41" spans="5:5">
      <c r="E41" s="512" t="s">
        <v>639</v>
      </c>
    </row>
    <row r="42" spans="5:5">
      <c r="E42" s="512"/>
    </row>
    <row r="43" spans="5:5">
      <c r="E43" s="512" t="s">
        <v>640</v>
      </c>
    </row>
    <row r="44" spans="5:5">
      <c r="E44" s="512"/>
    </row>
    <row r="45" spans="5:5">
      <c r="E45" s="512" t="s">
        <v>641</v>
      </c>
    </row>
    <row r="46" spans="5:5">
      <c r="E46" s="514" t="s">
        <v>642</v>
      </c>
    </row>
    <row r="47" spans="5:5">
      <c r="E47" s="514"/>
    </row>
    <row r="48" spans="5:5">
      <c r="E48" s="514" t="s">
        <v>643</v>
      </c>
    </row>
    <row r="49" spans="5:5">
      <c r="E49" s="512"/>
    </row>
    <row r="50" spans="5:5">
      <c r="E50" s="512" t="s">
        <v>644</v>
      </c>
    </row>
    <row r="52" spans="5:5" ht="23.25">
      <c r="E52" s="509" t="s">
        <v>645</v>
      </c>
    </row>
    <row r="53" spans="5:5">
      <c r="E53" s="510"/>
    </row>
    <row r="54" spans="5:5">
      <c r="E54" s="511" t="s">
        <v>646</v>
      </c>
    </row>
    <row r="55" spans="5:5">
      <c r="E55" s="512" t="s">
        <v>647</v>
      </c>
    </row>
    <row r="56" spans="5:5">
      <c r="E56" s="512"/>
    </row>
    <row r="57" spans="5:5">
      <c r="E57" s="512" t="s">
        <v>648</v>
      </c>
    </row>
    <row r="59" spans="5:5" ht="23.25">
      <c r="E59" s="509" t="s">
        <v>649</v>
      </c>
    </row>
    <row r="60" spans="5:5">
      <c r="E60" s="510"/>
    </row>
    <row r="61" spans="5:5">
      <c r="E61" s="511" t="s">
        <v>650</v>
      </c>
    </row>
    <row r="62" spans="5:5">
      <c r="E62" s="512" t="s">
        <v>651</v>
      </c>
    </row>
    <row r="63" spans="5:5">
      <c r="E63" s="512"/>
    </row>
    <row r="64" spans="5:5">
      <c r="E64" s="512" t="s">
        <v>652</v>
      </c>
    </row>
    <row r="65" spans="5:5">
      <c r="E65" s="514" t="s">
        <v>653</v>
      </c>
    </row>
    <row r="66" spans="5:5">
      <c r="E66" s="512"/>
    </row>
    <row r="67" spans="5:5">
      <c r="E67" s="512" t="s">
        <v>654</v>
      </c>
    </row>
    <row r="68" spans="5:5">
      <c r="E68" s="514"/>
    </row>
    <row r="69" spans="5:5">
      <c r="E69" s="514" t="s">
        <v>655</v>
      </c>
    </row>
    <row r="70" spans="5:5">
      <c r="E70" s="514"/>
    </row>
    <row r="71" spans="5:5">
      <c r="E71" s="514" t="s">
        <v>656</v>
      </c>
    </row>
    <row r="72" spans="5:5">
      <c r="E72" s="514"/>
    </row>
    <row r="73" spans="5:5">
      <c r="E73" s="514" t="s">
        <v>657</v>
      </c>
    </row>
    <row r="75" spans="5:5" ht="23.25">
      <c r="E75" s="509" t="s">
        <v>658</v>
      </c>
    </row>
    <row r="76" spans="5:5">
      <c r="E76" s="510"/>
    </row>
    <row r="77" spans="5:5">
      <c r="E77" s="510" t="s">
        <v>659</v>
      </c>
    </row>
    <row r="78" spans="5:5">
      <c r="E78" s="510"/>
    </row>
    <row r="79" spans="5:5">
      <c r="E79" s="510" t="s">
        <v>660</v>
      </c>
    </row>
    <row r="82" spans="5:5" ht="23.25">
      <c r="E82" s="509" t="s">
        <v>661</v>
      </c>
    </row>
    <row r="83" spans="5:5">
      <c r="E83" s="510"/>
    </row>
    <row r="84" spans="5:5">
      <c r="E84" s="511" t="s">
        <v>662</v>
      </c>
    </row>
    <row r="85" spans="5:5">
      <c r="E85" s="510"/>
    </row>
    <row r="86" spans="5:5">
      <c r="E86" s="510" t="s">
        <v>663</v>
      </c>
    </row>
    <row r="87" spans="5:5">
      <c r="E87" s="510"/>
    </row>
    <row r="88" spans="5:5">
      <c r="E88" s="510" t="s">
        <v>664</v>
      </c>
    </row>
    <row r="89" spans="5:5">
      <c r="E89" s="510"/>
    </row>
    <row r="90" spans="5:5">
      <c r="E90" s="510" t="s">
        <v>665</v>
      </c>
    </row>
    <row r="91" spans="5:5">
      <c r="E91" s="510"/>
    </row>
    <row r="92" spans="5:5">
      <c r="E92" s="510" t="s">
        <v>666</v>
      </c>
    </row>
    <row r="93" spans="5:5">
      <c r="E93" s="510"/>
    </row>
    <row r="94" spans="5:5">
      <c r="E94" s="511" t="s">
        <v>667</v>
      </c>
    </row>
    <row r="95" spans="5:5">
      <c r="E95" s="510"/>
    </row>
    <row r="96" spans="5:5">
      <c r="E96" s="511" t="s">
        <v>668</v>
      </c>
    </row>
    <row r="97" spans="5:5">
      <c r="E97" s="510"/>
    </row>
    <row r="98" spans="5:5">
      <c r="E98" s="510" t="s">
        <v>669</v>
      </c>
    </row>
    <row r="99" spans="5:5">
      <c r="E99" s="510"/>
    </row>
    <row r="100" spans="5:5">
      <c r="E100" s="510" t="s">
        <v>670</v>
      </c>
    </row>
    <row r="101" spans="5:5">
      <c r="E101" s="510"/>
    </row>
    <row r="102" spans="5:5">
      <c r="E102" s="511" t="s">
        <v>671</v>
      </c>
    </row>
    <row r="103" spans="5:5">
      <c r="E103" s="510"/>
    </row>
    <row r="104" spans="5:5">
      <c r="E104" s="510" t="s">
        <v>672</v>
      </c>
    </row>
    <row r="105" spans="5:5">
      <c r="E105" s="510"/>
    </row>
    <row r="106" spans="5:5">
      <c r="E106" s="510" t="s">
        <v>673</v>
      </c>
    </row>
    <row r="110" spans="5:5" ht="23.25">
      <c r="E110" s="509" t="s">
        <v>674</v>
      </c>
    </row>
    <row r="111" spans="5:5">
      <c r="E111" s="510"/>
    </row>
    <row r="112" spans="5:5">
      <c r="E112" s="511" t="s">
        <v>675</v>
      </c>
    </row>
    <row r="113" spans="5:5">
      <c r="E113" s="510"/>
    </row>
    <row r="114" spans="5:5">
      <c r="E114" s="510" t="s">
        <v>676</v>
      </c>
    </row>
    <row r="118" spans="5:5">
      <c r="E118" t="s">
        <v>677</v>
      </c>
    </row>
    <row r="119" spans="5:5">
      <c r="E119" s="510"/>
    </row>
    <row r="120" spans="5:5">
      <c r="E120" s="511" t="s">
        <v>678</v>
      </c>
    </row>
    <row r="121" spans="5:5">
      <c r="E121" s="510"/>
    </row>
    <row r="122" spans="5:5">
      <c r="E122" s="511" t="s">
        <v>679</v>
      </c>
    </row>
    <row r="123" spans="5:5">
      <c r="E123" s="510"/>
    </row>
    <row r="124" spans="5:5">
      <c r="E124" s="511" t="s">
        <v>680</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426</v>
      </c>
      <c r="B1" s="22" t="s">
        <v>427</v>
      </c>
      <c r="C1" s="22" t="s">
        <v>428</v>
      </c>
      <c r="D1" s="22" t="s">
        <v>429</v>
      </c>
      <c r="E1" s="482" t="s">
        <v>540</v>
      </c>
      <c r="F1" t="s">
        <v>562</v>
      </c>
      <c r="G1" t="s">
        <v>563</v>
      </c>
      <c r="H1" s="481" t="s">
        <v>109</v>
      </c>
      <c r="I1" s="22" t="s">
        <v>530</v>
      </c>
      <c r="J1" s="22" t="s">
        <v>681</v>
      </c>
      <c r="K1" s="22" t="s">
        <v>474</v>
      </c>
      <c r="L1" s="22" t="s">
        <v>682</v>
      </c>
      <c r="M1" s="22" t="s">
        <v>683</v>
      </c>
    </row>
    <row r="2" spans="1:13">
      <c r="A2">
        <v>908</v>
      </c>
      <c r="B2" t="s">
        <v>545</v>
      </c>
      <c r="C2" t="s">
        <v>577</v>
      </c>
      <c r="D2" t="s">
        <v>577</v>
      </c>
      <c r="E2" s="188">
        <v>2615</v>
      </c>
      <c r="F2"/>
      <c r="G2"/>
      <c r="H2" s="480">
        <f ca="1">+'Gnatt Chart'!R24</f>
        <v>46185</v>
      </c>
      <c r="I2">
        <f ca="1">_xlfn.DAYS(qryGnattToDraws[[#This Row],[Date]],$H$2)</f>
        <v>0</v>
      </c>
      <c r="J2" s="531">
        <f>IF(ROW()=2,+qryGnattToDraws[[#This Row],[Price]],+qryGnattToDraws[[#This Row],[Price]]+J1)</f>
        <v>2615</v>
      </c>
      <c r="L2" s="188">
        <f>IF(qryGnattToDraws[[#This Row],[Draws]]&gt;0,+K2*Profit!$B$43/24,0)</f>
        <v>0</v>
      </c>
      <c r="M2" s="188"/>
    </row>
    <row r="3" spans="1:13">
      <c r="A3">
        <v>900</v>
      </c>
      <c r="B3" t="s">
        <v>545</v>
      </c>
      <c r="C3" t="s">
        <v>578</v>
      </c>
      <c r="D3" t="s">
        <v>579</v>
      </c>
      <c r="E3" s="188">
        <v>505</v>
      </c>
      <c r="F3"/>
      <c r="G3"/>
      <c r="H3" s="480">
        <f ca="1">+'Gnatt Chart'!R25</f>
        <v>46188</v>
      </c>
      <c r="I3">
        <f ca="1">_xlfn.DAYS(qryGnattToDraws[[#This Row],[Date]],$H$2)</f>
        <v>3</v>
      </c>
      <c r="J3" s="530">
        <f>IF(ROW()=2,+qryGnattToDraws[[#This Row],[Price]],+qryGnattToDraws[[#This Row],[Price]]+J2)</f>
        <v>3120</v>
      </c>
      <c r="L3" s="188">
        <f>IF(qryGnattToDraws[[#This Row],[Draws]]&gt;0,+K3*Profit!$B$43/24,0)</f>
        <v>0</v>
      </c>
      <c r="M3" s="188">
        <f>+qryGnattToDraws[[#This Row],[Interest]]+M2</f>
        <v>0</v>
      </c>
    </row>
    <row r="4" spans="1:13">
      <c r="A4">
        <v>59</v>
      </c>
      <c r="B4" t="s">
        <v>484</v>
      </c>
      <c r="C4" t="s">
        <v>438</v>
      </c>
      <c r="D4" t="s">
        <v>506</v>
      </c>
      <c r="F4"/>
      <c r="G4"/>
      <c r="H4" s="480">
        <f ca="1">+'Gnatt Chart'!R26</f>
        <v>46188</v>
      </c>
      <c r="I4">
        <f ca="1">_xlfn.DAYS(qryGnattToDraws[[#This Row],[Date]],$H$2)</f>
        <v>3</v>
      </c>
      <c r="J4" s="530">
        <f>IF(ROW()=2,+qryGnattToDraws[[#This Row],[Price]],+qryGnattToDraws[[#This Row],[Price]]+J3)</f>
        <v>3120</v>
      </c>
      <c r="L4" s="188">
        <f>IF(qryGnattToDraws[[#This Row],[Draws]]&gt;0,+K4*Profit!$B$43/24,0)</f>
        <v>0</v>
      </c>
      <c r="M4" s="188">
        <f>+qryGnattToDraws[[#This Row],[Interest]]+M3</f>
        <v>0</v>
      </c>
    </row>
    <row r="5" spans="1:13">
      <c r="A5">
        <v>55</v>
      </c>
      <c r="B5" t="s">
        <v>484</v>
      </c>
      <c r="C5" t="s">
        <v>438</v>
      </c>
      <c r="D5" t="s">
        <v>503</v>
      </c>
      <c r="F5"/>
      <c r="G5"/>
      <c r="H5" s="480">
        <f ca="1">+'Gnatt Chart'!R27</f>
        <v>46188</v>
      </c>
      <c r="I5">
        <f ca="1">_xlfn.DAYS(qryGnattToDraws[[#This Row],[Date]],$H$2)</f>
        <v>3</v>
      </c>
      <c r="J5" s="530">
        <f>IF(ROW()=2,+qryGnattToDraws[[#This Row],[Price]],+qryGnattToDraws[[#This Row],[Price]]+J4)</f>
        <v>3120</v>
      </c>
      <c r="L5" s="188">
        <f>IF(qryGnattToDraws[[#This Row],[Draws]]&gt;0,+K5*Profit!$B$43/24,0)</f>
        <v>0</v>
      </c>
      <c r="M5" s="188">
        <f>+qryGnattToDraws[[#This Row],[Interest]]+M4</f>
        <v>0</v>
      </c>
    </row>
    <row r="6" spans="1:13">
      <c r="A6">
        <v>41</v>
      </c>
      <c r="B6" t="s">
        <v>484</v>
      </c>
      <c r="C6" t="s">
        <v>488</v>
      </c>
      <c r="D6" t="s">
        <v>490</v>
      </c>
      <c r="F6"/>
      <c r="G6"/>
      <c r="H6" s="480">
        <f ca="1">+'Gnatt Chart'!R28</f>
        <v>46188</v>
      </c>
      <c r="I6">
        <f ca="1">_xlfn.DAYS(qryGnattToDraws[[#This Row],[Date]],$H$2)</f>
        <v>3</v>
      </c>
      <c r="J6" s="530">
        <f>IF(ROW()=2,+qryGnattToDraws[[#This Row],[Price]],+qryGnattToDraws[[#This Row],[Price]]+J5)</f>
        <v>3120</v>
      </c>
      <c r="L6" s="188">
        <f>IF(qryGnattToDraws[[#This Row],[Draws]]&gt;0,+K6*Profit!$B$43/24,0)</f>
        <v>0</v>
      </c>
      <c r="M6" s="188">
        <f>+qryGnattToDraws[[#This Row],[Interest]]+M5</f>
        <v>0</v>
      </c>
    </row>
    <row r="7" spans="1:13">
      <c r="A7">
        <v>49</v>
      </c>
      <c r="B7" t="s">
        <v>484</v>
      </c>
      <c r="C7" t="s">
        <v>438</v>
      </c>
      <c r="D7" t="s">
        <v>494</v>
      </c>
      <c r="F7"/>
      <c r="G7"/>
      <c r="H7" s="480">
        <f ca="1">+'Gnatt Chart'!R29</f>
        <v>46188</v>
      </c>
      <c r="I7">
        <f ca="1">_xlfn.DAYS(qryGnattToDraws[[#This Row],[Date]],$H$2)</f>
        <v>3</v>
      </c>
      <c r="J7" s="530">
        <f>IF(ROW()=2,+qryGnattToDraws[[#This Row],[Price]],+qryGnattToDraws[[#This Row],[Price]]+J6)</f>
        <v>3120</v>
      </c>
      <c r="L7" s="188">
        <f>IF(qryGnattToDraws[[#This Row],[Draws]]&gt;0,+K7*Profit!$B$43/24,0)</f>
        <v>0</v>
      </c>
      <c r="M7" s="188">
        <f>+qryGnattToDraws[[#This Row],[Interest]]+M6</f>
        <v>0</v>
      </c>
    </row>
    <row r="8" spans="1:13">
      <c r="A8">
        <v>38</v>
      </c>
      <c r="B8" t="s">
        <v>484</v>
      </c>
      <c r="C8" t="s">
        <v>438</v>
      </c>
      <c r="D8" t="s">
        <v>485</v>
      </c>
      <c r="F8"/>
      <c r="G8"/>
      <c r="H8" s="480">
        <f ca="1">+'Gnatt Chart'!R30</f>
        <v>46188</v>
      </c>
      <c r="I8">
        <f ca="1">_xlfn.DAYS(qryGnattToDraws[[#This Row],[Date]],$H$2)</f>
        <v>3</v>
      </c>
      <c r="J8" s="530">
        <f>IF(ROW()=2,+qryGnattToDraws[[#This Row],[Price]],+qryGnattToDraws[[#This Row],[Price]]+J7)</f>
        <v>3120</v>
      </c>
      <c r="L8" s="188">
        <f>IF(qryGnattToDraws[[#This Row],[Draws]]&gt;0,+K8*Profit!$B$43/24,0)</f>
        <v>0</v>
      </c>
      <c r="M8" s="188">
        <f>+qryGnattToDraws[[#This Row],[Interest]]+M7</f>
        <v>0</v>
      </c>
    </row>
    <row r="9" spans="1:13">
      <c r="A9">
        <v>39</v>
      </c>
      <c r="B9" t="s">
        <v>484</v>
      </c>
      <c r="D9" t="s">
        <v>486</v>
      </c>
      <c r="F9"/>
      <c r="G9"/>
      <c r="H9" s="480">
        <f ca="1">+'Gnatt Chart'!R31</f>
        <v>46188</v>
      </c>
      <c r="I9">
        <f ca="1">_xlfn.DAYS(qryGnattToDraws[[#This Row],[Date]],$H$2)</f>
        <v>3</v>
      </c>
      <c r="J9" s="530">
        <f>IF(ROW()=2,+qryGnattToDraws[[#This Row],[Price]],+qryGnattToDraws[[#This Row],[Price]]+J8)</f>
        <v>3120</v>
      </c>
      <c r="L9" s="188">
        <f>IF(qryGnattToDraws[[#This Row],[Draws]]&gt;0,+K9*Profit!$B$43/24,0)</f>
        <v>0</v>
      </c>
      <c r="M9" s="188">
        <f>+qryGnattToDraws[[#This Row],[Interest]]+M8</f>
        <v>0</v>
      </c>
    </row>
    <row r="10" spans="1:13">
      <c r="A10">
        <v>77</v>
      </c>
      <c r="B10" t="s">
        <v>484</v>
      </c>
      <c r="C10" t="s">
        <v>520</v>
      </c>
      <c r="D10" t="s">
        <v>521</v>
      </c>
      <c r="F10"/>
      <c r="G10"/>
      <c r="H10" s="480">
        <f ca="1">+'Gnatt Chart'!R32</f>
        <v>46188</v>
      </c>
      <c r="I10">
        <f ca="1">_xlfn.DAYS(qryGnattToDraws[[#This Row],[Date]],$H$2)</f>
        <v>3</v>
      </c>
      <c r="J10" s="530">
        <f>IF(ROW()=2,+qryGnattToDraws[[#This Row],[Price]],+qryGnattToDraws[[#This Row],[Price]]+J9)</f>
        <v>3120</v>
      </c>
      <c r="L10" s="188">
        <f>IF(qryGnattToDraws[[#This Row],[Draws]]&gt;0,+K10*Profit!$B$43/24,0)</f>
        <v>0</v>
      </c>
      <c r="M10" s="188">
        <f>+qryGnattToDraws[[#This Row],[Interest]]+M9</f>
        <v>0</v>
      </c>
    </row>
    <row r="11" spans="1:13">
      <c r="A11">
        <v>76</v>
      </c>
      <c r="B11" t="s">
        <v>484</v>
      </c>
      <c r="C11" t="s">
        <v>458</v>
      </c>
      <c r="D11" t="s">
        <v>519</v>
      </c>
      <c r="F11"/>
      <c r="G11"/>
      <c r="H11" s="480">
        <f ca="1">+'Gnatt Chart'!R33</f>
        <v>46188</v>
      </c>
      <c r="I11">
        <f ca="1">_xlfn.DAYS(qryGnattToDraws[[#This Row],[Date]],$H$2)</f>
        <v>3</v>
      </c>
      <c r="J11" s="530">
        <f>IF(ROW()=2,+qryGnattToDraws[[#This Row],[Price]],+qryGnattToDraws[[#This Row],[Price]]+J10)</f>
        <v>3120</v>
      </c>
      <c r="L11" s="188">
        <f>IF(qryGnattToDraws[[#This Row],[Draws]]&gt;0,+K11*Profit!$B$43/24,0)</f>
        <v>0</v>
      </c>
      <c r="M11" s="188">
        <f>+qryGnattToDraws[[#This Row],[Interest]]+M10</f>
        <v>0</v>
      </c>
    </row>
    <row r="12" spans="1:13">
      <c r="A12">
        <v>912</v>
      </c>
      <c r="B12" t="s">
        <v>545</v>
      </c>
      <c r="C12" t="s">
        <v>580</v>
      </c>
      <c r="D12" t="s">
        <v>581</v>
      </c>
      <c r="E12" s="188">
        <v>-310.864125</v>
      </c>
      <c r="F12"/>
      <c r="G12"/>
      <c r="H12" s="480">
        <f ca="1">+'Gnatt Chart'!R34</f>
        <v>46188</v>
      </c>
      <c r="I12">
        <f ca="1">_xlfn.DAYS(qryGnattToDraws[[#This Row],[Date]],$H$2)</f>
        <v>3</v>
      </c>
      <c r="J12" s="530">
        <f>IF(ROW()=2,+qryGnattToDraws[[#This Row],[Price]],+qryGnattToDraws[[#This Row],[Price]]+J11)</f>
        <v>2809.1358749999999</v>
      </c>
      <c r="L12" s="188">
        <f>IF(qryGnattToDraws[[#This Row],[Draws]]&gt;0,+K12*Profit!$B$43/24,0)</f>
        <v>0</v>
      </c>
      <c r="M12" s="188">
        <f>+qryGnattToDraws[[#This Row],[Interest]]+M11</f>
        <v>0</v>
      </c>
    </row>
    <row r="13" spans="1:13">
      <c r="A13">
        <v>51</v>
      </c>
      <c r="B13" t="s">
        <v>487</v>
      </c>
      <c r="C13" t="s">
        <v>495</v>
      </c>
      <c r="D13" t="s">
        <v>497</v>
      </c>
      <c r="F13"/>
      <c r="G13"/>
      <c r="H13" s="480">
        <f ca="1">+'Gnatt Chart'!R35</f>
        <v>46188</v>
      </c>
      <c r="I13">
        <f ca="1">_xlfn.DAYS(qryGnattToDraws[[#This Row],[Date]],$H$2)</f>
        <v>3</v>
      </c>
      <c r="J13" s="530">
        <f>IF(ROW()=2,+qryGnattToDraws[[#This Row],[Price]],+qryGnattToDraws[[#This Row],[Price]]+J12)</f>
        <v>2809.1358749999999</v>
      </c>
      <c r="L13" s="188">
        <f>IF(qryGnattToDraws[[#This Row],[Draws]]&gt;0,+K13*Profit!$B$43/24,0)</f>
        <v>0</v>
      </c>
      <c r="M13" s="188">
        <f>+qryGnattToDraws[[#This Row],[Interest]]+M12</f>
        <v>0</v>
      </c>
    </row>
    <row r="14" spans="1:13">
      <c r="A14">
        <v>56</v>
      </c>
      <c r="B14" t="s">
        <v>501</v>
      </c>
      <c r="C14" t="s">
        <v>504</v>
      </c>
      <c r="D14" t="s">
        <v>505</v>
      </c>
      <c r="F14"/>
      <c r="G14"/>
      <c r="H14" s="480">
        <f ca="1">+'Gnatt Chart'!R36</f>
        <v>46188</v>
      </c>
      <c r="I14">
        <f ca="1">_xlfn.DAYS(qryGnattToDraws[[#This Row],[Date]],$H$2)</f>
        <v>3</v>
      </c>
      <c r="J14" s="530">
        <f>IF(ROW()=2,+qryGnattToDraws[[#This Row],[Price]],+qryGnattToDraws[[#This Row],[Price]]+J13)</f>
        <v>2809.1358749999999</v>
      </c>
      <c r="L14" s="188">
        <f>IF(qryGnattToDraws[[#This Row],[Draws]]&gt;0,+K14*Profit!$B$43/24,0)</f>
        <v>0</v>
      </c>
      <c r="M14" s="188">
        <f>+qryGnattToDraws[[#This Row],[Interest]]+M13</f>
        <v>0</v>
      </c>
    </row>
    <row r="15" spans="1:13">
      <c r="A15">
        <v>54</v>
      </c>
      <c r="B15" t="s">
        <v>501</v>
      </c>
      <c r="D15" t="s">
        <v>502</v>
      </c>
      <c r="F15"/>
      <c r="G15"/>
      <c r="H15" s="480">
        <f ca="1">+'Gnatt Chart'!R37</f>
        <v>46188</v>
      </c>
      <c r="I15">
        <f ca="1">_xlfn.DAYS(qryGnattToDraws[[#This Row],[Date]],$H$2)</f>
        <v>3</v>
      </c>
      <c r="J15" s="530">
        <f>IF(ROW()=2,+qryGnattToDraws[[#This Row],[Price]],+qryGnattToDraws[[#This Row],[Price]]+J14)</f>
        <v>2809.1358749999999</v>
      </c>
      <c r="L15" s="188">
        <f>IF(qryGnattToDraws[[#This Row],[Draws]]&gt;0,+K15*Profit!$B$43/24,0)</f>
        <v>0</v>
      </c>
      <c r="M15" s="188">
        <f>+qryGnattToDraws[[#This Row],[Interest]]+M14</f>
        <v>0</v>
      </c>
    </row>
    <row r="16" spans="1:13">
      <c r="A16">
        <v>80</v>
      </c>
      <c r="B16" t="s">
        <v>458</v>
      </c>
      <c r="C16" t="s">
        <v>522</v>
      </c>
      <c r="D16" t="s">
        <v>1168</v>
      </c>
      <c r="E16" s="188">
        <v>125</v>
      </c>
      <c r="F16"/>
      <c r="G16"/>
      <c r="H16" s="480">
        <f ca="1">+'Gnatt Chart'!R38</f>
        <v>46188</v>
      </c>
      <c r="I16">
        <f ca="1">_xlfn.DAYS(qryGnattToDraws[[#This Row],[Date]],$H$2)</f>
        <v>3</v>
      </c>
      <c r="J16" s="530">
        <f>IF(ROW()=2,+qryGnattToDraws[[#This Row],[Price]],+qryGnattToDraws[[#This Row],[Price]]+J15)</f>
        <v>2934.1358749999999</v>
      </c>
      <c r="K16" s="188"/>
      <c r="L16" s="188">
        <f>IF(qryGnattToDraws[[#This Row],[Draws]]&gt;0,+K16*Profit!$B$43/24,0)</f>
        <v>0</v>
      </c>
      <c r="M16" s="188">
        <f>+qryGnattToDraws[[#This Row],[Interest]]+M15</f>
        <v>0</v>
      </c>
    </row>
    <row r="17" spans="1:13">
      <c r="A17">
        <v>904</v>
      </c>
      <c r="B17" t="s">
        <v>545</v>
      </c>
      <c r="C17" t="s">
        <v>582</v>
      </c>
      <c r="D17" t="s">
        <v>583</v>
      </c>
      <c r="E17" s="188">
        <v>6726.5870099999993</v>
      </c>
      <c r="F17"/>
      <c r="G17"/>
      <c r="H17" s="480">
        <f ca="1">+'Gnatt Chart'!R39</f>
        <v>46188</v>
      </c>
      <c r="I17">
        <f ca="1">_xlfn.DAYS(qryGnattToDraws[[#This Row],[Date]],$H$2)</f>
        <v>3</v>
      </c>
      <c r="J17" s="530">
        <f>IF(ROW()=2,+qryGnattToDraws[[#This Row],[Price]],+qryGnattToDraws[[#This Row],[Price]]+J16)</f>
        <v>9660.7228849999992</v>
      </c>
      <c r="K17" s="188"/>
      <c r="L17" s="188">
        <f>IF(qryGnattToDraws[[#This Row],[Draws]]&gt;0,+K17*Profit!$B$43/24,0)</f>
        <v>0</v>
      </c>
      <c r="M17" s="188">
        <f>+qryGnattToDraws[[#This Row],[Interest]]+M16</f>
        <v>0</v>
      </c>
    </row>
    <row r="18" spans="1:13">
      <c r="A18">
        <v>34</v>
      </c>
      <c r="B18" t="s">
        <v>458</v>
      </c>
      <c r="C18" t="s">
        <v>458</v>
      </c>
      <c r="D18" t="s">
        <v>483</v>
      </c>
      <c r="F18"/>
      <c r="G18"/>
      <c r="H18" s="480">
        <f ca="1">+'Gnatt Chart'!R40</f>
        <v>46188</v>
      </c>
      <c r="I18">
        <f ca="1">_xlfn.DAYS(qryGnattToDraws[[#This Row],[Date]],$H$2)</f>
        <v>3</v>
      </c>
      <c r="J18" s="530">
        <f>IF(ROW()=2,+qryGnattToDraws[[#This Row],[Price]],+qryGnattToDraws[[#This Row],[Price]]+J17)</f>
        <v>9660.7228849999992</v>
      </c>
      <c r="K18" s="188"/>
      <c r="L18" s="188">
        <f>IF(qryGnattToDraws[[#This Row],[Draws]]&gt;0,+K18*Profit!$B$43/24,0)</f>
        <v>0</v>
      </c>
      <c r="M18" s="188">
        <f>+qryGnattToDraws[[#This Row],[Interest]]+M17</f>
        <v>0</v>
      </c>
    </row>
    <row r="19" spans="1:13">
      <c r="A19">
        <v>32</v>
      </c>
      <c r="B19" t="s">
        <v>458</v>
      </c>
      <c r="C19" t="s">
        <v>458</v>
      </c>
      <c r="D19" t="s">
        <v>481</v>
      </c>
      <c r="F19"/>
      <c r="G19"/>
      <c r="H19" s="480">
        <f ca="1">+'Gnatt Chart'!R41</f>
        <v>46188</v>
      </c>
      <c r="I19">
        <f ca="1">_xlfn.DAYS(qryGnattToDraws[[#This Row],[Date]],$H$2)</f>
        <v>3</v>
      </c>
      <c r="J19" s="530">
        <f>IF(ROW()=2,+qryGnattToDraws[[#This Row],[Price]],+qryGnattToDraws[[#This Row],[Price]]+J18)</f>
        <v>9660.7228849999992</v>
      </c>
      <c r="L19" s="188">
        <f>IF(qryGnattToDraws[[#This Row],[Draws]]&gt;0,+K19*Profit!$B$43/24,0)</f>
        <v>0</v>
      </c>
      <c r="M19" s="188">
        <f>+qryGnattToDraws[[#This Row],[Interest]]+M18</f>
        <v>0</v>
      </c>
    </row>
    <row r="20" spans="1:13">
      <c r="A20">
        <v>33</v>
      </c>
      <c r="B20" t="s">
        <v>458</v>
      </c>
      <c r="C20" t="s">
        <v>458</v>
      </c>
      <c r="D20" t="s">
        <v>482</v>
      </c>
      <c r="F20"/>
      <c r="G20"/>
      <c r="H20" s="480">
        <f ca="1">+'Gnatt Chart'!R42</f>
        <v>46188</v>
      </c>
      <c r="I20">
        <f ca="1">_xlfn.DAYS(qryGnattToDraws[[#This Row],[Date]],$H$2)</f>
        <v>3</v>
      </c>
      <c r="J20" s="530">
        <f>IF(ROW()=2,+qryGnattToDraws[[#This Row],[Price]],+qryGnattToDraws[[#This Row],[Price]]+J19)</f>
        <v>9660.7228849999992</v>
      </c>
      <c r="L20" s="188">
        <f>IF(qryGnattToDraws[[#This Row],[Draws]]&gt;0,+K20*Profit!$B$43/24,0)</f>
        <v>0</v>
      </c>
      <c r="M20" s="188">
        <f>+qryGnattToDraws[[#This Row],[Interest]]+M19</f>
        <v>0</v>
      </c>
    </row>
    <row r="21" spans="1:13">
      <c r="A21">
        <v>61</v>
      </c>
      <c r="B21" t="s">
        <v>458</v>
      </c>
      <c r="C21" t="s">
        <v>458</v>
      </c>
      <c r="D21" t="s">
        <v>508</v>
      </c>
      <c r="F21"/>
      <c r="G21"/>
      <c r="H21" s="480">
        <f ca="1">+'Gnatt Chart'!R43</f>
        <v>46188</v>
      </c>
      <c r="I21">
        <f ca="1">_xlfn.DAYS(qryGnattToDraws[[#This Row],[Date]],$H$2)</f>
        <v>3</v>
      </c>
      <c r="J21" s="530">
        <f>IF(ROW()=2,+qryGnattToDraws[[#This Row],[Price]],+qryGnattToDraws[[#This Row],[Price]]+J20)</f>
        <v>9660.7228849999992</v>
      </c>
      <c r="K21" s="188"/>
      <c r="L21" s="188">
        <f>IF(qryGnattToDraws[[#This Row],[Draws]]&gt;0,+K21*Profit!$B$43/24,0)</f>
        <v>0</v>
      </c>
      <c r="M21" s="188">
        <f>+qryGnattToDraws[[#This Row],[Interest]]+M20</f>
        <v>0</v>
      </c>
    </row>
    <row r="22" spans="1:13">
      <c r="A22">
        <v>79</v>
      </c>
      <c r="B22" t="s">
        <v>458</v>
      </c>
      <c r="C22" t="s">
        <v>515</v>
      </c>
      <c r="D22" t="s">
        <v>524</v>
      </c>
      <c r="F22"/>
      <c r="G22"/>
      <c r="H22" s="480">
        <f ca="1">+'Gnatt Chart'!R44</f>
        <v>46188</v>
      </c>
      <c r="I22">
        <f ca="1">_xlfn.DAYS(qryGnattToDraws[[#This Row],[Date]],$H$2)</f>
        <v>3</v>
      </c>
      <c r="J22" s="53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501</v>
      </c>
      <c r="C23" t="s">
        <v>504</v>
      </c>
      <c r="D23" t="s">
        <v>1173</v>
      </c>
      <c r="E23" s="188">
        <v>1000</v>
      </c>
      <c r="F23"/>
      <c r="G23"/>
      <c r="H23" s="480">
        <f ca="1">+'Gnatt Chart'!R45</f>
        <v>46188</v>
      </c>
      <c r="I23">
        <f ca="1">_xlfn.DAYS(qryGnattToDraws[[#This Row],[Date]],$H$2)</f>
        <v>3</v>
      </c>
      <c r="J23" s="530">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1196</v>
      </c>
      <c r="C24" t="s">
        <v>520</v>
      </c>
      <c r="D24" t="s">
        <v>1197</v>
      </c>
      <c r="E24" s="188">
        <v>687.5</v>
      </c>
      <c r="F24"/>
      <c r="G24"/>
      <c r="H24" s="480">
        <f ca="1">+'Gnatt Chart'!R46</f>
        <v>46188</v>
      </c>
      <c r="I24">
        <f ca="1">_xlfn.DAYS(qryGnattToDraws[[#This Row],[Date]],$H$2)</f>
        <v>3</v>
      </c>
      <c r="J24" s="530">
        <f>IF(ROW()=2,+qryGnattToDraws[[#This Row],[Price]],+qryGnattToDraws[[#This Row],[Price]]+J23)</f>
        <v>11348.222884999999</v>
      </c>
      <c r="L24" s="188">
        <f>IF(qryGnattToDraws[[#This Row],[Draws]]&gt;0,+K24*Profit!$B$43/24,0)</f>
        <v>0</v>
      </c>
      <c r="M24" s="188">
        <f>+qryGnattToDraws[[#This Row],[Interest]]+M23</f>
        <v>41.500855393479164</v>
      </c>
    </row>
    <row r="25" spans="1:13">
      <c r="A25">
        <v>82</v>
      </c>
      <c r="B25" t="s">
        <v>458</v>
      </c>
      <c r="C25" t="s">
        <v>520</v>
      </c>
      <c r="D25" t="s">
        <v>1172</v>
      </c>
      <c r="F25"/>
      <c r="G25"/>
      <c r="H25" s="480">
        <f ca="1">+'Gnatt Chart'!R47</f>
        <v>46188</v>
      </c>
      <c r="I25">
        <f ca="1">_xlfn.DAYS(qryGnattToDraws[[#This Row],[Date]],$H$2)</f>
        <v>3</v>
      </c>
      <c r="J25" s="530">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545</v>
      </c>
      <c r="C26" t="s">
        <v>462</v>
      </c>
      <c r="D26" t="s">
        <v>584</v>
      </c>
      <c r="E26" s="188">
        <v>210.10060500000003</v>
      </c>
      <c r="F26"/>
      <c r="G26"/>
      <c r="H26" s="480">
        <f ca="1">+'Gnatt Chart'!R48</f>
        <v>46188</v>
      </c>
      <c r="I26">
        <f ca="1">_xlfn.DAYS(qryGnattToDraws[[#This Row],[Date]],$H$2)</f>
        <v>3</v>
      </c>
      <c r="J26" s="530">
        <f>IF(ROW()=2,+qryGnattToDraws[[#This Row],[Price]],+qryGnattToDraws[[#This Row],[Price]]+J25)</f>
        <v>11558.323489999999</v>
      </c>
      <c r="L26" s="188">
        <f>IF(qryGnattToDraws[[#This Row],[Draws]]&gt;0,+K26*Profit!$B$43/24,0)</f>
        <v>0</v>
      </c>
      <c r="M26" s="188">
        <f>+qryGnattToDraws[[#This Row],[Interest]]+M25</f>
        <v>41.500855393479164</v>
      </c>
    </row>
    <row r="27" spans="1:13">
      <c r="A27">
        <v>40</v>
      </c>
      <c r="B27" t="s">
        <v>487</v>
      </c>
      <c r="C27" t="s">
        <v>488</v>
      </c>
      <c r="D27" t="s">
        <v>489</v>
      </c>
      <c r="F27"/>
      <c r="G27"/>
      <c r="H27" s="480">
        <f ca="1">+'Gnatt Chart'!R49</f>
        <v>46188</v>
      </c>
      <c r="I27">
        <f ca="1">_xlfn.DAYS(qryGnattToDraws[[#This Row],[Date]],$H$2)</f>
        <v>3</v>
      </c>
      <c r="J27" s="530">
        <f>IF(ROW()=2,+qryGnattToDraws[[#This Row],[Price]],+qryGnattToDraws[[#This Row],[Price]]+J26)</f>
        <v>11558.323489999999</v>
      </c>
      <c r="L27" s="188">
        <f>IF(qryGnattToDraws[[#This Row],[Draws]]&gt;0,+K27*Profit!$B$43/24,0)</f>
        <v>0</v>
      </c>
      <c r="M27" s="188">
        <f>+qryGnattToDraws[[#This Row],[Interest]]+M26</f>
        <v>41.500855393479164</v>
      </c>
    </row>
    <row r="28" spans="1:13">
      <c r="A28">
        <v>64</v>
      </c>
      <c r="B28" t="s">
        <v>487</v>
      </c>
      <c r="C28" t="s">
        <v>495</v>
      </c>
      <c r="D28" t="s">
        <v>511</v>
      </c>
      <c r="F28"/>
      <c r="G28"/>
      <c r="H28" s="480">
        <f ca="1">+'Gnatt Chart'!R50</f>
        <v>46188</v>
      </c>
      <c r="I28">
        <f ca="1">_xlfn.DAYS(qryGnattToDraws[[#This Row],[Date]],$H$2)</f>
        <v>3</v>
      </c>
      <c r="J28" s="530">
        <f>IF(ROW()=2,+qryGnattToDraws[[#This Row],[Price]],+qryGnattToDraws[[#This Row],[Price]]+J27)</f>
        <v>11558.323489999999</v>
      </c>
      <c r="L28" s="188">
        <f>IF(qryGnattToDraws[[#This Row],[Draws]]&gt;0,+K28*Profit!$B$43/24,0)</f>
        <v>0</v>
      </c>
      <c r="M28" s="188">
        <f>+qryGnattToDraws[[#This Row],[Interest]]+M27</f>
        <v>41.500855393479164</v>
      </c>
    </row>
    <row r="29" spans="1:13">
      <c r="A29">
        <v>60</v>
      </c>
      <c r="B29" t="s">
        <v>487</v>
      </c>
      <c r="C29" t="s">
        <v>495</v>
      </c>
      <c r="D29" t="s">
        <v>507</v>
      </c>
      <c r="F29"/>
      <c r="G29"/>
      <c r="H29" s="480">
        <f ca="1">+'Gnatt Chart'!R51</f>
        <v>46188</v>
      </c>
      <c r="I29">
        <f ca="1">_xlfn.DAYS(qryGnattToDraws[[#This Row],[Date]],$H$2)</f>
        <v>3</v>
      </c>
      <c r="J29" s="530">
        <f>IF(ROW()=2,+qryGnattToDraws[[#This Row],[Price]],+qryGnattToDraws[[#This Row],[Price]]+J28)</f>
        <v>11558.323489999999</v>
      </c>
      <c r="L29" s="188">
        <f>IF(qryGnattToDraws[[#This Row],[Draws]]&gt;0,+K29*Profit!$B$43/24,0)</f>
        <v>0</v>
      </c>
      <c r="M29" s="188">
        <f>+qryGnattToDraws[[#This Row],[Interest]]+M28</f>
        <v>41.500855393479164</v>
      </c>
    </row>
    <row r="30" spans="1:13">
      <c r="A30">
        <v>62</v>
      </c>
      <c r="B30" t="s">
        <v>487</v>
      </c>
      <c r="C30" t="s">
        <v>495</v>
      </c>
      <c r="D30" t="s">
        <v>509</v>
      </c>
      <c r="F30"/>
      <c r="G30"/>
      <c r="H30" s="480">
        <f ca="1">+'Gnatt Chart'!R52</f>
        <v>46188</v>
      </c>
      <c r="I30">
        <f ca="1">_xlfn.DAYS(qryGnattToDraws[[#This Row],[Date]],$H$2)</f>
        <v>3</v>
      </c>
      <c r="J30" s="530">
        <f>IF(ROW()=2,+qryGnattToDraws[[#This Row],[Price]],+qryGnattToDraws[[#This Row],[Price]]+J29)</f>
        <v>11558.323489999999</v>
      </c>
      <c r="L30" s="188">
        <f>IF(qryGnattToDraws[[#This Row],[Draws]]&gt;0,+K30*Profit!$B$43/24,0)</f>
        <v>0</v>
      </c>
      <c r="M30" s="188">
        <f>+qryGnattToDraws[[#This Row],[Interest]]+M29</f>
        <v>41.500855393479164</v>
      </c>
    </row>
    <row r="31" spans="1:13">
      <c r="A31">
        <v>75</v>
      </c>
      <c r="B31" t="s">
        <v>487</v>
      </c>
      <c r="C31" t="s">
        <v>495</v>
      </c>
      <c r="D31" t="s">
        <v>518</v>
      </c>
      <c r="F31"/>
      <c r="G31"/>
      <c r="H31" s="480">
        <f ca="1">+'Gnatt Chart'!R53</f>
        <v>46188</v>
      </c>
      <c r="I31">
        <f ca="1">_xlfn.DAYS(qryGnattToDraws[[#This Row],[Date]],$H$2)</f>
        <v>3</v>
      </c>
      <c r="J31" s="530">
        <f>IF(ROW()=2,+qryGnattToDraws[[#This Row],[Price]],+qryGnattToDraws[[#This Row],[Price]]+J30)</f>
        <v>11558.323489999999</v>
      </c>
      <c r="L31" s="188">
        <f>IF(qryGnattToDraws[[#This Row],[Draws]]&gt;0,+K31*Profit!$B$43/24,0)</f>
        <v>0</v>
      </c>
      <c r="M31" s="188">
        <f>+qryGnattToDraws[[#This Row],[Interest]]+M30</f>
        <v>41.500855393479164</v>
      </c>
    </row>
    <row r="32" spans="1:13">
      <c r="A32">
        <v>52</v>
      </c>
      <c r="B32" t="s">
        <v>487</v>
      </c>
      <c r="C32" t="s">
        <v>495</v>
      </c>
      <c r="D32" t="s">
        <v>498</v>
      </c>
      <c r="F32"/>
      <c r="G32"/>
      <c r="H32" s="480">
        <f ca="1">+'Gnatt Chart'!R54</f>
        <v>46188</v>
      </c>
      <c r="I32">
        <f ca="1">_xlfn.DAYS(qryGnattToDraws[[#This Row],[Date]],$H$2)</f>
        <v>3</v>
      </c>
      <c r="J32" s="530">
        <f>IF(ROW()=2,+qryGnattToDraws[[#This Row],[Price]],+qryGnattToDraws[[#This Row],[Price]]+J31)</f>
        <v>11558.323489999999</v>
      </c>
      <c r="L32" s="188">
        <f>IF(qryGnattToDraws[[#This Row],[Draws]]&gt;0,+K32*Profit!$B$43/24,0)</f>
        <v>0</v>
      </c>
      <c r="M32" s="188">
        <f>+qryGnattToDraws[[#This Row],[Interest]]+M31</f>
        <v>41.500855393479164</v>
      </c>
    </row>
    <row r="33" spans="1:13">
      <c r="A33">
        <v>50</v>
      </c>
      <c r="B33" t="s">
        <v>487</v>
      </c>
      <c r="C33" t="s">
        <v>495</v>
      </c>
      <c r="D33" t="s">
        <v>496</v>
      </c>
      <c r="F33"/>
      <c r="G33"/>
      <c r="H33" s="480">
        <f ca="1">+'Gnatt Chart'!R55</f>
        <v>46188</v>
      </c>
      <c r="I33">
        <f ca="1">_xlfn.DAYS(qryGnattToDraws[[#This Row],[Date]],$H$2)</f>
        <v>3</v>
      </c>
      <c r="J33" s="53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546</v>
      </c>
      <c r="C34" t="s">
        <v>478</v>
      </c>
      <c r="D34" t="s">
        <v>585</v>
      </c>
      <c r="E34" s="188">
        <v>150</v>
      </c>
      <c r="F34"/>
      <c r="G34"/>
      <c r="H34" s="480">
        <f ca="1">+'Gnatt Chart'!R56</f>
        <v>46188</v>
      </c>
      <c r="I34">
        <f ca="1">_xlfn.DAYS(qryGnattToDraws[[#This Row],[Date]],$H$2)</f>
        <v>3</v>
      </c>
      <c r="J34" s="530">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545</v>
      </c>
      <c r="C35" t="s">
        <v>452</v>
      </c>
      <c r="D35" t="s">
        <v>586</v>
      </c>
      <c r="E35" s="188">
        <v>0</v>
      </c>
      <c r="F35"/>
      <c r="G35"/>
      <c r="H35" s="480">
        <f ca="1">+'Gnatt Chart'!R57</f>
        <v>46188</v>
      </c>
      <c r="I35">
        <f ca="1">_xlfn.DAYS(qryGnattToDraws[[#This Row],[Date]],$H$2)</f>
        <v>3</v>
      </c>
      <c r="J35" s="530">
        <f>IF(ROW()=2,+qryGnattToDraws[[#This Row],[Price]],+qryGnattToDraws[[#This Row],[Price]]+J34)</f>
        <v>11708.323489999999</v>
      </c>
      <c r="L35" s="188">
        <f>IF(qryGnattToDraws[[#This Row],[Draws]]&gt;0,+K35*Profit!$B$43/24,0)</f>
        <v>0</v>
      </c>
      <c r="M35" s="188">
        <f>+qryGnattToDraws[[#This Row],[Interest]]+M34</f>
        <v>41.500855393479164</v>
      </c>
    </row>
    <row r="36" spans="1:13">
      <c r="A36">
        <v>53</v>
      </c>
      <c r="B36" t="s">
        <v>452</v>
      </c>
      <c r="C36" t="s">
        <v>499</v>
      </c>
      <c r="D36" t="s">
        <v>500</v>
      </c>
      <c r="F36"/>
      <c r="G36"/>
      <c r="H36" s="480">
        <f ca="1">+'Gnatt Chart'!R58</f>
        <v>46188</v>
      </c>
      <c r="I36">
        <f ca="1">_xlfn.DAYS(qryGnattToDraws[[#This Row],[Date]],$H$2)</f>
        <v>3</v>
      </c>
      <c r="J36" s="530">
        <f>IF(ROW()=2,+qryGnattToDraws[[#This Row],[Price]],+qryGnattToDraws[[#This Row],[Price]]+J35)</f>
        <v>11708.323489999999</v>
      </c>
      <c r="L36" s="188">
        <f>IF(qryGnattToDraws[[#This Row],[Draws]]&gt;0,+K36*Profit!$B$43/24,0)</f>
        <v>0</v>
      </c>
      <c r="M36" s="188">
        <f>+qryGnattToDraws[[#This Row],[Interest]]+M35</f>
        <v>41.500855393479164</v>
      </c>
    </row>
    <row r="37" spans="1:13">
      <c r="A37">
        <v>31</v>
      </c>
      <c r="B37" t="s">
        <v>478</v>
      </c>
      <c r="C37" t="s">
        <v>478</v>
      </c>
      <c r="D37" t="s">
        <v>479</v>
      </c>
      <c r="F37"/>
      <c r="G37"/>
      <c r="H37" s="480">
        <f ca="1">+'Gnatt Chart'!R59</f>
        <v>46188</v>
      </c>
      <c r="I37">
        <f ca="1">_xlfn.DAYS(qryGnattToDraws[[#This Row],[Date]],$H$2)</f>
        <v>3</v>
      </c>
      <c r="J37" s="530">
        <f>IF(ROW()=2,+qryGnattToDraws[[#This Row],[Price]],+qryGnattToDraws[[#This Row],[Price]]+J36)</f>
        <v>11708.323489999999</v>
      </c>
      <c r="L37" s="188">
        <f>IF(qryGnattToDraws[[#This Row],[Draws]]&gt;0,+K37*Profit!$B$43/24,0)</f>
        <v>0</v>
      </c>
      <c r="M37" s="188">
        <f>+qryGnattToDraws[[#This Row],[Interest]]+M36</f>
        <v>41.500855393479164</v>
      </c>
    </row>
    <row r="38" spans="1:13">
      <c r="A38">
        <v>71</v>
      </c>
      <c r="B38" t="s">
        <v>452</v>
      </c>
      <c r="C38" t="s">
        <v>515</v>
      </c>
      <c r="D38" t="s">
        <v>517</v>
      </c>
      <c r="F38"/>
      <c r="G38"/>
      <c r="H38" s="480">
        <f ca="1">+'Gnatt Chart'!R60</f>
        <v>46188</v>
      </c>
      <c r="I38">
        <f ca="1">_xlfn.DAYS(qryGnattToDraws[[#This Row],[Date]],$H$2)</f>
        <v>3</v>
      </c>
      <c r="J38" s="530">
        <f>IF(ROW()=2,+qryGnattToDraws[[#This Row],[Price]],+qryGnattToDraws[[#This Row],[Price]]+J37)</f>
        <v>11708.323489999999</v>
      </c>
      <c r="L38" s="188">
        <f>IF(qryGnattToDraws[[#This Row],[Draws]]&gt;0,+K38*Profit!$B$43/24,0)</f>
        <v>0</v>
      </c>
      <c r="M38" s="188">
        <f>+qryGnattToDraws[[#This Row],[Interest]]+M37</f>
        <v>41.500855393479164</v>
      </c>
    </row>
    <row r="39" spans="1:13">
      <c r="A39">
        <v>78</v>
      </c>
      <c r="B39" t="s">
        <v>512</v>
      </c>
      <c r="C39" t="s">
        <v>522</v>
      </c>
      <c r="D39" t="s">
        <v>523</v>
      </c>
      <c r="F39"/>
      <c r="G39"/>
      <c r="H39" s="480">
        <f ca="1">+'Gnatt Chart'!R61</f>
        <v>46188</v>
      </c>
      <c r="I39">
        <f ca="1">_xlfn.DAYS(qryGnattToDraws[[#This Row],[Date]],$H$2)</f>
        <v>3</v>
      </c>
      <c r="J39" s="530">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545</v>
      </c>
      <c r="C40" t="s">
        <v>441</v>
      </c>
      <c r="D40" t="s">
        <v>587</v>
      </c>
      <c r="E40" s="188">
        <v>44.58382499999999</v>
      </c>
      <c r="F40"/>
      <c r="G40"/>
      <c r="H40" s="480">
        <f ca="1">+'Gnatt Chart'!R62</f>
        <v>46188</v>
      </c>
      <c r="I40">
        <f ca="1">_xlfn.DAYS(qryGnattToDraws[[#This Row],[Date]],$H$2)</f>
        <v>3</v>
      </c>
      <c r="J40" s="53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512</v>
      </c>
      <c r="C41" t="s">
        <v>513</v>
      </c>
      <c r="D41" t="s">
        <v>514</v>
      </c>
      <c r="F41"/>
      <c r="G41"/>
      <c r="H41" s="480">
        <f ca="1">+'Gnatt Chart'!R63</f>
        <v>46188</v>
      </c>
      <c r="I41">
        <f ca="1">_xlfn.DAYS(qryGnattToDraws[[#This Row],[Date]],$H$2)</f>
        <v>3</v>
      </c>
      <c r="J41" s="530">
        <f>IF(ROW()=2,+qryGnattToDraws[[#This Row],[Price]],+qryGnattToDraws[[#This Row],[Price]]+J40)</f>
        <v>11752.907314999999</v>
      </c>
      <c r="L41" s="188">
        <f>IF(qryGnattToDraws[[#This Row],[Draws]]&gt;0,+K41*Profit!$B$43/24,0)</f>
        <v>0</v>
      </c>
      <c r="M41" s="188">
        <f>+qryGnattToDraws[[#This Row],[Interest]]+M40</f>
        <v>41.500855393479164</v>
      </c>
    </row>
    <row r="42" spans="1:13">
      <c r="A42">
        <v>70</v>
      </c>
      <c r="B42" t="s">
        <v>512</v>
      </c>
      <c r="C42" t="s">
        <v>515</v>
      </c>
      <c r="D42" t="s">
        <v>516</v>
      </c>
      <c r="F42"/>
      <c r="G42"/>
      <c r="H42" s="480">
        <f ca="1">+'Gnatt Chart'!R64</f>
        <v>46188</v>
      </c>
      <c r="I42">
        <f ca="1">_xlfn.DAYS(qryGnattToDraws[[#This Row],[Date]],$H$2)</f>
        <v>3</v>
      </c>
      <c r="J42" s="530">
        <f>IF(ROW()=2,+qryGnattToDraws[[#This Row],[Price]],+qryGnattToDraws[[#This Row],[Price]]+J41)</f>
        <v>11752.907314999999</v>
      </c>
      <c r="L42" s="188">
        <f>IF(qryGnattToDraws[[#This Row],[Draws]]&gt;0,+K42*Profit!$B$43/24,0)</f>
        <v>0</v>
      </c>
      <c r="M42" s="188">
        <f>+qryGnattToDraws[[#This Row],[Interest]]+M41</f>
        <v>41.500855393479164</v>
      </c>
    </row>
    <row r="43" spans="1:13">
      <c r="A43">
        <v>63</v>
      </c>
      <c r="B43" t="s">
        <v>453</v>
      </c>
      <c r="C43" t="s">
        <v>453</v>
      </c>
      <c r="D43" t="s">
        <v>510</v>
      </c>
      <c r="F43"/>
      <c r="G43"/>
      <c r="H43" s="480">
        <f ca="1">+'Gnatt Chart'!R65</f>
        <v>46188</v>
      </c>
      <c r="I43">
        <f ca="1">_xlfn.DAYS(qryGnattToDraws[[#This Row],[Date]],$H$2)</f>
        <v>3</v>
      </c>
      <c r="J43" s="530">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545</v>
      </c>
      <c r="C44" t="s">
        <v>453</v>
      </c>
      <c r="D44" t="s">
        <v>589</v>
      </c>
      <c r="E44" s="188">
        <v>8621</v>
      </c>
      <c r="F44"/>
      <c r="G44"/>
      <c r="H44" s="480">
        <f ca="1">+'Gnatt Chart'!R66</f>
        <v>46188</v>
      </c>
      <c r="I44">
        <f ca="1">_xlfn.DAYS(qryGnattToDraws[[#This Row],[Date]],$H$2)</f>
        <v>3</v>
      </c>
      <c r="J44" s="530">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546</v>
      </c>
      <c r="C45" t="s">
        <v>590</v>
      </c>
      <c r="D45" t="s">
        <v>591</v>
      </c>
      <c r="E45" s="188">
        <v>5905.82</v>
      </c>
      <c r="F45"/>
      <c r="G45"/>
      <c r="H45" s="480">
        <f ca="1">+'Gnatt Chart'!R67</f>
        <v>46188</v>
      </c>
      <c r="I45">
        <f ca="1">_xlfn.DAYS(qryGnattToDraws[[#This Row],[Date]],$H$2)</f>
        <v>3</v>
      </c>
      <c r="J45" s="530">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546</v>
      </c>
      <c r="C46" t="s">
        <v>468</v>
      </c>
      <c r="D46" t="s">
        <v>592</v>
      </c>
      <c r="E46" s="188">
        <v>8333.2037</v>
      </c>
      <c r="F46"/>
      <c r="G46"/>
      <c r="H46" s="480">
        <f ca="1">+'Gnatt Chart'!R68</f>
        <v>46188</v>
      </c>
      <c r="I46">
        <f ca="1">_xlfn.DAYS(qryGnattToDraws[[#This Row],[Date]],$H$2)</f>
        <v>3</v>
      </c>
      <c r="J46" s="530">
        <f>IF(ROW()=2,+qryGnattToDraws[[#This Row],[Price]],+qryGnattToDraws[[#This Row],[Price]]+J45)</f>
        <v>34612.931014999995</v>
      </c>
      <c r="L46" s="188">
        <f>IF(qryGnattToDraws[[#This Row],[Draws]]&gt;0,+K46*Profit!$B$43/24,0)</f>
        <v>0</v>
      </c>
      <c r="M46" s="188">
        <f>+qryGnattToDraws[[#This Row],[Interest]]+M45</f>
        <v>41.500855393479164</v>
      </c>
    </row>
    <row r="47" spans="1:13">
      <c r="A47">
        <v>48</v>
      </c>
      <c r="B47" t="s">
        <v>491</v>
      </c>
      <c r="C47" t="s">
        <v>492</v>
      </c>
      <c r="D47" t="s">
        <v>493</v>
      </c>
      <c r="F47"/>
      <c r="G47"/>
      <c r="H47" s="480">
        <f ca="1">+'Gnatt Chart'!R69</f>
        <v>46188</v>
      </c>
      <c r="I47">
        <f ca="1">_xlfn.DAYS(qryGnattToDraws[[#This Row],[Date]],$H$2)</f>
        <v>3</v>
      </c>
      <c r="J47" s="530">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545</v>
      </c>
      <c r="C48" t="s">
        <v>476</v>
      </c>
      <c r="D48" t="s">
        <v>593</v>
      </c>
      <c r="E48" s="188">
        <v>0</v>
      </c>
      <c r="F48"/>
      <c r="G48"/>
      <c r="H48" s="480">
        <f ca="1">+'Gnatt Chart'!R70</f>
        <v>46188</v>
      </c>
      <c r="I48">
        <f ca="1">_xlfn.DAYS(qryGnattToDraws[[#This Row],[Date]],$H$2)</f>
        <v>3</v>
      </c>
      <c r="J48" s="530">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546</v>
      </c>
      <c r="C49" t="s">
        <v>594</v>
      </c>
      <c r="D49" t="s">
        <v>595</v>
      </c>
      <c r="E49" s="188">
        <v>270</v>
      </c>
      <c r="F49"/>
      <c r="G49"/>
      <c r="H49" s="480">
        <f ca="1">+'Gnatt Chart'!R71</f>
        <v>46188</v>
      </c>
      <c r="I49">
        <f ca="1">_xlfn.DAYS(qryGnattToDraws[[#This Row],[Date]],$H$2)</f>
        <v>3</v>
      </c>
      <c r="J49" s="53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685</v>
      </c>
    </row>
    <row r="2" spans="1:11">
      <c r="I2" s="789" t="s">
        <v>9</v>
      </c>
      <c r="J2" s="789" t="str">
        <f>IF(Profit!$Q$6,IF(K2,"Yes","No"),"No")</f>
        <v>Yes</v>
      </c>
      <c r="K2" s="791" t="b">
        <v>1</v>
      </c>
    </row>
    <row r="3" spans="1:11" s="3" customFormat="1" ht="15.75" thickBot="1">
      <c r="A3" s="3" t="s">
        <v>686</v>
      </c>
      <c r="B3" s="3" t="s">
        <v>109</v>
      </c>
      <c r="C3" s="13" t="s">
        <v>687</v>
      </c>
      <c r="D3" s="3" t="s">
        <v>688</v>
      </c>
      <c r="E3" s="13" t="s">
        <v>689</v>
      </c>
      <c r="F3" s="3" t="s">
        <v>690</v>
      </c>
      <c r="I3" s="790"/>
      <c r="J3" s="790"/>
      <c r="K3" s="792"/>
    </row>
    <row r="4" spans="1:11" s="3" customFormat="1">
      <c r="C4" s="13"/>
      <c r="E4" s="13"/>
    </row>
    <row r="5" spans="1:11" s="3" customFormat="1">
      <c r="A5" s="325" t="s">
        <v>691</v>
      </c>
      <c r="B5" s="328">
        <v>45316</v>
      </c>
      <c r="C5" s="447"/>
      <c r="D5" s="326">
        <v>2</v>
      </c>
      <c r="E5" s="327">
        <v>35</v>
      </c>
      <c r="F5" s="327">
        <f>+D5*E5</f>
        <v>70</v>
      </c>
    </row>
    <row r="6" spans="1:11" s="3" customFormat="1">
      <c r="A6" s="325" t="s">
        <v>692</v>
      </c>
      <c r="B6" s="328"/>
      <c r="C6" s="447"/>
      <c r="D6" s="326">
        <v>1</v>
      </c>
      <c r="E6" s="327">
        <v>750</v>
      </c>
      <c r="F6" s="327">
        <f t="shared" ref="F6:F8" si="0">+D6*E6</f>
        <v>750</v>
      </c>
    </row>
    <row r="7" spans="1:11" s="3" customFormat="1">
      <c r="A7" s="325" t="s">
        <v>693</v>
      </c>
      <c r="B7" s="328"/>
      <c r="C7" s="447"/>
      <c r="D7" s="326">
        <v>1</v>
      </c>
      <c r="E7" s="327">
        <v>800</v>
      </c>
      <c r="F7" s="327">
        <f t="shared" si="0"/>
        <v>800</v>
      </c>
    </row>
    <row r="8" spans="1:11" s="3" customFormat="1">
      <c r="A8" s="325" t="s">
        <v>694</v>
      </c>
      <c r="B8" s="328"/>
      <c r="C8" s="447"/>
      <c r="D8" s="448">
        <v>1.7500000000000002E-2</v>
      </c>
      <c r="E8" s="327">
        <f>+Profit!$B$44</f>
        <v>0</v>
      </c>
      <c r="F8" s="327">
        <f t="shared" si="0"/>
        <v>0</v>
      </c>
    </row>
    <row r="9" spans="1:11" s="3" customFormat="1">
      <c r="A9" s="325" t="s">
        <v>695</v>
      </c>
      <c r="B9" s="328"/>
      <c r="C9" s="447"/>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691</v>
      </c>
      <c r="B13" s="12">
        <v>45316</v>
      </c>
      <c r="C13" s="207"/>
      <c r="D13">
        <v>0</v>
      </c>
      <c r="E13" s="14">
        <v>35</v>
      </c>
      <c r="F13" s="14">
        <f t="shared" si="1"/>
        <v>0</v>
      </c>
      <c r="G13"/>
      <c r="H13" s="3"/>
      <c r="I13" s="3"/>
    </row>
    <row r="14" spans="1:11">
      <c r="A14" s="2" t="s">
        <v>691</v>
      </c>
      <c r="B14" s="12">
        <v>45322</v>
      </c>
      <c r="C14" s="207"/>
      <c r="D14">
        <v>0</v>
      </c>
      <c r="E14" s="14">
        <v>55</v>
      </c>
      <c r="F14" s="14">
        <f t="shared" si="1"/>
        <v>0</v>
      </c>
    </row>
    <row r="15" spans="1:11">
      <c r="A15" s="2" t="s">
        <v>696</v>
      </c>
      <c r="B15" s="12"/>
      <c r="C15" s="207"/>
      <c r="D15">
        <v>0</v>
      </c>
      <c r="E15" s="14"/>
      <c r="F15" s="14">
        <f t="shared" si="1"/>
        <v>0</v>
      </c>
    </row>
    <row r="16" spans="1:11">
      <c r="A16" s="2" t="s">
        <v>697</v>
      </c>
      <c r="B16" s="12">
        <v>45315</v>
      </c>
      <c r="C16" s="207"/>
      <c r="D16">
        <v>0</v>
      </c>
      <c r="E16" s="14">
        <v>201.25</v>
      </c>
      <c r="F16" s="14">
        <f>+D16*E16</f>
        <v>0</v>
      </c>
    </row>
    <row r="17" spans="1:10">
      <c r="A17" s="2" t="s">
        <v>698</v>
      </c>
      <c r="B17" s="12">
        <v>45322</v>
      </c>
      <c r="C17" s="207"/>
      <c r="D17">
        <v>0</v>
      </c>
      <c r="E17" s="14">
        <v>46</v>
      </c>
      <c r="F17" s="14">
        <f>+D17*E17</f>
        <v>0</v>
      </c>
    </row>
    <row r="18" spans="1:10">
      <c r="A18" s="2" t="s">
        <v>699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8"/>
      <c r="D31" s="707"/>
      <c r="E31" s="707"/>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700</v>
      </c>
      <c r="B1" s="7" t="s">
        <v>701</v>
      </c>
    </row>
    <row r="2" spans="1:5">
      <c r="A2" s="3" t="s">
        <v>702</v>
      </c>
      <c r="B2" s="6"/>
      <c r="C2" s="4"/>
    </row>
    <row r="4" spans="1:5">
      <c r="A4" s="2" t="s">
        <v>703</v>
      </c>
      <c r="B4" s="1">
        <v>0</v>
      </c>
      <c r="C4" s="1">
        <v>0</v>
      </c>
    </row>
    <row r="5" spans="1:5">
      <c r="A5" s="2" t="s">
        <v>704</v>
      </c>
      <c r="B5" s="1">
        <v>33</v>
      </c>
      <c r="C5"/>
      <c r="D5" s="1"/>
    </row>
    <row r="6" spans="1:5" ht="15.75" thickBot="1">
      <c r="A6" s="2" t="s">
        <v>705</v>
      </c>
      <c r="B6" s="20">
        <v>0</v>
      </c>
      <c r="C6" s="20">
        <f>B5*B6</f>
        <v>0</v>
      </c>
      <c r="D6" s="29"/>
    </row>
    <row r="7" spans="1:5">
      <c r="C7" s="9" t="s">
        <v>706</v>
      </c>
      <c r="D7" s="1">
        <f>SUM(C4:C6)</f>
        <v>0</v>
      </c>
    </row>
    <row r="8" spans="1:5">
      <c r="D8" s="1"/>
    </row>
    <row r="10" spans="1:5" ht="15.75" thickBot="1">
      <c r="D10" s="29"/>
    </row>
    <row r="11" spans="1:5">
      <c r="D11" s="30" t="s">
        <v>707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708</v>
      </c>
    </row>
    <row r="2" spans="1:7" s="3" customFormat="1">
      <c r="B2" s="3" t="s">
        <v>709</v>
      </c>
      <c r="C2" s="3" t="s">
        <v>710</v>
      </c>
      <c r="D2" s="8" t="s">
        <v>711</v>
      </c>
      <c r="E2" s="3" t="s">
        <v>712</v>
      </c>
      <c r="F2" s="8" t="s">
        <v>425</v>
      </c>
      <c r="G2" s="3" t="s">
        <v>713</v>
      </c>
    </row>
    <row r="3" spans="1:7">
      <c r="A3" s="116" t="s">
        <v>714</v>
      </c>
      <c r="B3" s="116"/>
      <c r="C3" s="117">
        <v>0</v>
      </c>
      <c r="D3" s="118">
        <v>0</v>
      </c>
      <c r="E3">
        <f>+C3*D3</f>
        <v>0</v>
      </c>
      <c r="F3" s="26">
        <f t="shared" ref="F3:F44" si="0">+E3*0.0725</f>
        <v>0</v>
      </c>
    </row>
    <row r="4" spans="1:7">
      <c r="A4" s="116" t="s">
        <v>715</v>
      </c>
      <c r="B4" s="116"/>
      <c r="C4" s="117">
        <v>0</v>
      </c>
      <c r="D4" s="118">
        <v>0</v>
      </c>
      <c r="E4">
        <f t="shared" ref="E4:E61" si="1">+C4*D4</f>
        <v>0</v>
      </c>
      <c r="F4" s="26">
        <f t="shared" si="0"/>
        <v>0</v>
      </c>
    </row>
    <row r="5" spans="1:7">
      <c r="A5" s="116" t="s">
        <v>716</v>
      </c>
      <c r="B5" s="116"/>
      <c r="C5" s="117">
        <v>0</v>
      </c>
      <c r="D5" s="118">
        <v>0</v>
      </c>
      <c r="E5">
        <f t="shared" si="1"/>
        <v>0</v>
      </c>
      <c r="F5" s="26">
        <f t="shared" si="0"/>
        <v>0</v>
      </c>
    </row>
    <row r="6" spans="1:7">
      <c r="A6" s="116" t="s">
        <v>717</v>
      </c>
      <c r="B6" s="116"/>
      <c r="C6" s="117">
        <v>0</v>
      </c>
      <c r="D6" s="118">
        <v>0</v>
      </c>
      <c r="E6">
        <f t="shared" si="1"/>
        <v>0</v>
      </c>
      <c r="F6" s="26">
        <f t="shared" si="0"/>
        <v>0</v>
      </c>
    </row>
    <row r="7" spans="1:7">
      <c r="A7" s="116" t="s">
        <v>718</v>
      </c>
      <c r="B7" s="116"/>
      <c r="C7" s="117">
        <v>0</v>
      </c>
      <c r="D7" s="118">
        <v>0</v>
      </c>
      <c r="E7">
        <f t="shared" si="1"/>
        <v>0</v>
      </c>
      <c r="F7" s="26">
        <f t="shared" si="0"/>
        <v>0</v>
      </c>
    </row>
    <row r="8" spans="1:7">
      <c r="A8" s="116" t="s">
        <v>719</v>
      </c>
      <c r="B8" s="116"/>
      <c r="C8" s="117">
        <v>0</v>
      </c>
      <c r="D8" s="118">
        <v>0</v>
      </c>
      <c r="E8">
        <f t="shared" si="1"/>
        <v>0</v>
      </c>
      <c r="F8" s="26">
        <f t="shared" si="0"/>
        <v>0</v>
      </c>
    </row>
    <row r="9" spans="1:7">
      <c r="A9" s="116" t="s">
        <v>720</v>
      </c>
      <c r="B9" s="116"/>
      <c r="C9" s="117">
        <v>0</v>
      </c>
      <c r="D9" s="118">
        <v>0</v>
      </c>
      <c r="E9">
        <f t="shared" si="1"/>
        <v>0</v>
      </c>
      <c r="F9" s="26">
        <f t="shared" si="0"/>
        <v>0</v>
      </c>
    </row>
    <row r="10" spans="1:7">
      <c r="A10" s="116" t="s">
        <v>240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721</v>
      </c>
      <c r="B12" s="116"/>
      <c r="C12" s="117">
        <v>0</v>
      </c>
      <c r="D12" s="118">
        <v>0</v>
      </c>
      <c r="E12">
        <f t="shared" si="1"/>
        <v>0</v>
      </c>
      <c r="F12" s="26">
        <f t="shared" si="0"/>
        <v>0</v>
      </c>
    </row>
    <row r="13" spans="1:7">
      <c r="A13" s="116" t="s">
        <v>722</v>
      </c>
      <c r="B13" s="116"/>
      <c r="C13" s="117">
        <v>0</v>
      </c>
      <c r="D13" s="118">
        <v>0</v>
      </c>
      <c r="E13">
        <f t="shared" si="1"/>
        <v>0</v>
      </c>
      <c r="F13" s="26">
        <f t="shared" si="0"/>
        <v>0</v>
      </c>
    </row>
    <row r="14" spans="1:7">
      <c r="A14" s="116" t="s">
        <v>723</v>
      </c>
      <c r="B14" s="116"/>
      <c r="C14" s="117">
        <v>0</v>
      </c>
      <c r="D14" s="118">
        <v>0</v>
      </c>
      <c r="E14">
        <f t="shared" si="1"/>
        <v>0</v>
      </c>
      <c r="F14" s="26">
        <f t="shared" si="0"/>
        <v>0</v>
      </c>
    </row>
    <row r="15" spans="1:7">
      <c r="A15" s="116" t="s">
        <v>724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725</v>
      </c>
      <c r="B17" s="116"/>
      <c r="C17" s="117">
        <v>0</v>
      </c>
      <c r="D17" s="118">
        <v>0</v>
      </c>
      <c r="E17">
        <f t="shared" si="1"/>
        <v>0</v>
      </c>
      <c r="F17" s="26">
        <f t="shared" si="0"/>
        <v>0</v>
      </c>
    </row>
    <row r="18" spans="1:6">
      <c r="A18" s="116" t="s">
        <v>726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727</v>
      </c>
      <c r="B20" s="116"/>
      <c r="C20" s="117">
        <v>0</v>
      </c>
      <c r="D20" s="118">
        <v>0</v>
      </c>
      <c r="E20">
        <f t="shared" si="1"/>
        <v>0</v>
      </c>
      <c r="F20" s="26">
        <f t="shared" si="0"/>
        <v>0</v>
      </c>
    </row>
    <row r="21" spans="1:6">
      <c r="A21" s="116" t="s">
        <v>728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729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730</v>
      </c>
      <c r="B26" s="116"/>
      <c r="C26" s="117">
        <v>0</v>
      </c>
      <c r="D26" s="118">
        <v>0</v>
      </c>
      <c r="E26">
        <f t="shared" si="1"/>
        <v>0</v>
      </c>
      <c r="F26" s="26">
        <f t="shared" si="0"/>
        <v>0</v>
      </c>
    </row>
    <row r="27" spans="1:6">
      <c r="A27" s="116" t="s">
        <v>731</v>
      </c>
      <c r="B27" s="116"/>
      <c r="C27" s="117">
        <v>0</v>
      </c>
      <c r="D27" s="118">
        <v>0</v>
      </c>
      <c r="E27">
        <f t="shared" si="1"/>
        <v>0</v>
      </c>
      <c r="F27" s="26">
        <f t="shared" si="0"/>
        <v>0</v>
      </c>
    </row>
    <row r="28" spans="1:6">
      <c r="A28" s="116" t="s">
        <v>732</v>
      </c>
      <c r="B28" s="116"/>
      <c r="C28" s="117">
        <v>0</v>
      </c>
      <c r="D28" s="118">
        <v>0</v>
      </c>
      <c r="E28">
        <f t="shared" si="1"/>
        <v>0</v>
      </c>
      <c r="F28" s="26">
        <f t="shared" si="0"/>
        <v>0</v>
      </c>
    </row>
    <row r="29" spans="1:6">
      <c r="A29" s="116" t="s">
        <v>733</v>
      </c>
      <c r="B29" s="116"/>
      <c r="C29" s="117">
        <v>0</v>
      </c>
      <c r="D29" s="118">
        <v>0</v>
      </c>
      <c r="E29">
        <f t="shared" si="1"/>
        <v>0</v>
      </c>
      <c r="F29" s="26">
        <f t="shared" si="0"/>
        <v>0</v>
      </c>
    </row>
    <row r="30" spans="1:6">
      <c r="A30" s="116" t="s">
        <v>734</v>
      </c>
      <c r="B30" s="116"/>
      <c r="C30" s="117">
        <v>0</v>
      </c>
      <c r="D30" s="118">
        <v>0</v>
      </c>
      <c r="E30">
        <f t="shared" si="1"/>
        <v>0</v>
      </c>
      <c r="F30" s="26">
        <f t="shared" si="0"/>
        <v>0</v>
      </c>
    </row>
    <row r="31" spans="1:6">
      <c r="A31" s="116" t="s">
        <v>735</v>
      </c>
      <c r="B31" s="116"/>
      <c r="C31" s="117">
        <v>0</v>
      </c>
      <c r="D31" s="118">
        <v>0</v>
      </c>
      <c r="E31">
        <f t="shared" si="1"/>
        <v>0</v>
      </c>
      <c r="F31" s="26">
        <f t="shared" si="0"/>
        <v>0</v>
      </c>
    </row>
    <row r="32" spans="1:6">
      <c r="A32" s="116" t="s">
        <v>736</v>
      </c>
      <c r="B32" s="116"/>
      <c r="C32" s="117">
        <v>0</v>
      </c>
      <c r="D32" s="118">
        <v>0</v>
      </c>
      <c r="E32">
        <f t="shared" si="1"/>
        <v>0</v>
      </c>
      <c r="F32" s="26">
        <f t="shared" si="0"/>
        <v>0</v>
      </c>
    </row>
    <row r="33" spans="1:6">
      <c r="A33" s="116" t="s">
        <v>737</v>
      </c>
      <c r="B33" s="116"/>
      <c r="C33" s="117">
        <v>0</v>
      </c>
      <c r="D33" s="118">
        <v>0</v>
      </c>
      <c r="E33">
        <f t="shared" si="1"/>
        <v>0</v>
      </c>
      <c r="F33" s="26">
        <f t="shared" si="0"/>
        <v>0</v>
      </c>
    </row>
    <row r="34" spans="1:6">
      <c r="A34" s="116" t="s">
        <v>738</v>
      </c>
      <c r="B34" s="116"/>
      <c r="C34" s="117">
        <v>0</v>
      </c>
      <c r="D34" s="118">
        <v>0</v>
      </c>
      <c r="E34">
        <f t="shared" si="1"/>
        <v>0</v>
      </c>
      <c r="F34" s="26">
        <f t="shared" si="0"/>
        <v>0</v>
      </c>
    </row>
    <row r="35" spans="1:6">
      <c r="A35" s="116" t="s">
        <v>739</v>
      </c>
      <c r="B35" s="116"/>
      <c r="C35" s="117">
        <v>0</v>
      </c>
      <c r="D35" s="118">
        <v>0</v>
      </c>
      <c r="E35">
        <f t="shared" si="1"/>
        <v>0</v>
      </c>
      <c r="F35" s="26">
        <f t="shared" si="0"/>
        <v>0</v>
      </c>
    </row>
    <row r="36" spans="1:6">
      <c r="A36" s="116" t="s">
        <v>740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741</v>
      </c>
      <c r="B38" s="116"/>
      <c r="C38" s="117">
        <v>0</v>
      </c>
      <c r="D38" s="118">
        <v>0</v>
      </c>
      <c r="E38">
        <f t="shared" si="1"/>
        <v>0</v>
      </c>
      <c r="F38" s="26">
        <f t="shared" si="0"/>
        <v>0</v>
      </c>
    </row>
    <row r="39" spans="1:6">
      <c r="A39" s="116" t="s">
        <v>742</v>
      </c>
      <c r="B39" s="116"/>
      <c r="C39" s="117">
        <v>0</v>
      </c>
      <c r="D39" s="118">
        <v>0</v>
      </c>
      <c r="E39">
        <f t="shared" si="1"/>
        <v>0</v>
      </c>
      <c r="F39" s="26">
        <f t="shared" si="0"/>
        <v>0</v>
      </c>
    </row>
    <row r="40" spans="1:6">
      <c r="A40" s="116" t="s">
        <v>743</v>
      </c>
      <c r="B40" s="116"/>
      <c r="C40" s="117">
        <v>0</v>
      </c>
      <c r="D40" s="118">
        <v>0</v>
      </c>
      <c r="E40">
        <f t="shared" si="1"/>
        <v>0</v>
      </c>
      <c r="F40" s="26">
        <f t="shared" si="0"/>
        <v>0</v>
      </c>
    </row>
    <row r="41" spans="1:6">
      <c r="A41" s="116" t="s">
        <v>744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745</v>
      </c>
      <c r="B43" s="116"/>
      <c r="C43" s="117">
        <v>0</v>
      </c>
      <c r="D43" s="118">
        <v>0</v>
      </c>
      <c r="E43">
        <f t="shared" ref="E43:E57" si="2">+C43*D43</f>
        <v>0</v>
      </c>
      <c r="F43" s="26">
        <f t="shared" si="0"/>
        <v>0</v>
      </c>
    </row>
    <row r="44" spans="1:6">
      <c r="A44" s="116" t="s">
        <v>746</v>
      </c>
      <c r="B44" s="116"/>
      <c r="C44" s="117">
        <v>0</v>
      </c>
      <c r="D44" s="118">
        <v>0</v>
      </c>
      <c r="E44">
        <f t="shared" si="2"/>
        <v>0</v>
      </c>
      <c r="F44" s="26">
        <f t="shared" si="0"/>
        <v>0</v>
      </c>
    </row>
    <row r="45" spans="1:6">
      <c r="A45" s="116" t="s">
        <v>747</v>
      </c>
      <c r="B45" s="116">
        <v>6973242570225</v>
      </c>
      <c r="C45" s="117">
        <v>0</v>
      </c>
      <c r="D45" s="118">
        <v>49.97</v>
      </c>
      <c r="E45">
        <f t="shared" si="2"/>
        <v>0</v>
      </c>
      <c r="F45" s="26">
        <f>+E45*0.0725</f>
        <v>0</v>
      </c>
    </row>
    <row r="46" spans="1:6">
      <c r="A46" s="116" t="s">
        <v>748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749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750</v>
      </c>
      <c r="D1" s="32"/>
      <c r="E1" s="32"/>
      <c r="L1" s="789" t="s">
        <v>9</v>
      </c>
      <c r="M1" s="789" t="str">
        <f>IF(Profit!$Q$6,IF(N1,"Yes","No"),"No")</f>
        <v>No</v>
      </c>
      <c r="N1" s="791" t="b">
        <v>0</v>
      </c>
    </row>
    <row r="2" spans="1:15" s="3" customFormat="1" ht="15.75" thickBot="1">
      <c r="B2" s="3" t="s">
        <v>109</v>
      </c>
      <c r="C2" s="3" t="s">
        <v>429</v>
      </c>
      <c r="D2" s="3" t="s">
        <v>751</v>
      </c>
      <c r="E2" s="3" t="s">
        <v>752</v>
      </c>
      <c r="F2" s="3" t="s">
        <v>753</v>
      </c>
      <c r="G2" s="3" t="s">
        <v>430</v>
      </c>
      <c r="H2" s="8" t="s">
        <v>711</v>
      </c>
      <c r="I2" s="6" t="s">
        <v>712</v>
      </c>
      <c r="J2" s="13" t="s">
        <v>425</v>
      </c>
      <c r="K2" s="3" t="s">
        <v>713</v>
      </c>
      <c r="L2" s="790"/>
      <c r="M2" s="790"/>
      <c r="N2" s="792"/>
    </row>
    <row r="3" spans="1:15" s="3" customFormat="1">
      <c r="A3" s="330"/>
      <c r="B3" s="330"/>
      <c r="C3" s="330" t="s">
        <v>754</v>
      </c>
      <c r="D3" s="330"/>
      <c r="E3" s="136">
        <f>78+24</f>
        <v>102</v>
      </c>
      <c r="F3" s="330"/>
      <c r="G3" s="330"/>
      <c r="H3" s="331"/>
      <c r="I3" s="341"/>
      <c r="J3" s="332"/>
      <c r="L3"/>
      <c r="M3"/>
      <c r="N3" s="5"/>
    </row>
    <row r="4" spans="1:15" s="3" customFormat="1">
      <c r="C4" s="330" t="s">
        <v>755</v>
      </c>
      <c r="D4" s="325"/>
      <c r="E4" s="325"/>
      <c r="F4" s="325"/>
      <c r="G4" s="339"/>
      <c r="H4" s="333"/>
      <c r="I4" s="333"/>
      <c r="J4" s="334"/>
      <c r="L4"/>
      <c r="M4"/>
      <c r="N4" s="5"/>
    </row>
    <row r="5" spans="1:15" s="3" customFormat="1">
      <c r="A5" s="325" t="s">
        <v>756</v>
      </c>
      <c r="B5" s="325"/>
      <c r="C5" s="325" t="s">
        <v>757</v>
      </c>
      <c r="D5" s="325"/>
      <c r="E5" s="325"/>
      <c r="F5" s="325"/>
      <c r="G5" s="430">
        <f>0.76*$E$3*(1+M5)</f>
        <v>85.272000000000006</v>
      </c>
      <c r="H5" s="173">
        <v>3.75</v>
      </c>
      <c r="I5" s="333">
        <f>H5*G5</f>
        <v>319.77000000000004</v>
      </c>
      <c r="J5" s="334">
        <f t="shared" ref="J5" si="0">+I5*0.0725</f>
        <v>23.183325</v>
      </c>
      <c r="L5" s="2" t="s">
        <v>758</v>
      </c>
      <c r="M5" s="432">
        <v>0.1</v>
      </c>
      <c r="N5" s="5"/>
    </row>
    <row r="6" spans="1:15" s="3" customFormat="1">
      <c r="A6" s="325" t="s">
        <v>759</v>
      </c>
      <c r="B6" s="325"/>
      <c r="C6" s="325" t="s">
        <v>760</v>
      </c>
      <c r="D6" s="325"/>
      <c r="E6" s="325"/>
      <c r="F6" s="325"/>
      <c r="G6" s="430">
        <f>0.1*$E$3*(1+$M$5)</f>
        <v>11.220000000000002</v>
      </c>
      <c r="H6" s="173">
        <v>5.75</v>
      </c>
      <c r="I6" s="333">
        <f>H6*G6</f>
        <v>64.515000000000015</v>
      </c>
      <c r="J6" s="334">
        <f t="shared" ref="J6" si="1">+I6*0.0725</f>
        <v>4.677337500000001</v>
      </c>
      <c r="L6"/>
      <c r="M6"/>
      <c r="N6" s="5"/>
    </row>
    <row r="7" spans="1:15" s="3" customFormat="1">
      <c r="A7" s="325" t="s">
        <v>761</v>
      </c>
      <c r="B7" s="325"/>
      <c r="C7" s="325" t="s">
        <v>760</v>
      </c>
      <c r="D7" s="325"/>
      <c r="E7" s="325"/>
      <c r="F7" s="325"/>
      <c r="G7" s="430">
        <f>0.1*$E$3*(1+$M$5)*2</f>
        <v>22.440000000000005</v>
      </c>
      <c r="H7" s="173">
        <v>5.75</v>
      </c>
      <c r="I7" s="333">
        <f>H7*G7</f>
        <v>129.03000000000003</v>
      </c>
      <c r="J7" s="334">
        <f t="shared" ref="J7" si="2">+I7*0.0725</f>
        <v>9.3546750000000021</v>
      </c>
      <c r="L7"/>
      <c r="M7">
        <f>+M12/E3</f>
        <v>4.9019607843137254E-2</v>
      </c>
      <c r="N7" s="5"/>
    </row>
    <row r="8" spans="1:15" s="3" customFormat="1">
      <c r="A8" s="325" t="s">
        <v>762</v>
      </c>
      <c r="B8" s="325"/>
      <c r="C8" s="325" t="s">
        <v>763</v>
      </c>
      <c r="D8" s="325"/>
      <c r="E8" s="325"/>
      <c r="F8" s="325"/>
      <c r="G8" s="430">
        <v>68</v>
      </c>
      <c r="H8" s="173">
        <v>12.82</v>
      </c>
      <c r="I8" s="333">
        <f>H8*G8</f>
        <v>871.76</v>
      </c>
      <c r="J8" s="334">
        <f t="shared" ref="J8" si="3">+I8*0.0725</f>
        <v>63.202599999999997</v>
      </c>
      <c r="L8"/>
      <c r="M8"/>
      <c r="N8" s="5"/>
      <c r="O8" s="32" t="s">
        <v>764</v>
      </c>
    </row>
    <row r="9" spans="1:15" s="3" customFormat="1">
      <c r="A9" s="325" t="s">
        <v>765</v>
      </c>
      <c r="B9" s="325"/>
      <c r="C9" s="325" t="s">
        <v>763</v>
      </c>
      <c r="D9" s="325"/>
      <c r="E9" s="325"/>
      <c r="F9" s="325"/>
      <c r="G9" s="430">
        <v>25</v>
      </c>
      <c r="H9" s="173">
        <v>12.82</v>
      </c>
      <c r="I9" s="333">
        <f t="shared" ref="I9:I10" si="4">H9*G9</f>
        <v>320.5</v>
      </c>
      <c r="J9" s="334">
        <f t="shared" ref="J9:J10" si="5">+I9*0.0725</f>
        <v>23.236249999999998</v>
      </c>
      <c r="L9"/>
      <c r="M9"/>
      <c r="N9" s="5"/>
      <c r="O9" s="32"/>
    </row>
    <row r="10" spans="1:15" s="3" customFormat="1">
      <c r="A10" s="325" t="s">
        <v>766</v>
      </c>
      <c r="B10" s="325"/>
      <c r="C10" s="325" t="s">
        <v>763</v>
      </c>
      <c r="D10" s="325"/>
      <c r="E10" s="325"/>
      <c r="F10" s="325"/>
      <c r="G10" s="430">
        <f>580/12.82</f>
        <v>45.241809672386893</v>
      </c>
      <c r="H10" s="173">
        <v>12.82</v>
      </c>
      <c r="I10" s="333">
        <f t="shared" si="4"/>
        <v>580</v>
      </c>
      <c r="J10" s="334">
        <f t="shared" si="5"/>
        <v>42.05</v>
      </c>
      <c r="L10"/>
      <c r="M10"/>
      <c r="N10" s="5"/>
      <c r="O10" s="32"/>
    </row>
    <row r="11" spans="1:15" s="3" customFormat="1">
      <c r="A11" s="325"/>
      <c r="B11" s="325"/>
      <c r="C11" s="325"/>
      <c r="D11" s="325"/>
      <c r="E11" s="325"/>
      <c r="F11" s="325"/>
      <c r="G11" s="430"/>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767</v>
      </c>
      <c r="D13" s="325" t="s">
        <v>768</v>
      </c>
      <c r="E13" s="136">
        <v>14</v>
      </c>
      <c r="F13" s="325"/>
      <c r="G13" s="339"/>
      <c r="H13" s="333"/>
      <c r="I13" s="333"/>
      <c r="J13" s="334"/>
      <c r="L13"/>
      <c r="M13"/>
      <c r="N13" s="5"/>
    </row>
    <row r="14" spans="1:15" s="3" customFormat="1">
      <c r="A14" s="325" t="s">
        <v>769</v>
      </c>
      <c r="B14" s="325"/>
      <c r="C14" s="325" t="s">
        <v>757</v>
      </c>
      <c r="D14" s="325"/>
      <c r="E14" s="325"/>
      <c r="F14" s="325"/>
      <c r="G14" s="430">
        <f>2*$E$13*(1+$M$5)</f>
        <v>30.800000000000004</v>
      </c>
      <c r="H14" s="173">
        <v>3.75</v>
      </c>
      <c r="I14" s="333">
        <f>H14*G14</f>
        <v>115.50000000000001</v>
      </c>
      <c r="J14" s="334">
        <f t="shared" ref="J14" si="6">+I14*0.0725</f>
        <v>8.3737500000000011</v>
      </c>
      <c r="L14"/>
      <c r="M14"/>
      <c r="N14" s="5"/>
    </row>
    <row r="15" spans="1:15" s="3" customFormat="1">
      <c r="A15" s="325" t="s">
        <v>770</v>
      </c>
      <c r="B15" s="325"/>
      <c r="C15" s="325" t="s">
        <v>757</v>
      </c>
      <c r="D15" s="325"/>
      <c r="E15" s="325"/>
      <c r="F15" s="325"/>
      <c r="G15" s="430">
        <f>2*$E$13*(1+$M$5)</f>
        <v>30.800000000000004</v>
      </c>
      <c r="H15" s="173">
        <v>3.75</v>
      </c>
      <c r="I15" s="333">
        <f t="shared" ref="I15:I17" si="7">H15*G15</f>
        <v>115.50000000000001</v>
      </c>
      <c r="J15" s="334">
        <f t="shared" ref="J15:J17" si="8">+I15*0.0725</f>
        <v>8.3737500000000011</v>
      </c>
      <c r="L15"/>
      <c r="M15"/>
      <c r="N15" s="5"/>
    </row>
    <row r="16" spans="1:15" s="3" customFormat="1">
      <c r="A16" s="325" t="s">
        <v>771</v>
      </c>
      <c r="B16" s="325"/>
      <c r="C16" s="325" t="s">
        <v>772</v>
      </c>
      <c r="D16" s="325"/>
      <c r="E16" s="325"/>
      <c r="F16" s="325"/>
      <c r="G16" s="430">
        <f>1*$E$13*(1+$M$5)</f>
        <v>15.400000000000002</v>
      </c>
      <c r="H16" s="173">
        <v>5</v>
      </c>
      <c r="I16" s="333">
        <f t="shared" si="7"/>
        <v>77.000000000000014</v>
      </c>
      <c r="J16" s="334">
        <f t="shared" si="8"/>
        <v>5.5825000000000005</v>
      </c>
      <c r="L16"/>
      <c r="M16"/>
      <c r="N16" s="5"/>
    </row>
    <row r="17" spans="1:14" s="3" customFormat="1">
      <c r="A17" s="325" t="s">
        <v>773</v>
      </c>
      <c r="B17" s="325"/>
      <c r="C17" s="325" t="s">
        <v>757</v>
      </c>
      <c r="D17" s="325"/>
      <c r="E17" s="325"/>
      <c r="F17" s="325"/>
      <c r="G17" s="430">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774</v>
      </c>
      <c r="D19" s="325" t="s">
        <v>768</v>
      </c>
      <c r="E19" s="136">
        <v>0</v>
      </c>
      <c r="F19" s="325"/>
      <c r="G19" s="339"/>
      <c r="H19" s="333"/>
      <c r="I19" s="333"/>
      <c r="J19" s="334"/>
      <c r="L19"/>
      <c r="M19"/>
      <c r="N19" s="5"/>
    </row>
    <row r="20" spans="1:14" s="3" customFormat="1">
      <c r="A20" s="325" t="s">
        <v>769</v>
      </c>
      <c r="B20" s="325"/>
      <c r="C20" s="325" t="s">
        <v>757</v>
      </c>
      <c r="D20" s="325"/>
      <c r="E20" s="325"/>
      <c r="F20" s="325"/>
      <c r="G20" s="430">
        <f>2*$E$19*(1+$M$5)</f>
        <v>0</v>
      </c>
      <c r="H20" s="173">
        <v>3.75</v>
      </c>
      <c r="I20" s="333">
        <f>H20*G20</f>
        <v>0</v>
      </c>
      <c r="J20" s="334">
        <f t="shared" ref="J20:J23" si="9">+I20*0.0725</f>
        <v>0</v>
      </c>
      <c r="L20"/>
      <c r="M20"/>
      <c r="N20" s="5"/>
    </row>
    <row r="21" spans="1:14" s="3" customFormat="1">
      <c r="A21" s="325" t="s">
        <v>770</v>
      </c>
      <c r="B21" s="325"/>
      <c r="C21" s="325" t="s">
        <v>757</v>
      </c>
      <c r="D21" s="325"/>
      <c r="E21" s="325"/>
      <c r="F21" s="325"/>
      <c r="G21" s="430">
        <f>2*$E$19*(1+$M$5)</f>
        <v>0</v>
      </c>
      <c r="H21" s="173">
        <v>3.75</v>
      </c>
      <c r="I21" s="333">
        <f t="shared" ref="I21:I23" si="10">H21*G21</f>
        <v>0</v>
      </c>
      <c r="J21" s="334">
        <f t="shared" si="9"/>
        <v>0</v>
      </c>
      <c r="L21"/>
      <c r="M21"/>
      <c r="N21" s="5"/>
    </row>
    <row r="22" spans="1:14" s="3" customFormat="1">
      <c r="A22" s="325" t="s">
        <v>771</v>
      </c>
      <c r="B22" s="325"/>
      <c r="C22" s="325" t="s">
        <v>772</v>
      </c>
      <c r="D22" s="325"/>
      <c r="E22" s="325"/>
      <c r="F22" s="325"/>
      <c r="G22" s="430">
        <f>2*$E$19*(1+$M$5)</f>
        <v>0</v>
      </c>
      <c r="H22" s="173">
        <v>5</v>
      </c>
      <c r="I22" s="333">
        <f t="shared" si="10"/>
        <v>0</v>
      </c>
      <c r="J22" s="334">
        <f t="shared" si="9"/>
        <v>0</v>
      </c>
      <c r="L22"/>
      <c r="M22"/>
      <c r="N22" s="5"/>
    </row>
    <row r="23" spans="1:14" s="3" customFormat="1">
      <c r="A23" s="325" t="s">
        <v>773</v>
      </c>
      <c r="B23" s="325"/>
      <c r="C23" s="325" t="s">
        <v>757</v>
      </c>
      <c r="D23" s="325"/>
      <c r="E23" s="325"/>
      <c r="F23" s="325"/>
      <c r="G23" s="430">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504</v>
      </c>
      <c r="D25" s="325" t="s">
        <v>775</v>
      </c>
      <c r="E25" s="136">
        <v>10</v>
      </c>
      <c r="F25" s="325"/>
      <c r="G25" s="339"/>
      <c r="H25" s="333"/>
      <c r="I25" s="333"/>
      <c r="J25" s="334"/>
      <c r="L25"/>
      <c r="M25"/>
      <c r="N25" s="5"/>
    </row>
    <row r="26" spans="1:14" s="3" customFormat="1">
      <c r="A26" s="325"/>
      <c r="B26" s="325"/>
      <c r="C26" s="325"/>
      <c r="D26" s="325" t="s">
        <v>776</v>
      </c>
      <c r="E26" s="136">
        <v>14</v>
      </c>
      <c r="F26" s="325"/>
      <c r="G26" s="430"/>
      <c r="H26" s="333"/>
      <c r="I26" s="333"/>
      <c r="J26" s="334"/>
      <c r="L26"/>
      <c r="M26"/>
      <c r="N26" s="5"/>
    </row>
    <row r="27" spans="1:14" s="3" customFormat="1">
      <c r="A27" s="325"/>
      <c r="B27" s="325"/>
      <c r="C27" s="325"/>
      <c r="D27" s="325" t="s">
        <v>777</v>
      </c>
      <c r="E27" s="433">
        <v>2</v>
      </c>
      <c r="F27" s="325"/>
      <c r="G27" s="430"/>
      <c r="H27" s="333"/>
      <c r="I27" s="333"/>
      <c r="J27" s="334"/>
      <c r="L27"/>
      <c r="M27"/>
      <c r="N27" s="5"/>
    </row>
    <row r="28" spans="1:14" s="3" customFormat="1">
      <c r="A28" s="325" t="s">
        <v>778</v>
      </c>
      <c r="B28" s="325"/>
      <c r="C28" s="325" t="s">
        <v>779</v>
      </c>
      <c r="D28" s="325"/>
      <c r="E28" s="325"/>
      <c r="F28" s="325"/>
      <c r="G28" s="430">
        <f>+E26*(1+$M$5)</f>
        <v>15.400000000000002</v>
      </c>
      <c r="H28" s="173">
        <v>10</v>
      </c>
      <c r="I28" s="333">
        <f t="shared" ref="I28:I30" si="11">H28*G28</f>
        <v>154.00000000000003</v>
      </c>
      <c r="J28" s="334">
        <f t="shared" ref="J28:J30" si="12">+I28*0.0725</f>
        <v>11.165000000000001</v>
      </c>
      <c r="L28"/>
      <c r="M28"/>
      <c r="N28" s="5"/>
    </row>
    <row r="29" spans="1:14" s="3" customFormat="1">
      <c r="A29" s="325" t="s">
        <v>780</v>
      </c>
      <c r="B29" s="325"/>
      <c r="C29" s="325" t="s">
        <v>781</v>
      </c>
      <c r="D29" s="325"/>
      <c r="E29" s="325"/>
      <c r="F29" s="325"/>
      <c r="G29" s="430">
        <f>+E25*(1+$M$5)</f>
        <v>11</v>
      </c>
      <c r="H29" s="173">
        <v>20</v>
      </c>
      <c r="I29" s="333">
        <f t="shared" si="11"/>
        <v>220</v>
      </c>
      <c r="J29" s="334">
        <f t="shared" si="12"/>
        <v>15.95</v>
      </c>
      <c r="L29"/>
      <c r="M29"/>
      <c r="N29" s="5"/>
    </row>
    <row r="30" spans="1:14" s="3" customFormat="1">
      <c r="A30" s="325" t="s">
        <v>782</v>
      </c>
      <c r="B30" s="325"/>
      <c r="C30" s="325" t="s">
        <v>783</v>
      </c>
      <c r="D30" s="325"/>
      <c r="E30" s="325"/>
      <c r="F30" s="325"/>
      <c r="G30" s="430">
        <f>+E25*E26/(10/2)*(1+$M$5)</f>
        <v>30.800000000000004</v>
      </c>
      <c r="H30" s="173">
        <v>7</v>
      </c>
      <c r="I30" s="333">
        <f t="shared" si="11"/>
        <v>215.60000000000002</v>
      </c>
      <c r="J30" s="334">
        <f t="shared" si="12"/>
        <v>15.631</v>
      </c>
      <c r="L30"/>
      <c r="M30"/>
      <c r="N30" s="5"/>
    </row>
    <row r="31" spans="1:14" s="3" customFormat="1">
      <c r="A31" s="325" t="s">
        <v>784</v>
      </c>
      <c r="B31" s="325"/>
      <c r="C31" s="325" t="s">
        <v>785</v>
      </c>
      <c r="D31" s="325"/>
      <c r="E31" s="325"/>
      <c r="F31" s="325"/>
      <c r="G31" s="430">
        <f>1.5*$E$27</f>
        <v>3</v>
      </c>
      <c r="H31" s="173">
        <v>12</v>
      </c>
      <c r="I31" s="333">
        <f t="shared" ref="I31" si="13">H31*G31</f>
        <v>36</v>
      </c>
      <c r="J31" s="334">
        <f t="shared" ref="J31" si="14">+I31*0.0725</f>
        <v>2.61</v>
      </c>
      <c r="L31"/>
      <c r="M31"/>
      <c r="N31" s="5"/>
    </row>
    <row r="32" spans="1:14" s="3" customFormat="1">
      <c r="A32" s="325" t="s">
        <v>786</v>
      </c>
      <c r="B32" s="325"/>
      <c r="C32" s="325" t="s">
        <v>781</v>
      </c>
      <c r="D32" s="325"/>
      <c r="E32" s="325"/>
      <c r="F32" s="325"/>
      <c r="G32" s="430">
        <f>+E26/14</f>
        <v>1</v>
      </c>
      <c r="H32" s="173">
        <v>20</v>
      </c>
      <c r="I32" s="333">
        <f t="shared" ref="I32:I34" si="15">H32*G32</f>
        <v>20</v>
      </c>
      <c r="J32" s="334">
        <f t="shared" ref="J32:J34" si="16">+I32*0.0725</f>
        <v>1.45</v>
      </c>
      <c r="L32"/>
      <c r="M32"/>
      <c r="N32" s="5"/>
    </row>
    <row r="33" spans="1:14" s="3" customFormat="1">
      <c r="A33" s="325" t="s">
        <v>443</v>
      </c>
      <c r="B33" s="325"/>
      <c r="C33" s="325" t="s">
        <v>787</v>
      </c>
      <c r="D33" s="325"/>
      <c r="E33" s="325"/>
      <c r="F33" s="325"/>
      <c r="G33" s="430">
        <f>+G31*2*2.5</f>
        <v>15</v>
      </c>
      <c r="H33" s="173">
        <v>6</v>
      </c>
      <c r="I33" s="333">
        <f t="shared" si="15"/>
        <v>90</v>
      </c>
      <c r="J33" s="334">
        <f t="shared" si="16"/>
        <v>6.5249999999999995</v>
      </c>
      <c r="L33"/>
      <c r="M33"/>
      <c r="N33" s="5"/>
    </row>
    <row r="34" spans="1:14" s="3" customFormat="1">
      <c r="A34" s="325" t="s">
        <v>788</v>
      </c>
      <c r="B34" s="325"/>
      <c r="C34" s="325" t="s">
        <v>789</v>
      </c>
      <c r="D34" s="325"/>
      <c r="E34" s="325"/>
      <c r="F34" s="325"/>
      <c r="G34" s="430">
        <v>1</v>
      </c>
      <c r="H34" s="173">
        <v>100</v>
      </c>
      <c r="I34" s="333">
        <f t="shared" si="15"/>
        <v>100</v>
      </c>
      <c r="J34" s="334">
        <f t="shared" si="16"/>
        <v>7.2499999999999991</v>
      </c>
      <c r="L34"/>
      <c r="M34"/>
      <c r="N34" s="5"/>
    </row>
    <row r="35" spans="1:14" s="3" customFormat="1">
      <c r="A35" s="325"/>
      <c r="B35" s="325"/>
      <c r="C35" s="325"/>
      <c r="D35" s="325" t="s">
        <v>790</v>
      </c>
      <c r="E35" s="136">
        <v>24</v>
      </c>
      <c r="F35" s="325"/>
      <c r="G35" s="430"/>
      <c r="H35" s="333"/>
      <c r="I35" s="333"/>
      <c r="J35" s="334"/>
      <c r="L35"/>
      <c r="M35"/>
      <c r="N35" s="5"/>
    </row>
    <row r="36" spans="1:14" s="3" customFormat="1">
      <c r="A36" s="325"/>
      <c r="B36" s="325"/>
      <c r="C36" s="330" t="s">
        <v>791</v>
      </c>
      <c r="D36" s="325"/>
      <c r="E36" s="325"/>
      <c r="F36" s="325"/>
      <c r="G36" s="430"/>
      <c r="H36" s="333"/>
      <c r="I36" s="333"/>
      <c r="J36" s="334"/>
      <c r="L36"/>
      <c r="M36"/>
      <c r="N36" s="5"/>
    </row>
    <row r="37" spans="1:14" s="3" customFormat="1">
      <c r="A37" s="325" t="s">
        <v>792</v>
      </c>
      <c r="B37" s="325"/>
      <c r="C37" s="325" t="s">
        <v>793</v>
      </c>
      <c r="D37" s="325"/>
      <c r="E37" s="325"/>
      <c r="F37" s="325"/>
      <c r="G37" s="430">
        <f>2*$E$35/12</f>
        <v>4</v>
      </c>
      <c r="H37" s="173">
        <v>7.5</v>
      </c>
      <c r="I37" s="333">
        <f t="shared" ref="I37:I39" si="17">H37*G37</f>
        <v>30</v>
      </c>
      <c r="J37" s="334">
        <f t="shared" ref="J37:J39" si="18">+I37*0.0725</f>
        <v>2.1749999999999998</v>
      </c>
      <c r="L37"/>
      <c r="M37"/>
      <c r="N37" s="5"/>
    </row>
    <row r="38" spans="1:14" s="3" customFormat="1">
      <c r="A38" s="325" t="s">
        <v>794</v>
      </c>
      <c r="B38" s="325"/>
      <c r="C38" s="325" t="s">
        <v>795</v>
      </c>
      <c r="D38" s="325"/>
      <c r="E38" s="325"/>
      <c r="F38" s="325"/>
      <c r="G38" s="430">
        <f>2.5*$E$35</f>
        <v>60</v>
      </c>
      <c r="H38" s="173">
        <v>1.5</v>
      </c>
      <c r="I38" s="333">
        <f t="shared" si="17"/>
        <v>90</v>
      </c>
      <c r="J38" s="334">
        <f t="shared" si="18"/>
        <v>6.5249999999999995</v>
      </c>
      <c r="L38"/>
      <c r="M38"/>
      <c r="N38" s="5"/>
    </row>
    <row r="39" spans="1:14" s="3" customFormat="1">
      <c r="A39" s="325" t="s">
        <v>796</v>
      </c>
      <c r="B39" s="325"/>
      <c r="C39" s="325" t="s">
        <v>797</v>
      </c>
      <c r="D39" s="325"/>
      <c r="E39" s="325"/>
      <c r="F39" s="325"/>
      <c r="G39" s="430">
        <f>$E$35/6</f>
        <v>4</v>
      </c>
      <c r="H39" s="173">
        <v>12</v>
      </c>
      <c r="I39" s="333">
        <f t="shared" si="17"/>
        <v>48</v>
      </c>
      <c r="J39" s="334">
        <f t="shared" si="18"/>
        <v>3.4799999999999995</v>
      </c>
      <c r="L39"/>
      <c r="M39"/>
      <c r="N39" s="5"/>
    </row>
    <row r="40" spans="1:14" s="3" customFormat="1">
      <c r="A40" s="325"/>
      <c r="B40" s="325"/>
      <c r="C40" s="325"/>
      <c r="D40" s="325" t="s">
        <v>798</v>
      </c>
      <c r="E40" s="136">
        <v>1</v>
      </c>
      <c r="F40" s="325"/>
      <c r="G40" s="430"/>
      <c r="H40" s="333"/>
      <c r="I40" s="333"/>
      <c r="J40" s="334"/>
      <c r="L40"/>
      <c r="M40"/>
      <c r="N40" s="5"/>
    </row>
    <row r="41" spans="1:14" s="3" customFormat="1" ht="14.25" customHeight="1">
      <c r="A41" s="325"/>
      <c r="B41" s="325"/>
      <c r="C41" s="325"/>
      <c r="D41" s="325" t="s">
        <v>799</v>
      </c>
      <c r="E41" s="136">
        <v>4</v>
      </c>
      <c r="F41" s="325"/>
      <c r="G41" s="430"/>
      <c r="H41" s="333"/>
      <c r="I41" s="333"/>
      <c r="J41" s="334"/>
      <c r="L41"/>
      <c r="M41"/>
      <c r="N41" s="5"/>
    </row>
    <row r="42" spans="1:14" s="3" customFormat="1" ht="14.25" customHeight="1">
      <c r="A42" s="325"/>
      <c r="B42" s="325"/>
      <c r="C42" s="325"/>
      <c r="D42" s="325" t="s">
        <v>800</v>
      </c>
      <c r="E42" s="433">
        <v>3</v>
      </c>
      <c r="F42" s="325"/>
      <c r="G42" s="430"/>
      <c r="H42" s="333"/>
      <c r="I42" s="333"/>
      <c r="J42" s="334"/>
      <c r="L42"/>
      <c r="M42"/>
      <c r="N42" s="5"/>
    </row>
    <row r="43" spans="1:14" s="3" customFormat="1" ht="14.25" customHeight="1">
      <c r="A43" s="325"/>
      <c r="B43" s="325"/>
      <c r="C43" s="330" t="s">
        <v>801</v>
      </c>
      <c r="D43" s="325"/>
      <c r="E43" s="325"/>
      <c r="F43" s="325"/>
      <c r="G43" s="430"/>
      <c r="H43" s="333"/>
      <c r="I43" s="333"/>
      <c r="J43" s="334"/>
      <c r="L43"/>
      <c r="M43"/>
      <c r="N43" s="5"/>
    </row>
    <row r="44" spans="1:14" s="3" customFormat="1" ht="14.25" customHeight="1">
      <c r="A44" s="325" t="s">
        <v>802</v>
      </c>
      <c r="B44" s="325"/>
      <c r="C44" s="325" t="s">
        <v>803</v>
      </c>
      <c r="D44" s="325"/>
      <c r="E44" s="325"/>
      <c r="F44" s="325"/>
      <c r="G44" s="430">
        <f>+(E41/2) + 1</f>
        <v>3</v>
      </c>
      <c r="H44" s="173">
        <v>18</v>
      </c>
      <c r="I44" s="333">
        <f t="shared" ref="I44:I46" si="19">H44*G44</f>
        <v>54</v>
      </c>
      <c r="J44" s="334">
        <f t="shared" ref="J44:J46" si="20">+I44*0.0725</f>
        <v>3.9149999999999996</v>
      </c>
      <c r="L44"/>
      <c r="M44"/>
      <c r="N44" s="5"/>
    </row>
    <row r="45" spans="1:14" s="3" customFormat="1" ht="14.25" customHeight="1">
      <c r="A45" s="325" t="s">
        <v>804</v>
      </c>
      <c r="B45" s="325"/>
      <c r="C45" s="325" t="s">
        <v>805</v>
      </c>
      <c r="D45" s="325"/>
      <c r="E45" s="325"/>
      <c r="F45" s="325"/>
      <c r="G45" s="430">
        <f>2*E42*E41/10</f>
        <v>2.4</v>
      </c>
      <c r="H45" s="173">
        <v>7</v>
      </c>
      <c r="I45" s="333">
        <f t="shared" si="19"/>
        <v>16.8</v>
      </c>
      <c r="J45" s="334">
        <f t="shared" si="20"/>
        <v>1.218</v>
      </c>
      <c r="L45"/>
      <c r="M45"/>
      <c r="N45" s="5"/>
    </row>
    <row r="46" spans="1:14" s="3" customFormat="1" ht="14.25" customHeight="1">
      <c r="A46" s="325" t="s">
        <v>806</v>
      </c>
      <c r="B46" s="325"/>
      <c r="C46" s="325" t="s">
        <v>807</v>
      </c>
      <c r="D46" s="325"/>
      <c r="E46" s="325"/>
      <c r="F46" s="325"/>
      <c r="G46" s="430">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0"/>
      <c r="H47" s="173"/>
      <c r="I47" s="333"/>
      <c r="J47" s="334"/>
      <c r="L47"/>
      <c r="M47"/>
      <c r="N47" s="5"/>
    </row>
    <row r="48" spans="1:14" s="3" customFormat="1" ht="14.25" customHeight="1">
      <c r="A48" s="325"/>
      <c r="B48" s="325"/>
      <c r="C48" s="330" t="s">
        <v>462</v>
      </c>
      <c r="D48" s="325"/>
      <c r="E48" s="325"/>
      <c r="F48" s="325"/>
      <c r="G48" s="430"/>
      <c r="H48" s="173"/>
      <c r="I48" s="333"/>
      <c r="J48" s="334"/>
      <c r="L48"/>
      <c r="M48"/>
      <c r="N48" s="5"/>
    </row>
    <row r="49" spans="1:14" s="3" customFormat="1" ht="14.25" customHeight="1">
      <c r="A49" s="325" t="s">
        <v>808</v>
      </c>
      <c r="B49" s="325"/>
      <c r="C49" s="325" t="s">
        <v>809</v>
      </c>
      <c r="D49" s="325"/>
      <c r="E49" s="325"/>
      <c r="F49" s="325"/>
      <c r="G49" s="430">
        <f>+G6</f>
        <v>11.220000000000002</v>
      </c>
      <c r="H49" s="173">
        <v>6.42</v>
      </c>
      <c r="I49" s="333">
        <f t="shared" ref="I49" si="21">H49*G49</f>
        <v>72.03240000000001</v>
      </c>
      <c r="J49" s="334">
        <f t="shared" ref="J49" si="22">+I49*0.0725</f>
        <v>5.2223490000000004</v>
      </c>
      <c r="L49" t="s">
        <v>810</v>
      </c>
      <c r="M49"/>
      <c r="N49" s="5"/>
    </row>
    <row r="50" spans="1:14" s="3" customFormat="1" ht="14.25" customHeight="1">
      <c r="A50" s="325" t="s">
        <v>811</v>
      </c>
      <c r="B50" s="325"/>
      <c r="C50" s="325" t="s">
        <v>812</v>
      </c>
      <c r="D50" s="325"/>
      <c r="E50" s="325"/>
      <c r="F50" s="325"/>
      <c r="G50" s="430">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0"/>
      <c r="H51" s="173"/>
      <c r="I51" s="333"/>
      <c r="J51" s="334"/>
      <c r="L51"/>
      <c r="M51"/>
      <c r="N51" s="5"/>
    </row>
    <row r="52" spans="1:14" s="3" customFormat="1" ht="14.25" customHeight="1">
      <c r="A52" s="325"/>
      <c r="B52" s="325"/>
      <c r="C52" s="325" t="s">
        <v>813</v>
      </c>
      <c r="D52" s="325"/>
      <c r="E52" s="325"/>
      <c r="F52" s="325"/>
      <c r="G52" s="430"/>
      <c r="H52" s="173"/>
      <c r="I52" s="333"/>
      <c r="J52" s="334"/>
      <c r="L52"/>
      <c r="M52"/>
      <c r="N52" s="5"/>
    </row>
    <row r="53" spans="1:14" s="3" customFormat="1" ht="14.25" customHeight="1">
      <c r="A53" s="325"/>
      <c r="B53" s="325"/>
      <c r="C53" s="325"/>
      <c r="D53" s="325"/>
      <c r="E53" s="325"/>
      <c r="F53" s="325"/>
      <c r="G53" s="430"/>
      <c r="H53" s="173"/>
      <c r="I53" s="333"/>
      <c r="J53" s="334"/>
      <c r="L53"/>
      <c r="M53"/>
      <c r="N53" s="5"/>
    </row>
    <row r="54" spans="1:14" s="3" customFormat="1" ht="14.25" customHeight="1">
      <c r="A54" s="325"/>
      <c r="B54" s="325"/>
      <c r="C54" s="325"/>
      <c r="D54" s="325"/>
      <c r="E54" s="325"/>
      <c r="F54" s="325"/>
      <c r="G54" s="430"/>
      <c r="H54" s="173"/>
      <c r="I54" s="333"/>
      <c r="J54" s="334"/>
      <c r="L54"/>
      <c r="M54"/>
      <c r="N54" s="5"/>
    </row>
    <row r="55" spans="1:14" s="3" customFormat="1" ht="14.25" customHeight="1">
      <c r="A55" s="325"/>
      <c r="B55" s="325"/>
      <c r="C55" s="325"/>
      <c r="D55" s="325"/>
      <c r="E55" s="325"/>
      <c r="F55" s="325"/>
      <c r="G55" s="430"/>
      <c r="H55" s="173"/>
      <c r="I55" s="333"/>
      <c r="J55" s="334"/>
      <c r="L55"/>
      <c r="M55"/>
      <c r="N55" s="5"/>
    </row>
    <row r="56" spans="1:14" s="3" customFormat="1" ht="14.25" customHeight="1">
      <c r="A56" s="325"/>
      <c r="B56" s="325"/>
      <c r="C56" s="325"/>
      <c r="D56" s="325"/>
      <c r="E56" s="325"/>
      <c r="F56" s="325"/>
      <c r="G56" s="430"/>
      <c r="H56" s="173"/>
      <c r="I56" s="333"/>
      <c r="J56" s="334"/>
      <c r="L56"/>
      <c r="M56"/>
      <c r="N56" s="5"/>
    </row>
    <row r="57" spans="1:14" s="3" customFormat="1" ht="14.25" customHeight="1">
      <c r="A57" s="325"/>
      <c r="B57" s="325"/>
      <c r="C57" s="325"/>
      <c r="D57" s="325"/>
      <c r="E57" s="325"/>
      <c r="F57" s="325"/>
      <c r="G57" s="430"/>
      <c r="H57" s="173"/>
      <c r="I57" s="333"/>
      <c r="J57" s="334"/>
      <c r="L57"/>
      <c r="M57"/>
      <c r="N57" s="5"/>
    </row>
    <row r="58" spans="1:14" s="3" customFormat="1" ht="14.25" customHeight="1">
      <c r="A58" s="325"/>
      <c r="B58" s="325"/>
      <c r="C58" s="325" t="s">
        <v>814</v>
      </c>
      <c r="D58" s="325"/>
      <c r="E58" s="325"/>
      <c r="F58" s="325"/>
      <c r="G58" s="430"/>
      <c r="H58" s="173"/>
      <c r="I58" s="333"/>
      <c r="J58" s="334"/>
      <c r="L58"/>
      <c r="M58"/>
      <c r="N58" s="5"/>
    </row>
    <row r="59" spans="1:14" s="3" customFormat="1" ht="14.25" customHeight="1">
      <c r="A59" s="325"/>
      <c r="B59" s="325"/>
      <c r="C59" s="325" t="s">
        <v>815</v>
      </c>
      <c r="D59" s="325"/>
      <c r="E59" s="325"/>
      <c r="F59" s="325"/>
      <c r="G59" s="430">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0"/>
      <c r="H60" s="173"/>
      <c r="I60" s="333"/>
      <c r="J60" s="334"/>
      <c r="L60"/>
      <c r="M60"/>
      <c r="N60" s="5"/>
    </row>
    <row r="61" spans="1:14" s="3" customFormat="1" ht="14.25" customHeight="1">
      <c r="A61" s="325"/>
      <c r="B61" s="325"/>
      <c r="C61" s="325"/>
      <c r="D61" s="325"/>
      <c r="E61" s="325"/>
      <c r="F61" s="325"/>
      <c r="G61" s="430"/>
      <c r="H61" s="173"/>
      <c r="I61" s="333"/>
      <c r="J61" s="334"/>
      <c r="L61"/>
      <c r="M61"/>
      <c r="N61" s="5"/>
    </row>
    <row r="62" spans="1:14" s="3" customFormat="1" ht="14.25" customHeight="1">
      <c r="A62" s="325"/>
      <c r="B62" s="325"/>
      <c r="C62" s="325"/>
      <c r="D62" s="325"/>
      <c r="E62" s="325"/>
      <c r="F62" s="325"/>
      <c r="G62" s="430"/>
      <c r="H62" s="333"/>
      <c r="I62" s="333"/>
      <c r="J62" s="334"/>
      <c r="L62"/>
      <c r="M62"/>
      <c r="N62" s="5"/>
    </row>
    <row r="63" spans="1:14">
      <c r="A63" s="325"/>
      <c r="B63" s="325"/>
      <c r="C63" s="431"/>
      <c r="D63" s="325"/>
      <c r="E63" s="337"/>
      <c r="F63" s="325"/>
      <c r="G63" s="340"/>
      <c r="H63" s="333"/>
      <c r="I63" s="333"/>
      <c r="J63" s="338"/>
      <c r="K63"/>
    </row>
    <row r="64" spans="1:14" s="3" customFormat="1">
      <c r="G64" s="788" t="s">
        <v>816</v>
      </c>
      <c r="H64" s="707"/>
      <c r="I64" s="707"/>
      <c r="J64" s="30"/>
      <c r="K64" s="1">
        <f>IF(M1="Yes",SUM(I4:I63)+SUM(J4:J63),0)</f>
        <v>0</v>
      </c>
      <c r="L64"/>
      <c r="M64"/>
      <c r="N64" s="5"/>
    </row>
    <row r="65" spans="1:14" s="3" customFormat="1">
      <c r="L65"/>
      <c r="M65"/>
      <c r="N65" s="5"/>
    </row>
    <row r="66" spans="1:14" s="3" customFormat="1">
      <c r="A66" t="s">
        <v>817</v>
      </c>
      <c r="B66"/>
      <c r="D66" s="32"/>
      <c r="L66"/>
      <c r="M66"/>
      <c r="N66" s="5"/>
    </row>
    <row r="67" spans="1:14">
      <c r="C67" s="95" t="s">
        <v>818</v>
      </c>
      <c r="D67" s="95"/>
      <c r="F67" s="95" t="s">
        <v>819</v>
      </c>
      <c r="G67" s="179">
        <v>0</v>
      </c>
      <c r="H67" s="173">
        <v>68.540000000000006</v>
      </c>
      <c r="I67" s="5">
        <f t="shared" ref="I67:I80" si="25">+G67*H67</f>
        <v>0</v>
      </c>
      <c r="J67" s="26">
        <f t="shared" ref="J67:J80" si="26">+I67*0.0725</f>
        <v>0</v>
      </c>
      <c r="K67"/>
      <c r="N67" s="5"/>
    </row>
    <row r="68" spans="1:14">
      <c r="C68" s="95" t="s">
        <v>820</v>
      </c>
      <c r="D68" s="95" t="s">
        <v>821</v>
      </c>
      <c r="F68" s="95" t="s">
        <v>822</v>
      </c>
      <c r="G68" s="179">
        <v>0</v>
      </c>
      <c r="H68" s="173">
        <f>35.99*5</f>
        <v>179.95000000000002</v>
      </c>
      <c r="I68" s="5">
        <f t="shared" si="25"/>
        <v>0</v>
      </c>
      <c r="J68" s="26">
        <f t="shared" si="26"/>
        <v>0</v>
      </c>
      <c r="K68"/>
      <c r="N68" s="5"/>
    </row>
    <row r="69" spans="1:14">
      <c r="C69" s="95" t="s">
        <v>820</v>
      </c>
      <c r="D69" s="95" t="s">
        <v>823</v>
      </c>
      <c r="F69" s="95" t="s">
        <v>822</v>
      </c>
      <c r="G69" s="179">
        <v>0</v>
      </c>
      <c r="H69" s="173">
        <f>35.99*5</f>
        <v>179.95000000000002</v>
      </c>
      <c r="I69" s="5">
        <f t="shared" si="25"/>
        <v>0</v>
      </c>
      <c r="J69" s="26">
        <f t="shared" si="26"/>
        <v>0</v>
      </c>
      <c r="K69"/>
      <c r="N69" s="5"/>
    </row>
    <row r="70" spans="1:14">
      <c r="C70" s="95" t="s">
        <v>818</v>
      </c>
      <c r="D70" s="95"/>
      <c r="F70" s="95" t="s">
        <v>824</v>
      </c>
      <c r="G70" s="179">
        <v>0</v>
      </c>
      <c r="H70" s="173">
        <v>85.89</v>
      </c>
      <c r="I70" s="5">
        <f t="shared" si="25"/>
        <v>0</v>
      </c>
      <c r="J70" s="26">
        <f t="shared" si="26"/>
        <v>0</v>
      </c>
      <c r="K70"/>
    </row>
    <row r="71" spans="1:14">
      <c r="A71" t="s">
        <v>1182</v>
      </c>
      <c r="C71" s="95"/>
      <c r="D71" s="95"/>
      <c r="F71" s="95"/>
      <c r="G71" s="179"/>
      <c r="H71" s="173"/>
      <c r="J71" s="26"/>
      <c r="K71"/>
    </row>
    <row r="72" spans="1:14">
      <c r="B72" s="107">
        <v>46149</v>
      </c>
      <c r="C72" s="95" t="s">
        <v>1183</v>
      </c>
      <c r="D72" s="95"/>
      <c r="F72" s="95">
        <v>312276</v>
      </c>
      <c r="G72" s="179">
        <v>1</v>
      </c>
      <c r="H72" s="173">
        <v>-22.17</v>
      </c>
      <c r="I72" s="5">
        <f>+G72*H72</f>
        <v>-22.17</v>
      </c>
      <c r="J72" s="26">
        <f t="shared" si="26"/>
        <v>-1.6073250000000001</v>
      </c>
      <c r="K72"/>
    </row>
    <row r="73" spans="1:14">
      <c r="C73" s="95" t="s">
        <v>1184</v>
      </c>
      <c r="D73" s="95"/>
      <c r="F73" s="95">
        <v>313813</v>
      </c>
      <c r="G73" s="179">
        <v>3</v>
      </c>
      <c r="H73" s="173">
        <v>-40.97</v>
      </c>
      <c r="I73" s="5">
        <f t="shared" si="25"/>
        <v>-122.91</v>
      </c>
      <c r="J73" s="26">
        <f t="shared" si="26"/>
        <v>-8.9109749999999988</v>
      </c>
      <c r="K73"/>
    </row>
    <row r="74" spans="1:14">
      <c r="C74" s="95" t="s">
        <v>1185</v>
      </c>
      <c r="D74" s="95"/>
      <c r="F74" s="95">
        <v>312520</v>
      </c>
      <c r="G74" s="179">
        <v>6</v>
      </c>
      <c r="H74" s="173">
        <v>-12.3</v>
      </c>
      <c r="I74" s="5">
        <f t="shared" si="25"/>
        <v>-73.800000000000011</v>
      </c>
      <c r="J74" s="26">
        <f t="shared" si="26"/>
        <v>-5.3505000000000003</v>
      </c>
      <c r="K74"/>
    </row>
    <row r="75" spans="1:14">
      <c r="C75" s="95" t="s">
        <v>1186</v>
      </c>
      <c r="D75" s="95"/>
      <c r="F75" s="95">
        <v>197672</v>
      </c>
      <c r="G75" s="179">
        <v>1</v>
      </c>
      <c r="H75" s="173">
        <v>-13.05</v>
      </c>
      <c r="I75" s="5">
        <f t="shared" si="25"/>
        <v>-13.05</v>
      </c>
      <c r="J75" s="26">
        <f t="shared" si="26"/>
        <v>-0.94612499999999999</v>
      </c>
      <c r="K75"/>
    </row>
    <row r="76" spans="1:14">
      <c r="C76" s="95" t="s">
        <v>1187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825</v>
      </c>
      <c r="C78" s="95"/>
      <c r="D78" s="95"/>
      <c r="F78" s="95"/>
      <c r="G78" s="179"/>
      <c r="H78" s="173"/>
      <c r="I78" s="5">
        <f t="shared" si="25"/>
        <v>0</v>
      </c>
      <c r="J78" s="26">
        <f t="shared" si="26"/>
        <v>0</v>
      </c>
      <c r="K78"/>
    </row>
    <row r="79" spans="1:14">
      <c r="C79" s="95" t="s">
        <v>826</v>
      </c>
      <c r="D79" s="95"/>
      <c r="F79" s="95" t="s">
        <v>827</v>
      </c>
      <c r="G79" s="179">
        <v>0</v>
      </c>
      <c r="H79" s="173">
        <v>109.95</v>
      </c>
      <c r="I79" s="5">
        <f t="shared" si="25"/>
        <v>0</v>
      </c>
      <c r="J79" s="26">
        <f t="shared" si="26"/>
        <v>0</v>
      </c>
      <c r="K79"/>
    </row>
    <row r="80" spans="1:14">
      <c r="C80" s="95" t="s">
        <v>828</v>
      </c>
      <c r="D80" s="95"/>
      <c r="F80" s="95" t="s">
        <v>829</v>
      </c>
      <c r="G80" s="179">
        <v>0</v>
      </c>
      <c r="H80" s="173">
        <v>65.64</v>
      </c>
      <c r="I80" s="5">
        <f t="shared" si="25"/>
        <v>0</v>
      </c>
      <c r="J80" s="26">
        <f t="shared" si="26"/>
        <v>0</v>
      </c>
      <c r="K80"/>
    </row>
    <row r="82" spans="1:11">
      <c r="K82"/>
    </row>
    <row r="83" spans="1:11">
      <c r="C83" s="95" t="s">
        <v>830</v>
      </c>
      <c r="D83" s="95"/>
      <c r="F83" s="95" t="s">
        <v>831</v>
      </c>
      <c r="G83" s="179"/>
      <c r="H83" s="173">
        <v>33.99</v>
      </c>
      <c r="I83" s="5">
        <f>+G83*H83</f>
        <v>0</v>
      </c>
      <c r="J83" s="26">
        <f>+I83*0.0725</f>
        <v>0</v>
      </c>
      <c r="K83"/>
    </row>
    <row r="84" spans="1:11">
      <c r="C84" s="95" t="s">
        <v>832</v>
      </c>
      <c r="D84" s="95"/>
      <c r="F84" s="95" t="s">
        <v>831</v>
      </c>
      <c r="G84" s="179"/>
      <c r="H84" s="173">
        <v>33.99</v>
      </c>
      <c r="I84" s="5">
        <f t="shared" ref="I84:I93" si="27">+G84*H84</f>
        <v>0</v>
      </c>
      <c r="J84" s="26">
        <f t="shared" ref="J84:J93" si="28">+I84*0.0725</f>
        <v>0</v>
      </c>
      <c r="K84"/>
    </row>
    <row r="85" spans="1:11">
      <c r="A85" t="s">
        <v>833</v>
      </c>
      <c r="C85" s="95" t="s">
        <v>834</v>
      </c>
      <c r="D85" s="95"/>
      <c r="F85" s="95">
        <v>185342</v>
      </c>
      <c r="G85" s="179"/>
      <c r="H85" s="179">
        <f>147/5</f>
        <v>29.4</v>
      </c>
      <c r="I85" s="5">
        <f t="shared" si="27"/>
        <v>0</v>
      </c>
      <c r="J85" s="26">
        <f t="shared" si="28"/>
        <v>0</v>
      </c>
      <c r="K85"/>
    </row>
    <row r="86" spans="1:11">
      <c r="C86" s="95" t="s">
        <v>835</v>
      </c>
      <c r="D86" s="95"/>
      <c r="F86" s="95" t="s">
        <v>836</v>
      </c>
      <c r="G86" s="179">
        <v>0</v>
      </c>
      <c r="H86" s="173">
        <f>5*25.79</f>
        <v>128.94999999999999</v>
      </c>
      <c r="I86" s="5">
        <f t="shared" si="27"/>
        <v>0</v>
      </c>
      <c r="J86" s="26">
        <f t="shared" si="28"/>
        <v>0</v>
      </c>
      <c r="K86"/>
    </row>
    <row r="87" spans="1:11">
      <c r="A87" t="s">
        <v>462</v>
      </c>
      <c r="C87" s="95"/>
      <c r="D87" s="95"/>
      <c r="F87" s="95"/>
      <c r="G87" s="179"/>
      <c r="H87" s="173"/>
      <c r="I87" s="5">
        <f t="shared" si="27"/>
        <v>0</v>
      </c>
      <c r="J87" s="26">
        <f t="shared" si="28"/>
        <v>0</v>
      </c>
      <c r="K87"/>
    </row>
    <row r="88" spans="1:11">
      <c r="C88" s="95" t="s">
        <v>837</v>
      </c>
      <c r="D88" s="95"/>
      <c r="F88" s="95" t="s">
        <v>838</v>
      </c>
      <c r="G88" s="179">
        <v>0</v>
      </c>
      <c r="H88" s="173">
        <f>5*63.05</f>
        <v>315.25</v>
      </c>
      <c r="I88" s="5">
        <f t="shared" si="27"/>
        <v>0</v>
      </c>
      <c r="J88" s="26">
        <f t="shared" si="28"/>
        <v>0</v>
      </c>
      <c r="K88"/>
    </row>
    <row r="89" spans="1:11">
      <c r="C89" s="95" t="s">
        <v>839</v>
      </c>
      <c r="D89" s="95"/>
      <c r="F89" s="95">
        <v>389832</v>
      </c>
      <c r="G89" s="179">
        <v>0</v>
      </c>
      <c r="H89" s="173">
        <v>39.979999999999997</v>
      </c>
      <c r="I89" s="5">
        <f t="shared" si="27"/>
        <v>0</v>
      </c>
      <c r="J89" s="26">
        <f t="shared" si="28"/>
        <v>0</v>
      </c>
      <c r="K89"/>
    </row>
    <row r="90" spans="1:11">
      <c r="C90" s="95" t="s">
        <v>840</v>
      </c>
      <c r="D90" s="95"/>
      <c r="F90" s="95">
        <v>985007</v>
      </c>
      <c r="G90" s="179"/>
      <c r="H90" s="173">
        <v>52.23</v>
      </c>
      <c r="I90" s="5">
        <f t="shared" si="27"/>
        <v>0</v>
      </c>
      <c r="J90" s="26">
        <f t="shared" si="28"/>
        <v>0</v>
      </c>
      <c r="K90"/>
    </row>
    <row r="91" spans="1:11">
      <c r="C91" s="95" t="s">
        <v>841</v>
      </c>
      <c r="D91" s="95"/>
      <c r="F91" s="95">
        <v>814917</v>
      </c>
      <c r="G91" s="179"/>
      <c r="H91" s="173">
        <f>109/5</f>
        <v>21.8</v>
      </c>
      <c r="I91" s="5">
        <f t="shared" si="27"/>
        <v>0</v>
      </c>
      <c r="J91" s="26">
        <f t="shared" si="28"/>
        <v>0</v>
      </c>
      <c r="K91"/>
    </row>
    <row r="92" spans="1:11">
      <c r="C92" s="95" t="s">
        <v>842</v>
      </c>
      <c r="D92" s="95"/>
      <c r="F92" s="95" t="s">
        <v>843</v>
      </c>
      <c r="G92" s="179">
        <v>0</v>
      </c>
      <c r="H92" s="173">
        <v>40</v>
      </c>
      <c r="I92" s="5">
        <f t="shared" si="27"/>
        <v>0</v>
      </c>
      <c r="J92" s="26">
        <f t="shared" si="28"/>
        <v>0</v>
      </c>
      <c r="K92"/>
    </row>
    <row r="93" spans="1:11">
      <c r="C93" s="2" t="s">
        <v>844</v>
      </c>
      <c r="F93" s="95" t="s">
        <v>845</v>
      </c>
      <c r="G93" s="179">
        <v>0</v>
      </c>
      <c r="H93" s="173">
        <v>50.24</v>
      </c>
      <c r="I93" s="5">
        <f t="shared" si="27"/>
        <v>0</v>
      </c>
      <c r="J93" s="26">
        <f t="shared" si="28"/>
        <v>0</v>
      </c>
    </row>
    <row r="94" spans="1:11">
      <c r="A94" t="s">
        <v>582</v>
      </c>
      <c r="D94" s="32"/>
      <c r="E94" s="96">
        <v>0</v>
      </c>
      <c r="G94"/>
      <c r="H94" s="5"/>
      <c r="J94" s="1"/>
      <c r="K94"/>
    </row>
    <row r="95" spans="1:11">
      <c r="C95" s="95" t="s">
        <v>846</v>
      </c>
      <c r="D95" s="95" t="s">
        <v>847</v>
      </c>
      <c r="E95" s="181"/>
      <c r="F95" s="95" t="s">
        <v>848</v>
      </c>
      <c r="G95" s="179">
        <v>0</v>
      </c>
      <c r="H95" s="173">
        <v>74.37</v>
      </c>
      <c r="I95" s="5">
        <f t="shared" ref="I95:I96" si="29">+G95*H95</f>
        <v>0</v>
      </c>
      <c r="J95" s="26">
        <f t="shared" ref="J95:J96" si="30">+I95*0.0725</f>
        <v>0</v>
      </c>
      <c r="K95"/>
    </row>
    <row r="96" spans="1:11">
      <c r="C96" s="95" t="s">
        <v>849</v>
      </c>
      <c r="D96" s="95"/>
      <c r="F96" s="95"/>
      <c r="G96" s="179"/>
      <c r="H96" s="173"/>
      <c r="I96" s="5">
        <f t="shared" si="29"/>
        <v>0</v>
      </c>
      <c r="J96" s="26">
        <f t="shared" si="30"/>
        <v>0</v>
      </c>
      <c r="K96"/>
    </row>
    <row r="97" spans="1:16">
      <c r="E97" s="121">
        <f>+E3</f>
        <v>102</v>
      </c>
      <c r="G97"/>
      <c r="H97" s="5"/>
      <c r="J97" s="1"/>
      <c r="K97"/>
    </row>
    <row r="98" spans="1:16">
      <c r="A98" t="s">
        <v>850</v>
      </c>
      <c r="D98" s="32"/>
      <c r="E98" s="96">
        <v>0</v>
      </c>
      <c r="G98"/>
      <c r="H98" s="5"/>
      <c r="J98" s="1"/>
      <c r="K98"/>
    </row>
    <row r="99" spans="1:16">
      <c r="C99" s="95" t="s">
        <v>851</v>
      </c>
      <c r="D99" s="95" t="s">
        <v>852</v>
      </c>
      <c r="E99" s="181"/>
      <c r="F99" s="95" t="s">
        <v>853</v>
      </c>
      <c r="G99" s="179"/>
      <c r="H99" s="173">
        <v>55.99</v>
      </c>
      <c r="I99" s="5">
        <f t="shared" ref="I99:I103" si="31">+G99*H99</f>
        <v>0</v>
      </c>
      <c r="J99" s="26">
        <f t="shared" ref="J99:J103" si="32">+I99*0.0725</f>
        <v>0</v>
      </c>
      <c r="K99"/>
    </row>
    <row r="100" spans="1:16">
      <c r="A100" t="s">
        <v>854</v>
      </c>
      <c r="D100" s="32"/>
      <c r="E100" s="96">
        <v>500</v>
      </c>
      <c r="G100" s="179"/>
      <c r="H100" s="173"/>
      <c r="I100" s="5">
        <f t="shared" si="31"/>
        <v>0</v>
      </c>
      <c r="J100" s="26">
        <f t="shared" si="32"/>
        <v>0</v>
      </c>
      <c r="K100"/>
    </row>
    <row r="101" spans="1:16">
      <c r="C101" s="95" t="s">
        <v>855</v>
      </c>
      <c r="D101" s="95"/>
      <c r="F101" s="95" t="s">
        <v>856</v>
      </c>
      <c r="G101" s="179">
        <v>0</v>
      </c>
      <c r="H101" s="173">
        <v>47.98</v>
      </c>
      <c r="I101" s="5">
        <f t="shared" si="31"/>
        <v>0</v>
      </c>
      <c r="J101" s="26">
        <f t="shared" si="32"/>
        <v>0</v>
      </c>
      <c r="K101"/>
    </row>
    <row r="102" spans="1:16">
      <c r="C102" s="2" t="s">
        <v>857</v>
      </c>
      <c r="F102" s="95" t="s">
        <v>858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8" t="s">
        <v>859</v>
      </c>
      <c r="H105" s="707"/>
      <c r="I105" s="707"/>
      <c r="J105" s="30"/>
      <c r="K105" s="1">
        <f>IF($M$1="No",SUM(I67:I104)+SUM(J67:J104),0)</f>
        <v>-310.864125</v>
      </c>
      <c r="P105" s="2"/>
    </row>
    <row r="107" spans="1:16">
      <c r="C107" s="2" t="s">
        <v>860</v>
      </c>
      <c r="G107"/>
      <c r="H107" s="5"/>
      <c r="I107" s="1"/>
      <c r="J107" s="1"/>
      <c r="K107"/>
    </row>
    <row r="108" spans="1:16">
      <c r="C108" s="95" t="s">
        <v>861</v>
      </c>
      <c r="D108" s="95"/>
      <c r="E108" s="121">
        <f>+$E$3</f>
        <v>102</v>
      </c>
      <c r="F108" s="95" t="s">
        <v>862</v>
      </c>
      <c r="G108" s="179">
        <v>0</v>
      </c>
      <c r="H108" s="173">
        <v>0</v>
      </c>
      <c r="I108" s="1">
        <f>IF(G108="yes",E108*#REF!,H108)</f>
        <v>0</v>
      </c>
      <c r="J108" s="1"/>
      <c r="K108"/>
    </row>
    <row r="109" spans="1:16">
      <c r="C109" s="95" t="s">
        <v>860</v>
      </c>
      <c r="D109" s="95"/>
      <c r="E109" s="121">
        <v>200</v>
      </c>
      <c r="F109" s="95" t="s">
        <v>504</v>
      </c>
      <c r="G109" s="179">
        <v>0</v>
      </c>
      <c r="H109" s="173">
        <v>0</v>
      </c>
      <c r="I109" s="1">
        <f>IF(G109="yes",E109*#REF!,H109)</f>
        <v>0</v>
      </c>
      <c r="J109" s="1"/>
      <c r="K109"/>
    </row>
    <row r="110" spans="1:16" ht="15.75" thickBot="1">
      <c r="C110" s="95" t="s">
        <v>860</v>
      </c>
      <c r="D110" s="95"/>
      <c r="E110" s="121">
        <f>+$E$3</f>
        <v>102</v>
      </c>
      <c r="F110" s="95" t="s">
        <v>863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686</v>
      </c>
      <c r="B1" s="3" t="s">
        <v>109</v>
      </c>
      <c r="C1" s="13" t="s">
        <v>687</v>
      </c>
      <c r="D1" s="3" t="s">
        <v>688</v>
      </c>
      <c r="E1" s="13" t="s">
        <v>689</v>
      </c>
      <c r="F1" s="3" t="s">
        <v>690</v>
      </c>
    </row>
    <row r="2" spans="1:10" ht="15.75" thickBot="1">
      <c r="A2" s="325" t="s">
        <v>865</v>
      </c>
      <c r="B2" s="326"/>
      <c r="C2" s="327"/>
      <c r="D2" s="326"/>
      <c r="E2" s="327"/>
      <c r="F2" s="327">
        <v>0</v>
      </c>
    </row>
    <row r="3" spans="1:10">
      <c r="A3" s="325" t="s">
        <v>866</v>
      </c>
      <c r="B3" s="328"/>
      <c r="C3" s="327" t="s">
        <v>867</v>
      </c>
      <c r="D3" s="326">
        <v>4</v>
      </c>
      <c r="E3" s="327">
        <v>75</v>
      </c>
      <c r="F3" s="327">
        <f>IF($I$3="Yes",+D3*E3,0)</f>
        <v>0</v>
      </c>
      <c r="H3" s="789" t="s">
        <v>9</v>
      </c>
      <c r="I3" s="789" t="str">
        <f>IF(Profit!$Q$6,IF(J3,"Yes","N0"),"no")</f>
        <v>N0</v>
      </c>
      <c r="J3" s="791" t="b">
        <v>0</v>
      </c>
    </row>
    <row r="4" spans="1:10" ht="15.75" thickBot="1">
      <c r="A4" s="325" t="s">
        <v>866</v>
      </c>
      <c r="B4" s="329"/>
      <c r="C4" s="327" t="s">
        <v>868</v>
      </c>
      <c r="D4" s="326">
        <v>4</v>
      </c>
      <c r="E4" s="327">
        <v>325</v>
      </c>
      <c r="F4" s="327">
        <f t="shared" ref="F4:F5" si="0">IF($I$3="Yes",+D4*E4,0)</f>
        <v>0</v>
      </c>
      <c r="H4" s="790"/>
      <c r="I4" s="790"/>
      <c r="J4" s="792"/>
    </row>
    <row r="5" spans="1:10">
      <c r="A5" s="325" t="s">
        <v>866</v>
      </c>
      <c r="B5" s="326"/>
      <c r="C5" s="327" t="s">
        <v>869</v>
      </c>
      <c r="D5" s="326">
        <v>4</v>
      </c>
      <c r="E5" s="327">
        <v>104</v>
      </c>
      <c r="F5" s="327">
        <f t="shared" si="0"/>
        <v>0</v>
      </c>
      <c r="G5">
        <f>IF(I3="yes",+SUM(F2:F5),0)</f>
        <v>0</v>
      </c>
    </row>
    <row r="6" spans="1:10" s="22" customFormat="1">
      <c r="A6" s="95" t="s">
        <v>866</v>
      </c>
      <c r="B6" s="361">
        <v>45925</v>
      </c>
      <c r="C6" s="362" t="s">
        <v>870</v>
      </c>
      <c r="D6" s="179">
        <v>1</v>
      </c>
      <c r="E6" s="362">
        <v>100</v>
      </c>
      <c r="F6" s="362">
        <f>IF($I$3="Yes",0,+D6*E6)</f>
        <v>100</v>
      </c>
      <c r="G6"/>
    </row>
    <row r="7" spans="1:10">
      <c r="A7" s="95" t="s">
        <v>866</v>
      </c>
      <c r="B7" s="363">
        <v>45971</v>
      </c>
      <c r="C7" s="362" t="s">
        <v>868</v>
      </c>
      <c r="D7" s="179">
        <v>1</v>
      </c>
      <c r="E7" s="362">
        <v>400</v>
      </c>
      <c r="F7" s="362">
        <f t="shared" ref="F7:F19" si="1">IF($I$3="Yes",0,+D7*E7)</f>
        <v>400</v>
      </c>
    </row>
    <row r="8" spans="1:10">
      <c r="A8" s="95" t="s">
        <v>866</v>
      </c>
      <c r="B8" s="361">
        <v>45961</v>
      </c>
      <c r="C8" s="362" t="s">
        <v>871</v>
      </c>
      <c r="D8" s="179">
        <v>1</v>
      </c>
      <c r="E8" s="362">
        <v>5</v>
      </c>
      <c r="F8" s="362">
        <f t="shared" si="1"/>
        <v>5</v>
      </c>
    </row>
    <row r="9" spans="1:10">
      <c r="A9" s="95" t="s">
        <v>1181</v>
      </c>
      <c r="B9" s="363">
        <v>46146</v>
      </c>
      <c r="C9" s="362" t="s">
        <v>1180</v>
      </c>
      <c r="D9" s="179">
        <v>0</v>
      </c>
      <c r="E9" s="362">
        <v>42.35</v>
      </c>
      <c r="F9" s="362">
        <f t="shared" si="1"/>
        <v>0</v>
      </c>
    </row>
    <row r="10" spans="1:10">
      <c r="A10" s="95" t="s">
        <v>866</v>
      </c>
      <c r="B10" s="179"/>
      <c r="C10" s="362" t="s">
        <v>872</v>
      </c>
      <c r="D10" s="179">
        <v>0</v>
      </c>
      <c r="E10" s="362">
        <v>6.35</v>
      </c>
      <c r="F10" s="362">
        <f t="shared" si="1"/>
        <v>0</v>
      </c>
    </row>
    <row r="11" spans="1:10">
      <c r="A11" s="95" t="s">
        <v>866</v>
      </c>
      <c r="B11" s="179"/>
      <c r="C11" s="362" t="s">
        <v>873</v>
      </c>
      <c r="D11" s="179"/>
      <c r="E11" s="362">
        <v>2.5</v>
      </c>
      <c r="F11" s="362">
        <f t="shared" si="1"/>
        <v>0</v>
      </c>
    </row>
    <row r="12" spans="1:10">
      <c r="A12" s="95" t="s">
        <v>866</v>
      </c>
      <c r="B12" s="179"/>
      <c r="C12" s="362" t="s">
        <v>874</v>
      </c>
      <c r="D12" s="179">
        <v>0</v>
      </c>
      <c r="E12" s="362">
        <f>(8.5+10+17.34)/3</f>
        <v>11.946666666666667</v>
      </c>
      <c r="F12" s="362">
        <f t="shared" si="1"/>
        <v>0</v>
      </c>
    </row>
    <row r="13" spans="1:10">
      <c r="A13" s="95" t="s">
        <v>866</v>
      </c>
      <c r="B13" s="363"/>
      <c r="C13" s="362" t="s">
        <v>875</v>
      </c>
      <c r="D13" s="179">
        <v>0</v>
      </c>
      <c r="E13" s="362">
        <v>73.13</v>
      </c>
      <c r="F13" s="362">
        <f t="shared" si="1"/>
        <v>0</v>
      </c>
    </row>
    <row r="14" spans="1:10">
      <c r="A14" s="95" t="s">
        <v>866</v>
      </c>
      <c r="B14" s="363"/>
      <c r="C14" s="362" t="s">
        <v>876</v>
      </c>
      <c r="D14" s="179">
        <v>0</v>
      </c>
      <c r="E14" s="362">
        <v>472</v>
      </c>
      <c r="F14" s="362">
        <f t="shared" si="1"/>
        <v>0</v>
      </c>
    </row>
    <row r="15" spans="1:10">
      <c r="A15" s="95" t="s">
        <v>877</v>
      </c>
      <c r="B15" s="363"/>
      <c r="C15" s="362"/>
      <c r="D15" s="179">
        <v>0</v>
      </c>
      <c r="E15" s="362">
        <v>600</v>
      </c>
      <c r="F15" s="362">
        <f t="shared" si="1"/>
        <v>0</v>
      </c>
    </row>
    <row r="16" spans="1:10">
      <c r="A16" s="95" t="s">
        <v>878</v>
      </c>
      <c r="B16" s="363"/>
      <c r="C16" s="95" t="s">
        <v>879</v>
      </c>
      <c r="D16" s="179">
        <v>0</v>
      </c>
      <c r="E16" s="362">
        <v>300</v>
      </c>
      <c r="F16" s="362">
        <f t="shared" si="1"/>
        <v>0</v>
      </c>
    </row>
    <row r="17" spans="1:10">
      <c r="A17" s="95" t="s">
        <v>877</v>
      </c>
      <c r="B17" s="364"/>
      <c r="C17" s="95" t="s">
        <v>880</v>
      </c>
      <c r="D17" s="179">
        <v>0</v>
      </c>
      <c r="E17" s="362">
        <v>450</v>
      </c>
      <c r="F17" s="362">
        <f t="shared" si="1"/>
        <v>0</v>
      </c>
    </row>
    <row r="18" spans="1:10">
      <c r="A18" s="95" t="s">
        <v>877</v>
      </c>
      <c r="B18" s="363"/>
      <c r="C18" s="362" t="s">
        <v>881</v>
      </c>
      <c r="D18" s="179">
        <v>0</v>
      </c>
      <c r="E18" s="362">
        <v>100</v>
      </c>
      <c r="F18" s="362">
        <f t="shared" si="1"/>
        <v>0</v>
      </c>
      <c r="I18" s="3"/>
    </row>
    <row r="19" spans="1:10">
      <c r="A19" s="95" t="s">
        <v>877</v>
      </c>
      <c r="B19" s="363"/>
      <c r="C19" s="362" t="s">
        <v>882</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0"/>
    <col min="2" max="2" width="22" bestFit="1" customWidth="1"/>
    <col min="3" max="3" width="11" bestFit="1" customWidth="1"/>
    <col min="10" max="10" width="19.28515625" bestFit="1" customWidth="1"/>
  </cols>
  <sheetData>
    <row r="1" spans="1:12">
      <c r="B1" s="3" t="s">
        <v>478</v>
      </c>
      <c r="C1" s="3"/>
      <c r="E1" s="5"/>
      <c r="F1" s="14"/>
      <c r="G1" s="14"/>
      <c r="H1" s="14"/>
    </row>
    <row r="2" spans="1:12">
      <c r="B2" s="2"/>
      <c r="C2" s="2"/>
      <c r="D2" s="3"/>
      <c r="E2" s="8"/>
      <c r="F2" s="13"/>
      <c r="G2" s="13"/>
      <c r="H2" s="13"/>
    </row>
    <row r="3" spans="1:12" ht="15.75" thickBot="1">
      <c r="A3" s="522" t="s">
        <v>109</v>
      </c>
      <c r="B3" s="3" t="s">
        <v>429</v>
      </c>
      <c r="C3" s="3" t="s">
        <v>883</v>
      </c>
      <c r="D3" s="3" t="s">
        <v>710</v>
      </c>
      <c r="E3" s="8" t="s">
        <v>711</v>
      </c>
      <c r="F3" s="13" t="s">
        <v>712</v>
      </c>
      <c r="G3" s="13" t="s">
        <v>425</v>
      </c>
      <c r="H3" s="13" t="s">
        <v>713</v>
      </c>
    </row>
    <row r="4" spans="1:12">
      <c r="B4" s="330" t="s">
        <v>754</v>
      </c>
      <c r="C4" s="330"/>
      <c r="D4" s="330"/>
      <c r="E4" s="331"/>
      <c r="F4" s="332"/>
      <c r="G4" s="332"/>
      <c r="H4" s="332"/>
      <c r="J4" s="789" t="s">
        <v>9</v>
      </c>
      <c r="K4" s="789" t="str">
        <f>IF(Profit!$Q$6,IF(L4,"Yes","N0"),"no")</f>
        <v>N0</v>
      </c>
      <c r="L4" s="791" t="b">
        <v>0</v>
      </c>
    </row>
    <row r="5" spans="1:12" ht="15.75" thickBot="1">
      <c r="B5" s="325" t="s">
        <v>884</v>
      </c>
      <c r="C5" s="325">
        <v>977057</v>
      </c>
      <c r="D5" s="326">
        <v>1</v>
      </c>
      <c r="E5" s="333">
        <v>149</v>
      </c>
      <c r="F5" s="327">
        <f>+D5*E5</f>
        <v>149</v>
      </c>
      <c r="G5" s="334">
        <f>+F5*0.0725</f>
        <v>10.802499999999998</v>
      </c>
      <c r="H5" s="332"/>
      <c r="J5" s="790"/>
      <c r="K5" s="790"/>
      <c r="L5" s="792"/>
    </row>
    <row r="6" spans="1:12">
      <c r="B6" s="325" t="s">
        <v>885</v>
      </c>
      <c r="C6" s="325">
        <v>3648606</v>
      </c>
      <c r="D6" s="326">
        <v>1</v>
      </c>
      <c r="E6" s="333">
        <v>700</v>
      </c>
      <c r="F6" s="327">
        <f>+D6*E6</f>
        <v>700</v>
      </c>
      <c r="G6" s="334">
        <f t="shared" ref="G6" si="0">+F6*0.0725</f>
        <v>50.75</v>
      </c>
      <c r="H6" s="332"/>
    </row>
    <row r="7" spans="1:12" ht="15.75" thickBot="1">
      <c r="B7" s="325" t="s">
        <v>886</v>
      </c>
      <c r="C7" s="325">
        <v>1654366</v>
      </c>
      <c r="D7" s="326">
        <v>1</v>
      </c>
      <c r="E7" s="333">
        <v>450</v>
      </c>
      <c r="F7" s="327">
        <f>+D7*E7</f>
        <v>450</v>
      </c>
      <c r="G7" s="334">
        <f t="shared" ref="G7" si="1">+F7*0.0725</f>
        <v>32.625</v>
      </c>
      <c r="H7" s="335"/>
    </row>
    <row r="8" spans="1:12">
      <c r="B8" s="330"/>
      <c r="C8" s="330"/>
      <c r="D8" s="330"/>
      <c r="E8" s="166" t="s">
        <v>887</v>
      </c>
      <c r="F8" s="327"/>
      <c r="G8" s="327"/>
      <c r="H8" s="327">
        <f>IF(K4="yes",+SUM(F5:F7)+SUM(G5:G7),0)</f>
        <v>0</v>
      </c>
    </row>
    <row r="9" spans="1:12">
      <c r="B9" s="95" t="s">
        <v>888</v>
      </c>
      <c r="C9" s="95">
        <v>977057</v>
      </c>
      <c r="D9" s="179">
        <v>0</v>
      </c>
      <c r="E9" s="173">
        <v>149</v>
      </c>
      <c r="F9" s="14">
        <f>+D9*E9</f>
        <v>0</v>
      </c>
      <c r="G9" s="26">
        <f>+F9*0.0725</f>
        <v>0</v>
      </c>
      <c r="H9" s="13"/>
    </row>
    <row r="10" spans="1:12">
      <c r="B10" s="95" t="s">
        <v>889</v>
      </c>
      <c r="C10" s="95"/>
      <c r="D10" s="179">
        <v>0</v>
      </c>
      <c r="E10" s="173">
        <v>400</v>
      </c>
      <c r="F10" s="14">
        <f>+D10*E10</f>
        <v>0</v>
      </c>
      <c r="G10" s="26">
        <f>+F10*0.0725</f>
        <v>0</v>
      </c>
      <c r="H10" s="14"/>
    </row>
    <row r="11" spans="1:12">
      <c r="A11" s="480" t="s">
        <v>890</v>
      </c>
      <c r="B11" s="95" t="s">
        <v>891</v>
      </c>
      <c r="C11" s="95">
        <v>1008246199</v>
      </c>
      <c r="D11" s="179">
        <v>0</v>
      </c>
      <c r="E11" s="173">
        <v>448</v>
      </c>
      <c r="F11" s="14">
        <f>+D11*E11</f>
        <v>0</v>
      </c>
      <c r="G11" s="26">
        <f>+F11*0.0725</f>
        <v>0</v>
      </c>
      <c r="H11" s="14"/>
    </row>
    <row r="12" spans="1:12" ht="15.75" thickBot="1">
      <c r="B12" s="95" t="s">
        <v>892</v>
      </c>
      <c r="C12" s="95">
        <v>205954</v>
      </c>
      <c r="D12" s="179">
        <v>0</v>
      </c>
      <c r="E12" s="173">
        <v>0</v>
      </c>
      <c r="F12" s="21"/>
      <c r="G12" s="21"/>
      <c r="H12" s="21"/>
    </row>
    <row r="13" spans="1:12">
      <c r="B13" s="95"/>
      <c r="C13" s="95"/>
      <c r="D13" s="179"/>
      <c r="E13" s="180" t="s">
        <v>893</v>
      </c>
      <c r="F13" s="14"/>
      <c r="G13" s="14"/>
      <c r="H13" s="14">
        <f>IF(K4="yes",0,+SUM(F9:F12)+SUM(G9:G12))</f>
        <v>0</v>
      </c>
    </row>
    <row r="14" spans="1:12">
      <c r="B14" s="95" t="s">
        <v>894</v>
      </c>
      <c r="C14" s="95">
        <v>206436</v>
      </c>
      <c r="D14" s="179">
        <v>0</v>
      </c>
      <c r="E14" s="180">
        <v>12.98</v>
      </c>
      <c r="F14" s="14">
        <v>0</v>
      </c>
      <c r="G14" s="26">
        <f>+F14*0.0725</f>
        <v>0</v>
      </c>
      <c r="H14" s="14">
        <v>0</v>
      </c>
    </row>
    <row r="15" spans="1:12">
      <c r="B15" s="95" t="s">
        <v>895</v>
      </c>
      <c r="C15" s="95">
        <v>1006760329</v>
      </c>
      <c r="D15" s="179">
        <v>0</v>
      </c>
      <c r="E15" s="173">
        <v>698</v>
      </c>
      <c r="F15" s="14" t="s">
        <v>240</v>
      </c>
      <c r="G15" s="14"/>
      <c r="H15" s="14"/>
    </row>
    <row r="16" spans="1:12">
      <c r="B16" s="95" t="s">
        <v>894</v>
      </c>
      <c r="C16" s="95">
        <v>1630551</v>
      </c>
      <c r="D16" s="179">
        <v>0</v>
      </c>
      <c r="E16" s="173">
        <v>32.979999999999997</v>
      </c>
      <c r="F16" s="14">
        <f>+D16*E16</f>
        <v>0</v>
      </c>
      <c r="G16" s="26">
        <f>+F16*0.0725</f>
        <v>0</v>
      </c>
      <c r="H16" s="14"/>
    </row>
    <row r="17" spans="1:9">
      <c r="B17" s="95" t="s">
        <v>896</v>
      </c>
      <c r="C17" s="95">
        <v>3648606</v>
      </c>
      <c r="D17" s="179">
        <v>0</v>
      </c>
      <c r="E17" s="173">
        <v>700</v>
      </c>
      <c r="F17" s="14">
        <f>+D17*E17</f>
        <v>0</v>
      </c>
      <c r="G17" s="26">
        <f t="shared" ref="G17:G29" si="2">+F17*0.0725</f>
        <v>0</v>
      </c>
      <c r="H17" s="14"/>
    </row>
    <row r="18" spans="1:9">
      <c r="B18" s="95" t="s">
        <v>897</v>
      </c>
      <c r="C18" s="95">
        <v>1654366</v>
      </c>
      <c r="D18" s="179">
        <v>0</v>
      </c>
      <c r="E18" s="173">
        <v>374.29</v>
      </c>
      <c r="F18" s="14">
        <f>+D18*E18</f>
        <v>0</v>
      </c>
      <c r="G18" s="26">
        <f t="shared" si="2"/>
        <v>0</v>
      </c>
      <c r="H18" s="14"/>
    </row>
    <row r="19" spans="1:9">
      <c r="B19" s="95" t="s">
        <v>898</v>
      </c>
      <c r="C19" s="95">
        <v>118694</v>
      </c>
      <c r="D19" s="179">
        <v>0</v>
      </c>
      <c r="E19" s="173">
        <v>39.28</v>
      </c>
      <c r="F19" s="14">
        <f>+D19*E19</f>
        <v>0</v>
      </c>
      <c r="G19" s="26">
        <f t="shared" si="2"/>
        <v>0</v>
      </c>
      <c r="H19" s="14"/>
    </row>
    <row r="20" spans="1:9">
      <c r="B20" s="95" t="s">
        <v>899</v>
      </c>
      <c r="C20" s="181"/>
      <c r="D20" s="179">
        <v>0</v>
      </c>
      <c r="E20" s="173">
        <v>189</v>
      </c>
      <c r="F20" s="14">
        <f>+D20*E20</f>
        <v>0</v>
      </c>
      <c r="G20" s="26">
        <f t="shared" si="2"/>
        <v>0</v>
      </c>
      <c r="H20" s="14"/>
    </row>
    <row r="21" spans="1:9">
      <c r="B21" s="95" t="s">
        <v>900</v>
      </c>
      <c r="C21" s="181">
        <v>206332</v>
      </c>
      <c r="D21" s="179">
        <v>0</v>
      </c>
      <c r="E21" s="173">
        <v>32.85</v>
      </c>
      <c r="F21" s="14" t="s">
        <v>240</v>
      </c>
      <c r="G21" s="26"/>
      <c r="H21" s="14"/>
    </row>
    <row r="22" spans="1:9">
      <c r="B22" s="95" t="s">
        <v>901</v>
      </c>
      <c r="C22" s="181"/>
      <c r="D22" s="179">
        <v>0</v>
      </c>
      <c r="E22" s="173">
        <v>169</v>
      </c>
      <c r="F22" s="14">
        <f t="shared" ref="F22:F29" si="3">+D22*E22</f>
        <v>0</v>
      </c>
      <c r="G22" s="26">
        <f t="shared" si="2"/>
        <v>0</v>
      </c>
      <c r="H22" s="14"/>
    </row>
    <row r="23" spans="1:9">
      <c r="B23" s="181" t="s">
        <v>902</v>
      </c>
      <c r="C23" s="181">
        <v>1692925</v>
      </c>
      <c r="D23" s="179">
        <v>0</v>
      </c>
      <c r="E23" s="173">
        <v>170.39</v>
      </c>
      <c r="F23" s="14">
        <f t="shared" si="3"/>
        <v>0</v>
      </c>
      <c r="G23" s="26">
        <f t="shared" si="2"/>
        <v>0</v>
      </c>
      <c r="H23" s="14"/>
    </row>
    <row r="24" spans="1:9">
      <c r="A24" s="480">
        <v>45929</v>
      </c>
      <c r="B24" s="181" t="s">
        <v>903</v>
      </c>
      <c r="C24" s="181"/>
      <c r="D24" s="179">
        <v>1</v>
      </c>
      <c r="E24" s="173">
        <v>75</v>
      </c>
      <c r="F24" s="14">
        <f t="shared" si="3"/>
        <v>75</v>
      </c>
      <c r="G24" s="26"/>
      <c r="H24" s="14"/>
    </row>
    <row r="25" spans="1:9">
      <c r="A25" s="480">
        <v>45929</v>
      </c>
      <c r="B25" s="181" t="s">
        <v>904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905</v>
      </c>
      <c r="C29" s="181"/>
      <c r="D29" s="179">
        <v>0</v>
      </c>
      <c r="E29" s="173">
        <v>0</v>
      </c>
      <c r="F29" s="14">
        <f t="shared" si="3"/>
        <v>0</v>
      </c>
      <c r="G29" s="26">
        <f t="shared" si="2"/>
        <v>0</v>
      </c>
      <c r="H29" s="21"/>
    </row>
    <row r="30" spans="1:9">
      <c r="C30" s="2"/>
      <c r="D30" s="707" t="s">
        <v>906</v>
      </c>
      <c r="E30" s="707"/>
      <c r="F30" s="707"/>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441</v>
      </c>
      <c r="C1" s="3"/>
    </row>
    <row r="2" spans="1:12">
      <c r="D2" s="3"/>
      <c r="E2" s="8"/>
      <c r="F2" s="13"/>
      <c r="G2" s="13"/>
      <c r="H2" s="13"/>
    </row>
    <row r="3" spans="1:12">
      <c r="A3" t="s">
        <v>109</v>
      </c>
      <c r="B3" s="3" t="s">
        <v>429</v>
      </c>
      <c r="C3" s="3" t="s">
        <v>883</v>
      </c>
      <c r="D3" s="3" t="s">
        <v>710</v>
      </c>
      <c r="E3" s="8" t="s">
        <v>711</v>
      </c>
      <c r="F3" s="13" t="s">
        <v>712</v>
      </c>
      <c r="G3" s="13" t="s">
        <v>425</v>
      </c>
      <c r="H3" s="13" t="s">
        <v>713</v>
      </c>
    </row>
    <row r="4" spans="1:12" ht="15.75" thickBot="1">
      <c r="B4" s="3" t="s">
        <v>754</v>
      </c>
      <c r="C4" s="3"/>
      <c r="D4" s="3"/>
      <c r="E4" s="8"/>
      <c r="F4" s="13"/>
      <c r="G4" s="13"/>
      <c r="H4" s="13"/>
    </row>
    <row r="5" spans="1:12">
      <c r="B5" s="336" t="s">
        <v>907</v>
      </c>
      <c r="C5" s="336"/>
      <c r="D5" s="326">
        <v>0</v>
      </c>
      <c r="E5" s="333">
        <v>179</v>
      </c>
      <c r="F5" s="327">
        <f>+D5*E5</f>
        <v>0</v>
      </c>
      <c r="G5" s="334">
        <f t="shared" ref="G5:G10" si="0">+F5*0.0725</f>
        <v>0</v>
      </c>
      <c r="H5" s="332"/>
      <c r="J5" s="789" t="s">
        <v>9</v>
      </c>
      <c r="K5" s="789" t="str">
        <f>IF(Profit!Q6,IF(L5,"Yes","No"),"No")</f>
        <v>No</v>
      </c>
      <c r="L5" s="791" t="b">
        <v>0</v>
      </c>
    </row>
    <row r="6" spans="1:12" ht="15.75" thickBot="1">
      <c r="B6" s="336" t="s">
        <v>908</v>
      </c>
      <c r="C6" s="336"/>
      <c r="D6" s="326">
        <v>3</v>
      </c>
      <c r="E6" s="333">
        <v>53.98</v>
      </c>
      <c r="F6" s="327">
        <f>+D6*E6</f>
        <v>161.94</v>
      </c>
      <c r="G6" s="334">
        <f t="shared" si="0"/>
        <v>11.740649999999999</v>
      </c>
      <c r="H6" s="332"/>
      <c r="J6" s="790"/>
      <c r="K6" s="790"/>
      <c r="L6" s="792"/>
    </row>
    <row r="7" spans="1:12">
      <c r="B7" s="336" t="s">
        <v>733</v>
      </c>
      <c r="C7" s="336"/>
      <c r="D7" s="326">
        <v>3</v>
      </c>
      <c r="E7" s="333">
        <v>95</v>
      </c>
      <c r="F7" s="327">
        <f>+D7*E7</f>
        <v>285</v>
      </c>
      <c r="G7" s="334">
        <f t="shared" si="0"/>
        <v>20.662499999999998</v>
      </c>
      <c r="H7" s="332"/>
    </row>
    <row r="8" spans="1:12">
      <c r="B8" s="336" t="s">
        <v>909</v>
      </c>
      <c r="C8" s="336"/>
      <c r="D8" s="326">
        <v>1</v>
      </c>
      <c r="E8" s="333">
        <v>250</v>
      </c>
      <c r="F8" s="327">
        <f>+D8*E8</f>
        <v>250</v>
      </c>
      <c r="G8" s="334">
        <f t="shared" ref="G8" si="1">+F8*0.0725</f>
        <v>18.125</v>
      </c>
      <c r="H8" s="332"/>
    </row>
    <row r="9" spans="1:12">
      <c r="B9" s="336" t="s">
        <v>910</v>
      </c>
      <c r="C9" s="336"/>
      <c r="D9" s="326">
        <v>4</v>
      </c>
      <c r="E9" s="333">
        <v>39.979999999999997</v>
      </c>
      <c r="F9" s="327">
        <v>0</v>
      </c>
      <c r="G9" s="334">
        <f t="shared" si="0"/>
        <v>0</v>
      </c>
      <c r="H9" s="332"/>
    </row>
    <row r="10" spans="1:12" ht="15.75" thickBot="1">
      <c r="B10" s="336" t="s">
        <v>911</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1169</v>
      </c>
      <c r="C15" s="181" t="s">
        <v>1170</v>
      </c>
      <c r="D15" s="179">
        <v>1</v>
      </c>
      <c r="E15" s="173">
        <v>24.49</v>
      </c>
      <c r="F15" s="14">
        <f>+D15*E15</f>
        <v>24.49</v>
      </c>
      <c r="G15" s="26">
        <f t="shared" si="2"/>
        <v>1.7755249999999998</v>
      </c>
    </row>
    <row r="16" spans="1:12">
      <c r="A16" s="107">
        <v>46132</v>
      </c>
      <c r="B16" s="181" t="s">
        <v>1169</v>
      </c>
      <c r="C16" s="181" t="s">
        <v>1171</v>
      </c>
      <c r="D16" s="179">
        <v>1</v>
      </c>
      <c r="E16" s="173">
        <v>17.079999999999998</v>
      </c>
      <c r="F16" s="14">
        <f>+D16*E16</f>
        <v>17.079999999999998</v>
      </c>
      <c r="G16" s="26">
        <f t="shared" si="2"/>
        <v>1.2382999999999997</v>
      </c>
    </row>
    <row r="17" spans="2:11">
      <c r="B17" s="181" t="s">
        <v>912</v>
      </c>
      <c r="C17" s="181">
        <v>1227792</v>
      </c>
      <c r="D17" s="179">
        <v>0</v>
      </c>
      <c r="E17" s="173">
        <v>15.47</v>
      </c>
      <c r="F17" s="14">
        <f>+D17*E17</f>
        <v>0</v>
      </c>
      <c r="G17" s="26">
        <f t="shared" si="2"/>
        <v>0</v>
      </c>
    </row>
    <row r="18" spans="2:11">
      <c r="B18" s="181" t="s">
        <v>913</v>
      </c>
      <c r="C18" s="181">
        <v>1233228</v>
      </c>
      <c r="D18" s="179">
        <v>0</v>
      </c>
      <c r="E18" s="173">
        <v>39.979999999999997</v>
      </c>
      <c r="F18" s="14">
        <v>0</v>
      </c>
      <c r="G18" s="26">
        <f t="shared" si="2"/>
        <v>0</v>
      </c>
    </row>
    <row r="19" spans="2:11">
      <c r="B19" s="181" t="s">
        <v>914</v>
      </c>
      <c r="C19" s="181" t="s">
        <v>240</v>
      </c>
      <c r="D19" s="179">
        <v>0</v>
      </c>
      <c r="E19" s="173">
        <v>6.99</v>
      </c>
      <c r="F19" s="14">
        <f t="shared" ref="F19:F30" si="3">+D19*E19</f>
        <v>0</v>
      </c>
      <c r="G19" s="26">
        <f t="shared" si="2"/>
        <v>0</v>
      </c>
    </row>
    <row r="20" spans="2:11">
      <c r="B20" s="181" t="s">
        <v>915</v>
      </c>
      <c r="C20" s="181"/>
      <c r="D20" s="179">
        <v>0</v>
      </c>
      <c r="E20" s="173">
        <v>24.4</v>
      </c>
      <c r="F20" s="14">
        <f t="shared" si="3"/>
        <v>0</v>
      </c>
      <c r="G20" s="26">
        <f t="shared" si="2"/>
        <v>0</v>
      </c>
    </row>
    <row r="21" spans="2:11">
      <c r="B21" s="181" t="s">
        <v>911</v>
      </c>
      <c r="C21" s="181" t="s">
        <v>916</v>
      </c>
      <c r="D21" s="179">
        <v>0</v>
      </c>
      <c r="E21" s="173">
        <v>89.1</v>
      </c>
      <c r="F21" s="14">
        <f t="shared" si="3"/>
        <v>0</v>
      </c>
      <c r="G21" s="26">
        <f t="shared" si="2"/>
        <v>0</v>
      </c>
    </row>
    <row r="22" spans="2:11">
      <c r="B22" s="181" t="s">
        <v>917</v>
      </c>
      <c r="C22" s="189">
        <v>26508261804</v>
      </c>
      <c r="D22" s="179">
        <v>0</v>
      </c>
      <c r="E22" s="173">
        <v>114</v>
      </c>
      <c r="F22" s="14">
        <f t="shared" si="3"/>
        <v>0</v>
      </c>
      <c r="G22" s="26">
        <f t="shared" si="2"/>
        <v>0</v>
      </c>
    </row>
    <row r="23" spans="2:11">
      <c r="B23" s="181" t="s">
        <v>733</v>
      </c>
      <c r="C23" s="181">
        <v>6925699939094</v>
      </c>
      <c r="D23" s="179">
        <v>0</v>
      </c>
      <c r="E23" s="173">
        <v>34.979999999999997</v>
      </c>
      <c r="F23" s="14">
        <f t="shared" si="3"/>
        <v>0</v>
      </c>
      <c r="G23" s="26">
        <f t="shared" si="2"/>
        <v>0</v>
      </c>
    </row>
    <row r="24" spans="2:11">
      <c r="B24" s="181" t="s">
        <v>918</v>
      </c>
      <c r="C24" s="181"/>
      <c r="D24" s="179">
        <v>0</v>
      </c>
      <c r="E24" s="173"/>
      <c r="F24" s="14">
        <f t="shared" si="3"/>
        <v>0</v>
      </c>
      <c r="G24" s="26">
        <f t="shared" si="2"/>
        <v>0</v>
      </c>
    </row>
    <row r="25" spans="2:11">
      <c r="B25" s="181" t="s">
        <v>907</v>
      </c>
      <c r="C25" s="181">
        <v>38877656754</v>
      </c>
      <c r="D25" s="179">
        <v>0</v>
      </c>
      <c r="E25" s="173">
        <v>169</v>
      </c>
      <c r="F25" s="14">
        <f t="shared" si="3"/>
        <v>0</v>
      </c>
      <c r="G25" s="26">
        <f t="shared" si="2"/>
        <v>0</v>
      </c>
    </row>
    <row r="26" spans="2:11">
      <c r="B26" s="181" t="s">
        <v>911</v>
      </c>
      <c r="C26" s="181">
        <v>732291231619</v>
      </c>
      <c r="D26" s="179">
        <v>0</v>
      </c>
      <c r="E26" s="173">
        <v>99</v>
      </c>
      <c r="F26" s="14">
        <f t="shared" si="3"/>
        <v>0</v>
      </c>
      <c r="G26" s="26">
        <f t="shared" si="2"/>
        <v>0</v>
      </c>
    </row>
    <row r="27" spans="2:11">
      <c r="B27" s="181" t="s">
        <v>919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461</v>
      </c>
      <c r="B1" s="32"/>
      <c r="C1" s="32"/>
    </row>
    <row r="2" spans="1:15">
      <c r="D2" s="3"/>
      <c r="E2" s="8"/>
      <c r="F2" s="13"/>
      <c r="G2" s="13"/>
      <c r="H2" s="13"/>
      <c r="K2" s="789" t="s">
        <v>9</v>
      </c>
      <c r="L2" s="789" t="str">
        <f>IF(Profit!Q6,IF(M2,"Yes","No"),"No")</f>
        <v>No</v>
      </c>
      <c r="M2" s="791" t="b">
        <v>0</v>
      </c>
    </row>
    <row r="3" spans="1:15" s="22" customFormat="1" ht="14.25" customHeight="1" thickBot="1">
      <c r="A3" s="3" t="s">
        <v>429</v>
      </c>
      <c r="B3" s="3" t="s">
        <v>109</v>
      </c>
      <c r="C3" s="3" t="s">
        <v>883</v>
      </c>
      <c r="D3" s="3" t="s">
        <v>710</v>
      </c>
      <c r="E3" s="8" t="s">
        <v>711</v>
      </c>
      <c r="F3" s="13" t="s">
        <v>712</v>
      </c>
      <c r="G3" s="13"/>
      <c r="H3" s="13" t="s">
        <v>713</v>
      </c>
      <c r="K3" s="790"/>
      <c r="L3" s="790"/>
      <c r="M3" s="792"/>
    </row>
    <row r="4" spans="1:15" s="22" customFormat="1" ht="14.25" customHeight="1">
      <c r="A4" s="3"/>
      <c r="B4" s="3"/>
      <c r="C4" s="3"/>
      <c r="D4" s="3"/>
      <c r="E4" s="8"/>
      <c r="F4" s="13"/>
      <c r="G4" s="13"/>
      <c r="H4" s="13"/>
      <c r="K4"/>
      <c r="L4"/>
      <c r="M4"/>
    </row>
    <row r="5" spans="1:15" s="22" customFormat="1" ht="14.25" customHeight="1">
      <c r="A5" s="3" t="s">
        <v>920</v>
      </c>
      <c r="B5" s="365">
        <v>45694</v>
      </c>
      <c r="C5" s="3"/>
      <c r="D5" s="3">
        <v>0</v>
      </c>
      <c r="E5" s="8">
        <v>2500</v>
      </c>
      <c r="F5" s="14">
        <f t="shared" ref="F5" si="0">+D5*E5</f>
        <v>0</v>
      </c>
      <c r="G5" s="14">
        <f>+F5*0.0725</f>
        <v>0</v>
      </c>
      <c r="H5" s="13"/>
      <c r="K5"/>
      <c r="L5"/>
      <c r="M5"/>
    </row>
    <row r="6" spans="1:15" s="22" customFormat="1" ht="14.25" customHeight="1">
      <c r="A6" s="3" t="s">
        <v>921</v>
      </c>
      <c r="B6" s="3"/>
      <c r="C6" s="3"/>
      <c r="D6" s="3">
        <v>0</v>
      </c>
      <c r="E6" s="8">
        <v>350</v>
      </c>
      <c r="F6" s="14">
        <f t="shared" ref="F6:F18" si="1">+D6*E6</f>
        <v>0</v>
      </c>
      <c r="G6" s="14">
        <f>+F6*0.0725</f>
        <v>0</v>
      </c>
      <c r="H6" s="13"/>
      <c r="J6" s="22" t="s">
        <v>922</v>
      </c>
      <c r="K6" t="s">
        <v>923</v>
      </c>
      <c r="L6" t="s">
        <v>924</v>
      </c>
      <c r="M6" t="s">
        <v>515</v>
      </c>
      <c r="N6" s="22" t="s">
        <v>522</v>
      </c>
      <c r="O6" s="22" t="s">
        <v>925</v>
      </c>
    </row>
    <row r="7" spans="1:15" ht="14.25" customHeight="1">
      <c r="A7" s="32" t="s">
        <v>926</v>
      </c>
      <c r="B7" s="32"/>
      <c r="C7" s="32">
        <v>935605</v>
      </c>
      <c r="D7" s="181">
        <v>0</v>
      </c>
      <c r="E7" s="173">
        <v>209</v>
      </c>
      <c r="F7" s="14">
        <f t="shared" si="1"/>
        <v>0</v>
      </c>
      <c r="G7" s="14">
        <f t="shared" ref="G7:G43" si="2">+F7*0.0725</f>
        <v>0</v>
      </c>
      <c r="H7" s="13"/>
      <c r="N7">
        <v>3</v>
      </c>
      <c r="O7">
        <v>2</v>
      </c>
    </row>
    <row r="8" spans="1:15" ht="14.25" customHeight="1">
      <c r="A8" s="32" t="s">
        <v>927</v>
      </c>
      <c r="B8" s="32"/>
      <c r="C8" s="32">
        <v>935604</v>
      </c>
      <c r="D8" s="181">
        <f t="shared" ref="D8:D17" si="3">SUM(J8:O8)</f>
        <v>0</v>
      </c>
      <c r="E8" s="173">
        <v>209</v>
      </c>
      <c r="F8" s="14">
        <f t="shared" si="1"/>
        <v>0</v>
      </c>
      <c r="G8" s="14">
        <f t="shared" si="2"/>
        <v>0</v>
      </c>
      <c r="H8" s="13"/>
    </row>
    <row r="9" spans="1:15" ht="14.25" customHeight="1">
      <c r="A9" s="32" t="s">
        <v>928</v>
      </c>
      <c r="B9" s="32"/>
      <c r="C9" s="32">
        <v>935599</v>
      </c>
      <c r="D9" s="181">
        <f t="shared" si="3"/>
        <v>0</v>
      </c>
      <c r="E9" s="173">
        <v>198.56</v>
      </c>
      <c r="F9" s="14">
        <f>+D9*E9</f>
        <v>0</v>
      </c>
      <c r="G9" s="14">
        <f t="shared" si="2"/>
        <v>0</v>
      </c>
      <c r="H9" s="13"/>
    </row>
    <row r="10" spans="1:15" ht="14.25" customHeight="1">
      <c r="A10" s="32" t="s">
        <v>929</v>
      </c>
      <c r="B10" s="32"/>
      <c r="C10" s="32">
        <v>14005</v>
      </c>
      <c r="D10" s="181">
        <f t="shared" si="3"/>
        <v>0</v>
      </c>
      <c r="E10" s="173">
        <v>179</v>
      </c>
      <c r="F10" s="14">
        <f t="shared" si="1"/>
        <v>0</v>
      </c>
      <c r="G10" s="14">
        <f t="shared" si="2"/>
        <v>0</v>
      </c>
    </row>
    <row r="11" spans="1:15" ht="14.25" customHeight="1">
      <c r="A11" s="32" t="s">
        <v>930</v>
      </c>
      <c r="B11" s="32"/>
      <c r="C11" s="32">
        <v>14006</v>
      </c>
      <c r="D11" s="181">
        <f t="shared" si="3"/>
        <v>0</v>
      </c>
      <c r="E11" s="173">
        <v>179</v>
      </c>
      <c r="F11" s="14">
        <f t="shared" si="1"/>
        <v>0</v>
      </c>
      <c r="G11" s="14">
        <f t="shared" si="2"/>
        <v>0</v>
      </c>
    </row>
    <row r="12" spans="1:15" ht="14.25" customHeight="1">
      <c r="A12" s="32" t="s">
        <v>931</v>
      </c>
      <c r="B12" s="32"/>
      <c r="C12" s="32">
        <v>935587</v>
      </c>
      <c r="D12" s="181">
        <f t="shared" si="3"/>
        <v>0</v>
      </c>
      <c r="E12" s="173">
        <v>198.55</v>
      </c>
      <c r="F12" s="14">
        <f>+D12*E12</f>
        <v>0</v>
      </c>
      <c r="G12" s="14">
        <f t="shared" si="2"/>
        <v>0</v>
      </c>
    </row>
    <row r="13" spans="1:15" ht="14.25" customHeight="1">
      <c r="A13" s="32" t="s">
        <v>932</v>
      </c>
      <c r="B13" s="32"/>
      <c r="C13" s="32">
        <v>49504</v>
      </c>
      <c r="D13" s="181">
        <f t="shared" si="3"/>
        <v>0</v>
      </c>
      <c r="E13" s="173">
        <v>103</v>
      </c>
      <c r="F13" s="14">
        <f t="shared" si="1"/>
        <v>0</v>
      </c>
      <c r="G13" s="14">
        <f t="shared" si="2"/>
        <v>0</v>
      </c>
    </row>
    <row r="14" spans="1:15" ht="14.25" customHeight="1">
      <c r="A14" s="32" t="s">
        <v>933</v>
      </c>
      <c r="B14" s="32"/>
      <c r="C14" s="32">
        <v>49706</v>
      </c>
      <c r="D14" s="181">
        <v>0</v>
      </c>
      <c r="E14" s="173">
        <v>103</v>
      </c>
      <c r="F14" s="14">
        <f t="shared" si="1"/>
        <v>0</v>
      </c>
      <c r="G14" s="14">
        <f t="shared" si="2"/>
        <v>0</v>
      </c>
      <c r="K14">
        <v>1</v>
      </c>
      <c r="L14">
        <v>2</v>
      </c>
    </row>
    <row r="15" spans="1:15" ht="14.25" customHeight="1">
      <c r="A15" s="32" t="s">
        <v>934</v>
      </c>
      <c r="B15" s="32"/>
      <c r="C15" s="32">
        <v>47025</v>
      </c>
      <c r="D15" s="181">
        <v>0</v>
      </c>
      <c r="E15" s="173">
        <v>99</v>
      </c>
      <c r="F15" s="14">
        <f t="shared" si="1"/>
        <v>0</v>
      </c>
      <c r="G15" s="14">
        <f t="shared" si="2"/>
        <v>0</v>
      </c>
      <c r="L15">
        <v>1</v>
      </c>
    </row>
    <row r="16" spans="1:15" ht="14.25" customHeight="1">
      <c r="A16" s="32" t="s">
        <v>935</v>
      </c>
      <c r="B16" s="32"/>
      <c r="C16" s="32">
        <v>47422</v>
      </c>
      <c r="D16" s="181">
        <f t="shared" si="3"/>
        <v>0</v>
      </c>
      <c r="E16" s="173">
        <v>99</v>
      </c>
      <c r="F16" s="14">
        <f t="shared" si="1"/>
        <v>0</v>
      </c>
      <c r="G16" s="14">
        <f t="shared" si="2"/>
        <v>0</v>
      </c>
    </row>
    <row r="17" spans="1:13" ht="14.25" customHeight="1">
      <c r="A17" s="32" t="s">
        <v>936</v>
      </c>
      <c r="B17" s="32"/>
      <c r="C17" s="32">
        <v>43359</v>
      </c>
      <c r="D17" s="181">
        <f t="shared" si="3"/>
        <v>0</v>
      </c>
      <c r="E17" s="173">
        <v>95</v>
      </c>
      <c r="F17" s="14">
        <f t="shared" si="1"/>
        <v>0</v>
      </c>
      <c r="G17" s="14">
        <f t="shared" si="2"/>
        <v>0</v>
      </c>
    </row>
    <row r="18" spans="1:13" ht="14.25" customHeight="1">
      <c r="A18" s="32" t="s">
        <v>937</v>
      </c>
      <c r="B18" s="32"/>
      <c r="C18" s="32">
        <v>44035</v>
      </c>
      <c r="D18" s="181">
        <v>0</v>
      </c>
      <c r="E18" s="173">
        <v>95</v>
      </c>
      <c r="F18" s="14">
        <f t="shared" si="1"/>
        <v>0</v>
      </c>
      <c r="G18" s="14">
        <f t="shared" si="2"/>
        <v>0</v>
      </c>
      <c r="J18">
        <v>2</v>
      </c>
      <c r="K18">
        <v>2</v>
      </c>
      <c r="L18">
        <v>4</v>
      </c>
      <c r="M18">
        <v>1</v>
      </c>
    </row>
    <row r="19" spans="1:13" ht="14.25" customHeight="1">
      <c r="A19" s="32" t="s">
        <v>938</v>
      </c>
      <c r="B19" s="32"/>
      <c r="C19" s="32">
        <v>44035</v>
      </c>
      <c r="D19" s="181">
        <v>0</v>
      </c>
      <c r="E19" s="173">
        <v>95</v>
      </c>
      <c r="F19" s="14">
        <f t="shared" ref="F19" si="4">+D19*E19</f>
        <v>0</v>
      </c>
      <c r="G19" s="14">
        <f t="shared" ref="G19" si="5">+F19*0.0725</f>
        <v>0</v>
      </c>
      <c r="J19">
        <v>2</v>
      </c>
      <c r="M19">
        <v>1</v>
      </c>
    </row>
    <row r="20" spans="1:13" ht="14.25" customHeight="1">
      <c r="A20" s="32" t="s">
        <v>939</v>
      </c>
      <c r="B20" s="32"/>
      <c r="C20" s="32"/>
      <c r="D20" s="181">
        <v>0</v>
      </c>
      <c r="E20" s="173">
        <v>95</v>
      </c>
      <c r="F20" s="14">
        <f t="shared" ref="F20" si="6">+D20*E20</f>
        <v>0</v>
      </c>
      <c r="G20" s="14">
        <f t="shared" ref="G20" si="7">+F20*0.0725</f>
        <v>0</v>
      </c>
      <c r="K20">
        <v>1</v>
      </c>
      <c r="M20">
        <v>1</v>
      </c>
    </row>
    <row r="21" spans="1:13" ht="14.25" customHeight="1">
      <c r="A21" s="218" t="s">
        <v>940</v>
      </c>
      <c r="B21" s="218"/>
      <c r="C21" s="218">
        <v>25598</v>
      </c>
      <c r="D21" s="179">
        <v>0</v>
      </c>
      <c r="E21" s="173">
        <v>101</v>
      </c>
      <c r="F21" s="14">
        <f t="shared" ref="F21:F43" si="8">+D21*E21</f>
        <v>0</v>
      </c>
      <c r="G21" s="14">
        <f t="shared" si="2"/>
        <v>0</v>
      </c>
    </row>
    <row r="22" spans="1:13" ht="14.25" customHeight="1">
      <c r="A22" s="218" t="s">
        <v>941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942</v>
      </c>
      <c r="B24" s="218"/>
      <c r="C24" s="218"/>
      <c r="D24" s="179"/>
      <c r="E24" s="173"/>
    </row>
    <row r="25" spans="1:13" ht="14.25" customHeight="1">
      <c r="A25" s="218" t="s">
        <v>943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944</v>
      </c>
      <c r="B27" s="32"/>
      <c r="C27" s="32"/>
      <c r="D27" s="179">
        <v>0</v>
      </c>
      <c r="E27" s="173">
        <v>284.56</v>
      </c>
      <c r="F27" s="14">
        <f t="shared" si="8"/>
        <v>0</v>
      </c>
      <c r="G27" s="14">
        <f t="shared" si="2"/>
        <v>0</v>
      </c>
    </row>
    <row r="28" spans="1:13" ht="14.25" customHeight="1">
      <c r="A28" s="32" t="s">
        <v>945</v>
      </c>
      <c r="B28" s="32"/>
      <c r="C28" s="32">
        <v>72904</v>
      </c>
      <c r="D28" s="179">
        <v>0</v>
      </c>
      <c r="E28" s="173">
        <v>429.62</v>
      </c>
      <c r="F28" s="14">
        <f>+D28*E28</f>
        <v>0</v>
      </c>
      <c r="G28" s="14">
        <f t="shared" si="2"/>
        <v>0</v>
      </c>
    </row>
    <row r="29" spans="1:13" ht="14.25" customHeight="1">
      <c r="A29" s="32" t="s">
        <v>946</v>
      </c>
      <c r="B29" s="32"/>
      <c r="C29" s="32" t="s">
        <v>947</v>
      </c>
      <c r="D29" s="179">
        <v>0</v>
      </c>
      <c r="E29" s="173">
        <v>8.77</v>
      </c>
      <c r="F29" s="14">
        <f t="shared" si="8"/>
        <v>0</v>
      </c>
      <c r="G29" s="14">
        <f t="shared" si="2"/>
        <v>0</v>
      </c>
    </row>
    <row r="30" spans="1:13" ht="14.25" customHeight="1">
      <c r="A30" s="218" t="s">
        <v>948</v>
      </c>
      <c r="B30" s="218"/>
      <c r="C30" s="218" t="s">
        <v>949</v>
      </c>
      <c r="D30" s="179">
        <v>0</v>
      </c>
      <c r="E30" s="173">
        <v>18.88</v>
      </c>
      <c r="F30" s="14">
        <f t="shared" si="8"/>
        <v>0</v>
      </c>
      <c r="G30" s="14">
        <f t="shared" si="2"/>
        <v>0</v>
      </c>
    </row>
    <row r="31" spans="1:13" ht="14.25" customHeight="1">
      <c r="A31" s="218" t="s">
        <v>950</v>
      </c>
      <c r="B31" s="218"/>
      <c r="C31" s="218" t="s">
        <v>951</v>
      </c>
      <c r="D31" s="179">
        <v>0</v>
      </c>
      <c r="E31" s="173">
        <v>47.14</v>
      </c>
      <c r="F31" s="14">
        <f t="shared" si="8"/>
        <v>0</v>
      </c>
      <c r="G31" s="14">
        <f t="shared" si="2"/>
        <v>0</v>
      </c>
    </row>
    <row r="32" spans="1:13" ht="14.25" customHeight="1">
      <c r="A32" s="218" t="s">
        <v>950</v>
      </c>
      <c r="B32" s="218"/>
      <c r="C32" s="218" t="s">
        <v>952</v>
      </c>
      <c r="D32" s="179">
        <v>0</v>
      </c>
      <c r="E32" s="173">
        <v>27.73</v>
      </c>
      <c r="F32" s="14">
        <f t="shared" si="8"/>
        <v>0</v>
      </c>
      <c r="G32" s="14">
        <f t="shared" si="2"/>
        <v>0</v>
      </c>
    </row>
    <row r="33" spans="1:11" ht="14.25" customHeight="1">
      <c r="A33" s="32" t="s">
        <v>953</v>
      </c>
      <c r="B33" s="32" t="s">
        <v>954</v>
      </c>
      <c r="C33" s="32">
        <v>100619</v>
      </c>
      <c r="D33" s="179">
        <v>1</v>
      </c>
      <c r="E33" s="173">
        <v>65.08</v>
      </c>
      <c r="F33" s="14">
        <f t="shared" si="8"/>
        <v>65.08</v>
      </c>
      <c r="G33" s="14">
        <f t="shared" si="2"/>
        <v>4.7182999999999993</v>
      </c>
    </row>
    <row r="34" spans="1:11" ht="14.25" customHeight="1">
      <c r="A34" s="32" t="s">
        <v>955</v>
      </c>
      <c r="B34" s="32" t="s">
        <v>956</v>
      </c>
      <c r="C34" s="32" t="s">
        <v>240</v>
      </c>
      <c r="D34" s="179">
        <v>1</v>
      </c>
      <c r="E34" s="173">
        <v>39.04</v>
      </c>
      <c r="F34" s="14">
        <f t="shared" si="8"/>
        <v>39.04</v>
      </c>
      <c r="G34" s="14">
        <f t="shared" si="2"/>
        <v>2.8303999999999996</v>
      </c>
    </row>
    <row r="35" spans="1:11" ht="14.25" customHeight="1">
      <c r="A35" s="32" t="s">
        <v>957</v>
      </c>
      <c r="B35" s="32" t="s">
        <v>958</v>
      </c>
      <c r="C35" s="32"/>
      <c r="D35" s="179">
        <v>1</v>
      </c>
      <c r="E35" s="173">
        <v>91.778000000000006</v>
      </c>
      <c r="F35" s="14">
        <f t="shared" si="8"/>
        <v>91.778000000000006</v>
      </c>
      <c r="G35" s="14">
        <f t="shared" si="2"/>
        <v>6.653905</v>
      </c>
    </row>
    <row r="36" spans="1:11" ht="14.25" customHeight="1">
      <c r="A36" s="32" t="s">
        <v>959</v>
      </c>
      <c r="B36" s="32"/>
      <c r="C36" s="32" t="s">
        <v>960</v>
      </c>
      <c r="D36" s="179">
        <v>0</v>
      </c>
      <c r="E36" s="173">
        <v>69.97</v>
      </c>
      <c r="F36" s="14">
        <f t="shared" si="8"/>
        <v>0</v>
      </c>
      <c r="G36" s="14">
        <f t="shared" si="2"/>
        <v>0</v>
      </c>
    </row>
    <row r="37" spans="1:11" ht="14.25" customHeight="1">
      <c r="A37" s="32" t="s">
        <v>961</v>
      </c>
      <c r="B37" s="32"/>
      <c r="C37" s="32" t="s">
        <v>962</v>
      </c>
      <c r="D37" s="179">
        <v>0</v>
      </c>
      <c r="E37" s="173">
        <v>289</v>
      </c>
      <c r="F37" s="14">
        <f t="shared" si="8"/>
        <v>0</v>
      </c>
      <c r="G37" s="14">
        <f t="shared" si="2"/>
        <v>0</v>
      </c>
    </row>
    <row r="38" spans="1:11" ht="14.25" customHeight="1">
      <c r="A38" s="32" t="s">
        <v>963</v>
      </c>
      <c r="B38" s="32"/>
      <c r="C38" s="32" t="s">
        <v>964</v>
      </c>
      <c r="D38" s="179">
        <v>0</v>
      </c>
      <c r="E38" s="173">
        <v>15</v>
      </c>
      <c r="F38" s="14">
        <v>0</v>
      </c>
      <c r="G38" s="14">
        <f t="shared" si="2"/>
        <v>0</v>
      </c>
    </row>
    <row r="39" spans="1:11" ht="14.25" customHeight="1">
      <c r="A39" s="32" t="s">
        <v>965</v>
      </c>
      <c r="B39" s="32"/>
      <c r="C39" s="32"/>
      <c r="D39" s="179"/>
      <c r="E39" s="173"/>
      <c r="F39" s="14">
        <f t="shared" si="8"/>
        <v>0</v>
      </c>
      <c r="G39" s="14">
        <f t="shared" si="2"/>
        <v>0</v>
      </c>
    </row>
    <row r="40" spans="1:11" ht="14.25" customHeight="1">
      <c r="A40" s="32" t="s">
        <v>966</v>
      </c>
      <c r="B40" s="32"/>
      <c r="C40" s="32">
        <v>30699285174</v>
      </c>
      <c r="D40" s="179">
        <v>0</v>
      </c>
      <c r="E40" s="173">
        <v>12.93</v>
      </c>
      <c r="F40" s="14">
        <f t="shared" si="8"/>
        <v>0</v>
      </c>
      <c r="G40" s="14">
        <f t="shared" si="2"/>
        <v>0</v>
      </c>
    </row>
    <row r="41" spans="1:11" ht="14.25" customHeight="1">
      <c r="A41" s="32" t="s">
        <v>967</v>
      </c>
      <c r="B41" s="32"/>
      <c r="C41" s="190">
        <v>883351469845</v>
      </c>
      <c r="D41" s="179">
        <v>0</v>
      </c>
      <c r="E41" s="173">
        <v>47.97</v>
      </c>
      <c r="F41" s="14">
        <f t="shared" si="8"/>
        <v>0</v>
      </c>
      <c r="G41" s="14">
        <f t="shared" si="2"/>
        <v>0</v>
      </c>
    </row>
    <row r="42" spans="1:11" ht="14.25" customHeight="1">
      <c r="A42" s="32" t="s">
        <v>968</v>
      </c>
      <c r="B42" s="32"/>
      <c r="C42" s="190">
        <v>883351891448</v>
      </c>
      <c r="D42" s="179">
        <v>0</v>
      </c>
      <c r="E42" s="173">
        <v>77.569999999999993</v>
      </c>
      <c r="F42" s="14">
        <f t="shared" si="8"/>
        <v>0</v>
      </c>
      <c r="G42" s="14">
        <f t="shared" si="2"/>
        <v>0</v>
      </c>
    </row>
    <row r="43" spans="1:11" ht="14.25" customHeight="1" thickBot="1">
      <c r="A43" s="32" t="s">
        <v>969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582</v>
      </c>
      <c r="C1" s="3"/>
    </row>
    <row r="2" spans="1:14">
      <c r="D2" s="3"/>
      <c r="E2" s="8"/>
      <c r="F2" s="525">
        <v>0.1</v>
      </c>
      <c r="G2" s="13"/>
      <c r="H2" s="13"/>
      <c r="I2" s="13"/>
      <c r="L2" s="789" t="s">
        <v>9</v>
      </c>
      <c r="M2" s="789" t="str">
        <f>IF(Profit!Q6,IF(N2,"Yes","No"),"No")</f>
        <v>No</v>
      </c>
      <c r="N2" s="791" t="b">
        <v>0</v>
      </c>
    </row>
    <row r="3" spans="1:14" ht="15.75" thickBot="1">
      <c r="A3" t="s">
        <v>109</v>
      </c>
      <c r="B3" s="31" t="s">
        <v>429</v>
      </c>
      <c r="C3" s="31" t="s">
        <v>883</v>
      </c>
      <c r="D3" s="31" t="s">
        <v>710</v>
      </c>
      <c r="E3" s="185" t="s">
        <v>711</v>
      </c>
      <c r="F3" s="185" t="s">
        <v>1150</v>
      </c>
      <c r="G3" s="186" t="s">
        <v>712</v>
      </c>
      <c r="H3" s="186" t="s">
        <v>425</v>
      </c>
      <c r="I3" s="186" t="s">
        <v>713</v>
      </c>
      <c r="L3" s="790"/>
      <c r="M3" s="790"/>
      <c r="N3" s="792"/>
    </row>
    <row r="4" spans="1:14">
      <c r="B4" s="330" t="s">
        <v>970</v>
      </c>
      <c r="C4" s="330"/>
      <c r="D4" s="330">
        <v>2</v>
      </c>
      <c r="E4" s="408">
        <v>2500</v>
      </c>
      <c r="F4" s="408"/>
      <c r="G4" s="338">
        <f>D4*E4</f>
        <v>5000</v>
      </c>
      <c r="H4" s="334">
        <f t="shared" ref="H4:H8" si="0">+G4*0.0725</f>
        <v>362.5</v>
      </c>
      <c r="I4" s="446">
        <f>SUM(G4:H4)</f>
        <v>5362.5</v>
      </c>
    </row>
    <row r="5" spans="1:14">
      <c r="B5" s="330" t="s">
        <v>971</v>
      </c>
      <c r="C5" s="330"/>
      <c r="D5" s="330">
        <v>0</v>
      </c>
      <c r="E5" s="409">
        <v>700</v>
      </c>
      <c r="F5" s="409"/>
      <c r="G5" s="338">
        <f>D5*E5</f>
        <v>0</v>
      </c>
      <c r="H5" s="334">
        <f t="shared" si="0"/>
        <v>0</v>
      </c>
      <c r="I5" s="446">
        <f>SUM(G5:H5)</f>
        <v>0</v>
      </c>
    </row>
    <row r="6" spans="1:14">
      <c r="B6" s="330" t="s">
        <v>972</v>
      </c>
      <c r="C6" s="330"/>
      <c r="D6" s="330">
        <v>5</v>
      </c>
      <c r="E6" s="409">
        <v>300</v>
      </c>
      <c r="F6" s="409"/>
      <c r="G6" s="338">
        <f t="shared" ref="G6:G8" si="1">D6*E6</f>
        <v>1500</v>
      </c>
      <c r="H6" s="334">
        <f t="shared" si="0"/>
        <v>108.74999999999999</v>
      </c>
      <c r="I6" s="446">
        <f t="shared" ref="I6:I8" si="2">SUM(G6:H6)</f>
        <v>1608.75</v>
      </c>
    </row>
    <row r="7" spans="1:14">
      <c r="B7" s="330" t="s">
        <v>973</v>
      </c>
      <c r="C7" s="330"/>
      <c r="D7" s="330">
        <v>5</v>
      </c>
      <c r="E7" s="409">
        <v>450</v>
      </c>
      <c r="F7" s="409"/>
      <c r="G7" s="338">
        <f t="shared" si="1"/>
        <v>2250</v>
      </c>
      <c r="H7" s="334">
        <f t="shared" si="0"/>
        <v>163.125</v>
      </c>
      <c r="I7" s="446">
        <f t="shared" si="2"/>
        <v>2413.125</v>
      </c>
    </row>
    <row r="8" spans="1:14">
      <c r="B8" s="330"/>
      <c r="C8" s="330"/>
      <c r="D8" s="330"/>
      <c r="E8" s="409"/>
      <c r="F8" s="409"/>
      <c r="G8" s="338">
        <f t="shared" si="1"/>
        <v>0</v>
      </c>
      <c r="H8" s="334">
        <f t="shared" si="0"/>
        <v>0</v>
      </c>
      <c r="I8" s="446">
        <f t="shared" si="2"/>
        <v>0</v>
      </c>
    </row>
    <row r="9" spans="1:14">
      <c r="B9" s="330"/>
      <c r="C9" s="330"/>
      <c r="D9" s="336"/>
      <c r="E9" s="331"/>
      <c r="F9" s="331"/>
      <c r="G9" s="338"/>
      <c r="H9" s="334"/>
      <c r="I9" s="446"/>
      <c r="J9" s="14">
        <f>IF(M2="Yes",+SUM(G4:H9),0)</f>
        <v>0</v>
      </c>
    </row>
    <row r="10" spans="1:14">
      <c r="B10" s="330"/>
      <c r="C10" s="330"/>
      <c r="D10" s="336"/>
      <c r="E10" s="331"/>
      <c r="F10" s="331"/>
      <c r="G10" s="338"/>
      <c r="H10" s="334"/>
      <c r="I10" s="446"/>
    </row>
    <row r="11" spans="1:14">
      <c r="B11" s="183" t="s">
        <v>1164</v>
      </c>
      <c r="C11" s="183" t="s">
        <v>974</v>
      </c>
      <c r="D11" s="181">
        <v>0</v>
      </c>
      <c r="E11" s="184">
        <v>154</v>
      </c>
      <c r="F11" s="184"/>
      <c r="G11" s="1">
        <f>D11*E11</f>
        <v>0</v>
      </c>
      <c r="H11" s="26">
        <f t="shared" ref="H11:H30" si="3">+G11*0.0725</f>
        <v>0</v>
      </c>
      <c r="I11" s="13"/>
    </row>
    <row r="12" spans="1:14">
      <c r="A12" s="442">
        <v>46090</v>
      </c>
      <c r="B12" s="181" t="s">
        <v>1149</v>
      </c>
      <c r="C12" s="181">
        <v>795984</v>
      </c>
      <c r="D12" s="179">
        <v>1</v>
      </c>
      <c r="E12" s="173">
        <v>437.8</v>
      </c>
      <c r="F12" s="179">
        <f>-E12*$F$2</f>
        <v>-43.78</v>
      </c>
      <c r="G12" s="1">
        <f>(D12*E12)+F12</f>
        <v>394.02</v>
      </c>
      <c r="H12" s="26">
        <f t="shared" si="3"/>
        <v>28.566449999999996</v>
      </c>
    </row>
    <row r="13" spans="1:14">
      <c r="A13" s="442">
        <v>46090</v>
      </c>
      <c r="B13" s="181" t="s">
        <v>1151</v>
      </c>
      <c r="C13" s="181" t="s">
        <v>975</v>
      </c>
      <c r="D13" s="179">
        <v>1</v>
      </c>
      <c r="E13" s="173">
        <v>250.84</v>
      </c>
      <c r="F13" s="179">
        <f t="shared" ref="F13:F30" si="4">-E13*$F$2</f>
        <v>-25.084000000000003</v>
      </c>
      <c r="G13" s="1">
        <f t="shared" ref="G13:G30" si="5">(D13*E13)+F13</f>
        <v>225.756</v>
      </c>
      <c r="H13" s="26">
        <f t="shared" si="3"/>
        <v>16.36731</v>
      </c>
    </row>
    <row r="14" spans="1:14">
      <c r="A14" s="442">
        <v>46090</v>
      </c>
      <c r="B14" s="181" t="s">
        <v>1152</v>
      </c>
      <c r="C14" s="181" t="s">
        <v>976</v>
      </c>
      <c r="D14" s="179">
        <v>1</v>
      </c>
      <c r="E14" s="173">
        <v>275.36</v>
      </c>
      <c r="F14" s="179">
        <f t="shared" si="4"/>
        <v>-27.536000000000001</v>
      </c>
      <c r="G14" s="1">
        <f t="shared" si="5"/>
        <v>247.82400000000001</v>
      </c>
      <c r="H14" s="26">
        <f t="shared" si="3"/>
        <v>17.96724</v>
      </c>
    </row>
    <row r="15" spans="1:14">
      <c r="A15" s="442">
        <v>46090</v>
      </c>
      <c r="B15" s="181" t="s">
        <v>1153</v>
      </c>
      <c r="C15" s="181" t="s">
        <v>977</v>
      </c>
      <c r="D15" s="179">
        <v>1</v>
      </c>
      <c r="E15" s="173">
        <v>175.4</v>
      </c>
      <c r="F15" s="179">
        <f t="shared" si="4"/>
        <v>-17.540000000000003</v>
      </c>
      <c r="G15" s="1">
        <f t="shared" si="5"/>
        <v>157.86000000000001</v>
      </c>
      <c r="H15" s="26">
        <f t="shared" si="3"/>
        <v>11.444850000000001</v>
      </c>
    </row>
    <row r="16" spans="1:14">
      <c r="A16" s="442">
        <v>46090</v>
      </c>
      <c r="B16" s="181" t="s">
        <v>1154</v>
      </c>
      <c r="C16" s="181" t="s">
        <v>978</v>
      </c>
      <c r="D16" s="179">
        <v>1</v>
      </c>
      <c r="E16" s="173">
        <v>207.32</v>
      </c>
      <c r="F16" s="179">
        <f t="shared" si="4"/>
        <v>-20.731999999999999</v>
      </c>
      <c r="G16" s="1">
        <f t="shared" si="5"/>
        <v>186.58799999999999</v>
      </c>
      <c r="H16" s="26">
        <f t="shared" si="3"/>
        <v>13.527629999999998</v>
      </c>
    </row>
    <row r="17" spans="1:12">
      <c r="A17" s="442">
        <v>46090</v>
      </c>
      <c r="B17" s="181" t="s">
        <v>1155</v>
      </c>
      <c r="C17" s="181" t="s">
        <v>979</v>
      </c>
      <c r="D17" s="179">
        <v>1</v>
      </c>
      <c r="E17" s="173">
        <v>314.24</v>
      </c>
      <c r="F17" s="179">
        <f t="shared" si="4"/>
        <v>-31.424000000000003</v>
      </c>
      <c r="G17" s="1">
        <f t="shared" si="5"/>
        <v>282.81600000000003</v>
      </c>
      <c r="H17" s="26">
        <f t="shared" si="3"/>
        <v>20.504160000000002</v>
      </c>
    </row>
    <row r="18" spans="1:12">
      <c r="A18" s="442">
        <v>46090</v>
      </c>
      <c r="B18" s="181" t="s">
        <v>1156</v>
      </c>
      <c r="C18" s="181"/>
      <c r="D18" s="179">
        <v>1</v>
      </c>
      <c r="E18" s="173">
        <v>184.18</v>
      </c>
      <c r="F18" s="179">
        <f t="shared" si="4"/>
        <v>-18.418000000000003</v>
      </c>
      <c r="G18" s="1">
        <f t="shared" si="5"/>
        <v>165.762</v>
      </c>
      <c r="H18" s="26">
        <f t="shared" si="3"/>
        <v>12.017745</v>
      </c>
    </row>
    <row r="19" spans="1:12">
      <c r="A19" s="442">
        <v>46090</v>
      </c>
      <c r="B19" s="181" t="s">
        <v>1157</v>
      </c>
      <c r="C19" s="181"/>
      <c r="D19" s="179">
        <v>1</v>
      </c>
      <c r="E19" s="173">
        <v>432.24</v>
      </c>
      <c r="F19" s="179">
        <f t="shared" si="4"/>
        <v>-43.224000000000004</v>
      </c>
      <c r="G19" s="1">
        <f t="shared" si="5"/>
        <v>389.01600000000002</v>
      </c>
      <c r="H19" s="26">
        <f t="shared" si="3"/>
        <v>28.203659999999999</v>
      </c>
    </row>
    <row r="20" spans="1:12">
      <c r="A20" s="442">
        <v>46090</v>
      </c>
      <c r="B20" s="181" t="s">
        <v>1158</v>
      </c>
      <c r="C20" s="181"/>
      <c r="D20" s="179">
        <v>1</v>
      </c>
      <c r="E20" s="173">
        <v>239.26</v>
      </c>
      <c r="F20" s="179">
        <f t="shared" si="4"/>
        <v>-23.926000000000002</v>
      </c>
      <c r="G20" s="1">
        <f t="shared" si="5"/>
        <v>215.334</v>
      </c>
      <c r="H20" s="26">
        <f t="shared" si="3"/>
        <v>15.611714999999998</v>
      </c>
    </row>
    <row r="21" spans="1:12">
      <c r="A21" s="442">
        <v>46090</v>
      </c>
      <c r="B21" s="181" t="s">
        <v>1159</v>
      </c>
      <c r="C21" s="181"/>
      <c r="D21" s="179">
        <v>1</v>
      </c>
      <c r="E21" s="173">
        <v>380</v>
      </c>
      <c r="F21" s="179">
        <f t="shared" si="4"/>
        <v>-38</v>
      </c>
      <c r="G21" s="1">
        <f t="shared" si="5"/>
        <v>342</v>
      </c>
      <c r="H21" s="26">
        <f t="shared" si="3"/>
        <v>24.794999999999998</v>
      </c>
    </row>
    <row r="22" spans="1:12">
      <c r="A22" s="442">
        <v>46090</v>
      </c>
      <c r="B22" s="181" t="s">
        <v>1160</v>
      </c>
      <c r="C22" s="181">
        <v>795984</v>
      </c>
      <c r="D22" s="179">
        <v>1</v>
      </c>
      <c r="E22" s="173">
        <v>50</v>
      </c>
      <c r="F22" s="179">
        <f t="shared" si="4"/>
        <v>-5</v>
      </c>
      <c r="G22" s="1">
        <f t="shared" si="5"/>
        <v>45</v>
      </c>
      <c r="H22" s="26">
        <f t="shared" si="3"/>
        <v>3.2624999999999997</v>
      </c>
    </row>
    <row r="23" spans="1:12">
      <c r="A23" s="442">
        <v>46090</v>
      </c>
      <c r="B23" s="181" t="s">
        <v>1161</v>
      </c>
      <c r="C23" s="181"/>
      <c r="D23" s="179">
        <v>1</v>
      </c>
      <c r="E23" s="173">
        <v>38</v>
      </c>
      <c r="F23" s="179">
        <f t="shared" si="4"/>
        <v>-3.8000000000000003</v>
      </c>
      <c r="G23" s="1">
        <f t="shared" si="5"/>
        <v>34.200000000000003</v>
      </c>
      <c r="H23" s="26">
        <f t="shared" si="3"/>
        <v>2.4794999999999998</v>
      </c>
    </row>
    <row r="24" spans="1:12">
      <c r="A24" s="442">
        <v>46090</v>
      </c>
      <c r="B24" s="181" t="s">
        <v>1162</v>
      </c>
      <c r="C24" s="181" t="s">
        <v>980</v>
      </c>
      <c r="D24" s="179">
        <v>1</v>
      </c>
      <c r="E24" s="173">
        <v>220</v>
      </c>
      <c r="F24" s="179">
        <f t="shared" si="4"/>
        <v>-22</v>
      </c>
      <c r="G24" s="1">
        <f t="shared" si="5"/>
        <v>198</v>
      </c>
      <c r="H24" s="26">
        <f t="shared" si="3"/>
        <v>14.354999999999999</v>
      </c>
    </row>
    <row r="25" spans="1:12">
      <c r="A25" s="442">
        <v>46090</v>
      </c>
      <c r="B25" s="181" t="s">
        <v>1163</v>
      </c>
      <c r="C25" s="181"/>
      <c r="D25" s="179">
        <v>1</v>
      </c>
      <c r="E25" s="173">
        <v>160</v>
      </c>
      <c r="F25" s="179">
        <f>-E25*$F$2</f>
        <v>-16</v>
      </c>
      <c r="G25" s="1">
        <f>(D25*E25)+F25</f>
        <v>144</v>
      </c>
      <c r="H25" s="26">
        <f>+G25*0.0725</f>
        <v>10.44</v>
      </c>
    </row>
    <row r="26" spans="1:12">
      <c r="A26" s="442">
        <v>46126</v>
      </c>
      <c r="B26" s="181" t="s">
        <v>1166</v>
      </c>
      <c r="C26" s="181"/>
      <c r="D26" s="179">
        <v>1</v>
      </c>
      <c r="E26" s="173">
        <v>207.58</v>
      </c>
      <c r="F26" s="179">
        <v>0</v>
      </c>
      <c r="G26" s="1">
        <f t="shared" si="5"/>
        <v>207.58</v>
      </c>
      <c r="H26" s="26">
        <f t="shared" si="3"/>
        <v>15.04955</v>
      </c>
    </row>
    <row r="27" spans="1:12">
      <c r="A27" s="442">
        <v>46126</v>
      </c>
      <c r="B27" s="181" t="s">
        <v>1167</v>
      </c>
      <c r="C27" s="181"/>
      <c r="D27" s="179">
        <v>1</v>
      </c>
      <c r="E27" s="173">
        <v>27.02</v>
      </c>
      <c r="F27" s="179"/>
      <c r="G27" s="1">
        <f t="shared" ref="G27" si="6">(D27*E27)+F27</f>
        <v>27.02</v>
      </c>
      <c r="H27" s="26">
        <f t="shared" ref="H27" si="7">+G27*0.0725</f>
        <v>1.9589499999999997</v>
      </c>
    </row>
    <row r="28" spans="1:12">
      <c r="A28" s="442">
        <v>46126</v>
      </c>
      <c r="B28" s="181" t="s">
        <v>1162</v>
      </c>
      <c r="C28" s="181"/>
      <c r="D28" s="179">
        <v>1</v>
      </c>
      <c r="E28" s="173">
        <v>280.10000000000002</v>
      </c>
      <c r="F28" s="179"/>
      <c r="G28" s="1">
        <f t="shared" ref="G28" si="8">(D28*E28)+F28</f>
        <v>280.10000000000002</v>
      </c>
      <c r="H28" s="26">
        <f t="shared" ref="H28" si="9">+G28*0.0725</f>
        <v>20.30725</v>
      </c>
    </row>
    <row r="30" spans="1:12" ht="15.75" thickBot="1">
      <c r="B30" s="181" t="s">
        <v>981</v>
      </c>
      <c r="C30" s="181"/>
      <c r="D30" s="179">
        <v>1</v>
      </c>
      <c r="E30" s="173"/>
      <c r="F30" s="179">
        <f t="shared" si="4"/>
        <v>0</v>
      </c>
      <c r="G30" s="1">
        <f t="shared" si="5"/>
        <v>0</v>
      </c>
      <c r="H30" s="21">
        <f t="shared" si="3"/>
        <v>0</v>
      </c>
      <c r="I30" s="21"/>
    </row>
    <row r="31" spans="1:12">
      <c r="J31" s="14">
        <f>+SUM(G11:H30)</f>
        <v>3799.7345099999998</v>
      </c>
      <c r="L31" s="1"/>
    </row>
    <row r="32" spans="1:12">
      <c r="B32" s="32" t="s">
        <v>982</v>
      </c>
    </row>
    <row r="33" spans="1:10">
      <c r="B33" s="3" t="s">
        <v>429</v>
      </c>
      <c r="C33" s="3" t="s">
        <v>883</v>
      </c>
      <c r="D33" s="3" t="s">
        <v>710</v>
      </c>
      <c r="E33" s="8" t="s">
        <v>711</v>
      </c>
      <c r="F33" s="8"/>
      <c r="G33" s="13" t="s">
        <v>712</v>
      </c>
      <c r="H33" s="13"/>
      <c r="I33" s="13" t="s">
        <v>713</v>
      </c>
    </row>
    <row r="34" spans="1:10">
      <c r="A34" s="107">
        <v>46141</v>
      </c>
      <c r="B34" t="s">
        <v>1179</v>
      </c>
      <c r="C34" s="95" t="s">
        <v>983</v>
      </c>
      <c r="D34" s="179">
        <v>1</v>
      </c>
      <c r="E34" s="173">
        <v>2729</v>
      </c>
      <c r="F34" s="173"/>
      <c r="G34" s="1">
        <f>D34*E34</f>
        <v>2729</v>
      </c>
      <c r="H34" s="26">
        <f>+G34*0.0725</f>
        <v>197.85249999999999</v>
      </c>
    </row>
    <row r="35" spans="1:10">
      <c r="B35" s="95"/>
      <c r="C35" s="95" t="s">
        <v>984</v>
      </c>
      <c r="D35" s="179">
        <v>0</v>
      </c>
      <c r="E35" s="173">
        <v>0</v>
      </c>
      <c r="F35" s="173"/>
      <c r="G35" s="1">
        <f>D35*E35</f>
        <v>0</v>
      </c>
      <c r="H35" s="26">
        <f>+G35*0.0725</f>
        <v>0</v>
      </c>
    </row>
    <row r="36" spans="1:10">
      <c r="B36" s="95"/>
      <c r="C36" s="95" t="s">
        <v>985</v>
      </c>
      <c r="D36" s="179">
        <v>0</v>
      </c>
      <c r="E36" s="173">
        <v>0</v>
      </c>
      <c r="F36" s="173"/>
      <c r="G36" s="1">
        <f>D36*E36</f>
        <v>0</v>
      </c>
      <c r="H36" s="26">
        <f>+G36*0.0725</f>
        <v>0</v>
      </c>
    </row>
    <row r="37" spans="1:10">
      <c r="B37" s="28" t="s">
        <v>986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987</v>
      </c>
    </row>
    <row r="43" spans="1:10">
      <c r="B43" s="3" t="s">
        <v>429</v>
      </c>
      <c r="C43" s="3" t="s">
        <v>883</v>
      </c>
      <c r="D43" s="3" t="s">
        <v>710</v>
      </c>
      <c r="E43" s="8" t="s">
        <v>711</v>
      </c>
      <c r="F43" s="8"/>
      <c r="G43" s="13" t="s">
        <v>712</v>
      </c>
      <c r="H43" s="13"/>
      <c r="I43" s="13" t="s">
        <v>713</v>
      </c>
    </row>
    <row r="44" spans="1:10">
      <c r="B44" s="183" t="s">
        <v>988</v>
      </c>
      <c r="C44" s="183"/>
      <c r="D44" s="183">
        <v>0</v>
      </c>
      <c r="E44" s="184">
        <v>1100</v>
      </c>
      <c r="F44" s="184"/>
      <c r="G44" s="14">
        <f t="shared" ref="G44:G49" si="10">+D44*E44</f>
        <v>0</v>
      </c>
      <c r="H44" s="26">
        <f t="shared" ref="H44:H49" si="11">+G44*0.0725</f>
        <v>0</v>
      </c>
      <c r="I44" s="13"/>
    </row>
    <row r="45" spans="1:10">
      <c r="B45" s="95" t="s">
        <v>989</v>
      </c>
      <c r="C45" s="95">
        <v>400390</v>
      </c>
      <c r="D45" s="179">
        <v>0</v>
      </c>
      <c r="E45" s="173">
        <v>2.0499999999999998</v>
      </c>
      <c r="F45" s="173"/>
      <c r="G45" s="14">
        <f t="shared" si="10"/>
        <v>0</v>
      </c>
      <c r="H45" s="26">
        <f t="shared" si="11"/>
        <v>0</v>
      </c>
    </row>
    <row r="46" spans="1:10">
      <c r="B46" s="95" t="s">
        <v>990</v>
      </c>
      <c r="C46" s="95">
        <v>376787</v>
      </c>
      <c r="D46" s="179">
        <v>0</v>
      </c>
      <c r="E46" s="173">
        <v>4.9800000000000004</v>
      </c>
      <c r="F46" s="173"/>
      <c r="G46" s="14">
        <f t="shared" si="10"/>
        <v>0</v>
      </c>
      <c r="H46" s="26">
        <f t="shared" si="11"/>
        <v>0</v>
      </c>
    </row>
    <row r="47" spans="1:10">
      <c r="B47" s="95" t="s">
        <v>240</v>
      </c>
      <c r="C47" s="95" t="s">
        <v>240</v>
      </c>
      <c r="D47" s="179">
        <v>0</v>
      </c>
      <c r="E47" s="173">
        <v>0</v>
      </c>
      <c r="F47" s="173"/>
      <c r="G47" s="14">
        <f t="shared" si="10"/>
        <v>0</v>
      </c>
      <c r="H47" s="26">
        <f t="shared" si="11"/>
        <v>0</v>
      </c>
    </row>
    <row r="48" spans="1:10">
      <c r="B48" s="95" t="s">
        <v>991</v>
      </c>
      <c r="C48" s="95">
        <v>2280072</v>
      </c>
      <c r="D48" s="179">
        <v>0</v>
      </c>
      <c r="E48" s="173">
        <v>18.97</v>
      </c>
      <c r="F48" s="173"/>
      <c r="G48" s="14">
        <f t="shared" si="10"/>
        <v>0</v>
      </c>
      <c r="H48" s="26">
        <f t="shared" si="11"/>
        <v>0</v>
      </c>
    </row>
    <row r="49" spans="2:12" ht="15.75" thickBot="1">
      <c r="B49" s="95" t="s">
        <v>992</v>
      </c>
      <c r="C49" s="95">
        <v>1000707539</v>
      </c>
      <c r="D49" s="179">
        <v>0</v>
      </c>
      <c r="E49" s="173">
        <v>1.98</v>
      </c>
      <c r="F49" s="173"/>
      <c r="G49" s="21">
        <f t="shared" si="10"/>
        <v>0</v>
      </c>
      <c r="H49" s="21">
        <f t="shared" si="11"/>
        <v>0</v>
      </c>
      <c r="I49" s="21"/>
    </row>
    <row r="50" spans="2:12">
      <c r="J50" s="14">
        <f>+SUM(G44:H49)</f>
        <v>0</v>
      </c>
    </row>
    <row r="51" spans="2:12" ht="15.75" thickBot="1">
      <c r="J51" s="21"/>
      <c r="L51" s="3" t="s">
        <v>240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468</v>
      </c>
      <c r="D1" s="32"/>
      <c r="E1" s="32"/>
      <c r="L1" s="789" t="s">
        <v>9</v>
      </c>
      <c r="M1" s="789" t="str">
        <f>IF(Profit!Q6,IF(N1,"Yes","No"),"No")</f>
        <v>No</v>
      </c>
      <c r="N1" s="791" t="b">
        <v>0</v>
      </c>
    </row>
    <row r="2" spans="1:18" s="3" customFormat="1" ht="15.75" thickBot="1">
      <c r="A2" s="3" t="s">
        <v>109</v>
      </c>
      <c r="B2" s="3" t="s">
        <v>993</v>
      </c>
      <c r="C2" s="3" t="s">
        <v>429</v>
      </c>
      <c r="D2" s="3" t="s">
        <v>751</v>
      </c>
      <c r="E2" s="3" t="s">
        <v>752</v>
      </c>
      <c r="F2" s="3" t="s">
        <v>753</v>
      </c>
      <c r="G2" s="3" t="s">
        <v>430</v>
      </c>
      <c r="H2" s="8" t="s">
        <v>711</v>
      </c>
      <c r="I2" s="6" t="s">
        <v>712</v>
      </c>
      <c r="J2" s="13" t="s">
        <v>425</v>
      </c>
      <c r="K2" s="3" t="s">
        <v>713</v>
      </c>
      <c r="L2" s="790"/>
      <c r="M2" s="790"/>
      <c r="N2" s="792"/>
      <c r="O2" s="32"/>
    </row>
    <row r="3" spans="1:18" s="3" customFormat="1">
      <c r="B3" s="330"/>
      <c r="C3" s="330" t="s">
        <v>754</v>
      </c>
      <c r="D3" s="330"/>
      <c r="E3" s="337">
        <f>+Profit!K9</f>
        <v>1277</v>
      </c>
      <c r="F3" s="330"/>
      <c r="G3" s="330"/>
      <c r="H3" s="331"/>
      <c r="I3" s="341"/>
      <c r="J3" s="332"/>
      <c r="L3"/>
      <c r="M3"/>
      <c r="N3" s="5"/>
      <c r="O3" s="32"/>
    </row>
    <row r="4" spans="1:18" s="3" customFormat="1">
      <c r="B4" s="325" t="s">
        <v>817</v>
      </c>
      <c r="C4" s="325" t="s">
        <v>994</v>
      </c>
      <c r="D4" s="325"/>
      <c r="E4" s="325"/>
      <c r="F4" s="325" t="s">
        <v>819</v>
      </c>
      <c r="G4" s="430">
        <f>+$E$3/84.45</f>
        <v>15.12137359384251</v>
      </c>
      <c r="H4" s="333">
        <v>47.91</v>
      </c>
      <c r="I4" s="333">
        <f>+G4*H4</f>
        <v>724.46500888099456</v>
      </c>
      <c r="J4" s="334">
        <f>+I4*0.0725</f>
        <v>52.523713143872101</v>
      </c>
      <c r="N4" s="5"/>
      <c r="O4" s="32"/>
    </row>
    <row r="5" spans="1:18" s="3" customFormat="1">
      <c r="B5" s="325" t="s">
        <v>825</v>
      </c>
      <c r="C5" s="325" t="s">
        <v>832</v>
      </c>
      <c r="D5" s="325"/>
      <c r="E5" s="325"/>
      <c r="F5" s="325" t="s">
        <v>831</v>
      </c>
      <c r="G5" s="430">
        <f>+$E$3/168.9</f>
        <v>7.5606867969212548</v>
      </c>
      <c r="H5" s="333">
        <v>44.24</v>
      </c>
      <c r="I5" s="333">
        <f t="shared" ref="I5:I12" si="0">+G5*H5</f>
        <v>334.48478389579634</v>
      </c>
      <c r="J5" s="334">
        <f>+I5*0.0725</f>
        <v>24.250146832445232</v>
      </c>
      <c r="N5" s="5"/>
      <c r="O5" s="32"/>
    </row>
    <row r="6" spans="1:18" s="3" customFormat="1">
      <c r="B6" s="325" t="s">
        <v>833</v>
      </c>
      <c r="C6" s="325" t="s">
        <v>833</v>
      </c>
      <c r="D6" s="325"/>
      <c r="E6" s="325"/>
      <c r="F6" s="325">
        <v>185342</v>
      </c>
      <c r="G6" s="430">
        <f>+$E$3/168.9</f>
        <v>7.5606867969212548</v>
      </c>
      <c r="H6" s="326">
        <f>147/5</f>
        <v>29.4</v>
      </c>
      <c r="I6" s="333">
        <f t="shared" si="0"/>
        <v>222.28419182948488</v>
      </c>
      <c r="J6" s="334">
        <f>+I6*0.0725</f>
        <v>16.115603907637652</v>
      </c>
      <c r="N6" s="5"/>
      <c r="O6" s="32"/>
    </row>
    <row r="7" spans="1:18">
      <c r="B7" s="325" t="s">
        <v>462</v>
      </c>
      <c r="C7" s="325" t="s">
        <v>840</v>
      </c>
      <c r="D7" s="325"/>
      <c r="E7" s="325"/>
      <c r="F7" s="325">
        <v>985007</v>
      </c>
      <c r="G7" s="430"/>
      <c r="H7" s="333">
        <v>52.23</v>
      </c>
      <c r="I7" s="333">
        <f t="shared" si="0"/>
        <v>0</v>
      </c>
      <c r="J7" s="334">
        <f>+I7*0.0725</f>
        <v>0</v>
      </c>
    </row>
    <row r="8" spans="1:18">
      <c r="B8" s="325"/>
      <c r="C8" s="325" t="s">
        <v>462</v>
      </c>
      <c r="D8" s="325"/>
      <c r="E8" s="325"/>
      <c r="F8" s="325"/>
      <c r="G8" s="430">
        <v>2</v>
      </c>
      <c r="H8" s="333">
        <v>4.9141503848431025</v>
      </c>
      <c r="I8" s="333">
        <f t="shared" ref="I8:I11" si="1">+G8*H8</f>
        <v>9.828300769686205</v>
      </c>
      <c r="J8" s="334">
        <f t="shared" ref="J8:J12" si="2">+I8*0.0725</f>
        <v>0.71255180580224986</v>
      </c>
    </row>
    <row r="9" spans="1:18">
      <c r="B9" s="325" t="s">
        <v>476</v>
      </c>
      <c r="C9" s="325" t="s">
        <v>995</v>
      </c>
      <c r="D9" s="325"/>
      <c r="E9" s="325"/>
      <c r="F9" s="325"/>
      <c r="G9" s="430">
        <v>1</v>
      </c>
      <c r="H9" s="333">
        <v>45</v>
      </c>
      <c r="I9" s="333">
        <f t="shared" si="1"/>
        <v>45</v>
      </c>
      <c r="J9" s="334">
        <f t="shared" si="2"/>
        <v>3.2624999999999997</v>
      </c>
    </row>
    <row r="10" spans="1:18">
      <c r="B10" s="325"/>
      <c r="C10" s="325" t="s">
        <v>996</v>
      </c>
      <c r="D10" s="325"/>
      <c r="E10" s="325"/>
      <c r="F10" s="325"/>
      <c r="G10" s="430">
        <v>0</v>
      </c>
      <c r="H10" s="333">
        <v>6800</v>
      </c>
      <c r="I10" s="333">
        <f t="shared" si="1"/>
        <v>0</v>
      </c>
      <c r="J10" s="334">
        <f t="shared" si="2"/>
        <v>0</v>
      </c>
    </row>
    <row r="11" spans="1:18">
      <c r="B11" s="325"/>
      <c r="C11" s="325" t="s">
        <v>997</v>
      </c>
      <c r="D11" s="325"/>
      <c r="E11" s="325"/>
      <c r="F11" s="325"/>
      <c r="G11" s="430">
        <v>0</v>
      </c>
      <c r="H11" s="333">
        <v>3400</v>
      </c>
      <c r="I11" s="333">
        <f t="shared" si="1"/>
        <v>0</v>
      </c>
      <c r="J11" s="334">
        <f t="shared" si="2"/>
        <v>0</v>
      </c>
    </row>
    <row r="12" spans="1:18">
      <c r="B12" s="325" t="s">
        <v>860</v>
      </c>
      <c r="C12" s="325" t="s">
        <v>998</v>
      </c>
      <c r="D12" s="325"/>
      <c r="E12" s="337">
        <f>+$F$3</f>
        <v>0</v>
      </c>
      <c r="F12" s="325" t="s">
        <v>862</v>
      </c>
      <c r="G12" s="430">
        <v>0</v>
      </c>
      <c r="H12" s="333">
        <f>+E3/0.2035</f>
        <v>6275.184275184276</v>
      </c>
      <c r="I12" s="333">
        <f t="shared" si="0"/>
        <v>0</v>
      </c>
      <c r="J12" s="334">
        <f t="shared" si="2"/>
        <v>0</v>
      </c>
      <c r="M12" s="445"/>
    </row>
    <row r="13" spans="1:18" s="3" customFormat="1">
      <c r="G13" s="788" t="s">
        <v>816</v>
      </c>
      <c r="H13" s="707"/>
      <c r="I13" s="707"/>
      <c r="J13" s="30"/>
      <c r="K13" s="1">
        <f>IF(M1="Yes",SUM(I4:J12),0)</f>
        <v>0</v>
      </c>
      <c r="L13"/>
      <c r="M13"/>
      <c r="N13" s="5"/>
      <c r="O13" s="32"/>
    </row>
    <row r="14" spans="1:18" s="3" customFormat="1">
      <c r="L14"/>
      <c r="M14"/>
      <c r="N14" s="5"/>
      <c r="O14" s="32"/>
      <c r="P14" s="30"/>
      <c r="Q14" s="30"/>
      <c r="R14" s="30"/>
    </row>
    <row r="15" spans="1:18" s="3" customFormat="1">
      <c r="B15" t="s">
        <v>817</v>
      </c>
      <c r="D15" s="32"/>
      <c r="L15"/>
      <c r="M15"/>
      <c r="N15" s="5"/>
      <c r="O15" s="32"/>
      <c r="P15" s="30"/>
      <c r="Q15" s="30"/>
      <c r="R15" s="30"/>
    </row>
    <row r="16" spans="1:18">
      <c r="C16" s="95" t="s">
        <v>818</v>
      </c>
      <c r="D16" s="95"/>
      <c r="F16" s="95" t="s">
        <v>819</v>
      </c>
      <c r="G16" s="179">
        <v>0</v>
      </c>
      <c r="H16" s="173">
        <v>68.540000000000006</v>
      </c>
      <c r="I16" s="5">
        <f t="shared" ref="I16:I23" si="3">+G16*H16</f>
        <v>0</v>
      </c>
      <c r="J16" s="26">
        <f t="shared" ref="J16:J23" si="4">+I16*0.0725</f>
        <v>0</v>
      </c>
      <c r="K16"/>
      <c r="N16" s="5"/>
      <c r="P16" s="2"/>
      <c r="Q16" s="2"/>
      <c r="R16" s="30"/>
    </row>
    <row r="17" spans="1:18">
      <c r="C17" s="95" t="s">
        <v>820</v>
      </c>
      <c r="D17" s="95" t="s">
        <v>821</v>
      </c>
      <c r="F17" s="95" t="s">
        <v>822</v>
      </c>
      <c r="G17" s="179">
        <v>0</v>
      </c>
      <c r="H17" s="173">
        <f>35.99*5</f>
        <v>179.95000000000002</v>
      </c>
      <c r="I17" s="5">
        <f t="shared" si="3"/>
        <v>0</v>
      </c>
      <c r="J17" s="26">
        <f t="shared" si="4"/>
        <v>0</v>
      </c>
      <c r="K17"/>
      <c r="N17" s="5"/>
      <c r="O17" s="32"/>
      <c r="P17" s="521"/>
      <c r="Q17" s="30"/>
      <c r="R17" s="30"/>
    </row>
    <row r="18" spans="1:18">
      <c r="C18" s="95" t="s">
        <v>820</v>
      </c>
      <c r="D18" s="95" t="s">
        <v>823</v>
      </c>
      <c r="F18" s="95" t="s">
        <v>822</v>
      </c>
      <c r="G18" s="179">
        <v>0</v>
      </c>
      <c r="H18" s="173">
        <f>35.99*5</f>
        <v>179.95000000000002</v>
      </c>
      <c r="I18" s="5">
        <f t="shared" si="3"/>
        <v>0</v>
      </c>
      <c r="J18" s="26">
        <f t="shared" si="4"/>
        <v>0</v>
      </c>
      <c r="K18"/>
      <c r="N18" s="5"/>
      <c r="O18" s="32"/>
      <c r="P18" s="30"/>
      <c r="Q18" s="30"/>
      <c r="R18" s="30"/>
    </row>
    <row r="19" spans="1:18">
      <c r="A19" s="107">
        <v>45928</v>
      </c>
      <c r="C19" s="95" t="s">
        <v>820</v>
      </c>
      <c r="D19" s="95" t="s">
        <v>999</v>
      </c>
      <c r="F19" s="95" t="s">
        <v>824</v>
      </c>
      <c r="G19" s="179">
        <v>3</v>
      </c>
      <c r="H19" s="173">
        <v>140</v>
      </c>
      <c r="I19" s="5">
        <f t="shared" si="3"/>
        <v>420</v>
      </c>
      <c r="J19" s="26">
        <f t="shared" si="4"/>
        <v>30.45</v>
      </c>
      <c r="K19"/>
      <c r="L19" s="19" t="s">
        <v>1000</v>
      </c>
      <c r="P19" s="30"/>
      <c r="Q19" s="30"/>
      <c r="R19" s="30"/>
    </row>
    <row r="20" spans="1:18">
      <c r="C20" s="95" t="s">
        <v>1001</v>
      </c>
      <c r="D20" s="95" t="s">
        <v>999</v>
      </c>
      <c r="F20" s="95" t="s">
        <v>824</v>
      </c>
      <c r="G20" s="179">
        <v>0</v>
      </c>
      <c r="H20" s="173">
        <v>130</v>
      </c>
      <c r="I20" s="5">
        <f t="shared" ref="I20" si="5">+G20*H20</f>
        <v>0</v>
      </c>
      <c r="J20" s="26">
        <f t="shared" ref="J20" si="6">+I20*0.0725</f>
        <v>0</v>
      </c>
      <c r="K20"/>
      <c r="L20" s="19"/>
      <c r="P20" s="30"/>
      <c r="Q20" s="30"/>
      <c r="R20" s="30"/>
    </row>
    <row r="21" spans="1:18">
      <c r="B21" t="s">
        <v>825</v>
      </c>
      <c r="C21" s="95"/>
      <c r="D21" s="95"/>
      <c r="F21" s="95"/>
      <c r="G21" s="179"/>
      <c r="H21" s="173"/>
      <c r="I21" s="5">
        <f t="shared" si="3"/>
        <v>0</v>
      </c>
      <c r="J21" s="26">
        <f t="shared" si="4"/>
        <v>0</v>
      </c>
      <c r="K21"/>
      <c r="P21" s="30"/>
      <c r="Q21" s="30"/>
      <c r="R21" s="30"/>
    </row>
    <row r="22" spans="1:18">
      <c r="A22" s="107">
        <v>45928</v>
      </c>
      <c r="C22" s="95" t="s">
        <v>826</v>
      </c>
      <c r="D22" s="95"/>
      <c r="F22" s="95" t="s">
        <v>827</v>
      </c>
      <c r="G22" s="179">
        <v>1</v>
      </c>
      <c r="H22" s="173">
        <v>217.45</v>
      </c>
      <c r="I22" s="5">
        <f t="shared" si="3"/>
        <v>217.45</v>
      </c>
      <c r="J22" s="26">
        <f t="shared" si="4"/>
        <v>15.765124999999998</v>
      </c>
      <c r="K22"/>
      <c r="L22" s="19" t="s">
        <v>1002</v>
      </c>
      <c r="P22" s="30"/>
      <c r="Q22" s="30"/>
      <c r="R22" s="30"/>
    </row>
    <row r="23" spans="1:18">
      <c r="A23" s="107">
        <v>45928</v>
      </c>
      <c r="C23" s="95" t="s">
        <v>828</v>
      </c>
      <c r="D23" s="95"/>
      <c r="F23" s="95" t="s">
        <v>829</v>
      </c>
      <c r="G23" s="179">
        <v>3</v>
      </c>
      <c r="H23" s="173">
        <v>44.24</v>
      </c>
      <c r="I23" s="5">
        <f t="shared" si="3"/>
        <v>132.72</v>
      </c>
      <c r="J23" s="26">
        <f t="shared" si="4"/>
        <v>9.6221999999999994</v>
      </c>
      <c r="K23"/>
      <c r="P23" s="2"/>
      <c r="Q23" s="2"/>
      <c r="R23" s="30"/>
    </row>
    <row r="24" spans="1:18">
      <c r="P24" s="2"/>
      <c r="Q24" s="2"/>
      <c r="R24" s="30"/>
    </row>
    <row r="25" spans="1:18">
      <c r="B25" t="s">
        <v>833</v>
      </c>
      <c r="K25"/>
      <c r="P25" s="2"/>
      <c r="Q25" s="2"/>
      <c r="R25" s="30"/>
    </row>
    <row r="26" spans="1:18">
      <c r="C26" s="95" t="s">
        <v>830</v>
      </c>
      <c r="D26" s="95"/>
      <c r="F26" s="95" t="s">
        <v>831</v>
      </c>
      <c r="G26" s="179"/>
      <c r="H26" s="173">
        <v>33.99</v>
      </c>
      <c r="I26" s="5">
        <f>+G26*H26</f>
        <v>0</v>
      </c>
      <c r="J26" s="26">
        <f>+I26*0.0725</f>
        <v>0</v>
      </c>
      <c r="K26"/>
      <c r="P26" s="2"/>
      <c r="Q26" s="2"/>
      <c r="R26" s="30"/>
    </row>
    <row r="27" spans="1:18">
      <c r="C27" s="95" t="s">
        <v>832</v>
      </c>
      <c r="D27" s="95"/>
      <c r="F27" s="95" t="s">
        <v>831</v>
      </c>
      <c r="G27" s="179"/>
      <c r="H27" s="173">
        <v>33.99</v>
      </c>
      <c r="I27" s="5">
        <f t="shared" ref="I27:I36" si="7">+G27*H27</f>
        <v>0</v>
      </c>
      <c r="J27" s="26">
        <f t="shared" ref="J27:J36" si="8">+I27*0.0725</f>
        <v>0</v>
      </c>
      <c r="K27"/>
    </row>
    <row r="28" spans="1:18">
      <c r="C28" s="95" t="s">
        <v>1003</v>
      </c>
      <c r="D28" s="95"/>
      <c r="F28" s="95" t="s">
        <v>1004</v>
      </c>
      <c r="G28" s="179">
        <v>0</v>
      </c>
      <c r="H28" s="173">
        <v>15.85</v>
      </c>
      <c r="I28" s="5">
        <f t="shared" si="7"/>
        <v>0</v>
      </c>
      <c r="J28" s="26">
        <f t="shared" si="8"/>
        <v>0</v>
      </c>
      <c r="K28"/>
      <c r="L28" s="19" t="s">
        <v>1005</v>
      </c>
    </row>
    <row r="29" spans="1:18">
      <c r="C29" s="95" t="s">
        <v>835</v>
      </c>
      <c r="D29" s="95"/>
      <c r="F29" s="95" t="s">
        <v>836</v>
      </c>
      <c r="G29" s="179">
        <v>0</v>
      </c>
      <c r="H29" s="173">
        <f>5*25.79</f>
        <v>128.94999999999999</v>
      </c>
      <c r="I29" s="5">
        <f t="shared" si="7"/>
        <v>0</v>
      </c>
      <c r="J29" s="26">
        <f t="shared" si="8"/>
        <v>0</v>
      </c>
      <c r="K29"/>
    </row>
    <row r="30" spans="1:18">
      <c r="B30" t="s">
        <v>462</v>
      </c>
      <c r="C30" s="95"/>
      <c r="D30" s="95"/>
      <c r="F30" s="95"/>
      <c r="G30" s="179"/>
      <c r="H30" s="173"/>
      <c r="I30" s="5">
        <f t="shared" si="7"/>
        <v>0</v>
      </c>
      <c r="J30" s="26">
        <f t="shared" si="8"/>
        <v>0</v>
      </c>
      <c r="K30"/>
    </row>
    <row r="31" spans="1:18">
      <c r="C31" s="95" t="s">
        <v>837</v>
      </c>
      <c r="D31" s="95"/>
      <c r="F31" s="95" t="s">
        <v>838</v>
      </c>
      <c r="G31" s="179">
        <v>0</v>
      </c>
      <c r="H31" s="173">
        <f>5*63.05</f>
        <v>315.25</v>
      </c>
      <c r="I31" s="5">
        <f t="shared" si="7"/>
        <v>0</v>
      </c>
      <c r="J31" s="26">
        <f t="shared" si="8"/>
        <v>0</v>
      </c>
      <c r="K31"/>
    </row>
    <row r="32" spans="1:18">
      <c r="C32" s="95" t="s">
        <v>839</v>
      </c>
      <c r="D32" s="95"/>
      <c r="F32" s="95">
        <v>389832</v>
      </c>
      <c r="G32" s="179">
        <v>0</v>
      </c>
      <c r="H32" s="173">
        <v>39.979999999999997</v>
      </c>
      <c r="I32" s="5">
        <f t="shared" si="7"/>
        <v>0</v>
      </c>
      <c r="J32" s="26">
        <f t="shared" si="8"/>
        <v>0</v>
      </c>
      <c r="K32"/>
    </row>
    <row r="33" spans="2:16">
      <c r="C33" s="95" t="s">
        <v>840</v>
      </c>
      <c r="D33" s="95"/>
      <c r="F33" s="95">
        <v>985007</v>
      </c>
      <c r="G33" s="179"/>
      <c r="H33" s="173">
        <v>52.23</v>
      </c>
      <c r="I33" s="5">
        <f t="shared" si="7"/>
        <v>0</v>
      </c>
      <c r="J33" s="26">
        <f t="shared" si="8"/>
        <v>0</v>
      </c>
      <c r="K33"/>
      <c r="L33" s="19" t="s">
        <v>1006</v>
      </c>
    </row>
    <row r="34" spans="2:16">
      <c r="C34" s="95" t="s">
        <v>841</v>
      </c>
      <c r="D34" s="95"/>
      <c r="F34" s="95">
        <v>814917</v>
      </c>
      <c r="G34" s="179"/>
      <c r="H34" s="173">
        <f>109/5</f>
        <v>21.8</v>
      </c>
      <c r="I34" s="5">
        <f t="shared" si="7"/>
        <v>0</v>
      </c>
      <c r="J34" s="26">
        <f t="shared" si="8"/>
        <v>0</v>
      </c>
      <c r="K34"/>
    </row>
    <row r="35" spans="2:16">
      <c r="C35" s="95" t="s">
        <v>842</v>
      </c>
      <c r="D35" s="95"/>
      <c r="F35" s="95" t="s">
        <v>843</v>
      </c>
      <c r="G35" s="179">
        <v>0</v>
      </c>
      <c r="H35" s="173">
        <v>40</v>
      </c>
      <c r="I35" s="5">
        <f t="shared" si="7"/>
        <v>0</v>
      </c>
      <c r="J35" s="26">
        <f t="shared" si="8"/>
        <v>0</v>
      </c>
      <c r="K35"/>
    </row>
    <row r="36" spans="2:16">
      <c r="C36" s="2" t="s">
        <v>844</v>
      </c>
      <c r="F36" s="95" t="s">
        <v>845</v>
      </c>
      <c r="G36" s="179">
        <v>0</v>
      </c>
      <c r="H36" s="173">
        <v>50.24</v>
      </c>
      <c r="I36" s="5">
        <f t="shared" si="7"/>
        <v>0</v>
      </c>
      <c r="J36" s="26">
        <f t="shared" si="8"/>
        <v>0</v>
      </c>
    </row>
    <row r="37" spans="2:16">
      <c r="B37" t="s">
        <v>582</v>
      </c>
      <c r="D37" s="32"/>
      <c r="E37" s="96">
        <v>0</v>
      </c>
      <c r="G37"/>
      <c r="H37" s="5"/>
      <c r="J37" s="1"/>
      <c r="K37"/>
    </row>
    <row r="38" spans="2:16">
      <c r="C38" s="95" t="s">
        <v>846</v>
      </c>
      <c r="D38" s="95" t="s">
        <v>1007</v>
      </c>
      <c r="E38" s="181"/>
      <c r="F38" s="95" t="s">
        <v>848</v>
      </c>
      <c r="G38" s="179">
        <v>1</v>
      </c>
      <c r="H38" s="173">
        <v>54.95</v>
      </c>
      <c r="I38" s="5">
        <f t="shared" ref="I38:I39" si="9">+G38*H38</f>
        <v>54.95</v>
      </c>
      <c r="J38" s="26">
        <f t="shared" ref="J38:J39" si="10">+I38*0.0725</f>
        <v>3.9838749999999998</v>
      </c>
      <c r="K38"/>
      <c r="L38" t="s">
        <v>1008</v>
      </c>
    </row>
    <row r="39" spans="2:16">
      <c r="C39" s="95" t="s">
        <v>849</v>
      </c>
      <c r="D39" s="95"/>
      <c r="F39" s="95"/>
      <c r="G39" s="179"/>
      <c r="H39" s="173"/>
      <c r="I39" s="5">
        <f t="shared" si="9"/>
        <v>0</v>
      </c>
      <c r="J39" s="26">
        <f t="shared" si="10"/>
        <v>0</v>
      </c>
      <c r="K39"/>
    </row>
    <row r="40" spans="2:16">
      <c r="E40" s="121">
        <f>+E3</f>
        <v>1277</v>
      </c>
      <c r="G40"/>
      <c r="H40" s="5"/>
      <c r="J40" s="1"/>
      <c r="K40"/>
    </row>
    <row r="41" spans="2:16">
      <c r="B41" t="s">
        <v>850</v>
      </c>
      <c r="D41" s="32"/>
      <c r="E41" s="96">
        <v>0</v>
      </c>
      <c r="G41"/>
      <c r="H41" s="5"/>
      <c r="J41" s="1"/>
      <c r="K41"/>
    </row>
    <row r="42" spans="2:16">
      <c r="C42" s="95" t="s">
        <v>851</v>
      </c>
      <c r="D42" s="95" t="s">
        <v>1009</v>
      </c>
      <c r="E42" s="181"/>
      <c r="F42" s="95" t="s">
        <v>1010</v>
      </c>
      <c r="G42" s="179">
        <v>1</v>
      </c>
      <c r="H42" s="173">
        <v>45</v>
      </c>
      <c r="I42" s="5">
        <f t="shared" ref="I42:I46" si="11">+G42*H42</f>
        <v>45</v>
      </c>
      <c r="J42" s="26">
        <f t="shared" ref="J42:J46" si="12">+I42*0.0725</f>
        <v>3.2624999999999997</v>
      </c>
      <c r="K42"/>
      <c r="L42" s="19" t="s">
        <v>1011</v>
      </c>
    </row>
    <row r="43" spans="2:16">
      <c r="B43" t="s">
        <v>854</v>
      </c>
      <c r="D43" s="32"/>
      <c r="E43" s="96">
        <v>500</v>
      </c>
      <c r="G43" s="179"/>
      <c r="H43" s="173"/>
      <c r="I43" s="5">
        <f t="shared" si="11"/>
        <v>0</v>
      </c>
      <c r="J43" s="26">
        <f t="shared" si="12"/>
        <v>0</v>
      </c>
      <c r="K43"/>
    </row>
    <row r="44" spans="2:16">
      <c r="C44" s="95" t="s">
        <v>855</v>
      </c>
      <c r="D44" s="95"/>
      <c r="F44" s="95" t="s">
        <v>856</v>
      </c>
      <c r="G44" s="179">
        <v>0</v>
      </c>
      <c r="H44" s="173">
        <v>47.98</v>
      </c>
      <c r="I44" s="5">
        <f t="shared" si="11"/>
        <v>0</v>
      </c>
      <c r="J44" s="26">
        <f t="shared" si="12"/>
        <v>0</v>
      </c>
      <c r="K44"/>
    </row>
    <row r="45" spans="2:16">
      <c r="C45" s="2" t="s">
        <v>857</v>
      </c>
      <c r="F45" s="95" t="s">
        <v>858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8" t="s">
        <v>859</v>
      </c>
      <c r="H48" s="707"/>
      <c r="I48" s="707"/>
      <c r="J48" s="30"/>
      <c r="K48" s="1">
        <f>IF($M$1="No",SUM(I16:I47)+SUM(J16:J47),0)</f>
        <v>933.20370000000014</v>
      </c>
      <c r="P48" s="2"/>
    </row>
    <row r="50" spans="3:13">
      <c r="C50" s="2" t="s">
        <v>860</v>
      </c>
      <c r="G50"/>
      <c r="H50" s="5"/>
      <c r="I50" s="1"/>
      <c r="J50" s="1"/>
      <c r="K50"/>
    </row>
    <row r="51" spans="3:13">
      <c r="C51" s="95" t="s">
        <v>861</v>
      </c>
      <c r="D51" s="95"/>
      <c r="E51" s="121">
        <f>+$E$3</f>
        <v>1277</v>
      </c>
      <c r="F51" s="95" t="s">
        <v>862</v>
      </c>
      <c r="G51" s="179">
        <v>0</v>
      </c>
      <c r="H51" s="173">
        <v>6900</v>
      </c>
      <c r="I51" s="1">
        <f>IF(G51="yes",E51*#REF!,H51)</f>
        <v>6900</v>
      </c>
      <c r="J51" s="1"/>
      <c r="K51"/>
    </row>
    <row r="52" spans="3:13">
      <c r="C52" s="95" t="s">
        <v>1188</v>
      </c>
      <c r="D52" s="95"/>
      <c r="E52" s="121">
        <v>200</v>
      </c>
      <c r="F52" s="95" t="s">
        <v>504</v>
      </c>
      <c r="G52" s="179">
        <v>0</v>
      </c>
      <c r="H52" s="173">
        <v>500</v>
      </c>
      <c r="I52" s="1">
        <f>IF(G52="yes",E52*#REF!,H52)</f>
        <v>500</v>
      </c>
      <c r="J52" s="1"/>
      <c r="K52"/>
    </row>
    <row r="53" spans="3:13" ht="15.75" thickBot="1">
      <c r="C53" s="95" t="s">
        <v>860</v>
      </c>
      <c r="D53" s="95"/>
      <c r="E53" s="121">
        <f>+$E$3</f>
        <v>1277</v>
      </c>
      <c r="F53" s="95" t="s">
        <v>863</v>
      </c>
      <c r="G53" s="179">
        <v>0</v>
      </c>
      <c r="H53" s="173">
        <v>0</v>
      </c>
      <c r="I53" s="1">
        <f>IF(G53="yes",E53*#REF!,H53)</f>
        <v>0</v>
      </c>
      <c r="J53" s="1"/>
      <c r="K53" s="23"/>
      <c r="M53" s="3"/>
    </row>
    <row r="54" spans="3:13">
      <c r="G54"/>
      <c r="H54" s="5"/>
      <c r="I54" s="1"/>
      <c r="J54" s="1"/>
      <c r="K54" s="1">
        <f>IF($M$1="No",SUM(I51:I53)+SUM(J51:J53),0)</f>
        <v>7400</v>
      </c>
      <c r="M54" s="1"/>
    </row>
    <row r="55" spans="3:13">
      <c r="G55"/>
      <c r="H55" s="5"/>
      <c r="I55" s="5" t="s">
        <v>864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1012</v>
      </c>
      <c r="B1" s="32"/>
      <c r="J1" s="789" t="s">
        <v>9</v>
      </c>
      <c r="K1" s="789" t="str">
        <f>IF(Profit!Q6,IF(L1,"Yes","No"),"No")</f>
        <v>No</v>
      </c>
      <c r="L1" s="791" t="b">
        <v>0</v>
      </c>
    </row>
    <row r="2" spans="1:14" s="3" customFormat="1" ht="15.75" thickBot="1">
      <c r="A2" s="186" t="s">
        <v>429</v>
      </c>
      <c r="B2" s="186" t="s">
        <v>752</v>
      </c>
      <c r="C2" s="186" t="s">
        <v>753</v>
      </c>
      <c r="D2" s="186" t="s">
        <v>430</v>
      </c>
      <c r="E2" s="186" t="s">
        <v>711</v>
      </c>
      <c r="F2" s="186" t="s">
        <v>712</v>
      </c>
      <c r="G2" s="186" t="s">
        <v>425</v>
      </c>
      <c r="H2" s="186" t="s">
        <v>713</v>
      </c>
      <c r="J2" s="790"/>
      <c r="K2" s="790"/>
      <c r="L2" s="792"/>
    </row>
    <row r="3" spans="1:14">
      <c r="A3" s="330" t="s">
        <v>754</v>
      </c>
      <c r="B3" s="337">
        <f>+Profit!K9</f>
        <v>1277</v>
      </c>
      <c r="C3" s="325"/>
      <c r="D3" s="326"/>
      <c r="E3" s="333"/>
      <c r="F3" s="338"/>
      <c r="G3" s="334"/>
      <c r="H3" s="326"/>
      <c r="J3" s="3"/>
    </row>
    <row r="4" spans="1:14">
      <c r="A4" s="325" t="s">
        <v>1013</v>
      </c>
      <c r="B4" s="337">
        <f>+B3</f>
        <v>1277</v>
      </c>
      <c r="C4" s="325" t="s">
        <v>862</v>
      </c>
      <c r="D4" s="434">
        <v>1390</v>
      </c>
      <c r="E4" s="333">
        <f>+K4/D4</f>
        <v>2</v>
      </c>
      <c r="F4" s="338">
        <f>+D4*E4</f>
        <v>2780</v>
      </c>
      <c r="G4" s="334"/>
      <c r="H4" s="326"/>
      <c r="J4" s="3"/>
      <c r="K4">
        <v>2780</v>
      </c>
    </row>
    <row r="5" spans="1:14" ht="15.75" thickBot="1">
      <c r="A5" s="325" t="s">
        <v>460</v>
      </c>
      <c r="B5" s="337">
        <f>+B4</f>
        <v>1277</v>
      </c>
      <c r="C5" s="325"/>
      <c r="D5" s="434">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1015</v>
      </c>
      <c r="B8" s="136">
        <v>300</v>
      </c>
      <c r="C8" s="95" t="s">
        <v>862</v>
      </c>
      <c r="D8" s="179">
        <v>1</v>
      </c>
      <c r="E8" s="173">
        <v>5905.82</v>
      </c>
      <c r="F8" s="338">
        <f>+D8*E8</f>
        <v>5905.82</v>
      </c>
      <c r="G8" s="26"/>
      <c r="H8"/>
      <c r="I8" s="177"/>
      <c r="M8">
        <f>8*14/2</f>
        <v>56</v>
      </c>
    </row>
    <row r="9" spans="1:14">
      <c r="A9" s="95" t="s">
        <v>1016</v>
      </c>
      <c r="B9" s="136">
        <v>800</v>
      </c>
      <c r="C9" s="95"/>
      <c r="D9" s="179">
        <v>0</v>
      </c>
      <c r="E9" s="173">
        <v>6.22</v>
      </c>
      <c r="F9" s="338">
        <f t="shared" ref="F9:F20" si="0">B9*E9*D9</f>
        <v>0</v>
      </c>
      <c r="G9" s="26">
        <f t="shared" ref="G9:G20" si="1">+F9*0.0725</f>
        <v>0</v>
      </c>
      <c r="H9"/>
      <c r="M9">
        <f>24*26</f>
        <v>624</v>
      </c>
    </row>
    <row r="10" spans="1:14">
      <c r="A10" s="95" t="s">
        <v>1014</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1017</v>
      </c>
      <c r="B16" s="136"/>
      <c r="C16" s="95"/>
      <c r="D16" s="179">
        <v>0</v>
      </c>
      <c r="E16" s="173">
        <v>0</v>
      </c>
      <c r="F16" s="338">
        <f t="shared" si="0"/>
        <v>0</v>
      </c>
      <c r="G16" s="26">
        <f t="shared" si="1"/>
        <v>0</v>
      </c>
      <c r="H16"/>
    </row>
    <row r="17" spans="1:11">
      <c r="A17" s="95" t="s">
        <v>1017</v>
      </c>
      <c r="B17" s="136"/>
      <c r="C17" s="95"/>
      <c r="D17" s="179">
        <v>0</v>
      </c>
      <c r="E17" s="173"/>
      <c r="F17" s="338">
        <f t="shared" si="0"/>
        <v>0</v>
      </c>
      <c r="G17" s="26">
        <f t="shared" si="1"/>
        <v>0</v>
      </c>
      <c r="H17"/>
    </row>
    <row r="18" spans="1:11">
      <c r="A18" s="95" t="s">
        <v>1017</v>
      </c>
      <c r="B18" s="136"/>
      <c r="C18" s="95"/>
      <c r="D18" s="179">
        <v>0</v>
      </c>
      <c r="E18" s="173"/>
      <c r="F18" s="338">
        <f t="shared" si="0"/>
        <v>0</v>
      </c>
      <c r="G18" s="26">
        <f t="shared" si="1"/>
        <v>0</v>
      </c>
      <c r="H18"/>
    </row>
    <row r="19" spans="1:11">
      <c r="A19" s="95" t="s">
        <v>1017</v>
      </c>
      <c r="B19" s="136"/>
      <c r="C19" s="95"/>
      <c r="D19" s="179">
        <v>0</v>
      </c>
      <c r="E19" s="173"/>
      <c r="F19" s="338">
        <f t="shared" si="0"/>
        <v>0</v>
      </c>
      <c r="G19" s="26">
        <f t="shared" si="1"/>
        <v>0</v>
      </c>
      <c r="H19"/>
    </row>
    <row r="20" spans="1:11" ht="15.75" thickBot="1">
      <c r="A20" s="95" t="s">
        <v>1018</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1019</v>
      </c>
      <c r="D22"/>
      <c r="F22" s="5">
        <v>0</v>
      </c>
      <c r="I22" s="14">
        <f>SUM(H6:H21)</f>
        <v>5905.82</v>
      </c>
      <c r="J22" s="2"/>
    </row>
    <row r="23" spans="1:11">
      <c r="A23" s="2" t="s">
        <v>240</v>
      </c>
      <c r="D23" t="s">
        <v>240</v>
      </c>
      <c r="E23" s="5" t="s">
        <v>240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9" t="s">
        <v>9</v>
      </c>
      <c r="K1" s="789" t="str">
        <f>IF(Profit!Q6,IF(L1,"Yes","No"),"No")</f>
        <v>No</v>
      </c>
      <c r="L1" s="791" t="b">
        <v>0</v>
      </c>
    </row>
    <row r="2" spans="1:16" ht="15.75" thickBot="1">
      <c r="A2" s="32" t="s">
        <v>453</v>
      </c>
      <c r="B2" s="32"/>
      <c r="C2" s="32"/>
      <c r="J2" s="790"/>
      <c r="K2" s="790"/>
      <c r="L2" s="792"/>
    </row>
    <row r="3" spans="1:16" s="22" customFormat="1">
      <c r="A3" s="3" t="s">
        <v>686</v>
      </c>
      <c r="B3" s="3" t="s">
        <v>429</v>
      </c>
      <c r="C3" s="3" t="s">
        <v>109</v>
      </c>
      <c r="D3" s="3" t="s">
        <v>1020</v>
      </c>
      <c r="E3" s="3" t="s">
        <v>710</v>
      </c>
      <c r="F3" s="8" t="s">
        <v>711</v>
      </c>
      <c r="G3" s="16" t="s">
        <v>690</v>
      </c>
      <c r="H3" s="3" t="s">
        <v>713</v>
      </c>
      <c r="J3" s="3"/>
      <c r="K3" s="3"/>
    </row>
    <row r="4" spans="1:16" s="22" customFormat="1" ht="15.75" thickBot="1">
      <c r="A4" s="326"/>
      <c r="B4" s="326" t="s">
        <v>1021</v>
      </c>
      <c r="C4" s="326"/>
      <c r="D4" s="325" t="s">
        <v>1022</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240</v>
      </c>
      <c r="C7" s="3"/>
      <c r="D7" s="3" t="s">
        <v>240</v>
      </c>
      <c r="E7" s="3">
        <v>0</v>
      </c>
      <c r="F7" s="8" t="s">
        <v>240</v>
      </c>
      <c r="G7" s="16"/>
      <c r="H7" s="3"/>
      <c r="J7" s="3"/>
      <c r="K7" s="3"/>
    </row>
    <row r="8" spans="1:16">
      <c r="A8"/>
      <c r="B8" t="s">
        <v>1021</v>
      </c>
      <c r="C8"/>
      <c r="D8" s="2" t="s">
        <v>1022</v>
      </c>
      <c r="E8" s="11">
        <v>1</v>
      </c>
      <c r="F8" s="5">
        <v>8340</v>
      </c>
      <c r="G8" s="26">
        <f>+E8*F8</f>
        <v>8340</v>
      </c>
    </row>
    <row r="9" spans="1:16">
      <c r="A9"/>
      <c r="B9" t="s">
        <v>1023</v>
      </c>
      <c r="C9"/>
      <c r="D9" s="2" t="s">
        <v>1024</v>
      </c>
      <c r="E9" s="11">
        <v>0</v>
      </c>
      <c r="F9" s="5">
        <v>8.98</v>
      </c>
      <c r="G9" s="26">
        <f>+E9*F9</f>
        <v>0</v>
      </c>
    </row>
    <row r="10" spans="1:16">
      <c r="A10"/>
      <c r="B10" t="s">
        <v>1025</v>
      </c>
      <c r="C10"/>
      <c r="D10" s="2" t="s">
        <v>1026</v>
      </c>
      <c r="E10" s="11">
        <v>0</v>
      </c>
      <c r="F10" s="5">
        <v>22.97</v>
      </c>
      <c r="G10" s="26">
        <f t="shared" ref="G10:G15" si="0">+E10*F10</f>
        <v>0</v>
      </c>
    </row>
    <row r="11" spans="1:16">
      <c r="A11"/>
      <c r="B11" t="s">
        <v>1027</v>
      </c>
      <c r="C11"/>
      <c r="D11" s="2" t="s">
        <v>1028</v>
      </c>
      <c r="E11" s="11">
        <v>0</v>
      </c>
      <c r="F11" s="5">
        <v>44.93</v>
      </c>
      <c r="G11" s="26">
        <f t="shared" si="0"/>
        <v>0</v>
      </c>
    </row>
    <row r="12" spans="1:16">
      <c r="A12"/>
      <c r="B12" t="s">
        <v>1029</v>
      </c>
      <c r="C12"/>
      <c r="D12" s="2" t="s">
        <v>1030</v>
      </c>
      <c r="E12" s="11">
        <v>0</v>
      </c>
      <c r="F12" s="5">
        <v>5.98</v>
      </c>
      <c r="G12" s="26">
        <f t="shared" si="0"/>
        <v>0</v>
      </c>
    </row>
    <row r="13" spans="1:16">
      <c r="A13"/>
      <c r="B13" t="s">
        <v>1029</v>
      </c>
      <c r="C13"/>
      <c r="D13" s="2" t="s">
        <v>1031</v>
      </c>
      <c r="E13" s="11">
        <v>0</v>
      </c>
      <c r="F13" s="5">
        <v>4.97</v>
      </c>
      <c r="G13" s="26">
        <f t="shared" si="0"/>
        <v>0</v>
      </c>
      <c r="K13" s="32"/>
      <c r="L13" s="2"/>
      <c r="N13" s="5"/>
      <c r="O13" s="26"/>
    </row>
    <row r="14" spans="1:16">
      <c r="A14"/>
      <c r="B14" t="s">
        <v>1032</v>
      </c>
      <c r="C14"/>
      <c r="D14" s="2" t="s">
        <v>1033</v>
      </c>
      <c r="E14" s="11">
        <v>0</v>
      </c>
      <c r="F14" s="5">
        <v>23</v>
      </c>
      <c r="G14" s="26">
        <f t="shared" si="0"/>
        <v>0</v>
      </c>
      <c r="K14" s="3"/>
      <c r="L14" s="3"/>
      <c r="M14" s="3"/>
      <c r="N14" s="8"/>
      <c r="O14" s="16"/>
      <c r="P14" s="3"/>
    </row>
    <row r="15" spans="1:16">
      <c r="A15"/>
      <c r="B15" t="s">
        <v>1034</v>
      </c>
      <c r="C15"/>
      <c r="D15" s="2" t="s">
        <v>1022</v>
      </c>
      <c r="E15" s="11">
        <v>1</v>
      </c>
      <c r="F15" s="5">
        <v>281</v>
      </c>
      <c r="G15" s="26">
        <f t="shared" si="0"/>
        <v>281</v>
      </c>
      <c r="L15" s="2"/>
      <c r="M15" s="11"/>
      <c r="N15" s="5"/>
      <c r="O15" s="26"/>
    </row>
    <row r="16" spans="1:16" ht="15.75" thickBot="1">
      <c r="A16" s="2" t="s">
        <v>1035</v>
      </c>
      <c r="B16" s="2" t="s">
        <v>1036</v>
      </c>
      <c r="C16" s="371">
        <v>45700</v>
      </c>
      <c r="E16">
        <v>0</v>
      </c>
      <c r="F16" s="5">
        <v>254.72</v>
      </c>
      <c r="G16" s="29">
        <f>+E16*F16</f>
        <v>0</v>
      </c>
      <c r="H16" s="29"/>
      <c r="L16" s="2"/>
      <c r="M16" s="11"/>
      <c r="N16" s="5"/>
      <c r="O16" s="26"/>
    </row>
    <row r="17" spans="5:16">
      <c r="E17" s="788"/>
      <c r="F17" s="707"/>
      <c r="G17" s="707"/>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8"/>
      <c r="N24" s="707"/>
      <c r="O24" s="70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452</v>
      </c>
      <c r="B1" s="3"/>
      <c r="I1" s="789" t="s">
        <v>9</v>
      </c>
      <c r="J1" s="789" t="str">
        <f>IF(Profit!Q6,IF(K1,"Yes","No"),"No")</f>
        <v>No</v>
      </c>
      <c r="K1" s="791" t="b">
        <v>0</v>
      </c>
    </row>
    <row r="2" spans="1:11" ht="15.75" thickBot="1">
      <c r="C2" s="3"/>
      <c r="D2" s="8"/>
      <c r="E2" s="13"/>
      <c r="F2" s="13"/>
      <c r="G2" s="13"/>
      <c r="I2" s="790"/>
      <c r="J2" s="790"/>
      <c r="K2" s="792"/>
    </row>
    <row r="3" spans="1:11">
      <c r="A3" s="3" t="s">
        <v>429</v>
      </c>
      <c r="B3" s="3" t="s">
        <v>883</v>
      </c>
      <c r="C3" s="3" t="s">
        <v>710</v>
      </c>
      <c r="D3" s="8" t="s">
        <v>711</v>
      </c>
      <c r="E3" s="13" t="s">
        <v>712</v>
      </c>
      <c r="F3" s="13" t="s">
        <v>425</v>
      </c>
      <c r="G3" s="13" t="s">
        <v>713</v>
      </c>
    </row>
    <row r="4" spans="1:11">
      <c r="A4" s="336" t="s">
        <v>1037</v>
      </c>
      <c r="B4" s="336" t="s">
        <v>1038</v>
      </c>
      <c r="C4" s="326">
        <v>4</v>
      </c>
      <c r="D4" s="333">
        <v>21.97</v>
      </c>
      <c r="E4" s="327">
        <f>+C4*D4</f>
        <v>87.88</v>
      </c>
      <c r="F4" s="334">
        <f t="shared" ref="F4:F7" si="0">+E4*0.0725</f>
        <v>6.3712999999999989</v>
      </c>
      <c r="G4" s="332"/>
    </row>
    <row r="5" spans="1:11">
      <c r="A5" s="336" t="s">
        <v>1039</v>
      </c>
      <c r="B5" s="336" t="s">
        <v>1040</v>
      </c>
      <c r="C5" s="326">
        <v>2</v>
      </c>
      <c r="D5" s="333">
        <v>79.97</v>
      </c>
      <c r="E5" s="327">
        <f t="shared" ref="E5:E7" si="1">+C5*D5</f>
        <v>159.94</v>
      </c>
      <c r="F5" s="334">
        <f t="shared" si="0"/>
        <v>11.595649999999999</v>
      </c>
      <c r="G5" s="327"/>
    </row>
    <row r="6" spans="1:11">
      <c r="A6" s="336" t="s">
        <v>1041</v>
      </c>
      <c r="B6" s="336" t="s">
        <v>1042</v>
      </c>
      <c r="C6" s="326">
        <v>1</v>
      </c>
      <c r="D6" s="333">
        <v>123</v>
      </c>
      <c r="E6" s="327">
        <f t="shared" si="1"/>
        <v>123</v>
      </c>
      <c r="F6" s="334">
        <f t="shared" si="0"/>
        <v>8.9174999999999986</v>
      </c>
      <c r="G6" s="327"/>
    </row>
    <row r="7" spans="1:11" ht="15.75" thickBot="1">
      <c r="A7" s="336" t="s">
        <v>1043</v>
      </c>
      <c r="B7" s="336" t="s">
        <v>1044</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1045</v>
      </c>
      <c r="B11" s="3" t="s">
        <v>1046</v>
      </c>
      <c r="C11" s="30">
        <v>0</v>
      </c>
      <c r="D11" s="8">
        <v>39.97</v>
      </c>
      <c r="E11" s="14">
        <f>+C11*D11</f>
        <v>0</v>
      </c>
      <c r="F11" s="26">
        <f t="shared" ref="F11:F33" si="2">+E11*0.0725</f>
        <v>0</v>
      </c>
      <c r="G11" s="13"/>
    </row>
    <row r="12" spans="1:11">
      <c r="A12" s="30" t="s">
        <v>1037</v>
      </c>
      <c r="B12" s="30" t="s">
        <v>1038</v>
      </c>
      <c r="C12">
        <v>0</v>
      </c>
      <c r="D12" s="5">
        <v>21.97</v>
      </c>
      <c r="E12" s="14">
        <f>+C12*D12</f>
        <v>0</v>
      </c>
      <c r="F12" s="26">
        <f t="shared" si="2"/>
        <v>0</v>
      </c>
    </row>
    <row r="13" spans="1:11">
      <c r="A13" s="30" t="s">
        <v>1037</v>
      </c>
      <c r="B13" s="30" t="s">
        <v>1047</v>
      </c>
      <c r="C13">
        <v>0</v>
      </c>
      <c r="D13" s="5">
        <v>29.97</v>
      </c>
      <c r="E13" s="14">
        <f>+C13*D13</f>
        <v>0</v>
      </c>
      <c r="F13" s="26">
        <f t="shared" si="2"/>
        <v>0</v>
      </c>
    </row>
    <row r="14" spans="1:11">
      <c r="A14" s="30" t="s">
        <v>1037</v>
      </c>
      <c r="B14" s="30" t="s">
        <v>1048</v>
      </c>
      <c r="C14">
        <v>0</v>
      </c>
      <c r="D14" s="5">
        <v>21.97</v>
      </c>
      <c r="E14" s="14">
        <f>+C14*D14</f>
        <v>0</v>
      </c>
      <c r="F14" s="26">
        <f t="shared" si="2"/>
        <v>0</v>
      </c>
    </row>
    <row r="15" spans="1:11">
      <c r="A15" s="30" t="s">
        <v>1037</v>
      </c>
      <c r="B15" s="30" t="s">
        <v>1049</v>
      </c>
      <c r="C15">
        <v>0</v>
      </c>
      <c r="D15" s="5">
        <v>69.97</v>
      </c>
      <c r="E15" s="14">
        <f>+C15*D15</f>
        <v>0</v>
      </c>
      <c r="F15" s="26">
        <f t="shared" si="2"/>
        <v>0</v>
      </c>
    </row>
    <row r="16" spans="1:11">
      <c r="A16" s="30" t="s">
        <v>1050</v>
      </c>
      <c r="B16" s="30" t="s">
        <v>1051</v>
      </c>
      <c r="C16">
        <v>0</v>
      </c>
      <c r="D16" s="5">
        <v>64.97</v>
      </c>
      <c r="E16" s="14">
        <f t="shared" ref="E16:E33" si="3">+C16*D16</f>
        <v>0</v>
      </c>
      <c r="F16" s="26">
        <f t="shared" si="2"/>
        <v>0</v>
      </c>
    </row>
    <row r="17" spans="1:6">
      <c r="A17" s="30" t="s">
        <v>1052</v>
      </c>
      <c r="B17" s="30" t="s">
        <v>1053</v>
      </c>
      <c r="C17">
        <v>0</v>
      </c>
      <c r="D17" s="5">
        <v>89.97</v>
      </c>
      <c r="E17" s="14">
        <f t="shared" si="3"/>
        <v>0</v>
      </c>
      <c r="F17" s="26">
        <f t="shared" si="2"/>
        <v>0</v>
      </c>
    </row>
    <row r="18" spans="1:6">
      <c r="A18" s="30" t="s">
        <v>1054</v>
      </c>
      <c r="B18" s="30">
        <v>2535475</v>
      </c>
      <c r="C18">
        <v>0</v>
      </c>
      <c r="D18" s="5">
        <v>24.98</v>
      </c>
      <c r="E18" s="14">
        <f t="shared" si="3"/>
        <v>0</v>
      </c>
      <c r="F18" s="26">
        <f t="shared" si="2"/>
        <v>0</v>
      </c>
    </row>
    <row r="19" spans="1:6">
      <c r="A19" s="30" t="s">
        <v>1055</v>
      </c>
      <c r="B19" s="30"/>
      <c r="C19">
        <v>0</v>
      </c>
      <c r="D19" s="5">
        <v>10.9</v>
      </c>
      <c r="E19" s="14">
        <f t="shared" si="3"/>
        <v>0</v>
      </c>
      <c r="F19" s="26">
        <f t="shared" si="2"/>
        <v>0</v>
      </c>
    </row>
    <row r="20" spans="1:6">
      <c r="A20" s="30" t="s">
        <v>1056</v>
      </c>
      <c r="B20" s="30" t="s">
        <v>1057</v>
      </c>
      <c r="C20">
        <v>0</v>
      </c>
      <c r="D20" s="5">
        <v>62.97</v>
      </c>
      <c r="E20" s="14">
        <f t="shared" si="3"/>
        <v>0</v>
      </c>
      <c r="F20" s="26">
        <f t="shared" si="2"/>
        <v>0</v>
      </c>
    </row>
    <row r="21" spans="1:6">
      <c r="A21" s="30" t="s">
        <v>1043</v>
      </c>
      <c r="B21" s="30" t="s">
        <v>1044</v>
      </c>
      <c r="C21">
        <v>0</v>
      </c>
      <c r="D21" s="5">
        <v>54.98</v>
      </c>
      <c r="E21" s="14">
        <f t="shared" si="3"/>
        <v>0</v>
      </c>
      <c r="F21" s="26">
        <f t="shared" si="2"/>
        <v>0</v>
      </c>
    </row>
    <row r="22" spans="1:6">
      <c r="A22" s="30" t="s">
        <v>1058</v>
      </c>
      <c r="B22" s="30" t="s">
        <v>1059</v>
      </c>
      <c r="C22">
        <v>0</v>
      </c>
      <c r="D22" s="5">
        <v>17.97</v>
      </c>
      <c r="E22" s="14">
        <f t="shared" si="3"/>
        <v>0</v>
      </c>
      <c r="F22" s="26">
        <f t="shared" si="2"/>
        <v>0</v>
      </c>
    </row>
    <row r="23" spans="1:6">
      <c r="A23" s="30" t="s">
        <v>1060</v>
      </c>
      <c r="B23" s="30" t="s">
        <v>1061</v>
      </c>
      <c r="C23">
        <v>0</v>
      </c>
      <c r="D23" s="5">
        <v>16.98</v>
      </c>
      <c r="E23" s="14">
        <f t="shared" si="3"/>
        <v>0</v>
      </c>
      <c r="F23" s="26">
        <f t="shared" si="2"/>
        <v>0</v>
      </c>
    </row>
    <row r="24" spans="1:6">
      <c r="A24" s="30" t="s">
        <v>1062</v>
      </c>
      <c r="B24" s="30" t="s">
        <v>1063</v>
      </c>
      <c r="C24">
        <v>0</v>
      </c>
      <c r="D24" s="5">
        <v>3.27</v>
      </c>
      <c r="E24" s="14">
        <f t="shared" si="3"/>
        <v>0</v>
      </c>
      <c r="F24" s="26">
        <f t="shared" si="2"/>
        <v>0</v>
      </c>
    </row>
    <row r="25" spans="1:6">
      <c r="A25" s="30" t="s">
        <v>1039</v>
      </c>
      <c r="B25" s="30" t="s">
        <v>1040</v>
      </c>
      <c r="C25">
        <v>0</v>
      </c>
      <c r="D25" s="5">
        <v>79.97</v>
      </c>
      <c r="E25" s="14">
        <f t="shared" si="3"/>
        <v>0</v>
      </c>
      <c r="F25" s="26">
        <f t="shared" si="2"/>
        <v>0</v>
      </c>
    </row>
    <row r="26" spans="1:6">
      <c r="A26" s="30" t="s">
        <v>1041</v>
      </c>
      <c r="B26" s="30" t="s">
        <v>1042</v>
      </c>
      <c r="C26">
        <v>0</v>
      </c>
      <c r="D26" s="5">
        <v>123</v>
      </c>
      <c r="E26" s="14">
        <f t="shared" si="3"/>
        <v>0</v>
      </c>
      <c r="F26" s="26">
        <f t="shared" si="2"/>
        <v>0</v>
      </c>
    </row>
    <row r="27" spans="1:6">
      <c r="A27" s="30" t="s">
        <v>1064</v>
      </c>
      <c r="B27" s="30" t="s">
        <v>1065</v>
      </c>
      <c r="C27">
        <v>0</v>
      </c>
      <c r="D27" s="5">
        <v>13.98</v>
      </c>
      <c r="E27" s="14">
        <f t="shared" si="3"/>
        <v>0</v>
      </c>
      <c r="F27" s="26">
        <f t="shared" si="2"/>
        <v>0</v>
      </c>
    </row>
    <row r="28" spans="1:6">
      <c r="A28" s="30" t="s">
        <v>1066</v>
      </c>
      <c r="B28" s="30">
        <v>39800072986</v>
      </c>
      <c r="C28">
        <v>0</v>
      </c>
      <c r="D28" s="5">
        <v>17.87</v>
      </c>
      <c r="E28" s="14">
        <f t="shared" si="3"/>
        <v>0</v>
      </c>
      <c r="F28" s="26">
        <f t="shared" si="2"/>
        <v>0</v>
      </c>
    </row>
    <row r="29" spans="1:6">
      <c r="A29" s="30" t="s">
        <v>1067</v>
      </c>
      <c r="B29" s="190">
        <v>46335120372</v>
      </c>
      <c r="C29">
        <v>0</v>
      </c>
      <c r="D29" s="5">
        <v>99.97</v>
      </c>
      <c r="E29" s="14">
        <f t="shared" si="3"/>
        <v>0</v>
      </c>
      <c r="F29" s="26">
        <f t="shared" si="2"/>
        <v>0</v>
      </c>
    </row>
    <row r="30" spans="1:6">
      <c r="A30" s="30" t="s">
        <v>1068</v>
      </c>
      <c r="B30" s="190">
        <v>792145370178</v>
      </c>
      <c r="C30">
        <v>0</v>
      </c>
      <c r="D30" s="5">
        <v>59.97</v>
      </c>
      <c r="E30" s="14">
        <f t="shared" si="3"/>
        <v>0</v>
      </c>
      <c r="F30" s="26">
        <f t="shared" si="2"/>
        <v>0</v>
      </c>
    </row>
    <row r="31" spans="1:6">
      <c r="A31" s="30" t="s">
        <v>1069</v>
      </c>
      <c r="B31" s="30">
        <v>82392573331</v>
      </c>
      <c r="C31">
        <v>0</v>
      </c>
      <c r="D31" s="5">
        <v>109</v>
      </c>
      <c r="E31" s="14">
        <f t="shared" si="3"/>
        <v>0</v>
      </c>
      <c r="F31" s="26">
        <f t="shared" si="2"/>
        <v>0</v>
      </c>
    </row>
    <row r="32" spans="1:6">
      <c r="A32" s="30" t="s">
        <v>1070</v>
      </c>
      <c r="B32" s="30">
        <v>5190530</v>
      </c>
      <c r="C32">
        <v>0</v>
      </c>
      <c r="D32" s="5">
        <v>18.98</v>
      </c>
      <c r="E32" s="14">
        <f t="shared" si="3"/>
        <v>0</v>
      </c>
      <c r="F32" s="26">
        <f t="shared" si="2"/>
        <v>0</v>
      </c>
    </row>
    <row r="33" spans="1:10" ht="15.75" thickBot="1">
      <c r="A33" s="30" t="s">
        <v>1071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1072</v>
      </c>
      <c r="B1" s="16"/>
      <c r="H1" s="789" t="s">
        <v>9</v>
      </c>
      <c r="I1" s="789" t="str">
        <f>IF(Profit!Q6,IF(J1,"Yes","No"),"No")</f>
        <v>No</v>
      </c>
      <c r="J1" s="791" t="b">
        <v>0</v>
      </c>
    </row>
    <row r="2" spans="1:10" s="15" customFormat="1" ht="15.75" thickBot="1">
      <c r="A2" s="3" t="s">
        <v>1073</v>
      </c>
      <c r="B2" s="17" t="s">
        <v>1074</v>
      </c>
      <c r="C2" s="30" t="s">
        <v>1075</v>
      </c>
      <c r="D2" s="3" t="s">
        <v>710</v>
      </c>
      <c r="E2" s="8" t="s">
        <v>1076</v>
      </c>
      <c r="F2" s="6" t="s">
        <v>1077</v>
      </c>
      <c r="G2" s="15" t="s">
        <v>713</v>
      </c>
      <c r="H2" s="790"/>
      <c r="I2" s="790"/>
      <c r="J2" s="792"/>
    </row>
    <row r="4" spans="1:10">
      <c r="A4" s="2" t="s">
        <v>1078</v>
      </c>
      <c r="B4" s="18">
        <v>0.79</v>
      </c>
      <c r="C4" s="2">
        <v>500</v>
      </c>
      <c r="D4">
        <v>0</v>
      </c>
      <c r="E4" s="5">
        <v>60</v>
      </c>
      <c r="F4" s="1">
        <f>+C4*B4*D4</f>
        <v>0</v>
      </c>
    </row>
    <row r="5" spans="1:10">
      <c r="A5" s="2" t="s">
        <v>1079</v>
      </c>
      <c r="B5" s="18">
        <v>1</v>
      </c>
      <c r="C5" s="2">
        <f>24*10</f>
        <v>240</v>
      </c>
      <c r="D5">
        <v>0</v>
      </c>
      <c r="E5" s="5">
        <v>60</v>
      </c>
      <c r="F5" s="1">
        <f>+C5*B5*D5</f>
        <v>0</v>
      </c>
    </row>
    <row r="6" spans="1:10">
      <c r="A6" s="2" t="s">
        <v>1080</v>
      </c>
      <c r="B6" s="18" t="s">
        <v>240</v>
      </c>
      <c r="C6" s="523">
        <v>45934</v>
      </c>
      <c r="D6">
        <v>1</v>
      </c>
      <c r="E6" s="5">
        <v>135</v>
      </c>
      <c r="F6" s="1">
        <f t="shared" ref="F6:F11" si="0">+D6*E6</f>
        <v>135</v>
      </c>
      <c r="G6">
        <v>135</v>
      </c>
    </row>
    <row r="7" spans="1:10">
      <c r="A7" s="2" t="s">
        <v>1080</v>
      </c>
      <c r="B7" s="18" t="s">
        <v>240</v>
      </c>
      <c r="C7" s="371">
        <v>46151</v>
      </c>
      <c r="D7">
        <v>1</v>
      </c>
      <c r="E7" s="5">
        <v>135</v>
      </c>
      <c r="F7" s="1">
        <v>135</v>
      </c>
      <c r="G7">
        <v>135</v>
      </c>
    </row>
    <row r="8" spans="1:10">
      <c r="A8" s="2" t="s">
        <v>1081</v>
      </c>
      <c r="D8">
        <v>0</v>
      </c>
      <c r="E8" s="5">
        <v>165</v>
      </c>
      <c r="F8" s="1">
        <f t="shared" si="0"/>
        <v>0</v>
      </c>
    </row>
    <row r="9" spans="1:10">
      <c r="A9" s="2" t="s">
        <v>1082</v>
      </c>
      <c r="B9" s="18">
        <v>0.13636363636363635</v>
      </c>
      <c r="D9">
        <v>0</v>
      </c>
      <c r="E9" s="5">
        <v>1385</v>
      </c>
      <c r="F9" s="1">
        <f t="shared" si="0"/>
        <v>0</v>
      </c>
      <c r="G9">
        <v>1385</v>
      </c>
    </row>
    <row r="10" spans="1:10">
      <c r="A10" s="2" t="s">
        <v>1083</v>
      </c>
      <c r="D10">
        <v>0</v>
      </c>
      <c r="E10" s="5">
        <v>15</v>
      </c>
      <c r="F10" s="1">
        <f t="shared" si="0"/>
        <v>0</v>
      </c>
    </row>
    <row r="11" spans="1:10">
      <c r="A11" s="2" t="s">
        <v>1084</v>
      </c>
      <c r="D11">
        <v>0</v>
      </c>
      <c r="E11" s="5">
        <v>1100</v>
      </c>
      <c r="F11" s="1">
        <f t="shared" si="0"/>
        <v>0</v>
      </c>
    </row>
    <row r="12" spans="1:10">
      <c r="A12" s="2" t="s">
        <v>1085</v>
      </c>
      <c r="D12">
        <v>0</v>
      </c>
      <c r="E12" s="5">
        <v>285</v>
      </c>
      <c r="F12" s="1">
        <v>0</v>
      </c>
    </row>
    <row r="13" spans="1:10">
      <c r="A13" s="2" t="s">
        <v>1086</v>
      </c>
      <c r="D13">
        <v>0</v>
      </c>
      <c r="E13" s="5">
        <v>975</v>
      </c>
      <c r="F13" s="1">
        <f>+D13*E13</f>
        <v>0</v>
      </c>
    </row>
    <row r="14" spans="1:10">
      <c r="A14" s="2" t="s">
        <v>1087</v>
      </c>
      <c r="B14" s="18" t="s">
        <v>240</v>
      </c>
      <c r="D14">
        <v>0</v>
      </c>
      <c r="E14" s="5">
        <v>60</v>
      </c>
      <c r="F14" s="1">
        <f>+D14*E14</f>
        <v>0</v>
      </c>
    </row>
    <row r="15" spans="1:10">
      <c r="A15" s="2" t="s">
        <v>1087</v>
      </c>
      <c r="B15" s="18" t="s">
        <v>240</v>
      </c>
      <c r="D15">
        <v>0</v>
      </c>
      <c r="E15" s="5">
        <v>60</v>
      </c>
      <c r="F15" s="1">
        <f>+D15*E15</f>
        <v>0</v>
      </c>
    </row>
    <row r="16" spans="1:10" ht="15.75" thickBot="1">
      <c r="A16" s="2" t="s">
        <v>1087</v>
      </c>
      <c r="B16" s="18" t="s">
        <v>240</v>
      </c>
      <c r="D16">
        <v>0</v>
      </c>
      <c r="E16" s="5">
        <v>60</v>
      </c>
      <c r="F16" s="29">
        <f>+D16*E16</f>
        <v>0</v>
      </c>
      <c r="G16" s="23"/>
    </row>
    <row r="17" spans="3:7">
      <c r="C17" s="2">
        <f>+SUM(C4:C16)</f>
        <v>92825</v>
      </c>
      <c r="F17" s="15" t="s">
        <v>713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476</v>
      </c>
      <c r="B1" s="32"/>
      <c r="C1" s="16"/>
      <c r="H1" s="789" t="s">
        <v>9</v>
      </c>
      <c r="I1" s="789" t="str">
        <f>IF(Profit!$Q$6,IF(J1="No","No","Yes"),"no")</f>
        <v>Yes</v>
      </c>
      <c r="J1" s="793"/>
    </row>
    <row r="2" spans="1:10" s="50" customFormat="1" ht="30.75" thickBot="1">
      <c r="A2" s="50" t="s">
        <v>1073</v>
      </c>
      <c r="B2" s="50" t="s">
        <v>430</v>
      </c>
      <c r="C2" s="217" t="s">
        <v>1088</v>
      </c>
      <c r="D2" s="50" t="s">
        <v>713</v>
      </c>
      <c r="E2" s="50" t="s">
        <v>1089</v>
      </c>
      <c r="F2" s="178"/>
      <c r="G2" s="217">
        <v>20</v>
      </c>
      <c r="H2" s="790"/>
      <c r="I2" s="790"/>
      <c r="J2" s="794"/>
    </row>
    <row r="4" spans="1:10">
      <c r="A4" s="2" t="s">
        <v>1090</v>
      </c>
      <c r="B4" s="2">
        <v>0</v>
      </c>
      <c r="C4" s="18">
        <v>800</v>
      </c>
      <c r="D4" s="5">
        <f>+B4*C4</f>
        <v>0</v>
      </c>
    </row>
    <row r="5" spans="1:10">
      <c r="A5" s="2" t="s">
        <v>1091</v>
      </c>
      <c r="B5" s="2">
        <v>0</v>
      </c>
      <c r="C5" s="18">
        <v>28.46</v>
      </c>
      <c r="D5" s="5">
        <f t="shared" ref="D5:D15" si="0">+B5*C5</f>
        <v>0</v>
      </c>
    </row>
    <row r="6" spans="1:10">
      <c r="A6" s="2" t="s">
        <v>1092</v>
      </c>
      <c r="B6" s="2">
        <v>0</v>
      </c>
      <c r="C6" s="18">
        <v>32.979999999999997</v>
      </c>
      <c r="D6" s="5">
        <f t="shared" si="0"/>
        <v>0</v>
      </c>
    </row>
    <row r="7" spans="1:10">
      <c r="A7" s="2" t="s">
        <v>1093</v>
      </c>
      <c r="B7" s="2">
        <v>0</v>
      </c>
      <c r="C7" s="18">
        <v>28.47</v>
      </c>
      <c r="D7" s="5">
        <f t="shared" si="0"/>
        <v>0</v>
      </c>
    </row>
    <row r="8" spans="1:10">
      <c r="A8" s="2" t="s">
        <v>1094</v>
      </c>
      <c r="D8" s="5">
        <f t="shared" si="0"/>
        <v>0</v>
      </c>
    </row>
    <row r="9" spans="1:10">
      <c r="A9" s="2" t="s">
        <v>1095</v>
      </c>
      <c r="B9" s="2">
        <v>0</v>
      </c>
      <c r="C9" s="18">
        <v>1000</v>
      </c>
      <c r="D9" s="5">
        <f t="shared" si="0"/>
        <v>0</v>
      </c>
    </row>
    <row r="10" spans="1:10">
      <c r="A10" s="2" t="s">
        <v>1096</v>
      </c>
      <c r="D10" s="5">
        <f t="shared" si="0"/>
        <v>0</v>
      </c>
    </row>
    <row r="11" spans="1:10">
      <c r="A11" s="2" t="s">
        <v>1096</v>
      </c>
      <c r="D11" s="5">
        <f t="shared" si="0"/>
        <v>0</v>
      </c>
    </row>
    <row r="12" spans="1:10">
      <c r="A12" s="2" t="s">
        <v>1097</v>
      </c>
      <c r="B12" s="2">
        <v>0</v>
      </c>
      <c r="C12" s="18">
        <v>5500</v>
      </c>
      <c r="D12" s="5">
        <f t="shared" si="0"/>
        <v>0</v>
      </c>
    </row>
    <row r="13" spans="1:10">
      <c r="A13" s="2" t="s">
        <v>1098</v>
      </c>
      <c r="C13" s="18">
        <v>1604326</v>
      </c>
      <c r="D13" s="5">
        <f t="shared" si="0"/>
        <v>0</v>
      </c>
    </row>
    <row r="14" spans="1:10">
      <c r="A14" s="2" t="s">
        <v>1099</v>
      </c>
      <c r="C14" s="18">
        <v>228556</v>
      </c>
      <c r="D14" s="5">
        <f t="shared" si="0"/>
        <v>0</v>
      </c>
    </row>
    <row r="15" spans="1:10">
      <c r="A15" s="2" t="s">
        <v>1100</v>
      </c>
      <c r="B15" s="2">
        <v>0</v>
      </c>
      <c r="C15" s="18">
        <v>400</v>
      </c>
      <c r="D15" s="5">
        <f t="shared" si="0"/>
        <v>0</v>
      </c>
      <c r="I15" s="3" t="s">
        <v>240</v>
      </c>
    </row>
    <row r="16" spans="1:10">
      <c r="A16" s="2" t="s">
        <v>1101</v>
      </c>
      <c r="B16" s="2">
        <v>0</v>
      </c>
      <c r="C16" s="18">
        <v>7.33</v>
      </c>
      <c r="D16" s="5">
        <f>+B16*C16</f>
        <v>0</v>
      </c>
      <c r="I16" s="3"/>
    </row>
    <row r="17" spans="1:9">
      <c r="A17" s="2" t="s">
        <v>1102</v>
      </c>
      <c r="B17" s="2">
        <v>0</v>
      </c>
      <c r="C17" s="18">
        <v>9.9700000000000006</v>
      </c>
      <c r="D17" s="5">
        <f>+B17*C17</f>
        <v>0</v>
      </c>
      <c r="I17" s="3"/>
    </row>
    <row r="18" spans="1:9">
      <c r="A18" s="2" t="s">
        <v>1103</v>
      </c>
      <c r="B18" s="2">
        <v>0</v>
      </c>
      <c r="C18" s="18">
        <v>3.98</v>
      </c>
      <c r="D18" s="5">
        <f>+B18*C18</f>
        <v>0</v>
      </c>
      <c r="I18" s="3"/>
    </row>
    <row r="19" spans="1:9">
      <c r="A19" s="2" t="s">
        <v>1104</v>
      </c>
      <c r="B19" s="2">
        <v>0</v>
      </c>
      <c r="C19" s="18">
        <v>7.68</v>
      </c>
      <c r="D19" s="5">
        <f>+B19*C19</f>
        <v>0</v>
      </c>
      <c r="H19" s="1"/>
      <c r="I19" t="s">
        <v>240</v>
      </c>
    </row>
    <row r="20" spans="1:9">
      <c r="A20" s="2" t="s">
        <v>1105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0" t="s">
        <v>1106</v>
      </c>
      <c r="C2" s="801"/>
      <c r="D2" s="195" t="s">
        <v>356</v>
      </c>
      <c r="E2" s="201" t="s">
        <v>1107</v>
      </c>
      <c r="F2" s="114" t="s">
        <v>1108</v>
      </c>
      <c r="G2" s="102"/>
      <c r="H2" s="99"/>
    </row>
    <row r="3" spans="1:11" ht="15.75" thickBot="1">
      <c r="B3" s="110" t="s">
        <v>358</v>
      </c>
      <c r="C3" s="111">
        <f>+SUM(E3:G3)</f>
        <v>335000</v>
      </c>
      <c r="D3" s="111"/>
      <c r="E3" s="176">
        <v>50000</v>
      </c>
      <c r="F3" s="198">
        <v>285000</v>
      </c>
      <c r="G3" s="174"/>
      <c r="I3" s="50"/>
      <c r="J3" s="50"/>
      <c r="K3" s="50"/>
    </row>
    <row r="4" spans="1:11">
      <c r="B4" s="110" t="s">
        <v>359</v>
      </c>
      <c r="C4" s="111">
        <f>+SUM(E4:$G$4)</f>
        <v>89099.277500000011</v>
      </c>
      <c r="D4" s="111"/>
      <c r="E4" s="176">
        <v>10000.13875</v>
      </c>
      <c r="F4" s="199">
        <v>79099.138750000013</v>
      </c>
      <c r="G4" s="174"/>
      <c r="I4" s="50"/>
      <c r="J4" s="50"/>
      <c r="K4" s="50"/>
    </row>
    <row r="5" spans="1:11">
      <c r="B5" s="112" t="s">
        <v>360</v>
      </c>
      <c r="C5" s="113">
        <f>+SUM(E5:G5)</f>
        <v>84974.5</v>
      </c>
      <c r="D5" s="113"/>
      <c r="E5" s="176">
        <v>0</v>
      </c>
      <c r="F5" s="199">
        <v>84974.5</v>
      </c>
      <c r="G5" s="100"/>
      <c r="I5" s="50"/>
      <c r="J5" s="50"/>
      <c r="K5" s="50"/>
    </row>
    <row r="6" spans="1:11" ht="15.75" thickBot="1">
      <c r="B6" s="101" t="s">
        <v>361</v>
      </c>
      <c r="C6" s="97">
        <f>+SUM($E$6:$G$6)</f>
        <v>91406.693999999989</v>
      </c>
      <c r="D6" s="97"/>
      <c r="E6" s="196">
        <v>30489.599999999999</v>
      </c>
      <c r="F6" s="196">
        <v>60917.093999999997</v>
      </c>
      <c r="G6" s="100"/>
      <c r="I6" s="50"/>
      <c r="J6" s="50"/>
      <c r="K6" s="50"/>
    </row>
    <row r="7" spans="1:11" ht="15.75" thickBot="1">
      <c r="B7" s="101" t="s">
        <v>362</v>
      </c>
      <c r="C7" s="97">
        <f>+SUM($E$7:$G$7)</f>
        <v>0</v>
      </c>
      <c r="D7" s="97"/>
      <c r="E7" s="176"/>
      <c r="F7" s="200"/>
      <c r="G7" s="100"/>
      <c r="I7" s="50"/>
      <c r="J7" s="50"/>
      <c r="K7" s="50"/>
    </row>
    <row r="8" spans="1:11" ht="15.75" thickBot="1">
      <c r="B8" s="101" t="s">
        <v>363</v>
      </c>
      <c r="C8" s="795">
        <f>+AVERAGE(E3:F3)</f>
        <v>167500</v>
      </c>
      <c r="D8" s="796"/>
      <c r="E8" s="802"/>
      <c r="F8" s="710"/>
      <c r="G8" s="667"/>
      <c r="I8" s="50"/>
      <c r="J8" s="50"/>
      <c r="K8" s="50"/>
    </row>
    <row r="9" spans="1:11" ht="15.75" thickBot="1">
      <c r="B9" s="101" t="s">
        <v>364</v>
      </c>
      <c r="C9" s="795">
        <f>+AVERAGE(E4:F4)</f>
        <v>44549.638750000006</v>
      </c>
      <c r="D9" s="796"/>
      <c r="E9" s="668"/>
      <c r="F9" s="714"/>
      <c r="G9" s="669"/>
      <c r="I9" s="50"/>
      <c r="J9" s="50"/>
      <c r="K9" s="50"/>
    </row>
    <row r="10" spans="1:11" ht="15.75" thickBot="1">
      <c r="B10" s="101" t="s">
        <v>365</v>
      </c>
      <c r="C10" s="795">
        <f>+AVERAGE(E5:F5)</f>
        <v>42487.25</v>
      </c>
      <c r="D10" s="796"/>
      <c r="E10" s="803" t="s">
        <v>1109</v>
      </c>
      <c r="F10" s="634"/>
      <c r="G10" s="632"/>
      <c r="I10" s="50"/>
      <c r="J10" s="50"/>
      <c r="K10" s="50"/>
    </row>
    <row r="11" spans="1:11" ht="15.75" thickBot="1">
      <c r="B11" s="101" t="s">
        <v>367</v>
      </c>
      <c r="C11" s="795">
        <f>+AVERAGE(E6:F6)</f>
        <v>45703.346999999994</v>
      </c>
      <c r="D11" s="796"/>
      <c r="E11" s="797" t="s">
        <v>1110</v>
      </c>
      <c r="F11" s="798"/>
      <c r="G11" s="799"/>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0" t="s">
        <v>1111</v>
      </c>
      <c r="C2" s="801"/>
      <c r="D2" s="195" t="s">
        <v>356</v>
      </c>
      <c r="E2" s="201" t="s">
        <v>1112</v>
      </c>
      <c r="F2" s="114" t="s">
        <v>1113</v>
      </c>
      <c r="G2" s="102"/>
      <c r="H2" s="99"/>
    </row>
    <row r="3" spans="1:8" ht="15.75" thickBot="1">
      <c r="B3" s="110" t="s">
        <v>358</v>
      </c>
      <c r="C3" s="111">
        <f>+SUM(E3:G3)</f>
        <v>750000</v>
      </c>
      <c r="D3" s="111"/>
      <c r="E3" s="176">
        <v>435000</v>
      </c>
      <c r="F3" s="198">
        <v>315000</v>
      </c>
      <c r="G3" s="174"/>
    </row>
    <row r="4" spans="1:8">
      <c r="B4" s="110" t="s">
        <v>359</v>
      </c>
      <c r="C4" s="111">
        <f>+SUM(E4:$G$4)</f>
        <v>352369</v>
      </c>
      <c r="D4" s="111"/>
      <c r="E4" s="176">
        <v>249869</v>
      </c>
      <c r="F4" s="199">
        <v>102500</v>
      </c>
      <c r="G4" s="174"/>
    </row>
    <row r="5" spans="1:8">
      <c r="B5" s="112" t="s">
        <v>360</v>
      </c>
      <c r="C5" s="113">
        <f>+SUM(E5:G5)</f>
        <v>242267</v>
      </c>
      <c r="D5" s="113"/>
      <c r="E5" s="176">
        <v>98192</v>
      </c>
      <c r="F5" s="199">
        <f>+F3+-F4-F6</f>
        <v>144075</v>
      </c>
      <c r="G5" s="100"/>
    </row>
    <row r="6" spans="1:8" ht="15.75" thickBot="1">
      <c r="B6" s="101" t="s">
        <v>361</v>
      </c>
      <c r="C6" s="97">
        <f>+SUM($E$6:$G$6)</f>
        <v>155363.89666666667</v>
      </c>
      <c r="D6" s="97"/>
      <c r="E6" s="176">
        <v>86938.896666666667</v>
      </c>
      <c r="F6" s="199">
        <v>68425</v>
      </c>
      <c r="G6" s="100"/>
    </row>
    <row r="7" spans="1:8" ht="15.75" thickBot="1">
      <c r="B7" s="101" t="s">
        <v>362</v>
      </c>
      <c r="C7" s="97">
        <f>+SUM($E$7:$G$7)</f>
        <v>0</v>
      </c>
      <c r="D7" s="97"/>
      <c r="E7" s="176"/>
      <c r="F7" s="200"/>
      <c r="G7" s="100"/>
    </row>
    <row r="8" spans="1:8" ht="15.75" thickBot="1">
      <c r="B8" s="101" t="s">
        <v>363</v>
      </c>
      <c r="C8" s="795">
        <f>+AVERAGE(E3:F3)</f>
        <v>375000</v>
      </c>
      <c r="D8" s="796"/>
      <c r="E8" s="802"/>
      <c r="F8" s="710"/>
      <c r="G8" s="667"/>
    </row>
    <row r="9" spans="1:8" ht="15.75" thickBot="1">
      <c r="B9" s="101" t="s">
        <v>364</v>
      </c>
      <c r="C9" s="795">
        <f>+AVERAGE(E4:F4)</f>
        <v>176184.5</v>
      </c>
      <c r="D9" s="796"/>
      <c r="E9" s="668"/>
      <c r="F9" s="714"/>
      <c r="G9" s="669"/>
    </row>
    <row r="10" spans="1:8" ht="15.75" thickBot="1">
      <c r="B10" s="101" t="s">
        <v>365</v>
      </c>
      <c r="C10" s="795">
        <f>+AVERAGE(E5:F5)</f>
        <v>121133.5</v>
      </c>
      <c r="D10" s="796"/>
      <c r="E10" s="803" t="s">
        <v>1109</v>
      </c>
      <c r="F10" s="634"/>
      <c r="G10" s="632"/>
    </row>
    <row r="11" spans="1:8" ht="15.75" thickBot="1">
      <c r="B11" s="101" t="s">
        <v>367</v>
      </c>
      <c r="C11" s="795">
        <f>+AVERAGE(E6:F6)</f>
        <v>77681.948333333334</v>
      </c>
      <c r="D11" s="796"/>
      <c r="E11" s="797" t="s">
        <v>1110</v>
      </c>
      <c r="F11" s="798"/>
      <c r="G11" s="799"/>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0" t="s">
        <v>1114</v>
      </c>
      <c r="C2" s="807"/>
      <c r="D2" s="195" t="s">
        <v>356</v>
      </c>
      <c r="E2" s="109" t="s">
        <v>1115</v>
      </c>
      <c r="F2" s="109" t="s">
        <v>1116</v>
      </c>
      <c r="G2" s="109" t="s">
        <v>1117</v>
      </c>
      <c r="H2" s="114" t="s">
        <v>1118</v>
      </c>
      <c r="I2" s="102"/>
      <c r="J2" s="99"/>
    </row>
    <row r="3" spans="1:10" ht="15.75" thickBot="1">
      <c r="A3" s="104"/>
      <c r="B3" s="110" t="s">
        <v>358</v>
      </c>
      <c r="C3" s="111">
        <f>+SUM(E3:I3)</f>
        <v>1262529</v>
      </c>
      <c r="D3" s="111"/>
      <c r="E3" s="176">
        <v>210000</v>
      </c>
      <c r="F3" s="176">
        <v>423529</v>
      </c>
      <c r="G3" s="176">
        <v>330000</v>
      </c>
      <c r="H3" s="175">
        <v>299000</v>
      </c>
      <c r="I3" s="174"/>
    </row>
    <row r="4" spans="1:10">
      <c r="A4" s="104"/>
      <c r="B4" s="110" t="s">
        <v>359</v>
      </c>
      <c r="C4" s="111">
        <f>+SUM(E4:$I$4)</f>
        <v>554594.92000000004</v>
      </c>
      <c r="D4" s="111"/>
      <c r="E4" s="176">
        <v>127000</v>
      </c>
      <c r="F4" s="176">
        <v>174585.47</v>
      </c>
      <c r="G4" s="176">
        <v>85975.790000000008</v>
      </c>
      <c r="H4" s="175">
        <v>167033.66</v>
      </c>
      <c r="I4" s="174"/>
    </row>
    <row r="5" spans="1:10">
      <c r="A5" s="104"/>
      <c r="B5" s="112" t="s">
        <v>360</v>
      </c>
      <c r="C5" s="113">
        <f>+SUM(E5:I5)</f>
        <v>148708.10749999998</v>
      </c>
      <c r="D5" s="113"/>
      <c r="E5" s="176">
        <v>15000</v>
      </c>
      <c r="F5" s="176">
        <v>12223</v>
      </c>
      <c r="G5" s="176">
        <v>82805.727499999994</v>
      </c>
      <c r="H5" s="175">
        <v>38679.380000000005</v>
      </c>
      <c r="I5" s="100"/>
    </row>
    <row r="6" spans="1:10" ht="15.75" thickBot="1">
      <c r="A6" s="104"/>
      <c r="B6" s="101" t="s">
        <v>361</v>
      </c>
      <c r="C6" s="97">
        <f>+SUM($E$6:$I$6)</f>
        <v>471212.07700000005</v>
      </c>
      <c r="D6" s="97"/>
      <c r="E6" s="176">
        <v>67485.868000000002</v>
      </c>
      <c r="F6" s="176">
        <v>154708.03800000003</v>
      </c>
      <c r="G6" s="176">
        <v>154490.20250000001</v>
      </c>
      <c r="H6" s="175">
        <v>94527.968499999988</v>
      </c>
      <c r="I6" s="100"/>
    </row>
    <row r="7" spans="1:10" ht="15.75" thickBot="1">
      <c r="A7" s="104"/>
      <c r="B7" s="101" t="s">
        <v>362</v>
      </c>
      <c r="C7" s="97">
        <f>+SUM($E$7:$I$7)</f>
        <v>15470.803800000003</v>
      </c>
      <c r="D7" s="97"/>
      <c r="E7" s="197"/>
      <c r="F7" s="204">
        <v>15470.803800000003</v>
      </c>
      <c r="G7" s="204"/>
      <c r="H7" s="206"/>
      <c r="I7" s="100"/>
    </row>
    <row r="8" spans="1:10" ht="15.75" thickBot="1">
      <c r="A8" s="104"/>
      <c r="B8" s="101" t="s">
        <v>363</v>
      </c>
      <c r="C8" s="795">
        <f>+AVERAGE(E3:H3)</f>
        <v>315632.25</v>
      </c>
      <c r="D8" s="804"/>
      <c r="E8" s="802"/>
      <c r="F8" s="710"/>
      <c r="G8" s="710"/>
      <c r="H8" s="710"/>
      <c r="I8" s="667"/>
    </row>
    <row r="9" spans="1:10" ht="15.75" thickBot="1">
      <c r="A9" s="104"/>
      <c r="B9" s="101" t="s">
        <v>364</v>
      </c>
      <c r="C9" s="795">
        <f>+AVERAGE(E4:H4)</f>
        <v>138648.73000000001</v>
      </c>
      <c r="D9" s="804"/>
      <c r="E9" s="668"/>
      <c r="F9" s="714"/>
      <c r="G9" s="714"/>
      <c r="H9" s="714"/>
      <c r="I9" s="669"/>
    </row>
    <row r="10" spans="1:10" ht="15.75" thickBot="1">
      <c r="A10" s="104"/>
      <c r="B10" s="101" t="s">
        <v>365</v>
      </c>
      <c r="C10" s="795">
        <f>+AVERAGE(E5:H5)</f>
        <v>37177.026874999996</v>
      </c>
      <c r="D10" s="804"/>
      <c r="E10" s="803" t="s">
        <v>1109</v>
      </c>
      <c r="F10" s="808"/>
      <c r="G10" s="808"/>
      <c r="H10" s="808"/>
      <c r="I10" s="809"/>
    </row>
    <row r="11" spans="1:10" ht="15.75" thickBot="1">
      <c r="B11" s="101" t="s">
        <v>367</v>
      </c>
      <c r="C11" s="795">
        <f>+AVERAGE(E6:H6)</f>
        <v>117803.01925000001</v>
      </c>
      <c r="D11" s="804"/>
      <c r="E11" s="797" t="s">
        <v>1110</v>
      </c>
      <c r="F11" s="805"/>
      <c r="G11" s="805"/>
      <c r="H11" s="805"/>
      <c r="I11" s="806"/>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0" t="s">
        <v>1114</v>
      </c>
      <c r="C2" s="801"/>
      <c r="D2" s="195" t="s">
        <v>356</v>
      </c>
      <c r="E2" s="201" t="s">
        <v>1119</v>
      </c>
      <c r="F2" s="201" t="s">
        <v>1120</v>
      </c>
      <c r="G2" s="114" t="s">
        <v>1121</v>
      </c>
      <c r="H2" s="102"/>
      <c r="I2" s="99"/>
    </row>
    <row r="3" spans="1:9" ht="15.75" thickBot="1">
      <c r="B3" s="110" t="s">
        <v>358</v>
      </c>
      <c r="C3" s="111">
        <f>+SUM(E3:H3)</f>
        <v>811800</v>
      </c>
      <c r="D3" s="111"/>
      <c r="E3" s="176">
        <v>363900</v>
      </c>
      <c r="F3" s="202">
        <v>210000</v>
      </c>
      <c r="G3" s="198">
        <v>237900</v>
      </c>
      <c r="H3" s="174"/>
    </row>
    <row r="4" spans="1:9">
      <c r="B4" s="110" t="s">
        <v>359</v>
      </c>
      <c r="C4" s="111">
        <f>+SUM(E4:$H$4)</f>
        <v>401770.9</v>
      </c>
      <c r="D4" s="111"/>
      <c r="E4" s="176">
        <v>220000</v>
      </c>
      <c r="F4" s="203">
        <v>107061.9</v>
      </c>
      <c r="G4" s="199">
        <v>74709</v>
      </c>
      <c r="H4" s="174"/>
    </row>
    <row r="5" spans="1:9">
      <c r="B5" s="112" t="s">
        <v>360</v>
      </c>
      <c r="C5" s="113">
        <f>+SUM(E5:H5)</f>
        <v>146350.07515412499</v>
      </c>
      <c r="D5" s="113"/>
      <c r="E5" s="176">
        <v>27507.698</v>
      </c>
      <c r="F5" s="203">
        <v>47760.57</v>
      </c>
      <c r="G5" s="199">
        <v>71081.80715412501</v>
      </c>
      <c r="H5" s="100"/>
    </row>
    <row r="6" spans="1:9" ht="15.75" thickBot="1">
      <c r="B6" s="101" t="s">
        <v>361</v>
      </c>
      <c r="C6" s="97">
        <f>+SUM($E$6:$H$6)</f>
        <v>257067.10484587503</v>
      </c>
      <c r="D6" s="97"/>
      <c r="E6" s="176">
        <v>92658.781999999992</v>
      </c>
      <c r="F6" s="203">
        <v>64240.530000000028</v>
      </c>
      <c r="G6" s="199">
        <v>100167.792845875</v>
      </c>
      <c r="H6" s="100"/>
    </row>
    <row r="7" spans="1:9" ht="15.75" thickBot="1">
      <c r="B7" s="101" t="s">
        <v>362</v>
      </c>
      <c r="C7" s="97">
        <f>+SUM($E$7:$H$7)</f>
        <v>0</v>
      </c>
      <c r="D7" s="97"/>
      <c r="E7" s="197"/>
      <c r="F7" s="204"/>
      <c r="G7" s="205"/>
      <c r="H7" s="100"/>
    </row>
    <row r="8" spans="1:9" ht="15.75" thickBot="1">
      <c r="B8" s="101" t="s">
        <v>363</v>
      </c>
      <c r="C8" s="795">
        <f>+AVERAGE(E3:G3)</f>
        <v>270600</v>
      </c>
      <c r="D8" s="796"/>
      <c r="E8" s="802"/>
      <c r="F8" s="810"/>
      <c r="G8" s="710"/>
      <c r="H8" s="667"/>
    </row>
    <row r="9" spans="1:9" ht="15.75" thickBot="1">
      <c r="B9" s="101" t="s">
        <v>364</v>
      </c>
      <c r="C9" s="795">
        <f>+AVERAGE(E4:G4)</f>
        <v>133923.63333333333</v>
      </c>
      <c r="D9" s="796"/>
      <c r="E9" s="668"/>
      <c r="F9" s="714"/>
      <c r="G9" s="714"/>
      <c r="H9" s="669"/>
    </row>
    <row r="10" spans="1:9" ht="15.75" thickBot="1">
      <c r="B10" s="101" t="s">
        <v>365</v>
      </c>
      <c r="C10" s="795">
        <f>+AVERAGE(E5:G5)</f>
        <v>48783.358384708328</v>
      </c>
      <c r="D10" s="796"/>
      <c r="E10" s="803" t="s">
        <v>1109</v>
      </c>
      <c r="F10" s="808"/>
      <c r="G10" s="634"/>
      <c r="H10" s="632"/>
    </row>
    <row r="11" spans="1:9" ht="15.75" thickBot="1">
      <c r="B11" s="101" t="s">
        <v>367</v>
      </c>
      <c r="C11" s="795">
        <f>+AVERAGE(E6:G6)</f>
        <v>85689.034948625005</v>
      </c>
      <c r="D11" s="796"/>
      <c r="E11" s="797" t="s">
        <v>1110</v>
      </c>
      <c r="F11" s="805"/>
      <c r="G11" s="798"/>
      <c r="H11" s="799"/>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0" t="s">
        <v>1114</v>
      </c>
      <c r="C2" s="801"/>
      <c r="D2" s="195" t="s">
        <v>356</v>
      </c>
      <c r="E2" s="201" t="s">
        <v>1122</v>
      </c>
      <c r="F2" s="201" t="s">
        <v>1123</v>
      </c>
      <c r="G2" s="114" t="s">
        <v>1124</v>
      </c>
      <c r="H2" s="102"/>
      <c r="I2" s="99"/>
    </row>
    <row r="3" spans="1:9" ht="15.75" thickBot="1">
      <c r="B3" s="110" t="s">
        <v>358</v>
      </c>
      <c r="C3" s="111">
        <f>+SUM(E3:H3)</f>
        <v>540000</v>
      </c>
      <c r="D3" s="111"/>
      <c r="E3" s="176">
        <v>150000</v>
      </c>
      <c r="F3" s="202">
        <v>195000</v>
      </c>
      <c r="G3" s="198">
        <v>195000</v>
      </c>
      <c r="H3" s="174"/>
    </row>
    <row r="4" spans="1:9">
      <c r="B4" s="110" t="s">
        <v>359</v>
      </c>
      <c r="C4" s="111">
        <f>+SUM(E4:$H$4)</f>
        <v>310642.71000000002</v>
      </c>
      <c r="D4" s="111"/>
      <c r="E4" s="176">
        <v>71644.86</v>
      </c>
      <c r="F4" s="203">
        <v>110309.86</v>
      </c>
      <c r="G4" s="199">
        <v>128687.99</v>
      </c>
      <c r="H4" s="174"/>
    </row>
    <row r="5" spans="1:9">
      <c r="B5" s="112" t="s">
        <v>360</v>
      </c>
      <c r="C5" s="113">
        <f>+SUM(E5:H5)</f>
        <v>49980.701499999996</v>
      </c>
      <c r="D5" s="113"/>
      <c r="E5" s="176">
        <v>6302.96</v>
      </c>
      <c r="F5" s="203">
        <v>20425.14</v>
      </c>
      <c r="G5" s="199">
        <v>23252.601500000001</v>
      </c>
      <c r="H5" s="100"/>
    </row>
    <row r="6" spans="1:9" ht="15.75" thickBot="1">
      <c r="B6" s="101" t="s">
        <v>361</v>
      </c>
      <c r="C6" s="97">
        <f>+SUM($E$6:$H$6)</f>
        <v>116039.9257777778</v>
      </c>
      <c r="D6" s="97"/>
      <c r="E6" s="176">
        <v>37694.072</v>
      </c>
      <c r="F6" s="203">
        <v>52771.490000000005</v>
      </c>
      <c r="G6" s="199">
        <v>25574.363777777784</v>
      </c>
      <c r="H6" s="100"/>
    </row>
    <row r="7" spans="1:9" ht="15.75" thickBot="1">
      <c r="B7" s="101" t="s">
        <v>362</v>
      </c>
      <c r="C7" s="97">
        <f>+SUM($E$7:$H$7)</f>
        <v>0</v>
      </c>
      <c r="D7" s="97"/>
      <c r="E7" s="197"/>
      <c r="F7" s="204"/>
      <c r="G7" s="205"/>
      <c r="H7" s="100"/>
    </row>
    <row r="8" spans="1:9" ht="15.75" thickBot="1">
      <c r="B8" s="101" t="s">
        <v>363</v>
      </c>
      <c r="C8" s="795">
        <f>+AVERAGE(E3:G3)</f>
        <v>180000</v>
      </c>
      <c r="D8" s="796"/>
      <c r="E8" s="802"/>
      <c r="F8" s="810"/>
      <c r="G8" s="710"/>
      <c r="H8" s="667"/>
    </row>
    <row r="9" spans="1:9" ht="15.75" thickBot="1">
      <c r="B9" s="101" t="s">
        <v>364</v>
      </c>
      <c r="C9" s="795">
        <f>+AVERAGE(E4:G4)</f>
        <v>103547.57</v>
      </c>
      <c r="D9" s="796"/>
      <c r="E9" s="668"/>
      <c r="F9" s="714"/>
      <c r="G9" s="714"/>
      <c r="H9" s="669"/>
    </row>
    <row r="10" spans="1:9" ht="15.75" thickBot="1">
      <c r="B10" s="101" t="s">
        <v>365</v>
      </c>
      <c r="C10" s="795">
        <f>+AVERAGE(E5:G5)</f>
        <v>16660.233833333332</v>
      </c>
      <c r="D10" s="796"/>
      <c r="E10" s="803" t="s">
        <v>1109</v>
      </c>
      <c r="F10" s="808"/>
      <c r="G10" s="634"/>
      <c r="H10" s="632"/>
    </row>
    <row r="11" spans="1:9" ht="15.75" thickBot="1">
      <c r="B11" s="101" t="s">
        <v>367</v>
      </c>
      <c r="C11" s="795">
        <f>+AVERAGE(E6:G6)</f>
        <v>38679.975259259263</v>
      </c>
      <c r="D11" s="796"/>
      <c r="E11" s="797" t="s">
        <v>1110</v>
      </c>
      <c r="F11" s="805"/>
      <c r="G11" s="798"/>
      <c r="H11" s="799"/>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8" t="s">
        <v>1125</v>
      </c>
      <c r="C1" s="739"/>
      <c r="E1" s="738" t="s">
        <v>1126</v>
      </c>
      <c r="F1" s="739"/>
      <c r="H1" s="738" t="s">
        <v>1127</v>
      </c>
      <c r="I1" s="739"/>
      <c r="L1" s="738" t="s">
        <v>1128</v>
      </c>
      <c r="M1" s="739"/>
    </row>
    <row r="2" spans="1:14">
      <c r="A2" s="2" t="s">
        <v>1129</v>
      </c>
    </row>
    <row r="3" spans="1:14">
      <c r="A3" s="2" t="s">
        <v>1130</v>
      </c>
      <c r="B3" s="219">
        <v>0.56000000000000005</v>
      </c>
      <c r="E3" s="219">
        <f>+B3</f>
        <v>0.56000000000000005</v>
      </c>
      <c r="H3" s="219">
        <f>+E3</f>
        <v>0.56000000000000005</v>
      </c>
      <c r="L3" s="219">
        <f>+E3</f>
        <v>0.56000000000000005</v>
      </c>
    </row>
    <row r="4" spans="1:14" ht="15.75" thickBot="1">
      <c r="A4" s="2" t="s">
        <v>1131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1132</v>
      </c>
      <c r="B12" s="738" t="s">
        <v>1125</v>
      </c>
      <c r="C12" s="739"/>
      <c r="D12" s="3"/>
      <c r="E12" s="738" t="s">
        <v>1126</v>
      </c>
      <c r="F12" s="739"/>
      <c r="G12" s="3"/>
      <c r="H12" s="738" t="s">
        <v>1127</v>
      </c>
      <c r="I12" s="739"/>
      <c r="J12" s="3"/>
      <c r="K12" s="3"/>
    </row>
    <row r="13" spans="1:14">
      <c r="A13" s="2" t="s">
        <v>1133</v>
      </c>
      <c r="B13" s="219">
        <v>0.2</v>
      </c>
      <c r="C13">
        <f>+B13*STR!$C$4</f>
        <v>0</v>
      </c>
      <c r="E13" s="219">
        <f>+B13</f>
        <v>0.2</v>
      </c>
      <c r="F13">
        <f>+E13*STR!$F$4</f>
        <v>0</v>
      </c>
      <c r="H13" s="219">
        <f>+E13</f>
        <v>0.2</v>
      </c>
      <c r="I13">
        <f>+H13*STR!$M$4</f>
        <v>0</v>
      </c>
      <c r="K13" s="4">
        <f>+C13+F13+I13</f>
        <v>0</v>
      </c>
    </row>
    <row r="14" spans="1:14" ht="15.75" thickBot="1">
      <c r="A14" s="2" t="s">
        <v>1134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1135</v>
      </c>
      <c r="C2">
        <v>1000</v>
      </c>
    </row>
    <row r="3" spans="1:3">
      <c r="A3" t="s">
        <v>1136</v>
      </c>
      <c r="C3">
        <v>9000</v>
      </c>
    </row>
    <row r="18" spans="6:7">
      <c r="F18" s="30" t="s">
        <v>1137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7.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8.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9.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0.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1.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91C90751-2A68-4A7E-9A23-3586ED9AC4CD}">
  <ds:schemaRefs>
    <ds:schemaRef ds:uri="http://gemini/pivotcustomization/Diagrams"/>
  </ds:schemaRefs>
</ds:datastoreItem>
</file>

<file path=customXml/itemProps15.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1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7.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8.xml><?xml version="1.0" encoding="utf-8"?>
<ds:datastoreItem xmlns:ds="http://schemas.openxmlformats.org/officeDocument/2006/customXml" ds:itemID="{C8DEC3D8-E357-4A8C-AFF9-645AD3C1C068}">
  <ds:schemaRefs>
    <ds:schemaRef ds:uri="http://schemas.microsoft.com/DataMashup"/>
  </ds:schemaRefs>
</ds:datastoreItem>
</file>

<file path=customXml/itemProps19.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0.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1.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2.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3.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7.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8.xml><?xml version="1.0" encoding="utf-8"?>
<ds:datastoreItem xmlns:ds="http://schemas.openxmlformats.org/officeDocument/2006/customXml" ds:itemID="{AB314B27-3DCC-476B-BA7B-6DB95BE31383}">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2026-06-12T16:01:54Z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