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078" documentId="13_ncr:1_{7EA8236F-4DAC-4045-AD08-98E04CC57400}" xr6:coauthVersionLast="47" xr6:coauthVersionMax="47" xr10:uidLastSave="{600A59EA-5A40-4510-AFCD-DDCCE33ED433}"/>
  <bookViews>
    <workbookView xWindow="38280" yWindow="1305" windowWidth="29040" windowHeight="15720" tabRatio="889" activeTab="2"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63" l="1"/>
  <c r="B5" i="1" s="1"/>
  <c r="B7" i="1"/>
  <c r="AD2" i="63"/>
  <c r="AC2" i="63"/>
  <c r="AB2" i="63"/>
  <c r="P3" i="63"/>
  <c r="Q3" i="63"/>
  <c r="R3" i="63"/>
  <c r="B14" i="64"/>
  <c r="B26" i="64"/>
  <c r="B24" i="64"/>
  <c r="B21"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AA18" i="57"/>
  <c r="Z18" i="57" a="1"/>
  <c r="Z18" i="57" s="1"/>
  <c r="Y18" i="57" a="1"/>
  <c r="Y18" i="57" s="1"/>
  <c r="AA17" i="57"/>
  <c r="Z17" i="57" a="1"/>
  <c r="Z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AA10" i="57"/>
  <c r="Z10" i="57" a="1"/>
  <c r="Z10" i="57" s="1"/>
  <c r="Y10" i="57" a="1"/>
  <c r="Y10" i="57" s="1"/>
  <c r="AA9" i="57"/>
  <c r="Z9" i="57" a="1"/>
  <c r="Z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6" i="63"/>
  <c r="AB8" i="63"/>
  <c r="J72" i="1" l="1"/>
  <c r="T10" i="63"/>
  <c r="D5" i="63"/>
  <c r="C5"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A2" i="63" l="1"/>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I32" i="74"/>
  <c r="J32"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BS2" i="64" l="1"/>
  <c r="BR2" i="64"/>
  <c r="BQ2" i="64"/>
  <c r="BP2" i="64"/>
  <c r="BO2" i="64"/>
  <c r="BN2" i="64"/>
  <c r="B104" i="64"/>
  <c r="AZ2" i="64" s="1"/>
  <c r="B103" i="64"/>
  <c r="AY2" i="64" s="1"/>
  <c r="BA2" i="64"/>
  <c r="CE2" i="64"/>
  <c r="K2" i="64"/>
  <c r="B32" i="64"/>
  <c r="J2" i="64" s="1"/>
  <c r="D2" i="64"/>
  <c r="E2" i="64"/>
  <c r="BT2" i="64"/>
  <c r="T2" i="64"/>
  <c r="S2" i="64"/>
  <c r="CD2" i="64"/>
  <c r="W2" i="64" l="1"/>
  <c r="B66" i="64"/>
  <c r="U2" i="64" s="1"/>
  <c r="B64" i="64"/>
  <c r="BV2" i="64" s="1"/>
  <c r="B60" i="64"/>
  <c r="AK2" i="64" s="1"/>
  <c r="B51" i="64"/>
  <c r="B99" i="64"/>
  <c r="B31" i="64"/>
  <c r="BL2" i="64" s="1"/>
  <c r="G8" i="6"/>
  <c r="G7" i="6"/>
  <c r="G6" i="6"/>
  <c r="H6" i="6" s="1"/>
  <c r="I6" i="6" s="1"/>
  <c r="G5" i="6"/>
  <c r="H5" i="6" s="1"/>
  <c r="G4" i="6"/>
  <c r="H4" i="6" s="1"/>
  <c r="F17" i="1"/>
  <c r="E17" i="1"/>
  <c r="D17" i="1"/>
  <c r="AE2" i="64"/>
  <c r="AD2" i="64"/>
  <c r="B94" i="64"/>
  <c r="X2" i="64" s="1"/>
  <c r="F2" i="64"/>
  <c r="AM2" i="64"/>
  <c r="I5" i="6" l="1"/>
  <c r="B101" i="64"/>
  <c r="B100" i="64"/>
  <c r="BB2" i="64" s="1"/>
  <c r="I4" i="6"/>
  <c r="H7" i="6"/>
  <c r="I7" i="6" s="1"/>
  <c r="H8" i="6"/>
  <c r="I8" i="6" s="1"/>
  <c r="B108" i="64"/>
  <c r="AX2" i="64" s="1"/>
  <c r="CN2" i="64"/>
  <c r="CM2" i="64"/>
  <c r="AC2" i="64"/>
  <c r="AB2" i="64"/>
  <c r="AA2" i="64"/>
  <c r="Z2" i="64"/>
  <c r="AI2" i="64"/>
  <c r="AH2" i="64"/>
  <c r="AN2" i="64"/>
  <c r="M2" i="64"/>
  <c r="L2" i="64"/>
  <c r="I2" i="64"/>
  <c r="BU2" i="64"/>
  <c r="AL2" i="64"/>
  <c r="CL2" i="64"/>
  <c r="G5" i="64"/>
  <c r="BY2" i="64"/>
  <c r="G2" i="64"/>
  <c r="BX2" i="64"/>
  <c r="Q2" i="64"/>
  <c r="B47" i="64"/>
  <c r="CA2" i="64" s="1"/>
  <c r="O2" i="64"/>
  <c r="B48" i="64"/>
  <c r="R2" i="64" s="1"/>
  <c r="C4" i="63"/>
  <c r="P7" i="63" s="1"/>
  <c r="C2" i="63"/>
  <c r="BH2" i="64"/>
  <c r="AR2" i="64"/>
  <c r="B27" i="64"/>
  <c r="AS2" i="64" s="1"/>
  <c r="X783"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16" i="63"/>
  <c r="L783"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AM724" i="63" s="1"/>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L543" i="63"/>
  <c r="L542" i="63"/>
  <c r="L541" i="63"/>
  <c r="L540" i="63"/>
  <c r="L539" i="63"/>
  <c r="L538" i="63"/>
  <c r="L537" i="63"/>
  <c r="AM537" i="63" s="1"/>
  <c r="L536" i="63"/>
  <c r="L535" i="63"/>
  <c r="L534" i="63"/>
  <c r="L533" i="63"/>
  <c r="L532" i="63"/>
  <c r="L531" i="63"/>
  <c r="L530" i="63"/>
  <c r="L529" i="63"/>
  <c r="AM529" i="63" s="1"/>
  <c r="L528" i="63"/>
  <c r="L527" i="63"/>
  <c r="L526" i="63"/>
  <c r="L525" i="63"/>
  <c r="L524" i="63"/>
  <c r="L523" i="63"/>
  <c r="L522" i="63"/>
  <c r="L521" i="63"/>
  <c r="AM521" i="63" s="1"/>
  <c r="L520" i="63"/>
  <c r="L519" i="63"/>
  <c r="L518" i="63"/>
  <c r="L517" i="63"/>
  <c r="L516" i="63"/>
  <c r="L515" i="63"/>
  <c r="L514" i="63"/>
  <c r="L513" i="63"/>
  <c r="AM513" i="63" s="1"/>
  <c r="L512" i="63"/>
  <c r="L511" i="63"/>
  <c r="L510" i="63"/>
  <c r="L509" i="63"/>
  <c r="L508" i="63"/>
  <c r="L507" i="63"/>
  <c r="L506" i="63"/>
  <c r="L505" i="63"/>
  <c r="AM505" i="63" s="1"/>
  <c r="L504" i="63"/>
  <c r="L503" i="63"/>
  <c r="L502" i="63"/>
  <c r="L501" i="63"/>
  <c r="L500" i="63"/>
  <c r="L499" i="63"/>
  <c r="L498" i="63"/>
  <c r="L497" i="63"/>
  <c r="AM497" i="63" s="1"/>
  <c r="L496" i="63"/>
  <c r="L495" i="63"/>
  <c r="L494" i="63"/>
  <c r="L493" i="63"/>
  <c r="L492" i="63"/>
  <c r="L16" i="63"/>
  <c r="AM16" i="63" s="1"/>
  <c r="AA544"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16" i="63"/>
  <c r="AD16" i="63" s="1"/>
  <c r="AC544"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16" i="63"/>
  <c r="Q16" i="63"/>
  <c r="AC9" i="63"/>
  <c r="AC10" i="63" s="1"/>
  <c r="CC2" i="64"/>
  <c r="CB2" i="64"/>
  <c r="B22" i="64"/>
  <c r="CI2" i="64" s="1"/>
  <c r="AW2" i="64"/>
  <c r="CO2" i="64"/>
  <c r="CK2" i="64"/>
  <c r="AQ2" i="64"/>
  <c r="CG2" i="64"/>
  <c r="AJ2" i="64"/>
  <c r="N2" i="64"/>
  <c r="B93" i="64"/>
  <c r="Y2" i="64" s="1"/>
  <c r="B69" i="64"/>
  <c r="BF2" i="64" s="1"/>
  <c r="AB7" i="63" l="1"/>
  <c r="R7" i="63"/>
  <c r="AC7" i="63"/>
  <c r="AD7" i="63"/>
  <c r="Q7" i="63"/>
  <c r="B52" i="64"/>
  <c r="V2" i="64" s="1"/>
  <c r="B102" i="64"/>
  <c r="BD2" i="64" s="1"/>
  <c r="BC2" i="64"/>
  <c r="BM2" i="64"/>
  <c r="AM516" i="63"/>
  <c r="B23" i="64"/>
  <c r="CH2" i="64" s="1"/>
  <c r="AM524" i="63"/>
  <c r="AM511" i="63"/>
  <c r="AM532" i="63"/>
  <c r="AM540" i="63"/>
  <c r="AM495" i="63"/>
  <c r="AM508" i="63"/>
  <c r="AM512" i="63"/>
  <c r="AM528" i="63"/>
  <c r="AM544" i="63"/>
  <c r="AM500" i="63"/>
  <c r="AM507" i="63"/>
  <c r="AM492" i="63"/>
  <c r="AM526" i="63"/>
  <c r="AM510" i="63"/>
  <c r="AM534" i="63"/>
  <c r="AM494" i="63"/>
  <c r="AM541" i="63"/>
  <c r="AM518" i="63"/>
  <c r="AM542" i="63"/>
  <c r="AM502" i="63"/>
  <c r="AM509" i="63"/>
  <c r="AM525" i="63"/>
  <c r="AM501" i="63"/>
  <c r="AM533" i="63"/>
  <c r="AM517" i="63"/>
  <c r="AM504" i="63"/>
  <c r="AM493" i="63"/>
  <c r="AM520" i="63"/>
  <c r="AM536" i="63"/>
  <c r="AM506" i="63"/>
  <c r="AM539" i="63"/>
  <c r="AM531" i="63"/>
  <c r="AM498" i="63"/>
  <c r="AM530" i="63"/>
  <c r="AM522" i="63"/>
  <c r="AM515" i="63"/>
  <c r="AM523" i="63"/>
  <c r="AM499" i="63"/>
  <c r="AM503" i="63"/>
  <c r="AM519" i="63"/>
  <c r="AM527" i="63"/>
  <c r="AM535" i="63"/>
  <c r="AM543" i="63"/>
  <c r="AM514" i="63"/>
  <c r="AM538" i="63"/>
  <c r="AM496" i="63"/>
  <c r="AB496" i="63"/>
  <c r="AB504" i="63"/>
  <c r="AB520" i="63"/>
  <c r="AB528" i="63"/>
  <c r="AB544" i="63"/>
  <c r="AB512" i="63"/>
  <c r="AB539" i="63"/>
  <c r="AB529" i="63"/>
  <c r="AB537" i="63"/>
  <c r="AB538" i="63"/>
  <c r="AB530" i="63"/>
  <c r="AB499" i="63"/>
  <c r="AB503" i="63"/>
  <c r="AB507" i="63"/>
  <c r="AB500" i="63"/>
  <c r="AB532" i="63"/>
  <c r="AB536" i="63"/>
  <c r="AB497" i="63"/>
  <c r="AB505" i="63"/>
  <c r="AB513" i="63"/>
  <c r="AB521" i="63"/>
  <c r="AB506" i="63"/>
  <c r="AB511" i="63"/>
  <c r="AB498" i="63"/>
  <c r="AB514" i="63"/>
  <c r="AB518" i="63"/>
  <c r="AB525" i="63"/>
  <c r="AB492" i="63"/>
  <c r="AB517" i="63"/>
  <c r="AB524" i="63"/>
  <c r="AB531" i="63"/>
  <c r="AB535" i="63"/>
  <c r="AB508" i="63"/>
  <c r="AB515" i="63"/>
  <c r="AB519" i="63"/>
  <c r="AB522" i="63"/>
  <c r="AB526" i="63"/>
  <c r="AB533" i="63"/>
  <c r="AB543" i="63"/>
  <c r="AB495" i="63"/>
  <c r="AB509" i="63"/>
  <c r="AB516" i="63"/>
  <c r="AB523" i="63"/>
  <c r="AB527" i="63"/>
  <c r="AB534" i="63"/>
  <c r="AB540" i="63"/>
  <c r="AB493" i="63"/>
  <c r="AB502" i="63"/>
  <c r="AB542" i="63"/>
  <c r="AB501" i="63"/>
  <c r="AB510" i="63"/>
  <c r="AB541" i="63"/>
  <c r="AB494" i="63"/>
  <c r="AB16" i="63"/>
  <c r="BG2" i="64"/>
  <c r="B68" i="64"/>
  <c r="B89" i="64" s="1"/>
  <c r="H2" i="64"/>
  <c r="AA10" i="63" l="1"/>
  <c r="AA9" i="63" s="1"/>
  <c r="Y9" i="63" s="1"/>
  <c r="AE16" i="63"/>
  <c r="AF16" i="63" s="1"/>
  <c r="CJ2" i="64"/>
  <c r="BE2" i="64"/>
  <c r="Z511" i="63" l="1"/>
  <c r="Z515" i="63"/>
  <c r="B53" i="64"/>
  <c r="AF2" i="64" s="1"/>
  <c r="Z534" i="63"/>
  <c r="Z522" i="63"/>
  <c r="Z521" i="63"/>
  <c r="Z517" i="63"/>
  <c r="Z495" i="63"/>
  <c r="Z520" i="63"/>
  <c r="Z514" i="63"/>
  <c r="Z519" i="63"/>
  <c r="Z541" i="63"/>
  <c r="Z504" i="63"/>
  <c r="Z536" i="63"/>
  <c r="Z492" i="63"/>
  <c r="Z523" i="63"/>
  <c r="Z538" i="63"/>
  <c r="Z533" i="63"/>
  <c r="Z505" i="63"/>
  <c r="Z498" i="63"/>
  <c r="Z544" i="63"/>
  <c r="Z527" i="63"/>
  <c r="Z537" i="63"/>
  <c r="Z16" i="63"/>
  <c r="Z510" i="63"/>
  <c r="Z540" i="63"/>
  <c r="Z526" i="63"/>
  <c r="Z501" i="63"/>
  <c r="Z512" i="63"/>
  <c r="Z508" i="63"/>
  <c r="Z525" i="63"/>
  <c r="Z507" i="63"/>
  <c r="Z532" i="63"/>
  <c r="Z493" i="63"/>
  <c r="Z499" i="63"/>
  <c r="Z496" i="63"/>
  <c r="Z528" i="63"/>
  <c r="Z539" i="63"/>
  <c r="Z531" i="63"/>
  <c r="Z530" i="63"/>
  <c r="Z542" i="63"/>
  <c r="Z518" i="63"/>
  <c r="Z500" i="63"/>
  <c r="Z506" i="63"/>
  <c r="Z503" i="63"/>
  <c r="Z543" i="63"/>
  <c r="Z516" i="63"/>
  <c r="Z497" i="63"/>
  <c r="Y13" i="63"/>
  <c r="Z509" i="63"/>
  <c r="Z494" i="63"/>
  <c r="Z529" i="63"/>
  <c r="Z524" i="63"/>
  <c r="Z502" i="63"/>
  <c r="Z513" i="63"/>
  <c r="Z535" i="63"/>
  <c r="Y10" i="63"/>
  <c r="Z10" i="63"/>
  <c r="B19" i="64" s="1"/>
  <c r="G14" i="1"/>
  <c r="F19" i="3"/>
  <c r="F18" i="3"/>
  <c r="F17" i="3"/>
  <c r="F16" i="3"/>
  <c r="F15" i="3"/>
  <c r="F14" i="3"/>
  <c r="F13" i="3"/>
  <c r="F12" i="3"/>
  <c r="F11" i="3"/>
  <c r="F10" i="3"/>
  <c r="F9" i="3"/>
  <c r="K1" i="18"/>
  <c r="K1" i="3"/>
  <c r="M1" i="4"/>
  <c r="M2" i="6"/>
  <c r="J9" i="6" s="1"/>
  <c r="L2" i="20"/>
  <c r="K5" i="22"/>
  <c r="K4" i="15"/>
  <c r="I3" i="21"/>
  <c r="A9" i="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Q4" i="63" l="1"/>
  <c r="Q5" i="63" s="1"/>
  <c r="Q8" i="63" s="1"/>
  <c r="P4" i="63"/>
  <c r="R4" i="63"/>
  <c r="R5" i="63" s="1"/>
  <c r="R8" i="63" s="1"/>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5" i="63"/>
  <c r="P8" i="63" s="1"/>
  <c r="AB5" i="63"/>
  <c r="B54" i="64"/>
  <c r="AG2" i="64" s="1"/>
  <c r="N13" i="63"/>
  <c r="AC5" i="63"/>
  <c r="AD5" i="63"/>
  <c r="E80" i="1"/>
  <c r="G81" i="1"/>
  <c r="D81" i="1"/>
  <c r="B19" i="1"/>
  <c r="AA5"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6" i="64" l="1"/>
  <c r="B15" i="64"/>
  <c r="BW2" i="64" s="1"/>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6" i="63"/>
  <c r="O16" i="63"/>
  <c r="P9" i="63"/>
  <c r="Q11" i="63" s="1"/>
  <c r="B25" i="64" s="1"/>
  <c r="AP2" i="64" s="1"/>
  <c r="B16" i="63"/>
  <c r="E16" i="63" s="1"/>
  <c r="J16" i="63" s="1"/>
  <c r="C6" i="63"/>
  <c r="C16" i="63" s="1"/>
  <c r="AN16" i="63" l="1"/>
  <c r="AP16" i="63"/>
  <c r="R16" i="63"/>
  <c r="P16" i="63"/>
  <c r="AI16" i="63" s="1"/>
  <c r="C11" i="62"/>
  <c r="C9" i="62"/>
  <c r="C8" i="62"/>
  <c r="C7" i="62"/>
  <c r="C10" i="62"/>
  <c r="C5" i="62"/>
  <c r="C4" i="62"/>
  <c r="C3" i="62"/>
  <c r="S16" i="63" l="1"/>
  <c r="T16" i="63" s="1"/>
  <c r="D16" i="63"/>
  <c r="K16" i="63" s="1"/>
  <c r="I16" i="63"/>
  <c r="AS16" i="63"/>
  <c r="AT16" i="63" s="1"/>
  <c r="U16" i="63"/>
  <c r="C6" i="62"/>
  <c r="C17" i="63" l="1"/>
  <c r="B17" i="63"/>
  <c r="E17" i="63" s="1"/>
  <c r="J17" i="63" s="1"/>
  <c r="D17" i="63" l="1"/>
  <c r="I17" i="63" s="1"/>
  <c r="K17" i="63" l="1"/>
  <c r="C18" i="63" s="1"/>
  <c r="B18" i="63" l="1"/>
  <c r="E18" i="63" s="1"/>
  <c r="D18" i="63" s="1"/>
  <c r="A17" i="63"/>
  <c r="X17" i="63" l="1"/>
  <c r="J18" i="63"/>
  <c r="I18" i="63"/>
  <c r="K18" i="63"/>
  <c r="C19" i="63" s="1"/>
  <c r="B19" i="63" l="1"/>
  <c r="E19" i="63" s="1"/>
  <c r="A18" i="63"/>
  <c r="X18" i="63" l="1"/>
  <c r="D19" i="63"/>
  <c r="J19" i="63"/>
  <c r="I19" i="63" l="1"/>
  <c r="K19" i="63"/>
  <c r="C20" i="63" s="1"/>
  <c r="B20" i="63" l="1"/>
  <c r="E20" i="63" s="1"/>
  <c r="A19" i="63"/>
  <c r="X19" i="63" l="1"/>
  <c r="J20" i="63"/>
  <c r="D20" i="63"/>
  <c r="I20" i="63" l="1"/>
  <c r="K20" i="63"/>
  <c r="C21" i="63" s="1"/>
  <c r="B21" i="63" l="1"/>
  <c r="E21" i="63" s="1"/>
  <c r="A20" i="63"/>
  <c r="X20" i="63" l="1"/>
  <c r="D21" i="63"/>
  <c r="J21" i="63"/>
  <c r="I21" i="63" l="1"/>
  <c r="K21" i="63"/>
  <c r="C22" i="63" s="1"/>
  <c r="E13" i="59"/>
  <c r="B22" i="63" l="1"/>
  <c r="E22" i="63" s="1"/>
  <c r="A21" i="63"/>
  <c r="H13" i="59"/>
  <c r="X21" i="63" l="1"/>
  <c r="D22" i="63"/>
  <c r="J22"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2" i="63"/>
  <c r="K22" i="63"/>
  <c r="C23"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3" i="63"/>
  <c r="E23" i="63" s="1"/>
  <c r="A22" i="63"/>
  <c r="G16" i="59"/>
  <c r="K14" i="59"/>
  <c r="D16" i="59"/>
  <c r="K13" i="59"/>
  <c r="N6" i="59"/>
  <c r="C6" i="53"/>
  <c r="C11" i="53"/>
  <c r="C10" i="53"/>
  <c r="C9" i="53"/>
  <c r="C8" i="53"/>
  <c r="C5" i="53"/>
  <c r="C4" i="53"/>
  <c r="C3" i="53"/>
  <c r="B42" i="1" l="1"/>
  <c r="D42" i="1" s="1"/>
  <c r="K17" i="59"/>
  <c r="B29" i="1" s="1"/>
  <c r="H29" i="1" s="1"/>
  <c r="X22" i="63"/>
  <c r="J23" i="63"/>
  <c r="D23"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9" i="64" s="1"/>
  <c r="P2"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3" i="63"/>
  <c r="K23" i="63"/>
  <c r="C24"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4" i="63"/>
  <c r="E24" i="63" s="1"/>
  <c r="A23" i="63"/>
  <c r="G10" i="3"/>
  <c r="H21" i="3" s="1"/>
  <c r="D37" i="33"/>
  <c r="F37" i="33" s="1"/>
  <c r="I31" i="15" l="1"/>
  <c r="F14" i="37" s="1"/>
  <c r="G14" i="37" s="1"/>
  <c r="X23" i="63"/>
  <c r="I31" i="1"/>
  <c r="H31" i="1"/>
  <c r="L55" i="4"/>
  <c r="F19" i="37" s="1"/>
  <c r="G19" i="37" s="1"/>
  <c r="D14" i="33"/>
  <c r="B14" i="33" s="1"/>
  <c r="I20" i="33" s="1"/>
  <c r="D24" i="63"/>
  <c r="J24" i="63"/>
  <c r="I33" i="33"/>
  <c r="I24" i="63" l="1"/>
  <c r="K24" i="63"/>
  <c r="C25" i="63" s="1"/>
  <c r="B64" i="1" l="1"/>
  <c r="D64" i="1" s="1"/>
  <c r="O2" i="37"/>
  <c r="B25" i="63"/>
  <c r="E25" i="63" s="1"/>
  <c r="A24" i="63"/>
  <c r="B66" i="1" l="1"/>
  <c r="D66" i="1" s="1"/>
  <c r="D67" i="1" s="1"/>
  <c r="X24" i="63"/>
  <c r="D25" i="63"/>
  <c r="J25" i="63"/>
  <c r="B45" i="1" l="1"/>
  <c r="D45" i="1" s="1"/>
  <c r="I25" i="63"/>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I32" i="63" l="1"/>
  <c r="K32" i="63"/>
  <c r="C33" i="63" s="1"/>
  <c r="B33" i="63" l="1"/>
  <c r="E33" i="63" s="1"/>
  <c r="A32" i="63"/>
  <c r="X32" i="63" l="1"/>
  <c r="D33" i="63"/>
  <c r="J33" i="63"/>
  <c r="K33" i="63" l="1"/>
  <c r="C34" i="63" s="1"/>
  <c r="I33" i="63"/>
  <c r="B34" i="63" l="1"/>
  <c r="E34" i="63" s="1"/>
  <c r="A33" i="63"/>
  <c r="X33" i="63" l="1"/>
  <c r="D34" i="63"/>
  <c r="J34" i="63"/>
  <c r="I34" i="63" l="1"/>
  <c r="K34" i="63"/>
  <c r="C35" i="63" s="1"/>
  <c r="B35" i="63" l="1"/>
  <c r="E35" i="63" s="1"/>
  <c r="A34" i="63"/>
  <c r="X34" i="63" l="1"/>
  <c r="D35" i="63"/>
  <c r="J35" i="63"/>
  <c r="K35" i="63" l="1"/>
  <c r="C36" i="63" s="1"/>
  <c r="I35" i="63"/>
  <c r="B36" i="63" l="1"/>
  <c r="E36" i="63" s="1"/>
  <c r="A35" i="63"/>
  <c r="X35" i="63" l="1"/>
  <c r="D36" i="63"/>
  <c r="J36" i="63"/>
  <c r="I36" i="63" l="1"/>
  <c r="K36" i="63"/>
  <c r="C37" i="63" s="1"/>
  <c r="B37" i="63" l="1"/>
  <c r="E37" i="63" s="1"/>
  <c r="A36" i="63"/>
  <c r="X36" i="63" l="1"/>
  <c r="D37" i="63"/>
  <c r="J37" i="63"/>
  <c r="K37" i="63" l="1"/>
  <c r="C38" i="63" s="1"/>
  <c r="I37" i="63"/>
  <c r="B38" i="63" l="1"/>
  <c r="E38" i="63" s="1"/>
  <c r="A37" i="63"/>
  <c r="X37" i="63" l="1"/>
  <c r="D38" i="63"/>
  <c r="J38" i="63"/>
  <c r="I38" i="63" l="1"/>
  <c r="K38" i="63"/>
  <c r="C39" i="63" s="1"/>
  <c r="B39" i="63" l="1"/>
  <c r="E39" i="63" s="1"/>
  <c r="A38" i="63"/>
  <c r="X38" i="63" l="1"/>
  <c r="D39" i="63"/>
  <c r="J39" i="63"/>
  <c r="K39" i="63" l="1"/>
  <c r="C40" i="63" s="1"/>
  <c r="I39" i="63"/>
  <c r="B40" i="63" l="1"/>
  <c r="E40" i="63" s="1"/>
  <c r="A39" i="63"/>
  <c r="X39" i="63" l="1"/>
  <c r="D40" i="63"/>
  <c r="J40" i="63"/>
  <c r="I40" i="63" l="1"/>
  <c r="K40" i="63"/>
  <c r="C41" i="63" s="1"/>
  <c r="B41" i="63" l="1"/>
  <c r="E41" i="63" s="1"/>
  <c r="A40" i="63"/>
  <c r="X40" i="63" l="1"/>
  <c r="D41" i="63"/>
  <c r="J41" i="63"/>
  <c r="K41" i="63" l="1"/>
  <c r="C42" i="63" s="1"/>
  <c r="I41" i="63"/>
  <c r="B42" i="63" l="1"/>
  <c r="E42" i="63" s="1"/>
  <c r="A41" i="63"/>
  <c r="X41" i="63" l="1"/>
  <c r="D42" i="63"/>
  <c r="J42" i="63"/>
  <c r="I42" i="63" l="1"/>
  <c r="K42" i="63"/>
  <c r="C43" i="63" s="1"/>
  <c r="B43" i="63" l="1"/>
  <c r="E43" i="63" s="1"/>
  <c r="A42" i="63"/>
  <c r="X42" i="63" l="1"/>
  <c r="D43" i="63"/>
  <c r="J43" i="63"/>
  <c r="K43" i="63" l="1"/>
  <c r="C44" i="63" s="1"/>
  <c r="I43" i="63"/>
  <c r="B44" i="63" l="1"/>
  <c r="E44" i="63" s="1"/>
  <c r="A43" i="63"/>
  <c r="X43" i="63" l="1"/>
  <c r="D44" i="63"/>
  <c r="J44" i="63"/>
  <c r="I44" i="63" l="1"/>
  <c r="K44" i="63"/>
  <c r="C45" i="63" s="1"/>
  <c r="B45" i="63" l="1"/>
  <c r="E45" i="63" s="1"/>
  <c r="A44" i="63"/>
  <c r="X44" i="63" l="1"/>
  <c r="D45" i="63"/>
  <c r="J45" i="63"/>
  <c r="I45" i="63" l="1"/>
  <c r="K45" i="63"/>
  <c r="C46" i="63" s="1"/>
  <c r="B46" i="63" l="1"/>
  <c r="E46" i="63" s="1"/>
  <c r="A45" i="63"/>
  <c r="X45" i="63" l="1"/>
  <c r="D46" i="63"/>
  <c r="J46" i="63"/>
  <c r="K46" i="63" l="1"/>
  <c r="C47" i="63" s="1"/>
  <c r="I46" i="63"/>
  <c r="B47" i="63" l="1"/>
  <c r="E47" i="63" s="1"/>
  <c r="A46" i="63"/>
  <c r="X46" i="63" l="1"/>
  <c r="D47" i="63"/>
  <c r="J47" i="63"/>
  <c r="I47" i="63" l="1"/>
  <c r="K47" i="63"/>
  <c r="C48" i="63" s="1"/>
  <c r="B48" i="63" l="1"/>
  <c r="E48" i="63" s="1"/>
  <c r="A47" i="63"/>
  <c r="X47" i="63" l="1"/>
  <c r="D48" i="63"/>
  <c r="J48" i="63"/>
  <c r="K48" i="63" l="1"/>
  <c r="C49" i="63" s="1"/>
  <c r="I48" i="63"/>
  <c r="AP23" i="37" l="1"/>
  <c r="B49" i="63"/>
  <c r="E49" i="63" s="1"/>
  <c r="A48"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8" i="63"/>
  <c r="D49" i="63"/>
  <c r="J49"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9" i="63"/>
  <c r="K49" i="63"/>
  <c r="C50" i="63" s="1"/>
  <c r="B50" i="63" l="1"/>
  <c r="E50" i="63" s="1"/>
  <c r="A49" i="63"/>
  <c r="X49" i="63" l="1"/>
  <c r="D50" i="63"/>
  <c r="J50" i="63"/>
  <c r="I50" i="63" l="1"/>
  <c r="K50" i="63"/>
  <c r="C51" i="63" s="1"/>
  <c r="BW22" i="37" l="1"/>
  <c r="BW7" i="37" s="1"/>
  <c r="BD8" i="37"/>
  <c r="B51" i="63"/>
  <c r="E51" i="63" s="1"/>
  <c r="A50" i="63"/>
  <c r="BL22" i="37" l="1"/>
  <c r="BL7" i="37" s="1"/>
  <c r="BE8" i="37"/>
  <c r="AR23" i="37"/>
  <c r="BM22" i="37" s="1"/>
  <c r="BM7" i="37" s="1"/>
  <c r="X50" i="63"/>
  <c r="J51" i="63"/>
  <c r="D51"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1" i="63"/>
  <c r="K51" i="63"/>
  <c r="C52"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2" i="63"/>
  <c r="E52" i="63" s="1"/>
  <c r="A51"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1" i="63"/>
  <c r="J52" i="63"/>
  <c r="D52"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2" i="63"/>
  <c r="K52" i="63"/>
  <c r="C53"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3" i="63"/>
  <c r="E53" i="63" s="1"/>
  <c r="A52"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2" i="63"/>
  <c r="J53" i="63"/>
  <c r="D53"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3" i="63"/>
  <c r="K53" i="63"/>
  <c r="C54"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4" i="63"/>
  <c r="E54" i="63" s="1"/>
  <c r="A53"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3" i="63"/>
  <c r="I33" i="1"/>
  <c r="H33" i="1"/>
  <c r="H54" i="1" s="1"/>
  <c r="K41" i="1" s="1"/>
  <c r="J54" i="63"/>
  <c r="D54"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4" i="63"/>
  <c r="K54" i="63"/>
  <c r="C55"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5" i="63"/>
  <c r="E55" i="63" s="1"/>
  <c r="A54"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4" i="63"/>
  <c r="J55" i="63"/>
  <c r="D55"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5" i="63"/>
  <c r="K55" i="63"/>
  <c r="C56"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6" i="63"/>
  <c r="E56" i="63" s="1"/>
  <c r="A55"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5" i="63"/>
  <c r="J56" i="63"/>
  <c r="D56"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6" i="63"/>
  <c r="K56" i="63"/>
  <c r="C57"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7" i="63"/>
  <c r="E57" i="63" s="1"/>
  <c r="A56"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6" i="63"/>
  <c r="D57" i="63"/>
  <c r="J57"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7" i="63"/>
  <c r="K57" i="63"/>
  <c r="C58"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F491"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8" i="63"/>
  <c r="E58" i="63" s="1"/>
  <c r="A57"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7" i="63"/>
  <c r="J58" i="63"/>
  <c r="D58"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8" i="63"/>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G491" i="63" s="1"/>
  <c r="I58" i="63"/>
  <c r="K58" i="63"/>
  <c r="C59"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8" i="63"/>
  <c r="H59" i="63" s="1"/>
  <c r="B59" i="63"/>
  <c r="E59" i="63" s="1"/>
  <c r="A58"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8" i="63"/>
  <c r="D59" i="63"/>
  <c r="J59"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9" i="63"/>
  <c r="K59" i="63"/>
  <c r="C60"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60" i="63"/>
  <c r="E60" i="63" s="1"/>
  <c r="A59" i="63"/>
  <c r="X59"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60" i="63"/>
  <c r="D60" i="63"/>
  <c r="H60"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60" i="63"/>
  <c r="K60"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1" i="63"/>
  <c r="A60" i="63"/>
  <c r="B61" i="63"/>
  <c r="E61" i="63" s="1"/>
  <c r="X60"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1" i="63"/>
  <c r="D61" i="63"/>
  <c r="H61"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1" i="63"/>
  <c r="K61" i="63"/>
  <c r="C62"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2" i="63"/>
  <c r="E62" i="63" s="1"/>
  <c r="A61" i="63"/>
  <c r="X61"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2" i="63"/>
  <c r="D62" i="63"/>
  <c r="H62"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2" i="63"/>
  <c r="K62" i="63"/>
  <c r="C63"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3" i="63"/>
  <c r="A62" i="63"/>
  <c r="X62"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3"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3" i="63"/>
  <c r="D63" i="63"/>
  <c r="H63"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3" i="63"/>
  <c r="K63" i="63"/>
  <c r="C64"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4" i="63"/>
  <c r="A63" i="63"/>
  <c r="X63"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4"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4" i="63"/>
  <c r="H64" i="63" s="1"/>
  <c r="J64"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4" i="63"/>
  <c r="K64" i="63"/>
  <c r="C65"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5" i="63"/>
  <c r="A64" i="63"/>
  <c r="X64"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5"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5" i="63"/>
  <c r="D65" i="63"/>
  <c r="H65"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5" i="63"/>
  <c r="K65" i="63"/>
  <c r="C66"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6" i="63"/>
  <c r="A65" i="63"/>
  <c r="X65"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6"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6" i="63"/>
  <c r="H66" i="63" s="1"/>
  <c r="J66"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6" i="63"/>
  <c r="K66" i="63"/>
  <c r="C67"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7" i="63"/>
  <c r="A66" i="63"/>
  <c r="X66"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7"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7" i="63"/>
  <c r="H67" i="63" s="1"/>
  <c r="J67"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7" i="63"/>
  <c r="K67" i="63"/>
  <c r="C68"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8" i="63"/>
  <c r="A67" i="63"/>
  <c r="X67"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8"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8" i="63"/>
  <c r="D68" i="63"/>
  <c r="H68"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8" i="63"/>
  <c r="K68" i="63"/>
  <c r="C69"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9" i="63"/>
  <c r="A68" i="63"/>
  <c r="X68"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9"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9" i="63"/>
  <c r="D69" i="63"/>
  <c r="H69"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9" i="63"/>
  <c r="K69" i="63"/>
  <c r="C70"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70" i="63"/>
  <c r="A69" i="63"/>
  <c r="X69"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70"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70" i="63"/>
  <c r="D70" i="63"/>
  <c r="H70"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70" i="63"/>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D73" i="63" l="1"/>
  <c r="H73" i="63" s="1"/>
  <c r="J73" i="63"/>
  <c r="I73" i="63" l="1"/>
  <c r="K73" i="63"/>
  <c r="C74" i="63" s="1"/>
  <c r="B74" i="63" l="1"/>
  <c r="A73" i="63"/>
  <c r="X73" i="63" s="1"/>
  <c r="E74" i="63" l="1"/>
  <c r="J74" i="63" l="1"/>
  <c r="D74" i="63"/>
  <c r="H74" i="63" s="1"/>
  <c r="I74" i="63" l="1"/>
  <c r="K74" i="63"/>
  <c r="C75" i="63" s="1"/>
  <c r="B75" i="63" l="1"/>
  <c r="A74" i="63"/>
  <c r="X74" i="63" s="1"/>
  <c r="E75" i="63" l="1"/>
  <c r="J75" i="63" l="1"/>
  <c r="D75" i="63"/>
  <c r="H75" i="63" s="1"/>
  <c r="I75" i="63" l="1"/>
  <c r="K75" i="63"/>
  <c r="C76" i="63" s="1"/>
  <c r="B76" i="63" l="1"/>
  <c r="A75" i="63"/>
  <c r="X75" i="63" s="1"/>
  <c r="E76" i="63" l="1"/>
  <c r="D76" i="63" l="1"/>
  <c r="H76" i="63" s="1"/>
  <c r="J76" i="63"/>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J80" i="63" l="1"/>
  <c r="D80" i="63"/>
  <c r="H80" i="63" s="1"/>
  <c r="I80" i="63" l="1"/>
  <c r="K80" i="63"/>
  <c r="C81" i="63" s="1"/>
  <c r="B81" i="63" l="1"/>
  <c r="A80" i="63"/>
  <c r="X80" i="63" s="1"/>
  <c r="E81" i="63" l="1"/>
  <c r="D81" i="63" l="1"/>
  <c r="H81" i="63" s="1"/>
  <c r="J81" i="63"/>
  <c r="I81" i="63" l="1"/>
  <c r="K81" i="63"/>
  <c r="C82" i="63" s="1"/>
  <c r="B82" i="63" l="1"/>
  <c r="A81" i="63"/>
  <c r="X81" i="63" s="1"/>
  <c r="E82" i="63" l="1"/>
  <c r="J82" i="63" l="1"/>
  <c r="D82" i="63"/>
  <c r="H82" i="63" s="1"/>
  <c r="I82" i="63" l="1"/>
  <c r="K82" i="63"/>
  <c r="C83" i="63" s="1"/>
  <c r="B83" i="63" l="1"/>
  <c r="A82" i="63"/>
  <c r="X82" i="63" s="1"/>
  <c r="E83" i="63" l="1"/>
  <c r="D83" i="63" l="1"/>
  <c r="H83" i="63" s="1"/>
  <c r="J83" i="63"/>
  <c r="I83" i="63" l="1"/>
  <c r="K83" i="63"/>
  <c r="C84" i="63" s="1"/>
  <c r="B84" i="63" l="1"/>
  <c r="A83" i="63"/>
  <c r="X83" i="63" s="1"/>
  <c r="E84" i="63" l="1"/>
  <c r="D84" i="63" l="1"/>
  <c r="H84" i="63" s="1"/>
  <c r="J84" i="63"/>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J88" i="63" l="1"/>
  <c r="D88" i="63"/>
  <c r="H88" i="63" s="1"/>
  <c r="I88" i="63" l="1"/>
  <c r="K88" i="63"/>
  <c r="C89" i="63" s="1"/>
  <c r="B89" i="63" l="1"/>
  <c r="A88" i="63"/>
  <c r="X88" i="63" s="1"/>
  <c r="E89" i="63" l="1"/>
  <c r="D89" i="63" l="1"/>
  <c r="H89" i="63" s="1"/>
  <c r="J89" i="63"/>
  <c r="I89" i="63" l="1"/>
  <c r="K89" i="63"/>
  <c r="C90" i="63" s="1"/>
  <c r="B90" i="63" l="1"/>
  <c r="A89" i="63"/>
  <c r="X89" i="63" s="1"/>
  <c r="E90" i="63" l="1"/>
  <c r="D90" i="63" l="1"/>
  <c r="H90" i="63" s="1"/>
  <c r="J90" i="63"/>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J96" i="63" l="1"/>
  <c r="D96" i="63"/>
  <c r="H96" i="63" s="1"/>
  <c r="I96" i="63" l="1"/>
  <c r="K96" i="63"/>
  <c r="C97" i="63" s="1"/>
  <c r="B97" i="63" l="1"/>
  <c r="A96" i="63"/>
  <c r="X96" i="63" s="1"/>
  <c r="E97" i="63" l="1"/>
  <c r="D97" i="63" l="1"/>
  <c r="H97" i="63" s="1"/>
  <c r="J97" i="63"/>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J117" i="63" l="1"/>
  <c r="D117" i="63"/>
  <c r="H117" i="63" s="1"/>
  <c r="I117" i="63" l="1"/>
  <c r="K117" i="63"/>
  <c r="C118" i="63" s="1"/>
  <c r="B118" i="63" l="1"/>
  <c r="A117" i="63"/>
  <c r="X117" i="63" s="1"/>
  <c r="E118" i="63" l="1"/>
  <c r="D118" i="63" l="1"/>
  <c r="H118" i="63" s="1"/>
  <c r="J118" i="63"/>
  <c r="I118" i="63" l="1"/>
  <c r="K118" i="63"/>
  <c r="C119" i="63" s="1"/>
  <c r="B119" i="63" l="1"/>
  <c r="A118" i="63"/>
  <c r="X118" i="63" s="1"/>
  <c r="E119" i="63" l="1"/>
  <c r="J119" i="63" l="1"/>
  <c r="D119" i="63"/>
  <c r="H119" i="63" s="1"/>
  <c r="I119" i="63" l="1"/>
  <c r="K119" i="63"/>
  <c r="C120" i="63" s="1"/>
  <c r="B120" i="63" l="1"/>
  <c r="A119" i="63"/>
  <c r="X119" i="63" s="1"/>
  <c r="E120" i="63" l="1"/>
  <c r="J120" i="63" l="1"/>
  <c r="D120" i="63"/>
  <c r="H120" i="63" s="1"/>
  <c r="I120" i="63" l="1"/>
  <c r="K120" i="63"/>
  <c r="C121" i="63" s="1"/>
  <c r="B121" i="63" l="1"/>
  <c r="A120" i="63"/>
  <c r="X120" i="63" s="1"/>
  <c r="E121" i="63" l="1"/>
  <c r="D121" i="63" l="1"/>
  <c r="H121" i="63" s="1"/>
  <c r="J121" i="63"/>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J131" i="63" l="1"/>
  <c r="D131" i="63"/>
  <c r="H131" i="63" s="1"/>
  <c r="I131" i="63" l="1"/>
  <c r="K131" i="63"/>
  <c r="C132" i="63" s="1"/>
  <c r="B132" i="63" l="1"/>
  <c r="A131" i="63"/>
  <c r="X131" i="63" s="1"/>
  <c r="E132" i="63" l="1"/>
  <c r="D132" i="63" l="1"/>
  <c r="H132" i="63" s="1"/>
  <c r="J132" i="63"/>
  <c r="I132" i="63" l="1"/>
  <c r="K132" i="63"/>
  <c r="C133" i="63" s="1"/>
  <c r="B133" i="63" l="1"/>
  <c r="A132" i="63"/>
  <c r="X132" i="63" s="1"/>
  <c r="E133" i="63" l="1"/>
  <c r="D133" i="63" l="1"/>
  <c r="H133" i="63" s="1"/>
  <c r="J133" i="63"/>
  <c r="I133" i="63" l="1"/>
  <c r="K133" i="63"/>
  <c r="C134" i="63" s="1"/>
  <c r="B134" i="63" l="1"/>
  <c r="A133" i="63"/>
  <c r="X133" i="63" s="1"/>
  <c r="E134" i="63" l="1"/>
  <c r="J134" i="63" l="1"/>
  <c r="D134" i="63"/>
  <c r="H134" i="63" s="1"/>
  <c r="I134" i="63" l="1"/>
  <c r="K134" i="63"/>
  <c r="C135" i="63" s="1"/>
  <c r="B135" i="63" l="1"/>
  <c r="A134" i="63"/>
  <c r="X134" i="63" s="1"/>
  <c r="E135" i="63" l="1"/>
  <c r="J135" i="63" l="1"/>
  <c r="D135" i="63"/>
  <c r="H135" i="63" s="1"/>
  <c r="I135" i="63" l="1"/>
  <c r="K135" i="63"/>
  <c r="C136" i="63" s="1"/>
  <c r="B136" i="63" l="1"/>
  <c r="A135" i="63"/>
  <c r="X135" i="63" s="1"/>
  <c r="E136" i="63" l="1"/>
  <c r="D136" i="63" l="1"/>
  <c r="H136" i="63" s="1"/>
  <c r="J136" i="63"/>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J140" i="63" l="1"/>
  <c r="D140" i="63"/>
  <c r="H140" i="63" s="1"/>
  <c r="I140" i="63" l="1"/>
  <c r="K140" i="63"/>
  <c r="C141" i="63" s="1"/>
  <c r="B141" i="63" l="1"/>
  <c r="A140" i="63"/>
  <c r="X140" i="63" s="1"/>
  <c r="E141" i="63" l="1"/>
  <c r="D141" i="63" l="1"/>
  <c r="H141" i="63" s="1"/>
  <c r="J141" i="63"/>
  <c r="I141" i="63" l="1"/>
  <c r="K141" i="63"/>
  <c r="C142" i="63" s="1"/>
  <c r="B142" i="63" l="1"/>
  <c r="A141" i="63"/>
  <c r="X141" i="63" s="1"/>
  <c r="E142" i="63" l="1"/>
  <c r="J142" i="63" l="1"/>
  <c r="D142" i="63"/>
  <c r="H142" i="63" s="1"/>
  <c r="I142" i="63" l="1"/>
  <c r="K142" i="63"/>
  <c r="C143" i="63" s="1"/>
  <c r="B143" i="63" l="1"/>
  <c r="A142" i="63"/>
  <c r="X142" i="63" s="1"/>
  <c r="E143" i="63" l="1"/>
  <c r="D143" i="63" l="1"/>
  <c r="H143" i="63" s="1"/>
  <c r="J143" i="63"/>
  <c r="I143" i="63" l="1"/>
  <c r="K143" i="63"/>
  <c r="C144" i="63" s="1"/>
  <c r="B144" i="63" l="1"/>
  <c r="A143" i="63"/>
  <c r="X143" i="63" s="1"/>
  <c r="E144" i="63" l="1"/>
  <c r="J144" i="63" l="1"/>
  <c r="D144" i="63"/>
  <c r="H144" i="63" s="1"/>
  <c r="I144" i="63" l="1"/>
  <c r="K144" i="63"/>
  <c r="C145" i="63" s="1"/>
  <c r="B145" i="63" l="1"/>
  <c r="A144" i="63"/>
  <c r="X144" i="63" s="1"/>
  <c r="E145" i="63" l="1"/>
  <c r="D145" i="63" l="1"/>
  <c r="H145" i="63" s="1"/>
  <c r="J145" i="63"/>
  <c r="I145" i="63" l="1"/>
  <c r="K145" i="63"/>
  <c r="C146" i="63" s="1"/>
  <c r="B146" i="63" l="1"/>
  <c r="A145" i="63"/>
  <c r="X145" i="63" s="1"/>
  <c r="E146" i="63" l="1"/>
  <c r="D146" i="63" l="1"/>
  <c r="H146" i="63" s="1"/>
  <c r="J146" i="63"/>
  <c r="I146" i="63" l="1"/>
  <c r="K146" i="63"/>
  <c r="C147" i="63" s="1"/>
  <c r="B147" i="63" l="1"/>
  <c r="A146" i="63"/>
  <c r="X146" i="63" s="1"/>
  <c r="E147" i="63" l="1"/>
  <c r="J147" i="63" l="1"/>
  <c r="D147" i="63"/>
  <c r="H147" i="63" s="1"/>
  <c r="I147" i="63" l="1"/>
  <c r="K147" i="63"/>
  <c r="C148" i="63" s="1"/>
  <c r="B148" i="63" l="1"/>
  <c r="A147" i="63"/>
  <c r="X147" i="63" s="1"/>
  <c r="E148" i="63" l="1"/>
  <c r="J148" i="63" l="1"/>
  <c r="D148" i="63"/>
  <c r="H148" i="63" s="1"/>
  <c r="I148" i="63" l="1"/>
  <c r="K148" i="63"/>
  <c r="C149" i="63" s="1"/>
  <c r="B149" i="63" l="1"/>
  <c r="A148" i="63"/>
  <c r="X148" i="63" s="1"/>
  <c r="E149" i="63" l="1"/>
  <c r="D149" i="63" l="1"/>
  <c r="H149" i="63" s="1"/>
  <c r="J149" i="63"/>
  <c r="I149" i="63" l="1"/>
  <c r="K149" i="63"/>
  <c r="C150" i="63" s="1"/>
  <c r="B150" i="63" l="1"/>
  <c r="A149" i="63"/>
  <c r="X149" i="63" s="1"/>
  <c r="E150" i="63" l="1"/>
  <c r="J150" i="63" l="1"/>
  <c r="D150" i="63"/>
  <c r="H150" i="63" s="1"/>
  <c r="I150" i="63" l="1"/>
  <c r="K150" i="63"/>
  <c r="C151" i="63" s="1"/>
  <c r="B151" i="63" l="1"/>
  <c r="A150" i="63"/>
  <c r="X150" i="63" s="1"/>
  <c r="E151" i="63" l="1"/>
  <c r="J151" i="63" l="1"/>
  <c r="D151" i="63"/>
  <c r="H151" i="63" s="1"/>
  <c r="I151" i="63" l="1"/>
  <c r="K151" i="63"/>
  <c r="C152" i="63" s="1"/>
  <c r="B152" i="63" l="1"/>
  <c r="A151" i="63"/>
  <c r="X151" i="63" s="1"/>
  <c r="E152" i="63" l="1"/>
  <c r="D152" i="63" l="1"/>
  <c r="H152" i="63" s="1"/>
  <c r="J152" i="63"/>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J163" i="63" l="1"/>
  <c r="D163" i="63"/>
  <c r="H163" i="63" s="1"/>
  <c r="I163" i="63" l="1"/>
  <c r="K163" i="63"/>
  <c r="C164" i="63" s="1"/>
  <c r="B164" i="63" l="1"/>
  <c r="A163" i="63"/>
  <c r="X163" i="63" s="1"/>
  <c r="E164" i="63" l="1"/>
  <c r="D164" i="63" l="1"/>
  <c r="H164" i="63" s="1"/>
  <c r="J164" i="63"/>
  <c r="I164" i="63" l="1"/>
  <c r="K164" i="63"/>
  <c r="C165" i="63" s="1"/>
  <c r="B165" i="63" l="1"/>
  <c r="A164" i="63"/>
  <c r="X164" i="63" s="1"/>
  <c r="E165" i="63" l="1"/>
  <c r="J165" i="63" l="1"/>
  <c r="D165" i="63"/>
  <c r="H165" i="63" s="1"/>
  <c r="I165" i="63" l="1"/>
  <c r="K165" i="63"/>
  <c r="C166" i="63" s="1"/>
  <c r="B166" i="63" l="1"/>
  <c r="A165" i="63"/>
  <c r="X165" i="63" s="1"/>
  <c r="E166" i="63" l="1"/>
  <c r="D166" i="63" l="1"/>
  <c r="H166" i="63" s="1"/>
  <c r="J166" i="63"/>
  <c r="I166" i="63" l="1"/>
  <c r="K166" i="63"/>
  <c r="C167" i="63" s="1"/>
  <c r="B167" i="63" l="1"/>
  <c r="A166" i="63"/>
  <c r="X166" i="63" s="1"/>
  <c r="E167" i="63" l="1"/>
  <c r="D167" i="63" l="1"/>
  <c r="H167" i="63" s="1"/>
  <c r="J167" i="63"/>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J170" i="63" l="1"/>
  <c r="D170" i="63"/>
  <c r="H170" i="63" s="1"/>
  <c r="I170" i="63" l="1"/>
  <c r="K170" i="63"/>
  <c r="C171" i="63" s="1"/>
  <c r="B171" i="63" l="1"/>
  <c r="A170" i="63"/>
  <c r="X170" i="63" s="1"/>
  <c r="E171" i="63" l="1"/>
  <c r="D171" i="63" l="1"/>
  <c r="H171" i="63" s="1"/>
  <c r="J171" i="63"/>
  <c r="I171" i="63" l="1"/>
  <c r="K171" i="63"/>
  <c r="C172" i="63" s="1"/>
  <c r="B172" i="63" l="1"/>
  <c r="A171" i="63"/>
  <c r="X171" i="63" s="1"/>
  <c r="E172" i="63" l="1"/>
  <c r="J172" i="63" l="1"/>
  <c r="D172" i="63"/>
  <c r="H172" i="63" s="1"/>
  <c r="I172" i="63" l="1"/>
  <c r="K172" i="63"/>
  <c r="C173" i="63" s="1"/>
  <c r="B173" i="63" l="1"/>
  <c r="A172" i="63"/>
  <c r="X172" i="63" s="1"/>
  <c r="E173" i="63" l="1"/>
  <c r="J173" i="63" l="1"/>
  <c r="D173" i="63"/>
  <c r="H173" i="63" s="1"/>
  <c r="I173" i="63" l="1"/>
  <c r="K173" i="63"/>
  <c r="C174" i="63" s="1"/>
  <c r="B174" i="63" l="1"/>
  <c r="A173" i="63"/>
  <c r="X173" i="63" s="1"/>
  <c r="E174" i="63" l="1"/>
  <c r="D174" i="63" l="1"/>
  <c r="H174" i="63" s="1"/>
  <c r="J174" i="63"/>
  <c r="I174" i="63" l="1"/>
  <c r="K174" i="63"/>
  <c r="C175" i="63" s="1"/>
  <c r="B175" i="63" l="1"/>
  <c r="A174" i="63"/>
  <c r="X174" i="63" s="1"/>
  <c r="E175" i="63" l="1"/>
  <c r="J175" i="63" l="1"/>
  <c r="D175" i="63"/>
  <c r="H175" i="63" s="1"/>
  <c r="I175" i="63" l="1"/>
  <c r="K175" i="63"/>
  <c r="C176" i="63" s="1"/>
  <c r="B176" i="63" l="1"/>
  <c r="A175" i="63"/>
  <c r="X175" i="63" s="1"/>
  <c r="E176" i="63" l="1"/>
  <c r="J176" i="63" l="1"/>
  <c r="D176" i="63"/>
  <c r="H176" i="63" s="1"/>
  <c r="I176" i="63" l="1"/>
  <c r="K176" i="63"/>
  <c r="C177" i="63" s="1"/>
  <c r="B177" i="63" l="1"/>
  <c r="A176" i="63"/>
  <c r="X176" i="63" s="1"/>
  <c r="E177" i="63" l="1"/>
  <c r="D177" i="63" l="1"/>
  <c r="H177" i="63" s="1"/>
  <c r="J177" i="63"/>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J185" i="63" l="1"/>
  <c r="D185" i="63"/>
  <c r="H185" i="63" s="1"/>
  <c r="I185" i="63" l="1"/>
  <c r="K185" i="63"/>
  <c r="C186" i="63" s="1"/>
  <c r="B186" i="63" l="1"/>
  <c r="A185" i="63"/>
  <c r="X185" i="63" s="1"/>
  <c r="E186" i="63" l="1"/>
  <c r="D186" i="63" l="1"/>
  <c r="H186" i="63" s="1"/>
  <c r="J186" i="63"/>
  <c r="I186" i="63" l="1"/>
  <c r="K186" i="63"/>
  <c r="C187" i="63" s="1"/>
  <c r="B187" i="63" l="1"/>
  <c r="A186" i="63"/>
  <c r="X186" i="63" s="1"/>
  <c r="E187" i="63" l="1"/>
  <c r="J187" i="63" l="1"/>
  <c r="D187" i="63"/>
  <c r="H187" i="63" s="1"/>
  <c r="I187" i="63" l="1"/>
  <c r="K187" i="63"/>
  <c r="C188" i="63" s="1"/>
  <c r="B188" i="63" l="1"/>
  <c r="A187" i="63"/>
  <c r="X187" i="63" s="1"/>
  <c r="E188" i="63" l="1"/>
  <c r="J188" i="63" l="1"/>
  <c r="D188" i="63"/>
  <c r="H188" i="63" s="1"/>
  <c r="I188" i="63" l="1"/>
  <c r="K188" i="63"/>
  <c r="C189" i="63" s="1"/>
  <c r="B189" i="63" l="1"/>
  <c r="A188" i="63"/>
  <c r="X188" i="63" s="1"/>
  <c r="E189" i="63" l="1"/>
  <c r="D189" i="63" l="1"/>
  <c r="H189" i="63" s="1"/>
  <c r="J189" i="63"/>
  <c r="I189" i="63" l="1"/>
  <c r="K189" i="63"/>
  <c r="C190" i="63" s="1"/>
  <c r="B190" i="63" l="1"/>
  <c r="A189" i="63"/>
  <c r="X189" i="63" s="1"/>
  <c r="E190" i="63" l="1"/>
  <c r="D190" i="63" l="1"/>
  <c r="H190" i="63" s="1"/>
  <c r="J190" i="63"/>
  <c r="I190" i="63" l="1"/>
  <c r="K190" i="63"/>
  <c r="C191" i="63" s="1"/>
  <c r="B191" i="63" l="1"/>
  <c r="A190" i="63"/>
  <c r="X190" i="63" s="1"/>
  <c r="E191" i="63" l="1"/>
  <c r="J191" i="63" l="1"/>
  <c r="D191" i="63"/>
  <c r="H191" i="63" s="1"/>
  <c r="I191" i="63" l="1"/>
  <c r="K191" i="63"/>
  <c r="C192" i="63" s="1"/>
  <c r="B192" i="63" l="1"/>
  <c r="A191" i="63"/>
  <c r="X191" i="63" s="1"/>
  <c r="E192" i="63" l="1"/>
  <c r="D192" i="63" l="1"/>
  <c r="H192" i="63" s="1"/>
  <c r="J192" i="63"/>
  <c r="I192" i="63" l="1"/>
  <c r="K192" i="63"/>
  <c r="C193" i="63" s="1"/>
  <c r="B193" i="63" l="1"/>
  <c r="A192" i="63"/>
  <c r="X192" i="63" s="1"/>
  <c r="E193" i="63" l="1"/>
  <c r="J193" i="63" l="1"/>
  <c r="D193" i="63"/>
  <c r="H193" i="63" s="1"/>
  <c r="I193" i="63" l="1"/>
  <c r="K193" i="63"/>
  <c r="C194" i="63" s="1"/>
  <c r="B194" i="63" l="1"/>
  <c r="A193" i="63"/>
  <c r="X193" i="63" s="1"/>
  <c r="E194" i="63" l="1"/>
  <c r="J194" i="63" l="1"/>
  <c r="D194" i="63"/>
  <c r="H194" i="63" s="1"/>
  <c r="I194" i="63" l="1"/>
  <c r="K194" i="63"/>
  <c r="C195" i="63" s="1"/>
  <c r="B195" i="63" l="1"/>
  <c r="A194" i="63"/>
  <c r="X194" i="63" s="1"/>
  <c r="E195" i="63" l="1"/>
  <c r="D195" i="63" l="1"/>
  <c r="H195" i="63" s="1"/>
  <c r="J195" i="63"/>
  <c r="I195" i="63" l="1"/>
  <c r="K195" i="63"/>
  <c r="C196" i="63" s="1"/>
  <c r="B196" i="63" l="1"/>
  <c r="A195" i="63"/>
  <c r="X195" i="63" s="1"/>
  <c r="E196" i="63" l="1"/>
  <c r="J196" i="63" l="1"/>
  <c r="D196" i="63"/>
  <c r="H196" i="63" s="1"/>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D201" i="63" l="1"/>
  <c r="H201" i="63" s="1"/>
  <c r="J201" i="63"/>
  <c r="I201" i="63" l="1"/>
  <c r="K201" i="63"/>
  <c r="C202" i="63" s="1"/>
  <c r="B202" i="63" l="1"/>
  <c r="A201" i="63"/>
  <c r="X201" i="63" s="1"/>
  <c r="E202" i="63" l="1"/>
  <c r="J202" i="63" l="1"/>
  <c r="D202" i="63"/>
  <c r="H202" i="63" s="1"/>
  <c r="I202" i="63" l="1"/>
  <c r="K202" i="63"/>
  <c r="C203" i="63" s="1"/>
  <c r="B203" i="63" l="1"/>
  <c r="A202" i="63"/>
  <c r="X202" i="63" s="1"/>
  <c r="E203" i="63" l="1"/>
  <c r="J203" i="63" l="1"/>
  <c r="D203" i="63"/>
  <c r="H203" i="63" s="1"/>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D207" i="63" l="1"/>
  <c r="H207" i="63" s="1"/>
  <c r="J207" i="63"/>
  <c r="I207" i="63" l="1"/>
  <c r="K207" i="63"/>
  <c r="C208" i="63" s="1"/>
  <c r="B208" i="63" l="1"/>
  <c r="A207" i="63"/>
  <c r="X207" i="63" s="1"/>
  <c r="E208" i="63" l="1"/>
  <c r="J208" i="63" l="1"/>
  <c r="D208" i="63"/>
  <c r="H208" i="63" s="1"/>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D211" i="63" l="1"/>
  <c r="H211" i="63" s="1"/>
  <c r="J211" i="63"/>
  <c r="I211" i="63" l="1"/>
  <c r="K211" i="63"/>
  <c r="C212" i="63" s="1"/>
  <c r="B212" i="63" l="1"/>
  <c r="A211" i="63"/>
  <c r="X211" i="63" s="1"/>
  <c r="E212" i="63" l="1"/>
  <c r="J212" i="63" l="1"/>
  <c r="D212" i="63"/>
  <c r="H212" i="63" s="1"/>
  <c r="I212" i="63" l="1"/>
  <c r="K212" i="63"/>
  <c r="C213" i="63" s="1"/>
  <c r="B213" i="63" l="1"/>
  <c r="A212" i="63"/>
  <c r="X212" i="63" s="1"/>
  <c r="E213" i="63" l="1"/>
  <c r="D213" i="63" l="1"/>
  <c r="H213" i="63" s="1"/>
  <c r="J213" i="63"/>
  <c r="I213" i="63" l="1"/>
  <c r="K213" i="63"/>
  <c r="C214" i="63" s="1"/>
  <c r="B214" i="63" l="1"/>
  <c r="A213" i="63"/>
  <c r="X213" i="63" s="1"/>
  <c r="E214" i="63" l="1"/>
  <c r="J214" i="63" l="1"/>
  <c r="D214" i="63"/>
  <c r="H214" i="63" s="1"/>
  <c r="I214" i="63" l="1"/>
  <c r="K214" i="63"/>
  <c r="C215" i="63" s="1"/>
  <c r="B215" i="63" l="1"/>
  <c r="A214" i="63"/>
  <c r="X214" i="63" s="1"/>
  <c r="E215" i="63" l="1"/>
  <c r="J215" i="63" l="1"/>
  <c r="D215" i="63"/>
  <c r="H215" i="63" s="1"/>
  <c r="I215" i="63" l="1"/>
  <c r="K215" i="63"/>
  <c r="C216" i="63" s="1"/>
  <c r="B216" i="63" l="1"/>
  <c r="A215" i="63"/>
  <c r="X215" i="63" s="1"/>
  <c r="E216" i="63" l="1"/>
  <c r="D216" i="63" l="1"/>
  <c r="H216" i="63" s="1"/>
  <c r="J216" i="63"/>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J219" i="63" l="1"/>
  <c r="D219" i="63"/>
  <c r="H219" i="63" s="1"/>
  <c r="I219" i="63" l="1"/>
  <c r="K219" i="63"/>
  <c r="C220" i="63" s="1"/>
  <c r="B220" i="63" l="1"/>
  <c r="A219" i="63"/>
  <c r="X219" i="63" s="1"/>
  <c r="E220" i="63" l="1"/>
  <c r="D220" i="63" l="1"/>
  <c r="H220" i="63" s="1"/>
  <c r="J220" i="63"/>
  <c r="I220" i="63" l="1"/>
  <c r="K220" i="63"/>
  <c r="C221" i="63" s="1"/>
  <c r="B221" i="63" l="1"/>
  <c r="A220" i="63"/>
  <c r="X220" i="63" s="1"/>
  <c r="E221" i="63" l="1"/>
  <c r="J221" i="63" l="1"/>
  <c r="D221" i="63"/>
  <c r="H221" i="63" s="1"/>
  <c r="I221" i="63" l="1"/>
  <c r="K221" i="63"/>
  <c r="C222" i="63" s="1"/>
  <c r="B222" i="63" l="1"/>
  <c r="A221" i="63"/>
  <c r="X221" i="63" s="1"/>
  <c r="E222" i="63" l="1"/>
  <c r="D222" i="63" l="1"/>
  <c r="H222" i="63" s="1"/>
  <c r="J222" i="63"/>
  <c r="I222" i="63" l="1"/>
  <c r="K222" i="63"/>
  <c r="C223" i="63" s="1"/>
  <c r="B223" i="63" l="1"/>
  <c r="A222" i="63"/>
  <c r="X222" i="63" s="1"/>
  <c r="E223" i="63" l="1"/>
  <c r="J223" i="63" l="1"/>
  <c r="D223" i="63"/>
  <c r="H223" i="63" s="1"/>
  <c r="I223" i="63" l="1"/>
  <c r="K223" i="63"/>
  <c r="C224" i="63" s="1"/>
  <c r="B224" i="63" l="1"/>
  <c r="A223" i="63"/>
  <c r="X223" i="63" s="1"/>
  <c r="E224" i="63" l="1"/>
  <c r="D224" i="63" l="1"/>
  <c r="H224" i="63" s="1"/>
  <c r="J224" i="63"/>
  <c r="I224" i="63" l="1"/>
  <c r="K224" i="63"/>
  <c r="C225" i="63" s="1"/>
  <c r="B225" i="63" l="1"/>
  <c r="A224" i="63"/>
  <c r="X224" i="63" s="1"/>
  <c r="E225" i="63" l="1"/>
  <c r="D225" i="63" l="1"/>
  <c r="H225" i="63" s="1"/>
  <c r="J225" i="63"/>
  <c r="I225" i="63" l="1"/>
  <c r="K225" i="63"/>
  <c r="C226" i="63" s="1"/>
  <c r="B226" i="63" l="1"/>
  <c r="A225" i="63"/>
  <c r="X225" i="63" s="1"/>
  <c r="E226" i="63" l="1"/>
  <c r="J226" i="63" l="1"/>
  <c r="D226" i="63"/>
  <c r="H226" i="63" s="1"/>
  <c r="I226" i="63" l="1"/>
  <c r="K226" i="63"/>
  <c r="C227" i="63" s="1"/>
  <c r="B227" i="63" l="1"/>
  <c r="A226" i="63"/>
  <c r="X226" i="63" s="1"/>
  <c r="E227" i="63" l="1"/>
  <c r="J227" i="63" l="1"/>
  <c r="D227" i="63"/>
  <c r="H227" i="63" s="1"/>
  <c r="I227" i="63" l="1"/>
  <c r="K227" i="63"/>
  <c r="C228" i="63" s="1"/>
  <c r="B228" i="63" l="1"/>
  <c r="A227" i="63"/>
  <c r="X227" i="63" s="1"/>
  <c r="E228" i="63" l="1"/>
  <c r="D228" i="63" l="1"/>
  <c r="H228" i="63" s="1"/>
  <c r="J228" i="63"/>
  <c r="I228" i="63" l="1"/>
  <c r="K228" i="63"/>
  <c r="C229" i="63" s="1"/>
  <c r="B229" i="63" l="1"/>
  <c r="A228" i="63"/>
  <c r="X228" i="63" s="1"/>
  <c r="E229" i="63" l="1"/>
  <c r="J229" i="63" l="1"/>
  <c r="D229" i="63"/>
  <c r="H229" i="63" s="1"/>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D232" i="63" l="1"/>
  <c r="H232" i="63" s="1"/>
  <c r="J232" i="63"/>
  <c r="I232" i="63" l="1"/>
  <c r="K232" i="63"/>
  <c r="C233" i="63" s="1"/>
  <c r="B233" i="63" l="1"/>
  <c r="A232" i="63"/>
  <c r="X232" i="63" s="1"/>
  <c r="E233" i="63" l="1"/>
  <c r="J233" i="63" l="1"/>
  <c r="D233" i="63"/>
  <c r="H233" i="63" s="1"/>
  <c r="I233" i="63" l="1"/>
  <c r="K233" i="63"/>
  <c r="C234" i="63" s="1"/>
  <c r="B234" i="63" l="1"/>
  <c r="A233" i="63"/>
  <c r="X233" i="63" s="1"/>
  <c r="E234" i="63" l="1"/>
  <c r="D234" i="63" l="1"/>
  <c r="H234" i="63" s="1"/>
  <c r="J234" i="63"/>
  <c r="I234" i="63" l="1"/>
  <c r="K234" i="63"/>
  <c r="C235" i="63" s="1"/>
  <c r="B235" i="63" l="1"/>
  <c r="A234" i="63"/>
  <c r="X234" i="63" s="1"/>
  <c r="E235" i="63" l="1"/>
  <c r="J235" i="63" l="1"/>
  <c r="D235" i="63"/>
  <c r="H235" i="63" s="1"/>
  <c r="I235" i="63" l="1"/>
  <c r="K235" i="63"/>
  <c r="C236" i="63" s="1"/>
  <c r="B236" i="63" l="1"/>
  <c r="A235" i="63"/>
  <c r="X235" i="63" s="1"/>
  <c r="E236" i="63" l="1"/>
  <c r="D236" i="63" l="1"/>
  <c r="H236" i="63" s="1"/>
  <c r="J236" i="63"/>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J239" i="63" l="1"/>
  <c r="D239" i="63"/>
  <c r="H239" i="63" s="1"/>
  <c r="I239" i="63" l="1"/>
  <c r="K239" i="63"/>
  <c r="C240" i="63" s="1"/>
  <c r="B240" i="63" l="1"/>
  <c r="A239" i="63"/>
  <c r="X239" i="63" s="1"/>
  <c r="E240" i="63" l="1"/>
  <c r="D240" i="63" l="1"/>
  <c r="H240" i="63" s="1"/>
  <c r="J240" i="63"/>
  <c r="I240" i="63" l="1"/>
  <c r="K240" i="63"/>
  <c r="C241" i="63" s="1"/>
  <c r="B241" i="63" l="1"/>
  <c r="A240" i="63"/>
  <c r="X240" i="63" s="1"/>
  <c r="E241" i="63" l="1"/>
  <c r="J241" i="63" l="1"/>
  <c r="D241" i="63"/>
  <c r="H241" i="63" s="1"/>
  <c r="I241" i="63" l="1"/>
  <c r="K241" i="63"/>
  <c r="C242" i="63" s="1"/>
  <c r="B242" i="63" l="1"/>
  <c r="A241" i="63"/>
  <c r="X241" i="63" s="1"/>
  <c r="E242" i="63" l="1"/>
  <c r="D242" i="63" l="1"/>
  <c r="H242" i="63" s="1"/>
  <c r="J242" i="63"/>
  <c r="I242" i="63" l="1"/>
  <c r="K242" i="63"/>
  <c r="C243" i="63" s="1"/>
  <c r="B243" i="63" l="1"/>
  <c r="A242" i="63"/>
  <c r="X242" i="63" s="1"/>
  <c r="E243" i="63" l="1"/>
  <c r="J243" i="63" l="1"/>
  <c r="D243" i="63"/>
  <c r="H243" i="63" s="1"/>
  <c r="I243" i="63" l="1"/>
  <c r="K243" i="63"/>
  <c r="C244" i="63" s="1"/>
  <c r="B244" i="63" l="1"/>
  <c r="A243" i="63"/>
  <c r="X243" i="63" s="1"/>
  <c r="E244" i="63" l="1"/>
  <c r="D244" i="63" l="1"/>
  <c r="H244" i="63" s="1"/>
  <c r="J244" i="63"/>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J247" i="63" l="1"/>
  <c r="D247" i="63"/>
  <c r="H247" i="63" s="1"/>
  <c r="I247" i="63" l="1"/>
  <c r="K247" i="63"/>
  <c r="C248" i="63" s="1"/>
  <c r="B248" i="63" l="1"/>
  <c r="A247" i="63"/>
  <c r="X247" i="63" s="1"/>
  <c r="E248" i="63" l="1"/>
  <c r="D248" i="63" l="1"/>
  <c r="H248" i="63" s="1"/>
  <c r="J248" i="63"/>
  <c r="I248" i="63" l="1"/>
  <c r="K248" i="63"/>
  <c r="C249" i="63" s="1"/>
  <c r="B249" i="63" l="1"/>
  <c r="A248" i="63"/>
  <c r="X248" i="63" s="1"/>
  <c r="E249" i="63" l="1"/>
  <c r="J249" i="63" l="1"/>
  <c r="D249" i="63"/>
  <c r="H249" i="63" s="1"/>
  <c r="I249" i="63" l="1"/>
  <c r="K249" i="63"/>
  <c r="C250" i="63" s="1"/>
  <c r="B250" i="63" l="1"/>
  <c r="A249" i="63"/>
  <c r="X249" i="63" s="1"/>
  <c r="E250" i="63" l="1"/>
  <c r="D250" i="63" l="1"/>
  <c r="H250" i="63" s="1"/>
  <c r="J250" i="63"/>
  <c r="I250" i="63" l="1"/>
  <c r="K250" i="63"/>
  <c r="C251" i="63" s="1"/>
  <c r="B251" i="63" l="1"/>
  <c r="A250" i="63"/>
  <c r="X250" i="63" s="1"/>
  <c r="E251" i="63" l="1"/>
  <c r="J251" i="63" l="1"/>
  <c r="D251" i="63"/>
  <c r="H251" i="63" s="1"/>
  <c r="I251" i="63" l="1"/>
  <c r="K251" i="63"/>
  <c r="C252" i="63" s="1"/>
  <c r="B252" i="63" l="1"/>
  <c r="A251" i="63"/>
  <c r="X251" i="63" s="1"/>
  <c r="E252" i="63" l="1"/>
  <c r="D252" i="63" l="1"/>
  <c r="H252" i="63" s="1"/>
  <c r="J252" i="63"/>
  <c r="I252" i="63" l="1"/>
  <c r="K252" i="63"/>
  <c r="C253" i="63" s="1"/>
  <c r="B253" i="63" l="1"/>
  <c r="A252" i="63"/>
  <c r="X252" i="63" s="1"/>
  <c r="E253" i="63" l="1"/>
  <c r="J253" i="63" l="1"/>
  <c r="D253" i="63"/>
  <c r="H253" i="63" s="1"/>
  <c r="I253" i="63" l="1"/>
  <c r="K253" i="63"/>
  <c r="C254" i="63" s="1"/>
  <c r="B254" i="63" l="1"/>
  <c r="A253" i="63"/>
  <c r="X253" i="63" s="1"/>
  <c r="E254" i="63" l="1"/>
  <c r="D254" i="63" l="1"/>
  <c r="H254" i="63" s="1"/>
  <c r="J254" i="63"/>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J257" i="63" l="1"/>
  <c r="D257" i="63"/>
  <c r="H257" i="63" s="1"/>
  <c r="I257" i="63" l="1"/>
  <c r="K257" i="63"/>
  <c r="C258" i="63" s="1"/>
  <c r="B258" i="63" l="1"/>
  <c r="A257" i="63"/>
  <c r="X257" i="63" s="1"/>
  <c r="E258" i="63" l="1"/>
  <c r="D258" i="63" l="1"/>
  <c r="H258" i="63" s="1"/>
  <c r="J258" i="63"/>
  <c r="I258" i="63" l="1"/>
  <c r="K258" i="63"/>
  <c r="C259" i="63" s="1"/>
  <c r="B259" i="63" l="1"/>
  <c r="A258" i="63"/>
  <c r="X258" i="63" s="1"/>
  <c r="E259" i="63" l="1"/>
  <c r="J259" i="63" l="1"/>
  <c r="D259" i="63"/>
  <c r="H259" i="63" s="1"/>
  <c r="I259" i="63" l="1"/>
  <c r="K259" i="63"/>
  <c r="C260" i="63" s="1"/>
  <c r="B260" i="63" l="1"/>
  <c r="A259" i="63"/>
  <c r="X259" i="63" s="1"/>
  <c r="E260" i="63" l="1"/>
  <c r="D260" i="63" l="1"/>
  <c r="H260" i="63" s="1"/>
  <c r="J260" i="63"/>
  <c r="I260" i="63" l="1"/>
  <c r="K260" i="63"/>
  <c r="C261" i="63" s="1"/>
  <c r="B261" i="63" l="1"/>
  <c r="A260" i="63"/>
  <c r="X260" i="63" s="1"/>
  <c r="E261" i="63" l="1"/>
  <c r="D261" i="63" l="1"/>
  <c r="H261" i="63" s="1"/>
  <c r="J261" i="63"/>
  <c r="I261" i="63" l="1"/>
  <c r="K261" i="63"/>
  <c r="C262" i="63" s="1"/>
  <c r="B262" i="63" l="1"/>
  <c r="A261" i="63"/>
  <c r="X261" i="63" s="1"/>
  <c r="E262" i="63" l="1"/>
  <c r="J262" i="63" l="1"/>
  <c r="D262" i="63"/>
  <c r="H262" i="63" s="1"/>
  <c r="I262" i="63" l="1"/>
  <c r="K262" i="63"/>
  <c r="C263" i="63" s="1"/>
  <c r="B263" i="63" l="1"/>
  <c r="A262" i="63"/>
  <c r="X262" i="63" s="1"/>
  <c r="E263" i="63" l="1"/>
  <c r="D263" i="63" l="1"/>
  <c r="H263" i="63" s="1"/>
  <c r="J263" i="63"/>
  <c r="I263" i="63" l="1"/>
  <c r="K263" i="63"/>
  <c r="C264" i="63" s="1"/>
  <c r="B264" i="63" l="1"/>
  <c r="A263" i="63"/>
  <c r="X263" i="63" s="1"/>
  <c r="E264" i="63" l="1"/>
  <c r="J264" i="63" l="1"/>
  <c r="D264" i="63"/>
  <c r="H264" i="63" s="1"/>
  <c r="I264" i="63" l="1"/>
  <c r="K264" i="63"/>
  <c r="C265" i="63" s="1"/>
  <c r="B265" i="63" l="1"/>
  <c r="A264" i="63"/>
  <c r="X264" i="63" s="1"/>
  <c r="E265" i="63" l="1"/>
  <c r="D265" i="63" l="1"/>
  <c r="H265" i="63" s="1"/>
  <c r="J265" i="63"/>
  <c r="I265" i="63" l="1"/>
  <c r="K265" i="63"/>
  <c r="C266" i="63" s="1"/>
  <c r="B266" i="63" l="1"/>
  <c r="A265" i="63"/>
  <c r="X265" i="63" s="1"/>
  <c r="E266" i="63" l="1"/>
  <c r="J266" i="63" l="1"/>
  <c r="D266" i="63"/>
  <c r="H266" i="63" s="1"/>
  <c r="I266" i="63" l="1"/>
  <c r="K266" i="63"/>
  <c r="C267" i="63" s="1"/>
  <c r="B267" i="63" l="1"/>
  <c r="A266" i="63"/>
  <c r="X266" i="63" s="1"/>
  <c r="E267" i="63" l="1"/>
  <c r="J267" i="63" l="1"/>
  <c r="D267" i="63"/>
  <c r="H267" i="63" s="1"/>
  <c r="I267" i="63" l="1"/>
  <c r="K267" i="63"/>
  <c r="C268" i="63" s="1"/>
  <c r="B268" i="63" l="1"/>
  <c r="A267" i="63"/>
  <c r="X267" i="63" s="1"/>
  <c r="E268" i="63" l="1"/>
  <c r="D268" i="63" l="1"/>
  <c r="H268" i="63" s="1"/>
  <c r="J268" i="63"/>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J308" i="63" l="1"/>
  <c r="D308" i="63"/>
  <c r="H308" i="63" s="1"/>
  <c r="I308" i="63" l="1"/>
  <c r="K308" i="63"/>
  <c r="C309" i="63" s="1"/>
  <c r="B309" i="63" l="1"/>
  <c r="A308" i="63"/>
  <c r="X308" i="63" s="1"/>
  <c r="E309" i="63" l="1"/>
  <c r="D309" i="63" l="1"/>
  <c r="H309" i="63" s="1"/>
  <c r="J309" i="63"/>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J314" i="63" l="1"/>
  <c r="D314" i="63"/>
  <c r="H314" i="63" s="1"/>
  <c r="I314" i="63" l="1"/>
  <c r="K314" i="63"/>
  <c r="C315" i="63" s="1"/>
  <c r="B315" i="63" l="1"/>
  <c r="A314" i="63"/>
  <c r="X314" i="63" s="1"/>
  <c r="E315" i="63" l="1"/>
  <c r="D315" i="63" l="1"/>
  <c r="H315" i="63" s="1"/>
  <c r="J315" i="63"/>
  <c r="I315" i="63" l="1"/>
  <c r="K315" i="63"/>
  <c r="C316" i="63" s="1"/>
  <c r="A315" i="63" l="1"/>
  <c r="X315" i="63" s="1"/>
  <c r="B316" i="63"/>
  <c r="E316" i="63" l="1"/>
  <c r="J316" i="63" l="1"/>
  <c r="D316" i="63"/>
  <c r="H316" i="63" s="1"/>
  <c r="I316" i="63" l="1"/>
  <c r="K316" i="63"/>
  <c r="C317" i="63" s="1"/>
  <c r="A316" i="63" l="1"/>
  <c r="X316" i="63" s="1"/>
  <c r="B317" i="63"/>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J320" i="63" l="1"/>
  <c r="D320" i="63"/>
  <c r="H320" i="63" s="1"/>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D323" i="63" l="1"/>
  <c r="H323" i="63" s="1"/>
  <c r="J323" i="63"/>
  <c r="I323" i="63" l="1"/>
  <c r="K323" i="63"/>
  <c r="C324" i="63" s="1"/>
  <c r="B324" i="63" l="1"/>
  <c r="A323" i="63"/>
  <c r="X323" i="63" s="1"/>
  <c r="E324" i="63" l="1"/>
  <c r="J324" i="63" l="1"/>
  <c r="D324" i="63"/>
  <c r="H324" i="63" s="1"/>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D327" i="63" l="1"/>
  <c r="H327" i="63" s="1"/>
  <c r="J327" i="63"/>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J330" i="63" l="1"/>
  <c r="D330" i="63"/>
  <c r="H330" i="63" s="1"/>
  <c r="I330" i="63" l="1"/>
  <c r="K330" i="63"/>
  <c r="C331" i="63" s="1"/>
  <c r="B331" i="63" l="1"/>
  <c r="A330" i="63"/>
  <c r="X330" i="63" s="1"/>
  <c r="E331" i="63" l="1"/>
  <c r="D331" i="63" l="1"/>
  <c r="H331" i="63" s="1"/>
  <c r="J331" i="63"/>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J334" i="63" l="1"/>
  <c r="D334" i="63"/>
  <c r="H334" i="63" s="1"/>
  <c r="I334" i="63" l="1"/>
  <c r="K334" i="63"/>
  <c r="C335" i="63" s="1"/>
  <c r="B335" i="63" l="1"/>
  <c r="A334" i="63"/>
  <c r="X334" i="63" s="1"/>
  <c r="E335" i="63" l="1"/>
  <c r="D335" i="63" l="1"/>
  <c r="H335" i="63" s="1"/>
  <c r="J335" i="63"/>
  <c r="I335" i="63" l="1"/>
  <c r="K335" i="63"/>
  <c r="C336" i="63" s="1"/>
  <c r="B336" i="63" l="1"/>
  <c r="A335" i="63"/>
  <c r="X335" i="63" s="1"/>
  <c r="E336" i="63" l="1"/>
  <c r="J336" i="63" l="1"/>
  <c r="D336" i="63"/>
  <c r="H336" i="63" s="1"/>
  <c r="I336" i="63" l="1"/>
  <c r="K336" i="63"/>
  <c r="C337" i="63" s="1"/>
  <c r="B337" i="63" l="1"/>
  <c r="A336" i="63"/>
  <c r="X336" i="63" s="1"/>
  <c r="E337" i="63" l="1"/>
  <c r="D337" i="63" l="1"/>
  <c r="H337" i="63" s="1"/>
  <c r="J337" i="63"/>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J341" i="63" l="1"/>
  <c r="D341" i="63"/>
  <c r="H341" i="63" s="1"/>
  <c r="I341" i="63" l="1"/>
  <c r="K341" i="63"/>
  <c r="C342" i="63" s="1"/>
  <c r="B342" i="63" l="1"/>
  <c r="A341" i="63"/>
  <c r="X341" i="63" s="1"/>
  <c r="E342" i="63" l="1"/>
  <c r="D342" i="63" l="1"/>
  <c r="H342" i="63" s="1"/>
  <c r="J342" i="63"/>
  <c r="I342" i="63" l="1"/>
  <c r="K342" i="63"/>
  <c r="C343" i="63" s="1"/>
  <c r="B343" i="63" l="1"/>
  <c r="A342" i="63"/>
  <c r="X342" i="63" s="1"/>
  <c r="E343" i="63" l="1"/>
  <c r="J343" i="63" l="1"/>
  <c r="D343" i="63"/>
  <c r="H343" i="63" s="1"/>
  <c r="I343" i="63" l="1"/>
  <c r="K343" i="63"/>
  <c r="C344" i="63" s="1"/>
  <c r="B344" i="63" l="1"/>
  <c r="A343" i="63"/>
  <c r="X343" i="63" s="1"/>
  <c r="E344" i="63" l="1"/>
  <c r="J344" i="63" l="1"/>
  <c r="D344" i="63"/>
  <c r="H344" i="63" s="1"/>
  <c r="I344" i="63" l="1"/>
  <c r="K344" i="63"/>
  <c r="C345" i="63" s="1"/>
  <c r="B345" i="63" l="1"/>
  <c r="A344" i="63"/>
  <c r="X344" i="63" s="1"/>
  <c r="E345" i="63" l="1"/>
  <c r="D345" i="63" l="1"/>
  <c r="H345" i="63" s="1"/>
  <c r="J345" i="63"/>
  <c r="I345" i="63" l="1"/>
  <c r="K345" i="63"/>
  <c r="C346" i="63" s="1"/>
  <c r="B346" i="63" l="1"/>
  <c r="A345" i="63"/>
  <c r="X345" i="63" s="1"/>
  <c r="E346" i="63" l="1"/>
  <c r="J346" i="63" l="1"/>
  <c r="D346" i="63"/>
  <c r="H346" i="63" s="1"/>
  <c r="I346" i="63" l="1"/>
  <c r="K346" i="63"/>
  <c r="C347" i="63" s="1"/>
  <c r="B347" i="63" l="1"/>
  <c r="A346" i="63"/>
  <c r="X346" i="63" s="1"/>
  <c r="E347" i="63" l="1"/>
  <c r="J347" i="63" l="1"/>
  <c r="D347" i="63"/>
  <c r="H347" i="63" s="1"/>
  <c r="I347" i="63" l="1"/>
  <c r="K347" i="63"/>
  <c r="C348" i="63" s="1"/>
  <c r="B348" i="63" l="1"/>
  <c r="A347" i="63"/>
  <c r="X347" i="63" s="1"/>
  <c r="E348" i="63" l="1"/>
  <c r="D348" i="63" l="1"/>
  <c r="H348" i="63" s="1"/>
  <c r="J348" i="63"/>
  <c r="I348" i="63" l="1"/>
  <c r="K348" i="63"/>
  <c r="C349" i="63" s="1"/>
  <c r="B349" i="63" l="1"/>
  <c r="A348" i="63"/>
  <c r="X348" i="63" s="1"/>
  <c r="E349" i="63" l="1"/>
  <c r="J349" i="63" l="1"/>
  <c r="D349" i="63"/>
  <c r="H349" i="63" s="1"/>
  <c r="I349" i="63" l="1"/>
  <c r="K349" i="63"/>
  <c r="C350" i="63" s="1"/>
  <c r="B350" i="63" l="1"/>
  <c r="A349" i="63"/>
  <c r="X349" i="63" s="1"/>
  <c r="E350" i="63" l="1"/>
  <c r="D350" i="63" l="1"/>
  <c r="H350" i="63" s="1"/>
  <c r="J350" i="63"/>
  <c r="I350" i="63" l="1"/>
  <c r="K350" i="63"/>
  <c r="C351" i="63" s="1"/>
  <c r="B351" i="63" l="1"/>
  <c r="A350" i="63"/>
  <c r="X350" i="63" s="1"/>
  <c r="E351" i="63" l="1"/>
  <c r="J351" i="63" l="1"/>
  <c r="D351" i="63"/>
  <c r="H351" i="63" s="1"/>
  <c r="I351" i="63" l="1"/>
  <c r="K351" i="63"/>
  <c r="C352" i="63" s="1"/>
  <c r="B352" i="63" l="1"/>
  <c r="A351" i="63"/>
  <c r="X351" i="63" s="1"/>
  <c r="E352" i="63" l="1"/>
  <c r="J352" i="63" l="1"/>
  <c r="D352" i="63"/>
  <c r="H352" i="63" s="1"/>
  <c r="I352" i="63" l="1"/>
  <c r="K352" i="63"/>
  <c r="C353" i="63" s="1"/>
  <c r="B353" i="63" l="1"/>
  <c r="A352" i="63"/>
  <c r="X352" i="63" s="1"/>
  <c r="E353" i="63" l="1"/>
  <c r="D353" i="63" l="1"/>
  <c r="H353" i="63" s="1"/>
  <c r="J353" i="63"/>
  <c r="I353" i="63" l="1"/>
  <c r="K353" i="63"/>
  <c r="C354" i="63" s="1"/>
  <c r="B354" i="63" l="1"/>
  <c r="A353" i="63"/>
  <c r="X353" i="63" s="1"/>
  <c r="E354" i="63" l="1"/>
  <c r="J354" i="63" l="1"/>
  <c r="D354" i="63"/>
  <c r="H354" i="63" s="1"/>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D358" i="63" l="1"/>
  <c r="H358" i="63" s="1"/>
  <c r="J358" i="63"/>
  <c r="I358" i="63" l="1"/>
  <c r="K358" i="63"/>
  <c r="C359" i="63" s="1"/>
  <c r="B359" i="63" l="1"/>
  <c r="A358" i="63"/>
  <c r="X358" i="63" s="1"/>
  <c r="E359" i="63" l="1"/>
  <c r="J359" i="63" l="1"/>
  <c r="D359" i="63"/>
  <c r="H359" i="63" s="1"/>
  <c r="I359" i="63" l="1"/>
  <c r="K359" i="63"/>
  <c r="C360" i="63" s="1"/>
  <c r="B360" i="63" l="1"/>
  <c r="A359" i="63"/>
  <c r="X359" i="63" s="1"/>
  <c r="E360" i="63" l="1"/>
  <c r="J360" i="63" l="1"/>
  <c r="D360" i="63"/>
  <c r="H360" i="63" s="1"/>
  <c r="I360" i="63" l="1"/>
  <c r="K360" i="63"/>
  <c r="C361" i="63" s="1"/>
  <c r="B361" i="63" l="1"/>
  <c r="A360" i="63"/>
  <c r="X360" i="63" s="1"/>
  <c r="E361" i="63" l="1"/>
  <c r="D361" i="63" l="1"/>
  <c r="H361" i="63" s="1"/>
  <c r="J361" i="63"/>
  <c r="I361" i="63" l="1"/>
  <c r="K361" i="63"/>
  <c r="C362" i="63" s="1"/>
  <c r="B362" i="63" l="1"/>
  <c r="A361" i="63"/>
  <c r="X361" i="63" s="1"/>
  <c r="E362" i="63" l="1"/>
  <c r="D362" i="63" l="1"/>
  <c r="H362" i="63" s="1"/>
  <c r="J362" i="63"/>
  <c r="I362" i="63" l="1"/>
  <c r="K362" i="63"/>
  <c r="C363" i="63" s="1"/>
  <c r="B363" i="63" l="1"/>
  <c r="A362" i="63"/>
  <c r="X362" i="63" s="1"/>
  <c r="E363" i="63" l="1"/>
  <c r="J363" i="63" l="1"/>
  <c r="D363" i="63"/>
  <c r="H363" i="63" s="1"/>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D366" i="63" l="1"/>
  <c r="H366" i="63" s="1"/>
  <c r="J366" i="63"/>
  <c r="I366" i="63" l="1"/>
  <c r="K366" i="63"/>
  <c r="C367" i="63" s="1"/>
  <c r="B367" i="63" l="1"/>
  <c r="A366" i="63"/>
  <c r="X366" i="63" s="1"/>
  <c r="E367" i="63" l="1"/>
  <c r="J367" i="63" l="1"/>
  <c r="D367" i="63"/>
  <c r="H367" i="63" s="1"/>
  <c r="I367" i="63" l="1"/>
  <c r="K367" i="63"/>
  <c r="C368" i="63" s="1"/>
  <c r="B368" i="63" l="1"/>
  <c r="A367" i="63"/>
  <c r="X367" i="63" s="1"/>
  <c r="E368" i="63" l="1"/>
  <c r="D368" i="63" l="1"/>
  <c r="H368" i="63" s="1"/>
  <c r="J368" i="63"/>
  <c r="I368" i="63" l="1"/>
  <c r="K368" i="63"/>
  <c r="C369" i="63" s="1"/>
  <c r="B369" i="63" l="1"/>
  <c r="A368" i="63"/>
  <c r="X368" i="63" s="1"/>
  <c r="E369" i="63" l="1"/>
  <c r="J369" i="63" l="1"/>
  <c r="D369" i="63"/>
  <c r="H369" i="63" s="1"/>
  <c r="I369" i="63" l="1"/>
  <c r="K369" i="63"/>
  <c r="C370" i="63" s="1"/>
  <c r="B370" i="63" l="1"/>
  <c r="A369" i="63"/>
  <c r="X369" i="63" s="1"/>
  <c r="E370" i="63" l="1"/>
  <c r="J370" i="63" l="1"/>
  <c r="D370" i="63"/>
  <c r="H370" i="63" s="1"/>
  <c r="I370" i="63" l="1"/>
  <c r="K370" i="63"/>
  <c r="C371" i="63" s="1"/>
  <c r="B371" i="63" l="1"/>
  <c r="A370" i="63"/>
  <c r="X370" i="63" s="1"/>
  <c r="E371" i="63" l="1"/>
  <c r="D371" i="63" l="1"/>
  <c r="H371" i="63" s="1"/>
  <c r="J371" i="63"/>
  <c r="I371" i="63" l="1"/>
  <c r="K371" i="63"/>
  <c r="C372" i="63" s="1"/>
  <c r="B372" i="63" l="1"/>
  <c r="A371" i="63"/>
  <c r="X371" i="63" s="1"/>
  <c r="E372" i="63" l="1"/>
  <c r="J372" i="63" l="1"/>
  <c r="D372" i="63"/>
  <c r="H372" i="63" s="1"/>
  <c r="I372" i="63" l="1"/>
  <c r="K372" i="63"/>
  <c r="C373" i="63" s="1"/>
  <c r="B373" i="63" l="1"/>
  <c r="A372" i="63"/>
  <c r="X372" i="63" s="1"/>
  <c r="E373" i="63" l="1"/>
  <c r="J373" i="63" l="1"/>
  <c r="D373" i="63"/>
  <c r="H373" i="63" s="1"/>
  <c r="I373" i="63" l="1"/>
  <c r="K373" i="63"/>
  <c r="C374" i="63" s="1"/>
  <c r="B374" i="63" l="1"/>
  <c r="A373" i="63"/>
  <c r="X373" i="63" s="1"/>
  <c r="E374" i="63" l="1"/>
  <c r="D374" i="63" l="1"/>
  <c r="H374" i="63" s="1"/>
  <c r="J374" i="63"/>
  <c r="I374" i="63" l="1"/>
  <c r="K374" i="63"/>
  <c r="C375" i="63" s="1"/>
  <c r="B375" i="63" l="1"/>
  <c r="A374" i="63"/>
  <c r="X374" i="63" s="1"/>
  <c r="E375" i="63" l="1"/>
  <c r="D375" i="63" l="1"/>
  <c r="H375" i="63" s="1"/>
  <c r="J375" i="63"/>
  <c r="I375" i="63" l="1"/>
  <c r="K375" i="63"/>
  <c r="C376" i="63" l="1"/>
  <c r="B376" i="63"/>
  <c r="A375" i="63"/>
  <c r="X375" i="63" s="1"/>
  <c r="E376" i="63" l="1"/>
  <c r="J376" i="63" l="1"/>
  <c r="D376" i="63"/>
  <c r="H376" i="63" s="1"/>
  <c r="I376" i="63" l="1"/>
  <c r="K376" i="63"/>
  <c r="C377" i="63" s="1"/>
  <c r="B377" i="63" l="1"/>
  <c r="A376" i="63"/>
  <c r="X376" i="63" s="1"/>
  <c r="E377" i="63" l="1"/>
  <c r="J377" i="63" l="1"/>
  <c r="D377" i="63"/>
  <c r="H377" i="63" s="1"/>
  <c r="I377" i="63" l="1"/>
  <c r="K377" i="63"/>
  <c r="C378" i="63" s="1"/>
  <c r="B378" i="63" l="1"/>
  <c r="A377" i="63"/>
  <c r="X377" i="63" s="1"/>
  <c r="E378" i="63" l="1"/>
  <c r="D378" i="63" l="1"/>
  <c r="H378" i="63" s="1"/>
  <c r="J378" i="63"/>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J387" i="63" l="1"/>
  <c r="D387" i="63"/>
  <c r="H387" i="63" s="1"/>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D390" i="63" l="1"/>
  <c r="H390" i="63" s="1"/>
  <c r="J390" i="63"/>
  <c r="I390" i="63" l="1"/>
  <c r="K390" i="63"/>
  <c r="C391" i="63" s="1"/>
  <c r="B391" i="63" l="1"/>
  <c r="A390" i="63"/>
  <c r="X390" i="63" s="1"/>
  <c r="E391" i="63" l="1"/>
  <c r="J391" i="63" l="1"/>
  <c r="D391" i="63"/>
  <c r="H391" i="63" s="1"/>
  <c r="I391" i="63" l="1"/>
  <c r="K391" i="63"/>
  <c r="C392" i="63" s="1"/>
  <c r="B392" i="63" l="1"/>
  <c r="A391" i="63"/>
  <c r="X391" i="63" s="1"/>
  <c r="E392" i="63" l="1"/>
  <c r="J392" i="63" l="1"/>
  <c r="D392" i="63"/>
  <c r="H392" i="63" s="1"/>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D395" i="63" l="1"/>
  <c r="H395" i="63" s="1"/>
  <c r="J395" i="63"/>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J400" i="63" l="1"/>
  <c r="D400" i="63"/>
  <c r="H400" i="63" s="1"/>
  <c r="I400" i="63" l="1"/>
  <c r="K400" i="63"/>
  <c r="C401" i="63" s="1"/>
  <c r="B401" i="63" l="1"/>
  <c r="A400" i="63"/>
  <c r="X400" i="63" s="1"/>
  <c r="E401" i="63" l="1"/>
  <c r="D401" i="63" l="1"/>
  <c r="H401" i="63" s="1"/>
  <c r="J401" i="63"/>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J408" i="63" l="1"/>
  <c r="D408" i="63"/>
  <c r="H408" i="63" s="1"/>
  <c r="I408" i="63" l="1"/>
  <c r="K408" i="63"/>
  <c r="C409" i="63" s="1"/>
  <c r="B409" i="63" l="1"/>
  <c r="A408" i="63"/>
  <c r="X408" i="63" s="1"/>
  <c r="E409" i="63" l="1"/>
  <c r="D409" i="63" l="1"/>
  <c r="H409" i="63" s="1"/>
  <c r="J409" i="63"/>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J412" i="63" l="1"/>
  <c r="D412" i="63"/>
  <c r="H412" i="63" s="1"/>
  <c r="I412" i="63" l="1"/>
  <c r="K412" i="63"/>
  <c r="C413" i="63" s="1"/>
  <c r="B413" i="63" l="1"/>
  <c r="A412" i="63"/>
  <c r="X412" i="63" s="1"/>
  <c r="E413" i="63" l="1"/>
  <c r="D413" i="63" l="1"/>
  <c r="H413" i="63" s="1"/>
  <c r="J413" i="63"/>
  <c r="I413" i="63" l="1"/>
  <c r="K413" i="63"/>
  <c r="C414" i="63" s="1"/>
  <c r="B414" i="63" l="1"/>
  <c r="A413" i="63"/>
  <c r="X413" i="63" s="1"/>
  <c r="E414" i="63" l="1"/>
  <c r="J414" i="63" l="1"/>
  <c r="D414" i="63"/>
  <c r="H414" i="63" s="1"/>
  <c r="I414" i="63" l="1"/>
  <c r="K414" i="63"/>
  <c r="C415" i="63" s="1"/>
  <c r="B415" i="63" l="1"/>
  <c r="A414" i="63"/>
  <c r="X414" i="63" s="1"/>
  <c r="E415" i="63" l="1"/>
  <c r="D415" i="63" l="1"/>
  <c r="H415" i="63" s="1"/>
  <c r="J415" i="63"/>
  <c r="I415" i="63" l="1"/>
  <c r="K415" i="63"/>
  <c r="C416" i="63" s="1"/>
  <c r="B416" i="63" l="1"/>
  <c r="A415" i="63"/>
  <c r="X415" i="63" s="1"/>
  <c r="E416" i="63" l="1"/>
  <c r="J416" i="63" l="1"/>
  <c r="D416" i="63"/>
  <c r="H416" i="63" s="1"/>
  <c r="I416" i="63" l="1"/>
  <c r="K416" i="63"/>
  <c r="C417" i="63" s="1"/>
  <c r="B417" i="63" l="1"/>
  <c r="A416" i="63"/>
  <c r="X416" i="63" s="1"/>
  <c r="E417" i="63" l="1"/>
  <c r="J417" i="63" l="1"/>
  <c r="D417" i="63"/>
  <c r="H417" i="63" s="1"/>
  <c r="I417" i="63" l="1"/>
  <c r="K417" i="63"/>
  <c r="C418" i="63" s="1"/>
  <c r="B418" i="63" l="1"/>
  <c r="A417" i="63"/>
  <c r="X417" i="63" s="1"/>
  <c r="E418" i="63" l="1"/>
  <c r="D418" i="63" l="1"/>
  <c r="H418" i="63" s="1"/>
  <c r="J418" i="63"/>
  <c r="I418" i="63" l="1"/>
  <c r="K418" i="63"/>
  <c r="C419" i="63" s="1"/>
  <c r="B419" i="63" l="1"/>
  <c r="A418" i="63"/>
  <c r="X418" i="63" s="1"/>
  <c r="E419" i="63" l="1"/>
  <c r="J419" i="63" l="1"/>
  <c r="D419" i="63"/>
  <c r="H419" i="63" s="1"/>
  <c r="I419" i="63" l="1"/>
  <c r="K419" i="63"/>
  <c r="C420" i="63" s="1"/>
  <c r="B420" i="63" l="1"/>
  <c r="A419" i="63"/>
  <c r="X419" i="63" s="1"/>
  <c r="E420" i="63" l="1"/>
  <c r="D420" i="63" l="1"/>
  <c r="H420" i="63" s="1"/>
  <c r="J420" i="63"/>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J425" i="63" l="1"/>
  <c r="D425" i="63"/>
  <c r="H425" i="63" s="1"/>
  <c r="I425" i="63" l="1"/>
  <c r="K425" i="63"/>
  <c r="C426" i="63" s="1"/>
  <c r="B426" i="63" l="1"/>
  <c r="A425" i="63"/>
  <c r="X425" i="63" s="1"/>
  <c r="E426" i="63" l="1"/>
  <c r="D426" i="63" l="1"/>
  <c r="H426" i="63" s="1"/>
  <c r="J426" i="63"/>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J429" i="63" l="1"/>
  <c r="D429" i="63"/>
  <c r="H429" i="63" s="1"/>
  <c r="I429" i="63" l="1"/>
  <c r="K429" i="63"/>
  <c r="C430" i="63" s="1"/>
  <c r="B430" i="63" l="1"/>
  <c r="A429" i="63"/>
  <c r="X429" i="63" s="1"/>
  <c r="E430" i="63" l="1"/>
  <c r="D430" i="63" l="1"/>
  <c r="H430" i="63" s="1"/>
  <c r="J430" i="63"/>
  <c r="I430" i="63" l="1"/>
  <c r="K430" i="63"/>
  <c r="C431" i="63" s="1"/>
  <c r="B431" i="63" l="1"/>
  <c r="A430" i="63"/>
  <c r="X430" i="63" s="1"/>
  <c r="E431" i="63" l="1"/>
  <c r="D431" i="63" l="1"/>
  <c r="H431" i="63" s="1"/>
  <c r="J431" i="63"/>
  <c r="I431" i="63" l="1"/>
  <c r="K431" i="63"/>
  <c r="C432" i="63" s="1"/>
  <c r="B432" i="63" l="1"/>
  <c r="A431" i="63"/>
  <c r="X431" i="63" s="1"/>
  <c r="E432" i="63" l="1"/>
  <c r="J432" i="63" l="1"/>
  <c r="D432" i="63"/>
  <c r="H432" i="63" s="1"/>
  <c r="I432" i="63" l="1"/>
  <c r="K432" i="63"/>
  <c r="C433" i="63" s="1"/>
  <c r="B433" i="63" l="1"/>
  <c r="A432" i="63"/>
  <c r="X432" i="63" s="1"/>
  <c r="E433" i="63" l="1"/>
  <c r="J433" i="63" l="1"/>
  <c r="D433" i="63"/>
  <c r="H433" i="63" s="1"/>
  <c r="I433" i="63" l="1"/>
  <c r="K433" i="63"/>
  <c r="C434" i="63" s="1"/>
  <c r="B434" i="63" l="1"/>
  <c r="A433" i="63"/>
  <c r="X433" i="63" s="1"/>
  <c r="E434" i="63" l="1"/>
  <c r="D434" i="63" l="1"/>
  <c r="H434" i="63" s="1"/>
  <c r="J434" i="63"/>
  <c r="I434" i="63" l="1"/>
  <c r="K434" i="63"/>
  <c r="C435" i="63" s="1"/>
  <c r="B435" i="63" l="1"/>
  <c r="A434" i="63"/>
  <c r="X434" i="63" s="1"/>
  <c r="E435" i="63" l="1"/>
  <c r="J435" i="63" l="1"/>
  <c r="D435" i="63"/>
  <c r="H435" i="63" s="1"/>
  <c r="I435" i="63" l="1"/>
  <c r="K435" i="63"/>
  <c r="C436" i="63" s="1"/>
  <c r="B436" i="63" l="1"/>
  <c r="A435" i="63"/>
  <c r="X435" i="63" s="1"/>
  <c r="E436" i="63" l="1"/>
  <c r="D436" i="63" l="1"/>
  <c r="H436" i="63" s="1"/>
  <c r="J436" i="63"/>
  <c r="I436" i="63" l="1"/>
  <c r="K436" i="63"/>
  <c r="C437" i="63" s="1"/>
  <c r="B437" i="63" l="1"/>
  <c r="A436" i="63"/>
  <c r="X436" i="63" s="1"/>
  <c r="E437" i="63" l="1"/>
  <c r="J437" i="63" l="1"/>
  <c r="D437" i="63"/>
  <c r="H437" i="63" s="1"/>
  <c r="I437" i="63" l="1"/>
  <c r="K437" i="63"/>
  <c r="C438" i="63" s="1"/>
  <c r="B438" i="63" l="1"/>
  <c r="A437" i="63"/>
  <c r="X437" i="63" s="1"/>
  <c r="E438" i="63" l="1"/>
  <c r="D438" i="63" l="1"/>
  <c r="H438" i="63" s="1"/>
  <c r="J438" i="63"/>
  <c r="I438" i="63" l="1"/>
  <c r="K438" i="63"/>
  <c r="C439" i="63" s="1"/>
  <c r="B439" i="63" l="1"/>
  <c r="A438" i="63"/>
  <c r="X438" i="63" s="1"/>
  <c r="E439" i="63" l="1"/>
  <c r="D439" i="63" l="1"/>
  <c r="H439" i="63" s="1"/>
  <c r="J439" i="63"/>
  <c r="I439" i="63" l="1"/>
  <c r="K439" i="63"/>
  <c r="C440" i="63" s="1"/>
  <c r="B440" i="63" l="1"/>
  <c r="A439" i="63"/>
  <c r="X439" i="63" s="1"/>
  <c r="E440" i="63" l="1"/>
  <c r="J440" i="63" l="1"/>
  <c r="D440" i="63"/>
  <c r="H440" i="63" s="1"/>
  <c r="I440" i="63" l="1"/>
  <c r="K440" i="63"/>
  <c r="C441" i="63" s="1"/>
  <c r="B441" i="63" l="1"/>
  <c r="A440" i="63"/>
  <c r="X440" i="63" s="1"/>
  <c r="E441" i="63" l="1"/>
  <c r="J441" i="63" l="1"/>
  <c r="D441" i="63"/>
  <c r="H441" i="63" s="1"/>
  <c r="I441" i="63" l="1"/>
  <c r="K441" i="63"/>
  <c r="C442" i="63" s="1"/>
  <c r="B442" i="63" l="1"/>
  <c r="A441" i="63"/>
  <c r="X441" i="63" s="1"/>
  <c r="E442" i="63" l="1"/>
  <c r="D442" i="63" l="1"/>
  <c r="H442" i="63" s="1"/>
  <c r="J442" i="63"/>
  <c r="I442" i="63" l="1"/>
  <c r="K442" i="63"/>
  <c r="C443" i="63" s="1"/>
  <c r="B443" i="63" l="1"/>
  <c r="A442" i="63"/>
  <c r="X442" i="63" s="1"/>
  <c r="E443" i="63" l="1"/>
  <c r="J443" i="63" l="1"/>
  <c r="D443" i="63"/>
  <c r="H443" i="63" s="1"/>
  <c r="I443" i="63" l="1"/>
  <c r="K443" i="63"/>
  <c r="C444" i="63" s="1"/>
  <c r="B444" i="63" l="1"/>
  <c r="A443" i="63"/>
  <c r="X443" i="63" s="1"/>
  <c r="E444" i="63" l="1"/>
  <c r="D444" i="63" l="1"/>
  <c r="H444" i="63" s="1"/>
  <c r="J444" i="63"/>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J447" i="63" l="1"/>
  <c r="D447" i="63"/>
  <c r="H447" i="63" s="1"/>
  <c r="I447" i="63" l="1"/>
  <c r="K447" i="63"/>
  <c r="C448" i="63" s="1"/>
  <c r="B448" i="63" l="1"/>
  <c r="A447" i="63"/>
  <c r="X447" i="63" s="1"/>
  <c r="E448" i="63" l="1"/>
  <c r="D448" i="63" l="1"/>
  <c r="H448" i="63" s="1"/>
  <c r="J448" i="63"/>
  <c r="I448" i="63" l="1"/>
  <c r="K448" i="63"/>
  <c r="C449" i="63" s="1"/>
  <c r="B449" i="63" l="1"/>
  <c r="A448" i="63"/>
  <c r="X448" i="63" s="1"/>
  <c r="E449" i="63" l="1"/>
  <c r="D449" i="63" l="1"/>
  <c r="H449" i="63" s="1"/>
  <c r="J449" i="63"/>
  <c r="I449" i="63" l="1"/>
  <c r="K449" i="63"/>
  <c r="C450" i="63" s="1"/>
  <c r="B450" i="63" l="1"/>
  <c r="A449" i="63"/>
  <c r="X449" i="63" s="1"/>
  <c r="E450" i="63" l="1"/>
  <c r="J450" i="63" l="1"/>
  <c r="D450" i="63"/>
  <c r="H450" i="63" s="1"/>
  <c r="I450" i="63" l="1"/>
  <c r="K450" i="63"/>
  <c r="C451" i="63" s="1"/>
  <c r="B451" i="63" l="1"/>
  <c r="A450" i="63"/>
  <c r="X450" i="63" s="1"/>
  <c r="E451" i="63" l="1"/>
  <c r="J451" i="63" l="1"/>
  <c r="D451" i="63"/>
  <c r="H451" i="63" s="1"/>
  <c r="I451" i="63" l="1"/>
  <c r="K451" i="63"/>
  <c r="C452" i="63" s="1"/>
  <c r="B452" i="63" l="1"/>
  <c r="A451" i="63"/>
  <c r="X451" i="63" s="1"/>
  <c r="E452" i="63" l="1"/>
  <c r="D452" i="63" l="1"/>
  <c r="H452" i="63" s="1"/>
  <c r="J452" i="63"/>
  <c r="I452" i="63" l="1"/>
  <c r="K452" i="63"/>
  <c r="C453" i="63" s="1"/>
  <c r="B453" i="63" l="1"/>
  <c r="A452" i="63"/>
  <c r="X452" i="63" s="1"/>
  <c r="E453" i="63" l="1"/>
  <c r="J453" i="63" l="1"/>
  <c r="D453" i="63"/>
  <c r="H453" i="63" s="1"/>
  <c r="I453" i="63" l="1"/>
  <c r="K453" i="63"/>
  <c r="C454" i="63" s="1"/>
  <c r="B454" i="63" l="1"/>
  <c r="A453" i="63"/>
  <c r="X453" i="63" s="1"/>
  <c r="E454" i="63" l="1"/>
  <c r="D454" i="63" l="1"/>
  <c r="H454" i="63" s="1"/>
  <c r="J454" i="63"/>
  <c r="I454" i="63" l="1"/>
  <c r="K454" i="63"/>
  <c r="C455" i="63" s="1"/>
  <c r="B455" i="63" l="1"/>
  <c r="A454" i="63"/>
  <c r="X454" i="63" s="1"/>
  <c r="E455" i="63" l="1"/>
  <c r="J455" i="63" l="1"/>
  <c r="D455" i="63"/>
  <c r="H455" i="63" s="1"/>
  <c r="I455" i="63" l="1"/>
  <c r="K455" i="63"/>
  <c r="C456" i="63" s="1"/>
  <c r="B456" i="63" l="1"/>
  <c r="A455" i="63"/>
  <c r="X455" i="63" s="1"/>
  <c r="E456" i="63" l="1"/>
  <c r="D456" i="63" l="1"/>
  <c r="H456" i="63" s="1"/>
  <c r="J456" i="63"/>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J465" i="63" l="1"/>
  <c r="D465" i="63"/>
  <c r="H465" i="63" s="1"/>
  <c r="I465" i="63" l="1"/>
  <c r="K465" i="63"/>
  <c r="C466" i="63" s="1"/>
  <c r="B466" i="63" l="1"/>
  <c r="A465" i="63"/>
  <c r="X465" i="63" s="1"/>
  <c r="E466" i="63" l="1"/>
  <c r="D466" i="63" l="1"/>
  <c r="H466" i="63" s="1"/>
  <c r="J466" i="63"/>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J472" i="63" l="1"/>
  <c r="D472" i="63"/>
  <c r="H472" i="63" s="1"/>
  <c r="I472" i="63" l="1"/>
  <c r="K472" i="63"/>
  <c r="C473" i="63" s="1"/>
  <c r="B473" i="63" l="1"/>
  <c r="A472" i="63"/>
  <c r="X472" i="63" s="1"/>
  <c r="E473" i="63" l="1"/>
  <c r="D473" i="63" l="1"/>
  <c r="H473" i="63" s="1"/>
  <c r="J473" i="63"/>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J483" i="63" l="1"/>
  <c r="D483" i="63"/>
  <c r="H483" i="63" s="1"/>
  <c r="I483" i="63" l="1"/>
  <c r="K483" i="63"/>
  <c r="C484" i="63" s="1"/>
  <c r="B484" i="63" l="1"/>
  <c r="A483" i="63"/>
  <c r="X483" i="63" s="1"/>
  <c r="E484" i="63" l="1"/>
  <c r="D484" i="63" l="1"/>
  <c r="H484" i="63" s="1"/>
  <c r="J484" i="63"/>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J489" i="63" l="1"/>
  <c r="D489" i="63"/>
  <c r="H489" i="63" s="1"/>
  <c r="I489" i="63" l="1"/>
  <c r="K489" i="63"/>
  <c r="C490" i="63" s="1"/>
  <c r="B490" i="63" l="1"/>
  <c r="A489" i="63"/>
  <c r="X489" i="63" s="1"/>
  <c r="E490" i="63" l="1"/>
  <c r="D490" i="63" l="1"/>
  <c r="H490" i="63" s="1"/>
  <c r="J490" i="63"/>
  <c r="I490" i="63" l="1"/>
  <c r="K490" i="63"/>
  <c r="C491" i="63" s="1"/>
  <c r="B491" i="63" l="1"/>
  <c r="A490" i="63"/>
  <c r="X490" i="63" s="1"/>
  <c r="E491" i="63" l="1"/>
  <c r="J491" i="63" l="1"/>
  <c r="D491" i="63"/>
  <c r="H491" i="63" s="1"/>
  <c r="I491" i="63" l="1"/>
  <c r="K491" i="63"/>
  <c r="A491" i="63" s="1"/>
  <c r="X491" i="63" s="1"/>
  <c r="K1" i="33" l="1"/>
  <c r="N16" i="63" l="1"/>
  <c r="W16" i="63" s="1"/>
  <c r="AU16" i="63"/>
  <c r="AV16" i="63" s="1"/>
  <c r="O8" i="63"/>
  <c r="T11" i="63" s="1"/>
  <c r="O17" i="63" l="1"/>
  <c r="AN17" i="63" s="1"/>
  <c r="AS17" i="63" s="1"/>
  <c r="N17" i="63"/>
  <c r="AO16" i="63"/>
  <c r="R17" i="63" l="1"/>
  <c r="M17" i="63"/>
  <c r="Q17" i="63"/>
  <c r="L17" i="63" l="1"/>
  <c r="Z17" i="63" s="1"/>
  <c r="V17" i="63"/>
  <c r="P17" i="63"/>
  <c r="AM17" i="63" l="1"/>
  <c r="S17" i="63"/>
  <c r="T17" i="63" s="1"/>
  <c r="U17" i="63"/>
  <c r="W17" i="63"/>
  <c r="O18" i="63" l="1"/>
  <c r="AO17" i="63"/>
  <c r="AT17" i="63"/>
  <c r="N18" i="63"/>
  <c r="AU17" i="63"/>
  <c r="AV17" i="63" s="1"/>
  <c r="Q18" i="63" l="1"/>
  <c r="V18" i="63" s="1"/>
  <c r="M18" i="63"/>
  <c r="AN18" i="63"/>
  <c r="AS18" i="63" s="1"/>
  <c r="R18" i="63"/>
  <c r="L18" i="63" l="1"/>
  <c r="Z18" i="63" s="1"/>
  <c r="P18" i="63"/>
  <c r="S18" i="63" s="1"/>
  <c r="T18" i="63" s="1"/>
  <c r="AM18" i="63" l="1"/>
  <c r="W18" i="63"/>
  <c r="AT18" i="63" s="1"/>
  <c r="U18" i="63"/>
  <c r="O19" i="63"/>
  <c r="AU18" i="63"/>
  <c r="AV18" i="63" s="1"/>
  <c r="N19" i="63"/>
  <c r="AO18" i="63" l="1"/>
  <c r="Q19" i="63"/>
  <c r="V19" i="63" s="1"/>
  <c r="M19" i="63"/>
  <c r="AN19" i="63"/>
  <c r="AS19" i="63" s="1"/>
  <c r="R19" i="63"/>
  <c r="L19" i="63" l="1"/>
  <c r="AM19" i="63" s="1"/>
  <c r="P19" i="63"/>
  <c r="U19" i="63" s="1"/>
  <c r="Z19" i="63" l="1"/>
  <c r="W19" i="63"/>
  <c r="AO19" i="63" s="1"/>
  <c r="S19" i="63"/>
  <c r="T19" i="63" s="1"/>
  <c r="O20" i="63"/>
  <c r="AU19" i="63"/>
  <c r="AV19" i="63" s="1"/>
  <c r="AT19" i="63"/>
  <c r="N20" i="63"/>
  <c r="Q20" i="63" l="1"/>
  <c r="V20" i="63" s="1"/>
  <c r="M20" i="63"/>
  <c r="R20" i="63"/>
  <c r="AN20" i="63"/>
  <c r="AS20" i="63" s="1"/>
  <c r="L20" i="63" l="1"/>
  <c r="Z20" i="63" s="1"/>
  <c r="P20" i="63"/>
  <c r="S20" i="63" s="1"/>
  <c r="T20" i="63" s="1"/>
  <c r="W20" i="63" l="1"/>
  <c r="N21" i="63" s="1"/>
  <c r="AM20" i="63"/>
  <c r="U20" i="63"/>
  <c r="O21" i="63"/>
  <c r="AU20" i="63" l="1"/>
  <c r="AV20" i="63" s="1"/>
  <c r="AT20" i="63"/>
  <c r="AO20" i="63"/>
  <c r="Q21" i="63"/>
  <c r="V21" i="63" s="1"/>
  <c r="M21" i="63"/>
  <c r="R21" i="63"/>
  <c r="AN21" i="63"/>
  <c r="AS21" i="63" s="1"/>
  <c r="L21" i="63" l="1"/>
  <c r="Z21" i="63" s="1"/>
  <c r="P21" i="63"/>
  <c r="W21" i="63" s="1"/>
  <c r="AM21" i="63" l="1"/>
  <c r="S21" i="63"/>
  <c r="T21" i="63" s="1"/>
  <c r="U21" i="63"/>
  <c r="AO21" i="63" s="1"/>
  <c r="O22" i="63"/>
  <c r="N22" i="63"/>
  <c r="AU21" i="63"/>
  <c r="AV21" i="63" s="1"/>
  <c r="AT21" i="63"/>
  <c r="Q22" i="63" l="1"/>
  <c r="V22" i="63" s="1"/>
  <c r="M22" i="63"/>
  <c r="L22" i="63" s="1"/>
  <c r="R22" i="63"/>
  <c r="AN22" i="63"/>
  <c r="AS22" i="63" s="1"/>
  <c r="P22" i="63" l="1"/>
  <c r="W22" i="63" s="1"/>
  <c r="Z22" i="63"/>
  <c r="AM22" i="63"/>
  <c r="S22" i="63" l="1"/>
  <c r="T22" i="63" s="1"/>
  <c r="U22" i="63"/>
  <c r="AO22" i="63" s="1"/>
  <c r="O23" i="63"/>
  <c r="AT22" i="63"/>
  <c r="AU22" i="63"/>
  <c r="AV22" i="63" s="1"/>
  <c r="N23" i="63"/>
  <c r="Q23" i="63" l="1"/>
  <c r="V23" i="63" s="1"/>
  <c r="M23" i="63"/>
  <c r="L23" i="63" s="1"/>
  <c r="R23" i="63"/>
  <c r="AN23" i="63"/>
  <c r="AS23" i="63" s="1"/>
  <c r="P23" i="63" l="1"/>
  <c r="W23" i="63" s="1"/>
  <c r="Z23" i="63"/>
  <c r="AM23" i="63"/>
  <c r="U23" i="63" l="1"/>
  <c r="AO23" i="63" s="1"/>
  <c r="S23" i="63"/>
  <c r="T23" i="63" s="1"/>
  <c r="O24" i="63"/>
  <c r="AT23" i="63"/>
  <c r="AU23" i="63"/>
  <c r="AV23" i="63" s="1"/>
  <c r="N24" i="63"/>
  <c r="R24" i="63" l="1"/>
  <c r="AN24" i="63"/>
  <c r="AS24" i="63" s="1"/>
  <c r="Q24" i="63"/>
  <c r="V24" i="63" s="1"/>
  <c r="M24" i="63"/>
  <c r="L24" i="63" s="1"/>
  <c r="P24" i="63" l="1"/>
  <c r="Z24" i="63"/>
  <c r="AM24" i="63"/>
  <c r="W24" i="63" l="1"/>
  <c r="U24" i="63"/>
  <c r="S24" i="63"/>
  <c r="T24" i="63" s="1"/>
  <c r="AO24" i="63" l="1"/>
  <c r="O25" i="63"/>
  <c r="N25" i="63"/>
  <c r="AT24" i="63"/>
  <c r="AU24" i="63"/>
  <c r="AV24" i="63" s="1"/>
  <c r="Q25" i="63" l="1"/>
  <c r="V25" i="63" s="1"/>
  <c r="M25" i="63"/>
  <c r="L25" i="63" s="1"/>
  <c r="R25" i="63"/>
  <c r="AN25" i="63"/>
  <c r="AS25" i="63" s="1"/>
  <c r="P25" i="63" l="1"/>
  <c r="U25" i="63" s="1"/>
  <c r="Z25" i="63"/>
  <c r="AM25" i="63"/>
  <c r="W25" i="63" l="1"/>
  <c r="AT25" i="63" s="1"/>
  <c r="S25" i="63"/>
  <c r="T25" i="63" s="1"/>
  <c r="O26" i="63"/>
  <c r="AO25" i="63" l="1"/>
  <c r="AU25" i="63"/>
  <c r="AV25" i="63" s="1"/>
  <c r="N26" i="63"/>
  <c r="M26" i="63" s="1"/>
  <c r="L26" i="63" s="1"/>
  <c r="Q26" i="63"/>
  <c r="V26" i="63" s="1"/>
  <c r="R26" i="63"/>
  <c r="AN26" i="63"/>
  <c r="AS26" i="63" s="1"/>
  <c r="P26" i="63" l="1"/>
  <c r="S26" i="63" s="1"/>
  <c r="T26" i="63" s="1"/>
  <c r="Z26" i="63"/>
  <c r="AM26" i="63"/>
  <c r="W26" i="63" l="1"/>
  <c r="N27" i="63" s="1"/>
  <c r="U26" i="63"/>
  <c r="O27" i="63"/>
  <c r="AU26" i="63" l="1"/>
  <c r="AV26" i="63" s="1"/>
  <c r="AT26" i="63"/>
  <c r="AO26" i="63"/>
  <c r="Q27" i="63"/>
  <c r="V27" i="63" s="1"/>
  <c r="M27" i="63"/>
  <c r="L27" i="63" s="1"/>
  <c r="AN27" i="63"/>
  <c r="AS27" i="63" s="1"/>
  <c r="R27" i="63"/>
  <c r="P27" i="63" l="1"/>
  <c r="S27" i="63" s="1"/>
  <c r="T27" i="63" s="1"/>
  <c r="Z27" i="63"/>
  <c r="AM27" i="63"/>
  <c r="U27" i="63" l="1"/>
  <c r="W27" i="63"/>
  <c r="N28" i="63" s="1"/>
  <c r="O28" i="63" l="1"/>
  <c r="AN28" i="63" s="1"/>
  <c r="AS28" i="63" s="1"/>
  <c r="AO27" i="63"/>
  <c r="AU27" i="63"/>
  <c r="AV27" i="63" s="1"/>
  <c r="AT27" i="63"/>
  <c r="Q28" i="63"/>
  <c r="V28" i="63" s="1"/>
  <c r="M28" i="63"/>
  <c r="L28" i="63" s="1"/>
  <c r="R28" i="63" l="1"/>
  <c r="P28" i="63"/>
  <c r="U28" i="63" s="1"/>
  <c r="Z28" i="63"/>
  <c r="AM28" i="63"/>
  <c r="W28" i="63" l="1"/>
  <c r="N29" i="63" s="1"/>
  <c r="S28" i="63"/>
  <c r="T28" i="63" s="1"/>
  <c r="AU28" i="63" l="1"/>
  <c r="AV28" i="63" s="1"/>
  <c r="O29" i="63"/>
  <c r="AT28" i="63"/>
  <c r="AO28" i="63"/>
  <c r="Q29" i="63"/>
  <c r="V29" i="63" s="1"/>
  <c r="M29" i="63"/>
  <c r="L29" i="63" s="1"/>
  <c r="R29" i="63"/>
  <c r="AN29" i="63"/>
  <c r="AS29" i="63" s="1"/>
  <c r="P29" i="63" l="1"/>
  <c r="W29" i="63" s="1"/>
  <c r="Z29" i="63"/>
  <c r="AM29" i="63"/>
  <c r="U29" i="63" l="1"/>
  <c r="AO29" i="63" s="1"/>
  <c r="S29" i="63"/>
  <c r="T29" i="63" s="1"/>
  <c r="O30" i="63"/>
  <c r="AT29" i="63"/>
  <c r="AU29" i="63"/>
  <c r="AV29" i="63" s="1"/>
  <c r="N30" i="63"/>
  <c r="Q30" i="63" l="1"/>
  <c r="V30" i="63" s="1"/>
  <c r="M30" i="63"/>
  <c r="L30" i="63" s="1"/>
  <c r="AN30" i="63"/>
  <c r="AS30" i="63" s="1"/>
  <c r="R30" i="63"/>
  <c r="P30" i="63" l="1"/>
  <c r="U30" i="63" s="1"/>
  <c r="Z30" i="63"/>
  <c r="AM30" i="63"/>
  <c r="W30" i="63" l="1"/>
  <c r="O31" i="63" s="1"/>
  <c r="S30" i="63"/>
  <c r="T30" i="63" s="1"/>
  <c r="AT30" i="63" l="1"/>
  <c r="AO30" i="63"/>
  <c r="N31" i="63"/>
  <c r="AU30" i="63"/>
  <c r="AV30" i="63" s="1"/>
  <c r="Q31" i="63"/>
  <c r="V31" i="63" s="1"/>
  <c r="M31" i="63"/>
  <c r="L31" i="63" s="1"/>
  <c r="AN31" i="63"/>
  <c r="AS31" i="63" s="1"/>
  <c r="R31" i="63"/>
  <c r="P31" i="63" l="1"/>
  <c r="U31" i="63" s="1"/>
  <c r="Z31" i="63"/>
  <c r="AM31" i="63"/>
  <c r="W31" i="63" l="1"/>
  <c r="O32" i="63" s="1"/>
  <c r="S31" i="63"/>
  <c r="T31" i="63" s="1"/>
  <c r="AU31" i="63" l="1"/>
  <c r="AV31" i="63" s="1"/>
  <c r="AO31" i="63"/>
  <c r="N32" i="63"/>
  <c r="Q32" i="63" s="1"/>
  <c r="V32" i="63" s="1"/>
  <c r="AT31" i="63"/>
  <c r="AN32" i="63"/>
  <c r="AS32" i="63" s="1"/>
  <c r="R32" i="63"/>
  <c r="M32" i="63" l="1"/>
  <c r="L32" i="63" s="1"/>
  <c r="Z32" i="63" s="1"/>
  <c r="P32" i="63"/>
  <c r="W32" i="63" s="1"/>
  <c r="AM32" i="63" l="1"/>
  <c r="S32" i="63"/>
  <c r="T32" i="63" s="1"/>
  <c r="U32" i="63"/>
  <c r="AO32" i="63" s="1"/>
  <c r="O33" i="63"/>
  <c r="AU32" i="63"/>
  <c r="AV32" i="63" s="1"/>
  <c r="AT32" i="63"/>
  <c r="N33" i="63"/>
  <c r="Q33" i="63" l="1"/>
  <c r="V33" i="63" s="1"/>
  <c r="M33" i="63"/>
  <c r="L33" i="63" s="1"/>
  <c r="AN33" i="63"/>
  <c r="AS33" i="63" s="1"/>
  <c r="R33" i="63"/>
  <c r="P33" i="63" l="1"/>
  <c r="U33" i="63" s="1"/>
  <c r="Z33" i="63"/>
  <c r="AM33" i="63"/>
  <c r="W33" i="63" l="1"/>
  <c r="O34" i="63" s="1"/>
  <c r="S33" i="63"/>
  <c r="T33" i="63" s="1"/>
  <c r="AO33" i="63" l="1"/>
  <c r="N34" i="63"/>
  <c r="Q34" i="63" s="1"/>
  <c r="V34" i="63" s="1"/>
  <c r="AT33" i="63"/>
  <c r="AU33" i="63"/>
  <c r="AV33" i="63" s="1"/>
  <c r="R34" i="63"/>
  <c r="AN34" i="63"/>
  <c r="AS34" i="63" s="1"/>
  <c r="M34" i="63" l="1"/>
  <c r="L34" i="63" s="1"/>
  <c r="Z34" i="63" s="1"/>
  <c r="P34" i="63"/>
  <c r="S34" i="63" s="1"/>
  <c r="T34" i="63" s="1"/>
  <c r="AM34" i="63" l="1"/>
  <c r="W34" i="63"/>
  <c r="O35" i="63" s="1"/>
  <c r="U34" i="63"/>
  <c r="AU34" i="63" l="1"/>
  <c r="AV34" i="63" s="1"/>
  <c r="AO34" i="63"/>
  <c r="AT34" i="63"/>
  <c r="N35" i="63"/>
  <c r="Q35" i="63" s="1"/>
  <c r="V35" i="63" s="1"/>
  <c r="R35" i="63"/>
  <c r="AN35" i="63"/>
  <c r="AS35" i="63" s="1"/>
  <c r="M35" i="63" l="1"/>
  <c r="L35" i="63" s="1"/>
  <c r="Z35" i="63" s="1"/>
  <c r="P35" i="63"/>
  <c r="U35" i="63" s="1"/>
  <c r="AM35" i="63" l="1"/>
  <c r="W35" i="63"/>
  <c r="AU35" i="63" s="1"/>
  <c r="AV35" i="63" s="1"/>
  <c r="S35" i="63"/>
  <c r="T35" i="63" s="1"/>
  <c r="O36" i="63"/>
  <c r="N36" i="63" l="1"/>
  <c r="M36" i="63" s="1"/>
  <c r="L36" i="63" s="1"/>
  <c r="AO35" i="63"/>
  <c r="AT35" i="63"/>
  <c r="AN36" i="63"/>
  <c r="AS36" i="63" s="1"/>
  <c r="R36" i="63"/>
  <c r="Q36" i="63" l="1"/>
  <c r="V36" i="63" s="1"/>
  <c r="Z36" i="63"/>
  <c r="AM36" i="63"/>
  <c r="P36" i="63" l="1"/>
  <c r="S36" i="63" s="1"/>
  <c r="T36" i="63" s="1"/>
  <c r="W36" i="63" l="1"/>
  <c r="U36" i="63"/>
  <c r="AO36" i="63" l="1"/>
  <c r="N37" i="63"/>
  <c r="AT36" i="63"/>
  <c r="AU36" i="63"/>
  <c r="AV36" i="63" s="1"/>
  <c r="O37" i="63"/>
  <c r="AN37" i="63" s="1"/>
  <c r="AS37" i="63" s="1"/>
  <c r="R37" i="63" l="1"/>
  <c r="M37" i="63"/>
  <c r="L37" i="63" s="1"/>
  <c r="Q37" i="63"/>
  <c r="V37" i="63" l="1"/>
  <c r="P37" i="63"/>
  <c r="Z37" i="63"/>
  <c r="AM37" i="63"/>
  <c r="S37" i="63" l="1"/>
  <c r="T37" i="63" s="1"/>
  <c r="W37" i="63"/>
  <c r="U37" i="63"/>
  <c r="N38" i="63" l="1"/>
  <c r="AT37" i="63"/>
  <c r="AU37" i="63"/>
  <c r="AV37" i="63" s="1"/>
  <c r="O38" i="63"/>
  <c r="AO37" i="63"/>
  <c r="AN38" i="63" l="1"/>
  <c r="AS38" i="63" s="1"/>
  <c r="R38" i="63"/>
  <c r="Q38" i="63"/>
  <c r="V38" i="63" s="1"/>
  <c r="M38" i="63"/>
  <c r="L38" i="63" s="1"/>
  <c r="AM38" i="63" l="1"/>
  <c r="Z38" i="63"/>
  <c r="P38" i="63"/>
  <c r="W38" i="63" l="1"/>
  <c r="U38" i="63"/>
  <c r="S38" i="63"/>
  <c r="T38" i="63" s="1"/>
  <c r="N39" i="63" l="1"/>
  <c r="AT38" i="63"/>
  <c r="AO38" i="63"/>
  <c r="AU38" i="63"/>
  <c r="AV38" i="63" s="1"/>
  <c r="O39" i="63"/>
  <c r="R39" i="63" l="1"/>
  <c r="AN39" i="63"/>
  <c r="AS39" i="63" s="1"/>
  <c r="M39" i="63"/>
  <c r="L39" i="63" s="1"/>
  <c r="Q39" i="63"/>
  <c r="V39" i="63" s="1"/>
  <c r="Z39" i="63" l="1"/>
  <c r="AM39" i="63"/>
  <c r="P39" i="63"/>
  <c r="S39" i="63" l="1"/>
  <c r="T39" i="63" s="1"/>
  <c r="W39" i="63"/>
  <c r="U39" i="63"/>
  <c r="AU39" i="63" l="1"/>
  <c r="AV39" i="63" s="1"/>
  <c r="O40" i="63"/>
  <c r="AT39" i="63"/>
  <c r="AO39" i="63"/>
  <c r="N40" i="63"/>
  <c r="M40" i="63" l="1"/>
  <c r="L40" i="63" s="1"/>
  <c r="Q40" i="63"/>
  <c r="V40" i="63" s="1"/>
  <c r="R40" i="63"/>
  <c r="AN40" i="63"/>
  <c r="AS40" i="63" s="1"/>
  <c r="P40" i="63" l="1"/>
  <c r="W40" i="63" s="1"/>
  <c r="AU40" i="63" s="1"/>
  <c r="AV40" i="63" s="1"/>
  <c r="Z40" i="63"/>
  <c r="AM40" i="63"/>
  <c r="U40" i="63" l="1"/>
  <c r="AO40" i="63" s="1"/>
  <c r="S40" i="63"/>
  <c r="T40" i="63" s="1"/>
  <c r="AT40" i="63"/>
  <c r="N41" i="63"/>
  <c r="O41" i="63"/>
  <c r="R41" i="63" s="1"/>
  <c r="M41" i="63"/>
  <c r="L41" i="63" s="1"/>
  <c r="Q41" i="63"/>
  <c r="V41" i="63" s="1"/>
  <c r="AN41" i="63" l="1"/>
  <c r="AS41" i="63" s="1"/>
  <c r="P41" i="63"/>
  <c r="U41" i="63" s="1"/>
  <c r="AM41" i="63"/>
  <c r="Z41" i="63"/>
  <c r="S41" i="63" l="1"/>
  <c r="T41" i="63" s="1"/>
  <c r="W41" i="63"/>
  <c r="N42" i="63" s="1"/>
  <c r="AU41" i="63" l="1"/>
  <c r="AV41" i="63" s="1"/>
  <c r="O42" i="63"/>
  <c r="AN42" i="63" s="1"/>
  <c r="AS42" i="63" s="1"/>
  <c r="AO41" i="63"/>
  <c r="AT41" i="63"/>
  <c r="Q42" i="63"/>
  <c r="M42" i="63"/>
  <c r="L42" i="63" s="1"/>
  <c r="R42" i="63" l="1"/>
  <c r="Z42" i="63"/>
  <c r="AM42" i="63"/>
  <c r="V42" i="63"/>
  <c r="P42" i="63"/>
  <c r="W42" i="63" l="1"/>
  <c r="S42" i="63"/>
  <c r="T42" i="63" s="1"/>
  <c r="U42" i="63"/>
  <c r="N43" i="63" l="1"/>
  <c r="AO42" i="63"/>
  <c r="AU42" i="63"/>
  <c r="AV42" i="63" s="1"/>
  <c r="AT42" i="63"/>
  <c r="O43" i="63"/>
  <c r="AN43" i="63" l="1"/>
  <c r="AS43" i="63" s="1"/>
  <c r="R43" i="63"/>
  <c r="M43" i="63"/>
  <c r="L43" i="63" s="1"/>
  <c r="Q43" i="63"/>
  <c r="V43" i="63" s="1"/>
  <c r="Z43" i="63" l="1"/>
  <c r="AM43" i="63"/>
  <c r="P43" i="63"/>
  <c r="W43" i="63" l="1"/>
  <c r="U43" i="63"/>
  <c r="S43" i="63"/>
  <c r="T43" i="63" s="1"/>
  <c r="AO43" i="63" l="1"/>
  <c r="AU43" i="63"/>
  <c r="AV43" i="63" s="1"/>
  <c r="AT43" i="63"/>
  <c r="N44" i="63"/>
  <c r="O44" i="63"/>
  <c r="M44" i="63" l="1"/>
  <c r="L44" i="63" s="1"/>
  <c r="Q44" i="63"/>
  <c r="V44" i="63" s="1"/>
  <c r="R44" i="63"/>
  <c r="AN44" i="63"/>
  <c r="AS44" i="63" s="1"/>
  <c r="P44" i="63" l="1"/>
  <c r="Z44" i="63"/>
  <c r="AM44" i="63"/>
  <c r="S44" i="63" l="1"/>
  <c r="T44" i="63" s="1"/>
  <c r="W44" i="63"/>
  <c r="U44" i="63"/>
  <c r="AT44" i="63" l="1"/>
  <c r="O45" i="63"/>
  <c r="AO44" i="63"/>
  <c r="N45" i="63"/>
  <c r="AU44" i="63"/>
  <c r="AV44" i="63" s="1"/>
  <c r="Q45" i="63" l="1"/>
  <c r="V45" i="63" s="1"/>
  <c r="M45" i="63"/>
  <c r="L45" i="63" s="1"/>
  <c r="R45" i="63"/>
  <c r="AN45" i="63"/>
  <c r="AS45" i="63" s="1"/>
  <c r="P45" i="63" l="1"/>
  <c r="U45" i="63" s="1"/>
  <c r="Z45" i="63"/>
  <c r="AM45" i="63"/>
  <c r="W45" i="63" l="1"/>
  <c r="S45" i="63"/>
  <c r="T45" i="63" s="1"/>
  <c r="AO45" i="63"/>
  <c r="AT45" i="63"/>
  <c r="AU45" i="63"/>
  <c r="AV45" i="63" s="1"/>
  <c r="O46" i="63"/>
  <c r="N46" i="63"/>
  <c r="Q46" i="63" l="1"/>
  <c r="V46" i="63" s="1"/>
  <c r="M46" i="63"/>
  <c r="L46" i="63" s="1"/>
  <c r="AN46" i="63"/>
  <c r="AS46" i="63" s="1"/>
  <c r="R46" i="63"/>
  <c r="Z46" i="63" l="1"/>
  <c r="AM46" i="63"/>
  <c r="P46" i="63"/>
  <c r="S46" i="63" l="1"/>
  <c r="T46" i="63" s="1"/>
  <c r="U46" i="63"/>
  <c r="W46" i="63"/>
  <c r="AT46" i="63" l="1"/>
  <c r="O47" i="63"/>
  <c r="N47" i="63"/>
  <c r="AU46" i="63"/>
  <c r="AV46" i="63" s="1"/>
  <c r="Q47" i="63" l="1"/>
  <c r="V47" i="63" s="1"/>
  <c r="M47" i="63"/>
  <c r="L47" i="63" s="1"/>
  <c r="R47" i="63"/>
  <c r="AN47" i="63"/>
  <c r="AS47" i="63" s="1"/>
  <c r="P47" i="63" l="1"/>
  <c r="S47" i="63" s="1"/>
  <c r="T47" i="63" s="1"/>
  <c r="Z47" i="63"/>
  <c r="AM47" i="63"/>
  <c r="W47" i="63" l="1"/>
  <c r="O48" i="63" s="1"/>
  <c r="U47" i="63"/>
  <c r="AU47" i="63" l="1"/>
  <c r="AV47" i="63" s="1"/>
  <c r="N48" i="63"/>
  <c r="Q48" i="63" s="1"/>
  <c r="V48" i="63" s="1"/>
  <c r="AT47" i="63"/>
  <c r="M48" i="63"/>
  <c r="L48" i="63" s="1"/>
  <c r="AN48" i="63"/>
  <c r="AS48" i="63" s="1"/>
  <c r="R48" i="63"/>
  <c r="P48" i="63" l="1"/>
  <c r="W48" i="63" s="1"/>
  <c r="N49" i="63" s="1"/>
  <c r="AM48" i="63"/>
  <c r="Z48" i="63"/>
  <c r="S48" i="63" l="1"/>
  <c r="T48" i="63" s="1"/>
  <c r="U48" i="63"/>
  <c r="AT48" i="63"/>
  <c r="O49" i="63"/>
  <c r="R49" i="63" s="1"/>
  <c r="AU48" i="63"/>
  <c r="AV48" i="63" s="1"/>
  <c r="Q49" i="63"/>
  <c r="V49" i="63" s="1"/>
  <c r="M49" i="63"/>
  <c r="L49" i="63" s="1"/>
  <c r="AN49" i="63" l="1"/>
  <c r="AS49" i="63" s="1"/>
  <c r="AM49" i="63"/>
  <c r="Z49" i="63"/>
  <c r="P49" i="63"/>
  <c r="S49" i="63" l="1"/>
  <c r="T49" i="63" s="1"/>
  <c r="W49" i="63"/>
  <c r="U49" i="63"/>
  <c r="O50" i="63" l="1"/>
  <c r="AT49" i="63"/>
  <c r="AU49" i="63"/>
  <c r="AV49" i="63" s="1"/>
  <c r="N50" i="63"/>
  <c r="Q50" i="63" l="1"/>
  <c r="V50" i="63" s="1"/>
  <c r="M50" i="63"/>
  <c r="L50" i="63" s="1"/>
  <c r="AN50" i="63"/>
  <c r="AS50" i="63" s="1"/>
  <c r="R50" i="63"/>
  <c r="P50" i="63" l="1"/>
  <c r="S50" i="63" s="1"/>
  <c r="T50" i="63" s="1"/>
  <c r="Z50" i="63"/>
  <c r="AM50" i="63"/>
  <c r="U50" i="63" l="1"/>
  <c r="W50" i="63"/>
  <c r="AU50" i="63" s="1"/>
  <c r="AV50" i="63" s="1"/>
  <c r="O51" i="63"/>
  <c r="N51" i="63"/>
  <c r="AT50" i="63" l="1"/>
  <c r="Q51" i="63"/>
  <c r="M51" i="63"/>
  <c r="L51" i="63" s="1"/>
  <c r="AN51" i="63"/>
  <c r="AS51" i="63" s="1"/>
  <c r="R51" i="63"/>
  <c r="Z51" i="63" l="1"/>
  <c r="AM51" i="63"/>
  <c r="V51" i="63"/>
  <c r="P51" i="63"/>
  <c r="W51" i="63" l="1"/>
  <c r="S51" i="63"/>
  <c r="T51" i="63" s="1"/>
  <c r="U51" i="63"/>
  <c r="N52" i="63" l="1"/>
  <c r="AU51" i="63"/>
  <c r="AV51" i="63" s="1"/>
  <c r="AT51" i="63"/>
  <c r="O52" i="63"/>
  <c r="AN52" i="63" l="1"/>
  <c r="AS52" i="63" s="1"/>
  <c r="R52" i="63"/>
  <c r="M52" i="63"/>
  <c r="L52" i="63" s="1"/>
  <c r="Q52" i="63"/>
  <c r="V52" i="63" s="1"/>
  <c r="AM52" i="63" l="1"/>
  <c r="Z52" i="63"/>
  <c r="P52" i="63"/>
  <c r="U52" i="63" l="1"/>
  <c r="W52" i="63"/>
  <c r="S52" i="63"/>
  <c r="T52" i="63" s="1"/>
  <c r="O53" i="63" l="1"/>
  <c r="N53" i="63"/>
  <c r="AU52" i="63"/>
  <c r="AV52" i="63" s="1"/>
  <c r="AT52" i="63"/>
  <c r="Q53" i="63" l="1"/>
  <c r="V53" i="63" s="1"/>
  <c r="M53" i="63"/>
  <c r="L53" i="63" s="1"/>
  <c r="R53" i="63"/>
  <c r="AN53" i="63"/>
  <c r="AS53" i="63" s="1"/>
  <c r="P53" i="63" l="1"/>
  <c r="W53" i="63" s="1"/>
  <c r="Z53" i="63"/>
  <c r="AM53" i="63"/>
  <c r="U53" i="63" l="1"/>
  <c r="S53" i="63"/>
  <c r="T53" i="63" s="1"/>
  <c r="AU53" i="63"/>
  <c r="AV53" i="63" s="1"/>
  <c r="AT53" i="63"/>
  <c r="O54" i="63"/>
  <c r="N54" i="63"/>
  <c r="M54" i="63" l="1"/>
  <c r="L54" i="63" s="1"/>
  <c r="Q54" i="63"/>
  <c r="V54" i="63" s="1"/>
  <c r="AN54" i="63"/>
  <c r="AS54" i="63" s="1"/>
  <c r="R54" i="63"/>
  <c r="P54" i="63" l="1"/>
  <c r="W54" i="63" s="1"/>
  <c r="Z54" i="63"/>
  <c r="AM54" i="63"/>
  <c r="S54" i="63" l="1"/>
  <c r="T54" i="63" s="1"/>
  <c r="U54" i="63"/>
  <c r="N55" i="63"/>
  <c r="O55" i="63"/>
  <c r="AU54" i="63"/>
  <c r="AV54" i="63" s="1"/>
  <c r="AT54" i="63"/>
  <c r="R55" i="63" l="1"/>
  <c r="AN55" i="63"/>
  <c r="AS55" i="63" s="1"/>
  <c r="Q55" i="63"/>
  <c r="V55" i="63" s="1"/>
  <c r="M55" i="63"/>
  <c r="L55" i="63" s="1"/>
  <c r="AM55" i="63" l="1"/>
  <c r="Z55" i="63"/>
  <c r="P55" i="63"/>
  <c r="S55" i="63" l="1"/>
  <c r="T55" i="63" s="1"/>
  <c r="U55" i="63"/>
  <c r="W55" i="63"/>
  <c r="N56" i="63" l="1"/>
  <c r="AT55" i="63"/>
  <c r="AU55" i="63"/>
  <c r="AV55" i="63" s="1"/>
  <c r="O56" i="63"/>
  <c r="AN56" i="63" l="1"/>
  <c r="AS56" i="63" s="1"/>
  <c r="R56" i="63"/>
  <c r="Q56" i="63"/>
  <c r="V56" i="63" s="1"/>
  <c r="M56" i="63"/>
  <c r="L56" i="63" s="1"/>
  <c r="Z56" i="63" l="1"/>
  <c r="AM56" i="63"/>
  <c r="P56" i="63"/>
  <c r="U56" i="63" l="1"/>
  <c r="S56" i="63"/>
  <c r="T56" i="63" s="1"/>
  <c r="W56" i="63"/>
  <c r="AT56" i="63" l="1"/>
  <c r="N57" i="63"/>
  <c r="AU56" i="63"/>
  <c r="AV56" i="63" s="1"/>
  <c r="O57" i="63"/>
  <c r="R57" i="63" l="1"/>
  <c r="AN57" i="63"/>
  <c r="AS57" i="63" s="1"/>
  <c r="Q57" i="63"/>
  <c r="V57" i="63" s="1"/>
  <c r="M57" i="63"/>
  <c r="L57" i="63" s="1"/>
  <c r="Z57" i="63" l="1"/>
  <c r="AM57" i="63"/>
  <c r="P57" i="63"/>
  <c r="W57" i="63" l="1"/>
  <c r="S57" i="63"/>
  <c r="T57" i="63" s="1"/>
  <c r="U57" i="63"/>
  <c r="O58" i="63" l="1"/>
  <c r="N58" i="63"/>
  <c r="AU57" i="63"/>
  <c r="AV57" i="63" s="1"/>
  <c r="AT57" i="63"/>
  <c r="Q58" i="63" l="1"/>
  <c r="V58" i="63" s="1"/>
  <c r="M58" i="63"/>
  <c r="L58" i="63" s="1"/>
  <c r="AN58" i="63"/>
  <c r="AS58" i="63" s="1"/>
  <c r="R58" i="63"/>
  <c r="P58" i="63" l="1"/>
  <c r="W58" i="63" s="1"/>
  <c r="O59" i="63" s="1"/>
  <c r="Z58" i="63"/>
  <c r="AM58" i="63"/>
  <c r="U58" i="63" l="1"/>
  <c r="S58" i="63"/>
  <c r="T58" i="63" s="1"/>
  <c r="AU58" i="63"/>
  <c r="AV58" i="63" s="1"/>
  <c r="N59" i="63"/>
  <c r="M59" i="63" s="1"/>
  <c r="L59" i="63" s="1"/>
  <c r="AT58" i="63"/>
  <c r="R59" i="63"/>
  <c r="AN59" i="63"/>
  <c r="AS59" i="63" s="1"/>
  <c r="Q59" i="63" l="1"/>
  <c r="V59" i="63" s="1"/>
  <c r="AM59" i="63"/>
  <c r="Z59" i="63"/>
  <c r="P59" i="63" l="1"/>
  <c r="W59" i="63" s="1"/>
  <c r="O60" i="63" s="1"/>
  <c r="AT59" i="63"/>
  <c r="R60" i="63"/>
  <c r="AN60" i="63"/>
  <c r="AS60" i="63" s="1"/>
  <c r="N60" i="63" l="1"/>
  <c r="M60" i="63" s="1"/>
  <c r="L60" i="63" s="1"/>
  <c r="Z60" i="63" s="1"/>
  <c r="AU59" i="63"/>
  <c r="AV59" i="63" s="1"/>
  <c r="S59" i="63"/>
  <c r="T59" i="63" s="1"/>
  <c r="U59" i="63"/>
  <c r="Q60" i="63"/>
  <c r="V60" i="63" s="1"/>
  <c r="AM60" i="63"/>
  <c r="P60" i="63" l="1"/>
  <c r="S60" i="63" s="1"/>
  <c r="W60" i="63" l="1"/>
  <c r="U60" i="63"/>
  <c r="N61" i="63"/>
  <c r="O61" i="63"/>
  <c r="AT60" i="63"/>
  <c r="AU60" i="63"/>
  <c r="AV60" i="63" s="1"/>
  <c r="R61" i="63" l="1"/>
  <c r="AN61" i="63"/>
  <c r="AS61" i="63" s="1"/>
  <c r="Q61" i="63"/>
  <c r="M61" i="63"/>
  <c r="L61" i="63" s="1"/>
  <c r="AM61" i="63" l="1"/>
  <c r="Z61" i="63"/>
  <c r="V61" i="63"/>
  <c r="P61" i="63"/>
  <c r="S61" i="63" l="1"/>
  <c r="U61" i="63"/>
  <c r="W61" i="63"/>
  <c r="N62" i="63" l="1"/>
  <c r="O62" i="63"/>
  <c r="AU61" i="63"/>
  <c r="AV61" i="63" s="1"/>
  <c r="AT61" i="63"/>
  <c r="AN62" i="63" l="1"/>
  <c r="AS62" i="63" s="1"/>
  <c r="R62" i="63"/>
  <c r="M62" i="63"/>
  <c r="L62" i="63" s="1"/>
  <c r="Q62" i="63"/>
  <c r="V62" i="63" l="1"/>
  <c r="P62" i="63"/>
  <c r="Z62" i="63"/>
  <c r="AM62" i="63"/>
  <c r="S62" i="63" l="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S491" i="63" s="1"/>
  <c r="U62" i="63"/>
  <c r="W62" i="63"/>
  <c r="AT62" i="63" l="1"/>
  <c r="AU62" i="63"/>
  <c r="AV62" i="63" s="1"/>
  <c r="N63" i="63"/>
  <c r="O63" i="63"/>
  <c r="AN63" i="63" s="1"/>
  <c r="AS63" i="63" s="1"/>
  <c r="M63" i="63" l="1"/>
  <c r="L63" i="63" s="1"/>
  <c r="Q63" i="63"/>
  <c r="V63" i="63" l="1"/>
  <c r="P63" i="63"/>
  <c r="AM63" i="63"/>
  <c r="Z63" i="63"/>
  <c r="U63" i="63" l="1"/>
  <c r="W63" i="63"/>
  <c r="AU63" i="63" l="1"/>
  <c r="AV63" i="63" s="1"/>
  <c r="AT63" i="63"/>
  <c r="N64" i="63"/>
  <c r="O64" i="63"/>
  <c r="AN64" i="63" s="1"/>
  <c r="AS64" i="63" s="1"/>
  <c r="M64" i="63" l="1"/>
  <c r="L64" i="63" s="1"/>
  <c r="Q64" i="63"/>
  <c r="V64" i="63" l="1"/>
  <c r="P64" i="63"/>
  <c r="AM64" i="63"/>
  <c r="Z64" i="63"/>
  <c r="W64" i="63" l="1"/>
  <c r="U64" i="63"/>
  <c r="O65" i="63" l="1"/>
  <c r="AN65" i="63" s="1"/>
  <c r="AS65" i="63" s="1"/>
  <c r="N65" i="63"/>
  <c r="AU64" i="63"/>
  <c r="AV64" i="63" s="1"/>
  <c r="AT64" i="63"/>
  <c r="Q65" i="63" l="1"/>
  <c r="M65" i="63"/>
  <c r="L65" i="63" s="1"/>
  <c r="AM65" i="63" l="1"/>
  <c r="Z65" i="63"/>
  <c r="V65" i="63"/>
  <c r="P65" i="63"/>
  <c r="U65" i="63" l="1"/>
  <c r="W65" i="63"/>
  <c r="O66" i="63" l="1"/>
  <c r="N66" i="63"/>
  <c r="AT65" i="63"/>
  <c r="AU65" i="63"/>
  <c r="AV65" i="63" s="1"/>
  <c r="Q66" i="63" l="1"/>
  <c r="V66" i="63" s="1"/>
  <c r="M66" i="63"/>
  <c r="L66" i="63" s="1"/>
  <c r="AN66" i="63"/>
  <c r="AS66" i="63" s="1"/>
  <c r="P66" i="63" l="1"/>
  <c r="U66" i="63" s="1"/>
  <c r="AM66" i="63"/>
  <c r="Z66" i="63"/>
  <c r="W66" i="63" l="1"/>
  <c r="O67" i="63" s="1"/>
  <c r="N67" i="63" l="1"/>
  <c r="Q67" i="63" s="1"/>
  <c r="AT66" i="63"/>
  <c r="AU66" i="63"/>
  <c r="AV66" i="63" s="1"/>
  <c r="AN67" i="63"/>
  <c r="AS67" i="63" s="1"/>
  <c r="V67" i="63" l="1"/>
  <c r="P67" i="63"/>
  <c r="M67" i="63"/>
  <c r="L67" i="63" s="1"/>
  <c r="AM67" i="63" s="1"/>
  <c r="W67" i="63"/>
  <c r="U67" i="63"/>
  <c r="Z67" i="63" l="1"/>
  <c r="O68" i="63"/>
  <c r="AU67" i="63"/>
  <c r="AV67" i="63" s="1"/>
  <c r="AT67" i="63"/>
  <c r="N68" i="63"/>
  <c r="M68" i="63" l="1"/>
  <c r="L68" i="63" s="1"/>
  <c r="Q68" i="63"/>
  <c r="V68" i="63" s="1"/>
  <c r="AN68" i="63"/>
  <c r="AS68" i="63" s="1"/>
  <c r="P68" i="63" l="1"/>
  <c r="U68" i="63" s="1"/>
  <c r="Z68" i="63"/>
  <c r="AM68" i="63"/>
  <c r="W68" i="63" l="1"/>
  <c r="AU68" i="63" s="1"/>
  <c r="AV68" i="63" s="1"/>
  <c r="N69" i="63" l="1"/>
  <c r="Q69" i="63" s="1"/>
  <c r="AT68" i="63"/>
  <c r="O69" i="63"/>
  <c r="AN69" i="63" s="1"/>
  <c r="AS69" i="63" s="1"/>
  <c r="M69" i="63" l="1"/>
  <c r="L69" i="63" s="1"/>
  <c r="Z69" i="63" s="1"/>
  <c r="V69" i="63"/>
  <c r="P69" i="63"/>
  <c r="AM69" i="63" l="1"/>
  <c r="W69" i="63"/>
  <c r="U69" i="63"/>
  <c r="N70" i="63" l="1"/>
  <c r="AT69" i="63"/>
  <c r="AU69" i="63"/>
  <c r="AV69" i="63" s="1"/>
  <c r="O70" i="63"/>
  <c r="AN70" i="63" s="1"/>
  <c r="AS70" i="63" s="1"/>
  <c r="M70" i="63" l="1"/>
  <c r="L70" i="63" s="1"/>
  <c r="Q70" i="63"/>
  <c r="V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O72" i="63" l="1"/>
  <c r="AN72" i="63" s="1"/>
  <c r="AS72" i="63" s="1"/>
  <c r="AU71" i="63"/>
  <c r="AV71" i="63" s="1"/>
  <c r="AT71" i="63"/>
  <c r="N72" i="63"/>
  <c r="M72" i="63" l="1"/>
  <c r="L72" i="63" s="1"/>
  <c r="Q72" i="63"/>
  <c r="V72" i="63" l="1"/>
  <c r="P72" i="63"/>
  <c r="Z72" i="63"/>
  <c r="AM72" i="63"/>
  <c r="U72" i="63" l="1"/>
  <c r="W72" i="63"/>
  <c r="N73" i="63" l="1"/>
  <c r="AU72" i="63"/>
  <c r="AV72" i="63" s="1"/>
  <c r="O73" i="63"/>
  <c r="AT72" i="63"/>
  <c r="AN73" i="63" l="1"/>
  <c r="AS73" i="63" s="1"/>
  <c r="M73" i="63"/>
  <c r="L73" i="63" s="1"/>
  <c r="Q73" i="63"/>
  <c r="V73" i="63" s="1"/>
  <c r="AM73" i="63" l="1"/>
  <c r="Z73" i="63"/>
  <c r="P73" i="63"/>
  <c r="W73" i="63" l="1"/>
  <c r="U73" i="63"/>
  <c r="AU73" i="63" l="1"/>
  <c r="AV73" i="63" s="1"/>
  <c r="N74" i="63"/>
  <c r="O74" i="63"/>
  <c r="AT73" i="63"/>
  <c r="AN74" i="63" l="1"/>
  <c r="AS74" i="63" s="1"/>
  <c r="M74" i="63"/>
  <c r="L74" i="63" s="1"/>
  <c r="Q74" i="63"/>
  <c r="V74" i="63" s="1"/>
  <c r="AM74" i="63" l="1"/>
  <c r="Z74" i="63"/>
  <c r="P74" i="63"/>
  <c r="U74" i="63" l="1"/>
  <c r="W74" i="63"/>
  <c r="AU74" i="63" l="1"/>
  <c r="AV74" i="63" s="1"/>
  <c r="O75" i="63"/>
  <c r="AT74" i="63"/>
  <c r="N75" i="63"/>
  <c r="M75" i="63" l="1"/>
  <c r="L75" i="63" s="1"/>
  <c r="Q75" i="63"/>
  <c r="V75" i="63" s="1"/>
  <c r="AN75" i="63"/>
  <c r="AS75" i="63" s="1"/>
  <c r="P75" i="63" l="1"/>
  <c r="U75" i="63" s="1"/>
  <c r="AM75" i="63"/>
  <c r="Z75" i="63"/>
  <c r="W75" i="63" l="1"/>
  <c r="AT75" i="63" s="1"/>
  <c r="AU75" i="63" l="1"/>
  <c r="AV75" i="63" s="1"/>
  <c r="N76" i="63"/>
  <c r="Q76" i="63" s="1"/>
  <c r="V76" i="63" s="1"/>
  <c r="O76" i="63"/>
  <c r="AN76" i="63" s="1"/>
  <c r="AS76" i="63" s="1"/>
  <c r="M76" i="63"/>
  <c r="L76" i="63" s="1"/>
  <c r="P76" i="63" l="1"/>
  <c r="U76" i="63" s="1"/>
  <c r="Z76" i="63"/>
  <c r="AM76" i="63"/>
  <c r="W76" i="63" l="1"/>
  <c r="AT76" i="63" s="1"/>
  <c r="O77" i="63" l="1"/>
  <c r="AN77" i="63" s="1"/>
  <c r="AS77" i="63" s="1"/>
  <c r="N77" i="63"/>
  <c r="Q77" i="63" s="1"/>
  <c r="V77" i="63" s="1"/>
  <c r="AU76" i="63"/>
  <c r="AV76" i="63" s="1"/>
  <c r="M77" i="63" l="1"/>
  <c r="L77" i="63" s="1"/>
  <c r="Z77" i="63" s="1"/>
  <c r="P77" i="63"/>
  <c r="AM77" i="63" l="1"/>
  <c r="W77" i="63"/>
  <c r="U77" i="63"/>
  <c r="AT77" i="63" l="1"/>
  <c r="O78" i="63"/>
  <c r="N78" i="63"/>
  <c r="AU77" i="63"/>
  <c r="AV77" i="63" s="1"/>
  <c r="Q78" i="63" l="1"/>
  <c r="V78" i="63" s="1"/>
  <c r="M78" i="63"/>
  <c r="L78" i="63" s="1"/>
  <c r="AN78" i="63"/>
  <c r="AS78" i="63" s="1"/>
  <c r="P78" i="63" l="1"/>
  <c r="U78" i="63" s="1"/>
  <c r="Z78" i="63"/>
  <c r="AM78" i="63"/>
  <c r="W78" i="63" l="1"/>
  <c r="O79" i="63" s="1"/>
  <c r="AU78" i="63" l="1"/>
  <c r="AV78" i="63" s="1"/>
  <c r="N79" i="63"/>
  <c r="M79" i="63" s="1"/>
  <c r="L79" i="63" s="1"/>
  <c r="AT78" i="63"/>
  <c r="AN79" i="63"/>
  <c r="AS79" i="63" s="1"/>
  <c r="Q79" i="63" l="1"/>
  <c r="V79" i="63" s="1"/>
  <c r="Z79" i="63"/>
  <c r="AM79" i="63"/>
  <c r="P79" i="63" l="1"/>
  <c r="U79" i="63" s="1"/>
  <c r="W79" i="63"/>
  <c r="N80" i="63" s="1"/>
  <c r="AU79" i="63"/>
  <c r="AV79" i="63" s="1"/>
  <c r="O80" i="63"/>
  <c r="AT79" i="63" l="1"/>
  <c r="AN80" i="63"/>
  <c r="AS80" i="63" s="1"/>
  <c r="M80" i="63"/>
  <c r="L80" i="63" s="1"/>
  <c r="Q80" i="63"/>
  <c r="V80" i="63" s="1"/>
  <c r="Z80" i="63" l="1"/>
  <c r="AM80" i="63"/>
  <c r="P80" i="63"/>
  <c r="U80" i="63" l="1"/>
  <c r="W80" i="63"/>
  <c r="AU80" i="63" l="1"/>
  <c r="AV80" i="63" s="1"/>
  <c r="N81" i="63"/>
  <c r="O81" i="63"/>
  <c r="AT80" i="63"/>
  <c r="AN81" i="63" l="1"/>
  <c r="AS81" i="63" s="1"/>
  <c r="Q81" i="63"/>
  <c r="V81" i="63" s="1"/>
  <c r="M81" i="63"/>
  <c r="L81" i="63" s="1"/>
  <c r="Z81" i="63" l="1"/>
  <c r="AM81" i="63"/>
  <c r="P81" i="63"/>
  <c r="U81" i="63" l="1"/>
  <c r="W81" i="63"/>
  <c r="O82" i="63" l="1"/>
  <c r="N82" i="63"/>
  <c r="AU81" i="63"/>
  <c r="AV81" i="63" s="1"/>
  <c r="AT81" i="63"/>
  <c r="M82" i="63" l="1"/>
  <c r="L82" i="63" s="1"/>
  <c r="Q82" i="63"/>
  <c r="V82" i="63" s="1"/>
  <c r="AN82" i="63"/>
  <c r="AS82" i="63" s="1"/>
  <c r="P82" i="63" l="1"/>
  <c r="U82" i="63" s="1"/>
  <c r="Z82" i="63"/>
  <c r="AM82" i="63"/>
  <c r="W82" i="63" l="1"/>
  <c r="N83" i="63" s="1"/>
  <c r="O83" i="63" l="1"/>
  <c r="AN83" i="63" s="1"/>
  <c r="AS83" i="63" s="1"/>
  <c r="AU82" i="63"/>
  <c r="AV82" i="63" s="1"/>
  <c r="AT82" i="63"/>
  <c r="Q83" i="63"/>
  <c r="V83" i="63" s="1"/>
  <c r="M83" i="63"/>
  <c r="L83" i="63" s="1"/>
  <c r="Z83" i="63" l="1"/>
  <c r="AM83" i="63"/>
  <c r="P83" i="63"/>
  <c r="U83" i="63" l="1"/>
  <c r="W83" i="63"/>
  <c r="N84" i="63" l="1"/>
  <c r="O84" i="63"/>
  <c r="AU83" i="63"/>
  <c r="AV83" i="63" s="1"/>
  <c r="AT83" i="63"/>
  <c r="AN84" i="63" l="1"/>
  <c r="AS84" i="63" s="1"/>
  <c r="Q84" i="63"/>
  <c r="V84" i="63" s="1"/>
  <c r="M84" i="63"/>
  <c r="L84" i="63" s="1"/>
  <c r="Z84" i="63" l="1"/>
  <c r="AM84" i="63"/>
  <c r="P84" i="63"/>
  <c r="U84" i="63" l="1"/>
  <c r="W84" i="63"/>
  <c r="AU84" i="63" l="1"/>
  <c r="AV84" i="63" s="1"/>
  <c r="O85" i="63"/>
  <c r="N85" i="63"/>
  <c r="AT84" i="63"/>
  <c r="M85" i="63" l="1"/>
  <c r="L85" i="63" s="1"/>
  <c r="Q85" i="63"/>
  <c r="V85" i="63" s="1"/>
  <c r="AN85" i="63"/>
  <c r="AS85" i="63" s="1"/>
  <c r="P85" i="63" l="1"/>
  <c r="Z85" i="63"/>
  <c r="AM85" i="63"/>
  <c r="U85" i="63" l="1"/>
  <c r="W85" i="63"/>
  <c r="O86" i="63" l="1"/>
  <c r="AT85" i="63"/>
  <c r="N86" i="63"/>
  <c r="AU85" i="63"/>
  <c r="AV85" i="63" s="1"/>
  <c r="M86" i="63" l="1"/>
  <c r="L86" i="63" s="1"/>
  <c r="Q86" i="63"/>
  <c r="V86" i="63" s="1"/>
  <c r="AN86" i="63"/>
  <c r="AS86" i="63" s="1"/>
  <c r="P86" i="63" l="1"/>
  <c r="W86" i="63" s="1"/>
  <c r="AM86" i="63"/>
  <c r="Z86" i="63"/>
  <c r="U86" i="63" l="1"/>
  <c r="O87" i="63"/>
  <c r="N87" i="63"/>
  <c r="AU86" i="63"/>
  <c r="AV86" i="63" s="1"/>
  <c r="AT86" i="63"/>
  <c r="M87" i="63" l="1"/>
  <c r="L87" i="63" s="1"/>
  <c r="Q87" i="63"/>
  <c r="V87" i="63" s="1"/>
  <c r="AN87" i="63"/>
  <c r="AS87" i="63" s="1"/>
  <c r="P87" i="63" l="1"/>
  <c r="U87" i="63" s="1"/>
  <c r="Z87" i="63"/>
  <c r="AM87" i="63"/>
  <c r="W87" i="63" l="1"/>
  <c r="O88" i="63" s="1"/>
  <c r="AU87" i="63" l="1"/>
  <c r="AV87" i="63" s="1"/>
  <c r="N88" i="63"/>
  <c r="AT87" i="63"/>
  <c r="M88" i="63"/>
  <c r="L88" i="63" s="1"/>
  <c r="Q88" i="63"/>
  <c r="V88" i="63" s="1"/>
  <c r="AN88" i="63"/>
  <c r="AS88" i="63" s="1"/>
  <c r="P88" i="63" l="1"/>
  <c r="U88" i="63" s="1"/>
  <c r="AM88" i="63"/>
  <c r="Z88" i="63"/>
  <c r="W88" i="63" l="1"/>
  <c r="O89" i="63" s="1"/>
  <c r="AT88" i="63" l="1"/>
  <c r="N89" i="63"/>
  <c r="AU88" i="63"/>
  <c r="AV88" i="63" s="1"/>
  <c r="M89" i="63"/>
  <c r="L89" i="63" s="1"/>
  <c r="Q89" i="63"/>
  <c r="V89" i="63" s="1"/>
  <c r="AN89" i="63"/>
  <c r="AS89" i="63" s="1"/>
  <c r="P89" i="63" l="1"/>
  <c r="U89" i="63" s="1"/>
  <c r="Z89" i="63"/>
  <c r="AM89" i="63"/>
  <c r="W89" i="63" l="1"/>
  <c r="N90" i="63" s="1"/>
  <c r="O90" i="63" l="1"/>
  <c r="AN90" i="63" s="1"/>
  <c r="AS90" i="63" s="1"/>
  <c r="AT89" i="63"/>
  <c r="AU89" i="63"/>
  <c r="AV89" i="63" s="1"/>
  <c r="M90" i="63"/>
  <c r="L90" i="63" s="1"/>
  <c r="Q90" i="63"/>
  <c r="V90" i="63" s="1"/>
  <c r="AM90" i="63" l="1"/>
  <c r="Z90" i="63"/>
  <c r="P90" i="63"/>
  <c r="U90" i="63" l="1"/>
  <c r="W90" i="63"/>
  <c r="AT90" i="63" l="1"/>
  <c r="N91" i="63"/>
  <c r="AU90" i="63"/>
  <c r="AV90" i="63" s="1"/>
  <c r="O91" i="63"/>
  <c r="AN91" i="63" l="1"/>
  <c r="AS91" i="63" s="1"/>
  <c r="M91" i="63"/>
  <c r="L91" i="63" s="1"/>
  <c r="Q91" i="63"/>
  <c r="V91" i="63" s="1"/>
  <c r="AM91" i="63" l="1"/>
  <c r="Z91" i="63"/>
  <c r="P91" i="63"/>
  <c r="U91" i="63" l="1"/>
  <c r="W91" i="63"/>
  <c r="AU91" i="63" l="1"/>
  <c r="AV91" i="63" s="1"/>
  <c r="AT91" i="63"/>
  <c r="N92" i="63"/>
  <c r="O92" i="63"/>
  <c r="AN92" i="63" l="1"/>
  <c r="AS92" i="63" s="1"/>
  <c r="M92" i="63"/>
  <c r="L92" i="63" s="1"/>
  <c r="Q92" i="63"/>
  <c r="V92" i="63" s="1"/>
  <c r="Z92" i="63" l="1"/>
  <c r="AM92" i="63"/>
  <c r="P92" i="63"/>
  <c r="U92" i="63" l="1"/>
  <c r="W92" i="63"/>
  <c r="AU92" i="63" l="1"/>
  <c r="AV92" i="63" s="1"/>
  <c r="N93" i="63"/>
  <c r="AT92" i="63"/>
  <c r="O93" i="63"/>
  <c r="AN93" i="63" l="1"/>
  <c r="AS93" i="63" s="1"/>
  <c r="Q93" i="63"/>
  <c r="V93" i="63" s="1"/>
  <c r="M93" i="63"/>
  <c r="L93" i="63" s="1"/>
  <c r="Z93" i="63" l="1"/>
  <c r="AM93" i="63"/>
  <c r="P93" i="63"/>
  <c r="U93" i="63" l="1"/>
  <c r="W93" i="63"/>
  <c r="AT93" i="63" l="1"/>
  <c r="AU93" i="63"/>
  <c r="AV93" i="63" s="1"/>
  <c r="N94" i="63"/>
  <c r="O94" i="63"/>
  <c r="AN94" i="63" l="1"/>
  <c r="AS94" i="63" s="1"/>
  <c r="M94" i="63"/>
  <c r="L94" i="63" s="1"/>
  <c r="Q94" i="63"/>
  <c r="V94" i="63" s="1"/>
  <c r="Z94" i="63" l="1"/>
  <c r="AM94" i="63"/>
  <c r="P94" i="63"/>
  <c r="U94" i="63" l="1"/>
  <c r="W94" i="63"/>
  <c r="AU94" i="63" l="1"/>
  <c r="AV94" i="63" s="1"/>
  <c r="N95" i="63"/>
  <c r="O95" i="63"/>
  <c r="AT94" i="63"/>
  <c r="AN95" i="63" l="1"/>
  <c r="AS95" i="63" s="1"/>
  <c r="M95" i="63"/>
  <c r="L95" i="63" s="1"/>
  <c r="Q95" i="63"/>
  <c r="V95" i="63" s="1"/>
  <c r="Z95" i="63" l="1"/>
  <c r="AM95" i="63"/>
  <c r="P95" i="63"/>
  <c r="U95" i="63" l="1"/>
  <c r="W95" i="63"/>
  <c r="AT95" i="63" l="1"/>
  <c r="O96" i="63"/>
  <c r="N96" i="63"/>
  <c r="AU95" i="63"/>
  <c r="AV95" i="63" s="1"/>
  <c r="M96" i="63" l="1"/>
  <c r="L96" i="63" s="1"/>
  <c r="Q96" i="63"/>
  <c r="V96" i="63" s="1"/>
  <c r="AN96" i="63"/>
  <c r="AS96" i="63" s="1"/>
  <c r="P96" i="63" l="1"/>
  <c r="U96" i="63" s="1"/>
  <c r="Z96" i="63"/>
  <c r="AM96" i="63"/>
  <c r="W96" i="63" l="1"/>
  <c r="N97" i="63" s="1"/>
  <c r="O97" i="63" l="1"/>
  <c r="AN97" i="63" s="1"/>
  <c r="AS97" i="63" s="1"/>
  <c r="AU96" i="63"/>
  <c r="AV96" i="63" s="1"/>
  <c r="AT96" i="63"/>
  <c r="Q97" i="63"/>
  <c r="V97" i="63" s="1"/>
  <c r="M97" i="63"/>
  <c r="L97" i="63" s="1"/>
  <c r="Z97" i="63" l="1"/>
  <c r="AM97" i="63"/>
  <c r="P97" i="63"/>
  <c r="U97" i="63" l="1"/>
  <c r="W97" i="63"/>
  <c r="O98" i="63" l="1"/>
  <c r="AT97" i="63"/>
  <c r="AU97" i="63"/>
  <c r="AV97" i="63" s="1"/>
  <c r="N98" i="63"/>
  <c r="M98" i="63" l="1"/>
  <c r="L98" i="63" s="1"/>
  <c r="Q98" i="63"/>
  <c r="V98" i="63" s="1"/>
  <c r="AN98" i="63"/>
  <c r="AS98" i="63" s="1"/>
  <c r="P98" i="63" l="1"/>
  <c r="W98" i="63" s="1"/>
  <c r="AM98" i="63"/>
  <c r="Z98" i="63"/>
  <c r="U98" i="63" l="1"/>
  <c r="O99" i="63"/>
  <c r="AN99" i="63" s="1"/>
  <c r="AS99" i="63" s="1"/>
  <c r="N99" i="63"/>
  <c r="AT98" i="63"/>
  <c r="AU98" i="63"/>
  <c r="AV98" i="63" s="1"/>
  <c r="M99" i="63" l="1"/>
  <c r="L99" i="63" s="1"/>
  <c r="Q99" i="63"/>
  <c r="V99" i="63" l="1"/>
  <c r="P99" i="63"/>
  <c r="AM99" i="63"/>
  <c r="Z99" i="63"/>
  <c r="U99" i="63" l="1"/>
  <c r="W99" i="63"/>
  <c r="AU99" i="63" l="1"/>
  <c r="AV99" i="63" s="1"/>
  <c r="AT99" i="63"/>
  <c r="N100" i="63"/>
  <c r="O100" i="63"/>
  <c r="AN100" i="63" s="1"/>
  <c r="AS100" i="63" s="1"/>
  <c r="Q100" i="63" l="1"/>
  <c r="M100" i="63"/>
  <c r="L100" i="63" s="1"/>
  <c r="AM100" i="63" l="1"/>
  <c r="Z100" i="63"/>
  <c r="V100" i="63"/>
  <c r="P100" i="63"/>
  <c r="U100" i="63" l="1"/>
  <c r="W100" i="63"/>
  <c r="N101" i="63" l="1"/>
  <c r="AT100" i="63"/>
  <c r="AU100" i="63"/>
  <c r="AV100" i="63" s="1"/>
  <c r="O101" i="63"/>
  <c r="AN101" i="63" s="1"/>
  <c r="AS101" i="63" s="1"/>
  <c r="Q101" i="63" l="1"/>
  <c r="V101" i="63" s="1"/>
  <c r="M101" i="63"/>
  <c r="L101" i="63" s="1"/>
  <c r="Z101" i="63" l="1"/>
  <c r="AM101" i="63"/>
  <c r="P101" i="63"/>
  <c r="U101" i="63" l="1"/>
  <c r="W101" i="63"/>
  <c r="AT101" i="63" l="1"/>
  <c r="AU101" i="63"/>
  <c r="AV101" i="63" s="1"/>
  <c r="N102" i="63"/>
  <c r="O102" i="63"/>
  <c r="AN102" i="63" s="1"/>
  <c r="AS102" i="63" s="1"/>
  <c r="M102" i="63" l="1"/>
  <c r="L102" i="63" s="1"/>
  <c r="Q102" i="63"/>
  <c r="V102" i="63" l="1"/>
  <c r="P102" i="63"/>
  <c r="Z102" i="63"/>
  <c r="AM102" i="63"/>
  <c r="U102" i="63" l="1"/>
  <c r="W102" i="63"/>
  <c r="N103" i="63" l="1"/>
  <c r="AU102" i="63"/>
  <c r="AV102" i="63" s="1"/>
  <c r="O103" i="63"/>
  <c r="AT102" i="63"/>
  <c r="AN103" i="63" l="1"/>
  <c r="AS103" i="63" s="1"/>
  <c r="M103" i="63"/>
  <c r="L103" i="63" s="1"/>
  <c r="Q103" i="63"/>
  <c r="V103" i="63" s="1"/>
  <c r="AM103" i="63" l="1"/>
  <c r="Z103" i="63"/>
  <c r="P103" i="63"/>
  <c r="U103" i="63" l="1"/>
  <c r="W103" i="63"/>
  <c r="AU103" i="63" l="1"/>
  <c r="AV103" i="63" s="1"/>
  <c r="N104" i="63"/>
  <c r="AT103" i="63"/>
  <c r="O104" i="63"/>
  <c r="AN104" i="63" l="1"/>
  <c r="AS104" i="63" s="1"/>
  <c r="M104" i="63"/>
  <c r="L104" i="63" s="1"/>
  <c r="Q104" i="63"/>
  <c r="V104" i="63" s="1"/>
  <c r="AM104" i="63" l="1"/>
  <c r="Z104" i="63"/>
  <c r="P104" i="63"/>
  <c r="U104" i="63" l="1"/>
  <c r="W104" i="63"/>
  <c r="O105" i="63" l="1"/>
  <c r="N105" i="63"/>
  <c r="AT104" i="63"/>
  <c r="AU104" i="63"/>
  <c r="AV104" i="63" s="1"/>
  <c r="Q105" i="63" l="1"/>
  <c r="V105" i="63" s="1"/>
  <c r="M105" i="63"/>
  <c r="L105" i="63" s="1"/>
  <c r="AN105" i="63"/>
  <c r="AS105" i="63" s="1"/>
  <c r="P105" i="63" l="1"/>
  <c r="U105" i="63" s="1"/>
  <c r="Z105" i="63"/>
  <c r="AM105" i="63"/>
  <c r="W105" i="63" l="1"/>
  <c r="O106" i="63" s="1"/>
  <c r="AT105" i="63" l="1"/>
  <c r="AU105" i="63"/>
  <c r="AV105" i="63" s="1"/>
  <c r="N106" i="63"/>
  <c r="Q106" i="63" s="1"/>
  <c r="AN106" i="63"/>
  <c r="AS106" i="63" s="1"/>
  <c r="M106" i="63" l="1"/>
  <c r="L106" i="63" s="1"/>
  <c r="Z106" i="63" s="1"/>
  <c r="V106" i="63"/>
  <c r="P106" i="63"/>
  <c r="W106" i="63" s="1"/>
  <c r="U106" i="63" l="1"/>
  <c r="AM106" i="63"/>
  <c r="AT106" i="63"/>
  <c r="AU106" i="63"/>
  <c r="AV106" i="63" s="1"/>
  <c r="O107" i="63"/>
  <c r="AN107" i="63" s="1"/>
  <c r="AS107" i="63" s="1"/>
  <c r="N107" i="63"/>
  <c r="M107" i="63" l="1"/>
  <c r="L107" i="63" s="1"/>
  <c r="Q107" i="63"/>
  <c r="V107" i="63" l="1"/>
  <c r="P107" i="63"/>
  <c r="AM107" i="63"/>
  <c r="Z107" i="63"/>
  <c r="W107" i="63" l="1"/>
  <c r="U107" i="63"/>
  <c r="N108" i="63" l="1"/>
  <c r="AT107" i="63"/>
  <c r="O108" i="63"/>
  <c r="AN108" i="63" s="1"/>
  <c r="AS108" i="63" s="1"/>
  <c r="AU107" i="63"/>
  <c r="AV107" i="63" s="1"/>
  <c r="Q108" i="63" l="1"/>
  <c r="M108" i="63"/>
  <c r="L108" i="63" s="1"/>
  <c r="Z108" i="63" l="1"/>
  <c r="AM108" i="63"/>
  <c r="V108" i="63"/>
  <c r="P108" i="63"/>
  <c r="U108" i="63" l="1"/>
  <c r="W108" i="63"/>
  <c r="AT108" i="63" l="1"/>
  <c r="AU108" i="63"/>
  <c r="AV108" i="63" s="1"/>
  <c r="N109" i="63"/>
  <c r="O109" i="63"/>
  <c r="AN109" i="63" s="1"/>
  <c r="AS109" i="63" s="1"/>
  <c r="M109" i="63" l="1"/>
  <c r="L109" i="63" s="1"/>
  <c r="Q109" i="63"/>
  <c r="V109" i="63" l="1"/>
  <c r="P109" i="63"/>
  <c r="Z109" i="63"/>
  <c r="AM109" i="63"/>
  <c r="U109" i="63" l="1"/>
  <c r="W109" i="63"/>
  <c r="O110" i="63" l="1"/>
  <c r="AN110" i="63" s="1"/>
  <c r="AS110" i="63" s="1"/>
  <c r="AU109" i="63"/>
  <c r="AV109" i="63" s="1"/>
  <c r="AT109" i="63"/>
  <c r="N110" i="63"/>
  <c r="M110" i="63" l="1"/>
  <c r="L110" i="63" s="1"/>
  <c r="Q110" i="63"/>
  <c r="V110" i="63" l="1"/>
  <c r="P110" i="63"/>
  <c r="Z110" i="63"/>
  <c r="AM110" i="63"/>
  <c r="U110" i="63" l="1"/>
  <c r="W110" i="63"/>
  <c r="AT110" i="63" l="1"/>
  <c r="N111" i="63"/>
  <c r="O111" i="63"/>
  <c r="AU110" i="63"/>
  <c r="AV110" i="63" s="1"/>
  <c r="Q111" i="63" l="1"/>
  <c r="V111" i="63" s="1"/>
  <c r="M111" i="63"/>
  <c r="L111" i="63" s="1"/>
  <c r="AN111" i="63"/>
  <c r="AS111" i="63" s="1"/>
  <c r="P111" i="63" l="1"/>
  <c r="U111" i="63" s="1"/>
  <c r="Z111" i="63"/>
  <c r="AM111" i="63"/>
  <c r="W111" i="63"/>
  <c r="N112" i="63" l="1"/>
  <c r="AU111" i="63"/>
  <c r="AV111" i="63" s="1"/>
  <c r="AT111" i="63"/>
  <c r="O112" i="63"/>
  <c r="AN112" i="63" l="1"/>
  <c r="AS112" i="63" s="1"/>
  <c r="M112" i="63"/>
  <c r="L112" i="63" s="1"/>
  <c r="Q112" i="63"/>
  <c r="V112" i="63" s="1"/>
  <c r="Z112" i="63" l="1"/>
  <c r="AM112" i="63"/>
  <c r="P112" i="63"/>
  <c r="U112" i="63" l="1"/>
  <c r="W112" i="63"/>
  <c r="N113" i="63" l="1"/>
  <c r="O113" i="63"/>
  <c r="AT112" i="63"/>
  <c r="AU112" i="63"/>
  <c r="AV112" i="63" s="1"/>
  <c r="AN113" i="63" l="1"/>
  <c r="AS113" i="63" s="1"/>
  <c r="M113" i="63"/>
  <c r="L113" i="63" s="1"/>
  <c r="Q113" i="63"/>
  <c r="V113" i="63" s="1"/>
  <c r="AM113" i="63" l="1"/>
  <c r="Z113" i="63"/>
  <c r="P113" i="63"/>
  <c r="W113" i="63" l="1"/>
  <c r="U113" i="63"/>
  <c r="N114" i="63" l="1"/>
  <c r="AT113" i="63"/>
  <c r="AU113" i="63"/>
  <c r="AV113" i="63" s="1"/>
  <c r="O114" i="63"/>
  <c r="AN114" i="63" l="1"/>
  <c r="AS114" i="63" s="1"/>
  <c r="M114" i="63"/>
  <c r="L114" i="63" s="1"/>
  <c r="Q114" i="63"/>
  <c r="V114" i="63" s="1"/>
  <c r="P114" i="63" l="1"/>
  <c r="Z114" i="63"/>
  <c r="AM114" i="63"/>
  <c r="U114" i="63" l="1"/>
  <c r="W114" i="63"/>
  <c r="O115" i="63" l="1"/>
  <c r="AT114" i="63"/>
  <c r="N115" i="63"/>
  <c r="AU114" i="63"/>
  <c r="AV114" i="63" s="1"/>
  <c r="Q115" i="63" l="1"/>
  <c r="V115" i="63" s="1"/>
  <c r="M115" i="63"/>
  <c r="L115" i="63" s="1"/>
  <c r="AN115" i="63"/>
  <c r="AS115" i="63" s="1"/>
  <c r="P115" i="63" l="1"/>
  <c r="U115" i="63" s="1"/>
  <c r="AM115" i="63"/>
  <c r="Z115" i="63"/>
  <c r="W115" i="63" l="1"/>
  <c r="AT115" i="63" s="1"/>
  <c r="AU115" i="63" l="1"/>
  <c r="AV115" i="63" s="1"/>
  <c r="N116" i="63"/>
  <c r="O116" i="63"/>
  <c r="M116" i="63"/>
  <c r="L116" i="63" s="1"/>
  <c r="Q116" i="63"/>
  <c r="V116" i="63" s="1"/>
  <c r="AN116" i="63"/>
  <c r="AS116" i="63" s="1"/>
  <c r="P116" i="63" l="1"/>
  <c r="Z116" i="63"/>
  <c r="AM116" i="63"/>
  <c r="U116" i="63" l="1"/>
  <c r="W116" i="63"/>
  <c r="O117" i="63" l="1"/>
  <c r="AT116" i="63"/>
  <c r="N117" i="63"/>
  <c r="AU116" i="63"/>
  <c r="AV116" i="63" s="1"/>
  <c r="M117" i="63" l="1"/>
  <c r="L117" i="63" s="1"/>
  <c r="Q117" i="63"/>
  <c r="V117" i="63" s="1"/>
  <c r="AN117" i="63"/>
  <c r="AS117" i="63" s="1"/>
  <c r="P117" i="63" l="1"/>
  <c r="U117" i="63" s="1"/>
  <c r="AM117" i="63"/>
  <c r="Z117" i="63"/>
  <c r="W117" i="63" l="1"/>
  <c r="N118" i="63" s="1"/>
  <c r="O118" i="63" l="1"/>
  <c r="AN118" i="63" s="1"/>
  <c r="AS118" i="63" s="1"/>
  <c r="AT117" i="63"/>
  <c r="AU117" i="63"/>
  <c r="AV117" i="63" s="1"/>
  <c r="Q118" i="63"/>
  <c r="M118" i="63"/>
  <c r="L118" i="63" s="1"/>
  <c r="AM118" i="63" l="1"/>
  <c r="Z118" i="63"/>
  <c r="V118" i="63"/>
  <c r="P118" i="63"/>
  <c r="U118" i="63" l="1"/>
  <c r="W118" i="63"/>
  <c r="O119" i="63" l="1"/>
  <c r="AN119" i="63" s="1"/>
  <c r="AS119" i="63" s="1"/>
  <c r="AT118" i="63"/>
  <c r="N119" i="63"/>
  <c r="AU118" i="63"/>
  <c r="AV118" i="63" s="1"/>
  <c r="Q119" i="63" l="1"/>
  <c r="M119" i="63"/>
  <c r="L119" i="63" s="1"/>
  <c r="AM119" i="63" l="1"/>
  <c r="Z119" i="63"/>
  <c r="P119" i="63"/>
  <c r="V119" i="63"/>
  <c r="W119" i="63" l="1"/>
  <c r="U119" i="63"/>
  <c r="N120" i="63" l="1"/>
  <c r="AT119" i="63"/>
  <c r="AU119" i="63"/>
  <c r="AV119" i="63" s="1"/>
  <c r="O120" i="63"/>
  <c r="AN120" i="63" s="1"/>
  <c r="AS120" i="63" s="1"/>
  <c r="M120" i="63" l="1"/>
  <c r="L120" i="63" s="1"/>
  <c r="Q120" i="63"/>
  <c r="V120" i="63" l="1"/>
  <c r="P120" i="63"/>
  <c r="Z120" i="63"/>
  <c r="AM120" i="63"/>
  <c r="U120" i="63" l="1"/>
  <c r="W120" i="63"/>
  <c r="O121" i="63" l="1"/>
  <c r="AN121" i="63" s="1"/>
  <c r="AS121" i="63" s="1"/>
  <c r="N121" i="63"/>
  <c r="AU120" i="63"/>
  <c r="AV120" i="63" s="1"/>
  <c r="AT120" i="63"/>
  <c r="M121" i="63" l="1"/>
  <c r="L121" i="63" s="1"/>
  <c r="Q121" i="63"/>
  <c r="V121" i="63" l="1"/>
  <c r="P121" i="63"/>
  <c r="Z121" i="63"/>
  <c r="AM121" i="63"/>
  <c r="U121" i="63" l="1"/>
  <c r="W121" i="63"/>
  <c r="AT121" i="63" l="1"/>
  <c r="AU121" i="63"/>
  <c r="AV121" i="63" s="1"/>
  <c r="N122" i="63"/>
  <c r="O122" i="63"/>
  <c r="AN122" i="63" s="1"/>
  <c r="AS122" i="63" s="1"/>
  <c r="Q122" i="63" l="1"/>
  <c r="M122" i="63"/>
  <c r="L122" i="63" s="1"/>
  <c r="AM122" i="63" l="1"/>
  <c r="Z122" i="63"/>
  <c r="V122" i="63"/>
  <c r="P122" i="63"/>
  <c r="U122" i="63" l="1"/>
  <c r="W122" i="63"/>
  <c r="AU122" i="63" l="1"/>
  <c r="AV122" i="63" s="1"/>
  <c r="N123" i="63"/>
  <c r="AT122" i="63"/>
  <c r="O123" i="63"/>
  <c r="AN123" i="63" s="1"/>
  <c r="AS123" i="63" s="1"/>
  <c r="Q123" i="63" l="1"/>
  <c r="M123" i="63"/>
  <c r="L123" i="63" s="1"/>
  <c r="AM123" i="63" l="1"/>
  <c r="Z123" i="63"/>
  <c r="V123" i="63"/>
  <c r="P123" i="63"/>
  <c r="U123" i="63" l="1"/>
  <c r="W123" i="63"/>
  <c r="O124" i="63" l="1"/>
  <c r="AN124" i="63" s="1"/>
  <c r="AS124" i="63" s="1"/>
  <c r="N124" i="63"/>
  <c r="AT123" i="63"/>
  <c r="AU123" i="63"/>
  <c r="AV123" i="63" s="1"/>
  <c r="Q124" i="63" l="1"/>
  <c r="M124" i="63"/>
  <c r="L124" i="63" s="1"/>
  <c r="Z124" i="63" l="1"/>
  <c r="AM124" i="63"/>
  <c r="V124" i="63"/>
  <c r="P124" i="63"/>
  <c r="U124" i="63" l="1"/>
  <c r="W124" i="63"/>
  <c r="O125" i="63" l="1"/>
  <c r="N125" i="63"/>
  <c r="AT124" i="63"/>
  <c r="AU124" i="63"/>
  <c r="AV124" i="63" s="1"/>
  <c r="M125" i="63" l="1"/>
  <c r="L125" i="63" s="1"/>
  <c r="Q125" i="63"/>
  <c r="V125" i="63" s="1"/>
  <c r="AN125" i="63"/>
  <c r="AS125" i="63" s="1"/>
  <c r="P125" i="63" l="1"/>
  <c r="W125" i="63" s="1"/>
  <c r="AM125" i="63"/>
  <c r="Z125" i="63"/>
  <c r="U125" i="63" l="1"/>
  <c r="AT125" i="63"/>
  <c r="AU125" i="63"/>
  <c r="AV125" i="63" s="1"/>
  <c r="O126" i="63"/>
  <c r="N126" i="63"/>
  <c r="Q126" i="63" l="1"/>
  <c r="V126" i="63" s="1"/>
  <c r="M126" i="63"/>
  <c r="L126" i="63" s="1"/>
  <c r="AN126" i="63"/>
  <c r="AS126" i="63" s="1"/>
  <c r="P126" i="63" l="1"/>
  <c r="U126" i="63" s="1"/>
  <c r="Z126" i="63"/>
  <c r="AM126" i="63"/>
  <c r="W126" i="63" l="1"/>
  <c r="N127" i="63" s="1"/>
  <c r="O127" i="63" l="1"/>
  <c r="AN127" i="63" s="1"/>
  <c r="AS127" i="63" s="1"/>
  <c r="AT126" i="63"/>
  <c r="AU126" i="63"/>
  <c r="AV126" i="63" s="1"/>
  <c r="M127" i="63"/>
  <c r="L127" i="63" s="1"/>
  <c r="Q127" i="63"/>
  <c r="V127" i="63" l="1"/>
  <c r="P127" i="63"/>
  <c r="AM127" i="63"/>
  <c r="Z127" i="63"/>
  <c r="U127" i="63" l="1"/>
  <c r="W127" i="63"/>
  <c r="AT127" i="63" l="1"/>
  <c r="O128" i="63"/>
  <c r="AN128" i="63" s="1"/>
  <c r="AS128" i="63" s="1"/>
  <c r="AU127" i="63"/>
  <c r="AV127" i="63" s="1"/>
  <c r="N128" i="63"/>
  <c r="M128" i="63" l="1"/>
  <c r="L128" i="63" s="1"/>
  <c r="Q128" i="63"/>
  <c r="V128" i="63" l="1"/>
  <c r="P128" i="63"/>
  <c r="Z128" i="63"/>
  <c r="AM128" i="63"/>
  <c r="W128" i="63" l="1"/>
  <c r="U128" i="63"/>
  <c r="O129" i="63" l="1"/>
  <c r="AN129" i="63" s="1"/>
  <c r="AS129" i="63" s="1"/>
  <c r="AT128" i="63"/>
  <c r="AU128" i="63"/>
  <c r="AV128" i="63" s="1"/>
  <c r="N129" i="63"/>
  <c r="M129" i="63" l="1"/>
  <c r="L129" i="63" s="1"/>
  <c r="Q129" i="63"/>
  <c r="V129" i="63" l="1"/>
  <c r="P129" i="63"/>
  <c r="Z129" i="63"/>
  <c r="AM129" i="63"/>
  <c r="U129" i="63" l="1"/>
  <c r="W129" i="63"/>
  <c r="AU129" i="63" l="1"/>
  <c r="AV129" i="63" s="1"/>
  <c r="N130" i="63"/>
  <c r="AT129" i="63"/>
  <c r="O130" i="63"/>
  <c r="AN130" i="63" s="1"/>
  <c r="AS130" i="63" s="1"/>
  <c r="M130" i="63" l="1"/>
  <c r="L130" i="63" s="1"/>
  <c r="Q130" i="63"/>
  <c r="V130" i="63" l="1"/>
  <c r="P130" i="63"/>
  <c r="Z130" i="63"/>
  <c r="AM130" i="63"/>
  <c r="U130" i="63" l="1"/>
  <c r="W130" i="63"/>
  <c r="O131" i="63" l="1"/>
  <c r="AN131" i="63" s="1"/>
  <c r="AS131" i="63" s="1"/>
  <c r="AU130" i="63"/>
  <c r="AV130" i="63" s="1"/>
  <c r="N131" i="63"/>
  <c r="AT130" i="63"/>
  <c r="M131" i="63" l="1"/>
  <c r="L131" i="63" s="1"/>
  <c r="Q131" i="63"/>
  <c r="V131" i="63" l="1"/>
  <c r="P131" i="63"/>
  <c r="Z131" i="63"/>
  <c r="AM131" i="63"/>
  <c r="U131" i="63" l="1"/>
  <c r="W131" i="63"/>
  <c r="N132" i="63" l="1"/>
  <c r="O132" i="63"/>
  <c r="AN132" i="63" s="1"/>
  <c r="AS132" i="63" s="1"/>
  <c r="AT131" i="63"/>
  <c r="AU131" i="63"/>
  <c r="AV131" i="63" s="1"/>
  <c r="M132" i="63" l="1"/>
  <c r="L132" i="63" s="1"/>
  <c r="Q132" i="63"/>
  <c r="V132" i="63" l="1"/>
  <c r="P132" i="63"/>
  <c r="AM132" i="63"/>
  <c r="Z132" i="63"/>
  <c r="U132" i="63" l="1"/>
  <c r="W132" i="63"/>
  <c r="N133" i="63" l="1"/>
  <c r="AU132" i="63"/>
  <c r="AV132" i="63" s="1"/>
  <c r="O133" i="63"/>
  <c r="AN133" i="63" s="1"/>
  <c r="AS133" i="63" s="1"/>
  <c r="AT132" i="63"/>
  <c r="M133" i="63" l="1"/>
  <c r="L133" i="63" s="1"/>
  <c r="Q133" i="63"/>
  <c r="V133" i="63" l="1"/>
  <c r="P133" i="63"/>
  <c r="AM133" i="63"/>
  <c r="Z133" i="63"/>
  <c r="U133" i="63" l="1"/>
  <c r="W133" i="63"/>
  <c r="AU133" i="63" l="1"/>
  <c r="AV133" i="63" s="1"/>
  <c r="AT133" i="63"/>
  <c r="N134" i="63"/>
  <c r="O134" i="63"/>
  <c r="AN134" i="63" s="1"/>
  <c r="AS134" i="63" s="1"/>
  <c r="M134" i="63" l="1"/>
  <c r="L134" i="63" s="1"/>
  <c r="Q134" i="63"/>
  <c r="V134" i="63" l="1"/>
  <c r="P134" i="63"/>
  <c r="Z134" i="63"/>
  <c r="AM134" i="63"/>
  <c r="W134" i="63" l="1"/>
  <c r="U134" i="63"/>
  <c r="AT134" i="63" l="1"/>
  <c r="O135" i="63"/>
  <c r="AN135" i="63" s="1"/>
  <c r="AS135" i="63" s="1"/>
  <c r="AU134" i="63"/>
  <c r="AV134" i="63" s="1"/>
  <c r="N135" i="63"/>
  <c r="Q135" i="63" l="1"/>
  <c r="M135" i="63"/>
  <c r="L135" i="63" s="1"/>
  <c r="Z135" i="63" l="1"/>
  <c r="AM135" i="63"/>
  <c r="V135" i="63"/>
  <c r="P135" i="63"/>
  <c r="U135" i="63" l="1"/>
  <c r="W135" i="63"/>
  <c r="N136" i="63" l="1"/>
  <c r="AU135" i="63"/>
  <c r="AV135" i="63" s="1"/>
  <c r="AT135" i="63"/>
  <c r="O136" i="63"/>
  <c r="AN136" i="63" s="1"/>
  <c r="AS136" i="63" s="1"/>
  <c r="Q136" i="63" l="1"/>
  <c r="M136" i="63"/>
  <c r="L136" i="63" s="1"/>
  <c r="Z136" i="63" l="1"/>
  <c r="AM136" i="63"/>
  <c r="V136" i="63"/>
  <c r="P136" i="63"/>
  <c r="U136" i="63" l="1"/>
  <c r="W136" i="63"/>
  <c r="AU136" i="63" l="1"/>
  <c r="AV136" i="63" s="1"/>
  <c r="O137" i="63"/>
  <c r="AN137" i="63" s="1"/>
  <c r="AS137" i="63" s="1"/>
  <c r="N137" i="63"/>
  <c r="AT136" i="63"/>
  <c r="Q137" i="63" l="1"/>
  <c r="M137" i="63"/>
  <c r="L137" i="63" s="1"/>
  <c r="Z137" i="63" l="1"/>
  <c r="AM137" i="63"/>
  <c r="V137" i="63"/>
  <c r="P137" i="63"/>
  <c r="W137" i="63" l="1"/>
  <c r="U137" i="63"/>
  <c r="N138" i="63" l="1"/>
  <c r="AU137" i="63"/>
  <c r="AV137" i="63" s="1"/>
  <c r="O138" i="63"/>
  <c r="AN138" i="63" s="1"/>
  <c r="AS138" i="63" s="1"/>
  <c r="AT137" i="63"/>
  <c r="Q138" i="63" l="1"/>
  <c r="M138" i="63"/>
  <c r="L138" i="63" s="1"/>
  <c r="Z138" i="63" l="1"/>
  <c r="AM138" i="63"/>
  <c r="V138" i="63"/>
  <c r="P138" i="63"/>
  <c r="U138" i="63" l="1"/>
  <c r="W138" i="63"/>
  <c r="O139" i="63" l="1"/>
  <c r="AN139" i="63" s="1"/>
  <c r="AS139" i="63" s="1"/>
  <c r="N139" i="63"/>
  <c r="AU138" i="63"/>
  <c r="AV138" i="63" s="1"/>
  <c r="AT138" i="63"/>
  <c r="Q139" i="63" l="1"/>
  <c r="M139" i="63"/>
  <c r="L139" i="63" s="1"/>
  <c r="Z139" i="63" l="1"/>
  <c r="AM139" i="63"/>
  <c r="V139" i="63"/>
  <c r="P139" i="63"/>
  <c r="U139" i="63" l="1"/>
  <c r="W139" i="63"/>
  <c r="AT139" i="63" l="1"/>
  <c r="N140" i="63"/>
  <c r="O140" i="63"/>
  <c r="AU139" i="63"/>
  <c r="AV139" i="63" s="1"/>
  <c r="AN140" i="63" l="1"/>
  <c r="AS140" i="63" s="1"/>
  <c r="Q140" i="63"/>
  <c r="V140" i="63" s="1"/>
  <c r="M140" i="63"/>
  <c r="L140" i="63" s="1"/>
  <c r="Z140" i="63" l="1"/>
  <c r="AM140" i="63"/>
  <c r="P140" i="63"/>
  <c r="U140" i="63" l="1"/>
  <c r="W140" i="63"/>
  <c r="N141" i="63" l="1"/>
  <c r="O141" i="63"/>
  <c r="AU140" i="63"/>
  <c r="AV140" i="63" s="1"/>
  <c r="AT140" i="63"/>
  <c r="AN141" i="63" l="1"/>
  <c r="AS141" i="63" s="1"/>
  <c r="Q141" i="63"/>
  <c r="V141" i="63" s="1"/>
  <c r="M141" i="63"/>
  <c r="L141" i="63" s="1"/>
  <c r="P141" i="63" l="1"/>
  <c r="Z141" i="63"/>
  <c r="AM141" i="63"/>
  <c r="U141" i="63" l="1"/>
  <c r="W141" i="63"/>
  <c r="AT141" i="63" l="1"/>
  <c r="O142" i="63"/>
  <c r="AU141" i="63"/>
  <c r="AV141" i="63" s="1"/>
  <c r="N142" i="63"/>
  <c r="Q142" i="63" l="1"/>
  <c r="V142" i="63" s="1"/>
  <c r="M142" i="63"/>
  <c r="L142" i="63" s="1"/>
  <c r="AN142" i="63"/>
  <c r="AS142" i="63" s="1"/>
  <c r="P142" i="63" l="1"/>
  <c r="U142" i="63" s="1"/>
  <c r="Z142" i="63"/>
  <c r="AM142" i="63"/>
  <c r="W142" i="63" l="1"/>
  <c r="N143" i="63" s="1"/>
  <c r="O143" i="63" l="1"/>
  <c r="AN143" i="63" s="1"/>
  <c r="AS143" i="63" s="1"/>
  <c r="AU142" i="63"/>
  <c r="AV142" i="63" s="1"/>
  <c r="AT142" i="63"/>
  <c r="Q143" i="63"/>
  <c r="M143" i="63"/>
  <c r="L143" i="63" s="1"/>
  <c r="Z143" i="63" l="1"/>
  <c r="AM143" i="63"/>
  <c r="V143" i="63"/>
  <c r="P143" i="63"/>
  <c r="U143" i="63" l="1"/>
  <c r="W143" i="63"/>
  <c r="AU143" i="63" l="1"/>
  <c r="AV143" i="63" s="1"/>
  <c r="N144" i="63"/>
  <c r="AT143" i="63"/>
  <c r="O144" i="63"/>
  <c r="AN144" i="63" s="1"/>
  <c r="AS144" i="63" s="1"/>
  <c r="M144" i="63" l="1"/>
  <c r="L144" i="63" s="1"/>
  <c r="Q144" i="63"/>
  <c r="V144" i="63" l="1"/>
  <c r="P144" i="63"/>
  <c r="AM144" i="63"/>
  <c r="Z144" i="63"/>
  <c r="U144" i="63" l="1"/>
  <c r="W144" i="63"/>
  <c r="N145" i="63" l="1"/>
  <c r="AT144" i="63"/>
  <c r="O145" i="63"/>
  <c r="AN145" i="63" s="1"/>
  <c r="AS145" i="63" s="1"/>
  <c r="AU144" i="63"/>
  <c r="AV144" i="63" s="1"/>
  <c r="Q145" i="63" l="1"/>
  <c r="M145" i="63"/>
  <c r="L145" i="63" s="1"/>
  <c r="Z145" i="63" l="1"/>
  <c r="AM145" i="63"/>
  <c r="V145" i="63"/>
  <c r="P145" i="63"/>
  <c r="W145" i="63" l="1"/>
  <c r="U145" i="63"/>
  <c r="AU145" i="63" l="1"/>
  <c r="AV145" i="63" s="1"/>
  <c r="N146" i="63"/>
  <c r="AT145" i="63"/>
  <c r="O146" i="63"/>
  <c r="AN146" i="63" s="1"/>
  <c r="AS146" i="63" s="1"/>
  <c r="Q146" i="63" l="1"/>
  <c r="M146" i="63"/>
  <c r="L146" i="63" s="1"/>
  <c r="AM146" i="63" l="1"/>
  <c r="Z146" i="63"/>
  <c r="V146" i="63"/>
  <c r="P146" i="63"/>
  <c r="U146" i="63" l="1"/>
  <c r="W146" i="63"/>
  <c r="AU146" i="63" l="1"/>
  <c r="AV146" i="63" s="1"/>
  <c r="AT146" i="63"/>
  <c r="N147" i="63"/>
  <c r="O147" i="63"/>
  <c r="AN147" i="63" s="1"/>
  <c r="AS147" i="63" s="1"/>
  <c r="Q147" i="63" l="1"/>
  <c r="M147" i="63"/>
  <c r="L147" i="63" s="1"/>
  <c r="AM147" i="63" l="1"/>
  <c r="Z147" i="63"/>
  <c r="V147" i="63"/>
  <c r="P147" i="63"/>
  <c r="U147" i="63" l="1"/>
  <c r="W147" i="63"/>
  <c r="N148" i="63" l="1"/>
  <c r="AU147" i="63"/>
  <c r="AV147" i="63" s="1"/>
  <c r="O148" i="63"/>
  <c r="AN148" i="63" s="1"/>
  <c r="AS148" i="63" s="1"/>
  <c r="AT147" i="63"/>
  <c r="Q148" i="63" l="1"/>
  <c r="M148" i="63"/>
  <c r="L148" i="63" s="1"/>
  <c r="Z148" i="63" l="1"/>
  <c r="AM148" i="63"/>
  <c r="V148" i="63"/>
  <c r="P148" i="63"/>
  <c r="U148" i="63" l="1"/>
  <c r="W148" i="63"/>
  <c r="N149" i="63" l="1"/>
  <c r="AT148" i="63"/>
  <c r="O149" i="63"/>
  <c r="AU148" i="63"/>
  <c r="AV148" i="63" s="1"/>
  <c r="AN149" i="63" l="1"/>
  <c r="AS149" i="63" s="1"/>
  <c r="M149" i="63"/>
  <c r="L149" i="63" s="1"/>
  <c r="Q149" i="63"/>
  <c r="V149" i="63" s="1"/>
  <c r="P149" i="63" l="1"/>
  <c r="Z149" i="63"/>
  <c r="AM149" i="63"/>
  <c r="W149" i="63" l="1"/>
  <c r="U149" i="63"/>
  <c r="O150" i="63" l="1"/>
  <c r="AT149" i="63"/>
  <c r="AU149" i="63"/>
  <c r="AV149" i="63" s="1"/>
  <c r="N150" i="63"/>
  <c r="M150" i="63" l="1"/>
  <c r="L150" i="63" s="1"/>
  <c r="Q150" i="63"/>
  <c r="V150" i="63" s="1"/>
  <c r="AN150" i="63"/>
  <c r="AS150" i="63" s="1"/>
  <c r="P150" i="63" l="1"/>
  <c r="U150" i="63" s="1"/>
  <c r="Z150" i="63"/>
  <c r="AM150" i="63"/>
  <c r="W150" i="63" l="1"/>
  <c r="AT150" i="63" s="1"/>
  <c r="O151" i="63" l="1"/>
  <c r="AN151" i="63" s="1"/>
  <c r="AS151" i="63" s="1"/>
  <c r="AU150" i="63"/>
  <c r="AV150" i="63" s="1"/>
  <c r="N151" i="63"/>
  <c r="M151" i="63" s="1"/>
  <c r="L151" i="63" s="1"/>
  <c r="Q151" i="63" l="1"/>
  <c r="V151" i="63" s="1"/>
  <c r="Z151" i="63"/>
  <c r="AM151" i="63"/>
  <c r="P151" i="63" l="1"/>
  <c r="U151" i="63" s="1"/>
  <c r="W151" i="63" l="1"/>
  <c r="AT151" i="63" s="1"/>
  <c r="AU151" i="63"/>
  <c r="AV151" i="63" s="1"/>
  <c r="N152" i="63"/>
  <c r="O152" i="63" l="1"/>
  <c r="Q152" i="63"/>
  <c r="V152" i="63" s="1"/>
  <c r="M152" i="63"/>
  <c r="L152" i="63" s="1"/>
  <c r="AN152" i="63"/>
  <c r="AS152" i="63" s="1"/>
  <c r="P152" i="63" l="1"/>
  <c r="U152" i="63" s="1"/>
  <c r="Z152" i="63"/>
  <c r="AM152" i="63"/>
  <c r="W152" i="63" l="1"/>
  <c r="O153" i="63"/>
  <c r="AN153" i="63" s="1"/>
  <c r="AS153" i="63" s="1"/>
  <c r="AT152" i="63"/>
  <c r="AU152" i="63"/>
  <c r="AV152" i="63" s="1"/>
  <c r="N153" i="63"/>
  <c r="Q153" i="63" l="1"/>
  <c r="M153" i="63"/>
  <c r="L153" i="63" s="1"/>
  <c r="Z153" i="63" l="1"/>
  <c r="AM153" i="63"/>
  <c r="V153" i="63"/>
  <c r="P153" i="63"/>
  <c r="U153" i="63" l="1"/>
  <c r="W153" i="63"/>
  <c r="AU153" i="63" l="1"/>
  <c r="AV153" i="63" s="1"/>
  <c r="AT153" i="63"/>
  <c r="O154" i="63"/>
  <c r="AN154" i="63" s="1"/>
  <c r="AS154" i="63" s="1"/>
  <c r="N154" i="63"/>
  <c r="M154" i="63" l="1"/>
  <c r="L154" i="63" s="1"/>
  <c r="Q154" i="63"/>
  <c r="V154" i="63" l="1"/>
  <c r="P154" i="63"/>
  <c r="Z154" i="63"/>
  <c r="AM154" i="63"/>
  <c r="W154" i="63" l="1"/>
  <c r="U154" i="63"/>
  <c r="AU154" i="63" l="1"/>
  <c r="AV154" i="63" s="1"/>
  <c r="N155" i="63"/>
  <c r="AT154" i="63"/>
  <c r="O155" i="63"/>
  <c r="AN155" i="63" s="1"/>
  <c r="AS155" i="63" s="1"/>
  <c r="Q155" i="63" l="1"/>
  <c r="M155" i="63"/>
  <c r="L155" i="63" s="1"/>
  <c r="Z155" i="63" l="1"/>
  <c r="AM155" i="63"/>
  <c r="V155" i="63"/>
  <c r="P155" i="63"/>
  <c r="W155" i="63" l="1"/>
  <c r="U155" i="63"/>
  <c r="AT155" i="63" l="1"/>
  <c r="O156" i="63"/>
  <c r="AN156" i="63" s="1"/>
  <c r="AS156" i="63" s="1"/>
  <c r="N156" i="63"/>
  <c r="AU155" i="63"/>
  <c r="AV155" i="63" s="1"/>
  <c r="Q156" i="63" l="1"/>
  <c r="M156" i="63"/>
  <c r="L156" i="63" s="1"/>
  <c r="AM156" i="63" l="1"/>
  <c r="Z156" i="63"/>
  <c r="V156" i="63"/>
  <c r="P156" i="63"/>
  <c r="W156" i="63" l="1"/>
  <c r="U156" i="63"/>
  <c r="AU156" i="63" l="1"/>
  <c r="AV156" i="63" s="1"/>
  <c r="AT156" i="63"/>
  <c r="N157" i="63"/>
  <c r="O157" i="63"/>
  <c r="AN157" i="63" l="1"/>
  <c r="AS157" i="63" s="1"/>
  <c r="Q157" i="63"/>
  <c r="V157" i="63" s="1"/>
  <c r="M157" i="63"/>
  <c r="L157" i="63" s="1"/>
  <c r="Z157" i="63" l="1"/>
  <c r="AM157" i="63"/>
  <c r="P157" i="63"/>
  <c r="U157" i="63" l="1"/>
  <c r="W157" i="63"/>
  <c r="N158" i="63" l="1"/>
  <c r="O158" i="63"/>
  <c r="AT157" i="63"/>
  <c r="AU157" i="63"/>
  <c r="AV157" i="63" s="1"/>
  <c r="AN158" i="63" l="1"/>
  <c r="AS158" i="63" s="1"/>
  <c r="Q158" i="63"/>
  <c r="V158" i="63" s="1"/>
  <c r="M158" i="63"/>
  <c r="L158" i="63" s="1"/>
  <c r="Z158" i="63" l="1"/>
  <c r="AM158" i="63"/>
  <c r="P158" i="63"/>
  <c r="U158" i="63" l="1"/>
  <c r="W158" i="63"/>
  <c r="AT158" i="63" l="1"/>
  <c r="N159" i="63"/>
  <c r="AU158" i="63"/>
  <c r="AV158" i="63" s="1"/>
  <c r="O159" i="63"/>
  <c r="AN159" i="63" l="1"/>
  <c r="AS159" i="63" s="1"/>
  <c r="Q159" i="63"/>
  <c r="V159" i="63" s="1"/>
  <c r="M159" i="63"/>
  <c r="L159" i="63" s="1"/>
  <c r="Z159" i="63" l="1"/>
  <c r="AM159" i="63"/>
  <c r="P159" i="63"/>
  <c r="U159" i="63" l="1"/>
  <c r="W159" i="63"/>
  <c r="O160" i="63" l="1"/>
  <c r="N160" i="63"/>
  <c r="AU159" i="63"/>
  <c r="AV159" i="63" s="1"/>
  <c r="AT159" i="63"/>
  <c r="Q160" i="63" l="1"/>
  <c r="V160" i="63" s="1"/>
  <c r="M160" i="63"/>
  <c r="L160" i="63" s="1"/>
  <c r="AN160" i="63"/>
  <c r="AS160" i="63" s="1"/>
  <c r="P160" i="63" l="1"/>
  <c r="U160" i="63" s="1"/>
  <c r="Z160" i="63"/>
  <c r="AM160" i="63"/>
  <c r="W160" i="63" l="1"/>
  <c r="O161" i="63" s="1"/>
  <c r="AN161" i="63" s="1"/>
  <c r="AS161" i="63" s="1"/>
  <c r="N161" i="63" l="1"/>
  <c r="Q161" i="63" s="1"/>
  <c r="AT160" i="63"/>
  <c r="AU160" i="63"/>
  <c r="AV160" i="63" s="1"/>
  <c r="M161" i="63" l="1"/>
  <c r="L161" i="63" s="1"/>
  <c r="AM161" i="63" s="1"/>
  <c r="V161" i="63"/>
  <c r="P161" i="63"/>
  <c r="Z161" i="63" l="1"/>
  <c r="U161" i="63"/>
  <c r="W161" i="63"/>
  <c r="AT161" i="63" l="1"/>
  <c r="AU161" i="63"/>
  <c r="AV161" i="63" s="1"/>
  <c r="O162" i="63"/>
  <c r="AN162" i="63" s="1"/>
  <c r="AS162" i="63" s="1"/>
  <c r="N162" i="63"/>
  <c r="M162" i="63" l="1"/>
  <c r="L162" i="63" s="1"/>
  <c r="Q162" i="63"/>
  <c r="V162" i="63" l="1"/>
  <c r="P162" i="63"/>
  <c r="AM162" i="63"/>
  <c r="Z162" i="63"/>
  <c r="W162" i="63" l="1"/>
  <c r="U162" i="63"/>
  <c r="O163" i="63" l="1"/>
  <c r="AN163" i="63" s="1"/>
  <c r="AS163" i="63" s="1"/>
  <c r="AT162" i="63"/>
  <c r="N163" i="63"/>
  <c r="AU162" i="63"/>
  <c r="AV162" i="63" s="1"/>
  <c r="Q163" i="63" l="1"/>
  <c r="M163" i="63"/>
  <c r="L163" i="63" s="1"/>
  <c r="Z163" i="63" l="1"/>
  <c r="AM163" i="63"/>
  <c r="V163" i="63"/>
  <c r="P163" i="63"/>
  <c r="W163" i="63" l="1"/>
  <c r="U163" i="63"/>
  <c r="AT163" i="63" l="1"/>
  <c r="AU163" i="63"/>
  <c r="AV163" i="63" s="1"/>
  <c r="N164" i="63"/>
  <c r="O164" i="63"/>
  <c r="AN164" i="63" l="1"/>
  <c r="AS164" i="63" s="1"/>
  <c r="M164" i="63"/>
  <c r="L164" i="63" s="1"/>
  <c r="Q164" i="63"/>
  <c r="V164" i="63" s="1"/>
  <c r="Z164" i="63" l="1"/>
  <c r="AM164" i="63"/>
  <c r="P164" i="63"/>
  <c r="U164" i="63" l="1"/>
  <c r="W164" i="63"/>
  <c r="AT164" i="63" l="1"/>
  <c r="AU164" i="63"/>
  <c r="AV164" i="63" s="1"/>
  <c r="N165" i="63"/>
  <c r="O165" i="63"/>
  <c r="AN165" i="63" l="1"/>
  <c r="AS165" i="63" s="1"/>
  <c r="Q165" i="63"/>
  <c r="V165" i="63" s="1"/>
  <c r="M165" i="63"/>
  <c r="L165" i="63" s="1"/>
  <c r="AM165" i="63" l="1"/>
  <c r="Z165" i="63"/>
  <c r="P165" i="63"/>
  <c r="W165" i="63" l="1"/>
  <c r="U165" i="63"/>
  <c r="N166" i="63" l="1"/>
  <c r="AU165" i="63"/>
  <c r="AV165" i="63" s="1"/>
  <c r="O166" i="63"/>
  <c r="AT165" i="63"/>
  <c r="AN166" i="63" l="1"/>
  <c r="AS166" i="63" s="1"/>
  <c r="Q166" i="63"/>
  <c r="V166" i="63" s="1"/>
  <c r="M166" i="63"/>
  <c r="L166" i="63" s="1"/>
  <c r="Z166" i="63" l="1"/>
  <c r="AM166" i="63"/>
  <c r="P166" i="63"/>
  <c r="U166" i="63" l="1"/>
  <c r="W166" i="63"/>
  <c r="AU166" i="63" l="1"/>
  <c r="AV166" i="63" s="1"/>
  <c r="AT166" i="63"/>
  <c r="N167" i="63"/>
  <c r="O167" i="63"/>
  <c r="AN167" i="63" l="1"/>
  <c r="AS167" i="63" s="1"/>
  <c r="M167" i="63"/>
  <c r="L167" i="63" s="1"/>
  <c r="Q167" i="63"/>
  <c r="V167" i="63" s="1"/>
  <c r="Z167" i="63" l="1"/>
  <c r="AM167" i="63"/>
  <c r="P167" i="63"/>
  <c r="U167" i="63" l="1"/>
  <c r="W167" i="63"/>
  <c r="AT167" i="63" l="1"/>
  <c r="O168" i="63"/>
  <c r="AU167" i="63"/>
  <c r="AV167" i="63" s="1"/>
  <c r="N168" i="63"/>
  <c r="AN168" i="63" l="1"/>
  <c r="AS168" i="63" s="1"/>
  <c r="Q168" i="63"/>
  <c r="V168" i="63" s="1"/>
  <c r="M168" i="63"/>
  <c r="L168" i="63" s="1"/>
  <c r="Z168" i="63" l="1"/>
  <c r="AM168" i="63"/>
  <c r="P168" i="63"/>
  <c r="U168" i="63" l="1"/>
  <c r="W168" i="63"/>
  <c r="O169" i="63" l="1"/>
  <c r="N169" i="63"/>
  <c r="AT168" i="63"/>
  <c r="AU168" i="63"/>
  <c r="AV168" i="63" s="1"/>
  <c r="M169" i="63" l="1"/>
  <c r="L169" i="63" s="1"/>
  <c r="Q169" i="63"/>
  <c r="V169" i="63" s="1"/>
  <c r="AN169" i="63"/>
  <c r="AS169" i="63" s="1"/>
  <c r="P169" i="63" l="1"/>
  <c r="U169" i="63" s="1"/>
  <c r="Z169" i="63"/>
  <c r="AM169" i="63"/>
  <c r="W169" i="63" l="1"/>
  <c r="AT169" i="63" s="1"/>
  <c r="O170" i="63" l="1"/>
  <c r="AN170" i="63" s="1"/>
  <c r="AS170" i="63" s="1"/>
  <c r="N170" i="63"/>
  <c r="M170" i="63" s="1"/>
  <c r="L170" i="63" s="1"/>
  <c r="AU169" i="63"/>
  <c r="AV169" i="63" s="1"/>
  <c r="Q170" i="63"/>
  <c r="V170" i="63" s="1"/>
  <c r="P170" i="63" l="1"/>
  <c r="Z170" i="63"/>
  <c r="AM170" i="63"/>
  <c r="U170" i="63" l="1"/>
  <c r="W170" i="63"/>
  <c r="AU170" i="63" l="1"/>
  <c r="AV170" i="63" s="1"/>
  <c r="N171" i="63"/>
  <c r="AT170" i="63"/>
  <c r="O171" i="63"/>
  <c r="AN171" i="63" l="1"/>
  <c r="AS171" i="63" s="1"/>
  <c r="Q171" i="63"/>
  <c r="V171" i="63" s="1"/>
  <c r="M171" i="63"/>
  <c r="L171" i="63" s="1"/>
  <c r="AM171" i="63" l="1"/>
  <c r="Z171" i="63"/>
  <c r="P171" i="63"/>
  <c r="U171" i="63" l="1"/>
  <c r="W171" i="63"/>
  <c r="AU171" i="63" l="1"/>
  <c r="AV171" i="63" s="1"/>
  <c r="N172" i="63"/>
  <c r="AT171" i="63"/>
  <c r="O172" i="63"/>
  <c r="AN172" i="63" l="1"/>
  <c r="AS172" i="63" s="1"/>
  <c r="M172" i="63"/>
  <c r="L172" i="63" s="1"/>
  <c r="Q172" i="63"/>
  <c r="V172" i="63" s="1"/>
  <c r="AM172" i="63" l="1"/>
  <c r="Z172" i="63"/>
  <c r="P172" i="63"/>
  <c r="U172" i="63" l="1"/>
  <c r="W172" i="63"/>
  <c r="AT172" i="63" l="1"/>
  <c r="AU172" i="63"/>
  <c r="AV172" i="63" s="1"/>
  <c r="O173" i="63"/>
  <c r="N173" i="63"/>
  <c r="M173" i="63" l="1"/>
  <c r="L173" i="63" s="1"/>
  <c r="Q173" i="63"/>
  <c r="V173" i="63" s="1"/>
  <c r="AN173" i="63"/>
  <c r="AS173" i="63" s="1"/>
  <c r="P173" i="63" l="1"/>
  <c r="U173" i="63" s="1"/>
  <c r="Z173" i="63"/>
  <c r="AM173" i="63"/>
  <c r="W173" i="63" l="1"/>
  <c r="AT173" i="63" s="1"/>
  <c r="O174" i="63"/>
  <c r="N174" i="63"/>
  <c r="AU173" i="63" l="1"/>
  <c r="AV173" i="63" s="1"/>
  <c r="M174" i="63"/>
  <c r="L174" i="63" s="1"/>
  <c r="Q174" i="63"/>
  <c r="V174" i="63" s="1"/>
  <c r="AN174" i="63"/>
  <c r="AS174" i="63" s="1"/>
  <c r="P174" i="63" l="1"/>
  <c r="AM174" i="63"/>
  <c r="Z174" i="63"/>
  <c r="U174" i="63" l="1"/>
  <c r="W174" i="63"/>
  <c r="AU174" i="63" l="1"/>
  <c r="AV174" i="63" s="1"/>
  <c r="AT174" i="63"/>
  <c r="O175" i="63"/>
  <c r="N175" i="63"/>
  <c r="Q175" i="63" l="1"/>
  <c r="V175" i="63" s="1"/>
  <c r="M175" i="63"/>
  <c r="L175" i="63" s="1"/>
  <c r="AN175" i="63"/>
  <c r="AS175" i="63" s="1"/>
  <c r="P175" i="63" l="1"/>
  <c r="U175" i="63" s="1"/>
  <c r="AM175" i="63"/>
  <c r="Z175" i="63"/>
  <c r="W175" i="63" l="1"/>
  <c r="AU175" i="63" s="1"/>
  <c r="AV175" i="63" s="1"/>
  <c r="O176" i="63" l="1"/>
  <c r="AN176" i="63" s="1"/>
  <c r="AS176" i="63" s="1"/>
  <c r="N176" i="63"/>
  <c r="M176" i="63" s="1"/>
  <c r="L176" i="63" s="1"/>
  <c r="AT175" i="63"/>
  <c r="Q176" i="63" l="1"/>
  <c r="V176" i="63" s="1"/>
  <c r="Z176" i="63"/>
  <c r="AM176" i="63"/>
  <c r="P176" i="63" l="1"/>
  <c r="U176" i="63" s="1"/>
  <c r="W176" i="63" l="1"/>
  <c r="N177" i="63" s="1"/>
  <c r="AT176" i="63"/>
  <c r="O177" i="63"/>
  <c r="AU176" i="63"/>
  <c r="AV176" i="63" s="1"/>
  <c r="AN177" i="63" l="1"/>
  <c r="AS177" i="63" s="1"/>
  <c r="M177" i="63"/>
  <c r="L177" i="63" s="1"/>
  <c r="Q177" i="63"/>
  <c r="V177" i="63" s="1"/>
  <c r="Z177" i="63" l="1"/>
  <c r="AM177" i="63"/>
  <c r="P177" i="63"/>
  <c r="U177" i="63" l="1"/>
  <c r="W177" i="63"/>
  <c r="O178" i="63" l="1"/>
  <c r="N178" i="63"/>
  <c r="AU177" i="63"/>
  <c r="AV177" i="63" s="1"/>
  <c r="AT177" i="63"/>
  <c r="Q178" i="63" l="1"/>
  <c r="V178" i="63" s="1"/>
  <c r="M178" i="63"/>
  <c r="L178" i="63" s="1"/>
  <c r="AN178" i="63"/>
  <c r="AS178" i="63" s="1"/>
  <c r="P178" i="63" l="1"/>
  <c r="U178" i="63" s="1"/>
  <c r="Z178" i="63"/>
  <c r="AM178" i="63"/>
  <c r="W178" i="63" l="1"/>
  <c r="O179" i="63" s="1"/>
  <c r="AU178" i="63"/>
  <c r="AV178" i="63" s="1"/>
  <c r="AT178" i="63" l="1"/>
  <c r="N179" i="63"/>
  <c r="Q179" i="63"/>
  <c r="V179" i="63" s="1"/>
  <c r="M179" i="63"/>
  <c r="L179" i="63" s="1"/>
  <c r="AN179" i="63"/>
  <c r="AS179" i="63" s="1"/>
  <c r="P179" i="63" l="1"/>
  <c r="U179" i="63" s="1"/>
  <c r="AM179" i="63"/>
  <c r="Z179" i="63"/>
  <c r="W179" i="63" l="1"/>
  <c r="AT179" i="63" s="1"/>
  <c r="N180" i="63" l="1"/>
  <c r="M180" i="63" s="1"/>
  <c r="L180" i="63" s="1"/>
  <c r="AU179" i="63"/>
  <c r="AV179" i="63" s="1"/>
  <c r="O180" i="63"/>
  <c r="AN180" i="63" s="1"/>
  <c r="AS180" i="63" s="1"/>
  <c r="Q180" i="63" l="1"/>
  <c r="V180" i="63" s="1"/>
  <c r="Z180" i="63"/>
  <c r="AM180" i="63"/>
  <c r="P180" i="63" l="1"/>
  <c r="U180" i="63" s="1"/>
  <c r="W180" i="63"/>
  <c r="N181" i="63" l="1"/>
  <c r="O181" i="63"/>
  <c r="AT180" i="63"/>
  <c r="AU180" i="63"/>
  <c r="AV180" i="63" s="1"/>
  <c r="AN181" i="63" l="1"/>
  <c r="AS181" i="63" s="1"/>
  <c r="M181" i="63"/>
  <c r="L181" i="63" s="1"/>
  <c r="Q181" i="63"/>
  <c r="V181" i="63" s="1"/>
  <c r="AM181" i="63" l="1"/>
  <c r="Z181" i="63"/>
  <c r="P181" i="63"/>
  <c r="U181" i="63" l="1"/>
  <c r="W181" i="63"/>
  <c r="N182" i="63" l="1"/>
  <c r="O182" i="63"/>
  <c r="AT181" i="63"/>
  <c r="AU181" i="63"/>
  <c r="AV181" i="63" s="1"/>
  <c r="AN182" i="63" l="1"/>
  <c r="AS182" i="63" s="1"/>
  <c r="M182" i="63"/>
  <c r="L182" i="63" s="1"/>
  <c r="Q182" i="63"/>
  <c r="V182" i="63" s="1"/>
  <c r="AM182" i="63" l="1"/>
  <c r="Z182" i="63"/>
  <c r="P182" i="63"/>
  <c r="W182" i="63" l="1"/>
  <c r="U182" i="63"/>
  <c r="AU182" i="63" l="1"/>
  <c r="AV182" i="63" s="1"/>
  <c r="AT182" i="63"/>
  <c r="O183" i="63"/>
  <c r="N183" i="63"/>
  <c r="Q183" i="63" l="1"/>
  <c r="V183" i="63" s="1"/>
  <c r="M183" i="63"/>
  <c r="L183" i="63" s="1"/>
  <c r="AN183" i="63"/>
  <c r="AS183" i="63" s="1"/>
  <c r="P183" i="63" l="1"/>
  <c r="U183" i="63" s="1"/>
  <c r="AM183" i="63"/>
  <c r="Z183" i="63"/>
  <c r="W183" i="63" l="1"/>
  <c r="AT183" i="63" s="1"/>
  <c r="AU183" i="63" l="1"/>
  <c r="AV183" i="63" s="1"/>
  <c r="N184" i="63"/>
  <c r="O184" i="63"/>
  <c r="AN184" i="63" s="1"/>
  <c r="AS184" i="63" s="1"/>
  <c r="M184" i="63"/>
  <c r="L184" i="63" s="1"/>
  <c r="Q184" i="63"/>
  <c r="V184" i="63" l="1"/>
  <c r="P184" i="63"/>
  <c r="Z184" i="63"/>
  <c r="AM184" i="63"/>
  <c r="W184" i="63" l="1"/>
  <c r="U184" i="63"/>
  <c r="O185" i="63" l="1"/>
  <c r="AT184" i="63"/>
  <c r="N185" i="63"/>
  <c r="AU184" i="63"/>
  <c r="AV184" i="63" s="1"/>
  <c r="M185" i="63" l="1"/>
  <c r="L185" i="63" s="1"/>
  <c r="Q185" i="63"/>
  <c r="V185" i="63" s="1"/>
  <c r="AN185" i="63"/>
  <c r="AS185" i="63" s="1"/>
  <c r="P185" i="63" l="1"/>
  <c r="U185" i="63" s="1"/>
  <c r="AM185" i="63"/>
  <c r="Z185" i="63"/>
  <c r="W185" i="63" l="1"/>
  <c r="O186" i="63" s="1"/>
  <c r="AN186" i="63" s="1"/>
  <c r="AS186" i="63" s="1"/>
  <c r="AT185" i="63" l="1"/>
  <c r="N186" i="63"/>
  <c r="AU185" i="63"/>
  <c r="AV185" i="63" s="1"/>
  <c r="Q186" i="63"/>
  <c r="M186" i="63"/>
  <c r="L186" i="63" s="1"/>
  <c r="Z186" i="63" l="1"/>
  <c r="AM186" i="63"/>
  <c r="V186" i="63"/>
  <c r="P186" i="63"/>
  <c r="U186" i="63" l="1"/>
  <c r="W186" i="63"/>
  <c r="O187" i="63" l="1"/>
  <c r="AN187" i="63" s="1"/>
  <c r="AS187" i="63" s="1"/>
  <c r="AU186" i="63"/>
  <c r="AV186" i="63" s="1"/>
  <c r="AT186" i="63"/>
  <c r="N187" i="63"/>
  <c r="M187" i="63" l="1"/>
  <c r="L187" i="63" s="1"/>
  <c r="Q187" i="63"/>
  <c r="V187" i="63" l="1"/>
  <c r="P187" i="63"/>
  <c r="Z187" i="63"/>
  <c r="AM187" i="63"/>
  <c r="U187" i="63" l="1"/>
  <c r="W187" i="63"/>
  <c r="N188" i="63" l="1"/>
  <c r="O188" i="63"/>
  <c r="AT187" i="63"/>
  <c r="AU187" i="63"/>
  <c r="AV187" i="63" s="1"/>
  <c r="AN188" i="63" l="1"/>
  <c r="AS188" i="63" s="1"/>
  <c r="M188" i="63"/>
  <c r="L188" i="63" s="1"/>
  <c r="Q188" i="63"/>
  <c r="V188" i="63" s="1"/>
  <c r="AM188" i="63" l="1"/>
  <c r="Z188" i="63"/>
  <c r="P188" i="63"/>
  <c r="U188" i="63" l="1"/>
  <c r="W188" i="63"/>
  <c r="AU188" i="63" l="1"/>
  <c r="AV188" i="63" s="1"/>
  <c r="N189" i="63"/>
  <c r="O189" i="63"/>
  <c r="AT188" i="63"/>
  <c r="AN189" i="63" l="1"/>
  <c r="AS189" i="63" s="1"/>
  <c r="M189" i="63"/>
  <c r="L189" i="63" s="1"/>
  <c r="Q189" i="63"/>
  <c r="V189" i="63" s="1"/>
  <c r="AM189" i="63" l="1"/>
  <c r="Z189" i="63"/>
  <c r="P189" i="63"/>
  <c r="U189" i="63" l="1"/>
  <c r="W189" i="63"/>
  <c r="AU189" i="63" l="1"/>
  <c r="AV189" i="63" s="1"/>
  <c r="O190" i="63"/>
  <c r="N190" i="63"/>
  <c r="AT189" i="63"/>
  <c r="Q190" i="63" l="1"/>
  <c r="V190" i="63" s="1"/>
  <c r="M190" i="63"/>
  <c r="L190" i="63" s="1"/>
  <c r="AN190" i="63"/>
  <c r="AS190" i="63" s="1"/>
  <c r="P190" i="63" l="1"/>
  <c r="U190" i="63" s="1"/>
  <c r="Z190" i="63"/>
  <c r="AM190" i="63"/>
  <c r="W190" i="63" l="1"/>
  <c r="AU190" i="63" s="1"/>
  <c r="AV190" i="63" s="1"/>
  <c r="N191" i="63" l="1"/>
  <c r="M191" i="63" s="1"/>
  <c r="L191" i="63" s="1"/>
  <c r="AT190" i="63"/>
  <c r="O191" i="63"/>
  <c r="AN191" i="63" s="1"/>
  <c r="AS191" i="63" s="1"/>
  <c r="Q191" i="63" l="1"/>
  <c r="V191" i="63" s="1"/>
  <c r="AM191" i="63"/>
  <c r="Z191" i="63"/>
  <c r="P191" i="63" l="1"/>
  <c r="U191" i="63" s="1"/>
  <c r="W191" i="63" l="1"/>
  <c r="AU191" i="63" s="1"/>
  <c r="AV191" i="63" s="1"/>
  <c r="N192" i="63"/>
  <c r="Q192" i="63" s="1"/>
  <c r="V192" i="63" s="1"/>
  <c r="AT191" i="63"/>
  <c r="O192" i="63" l="1"/>
  <c r="AN192" i="63" s="1"/>
  <c r="AS192" i="63" s="1"/>
  <c r="M192" i="63"/>
  <c r="L192" i="63" s="1"/>
  <c r="Z192" i="63" s="1"/>
  <c r="P192" i="63"/>
  <c r="U192" i="63" s="1"/>
  <c r="W192" i="63" l="1"/>
  <c r="AT192" i="63" s="1"/>
  <c r="AM192" i="63"/>
  <c r="AU192" i="63"/>
  <c r="AV192" i="63" s="1"/>
  <c r="N193" i="63"/>
  <c r="O193" i="63"/>
  <c r="AN193" i="63" s="1"/>
  <c r="AS193" i="63" s="1"/>
  <c r="Q193" i="63" l="1"/>
  <c r="M193" i="63"/>
  <c r="L193" i="63" s="1"/>
  <c r="Z193" i="63" l="1"/>
  <c r="AM193" i="63"/>
  <c r="V193" i="63"/>
  <c r="P193" i="63"/>
  <c r="W193" i="63" l="1"/>
  <c r="U193" i="63"/>
  <c r="N194" i="63" l="1"/>
  <c r="AU193" i="63"/>
  <c r="AV193" i="63" s="1"/>
  <c r="AT193" i="63"/>
  <c r="O194" i="63"/>
  <c r="AN194" i="63" l="1"/>
  <c r="AS194" i="63" s="1"/>
  <c r="M194" i="63"/>
  <c r="L194" i="63" s="1"/>
  <c r="Q194" i="63"/>
  <c r="V194" i="63" s="1"/>
  <c r="Z194" i="63" l="1"/>
  <c r="AM194" i="63"/>
  <c r="P194" i="63"/>
  <c r="W194" i="63" l="1"/>
  <c r="U194" i="63"/>
  <c r="N195" i="63" l="1"/>
  <c r="AT194" i="63"/>
  <c r="O195" i="63"/>
  <c r="AU194" i="63"/>
  <c r="AV194" i="63" s="1"/>
  <c r="AN195" i="63" l="1"/>
  <c r="AS195" i="63" s="1"/>
  <c r="M195" i="63"/>
  <c r="L195" i="63" s="1"/>
  <c r="Q195" i="63"/>
  <c r="V195" i="63" s="1"/>
  <c r="AM195" i="63" l="1"/>
  <c r="Z195" i="63"/>
  <c r="P195" i="63"/>
  <c r="W195" i="63" l="1"/>
  <c r="U195" i="63"/>
  <c r="N196" i="63" l="1"/>
  <c r="O196" i="63"/>
  <c r="AU195" i="63"/>
  <c r="AV195" i="63" s="1"/>
  <c r="AT195" i="63"/>
  <c r="AN196" i="63" l="1"/>
  <c r="AS196" i="63" s="1"/>
  <c r="M196" i="63"/>
  <c r="L196" i="63" s="1"/>
  <c r="Q196" i="63"/>
  <c r="V196" i="63" s="1"/>
  <c r="AM196" i="63" l="1"/>
  <c r="Z196" i="63"/>
  <c r="P196" i="63"/>
  <c r="U196" i="63" l="1"/>
  <c r="W196" i="63"/>
  <c r="N197" i="63" l="1"/>
  <c r="AT196" i="63"/>
  <c r="O197" i="63"/>
  <c r="AU196" i="63"/>
  <c r="AV196" i="63" s="1"/>
  <c r="AN197" i="63" l="1"/>
  <c r="AS197" i="63" s="1"/>
  <c r="Q197" i="63"/>
  <c r="V197" i="63" s="1"/>
  <c r="M197" i="63"/>
  <c r="L197" i="63" s="1"/>
  <c r="AM197" i="63" l="1"/>
  <c r="Z197" i="63"/>
  <c r="P197" i="63"/>
  <c r="W197" i="63" l="1"/>
  <c r="U197" i="63"/>
  <c r="AU197" i="63" l="1"/>
  <c r="AV197" i="63" s="1"/>
  <c r="O198" i="63"/>
  <c r="N198" i="63"/>
  <c r="AT197" i="63"/>
  <c r="Q198" i="63" l="1"/>
  <c r="V198" i="63" s="1"/>
  <c r="M198" i="63"/>
  <c r="L198" i="63" s="1"/>
  <c r="AN198" i="63"/>
  <c r="AS198" i="63" s="1"/>
  <c r="P198" i="63" l="1"/>
  <c r="U198" i="63" s="1"/>
  <c r="Z198" i="63"/>
  <c r="AM198" i="63"/>
  <c r="W198" i="63" l="1"/>
  <c r="AU198" i="63" s="1"/>
  <c r="AV198" i="63" s="1"/>
  <c r="N199" i="63" l="1"/>
  <c r="AT198" i="63"/>
  <c r="O199" i="63"/>
  <c r="AN199" i="63" s="1"/>
  <c r="AS199" i="63" s="1"/>
  <c r="M199" i="63"/>
  <c r="L199" i="63" s="1"/>
  <c r="Q199" i="63"/>
  <c r="P199" i="63" l="1"/>
  <c r="V199" i="63"/>
  <c r="AM199" i="63"/>
  <c r="Z199" i="63"/>
  <c r="U199" i="63" l="1"/>
  <c r="W199" i="63"/>
  <c r="AT199" i="63" l="1"/>
  <c r="AU199" i="63"/>
  <c r="AV199" i="63" s="1"/>
  <c r="N200" i="63"/>
  <c r="O200" i="63"/>
  <c r="AN200" i="63" s="1"/>
  <c r="AS200" i="63" s="1"/>
  <c r="Q200" i="63" l="1"/>
  <c r="M200" i="63"/>
  <c r="L200" i="63" s="1"/>
  <c r="Z200" i="63" l="1"/>
  <c r="AM200" i="63"/>
  <c r="V200" i="63"/>
  <c r="P200" i="63"/>
  <c r="U200" i="63" l="1"/>
  <c r="W200" i="63"/>
  <c r="N201" i="63" l="1"/>
  <c r="O201" i="63"/>
  <c r="AN201" i="63" s="1"/>
  <c r="AS201" i="63" s="1"/>
  <c r="AU200" i="63"/>
  <c r="AV200" i="63" s="1"/>
  <c r="AT200" i="63"/>
  <c r="M201" i="63" l="1"/>
  <c r="L201" i="63" s="1"/>
  <c r="Q201" i="63"/>
  <c r="V201" i="63" l="1"/>
  <c r="P201" i="63"/>
  <c r="AM201" i="63"/>
  <c r="Z201" i="63"/>
  <c r="W201" i="63" l="1"/>
  <c r="U201" i="63"/>
  <c r="AU201" i="63" l="1"/>
  <c r="AV201" i="63" s="1"/>
  <c r="O202" i="63"/>
  <c r="AN202" i="63" s="1"/>
  <c r="AS202" i="63" s="1"/>
  <c r="AT201" i="63"/>
  <c r="N202" i="63"/>
  <c r="M202" i="63" l="1"/>
  <c r="L202" i="63" s="1"/>
  <c r="Q202" i="63"/>
  <c r="P202" i="63" l="1"/>
  <c r="V202" i="63"/>
  <c r="AM202" i="63"/>
  <c r="Z202" i="63"/>
  <c r="U202" i="63" l="1"/>
  <c r="W202" i="63"/>
  <c r="AT202" i="63" l="1"/>
  <c r="N203" i="63"/>
  <c r="AU202" i="63"/>
  <c r="AV202" i="63" s="1"/>
  <c r="O203" i="63"/>
  <c r="AN203" i="63" s="1"/>
  <c r="AS203" i="63" s="1"/>
  <c r="Q203" i="63" l="1"/>
  <c r="M203" i="63"/>
  <c r="L203" i="63" s="1"/>
  <c r="AM203" i="63" l="1"/>
  <c r="Z203" i="63"/>
  <c r="V203" i="63"/>
  <c r="P203" i="63"/>
  <c r="W203" i="63" l="1"/>
  <c r="U203" i="63"/>
  <c r="N204" i="63" l="1"/>
  <c r="AT203" i="63"/>
  <c r="O204" i="63"/>
  <c r="AN204" i="63" s="1"/>
  <c r="AS204" i="63" s="1"/>
  <c r="AU203" i="63"/>
  <c r="AV203" i="63" s="1"/>
  <c r="Q204" i="63" l="1"/>
  <c r="M204" i="63"/>
  <c r="L204" i="63" s="1"/>
  <c r="Z204" i="63" l="1"/>
  <c r="AM204" i="63"/>
  <c r="P204" i="63"/>
  <c r="V204" i="63"/>
  <c r="U204" i="63" l="1"/>
  <c r="W204" i="63"/>
  <c r="AT204" i="63" l="1"/>
  <c r="AU204" i="63"/>
  <c r="AV204" i="63" s="1"/>
  <c r="N205" i="63"/>
  <c r="O205" i="63"/>
  <c r="AN205" i="63" s="1"/>
  <c r="AS205" i="63" s="1"/>
  <c r="M205" i="63" l="1"/>
  <c r="L205" i="63" s="1"/>
  <c r="Q205" i="63"/>
  <c r="V205" i="63" l="1"/>
  <c r="P205" i="63"/>
  <c r="AM205" i="63"/>
  <c r="Z205" i="63"/>
  <c r="W205" i="63" l="1"/>
  <c r="U205" i="63"/>
  <c r="AT205" i="63" l="1"/>
  <c r="AU205" i="63"/>
  <c r="AV205" i="63" s="1"/>
  <c r="N206" i="63"/>
  <c r="O206" i="63"/>
  <c r="AN206" i="63" s="1"/>
  <c r="AS206" i="63" s="1"/>
  <c r="Q206" i="63" l="1"/>
  <c r="M206" i="63"/>
  <c r="L206" i="63" s="1"/>
  <c r="Z206" i="63" l="1"/>
  <c r="AM206" i="63"/>
  <c r="V206" i="63"/>
  <c r="P206" i="63"/>
  <c r="U206" i="63" l="1"/>
  <c r="W206" i="63"/>
  <c r="N207" i="63" l="1"/>
  <c r="AT206" i="63"/>
  <c r="O207" i="63"/>
  <c r="AN207" i="63" s="1"/>
  <c r="AS207" i="63" s="1"/>
  <c r="AU206" i="63"/>
  <c r="AV206" i="63" s="1"/>
  <c r="M207" i="63" l="1"/>
  <c r="L207" i="63" s="1"/>
  <c r="Q207" i="63"/>
  <c r="V207" i="63" l="1"/>
  <c r="P207" i="63"/>
  <c r="Z207" i="63"/>
  <c r="AM207" i="63"/>
  <c r="U207" i="63" l="1"/>
  <c r="W207" i="63"/>
  <c r="O208" i="63" l="1"/>
  <c r="AN208" i="63" s="1"/>
  <c r="AS208" i="63" s="1"/>
  <c r="N208" i="63"/>
  <c r="AT207" i="63"/>
  <c r="AU207" i="63"/>
  <c r="AV207" i="63" s="1"/>
  <c r="M208" i="63" l="1"/>
  <c r="L208" i="63" s="1"/>
  <c r="Q208" i="63"/>
  <c r="V208" i="63" l="1"/>
  <c r="P208" i="63"/>
  <c r="AM208" i="63"/>
  <c r="Z208" i="63"/>
  <c r="U208" i="63" l="1"/>
  <c r="W208" i="63"/>
  <c r="AT208" i="63" l="1"/>
  <c r="AU208" i="63"/>
  <c r="AV208" i="63" s="1"/>
  <c r="O209" i="63"/>
  <c r="N209" i="63"/>
  <c r="Q209" i="63" l="1"/>
  <c r="V209" i="63" s="1"/>
  <c r="M209" i="63"/>
  <c r="L209" i="63" s="1"/>
  <c r="AN209" i="63"/>
  <c r="AS209" i="63" s="1"/>
  <c r="P209" i="63" l="1"/>
  <c r="W209" i="63" s="1"/>
  <c r="AM209" i="63"/>
  <c r="Z209" i="63"/>
  <c r="U209" i="63" l="1"/>
  <c r="AT209" i="63"/>
  <c r="N210" i="63"/>
  <c r="O210" i="63"/>
  <c r="AN210" i="63" s="1"/>
  <c r="AS210" i="63" s="1"/>
  <c r="AU209" i="63"/>
  <c r="AV209" i="63" s="1"/>
  <c r="M210" i="63" l="1"/>
  <c r="L210" i="63" s="1"/>
  <c r="Q210" i="63"/>
  <c r="V210" i="63" l="1"/>
  <c r="P210" i="63"/>
  <c r="AM210" i="63"/>
  <c r="Z210" i="63"/>
  <c r="U210" i="63" l="1"/>
  <c r="W210" i="63"/>
  <c r="N211" i="63" l="1"/>
  <c r="AT210" i="63"/>
  <c r="AU210" i="63"/>
  <c r="AV210" i="63" s="1"/>
  <c r="O211" i="63"/>
  <c r="AN211" i="63" l="1"/>
  <c r="AS211" i="63" s="1"/>
  <c r="Q211" i="63"/>
  <c r="V211" i="63" s="1"/>
  <c r="M211" i="63"/>
  <c r="L211" i="63" s="1"/>
  <c r="Z211" i="63" l="1"/>
  <c r="AM211" i="63"/>
  <c r="P211" i="63"/>
  <c r="W211" i="63" l="1"/>
  <c r="U211" i="63"/>
  <c r="AU211" i="63" l="1"/>
  <c r="AV211" i="63" s="1"/>
  <c r="AT211" i="63"/>
  <c r="O212" i="63"/>
  <c r="N212" i="63"/>
  <c r="M212" i="63" l="1"/>
  <c r="L212" i="63" s="1"/>
  <c r="Q212" i="63"/>
  <c r="V212" i="63" s="1"/>
  <c r="AN212" i="63"/>
  <c r="AS212" i="63" s="1"/>
  <c r="P212" i="63" l="1"/>
  <c r="Z212" i="63"/>
  <c r="AM212" i="63"/>
  <c r="U212" i="63" l="1"/>
  <c r="W212" i="63"/>
  <c r="N213" i="63" l="1"/>
  <c r="AT212" i="63"/>
  <c r="O213" i="63"/>
  <c r="AU212" i="63"/>
  <c r="AV212" i="63" s="1"/>
  <c r="AN213" i="63" l="1"/>
  <c r="AS213" i="63" s="1"/>
  <c r="M213" i="63"/>
  <c r="L213" i="63" s="1"/>
  <c r="Q213" i="63"/>
  <c r="V213" i="63" s="1"/>
  <c r="AM213" i="63" l="1"/>
  <c r="Z213" i="63"/>
  <c r="P213" i="63"/>
  <c r="U213" i="63" l="1"/>
  <c r="W213" i="63"/>
  <c r="AU213" i="63" l="1"/>
  <c r="AV213" i="63" s="1"/>
  <c r="N214" i="63"/>
  <c r="AT213" i="63"/>
  <c r="O214" i="63"/>
  <c r="AN214" i="63" l="1"/>
  <c r="AS214" i="63" s="1"/>
  <c r="Q214" i="63"/>
  <c r="V214" i="63" s="1"/>
  <c r="M214" i="63"/>
  <c r="L214" i="63" s="1"/>
  <c r="AM214" i="63" l="1"/>
  <c r="Z214" i="63"/>
  <c r="P214" i="63"/>
  <c r="U214" i="63" l="1"/>
  <c r="W214" i="63"/>
  <c r="O215" i="63" l="1"/>
  <c r="N215" i="63"/>
  <c r="AT214" i="63"/>
  <c r="AU214" i="63"/>
  <c r="AV214" i="63" s="1"/>
  <c r="Q215" i="63" l="1"/>
  <c r="V215" i="63" s="1"/>
  <c r="M215" i="63"/>
  <c r="L215" i="63" s="1"/>
  <c r="AN215" i="63"/>
  <c r="AS215" i="63" s="1"/>
  <c r="P215" i="63" l="1"/>
  <c r="U215" i="63" s="1"/>
  <c r="Z215" i="63"/>
  <c r="AM215" i="63"/>
  <c r="W215" i="63" l="1"/>
  <c r="AU215" i="63" s="1"/>
  <c r="AV215" i="63" s="1"/>
  <c r="AT215" i="63" l="1"/>
  <c r="N216" i="63"/>
  <c r="M216" i="63" s="1"/>
  <c r="L216" i="63" s="1"/>
  <c r="O216" i="63"/>
  <c r="AN216" i="63" s="1"/>
  <c r="AS216" i="63" s="1"/>
  <c r="Q216" i="63"/>
  <c r="V216" i="63" s="1"/>
  <c r="P216" i="63" l="1"/>
  <c r="U216" i="63" s="1"/>
  <c r="AM216" i="63"/>
  <c r="Z216" i="63"/>
  <c r="W216" i="63" l="1"/>
  <c r="AU216" i="63" s="1"/>
  <c r="AV216" i="63" s="1"/>
  <c r="O217" i="63"/>
  <c r="N217" i="63" l="1"/>
  <c r="AT216" i="63"/>
  <c r="Q217" i="63"/>
  <c r="V217" i="63" s="1"/>
  <c r="M217" i="63"/>
  <c r="L217" i="63" s="1"/>
  <c r="AN217" i="63"/>
  <c r="AS217" i="63" s="1"/>
  <c r="P217" i="63" l="1"/>
  <c r="U217" i="63" s="1"/>
  <c r="AM217" i="63"/>
  <c r="Z217" i="63"/>
  <c r="W217" i="63" l="1"/>
  <c r="AU217" i="63" s="1"/>
  <c r="AV217" i="63" s="1"/>
  <c r="N218" i="63" l="1"/>
  <c r="M218" i="63" s="1"/>
  <c r="L218" i="63" s="1"/>
  <c r="AT217" i="63"/>
  <c r="O218" i="63"/>
  <c r="AN218" i="63" s="1"/>
  <c r="AS218" i="63" s="1"/>
  <c r="Q218" i="63" l="1"/>
  <c r="V218" i="63" s="1"/>
  <c r="Z218" i="63"/>
  <c r="AM218" i="63"/>
  <c r="P218" i="63" l="1"/>
  <c r="W218" i="63" s="1"/>
  <c r="U218" i="63" l="1"/>
  <c r="N219" i="63"/>
  <c r="AT218" i="63"/>
  <c r="AU218" i="63"/>
  <c r="AV218" i="63" s="1"/>
  <c r="O219" i="63"/>
  <c r="AN219" i="63" l="1"/>
  <c r="AS219" i="63" s="1"/>
  <c r="M219" i="63"/>
  <c r="L219" i="63" s="1"/>
  <c r="Q219" i="63"/>
  <c r="V219" i="63" s="1"/>
  <c r="AM219" i="63" l="1"/>
  <c r="Z219" i="63"/>
  <c r="P219" i="63"/>
  <c r="U219" i="63" l="1"/>
  <c r="W219" i="63"/>
  <c r="N220" i="63" l="1"/>
  <c r="AU219" i="63"/>
  <c r="AV219" i="63" s="1"/>
  <c r="AT219" i="63"/>
  <c r="O220" i="63"/>
  <c r="AN220" i="63" l="1"/>
  <c r="AS220" i="63" s="1"/>
  <c r="Q220" i="63"/>
  <c r="V220" i="63" s="1"/>
  <c r="M220" i="63"/>
  <c r="L220" i="63" s="1"/>
  <c r="AM220" i="63" l="1"/>
  <c r="Z220" i="63"/>
  <c r="P220" i="63"/>
  <c r="W220" i="63" l="1"/>
  <c r="U220" i="63"/>
  <c r="AU220" i="63" l="1"/>
  <c r="AV220" i="63" s="1"/>
  <c r="AT220" i="63"/>
  <c r="N221" i="63"/>
  <c r="O221" i="63"/>
  <c r="AN221" i="63" l="1"/>
  <c r="AS221" i="63" s="1"/>
  <c r="Q221" i="63"/>
  <c r="V221" i="63" s="1"/>
  <c r="M221" i="63"/>
  <c r="L221" i="63" s="1"/>
  <c r="Z221" i="63" l="1"/>
  <c r="AM221" i="63"/>
  <c r="P221" i="63"/>
  <c r="U221" i="63" l="1"/>
  <c r="W221" i="63"/>
  <c r="AU221" i="63" l="1"/>
  <c r="AV221" i="63" s="1"/>
  <c r="N222" i="63"/>
  <c r="AT221" i="63"/>
  <c r="O222" i="63"/>
  <c r="AN222" i="63" l="1"/>
  <c r="AS222" i="63" s="1"/>
  <c r="M222" i="63"/>
  <c r="L222" i="63" s="1"/>
  <c r="Q222" i="63"/>
  <c r="V222" i="63" s="1"/>
  <c r="Z222" i="63" l="1"/>
  <c r="AM222" i="63"/>
  <c r="P222" i="63"/>
  <c r="U222" i="63" l="1"/>
  <c r="W222" i="63"/>
  <c r="AU222" i="63" l="1"/>
  <c r="AV222" i="63" s="1"/>
  <c r="O223" i="63"/>
  <c r="N223" i="63"/>
  <c r="AT222" i="63"/>
  <c r="AN223" i="63" l="1"/>
  <c r="AS223" i="63" s="1"/>
  <c r="M223" i="63"/>
  <c r="L223" i="63" s="1"/>
  <c r="Q223" i="63"/>
  <c r="V223" i="63" s="1"/>
  <c r="Z223" i="63" l="1"/>
  <c r="AM223" i="63"/>
  <c r="P223" i="63"/>
  <c r="U223" i="63" l="1"/>
  <c r="W223" i="63"/>
  <c r="AT223" i="63" l="1"/>
  <c r="AU223" i="63"/>
  <c r="AV223" i="63" s="1"/>
  <c r="N224" i="63"/>
  <c r="O224" i="63"/>
  <c r="Q224" i="63" l="1"/>
  <c r="V224" i="63" s="1"/>
  <c r="M224" i="63"/>
  <c r="L224" i="63" s="1"/>
  <c r="AN224" i="63"/>
  <c r="AS224" i="63" s="1"/>
  <c r="P224" i="63" l="1"/>
  <c r="U224" i="63" s="1"/>
  <c r="AM224" i="63"/>
  <c r="Z224" i="63"/>
  <c r="W224" i="63" l="1"/>
  <c r="N225" i="63" s="1"/>
  <c r="AT224" i="63" l="1"/>
  <c r="AU224" i="63"/>
  <c r="AV224" i="63" s="1"/>
  <c r="O225" i="63"/>
  <c r="M225" i="63"/>
  <c r="L225" i="63" s="1"/>
  <c r="Q225" i="63"/>
  <c r="V225" i="63" s="1"/>
  <c r="AN225" i="63"/>
  <c r="AS225" i="63" s="1"/>
  <c r="P225" i="63" l="1"/>
  <c r="W225" i="63" s="1"/>
  <c r="Z225" i="63"/>
  <c r="AM225" i="63"/>
  <c r="U225" i="63" l="1"/>
  <c r="N226" i="63"/>
  <c r="AT225" i="63"/>
  <c r="O226" i="63"/>
  <c r="AN226" i="63" s="1"/>
  <c r="AS226" i="63" s="1"/>
  <c r="AU225" i="63"/>
  <c r="AV225" i="63" s="1"/>
  <c r="M226" i="63" l="1"/>
  <c r="L226" i="63" s="1"/>
  <c r="Q226" i="63"/>
  <c r="V226" i="63" l="1"/>
  <c r="P226" i="63"/>
  <c r="AM226" i="63"/>
  <c r="Z226" i="63"/>
  <c r="U226" i="63" l="1"/>
  <c r="W226" i="63"/>
  <c r="N227" i="63" l="1"/>
  <c r="AU226" i="63"/>
  <c r="AV226" i="63" s="1"/>
  <c r="AT226" i="63"/>
  <c r="O227" i="63"/>
  <c r="AN227" i="63" s="1"/>
  <c r="AS227" i="63" s="1"/>
  <c r="M227" i="63" l="1"/>
  <c r="L227" i="63" s="1"/>
  <c r="Q227" i="63"/>
  <c r="V227" i="63" l="1"/>
  <c r="P227" i="63"/>
  <c r="Z227" i="63"/>
  <c r="AM227" i="63"/>
  <c r="U227" i="63" l="1"/>
  <c r="W227" i="63"/>
  <c r="O228" i="63" l="1"/>
  <c r="AN228" i="63" s="1"/>
  <c r="AS228" i="63" s="1"/>
  <c r="AU227" i="63"/>
  <c r="AV227" i="63" s="1"/>
  <c r="N228" i="63"/>
  <c r="AT227" i="63"/>
  <c r="M228" i="63" l="1"/>
  <c r="L228" i="63" s="1"/>
  <c r="Q228" i="63"/>
  <c r="P228" i="63" l="1"/>
  <c r="V228" i="63"/>
  <c r="AM228" i="63"/>
  <c r="Z228" i="63"/>
  <c r="W228" i="63" l="1"/>
  <c r="U228" i="63"/>
  <c r="AT228" i="63" l="1"/>
  <c r="N229" i="63"/>
  <c r="AU228" i="63"/>
  <c r="AV228" i="63" s="1"/>
  <c r="O229" i="63"/>
  <c r="AN229" i="63" s="1"/>
  <c r="AS229" i="63" s="1"/>
  <c r="M229" i="63" l="1"/>
  <c r="L229" i="63" s="1"/>
  <c r="Q229" i="63"/>
  <c r="V229" i="63" l="1"/>
  <c r="P229" i="63"/>
  <c r="Z229" i="63"/>
  <c r="AM229" i="63"/>
  <c r="U229" i="63" l="1"/>
  <c r="W229" i="63"/>
  <c r="AU229" i="63" l="1"/>
  <c r="AV229" i="63" s="1"/>
  <c r="AT229" i="63"/>
  <c r="N230" i="63"/>
  <c r="O230" i="63"/>
  <c r="AN230" i="63" s="1"/>
  <c r="AS230" i="63" s="1"/>
  <c r="M230" i="63" l="1"/>
  <c r="L230" i="63" s="1"/>
  <c r="Q230" i="63"/>
  <c r="V230" i="63" s="1"/>
  <c r="Z230" i="63" l="1"/>
  <c r="AM230" i="63"/>
  <c r="P230" i="63"/>
  <c r="U230" i="63" l="1"/>
  <c r="W230" i="63"/>
  <c r="AU230" i="63" l="1"/>
  <c r="AV230" i="63" s="1"/>
  <c r="N231" i="63"/>
  <c r="O231" i="63"/>
  <c r="AN231" i="63" s="1"/>
  <c r="AS231" i="63" s="1"/>
  <c r="AT230" i="63"/>
  <c r="M231" i="63" l="1"/>
  <c r="L231" i="63" s="1"/>
  <c r="Q231" i="63"/>
  <c r="V231" i="63" l="1"/>
  <c r="P231" i="63"/>
  <c r="AM231" i="63"/>
  <c r="Z231" i="63"/>
  <c r="U231" i="63" l="1"/>
  <c r="W231" i="63"/>
  <c r="AT231" i="63" l="1"/>
  <c r="N232" i="63"/>
  <c r="AU231" i="63"/>
  <c r="AV231" i="63" s="1"/>
  <c r="O232" i="63"/>
  <c r="AN232" i="63" s="1"/>
  <c r="AS232" i="63" s="1"/>
  <c r="M232" i="63" l="1"/>
  <c r="L232" i="63" s="1"/>
  <c r="Q232" i="63"/>
  <c r="V232" i="63" s="1"/>
  <c r="P232" i="63" l="1"/>
  <c r="Z232" i="63"/>
  <c r="AM232" i="63"/>
  <c r="U232" i="63" l="1"/>
  <c r="W232" i="63"/>
  <c r="N233" i="63" l="1"/>
  <c r="AT232" i="63"/>
  <c r="AU232" i="63"/>
  <c r="AV232" i="63" s="1"/>
  <c r="O233" i="63"/>
  <c r="AN233" i="63" l="1"/>
  <c r="AS233" i="63" s="1"/>
  <c r="M233" i="63"/>
  <c r="L233" i="63" s="1"/>
  <c r="Q233" i="63"/>
  <c r="V233" i="63" s="1"/>
  <c r="Z233" i="63" l="1"/>
  <c r="AM233" i="63"/>
  <c r="P233" i="63"/>
  <c r="W233" i="63" l="1"/>
  <c r="U233" i="63"/>
  <c r="AU233" i="63" l="1"/>
  <c r="AV233" i="63" s="1"/>
  <c r="O234" i="63"/>
  <c r="N234" i="63"/>
  <c r="AT233" i="63"/>
  <c r="M234" i="63" l="1"/>
  <c r="L234" i="63" s="1"/>
  <c r="Q234" i="63"/>
  <c r="V234" i="63" s="1"/>
  <c r="AN234" i="63"/>
  <c r="AS234" i="63" s="1"/>
  <c r="P234" i="63" l="1"/>
  <c r="W234" i="63" s="1"/>
  <c r="AM234" i="63"/>
  <c r="Z234" i="63"/>
  <c r="U234" i="63" l="1"/>
  <c r="AT234" i="63"/>
  <c r="N235" i="63"/>
  <c r="O235" i="63"/>
  <c r="AN235" i="63" s="1"/>
  <c r="AS235" i="63" s="1"/>
  <c r="AU234" i="63"/>
  <c r="AV234" i="63" s="1"/>
  <c r="M235" i="63" l="1"/>
  <c r="L235" i="63" s="1"/>
  <c r="Q235" i="63"/>
  <c r="V235" i="63" l="1"/>
  <c r="P235" i="63"/>
  <c r="AM235" i="63"/>
  <c r="Z235" i="63"/>
  <c r="U235" i="63" l="1"/>
  <c r="W235" i="63"/>
  <c r="N236" i="63" l="1"/>
  <c r="AT235" i="63"/>
  <c r="O236" i="63"/>
  <c r="AN236" i="63" s="1"/>
  <c r="AS236" i="63" s="1"/>
  <c r="AU235" i="63"/>
  <c r="AV235" i="63" s="1"/>
  <c r="Q236" i="63" l="1"/>
  <c r="M236" i="63"/>
  <c r="L236" i="63" s="1"/>
  <c r="Z236" i="63" l="1"/>
  <c r="AM236" i="63"/>
  <c r="V236" i="63"/>
  <c r="P236" i="63"/>
  <c r="W236" i="63" l="1"/>
  <c r="U236" i="63"/>
  <c r="O237" i="63" l="1"/>
  <c r="AN237" i="63" s="1"/>
  <c r="AS237" i="63" s="1"/>
  <c r="AT236" i="63"/>
  <c r="AU236" i="63"/>
  <c r="AV236" i="63" s="1"/>
  <c r="N237" i="63"/>
  <c r="M237" i="63" l="1"/>
  <c r="L237" i="63" s="1"/>
  <c r="Q237" i="63"/>
  <c r="V237" i="63" l="1"/>
  <c r="P237" i="63"/>
  <c r="Z237" i="63"/>
  <c r="AM237" i="63"/>
  <c r="U237" i="63" l="1"/>
  <c r="W237" i="63"/>
  <c r="N238" i="63" l="1"/>
  <c r="O238" i="63"/>
  <c r="AU237" i="63"/>
  <c r="AV237" i="63" s="1"/>
  <c r="AT237" i="63"/>
  <c r="AN238" i="63" l="1"/>
  <c r="AS238" i="63" s="1"/>
  <c r="Q238" i="63"/>
  <c r="V238" i="63" s="1"/>
  <c r="M238" i="63"/>
  <c r="L238" i="63" s="1"/>
  <c r="Z238" i="63" l="1"/>
  <c r="AM238" i="63"/>
  <c r="P238" i="63"/>
  <c r="U238" i="63" l="1"/>
  <c r="W238" i="63"/>
  <c r="O239" i="63" l="1"/>
  <c r="AU238" i="63"/>
  <c r="AV238" i="63" s="1"/>
  <c r="AT238" i="63"/>
  <c r="N239" i="63"/>
  <c r="Q239" i="63" l="1"/>
  <c r="V239" i="63" s="1"/>
  <c r="M239" i="63"/>
  <c r="L239" i="63" s="1"/>
  <c r="AN239" i="63"/>
  <c r="AS239" i="63" s="1"/>
  <c r="P239" i="63" l="1"/>
  <c r="U239" i="63" s="1"/>
  <c r="AM239" i="63"/>
  <c r="Z239" i="63"/>
  <c r="W239" i="63" l="1"/>
  <c r="O240" i="63" s="1"/>
  <c r="AU239" i="63"/>
  <c r="AV239" i="63" s="1"/>
  <c r="AT239" i="63"/>
  <c r="N240" i="63" l="1"/>
  <c r="M240" i="63" s="1"/>
  <c r="L240" i="63" s="1"/>
  <c r="AN240" i="63"/>
  <c r="AS240" i="63" s="1"/>
  <c r="Q240" i="63" l="1"/>
  <c r="V240" i="63" s="1"/>
  <c r="Z240" i="63"/>
  <c r="AM240" i="63"/>
  <c r="P240" i="63" l="1"/>
  <c r="W240" i="63"/>
  <c r="U240" i="63"/>
  <c r="O241" i="63" l="1"/>
  <c r="AU240" i="63"/>
  <c r="AV240" i="63" s="1"/>
  <c r="N241" i="63"/>
  <c r="AT240" i="63"/>
  <c r="M241" i="63" l="1"/>
  <c r="L241" i="63" s="1"/>
  <c r="Q241" i="63"/>
  <c r="V241" i="63" s="1"/>
  <c r="AN241" i="63"/>
  <c r="AS241" i="63" s="1"/>
  <c r="P241" i="63" l="1"/>
  <c r="U241" i="63" s="1"/>
  <c r="AM241" i="63"/>
  <c r="Z241" i="63"/>
  <c r="W241" i="63" l="1"/>
  <c r="O242" i="63" s="1"/>
  <c r="AU241" i="63" l="1"/>
  <c r="AV241" i="63" s="1"/>
  <c r="N242" i="63"/>
  <c r="Q242" i="63" s="1"/>
  <c r="V242" i="63" s="1"/>
  <c r="AT241" i="63"/>
  <c r="M242" i="63"/>
  <c r="L242" i="63" s="1"/>
  <c r="AN242" i="63"/>
  <c r="AS242" i="63" s="1"/>
  <c r="P242" i="63" l="1"/>
  <c r="W242" i="63" s="1"/>
  <c r="AM242" i="63"/>
  <c r="Z242" i="63"/>
  <c r="U242" i="63" l="1"/>
  <c r="AU242" i="63"/>
  <c r="AV242" i="63" s="1"/>
  <c r="O243" i="63"/>
  <c r="N243" i="63"/>
  <c r="AT242" i="63"/>
  <c r="Q243" i="63" l="1"/>
  <c r="V243" i="63" s="1"/>
  <c r="M243" i="63"/>
  <c r="L243" i="63" s="1"/>
  <c r="AN243" i="63"/>
  <c r="AS243" i="63" s="1"/>
  <c r="P243" i="63" l="1"/>
  <c r="U243" i="63" s="1"/>
  <c r="AM243" i="63"/>
  <c r="Z243" i="63"/>
  <c r="W243" i="63" l="1"/>
  <c r="AU243" i="63" s="1"/>
  <c r="AV243" i="63" s="1"/>
  <c r="N244" i="63" l="1"/>
  <c r="AT243" i="63"/>
  <c r="O244" i="63"/>
  <c r="AN244" i="63" s="1"/>
  <c r="AS244" i="63" s="1"/>
  <c r="M244" i="63"/>
  <c r="L244" i="63" s="1"/>
  <c r="Q244" i="63"/>
  <c r="V244" i="63" l="1"/>
  <c r="P244" i="63"/>
  <c r="AM244" i="63"/>
  <c r="Z244" i="63"/>
  <c r="U244" i="63" l="1"/>
  <c r="W244" i="63"/>
  <c r="AT244" i="63" l="1"/>
  <c r="N245" i="63"/>
  <c r="AU244" i="63"/>
  <c r="AV244" i="63" s="1"/>
  <c r="O245" i="63"/>
  <c r="AN245" i="63" s="1"/>
  <c r="AS245" i="63" s="1"/>
  <c r="M245" i="63" l="1"/>
  <c r="L245" i="63" s="1"/>
  <c r="Q245" i="63"/>
  <c r="P245" i="63" l="1"/>
  <c r="V245" i="63"/>
  <c r="Z245" i="63"/>
  <c r="AM245" i="63"/>
  <c r="W245" i="63" l="1"/>
  <c r="U245" i="63"/>
  <c r="N246" i="63" l="1"/>
  <c r="O246" i="63"/>
  <c r="AN246" i="63" s="1"/>
  <c r="AS246" i="63" s="1"/>
  <c r="AT245" i="63"/>
  <c r="AU245" i="63"/>
  <c r="AV245" i="63" s="1"/>
  <c r="M246" i="63" l="1"/>
  <c r="L246" i="63" s="1"/>
  <c r="Q246" i="63"/>
  <c r="P246" i="63" l="1"/>
  <c r="V246" i="63"/>
  <c r="Z246" i="63"/>
  <c r="AM246" i="63"/>
  <c r="U246" i="63" l="1"/>
  <c r="W246" i="63"/>
  <c r="AT246" i="63" l="1"/>
  <c r="O247" i="63"/>
  <c r="AN247" i="63" s="1"/>
  <c r="AS247" i="63" s="1"/>
  <c r="AU246" i="63"/>
  <c r="AV246" i="63" s="1"/>
  <c r="N247" i="63"/>
  <c r="M247" i="63" l="1"/>
  <c r="L247" i="63" s="1"/>
  <c r="Q247" i="63"/>
  <c r="P247" i="63" l="1"/>
  <c r="V247" i="63"/>
  <c r="Z247" i="63"/>
  <c r="AM247" i="63"/>
  <c r="W247" i="63" l="1"/>
  <c r="U247" i="63"/>
  <c r="AT247" i="63" l="1"/>
  <c r="AU247" i="63"/>
  <c r="AV247" i="63" s="1"/>
  <c r="O248" i="63"/>
  <c r="AN248" i="63" s="1"/>
  <c r="AS248" i="63" s="1"/>
  <c r="N248" i="63"/>
  <c r="Q248" i="63" l="1"/>
  <c r="M248" i="63"/>
  <c r="L248" i="63" s="1"/>
  <c r="Z248" i="63" l="1"/>
  <c r="AM248" i="63"/>
  <c r="P248" i="63"/>
  <c r="V248" i="63"/>
  <c r="U248" i="63" l="1"/>
  <c r="W248" i="63"/>
  <c r="N249" i="63" l="1"/>
  <c r="AU248" i="63"/>
  <c r="AV248" i="63" s="1"/>
  <c r="AT248" i="63"/>
  <c r="O249" i="63"/>
  <c r="AN249" i="63" s="1"/>
  <c r="AS249" i="63" s="1"/>
  <c r="M249" i="63" l="1"/>
  <c r="L249" i="63" s="1"/>
  <c r="Q249" i="63"/>
  <c r="P249" i="63" l="1"/>
  <c r="V249" i="63"/>
  <c r="AM249" i="63"/>
  <c r="Z249" i="63"/>
  <c r="U249" i="63" l="1"/>
  <c r="W249" i="63"/>
  <c r="N250" i="63" l="1"/>
  <c r="AU249" i="63"/>
  <c r="AV249" i="63" s="1"/>
  <c r="O250" i="63"/>
  <c r="AN250" i="63" s="1"/>
  <c r="AS250" i="63" s="1"/>
  <c r="AT249" i="63"/>
  <c r="Q250" i="63" l="1"/>
  <c r="M250" i="63"/>
  <c r="L250" i="63" s="1"/>
  <c r="AM250" i="63" l="1"/>
  <c r="Z250" i="63"/>
  <c r="P250" i="63"/>
  <c r="V250" i="63"/>
  <c r="W250" i="63" l="1"/>
  <c r="U250" i="63"/>
  <c r="N251" i="63" l="1"/>
  <c r="O251" i="63"/>
  <c r="AN251" i="63" s="1"/>
  <c r="AS251" i="63" s="1"/>
  <c r="AU250" i="63"/>
  <c r="AV250" i="63" s="1"/>
  <c r="AT250" i="63"/>
  <c r="Q251" i="63" l="1"/>
  <c r="M251" i="63"/>
  <c r="L251" i="63" s="1"/>
  <c r="AM251" i="63" l="1"/>
  <c r="Z251" i="63"/>
  <c r="P251" i="63"/>
  <c r="V251" i="63"/>
  <c r="W251" i="63" l="1"/>
  <c r="U251" i="63"/>
  <c r="O252" i="63" l="1"/>
  <c r="AN252" i="63" s="1"/>
  <c r="AS252" i="63" s="1"/>
  <c r="N252" i="63"/>
  <c r="AU251" i="63"/>
  <c r="AV251" i="63" s="1"/>
  <c r="AT251" i="63"/>
  <c r="Q252" i="63" l="1"/>
  <c r="M252" i="63"/>
  <c r="L252" i="63" s="1"/>
  <c r="Z252" i="63" l="1"/>
  <c r="AM252" i="63"/>
  <c r="V252" i="63"/>
  <c r="P252" i="63"/>
  <c r="U252" i="63" l="1"/>
  <c r="W252" i="63"/>
  <c r="AU252" i="63" l="1"/>
  <c r="AV252" i="63" s="1"/>
  <c r="N253" i="63"/>
  <c r="AT252" i="63"/>
  <c r="O253" i="63"/>
  <c r="AN253" i="63" s="1"/>
  <c r="AS253" i="63" s="1"/>
  <c r="M253" i="63" l="1"/>
  <c r="L253" i="63" s="1"/>
  <c r="Q253" i="63"/>
  <c r="V253" i="63" l="1"/>
  <c r="P253" i="63"/>
  <c r="Z253" i="63"/>
  <c r="AM253" i="63"/>
  <c r="W253" i="63" l="1"/>
  <c r="U253" i="63"/>
  <c r="AT253" i="63" l="1"/>
  <c r="O254" i="63"/>
  <c r="AN254" i="63" s="1"/>
  <c r="AS254" i="63" s="1"/>
  <c r="N254" i="63"/>
  <c r="AU253" i="63"/>
  <c r="AV253" i="63" s="1"/>
  <c r="Q254" i="63" l="1"/>
  <c r="M254" i="63"/>
  <c r="L254" i="63" s="1"/>
  <c r="AM254" i="63" l="1"/>
  <c r="Z254" i="63"/>
  <c r="V254" i="63"/>
  <c r="P254" i="63"/>
  <c r="U254" i="63" l="1"/>
  <c r="W254" i="63"/>
  <c r="AT254" i="63" l="1"/>
  <c r="AU254" i="63"/>
  <c r="AV254" i="63" s="1"/>
  <c r="N255" i="63"/>
  <c r="O255" i="63"/>
  <c r="AN255" i="63" s="1"/>
  <c r="AS255" i="63" s="1"/>
  <c r="M255" i="63" l="1"/>
  <c r="L255" i="63" s="1"/>
  <c r="Q255" i="63"/>
  <c r="V255" i="63" s="1"/>
  <c r="AM255" i="63" l="1"/>
  <c r="Z255" i="63"/>
  <c r="P255" i="63"/>
  <c r="W255" i="63" l="1"/>
  <c r="U255" i="63"/>
  <c r="AU255" i="63" l="1"/>
  <c r="AV255" i="63" s="1"/>
  <c r="N256" i="63"/>
  <c r="AT255" i="63"/>
  <c r="O256" i="63"/>
  <c r="AN256" i="63" s="1"/>
  <c r="AS256" i="63" s="1"/>
  <c r="M256" i="63" l="1"/>
  <c r="L256" i="63" s="1"/>
  <c r="Q256" i="63"/>
  <c r="V256" i="63" l="1"/>
  <c r="P256" i="63"/>
  <c r="AM256" i="63"/>
  <c r="Z256" i="63"/>
  <c r="W256" i="63" l="1"/>
  <c r="U256" i="63"/>
  <c r="AT256" i="63" l="1"/>
  <c r="N257" i="63"/>
  <c r="AU256" i="63"/>
  <c r="AV256" i="63" s="1"/>
  <c r="O257" i="63"/>
  <c r="AN257" i="63" s="1"/>
  <c r="AS257" i="63" s="1"/>
  <c r="M257" i="63" l="1"/>
  <c r="L257" i="63" s="1"/>
  <c r="Q257" i="63"/>
  <c r="V257" i="63" l="1"/>
  <c r="P257" i="63"/>
  <c r="Z257" i="63"/>
  <c r="AM257" i="63"/>
  <c r="U257" i="63" l="1"/>
  <c r="W257" i="63"/>
  <c r="AU257" i="63" l="1"/>
  <c r="AV257" i="63" s="1"/>
  <c r="N258" i="63"/>
  <c r="O258" i="63"/>
  <c r="AN258" i="63" s="1"/>
  <c r="AS258" i="63" s="1"/>
  <c r="AT257" i="63"/>
  <c r="Q258" i="63" l="1"/>
  <c r="M258" i="63"/>
  <c r="L258" i="63" s="1"/>
  <c r="Z258" i="63" l="1"/>
  <c r="AM258" i="63"/>
  <c r="V258" i="63"/>
  <c r="P258" i="63"/>
  <c r="U258" i="63" l="1"/>
  <c r="W258" i="63"/>
  <c r="AU258" i="63" l="1"/>
  <c r="AV258" i="63" s="1"/>
  <c r="N259" i="63"/>
  <c r="AT258" i="63"/>
  <c r="O259" i="63"/>
  <c r="AN259" i="63" s="1"/>
  <c r="AS259" i="63" s="1"/>
  <c r="M259" i="63" l="1"/>
  <c r="L259" i="63" s="1"/>
  <c r="Q259" i="63"/>
  <c r="V259" i="63" l="1"/>
  <c r="P259" i="63"/>
  <c r="AM259" i="63"/>
  <c r="Z259" i="63"/>
  <c r="U259" i="63" l="1"/>
  <c r="W259" i="63"/>
  <c r="N260" i="63" l="1"/>
  <c r="O260" i="63"/>
  <c r="AT259" i="63"/>
  <c r="AU259" i="63"/>
  <c r="AV259" i="63" s="1"/>
  <c r="AN260" i="63" l="1"/>
  <c r="AS260" i="63" s="1"/>
  <c r="M260" i="63"/>
  <c r="L260" i="63" s="1"/>
  <c r="Q260" i="63"/>
  <c r="V260" i="63" s="1"/>
  <c r="AM260" i="63" l="1"/>
  <c r="Z260" i="63"/>
  <c r="P260" i="63"/>
  <c r="W260" i="63" l="1"/>
  <c r="U260" i="63"/>
  <c r="AU260" i="63" l="1"/>
  <c r="AV260" i="63" s="1"/>
  <c r="O261" i="63"/>
  <c r="AT260" i="63"/>
  <c r="N261" i="63"/>
  <c r="M261" i="63" l="1"/>
  <c r="L261" i="63" s="1"/>
  <c r="Q261" i="63"/>
  <c r="V261" i="63" s="1"/>
  <c r="AN261" i="63"/>
  <c r="AS261" i="63" s="1"/>
  <c r="P261" i="63" l="1"/>
  <c r="W261" i="63" s="1"/>
  <c r="Z261" i="63"/>
  <c r="AM261" i="63"/>
  <c r="U261" i="63" l="1"/>
  <c r="AT261" i="63"/>
  <c r="AU261" i="63"/>
  <c r="AV261" i="63" s="1"/>
  <c r="N262" i="63"/>
  <c r="O262" i="63"/>
  <c r="AN262" i="63" s="1"/>
  <c r="AS262" i="63" s="1"/>
  <c r="M262" i="63" l="1"/>
  <c r="L262" i="63" s="1"/>
  <c r="Q262" i="63"/>
  <c r="V262" i="63" l="1"/>
  <c r="P262" i="63"/>
  <c r="Z262" i="63"/>
  <c r="AM262" i="63"/>
  <c r="U262" i="63" l="1"/>
  <c r="W262" i="63"/>
  <c r="AT262" i="63" l="1"/>
  <c r="N263" i="63"/>
  <c r="O263" i="63"/>
  <c r="AN263" i="63" s="1"/>
  <c r="AS263" i="63" s="1"/>
  <c r="AU262" i="63"/>
  <c r="AV262" i="63" s="1"/>
  <c r="Q263" i="63" l="1"/>
  <c r="M263" i="63"/>
  <c r="L263" i="63" s="1"/>
  <c r="AM263" i="63" l="1"/>
  <c r="Z263" i="63"/>
  <c r="V263" i="63"/>
  <c r="P263" i="63"/>
  <c r="W263" i="63" l="1"/>
  <c r="U263" i="63"/>
  <c r="AU263" i="63" l="1"/>
  <c r="AV263" i="63" s="1"/>
  <c r="O264" i="63"/>
  <c r="AN264" i="63" s="1"/>
  <c r="AS264" i="63" s="1"/>
  <c r="AT263" i="63"/>
  <c r="N264" i="63"/>
  <c r="M264" i="63" l="1"/>
  <c r="L264" i="63" s="1"/>
  <c r="Q264" i="63"/>
  <c r="V264" i="63" l="1"/>
  <c r="P264" i="63"/>
  <c r="Z264" i="63"/>
  <c r="AM264" i="63"/>
  <c r="U264" i="63" l="1"/>
  <c r="W264" i="63"/>
  <c r="O265" i="63" l="1"/>
  <c r="N265" i="63"/>
  <c r="AT264" i="63"/>
  <c r="AU264" i="63"/>
  <c r="AV264" i="63" s="1"/>
  <c r="M265" i="63" l="1"/>
  <c r="L265" i="63" s="1"/>
  <c r="Q265" i="63"/>
  <c r="V265" i="63" s="1"/>
  <c r="AN265" i="63"/>
  <c r="AS265" i="63" s="1"/>
  <c r="P265" i="63" l="1"/>
  <c r="AM265" i="63"/>
  <c r="Z265" i="63"/>
  <c r="U265" i="63" l="1"/>
  <c r="W265" i="63"/>
  <c r="AT265" i="63" l="1"/>
  <c r="N266" i="63"/>
  <c r="AU265" i="63"/>
  <c r="AV265" i="63" s="1"/>
  <c r="O266" i="63"/>
  <c r="AN266" i="63" l="1"/>
  <c r="AS266" i="63" s="1"/>
  <c r="M266" i="63"/>
  <c r="L266" i="63" s="1"/>
  <c r="Q266" i="63"/>
  <c r="V266" i="63" s="1"/>
  <c r="Z266" i="63" l="1"/>
  <c r="AM266" i="63"/>
  <c r="P266" i="63"/>
  <c r="U266" i="63" l="1"/>
  <c r="W266" i="63"/>
  <c r="O267" i="63" l="1"/>
  <c r="AU266" i="63"/>
  <c r="AV266" i="63" s="1"/>
  <c r="AT266" i="63"/>
  <c r="N267" i="63"/>
  <c r="M267" i="63" l="1"/>
  <c r="L267" i="63" s="1"/>
  <c r="Q267" i="63"/>
  <c r="V267" i="63" s="1"/>
  <c r="AN267" i="63"/>
  <c r="AS267" i="63" s="1"/>
  <c r="P267" i="63" l="1"/>
  <c r="AM267" i="63"/>
  <c r="Z267" i="63"/>
  <c r="U267" i="63" l="1"/>
  <c r="W267" i="63"/>
  <c r="N268" i="63" l="1"/>
  <c r="AU267" i="63"/>
  <c r="AV267" i="63" s="1"/>
  <c r="AT267" i="63"/>
  <c r="O268" i="63"/>
  <c r="AN268" i="63" l="1"/>
  <c r="AS268" i="63" s="1"/>
  <c r="Q268" i="63"/>
  <c r="V268" i="63" s="1"/>
  <c r="M268" i="63"/>
  <c r="L268" i="63" s="1"/>
  <c r="AM268" i="63" l="1"/>
  <c r="Z268" i="63"/>
  <c r="P268" i="63"/>
  <c r="U268" i="63" l="1"/>
  <c r="W268" i="63"/>
  <c r="AT268" i="63" l="1"/>
  <c r="N269" i="63"/>
  <c r="AU268" i="63"/>
  <c r="AV268" i="63" s="1"/>
  <c r="O269" i="63"/>
  <c r="AN269" i="63" l="1"/>
  <c r="AS269" i="63" s="1"/>
  <c r="M269" i="63"/>
  <c r="L269" i="63" s="1"/>
  <c r="Q269" i="63"/>
  <c r="V269" i="63" s="1"/>
  <c r="AM269" i="63" l="1"/>
  <c r="Z269" i="63"/>
  <c r="P269" i="63"/>
  <c r="U269" i="63" l="1"/>
  <c r="W269" i="63"/>
  <c r="AU269" i="63" l="1"/>
  <c r="AV269" i="63" s="1"/>
  <c r="N270" i="63"/>
  <c r="AT269" i="63"/>
  <c r="O270" i="63"/>
  <c r="AN270" i="63" l="1"/>
  <c r="AS270" i="63" s="1"/>
  <c r="M270" i="63"/>
  <c r="L270" i="63" s="1"/>
  <c r="Q270" i="63"/>
  <c r="V270" i="63" s="1"/>
  <c r="P270" i="63" l="1"/>
  <c r="AM270" i="63"/>
  <c r="Z270" i="63"/>
  <c r="U270" i="63" l="1"/>
  <c r="W270" i="63"/>
  <c r="N271" i="63" l="1"/>
  <c r="AT270" i="63"/>
  <c r="AU270" i="63"/>
  <c r="AV270" i="63" s="1"/>
  <c r="O271" i="63"/>
  <c r="AN271" i="63" l="1"/>
  <c r="AS271" i="63" s="1"/>
  <c r="Q271" i="63"/>
  <c r="V271" i="63" s="1"/>
  <c r="M271" i="63"/>
  <c r="L271" i="63" s="1"/>
  <c r="AM271" i="63" l="1"/>
  <c r="Z271" i="63"/>
  <c r="P271" i="63"/>
  <c r="U271" i="63" l="1"/>
  <c r="W271" i="63"/>
  <c r="AU271" i="63" l="1"/>
  <c r="AV271" i="63" s="1"/>
  <c r="N272" i="63"/>
  <c r="AT271" i="63"/>
  <c r="O272" i="63"/>
  <c r="AN272" i="63" l="1"/>
  <c r="AS272" i="63" s="1"/>
  <c r="Q272" i="63"/>
  <c r="V272" i="63" s="1"/>
  <c r="M272" i="63"/>
  <c r="L272" i="63" s="1"/>
  <c r="Z272" i="63" l="1"/>
  <c r="AM272" i="63"/>
  <c r="P272" i="63"/>
  <c r="U272" i="63" l="1"/>
  <c r="W272" i="63"/>
  <c r="O273" i="63" l="1"/>
  <c r="AU272" i="63"/>
  <c r="AV272" i="63" s="1"/>
  <c r="AT272" i="63"/>
  <c r="N273" i="63"/>
  <c r="Q273" i="63" l="1"/>
  <c r="V273" i="63" s="1"/>
  <c r="M273" i="63"/>
  <c r="L273" i="63" s="1"/>
  <c r="AN273" i="63"/>
  <c r="AS273" i="63" s="1"/>
  <c r="P273" i="63" l="1"/>
  <c r="U273" i="63" s="1"/>
  <c r="AM273" i="63"/>
  <c r="Z273" i="63"/>
  <c r="W273" i="63" l="1"/>
  <c r="AT273" i="63" s="1"/>
  <c r="N274" i="63" l="1"/>
  <c r="O274" i="63"/>
  <c r="AU273" i="63"/>
  <c r="AV273" i="63" s="1"/>
  <c r="Q274" i="63"/>
  <c r="V274" i="63" s="1"/>
  <c r="M274" i="63"/>
  <c r="L274" i="63" s="1"/>
  <c r="AN274" i="63"/>
  <c r="AS274" i="63" s="1"/>
  <c r="P274" i="63" l="1"/>
  <c r="U274" i="63" s="1"/>
  <c r="Z274" i="63"/>
  <c r="AM274" i="63"/>
  <c r="W274" i="63" l="1"/>
  <c r="N275" i="63" s="1"/>
  <c r="AT274" i="63" l="1"/>
  <c r="AU274" i="63"/>
  <c r="AV274" i="63" s="1"/>
  <c r="O275" i="63"/>
  <c r="AN275" i="63" s="1"/>
  <c r="AS275" i="63" s="1"/>
  <c r="M275" i="63"/>
  <c r="L275" i="63" s="1"/>
  <c r="Q275" i="63"/>
  <c r="V275" i="63" s="1"/>
  <c r="Z275" i="63" l="1"/>
  <c r="AM275" i="63"/>
  <c r="P275" i="63"/>
  <c r="U275" i="63" l="1"/>
  <c r="W275" i="63"/>
  <c r="AT275" i="63" l="1"/>
  <c r="N276" i="63"/>
  <c r="O276" i="63"/>
  <c r="AU275" i="63"/>
  <c r="AV275" i="63" s="1"/>
  <c r="AN276" i="63" l="1"/>
  <c r="AS276" i="63" s="1"/>
  <c r="M276" i="63"/>
  <c r="L276" i="63" s="1"/>
  <c r="Q276" i="63"/>
  <c r="V276" i="63" s="1"/>
  <c r="AM276" i="63" l="1"/>
  <c r="Z276" i="63"/>
  <c r="P276" i="63"/>
  <c r="U276" i="63" l="1"/>
  <c r="W276" i="63"/>
  <c r="AT276" i="63" l="1"/>
  <c r="AU276" i="63"/>
  <c r="AV276" i="63" s="1"/>
  <c r="N277" i="63"/>
  <c r="O277" i="63"/>
  <c r="AN277" i="63" l="1"/>
  <c r="AS277" i="63" s="1"/>
  <c r="Q277" i="63"/>
  <c r="V277" i="63" s="1"/>
  <c r="M277" i="63"/>
  <c r="L277" i="63" s="1"/>
  <c r="AM277" i="63" l="1"/>
  <c r="Z277" i="63"/>
  <c r="P277" i="63"/>
  <c r="U277" i="63" l="1"/>
  <c r="W277" i="63"/>
  <c r="AT277" i="63" l="1"/>
  <c r="O278" i="63"/>
  <c r="AU277" i="63"/>
  <c r="AV277" i="63" s="1"/>
  <c r="N278" i="63"/>
  <c r="M278" i="63" l="1"/>
  <c r="L278" i="63" s="1"/>
  <c r="Q278" i="63"/>
  <c r="V278" i="63" s="1"/>
  <c r="AN278" i="63"/>
  <c r="AS278" i="63" s="1"/>
  <c r="P278" i="63" l="1"/>
  <c r="U278" i="63" s="1"/>
  <c r="Z278" i="63"/>
  <c r="AM278" i="63"/>
  <c r="W278" i="63" l="1"/>
  <c r="AU278" i="63" s="1"/>
  <c r="AV278" i="63" s="1"/>
  <c r="AT278" i="63" l="1"/>
  <c r="N279" i="63"/>
  <c r="O279" i="63"/>
  <c r="AN279" i="63" s="1"/>
  <c r="AS279" i="63" s="1"/>
  <c r="M279" i="63"/>
  <c r="L279" i="63" s="1"/>
  <c r="Q279" i="63"/>
  <c r="V279" i="63" s="1"/>
  <c r="P279" i="63" l="1"/>
  <c r="U279" i="63" s="1"/>
  <c r="Z279" i="63"/>
  <c r="AM279" i="63"/>
  <c r="W279" i="63" l="1"/>
  <c r="N280" i="63" s="1"/>
  <c r="AU279" i="63" l="1"/>
  <c r="AV279" i="63" s="1"/>
  <c r="AT279" i="63"/>
  <c r="O280" i="63"/>
  <c r="AN280" i="63" s="1"/>
  <c r="AS280" i="63" s="1"/>
  <c r="M280" i="63"/>
  <c r="L280" i="63" s="1"/>
  <c r="Q280" i="63"/>
  <c r="V280" i="63" s="1"/>
  <c r="AM280" i="63" l="1"/>
  <c r="Z280" i="63"/>
  <c r="P280" i="63"/>
  <c r="U280" i="63" l="1"/>
  <c r="W280" i="63"/>
  <c r="AU280" i="63" l="1"/>
  <c r="AV280" i="63" s="1"/>
  <c r="N281" i="63"/>
  <c r="AT280" i="63"/>
  <c r="O281" i="63"/>
  <c r="AN281" i="63" l="1"/>
  <c r="AS281" i="63" s="1"/>
  <c r="M281" i="63"/>
  <c r="L281" i="63" s="1"/>
  <c r="Q281" i="63"/>
  <c r="V281" i="63" s="1"/>
  <c r="Z281" i="63" l="1"/>
  <c r="AM281" i="63"/>
  <c r="P281" i="63"/>
  <c r="U281" i="63" l="1"/>
  <c r="W281" i="63"/>
  <c r="AT281" i="63" l="1"/>
  <c r="O282" i="63"/>
  <c r="AU281" i="63"/>
  <c r="AV281" i="63" s="1"/>
  <c r="N282" i="63"/>
  <c r="M282" i="63" l="1"/>
  <c r="L282" i="63" s="1"/>
  <c r="Q282" i="63"/>
  <c r="V282" i="63" s="1"/>
  <c r="AN282" i="63"/>
  <c r="AS282" i="63" s="1"/>
  <c r="P282" i="63" l="1"/>
  <c r="U282" i="63" s="1"/>
  <c r="AM282" i="63"/>
  <c r="Z282" i="63"/>
  <c r="W282" i="63" l="1"/>
  <c r="AT282" i="63" s="1"/>
  <c r="N283" i="63"/>
  <c r="O283" i="63" l="1"/>
  <c r="AN283" i="63" s="1"/>
  <c r="AS283" i="63" s="1"/>
  <c r="AU282" i="63"/>
  <c r="AV282" i="63" s="1"/>
  <c r="M283" i="63"/>
  <c r="L283" i="63" s="1"/>
  <c r="Q283" i="63"/>
  <c r="V283" i="63" s="1"/>
  <c r="P283" i="63" l="1"/>
  <c r="Z283" i="63"/>
  <c r="AM283" i="63"/>
  <c r="U283" i="63" l="1"/>
  <c r="W283" i="63"/>
  <c r="AT283" i="63" l="1"/>
  <c r="AU283" i="63"/>
  <c r="AV283" i="63" s="1"/>
  <c r="N284" i="63"/>
  <c r="O284" i="63"/>
  <c r="AN284" i="63" s="1"/>
  <c r="AS284" i="63" s="1"/>
  <c r="Q284" i="63" l="1"/>
  <c r="M284" i="63"/>
  <c r="L284" i="63" s="1"/>
  <c r="AM284" i="63" l="1"/>
  <c r="Z284" i="63"/>
  <c r="V284" i="63"/>
  <c r="P284" i="63"/>
  <c r="U284" i="63" l="1"/>
  <c r="W284" i="63"/>
  <c r="N285" i="63" l="1"/>
  <c r="AT284" i="63"/>
  <c r="AU284" i="63"/>
  <c r="AV284" i="63" s="1"/>
  <c r="O285" i="63"/>
  <c r="AN285" i="63" s="1"/>
  <c r="AS285" i="63" s="1"/>
  <c r="Q285" i="63" l="1"/>
  <c r="M285" i="63"/>
  <c r="L285" i="63" s="1"/>
  <c r="AM285" i="63" l="1"/>
  <c r="Z285" i="63"/>
  <c r="V285" i="63"/>
  <c r="P285" i="63"/>
  <c r="W285" i="63" l="1"/>
  <c r="U285" i="63"/>
  <c r="AU285" i="63" l="1"/>
  <c r="AV285" i="63" s="1"/>
  <c r="AT285" i="63"/>
  <c r="O286" i="63"/>
  <c r="AN286" i="63" s="1"/>
  <c r="AS286" i="63" s="1"/>
  <c r="N286" i="63"/>
  <c r="Q286" i="63" l="1"/>
  <c r="M286" i="63"/>
  <c r="L286" i="63" s="1"/>
  <c r="AM286" i="63" l="1"/>
  <c r="Z286" i="63"/>
  <c r="V286" i="63"/>
  <c r="P286" i="63"/>
  <c r="U286" i="63" l="1"/>
  <c r="W286" i="63"/>
  <c r="AU286" i="63" l="1"/>
  <c r="AV286" i="63" s="1"/>
  <c r="N287" i="63"/>
  <c r="AT286" i="63"/>
  <c r="O287" i="63"/>
  <c r="AN287" i="63" l="1"/>
  <c r="AS287" i="63" s="1"/>
  <c r="M287" i="63"/>
  <c r="L287" i="63" s="1"/>
  <c r="Q287" i="63"/>
  <c r="V287" i="63" s="1"/>
  <c r="Z287" i="63" l="1"/>
  <c r="AM287" i="63"/>
  <c r="P287" i="63"/>
  <c r="W287" i="63" l="1"/>
  <c r="U287" i="63"/>
  <c r="N288" i="63" l="1"/>
  <c r="AT287" i="63"/>
  <c r="AU287" i="63"/>
  <c r="AV287" i="63" s="1"/>
  <c r="O288" i="63"/>
  <c r="AN288" i="63" l="1"/>
  <c r="AS288" i="63" s="1"/>
  <c r="Q288" i="63"/>
  <c r="V288" i="63" s="1"/>
  <c r="M288" i="63"/>
  <c r="L288" i="63" s="1"/>
  <c r="Z288" i="63" l="1"/>
  <c r="AM288" i="63"/>
  <c r="P288" i="63"/>
  <c r="W288" i="63" l="1"/>
  <c r="U288" i="63"/>
  <c r="O289" i="63" l="1"/>
  <c r="AU288" i="63"/>
  <c r="AV288" i="63" s="1"/>
  <c r="N289" i="63"/>
  <c r="AT288" i="63"/>
  <c r="M289" i="63" l="1"/>
  <c r="L289" i="63" s="1"/>
  <c r="Q289" i="63"/>
  <c r="V289" i="63" s="1"/>
  <c r="AN289" i="63"/>
  <c r="AS289" i="63" s="1"/>
  <c r="P289" i="63" l="1"/>
  <c r="AM289" i="63"/>
  <c r="Z289" i="63"/>
  <c r="U289" i="63" l="1"/>
  <c r="W289" i="63"/>
  <c r="N290" i="63" l="1"/>
  <c r="AT289" i="63"/>
  <c r="AU289" i="63"/>
  <c r="AV289" i="63" s="1"/>
  <c r="O290" i="63"/>
  <c r="AN290" i="63" l="1"/>
  <c r="AS290" i="63" s="1"/>
  <c r="Q290" i="63"/>
  <c r="V290" i="63" s="1"/>
  <c r="M290" i="63"/>
  <c r="L290" i="63" s="1"/>
  <c r="AM290" i="63" l="1"/>
  <c r="Z290" i="63"/>
  <c r="P290" i="63"/>
  <c r="W290" i="63" l="1"/>
  <c r="U290" i="63"/>
  <c r="AT290" i="63" l="1"/>
  <c r="AU290" i="63"/>
  <c r="AV290" i="63" s="1"/>
  <c r="O291" i="63"/>
  <c r="N291" i="63"/>
  <c r="M291" i="63" l="1"/>
  <c r="L291" i="63" s="1"/>
  <c r="Q291" i="63"/>
  <c r="V291" i="63" s="1"/>
  <c r="AN291" i="63"/>
  <c r="AS291" i="63" s="1"/>
  <c r="P291" i="63" l="1"/>
  <c r="W291" i="63" s="1"/>
  <c r="AM291" i="63"/>
  <c r="Z291" i="63"/>
  <c r="U291" i="63" l="1"/>
  <c r="AT291" i="63"/>
  <c r="AU291" i="63"/>
  <c r="AV291" i="63" s="1"/>
  <c r="N292" i="63"/>
  <c r="O292" i="63"/>
  <c r="AN292" i="63" s="1"/>
  <c r="AS292" i="63" s="1"/>
  <c r="M292" i="63" l="1"/>
  <c r="L292" i="63" s="1"/>
  <c r="Q292" i="63"/>
  <c r="V292" i="63" l="1"/>
  <c r="P292" i="63"/>
  <c r="Z292" i="63"/>
  <c r="AM292" i="63"/>
  <c r="U292" i="63" l="1"/>
  <c r="W292" i="63"/>
  <c r="AU292" i="63" l="1"/>
  <c r="AV292" i="63" s="1"/>
  <c r="O293" i="63"/>
  <c r="AN293" i="63" s="1"/>
  <c r="AS293" i="63" s="1"/>
  <c r="AT292" i="63"/>
  <c r="N293" i="63"/>
  <c r="Q293" i="63" l="1"/>
  <c r="M293" i="63"/>
  <c r="L293" i="63" s="1"/>
  <c r="AM293" i="63" l="1"/>
  <c r="Z293" i="63"/>
  <c r="V293" i="63"/>
  <c r="P293" i="63"/>
  <c r="W293" i="63" l="1"/>
  <c r="U293" i="63"/>
  <c r="AU293" i="63" l="1"/>
  <c r="AV293" i="63" s="1"/>
  <c r="N294" i="63"/>
  <c r="AT293" i="63"/>
  <c r="O294" i="63"/>
  <c r="AN294" i="63" s="1"/>
  <c r="AS294" i="63" s="1"/>
  <c r="Q294" i="63" l="1"/>
  <c r="M294" i="63"/>
  <c r="L294" i="63" s="1"/>
  <c r="AM294" i="63" l="1"/>
  <c r="Z294" i="63"/>
  <c r="V294" i="63"/>
  <c r="P294" i="63"/>
  <c r="U294" i="63" l="1"/>
  <c r="W294" i="63"/>
  <c r="AT294" i="63" l="1"/>
  <c r="AU294" i="63"/>
  <c r="AV294" i="63" s="1"/>
  <c r="N295" i="63"/>
  <c r="O295" i="63"/>
  <c r="AN295" i="63" l="1"/>
  <c r="AS295" i="63" s="1"/>
  <c r="M295" i="63"/>
  <c r="L295" i="63" s="1"/>
  <c r="Q295" i="63"/>
  <c r="V295" i="63" s="1"/>
  <c r="AM295" i="63" l="1"/>
  <c r="Z295" i="63"/>
  <c r="P295" i="63"/>
  <c r="U295" i="63" l="1"/>
  <c r="W295" i="63"/>
  <c r="O296" i="63" l="1"/>
  <c r="AU295" i="63"/>
  <c r="AV295" i="63" s="1"/>
  <c r="AT295" i="63"/>
  <c r="N296" i="63"/>
  <c r="M296" i="63" l="1"/>
  <c r="L296" i="63" s="1"/>
  <c r="Q296" i="63"/>
  <c r="V296" i="63" s="1"/>
  <c r="AN296" i="63"/>
  <c r="AS296" i="63" s="1"/>
  <c r="P296" i="63" l="1"/>
  <c r="U296" i="63" s="1"/>
  <c r="Z296" i="63"/>
  <c r="AM296" i="63"/>
  <c r="W296" i="63" l="1"/>
  <c r="N297" i="63" s="1"/>
  <c r="AU296" i="63" l="1"/>
  <c r="AV296" i="63" s="1"/>
  <c r="O297" i="63"/>
  <c r="AN297" i="63" s="1"/>
  <c r="AS297" i="63" s="1"/>
  <c r="AT296" i="63"/>
  <c r="M297" i="63"/>
  <c r="L297" i="63" s="1"/>
  <c r="Q297" i="63"/>
  <c r="V297" i="63" l="1"/>
  <c r="P297" i="63"/>
  <c r="Z297" i="63"/>
  <c r="AM297" i="63"/>
  <c r="U297" i="63" l="1"/>
  <c r="W297" i="63"/>
  <c r="AT297" i="63" l="1"/>
  <c r="O298" i="63"/>
  <c r="AN298" i="63" s="1"/>
  <c r="AS298" i="63" s="1"/>
  <c r="N298" i="63"/>
  <c r="AU297" i="63"/>
  <c r="AV297" i="63" s="1"/>
  <c r="Q298" i="63" l="1"/>
  <c r="M298" i="63"/>
  <c r="L298" i="63" s="1"/>
  <c r="AM298" i="63" l="1"/>
  <c r="Z298" i="63"/>
  <c r="V298" i="63"/>
  <c r="P298" i="63"/>
  <c r="U298" i="63" l="1"/>
  <c r="W298" i="63"/>
  <c r="AT298" i="63" l="1"/>
  <c r="AU298" i="63"/>
  <c r="AV298" i="63" s="1"/>
  <c r="N299" i="63"/>
  <c r="O299" i="63"/>
  <c r="AN299" i="63" s="1"/>
  <c r="AS299" i="63" s="1"/>
  <c r="Q299" i="63" l="1"/>
  <c r="M299" i="63"/>
  <c r="L299" i="63" s="1"/>
  <c r="Z299" i="63" l="1"/>
  <c r="AM299" i="63"/>
  <c r="V299" i="63"/>
  <c r="P299" i="63"/>
  <c r="U299" i="63" l="1"/>
  <c r="W299" i="63"/>
  <c r="AU299" i="63" l="1"/>
  <c r="AV299" i="63" s="1"/>
  <c r="AT299" i="63"/>
  <c r="N300" i="63"/>
  <c r="O300" i="63"/>
  <c r="AN300" i="63" s="1"/>
  <c r="AS300" i="63" s="1"/>
  <c r="M300" i="63" l="1"/>
  <c r="L300" i="63" s="1"/>
  <c r="Q300" i="63"/>
  <c r="V300" i="63" l="1"/>
  <c r="P300" i="63"/>
  <c r="AM300" i="63"/>
  <c r="Z300" i="63"/>
  <c r="U300" i="63" l="1"/>
  <c r="W300" i="63"/>
  <c r="O301" i="63" l="1"/>
  <c r="AN301" i="63" s="1"/>
  <c r="AS301" i="63" s="1"/>
  <c r="AU300" i="63"/>
  <c r="AV300" i="63" s="1"/>
  <c r="N301" i="63"/>
  <c r="AT300" i="63"/>
  <c r="M301" i="63" l="1"/>
  <c r="L301" i="63" s="1"/>
  <c r="Q301" i="63"/>
  <c r="V301" i="63" l="1"/>
  <c r="P301" i="63"/>
  <c r="Z301" i="63"/>
  <c r="AM301" i="63"/>
  <c r="U301" i="63" l="1"/>
  <c r="W301" i="63"/>
  <c r="AT301" i="63" l="1"/>
  <c r="O302" i="63"/>
  <c r="AU301" i="63"/>
  <c r="AV301" i="63" s="1"/>
  <c r="N302" i="63"/>
  <c r="M302" i="63" l="1"/>
  <c r="L302" i="63" s="1"/>
  <c r="Q302" i="63"/>
  <c r="V302" i="63" s="1"/>
  <c r="AN302" i="63"/>
  <c r="AS302" i="63" s="1"/>
  <c r="P302" i="63" l="1"/>
  <c r="AM302" i="63"/>
  <c r="Z302" i="63"/>
  <c r="U302" i="63" l="1"/>
  <c r="W302" i="63"/>
  <c r="N303" i="63" l="1"/>
  <c r="AT302" i="63"/>
  <c r="AU302" i="63"/>
  <c r="AV302" i="63" s="1"/>
  <c r="O303" i="63"/>
  <c r="AN303" i="63" l="1"/>
  <c r="AS303" i="63" s="1"/>
  <c r="M303" i="63"/>
  <c r="L303" i="63" s="1"/>
  <c r="Q303" i="63"/>
  <c r="V303" i="63" s="1"/>
  <c r="Z303" i="63" l="1"/>
  <c r="AM303" i="63"/>
  <c r="P303" i="63"/>
  <c r="U303" i="63" l="1"/>
  <c r="W303" i="63"/>
  <c r="AT303" i="63" l="1"/>
  <c r="O304" i="63"/>
  <c r="AU303" i="63"/>
  <c r="AV303" i="63" s="1"/>
  <c r="N304" i="63"/>
  <c r="Q304" i="63" l="1"/>
  <c r="V304" i="63" s="1"/>
  <c r="M304" i="63"/>
  <c r="L304" i="63" s="1"/>
  <c r="AN304" i="63"/>
  <c r="AS304" i="63" s="1"/>
  <c r="P304" i="63" l="1"/>
  <c r="U304" i="63" s="1"/>
  <c r="AM304" i="63"/>
  <c r="Z304" i="63"/>
  <c r="W304" i="63" l="1"/>
  <c r="AU304" i="63" s="1"/>
  <c r="AV304" i="63" s="1"/>
  <c r="AT304" i="63" l="1"/>
  <c r="N305" i="63"/>
  <c r="O305" i="63"/>
  <c r="Q305" i="63"/>
  <c r="V305" i="63" s="1"/>
  <c r="M305" i="63"/>
  <c r="L305" i="63" s="1"/>
  <c r="AN305" i="63"/>
  <c r="AS305" i="63" s="1"/>
  <c r="P305" i="63" l="1"/>
  <c r="U305" i="63" s="1"/>
  <c r="AM305" i="63"/>
  <c r="Z305" i="63"/>
  <c r="W305" i="63" l="1"/>
  <c r="O306" i="63"/>
  <c r="AN306" i="63" s="1"/>
  <c r="AS306" i="63" s="1"/>
  <c r="AT305" i="63"/>
  <c r="N306" i="63"/>
  <c r="AU305" i="63"/>
  <c r="AV305" i="63" s="1"/>
  <c r="M306" i="63" l="1"/>
  <c r="L306" i="63" s="1"/>
  <c r="Q306" i="63"/>
  <c r="V306" i="63" l="1"/>
  <c r="P306" i="63"/>
  <c r="AM306" i="63"/>
  <c r="Z306" i="63"/>
  <c r="U306" i="63" l="1"/>
  <c r="W306" i="63"/>
  <c r="AU306" i="63" l="1"/>
  <c r="AV306" i="63" s="1"/>
  <c r="O307" i="63"/>
  <c r="AT306" i="63"/>
  <c r="N307" i="63"/>
  <c r="M307" i="63" l="1"/>
  <c r="L307" i="63" s="1"/>
  <c r="Q307" i="63"/>
  <c r="V307" i="63" s="1"/>
  <c r="AN307" i="63"/>
  <c r="AS307" i="63" s="1"/>
  <c r="P307" i="63" l="1"/>
  <c r="AM307" i="63"/>
  <c r="Z307" i="63"/>
  <c r="U307" i="63" l="1"/>
  <c r="W307" i="63"/>
  <c r="AU307" i="63" l="1"/>
  <c r="AV307" i="63" s="1"/>
  <c r="O308" i="63"/>
  <c r="AT307" i="63"/>
  <c r="N308" i="63"/>
  <c r="Q308" i="63" l="1"/>
  <c r="V308" i="63" s="1"/>
  <c r="M308" i="63"/>
  <c r="L308" i="63" s="1"/>
  <c r="AN308" i="63"/>
  <c r="AS308" i="63" s="1"/>
  <c r="P308" i="63" l="1"/>
  <c r="U308" i="63" s="1"/>
  <c r="Z308" i="63"/>
  <c r="AM308" i="63"/>
  <c r="W308" i="63" l="1"/>
  <c r="O309" i="63" s="1"/>
  <c r="AU308" i="63" l="1"/>
  <c r="AV308" i="63" s="1"/>
  <c r="AT308" i="63"/>
  <c r="N309" i="63"/>
  <c r="Q309" i="63" s="1"/>
  <c r="V309" i="63" s="1"/>
  <c r="AN309" i="63"/>
  <c r="AS309" i="63" s="1"/>
  <c r="M309" i="63" l="1"/>
  <c r="L309" i="63" s="1"/>
  <c r="Z309" i="63" s="1"/>
  <c r="P309" i="63"/>
  <c r="U309" i="63" s="1"/>
  <c r="AM309" i="63" l="1"/>
  <c r="W309" i="63"/>
  <c r="AU309" i="63" s="1"/>
  <c r="AV309" i="63" s="1"/>
  <c r="N310" i="63"/>
  <c r="AT309" i="63"/>
  <c r="O310" i="63"/>
  <c r="AN310" i="63" l="1"/>
  <c r="AS310" i="63" s="1"/>
  <c r="Q310" i="63"/>
  <c r="V310" i="63" s="1"/>
  <c r="M310" i="63"/>
  <c r="L310" i="63" s="1"/>
  <c r="AM310" i="63" l="1"/>
  <c r="Z310" i="63"/>
  <c r="P310" i="63"/>
  <c r="U310" i="63" l="1"/>
  <c r="W310" i="63"/>
  <c r="AT310" i="63" l="1"/>
  <c r="N311" i="63"/>
  <c r="O311" i="63"/>
  <c r="AU310" i="63"/>
  <c r="AV310" i="63" s="1"/>
  <c r="AN311" i="63" l="1"/>
  <c r="AS311" i="63" s="1"/>
  <c r="M311" i="63"/>
  <c r="L311" i="63" s="1"/>
  <c r="Q311" i="63"/>
  <c r="V311" i="63" s="1"/>
  <c r="AM311" i="63" l="1"/>
  <c r="Z311" i="63"/>
  <c r="P311" i="63"/>
  <c r="U311" i="63" l="1"/>
  <c r="W311" i="63"/>
  <c r="AT311" i="63" l="1"/>
  <c r="AU311" i="63"/>
  <c r="AV311" i="63" s="1"/>
  <c r="N312" i="63"/>
  <c r="O312" i="63"/>
  <c r="AN312" i="63" l="1"/>
  <c r="AS312" i="63" s="1"/>
  <c r="M312" i="63"/>
  <c r="L312" i="63" s="1"/>
  <c r="Q312" i="63"/>
  <c r="V312" i="63" s="1"/>
  <c r="AM312" i="63" l="1"/>
  <c r="Z312" i="63"/>
  <c r="P312" i="63"/>
  <c r="U312" i="63" l="1"/>
  <c r="W312" i="63"/>
  <c r="AT312" i="63" l="1"/>
  <c r="O313" i="63"/>
  <c r="N313" i="63"/>
  <c r="AU312" i="63"/>
  <c r="AV312" i="63" s="1"/>
  <c r="Q313" i="63" l="1"/>
  <c r="V313" i="63" s="1"/>
  <c r="M313" i="63"/>
  <c r="L313" i="63" s="1"/>
  <c r="AN313" i="63"/>
  <c r="AS313" i="63" s="1"/>
  <c r="P313" i="63" l="1"/>
  <c r="U313" i="63" s="1"/>
  <c r="Z313" i="63"/>
  <c r="AM313" i="63"/>
  <c r="W313" i="63" l="1"/>
  <c r="O314" i="63"/>
  <c r="AN314" i="63" s="1"/>
  <c r="AS314" i="63" s="1"/>
  <c r="N314" i="63"/>
  <c r="AT313" i="63"/>
  <c r="AU313" i="63"/>
  <c r="AV313" i="63" s="1"/>
  <c r="M314" i="63" l="1"/>
  <c r="L314" i="63" s="1"/>
  <c r="Q314" i="63"/>
  <c r="P314" i="63" l="1"/>
  <c r="V314" i="63"/>
  <c r="AM314" i="63"/>
  <c r="Z314" i="63"/>
  <c r="U314" i="63" l="1"/>
  <c r="W314" i="63"/>
  <c r="AU314" i="63" l="1"/>
  <c r="AV314" i="63" s="1"/>
  <c r="N315" i="63"/>
  <c r="O315" i="63"/>
  <c r="AN315" i="63" s="1"/>
  <c r="AS315" i="63" s="1"/>
  <c r="AT314" i="63"/>
  <c r="M315" i="63" l="1"/>
  <c r="L315" i="63" s="1"/>
  <c r="Q315" i="63"/>
  <c r="V315" i="63" l="1"/>
  <c r="P315" i="63"/>
  <c r="AM315" i="63"/>
  <c r="Z315" i="63"/>
  <c r="U315" i="63" l="1"/>
  <c r="W315" i="63"/>
  <c r="N316" i="63" l="1"/>
  <c r="O316" i="63"/>
  <c r="AN316" i="63" s="1"/>
  <c r="AS316" i="63" s="1"/>
  <c r="AU315" i="63"/>
  <c r="AV315" i="63" s="1"/>
  <c r="AT315" i="63"/>
  <c r="M316" i="63" l="1"/>
  <c r="L316" i="63" s="1"/>
  <c r="Q316" i="63"/>
  <c r="V316" i="63" l="1"/>
  <c r="P316" i="63"/>
  <c r="Z316" i="63"/>
  <c r="AM316" i="63"/>
  <c r="U316" i="63" l="1"/>
  <c r="W316" i="63"/>
  <c r="O317" i="63" l="1"/>
  <c r="AT316" i="63"/>
  <c r="AU316" i="63"/>
  <c r="AV316" i="63" s="1"/>
  <c r="N317" i="63"/>
  <c r="Q317" i="63" l="1"/>
  <c r="V317" i="63" s="1"/>
  <c r="M317" i="63"/>
  <c r="L317" i="63" s="1"/>
  <c r="AN317" i="63"/>
  <c r="AS317" i="63" s="1"/>
  <c r="P317" i="63" l="1"/>
  <c r="U317" i="63" s="1"/>
  <c r="AM317" i="63"/>
  <c r="Z317" i="63"/>
  <c r="W317" i="63" l="1"/>
  <c r="N318" i="63" s="1"/>
  <c r="O318" i="63" l="1"/>
  <c r="AN318" i="63" s="1"/>
  <c r="AS318" i="63" s="1"/>
  <c r="AU317" i="63"/>
  <c r="AV317" i="63" s="1"/>
  <c r="AT317" i="63"/>
  <c r="M318" i="63"/>
  <c r="L318" i="63" s="1"/>
  <c r="Q318" i="63"/>
  <c r="V318" i="63" s="1"/>
  <c r="Z318" i="63" l="1"/>
  <c r="AM318" i="63"/>
  <c r="P318" i="63"/>
  <c r="W318" i="63" l="1"/>
  <c r="U318" i="63"/>
  <c r="N319" i="63" l="1"/>
  <c r="AU318" i="63"/>
  <c r="AV318" i="63" s="1"/>
  <c r="AT318" i="63"/>
  <c r="O319" i="63"/>
  <c r="AN319" i="63" s="1"/>
  <c r="AS319" i="63" s="1"/>
  <c r="Q319" i="63" l="1"/>
  <c r="V319" i="63" s="1"/>
  <c r="M319" i="63"/>
  <c r="L319" i="63" s="1"/>
  <c r="Z319" i="63" l="1"/>
  <c r="AM319" i="63"/>
  <c r="P319" i="63"/>
  <c r="U319" i="63" l="1"/>
  <c r="W319" i="63"/>
  <c r="N320" i="63" l="1"/>
  <c r="O320" i="63"/>
  <c r="AN320" i="63" s="1"/>
  <c r="AS320" i="63" s="1"/>
  <c r="AU319" i="63"/>
  <c r="AV319" i="63" s="1"/>
  <c r="AT319" i="63"/>
  <c r="M320" i="63" l="1"/>
  <c r="L320" i="63" s="1"/>
  <c r="Q320" i="63"/>
  <c r="V320" i="63" l="1"/>
  <c r="P320" i="63"/>
  <c r="AM320" i="63"/>
  <c r="Z320" i="63"/>
  <c r="U320" i="63" l="1"/>
  <c r="W320" i="63"/>
  <c r="AT320" i="63" l="1"/>
  <c r="AU320" i="63"/>
  <c r="AV320" i="63" s="1"/>
  <c r="N321" i="63"/>
  <c r="O321" i="63"/>
  <c r="AN321" i="63" s="1"/>
  <c r="AS321" i="63" s="1"/>
  <c r="M321" i="63" l="1"/>
  <c r="L321" i="63" s="1"/>
  <c r="Q321" i="63"/>
  <c r="V321" i="63" l="1"/>
  <c r="P321" i="63"/>
  <c r="Z321" i="63"/>
  <c r="AM321" i="63"/>
  <c r="U321" i="63" l="1"/>
  <c r="W321" i="63"/>
  <c r="AT321" i="63" l="1"/>
  <c r="N322" i="63"/>
  <c r="O322" i="63"/>
  <c r="AN322" i="63" s="1"/>
  <c r="AS322" i="63" s="1"/>
  <c r="AU321" i="63"/>
  <c r="AV321" i="63" s="1"/>
  <c r="M322" i="63" l="1"/>
  <c r="L322" i="63" s="1"/>
  <c r="Q322" i="63"/>
  <c r="V322" i="63" l="1"/>
  <c r="P322" i="63"/>
  <c r="Z322" i="63"/>
  <c r="AM322" i="63"/>
  <c r="U322" i="63" l="1"/>
  <c r="W322" i="63"/>
  <c r="O323" i="63" l="1"/>
  <c r="AN323" i="63" s="1"/>
  <c r="AS323" i="63" s="1"/>
  <c r="AU322" i="63"/>
  <c r="AV322" i="63" s="1"/>
  <c r="AT322" i="63"/>
  <c r="N323" i="63"/>
  <c r="M323" i="63" l="1"/>
  <c r="L323" i="63" s="1"/>
  <c r="Q323" i="63"/>
  <c r="V323" i="63" l="1"/>
  <c r="P323" i="63"/>
  <c r="AM323" i="63"/>
  <c r="Z323" i="63"/>
  <c r="U323" i="63" l="1"/>
  <c r="W323" i="63"/>
  <c r="AT323" i="63" l="1"/>
  <c r="N324" i="63"/>
  <c r="AU323" i="63"/>
  <c r="AV323" i="63" s="1"/>
  <c r="O324" i="63"/>
  <c r="AN324" i="63" s="1"/>
  <c r="AS324" i="63" s="1"/>
  <c r="M324" i="63" l="1"/>
  <c r="L324" i="63" s="1"/>
  <c r="Q324" i="63"/>
  <c r="V324" i="63" s="1"/>
  <c r="Z324" i="63" l="1"/>
  <c r="AM324" i="63"/>
  <c r="P324" i="63"/>
  <c r="U324" i="63" l="1"/>
  <c r="W324" i="63"/>
  <c r="AU324" i="63" l="1"/>
  <c r="AV324" i="63" s="1"/>
  <c r="N325" i="63"/>
  <c r="AT324" i="63"/>
  <c r="O325" i="63"/>
  <c r="AN325" i="63" l="1"/>
  <c r="AS325" i="63" s="1"/>
  <c r="Q325" i="63"/>
  <c r="V325" i="63" s="1"/>
  <c r="M325" i="63"/>
  <c r="L325" i="63" s="1"/>
  <c r="AM325" i="63" l="1"/>
  <c r="Z325" i="63"/>
  <c r="P325" i="63"/>
  <c r="W325" i="63" l="1"/>
  <c r="U325" i="63"/>
  <c r="N326" i="63" l="1"/>
  <c r="AU325" i="63"/>
  <c r="AV325" i="63" s="1"/>
  <c r="AT325" i="63"/>
  <c r="O326" i="63"/>
  <c r="AN326" i="63" l="1"/>
  <c r="AS326" i="63" s="1"/>
  <c r="M326" i="63"/>
  <c r="L326" i="63" s="1"/>
  <c r="Q326" i="63"/>
  <c r="V326" i="63" s="1"/>
  <c r="Z326" i="63" l="1"/>
  <c r="AM326" i="63"/>
  <c r="P326" i="63"/>
  <c r="U326" i="63" l="1"/>
  <c r="W326" i="63"/>
  <c r="AU326" i="63" l="1"/>
  <c r="AV326" i="63" s="1"/>
  <c r="N327" i="63"/>
  <c r="O327" i="63"/>
  <c r="AT326" i="63"/>
  <c r="AN327" i="63" l="1"/>
  <c r="AS327" i="63" s="1"/>
  <c r="M327" i="63"/>
  <c r="L327" i="63" s="1"/>
  <c r="Q327" i="63"/>
  <c r="V327" i="63" s="1"/>
  <c r="P327" i="63" l="1"/>
  <c r="Z327" i="63"/>
  <c r="AM327" i="63"/>
  <c r="U327" i="63" l="1"/>
  <c r="W327" i="63"/>
  <c r="AT327" i="63" l="1"/>
  <c r="AU327" i="63"/>
  <c r="AV327" i="63" s="1"/>
  <c r="O328" i="63"/>
  <c r="N328" i="63"/>
  <c r="AN328" i="63" l="1"/>
  <c r="AS328" i="63" s="1"/>
  <c r="M328" i="63"/>
  <c r="L328" i="63" s="1"/>
  <c r="Q328" i="63"/>
  <c r="V328" i="63" s="1"/>
  <c r="Z328" i="63" l="1"/>
  <c r="AM328" i="63"/>
  <c r="P328" i="63"/>
  <c r="U328" i="63" l="1"/>
  <c r="W328" i="63"/>
  <c r="AU328" i="63" l="1"/>
  <c r="AV328" i="63" s="1"/>
  <c r="N329" i="63"/>
  <c r="O329" i="63"/>
  <c r="AT328" i="63"/>
  <c r="AN329" i="63" l="1"/>
  <c r="AS329" i="63" s="1"/>
  <c r="Q329" i="63"/>
  <c r="V329" i="63" s="1"/>
  <c r="M329" i="63"/>
  <c r="L329" i="63" s="1"/>
  <c r="AM329" i="63" l="1"/>
  <c r="Z329" i="63"/>
  <c r="P329" i="63"/>
  <c r="U329" i="63" l="1"/>
  <c r="W329" i="63"/>
  <c r="O330" i="63" l="1"/>
  <c r="AU329" i="63"/>
  <c r="AV329" i="63" s="1"/>
  <c r="AT329" i="63"/>
  <c r="N330" i="63"/>
  <c r="M330" i="63" l="1"/>
  <c r="L330" i="63" s="1"/>
  <c r="Q330" i="63"/>
  <c r="V330" i="63" s="1"/>
  <c r="AN330" i="63"/>
  <c r="AS330" i="63" s="1"/>
  <c r="P330" i="63" l="1"/>
  <c r="U330" i="63" s="1"/>
  <c r="Z330" i="63"/>
  <c r="AM330" i="63"/>
  <c r="W330" i="63" l="1"/>
  <c r="O331" i="63" s="1"/>
  <c r="AU330" i="63" l="1"/>
  <c r="AV330" i="63" s="1"/>
  <c r="N331" i="63"/>
  <c r="AT330" i="63"/>
  <c r="Q331" i="63"/>
  <c r="V331" i="63" s="1"/>
  <c r="M331" i="63"/>
  <c r="L331" i="63" s="1"/>
  <c r="AN331" i="63"/>
  <c r="AS331" i="63" s="1"/>
  <c r="P331" i="63" l="1"/>
  <c r="U331" i="63" s="1"/>
  <c r="AM331" i="63"/>
  <c r="Z331" i="63"/>
  <c r="W331" i="63" l="1"/>
  <c r="AT331" i="63" s="1"/>
  <c r="O332" i="63" l="1"/>
  <c r="N332" i="63"/>
  <c r="AU331" i="63"/>
  <c r="AV331" i="63" s="1"/>
  <c r="Q332" i="63"/>
  <c r="V332" i="63" s="1"/>
  <c r="M332" i="63"/>
  <c r="L332" i="63" s="1"/>
  <c r="AN332" i="63"/>
  <c r="AS332" i="63" s="1"/>
  <c r="P332" i="63" l="1"/>
  <c r="U332" i="63" s="1"/>
  <c r="AM332" i="63"/>
  <c r="Z332" i="63"/>
  <c r="W332" i="63" l="1"/>
  <c r="AU332" i="63" s="1"/>
  <c r="AV332" i="63" s="1"/>
  <c r="AT332" i="63" l="1"/>
  <c r="O333" i="63"/>
  <c r="AN333" i="63" s="1"/>
  <c r="AS333" i="63" s="1"/>
  <c r="N333" i="63"/>
  <c r="M333" i="63" s="1"/>
  <c r="L333" i="63" s="1"/>
  <c r="Q333" i="63" l="1"/>
  <c r="V333" i="63" s="1"/>
  <c r="Z333" i="63"/>
  <c r="AM333" i="63"/>
  <c r="P333" i="63" l="1"/>
  <c r="U333" i="63" s="1"/>
  <c r="W333" i="63" l="1"/>
  <c r="AU333" i="63"/>
  <c r="AV333" i="63" s="1"/>
  <c r="O334" i="63"/>
  <c r="N334" i="63"/>
  <c r="AT333" i="63"/>
  <c r="Q334" i="63" l="1"/>
  <c r="V334" i="63" s="1"/>
  <c r="M334" i="63"/>
  <c r="L334" i="63" s="1"/>
  <c r="AN334" i="63"/>
  <c r="AS334" i="63" s="1"/>
  <c r="P334" i="63" l="1"/>
  <c r="U334" i="63" s="1"/>
  <c r="Z334" i="63"/>
  <c r="AM334" i="63"/>
  <c r="W334" i="63" l="1"/>
  <c r="N335" i="63" s="1"/>
  <c r="AU334" i="63" l="1"/>
  <c r="AV334" i="63" s="1"/>
  <c r="O335" i="63"/>
  <c r="AN335" i="63" s="1"/>
  <c r="AS335" i="63" s="1"/>
  <c r="AT334" i="63"/>
  <c r="M335" i="63"/>
  <c r="L335" i="63" s="1"/>
  <c r="Q335" i="63"/>
  <c r="V335" i="63" s="1"/>
  <c r="Z335" i="63" l="1"/>
  <c r="AM335" i="63"/>
  <c r="P335" i="63"/>
  <c r="U335" i="63" l="1"/>
  <c r="W335" i="63"/>
  <c r="N336" i="63" l="1"/>
  <c r="AU335" i="63"/>
  <c r="AV335" i="63" s="1"/>
  <c r="O336" i="63"/>
  <c r="AT335" i="63"/>
  <c r="AN336" i="63" l="1"/>
  <c r="AS336" i="63" s="1"/>
  <c r="M336" i="63"/>
  <c r="L336" i="63" s="1"/>
  <c r="Q336" i="63"/>
  <c r="V336" i="63" s="1"/>
  <c r="P336" i="63" l="1"/>
  <c r="Z336" i="63"/>
  <c r="AM336" i="63"/>
  <c r="U336" i="63" l="1"/>
  <c r="W336" i="63"/>
  <c r="O337" i="63" l="1"/>
  <c r="AU336" i="63"/>
  <c r="AV336" i="63" s="1"/>
  <c r="AT336" i="63"/>
  <c r="N337" i="63"/>
  <c r="M337" i="63" l="1"/>
  <c r="L337" i="63" s="1"/>
  <c r="Q337" i="63"/>
  <c r="V337" i="63" s="1"/>
  <c r="AN337" i="63"/>
  <c r="AS337" i="63" s="1"/>
  <c r="P337" i="63" l="1"/>
  <c r="AM337" i="63"/>
  <c r="Z337" i="63"/>
  <c r="U337" i="63" l="1"/>
  <c r="W337" i="63"/>
  <c r="N338" i="63" l="1"/>
  <c r="AT337" i="63"/>
  <c r="AU337" i="63"/>
  <c r="AV337" i="63" s="1"/>
  <c r="O338" i="63"/>
  <c r="AN338" i="63" l="1"/>
  <c r="AS338" i="63" s="1"/>
  <c r="M338" i="63"/>
  <c r="L338" i="63" s="1"/>
  <c r="Q338" i="63"/>
  <c r="V338" i="63" s="1"/>
  <c r="Z338" i="63" l="1"/>
  <c r="AM338" i="63"/>
  <c r="P338" i="63"/>
  <c r="U338" i="63" l="1"/>
  <c r="W338" i="63"/>
  <c r="O339" i="63" l="1"/>
  <c r="AT338" i="63"/>
  <c r="AU338" i="63"/>
  <c r="AV338" i="63" s="1"/>
  <c r="N339" i="63"/>
  <c r="M339" i="63" l="1"/>
  <c r="L339" i="63" s="1"/>
  <c r="Q339" i="63"/>
  <c r="V339" i="63" s="1"/>
  <c r="AN339" i="63"/>
  <c r="AS339" i="63" s="1"/>
  <c r="P339" i="63" l="1"/>
  <c r="U339" i="63" s="1"/>
  <c r="AM339" i="63"/>
  <c r="Z339" i="63"/>
  <c r="W339" i="63" l="1"/>
  <c r="AT339" i="63" s="1"/>
  <c r="AU339" i="63" l="1"/>
  <c r="AV339" i="63" s="1"/>
  <c r="N340" i="63"/>
  <c r="M340" i="63" s="1"/>
  <c r="L340" i="63" s="1"/>
  <c r="O340" i="63"/>
  <c r="AN340" i="63" s="1"/>
  <c r="AS340" i="63" s="1"/>
  <c r="Q340" i="63"/>
  <c r="V340" i="63" s="1"/>
  <c r="P340" i="63" l="1"/>
  <c r="AM340" i="63"/>
  <c r="Z340" i="63"/>
  <c r="U340" i="63" l="1"/>
  <c r="W340" i="63"/>
  <c r="O341" i="63" l="1"/>
  <c r="AT340" i="63"/>
  <c r="N341" i="63"/>
  <c r="AU340" i="63"/>
  <c r="AV340" i="63" s="1"/>
  <c r="M341" i="63" l="1"/>
  <c r="L341" i="63" s="1"/>
  <c r="Q341" i="63"/>
  <c r="V341" i="63" s="1"/>
  <c r="AN341" i="63"/>
  <c r="AS341" i="63" s="1"/>
  <c r="P341" i="63" l="1"/>
  <c r="U341" i="63" s="1"/>
  <c r="Z341" i="63"/>
  <c r="AM341" i="63"/>
  <c r="W341" i="63" l="1"/>
  <c r="AU341" i="63" s="1"/>
  <c r="AV341" i="63" s="1"/>
  <c r="N342" i="63" l="1"/>
  <c r="AT341" i="63"/>
  <c r="O342" i="63"/>
  <c r="Q342" i="63"/>
  <c r="V342" i="63" s="1"/>
  <c r="M342" i="63"/>
  <c r="L342" i="63" s="1"/>
  <c r="AN342" i="63"/>
  <c r="AS342" i="63" s="1"/>
  <c r="P342" i="63" l="1"/>
  <c r="U342" i="63" s="1"/>
  <c r="Z342" i="63"/>
  <c r="AM342" i="63"/>
  <c r="W342" i="63" l="1"/>
  <c r="AT342" i="63" s="1"/>
  <c r="AU342" i="63" l="1"/>
  <c r="AV342" i="63" s="1"/>
  <c r="O343" i="63"/>
  <c r="AN343" i="63" s="1"/>
  <c r="AS343" i="63" s="1"/>
  <c r="N343" i="63"/>
  <c r="M343" i="63" s="1"/>
  <c r="L343" i="63" s="1"/>
  <c r="Q343" i="63" l="1"/>
  <c r="V343" i="63" s="1"/>
  <c r="Z343" i="63"/>
  <c r="AM343" i="63"/>
  <c r="P343" i="63" l="1"/>
  <c r="U343" i="63" s="1"/>
  <c r="W343" i="63" l="1"/>
  <c r="N344" i="63" s="1"/>
  <c r="Q344" i="63" l="1"/>
  <c r="V344" i="63" s="1"/>
  <c r="M344" i="63"/>
  <c r="L344" i="63" s="1"/>
  <c r="AM344" i="63" s="1"/>
  <c r="AT343" i="63"/>
  <c r="O344" i="63"/>
  <c r="AN344" i="63" s="1"/>
  <c r="AS344" i="63" s="1"/>
  <c r="AU343" i="63"/>
  <c r="AV343" i="63" s="1"/>
  <c r="Z344" i="63" l="1"/>
  <c r="P344" i="63"/>
  <c r="U344" i="63" s="1"/>
  <c r="W344" i="63" l="1"/>
  <c r="AT344" i="63" s="1"/>
  <c r="O345" i="63" l="1"/>
  <c r="AU344" i="63"/>
  <c r="AV344" i="63" s="1"/>
  <c r="N345" i="63"/>
  <c r="M345" i="63" s="1"/>
  <c r="L345" i="63" s="1"/>
  <c r="AN345" i="63"/>
  <c r="AS345" i="63" s="1"/>
  <c r="Q345" i="63"/>
  <c r="V345" i="63" s="1"/>
  <c r="Z345" i="63" l="1"/>
  <c r="AM345" i="63"/>
  <c r="P345" i="63"/>
  <c r="U345" i="63" l="1"/>
  <c r="W345" i="63"/>
  <c r="O346" i="63" l="1"/>
  <c r="AT345" i="63"/>
  <c r="N346" i="63"/>
  <c r="AU345" i="63"/>
  <c r="AV345" i="63" s="1"/>
  <c r="Q346" i="63" l="1"/>
  <c r="V346" i="63" s="1"/>
  <c r="M346" i="63"/>
  <c r="L346" i="63" s="1"/>
  <c r="AN346" i="63"/>
  <c r="AS346" i="63" s="1"/>
  <c r="P346" i="63" l="1"/>
  <c r="U346" i="63" s="1"/>
  <c r="Z346" i="63"/>
  <c r="AM346" i="63"/>
  <c r="W346" i="63" l="1"/>
  <c r="AT346" i="63" s="1"/>
  <c r="N347" i="63" l="1"/>
  <c r="AU346" i="63"/>
  <c r="AV346" i="63" s="1"/>
  <c r="O347" i="63"/>
  <c r="M347" i="63"/>
  <c r="L347" i="63" s="1"/>
  <c r="Q347" i="63"/>
  <c r="V347" i="63" s="1"/>
  <c r="AN347" i="63"/>
  <c r="AS347" i="63" s="1"/>
  <c r="P347" i="63" l="1"/>
  <c r="U347" i="63" s="1"/>
  <c r="Z347" i="63"/>
  <c r="AM347" i="63"/>
  <c r="W347" i="63" l="1"/>
  <c r="O348" i="63" s="1"/>
  <c r="AT347" i="63" l="1"/>
  <c r="N348" i="63"/>
  <c r="AU347" i="63"/>
  <c r="AV347" i="63" s="1"/>
  <c r="M348" i="63"/>
  <c r="L348" i="63" s="1"/>
  <c r="Q348" i="63"/>
  <c r="V348" i="63" s="1"/>
  <c r="AN348" i="63"/>
  <c r="AS348" i="63" s="1"/>
  <c r="P348" i="63" l="1"/>
  <c r="U348" i="63" s="1"/>
  <c r="AM348" i="63"/>
  <c r="Z348" i="63"/>
  <c r="W348" i="63" l="1"/>
  <c r="O349" i="63" s="1"/>
  <c r="AU348" i="63" l="1"/>
  <c r="AV348" i="63" s="1"/>
  <c r="N349" i="63"/>
  <c r="M349" i="63" s="1"/>
  <c r="L349" i="63" s="1"/>
  <c r="AT348" i="63"/>
  <c r="AN349" i="63"/>
  <c r="AS349" i="63" s="1"/>
  <c r="Q349" i="63" l="1"/>
  <c r="V349" i="63" s="1"/>
  <c r="Z349" i="63"/>
  <c r="AM349" i="63"/>
  <c r="P349" i="63" l="1"/>
  <c r="W349" i="63" s="1"/>
  <c r="O350" i="63"/>
  <c r="AN350" i="63" s="1"/>
  <c r="AS350" i="63" s="1"/>
  <c r="AU349" i="63"/>
  <c r="AV349" i="63" s="1"/>
  <c r="AT349" i="63"/>
  <c r="N350" i="63"/>
  <c r="U349" i="63" l="1"/>
  <c r="Q350" i="63"/>
  <c r="M350" i="63"/>
  <c r="L350" i="63" s="1"/>
  <c r="AM350" i="63" l="1"/>
  <c r="Z350" i="63"/>
  <c r="V350" i="63"/>
  <c r="P350" i="63"/>
  <c r="W350" i="63" l="1"/>
  <c r="U350" i="63"/>
  <c r="O351" i="63" l="1"/>
  <c r="AU350" i="63"/>
  <c r="AV350" i="63" s="1"/>
  <c r="AT350" i="63"/>
  <c r="N351" i="63"/>
  <c r="Q351" i="63" l="1"/>
  <c r="V351" i="63" s="1"/>
  <c r="M351" i="63"/>
  <c r="L351" i="63" s="1"/>
  <c r="AN351" i="63"/>
  <c r="AS351" i="63" s="1"/>
  <c r="P351" i="63"/>
  <c r="W351" i="63" l="1"/>
  <c r="U351" i="63"/>
  <c r="AM351" i="63"/>
  <c r="Z351" i="63"/>
  <c r="AU351" i="63" l="1"/>
  <c r="AV351" i="63" s="1"/>
  <c r="N352" i="63"/>
  <c r="AT351" i="63"/>
  <c r="O352" i="63"/>
  <c r="AN352" i="63" s="1"/>
  <c r="AS352" i="63" s="1"/>
  <c r="Q352" i="63" l="1"/>
  <c r="M352" i="63"/>
  <c r="L352" i="63" s="1"/>
  <c r="Z352" i="63" l="1"/>
  <c r="AM352" i="63"/>
  <c r="P352" i="63"/>
  <c r="V352" i="63"/>
  <c r="U352" i="63" l="1"/>
  <c r="W352" i="63"/>
  <c r="AU352" i="63" l="1"/>
  <c r="AV352" i="63" s="1"/>
  <c r="AT352" i="63"/>
  <c r="N353" i="63"/>
  <c r="O353" i="63"/>
  <c r="AN353" i="63" s="1"/>
  <c r="AS353" i="63" s="1"/>
  <c r="Q353" i="63" l="1"/>
  <c r="M353" i="63"/>
  <c r="L353" i="63" s="1"/>
  <c r="Z353" i="63" l="1"/>
  <c r="AM353" i="63"/>
  <c r="V353" i="63"/>
  <c r="P353" i="63"/>
  <c r="W353" i="63" l="1"/>
  <c r="U353" i="63"/>
  <c r="AT353" i="63" l="1"/>
  <c r="AU353" i="63"/>
  <c r="AV353" i="63" s="1"/>
  <c r="N354" i="63"/>
  <c r="O354" i="63"/>
  <c r="AN354" i="63" s="1"/>
  <c r="AS354" i="63" s="1"/>
  <c r="M354" i="63" l="1"/>
  <c r="L354" i="63" s="1"/>
  <c r="Q354" i="63"/>
  <c r="V354" i="63" l="1"/>
  <c r="P354" i="63"/>
  <c r="AM354" i="63"/>
  <c r="Z354" i="63"/>
  <c r="W354" i="63" l="1"/>
  <c r="U354" i="63"/>
  <c r="AU354" i="63" l="1"/>
  <c r="AV354" i="63" s="1"/>
  <c r="N355" i="63"/>
  <c r="AT354" i="63"/>
  <c r="O355" i="63"/>
  <c r="AN355" i="63" s="1"/>
  <c r="AS355" i="63" s="1"/>
  <c r="Q355" i="63" l="1"/>
  <c r="M355" i="63"/>
  <c r="L355" i="63" s="1"/>
  <c r="AM355" i="63" l="1"/>
  <c r="Z355" i="63"/>
  <c r="V355" i="63"/>
  <c r="P355" i="63"/>
  <c r="W355" i="63" l="1"/>
  <c r="U355" i="63"/>
  <c r="N356" i="63" l="1"/>
  <c r="O356" i="63"/>
  <c r="AN356" i="63" s="1"/>
  <c r="AS356" i="63" s="1"/>
  <c r="AU355" i="63"/>
  <c r="AV355" i="63" s="1"/>
  <c r="AT355" i="63"/>
  <c r="Q356" i="63" l="1"/>
  <c r="M356" i="63"/>
  <c r="L356" i="63" s="1"/>
  <c r="AM356" i="63" l="1"/>
  <c r="Z356" i="63"/>
  <c r="V356" i="63"/>
  <c r="P356" i="63"/>
  <c r="U356" i="63" l="1"/>
  <c r="W356" i="63"/>
  <c r="AT356" i="63" l="1"/>
  <c r="N357" i="63"/>
  <c r="O357" i="63"/>
  <c r="AN357" i="63" s="1"/>
  <c r="AS357" i="63" s="1"/>
  <c r="AU356" i="63"/>
  <c r="AV356" i="63" s="1"/>
  <c r="M357" i="63" l="1"/>
  <c r="L357" i="63" s="1"/>
  <c r="Q357" i="63"/>
  <c r="P357" i="63" l="1"/>
  <c r="V357" i="63"/>
  <c r="Z357" i="63"/>
  <c r="AM357" i="63"/>
  <c r="U357" i="63" l="1"/>
  <c r="W357" i="63"/>
  <c r="AT357" i="63" l="1"/>
  <c r="N358" i="63"/>
  <c r="O358" i="63"/>
  <c r="AN358" i="63" s="1"/>
  <c r="AS358" i="63" s="1"/>
  <c r="AU357" i="63"/>
  <c r="AV357" i="63" s="1"/>
  <c r="M358" i="63" l="1"/>
  <c r="L358" i="63" s="1"/>
  <c r="Q358" i="63"/>
  <c r="V358" i="63" l="1"/>
  <c r="P358" i="63"/>
  <c r="AM358" i="63"/>
  <c r="Z358" i="63"/>
  <c r="W358" i="63" l="1"/>
  <c r="U358" i="63"/>
  <c r="N359" i="63" l="1"/>
  <c r="AU358" i="63"/>
  <c r="AV358" i="63" s="1"/>
  <c r="AT358" i="63"/>
  <c r="O359" i="63"/>
  <c r="AN359" i="63" s="1"/>
  <c r="AS359" i="63" s="1"/>
  <c r="Q359" i="63" l="1"/>
  <c r="M359" i="63"/>
  <c r="L359" i="63" s="1"/>
  <c r="Z359" i="63" l="1"/>
  <c r="AM359" i="63"/>
  <c r="V359" i="63"/>
  <c r="P359" i="63"/>
  <c r="W359" i="63" l="1"/>
  <c r="U359" i="63"/>
  <c r="O360" i="63" l="1"/>
  <c r="AN360" i="63" s="1"/>
  <c r="AS360" i="63" s="1"/>
  <c r="AU359" i="63"/>
  <c r="AV359" i="63" s="1"/>
  <c r="N360" i="63"/>
  <c r="AT359" i="63"/>
  <c r="M360" i="63" l="1"/>
  <c r="L360" i="63" s="1"/>
  <c r="Q360" i="63"/>
  <c r="V360" i="63" l="1"/>
  <c r="P360" i="63"/>
  <c r="AM360" i="63"/>
  <c r="Z360" i="63"/>
  <c r="W360" i="63" l="1"/>
  <c r="U360" i="63"/>
  <c r="N361" i="63" l="1"/>
  <c r="AU360" i="63"/>
  <c r="AV360" i="63" s="1"/>
  <c r="O361" i="63"/>
  <c r="AN361" i="63" s="1"/>
  <c r="AS361" i="63" s="1"/>
  <c r="AT360" i="63"/>
  <c r="M361" i="63" l="1"/>
  <c r="L361" i="63" s="1"/>
  <c r="Q361" i="63"/>
  <c r="V361" i="63" l="1"/>
  <c r="P361" i="63"/>
  <c r="AM361" i="63"/>
  <c r="Z361" i="63"/>
  <c r="U361" i="63" l="1"/>
  <c r="W361" i="63"/>
  <c r="AT361" i="63" l="1"/>
  <c r="N362" i="63"/>
  <c r="O362" i="63"/>
  <c r="AN362" i="63" s="1"/>
  <c r="AS362" i="63" s="1"/>
  <c r="AU361" i="63"/>
  <c r="AV361" i="63" s="1"/>
  <c r="M362" i="63" l="1"/>
  <c r="L362" i="63" s="1"/>
  <c r="Q362" i="63"/>
  <c r="V362" i="63" l="1"/>
  <c r="P362" i="63"/>
  <c r="Z362" i="63"/>
  <c r="AM362" i="63"/>
  <c r="W362" i="63" l="1"/>
  <c r="U362" i="63"/>
  <c r="N363" i="63" l="1"/>
  <c r="AT362" i="63"/>
  <c r="O363" i="63"/>
  <c r="AN363" i="63" s="1"/>
  <c r="AS363" i="63" s="1"/>
  <c r="AU362" i="63"/>
  <c r="AV362" i="63" s="1"/>
  <c r="M363" i="63" l="1"/>
  <c r="L363" i="63" s="1"/>
  <c r="Q363" i="63"/>
  <c r="V363" i="63" l="1"/>
  <c r="P363" i="63"/>
  <c r="Z363" i="63"/>
  <c r="AM363" i="63"/>
  <c r="U363" i="63" l="1"/>
  <c r="W363" i="63"/>
  <c r="O364" i="63" l="1"/>
  <c r="AN364" i="63" s="1"/>
  <c r="AS364" i="63" s="1"/>
  <c r="AT363" i="63"/>
  <c r="N364" i="63"/>
  <c r="AU363" i="63"/>
  <c r="AV363" i="63" s="1"/>
  <c r="M364" i="63" l="1"/>
  <c r="L364" i="63" s="1"/>
  <c r="Q364" i="63"/>
  <c r="V364" i="63" l="1"/>
  <c r="P364" i="63"/>
  <c r="Z364" i="63"/>
  <c r="AM364" i="63"/>
  <c r="W364" i="63" l="1"/>
  <c r="U364" i="63"/>
  <c r="AT364" i="63" l="1"/>
  <c r="N365" i="63"/>
  <c r="O365" i="63"/>
  <c r="AN365" i="63" s="1"/>
  <c r="AS365" i="63" s="1"/>
  <c r="AU364" i="63"/>
  <c r="AV364" i="63" s="1"/>
  <c r="M365" i="63" l="1"/>
  <c r="L365" i="63" s="1"/>
  <c r="Q365" i="63"/>
  <c r="V365" i="63" l="1"/>
  <c r="P365" i="63"/>
  <c r="Z365" i="63"/>
  <c r="AM365" i="63"/>
  <c r="W365" i="63" l="1"/>
  <c r="U365" i="63"/>
  <c r="AU365" i="63" l="1"/>
  <c r="AV365" i="63" s="1"/>
  <c r="AT365" i="63"/>
  <c r="N366" i="63"/>
  <c r="O366" i="63"/>
  <c r="AN366" i="63" s="1"/>
  <c r="AS366" i="63" s="1"/>
  <c r="M366" i="63" l="1"/>
  <c r="L366" i="63" s="1"/>
  <c r="Q366" i="63"/>
  <c r="V366" i="63" l="1"/>
  <c r="P366" i="63"/>
  <c r="Z366" i="63"/>
  <c r="AM366" i="63"/>
  <c r="W366" i="63" l="1"/>
  <c r="U366" i="63"/>
  <c r="AU366" i="63" l="1"/>
  <c r="AV366" i="63" s="1"/>
  <c r="N367" i="63"/>
  <c r="O367" i="63"/>
  <c r="AN367" i="63" s="1"/>
  <c r="AS367" i="63" s="1"/>
  <c r="AT366" i="63"/>
  <c r="M367" i="63" l="1"/>
  <c r="L367" i="63" s="1"/>
  <c r="Q367" i="63"/>
  <c r="V367" i="63" l="1"/>
  <c r="P367" i="63"/>
  <c r="AM367" i="63"/>
  <c r="Z367" i="63"/>
  <c r="W367" i="63" l="1"/>
  <c r="U367" i="63"/>
  <c r="N368" i="63" l="1"/>
  <c r="AU367" i="63"/>
  <c r="AV367" i="63" s="1"/>
  <c r="AT367" i="63"/>
  <c r="O368" i="63"/>
  <c r="AN368" i="63" s="1"/>
  <c r="AS368" i="63" s="1"/>
  <c r="M368" i="63" l="1"/>
  <c r="L368" i="63" s="1"/>
  <c r="Q368" i="63"/>
  <c r="V368" i="63" s="1"/>
  <c r="Z368" i="63" l="1"/>
  <c r="AM368" i="63"/>
  <c r="P368" i="63"/>
  <c r="U368" i="63" l="1"/>
  <c r="W368" i="63"/>
  <c r="N369" i="63" l="1"/>
  <c r="AU368" i="63"/>
  <c r="AV368" i="63" s="1"/>
  <c r="AT368" i="63"/>
  <c r="O369" i="63"/>
  <c r="AN369" i="63" s="1"/>
  <c r="AS369" i="63" s="1"/>
  <c r="Q369" i="63" l="1"/>
  <c r="M369" i="63"/>
  <c r="L369" i="63" s="1"/>
  <c r="Z369" i="63" l="1"/>
  <c r="AM369" i="63"/>
  <c r="V369" i="63"/>
  <c r="P369" i="63"/>
  <c r="W369" i="63" l="1"/>
  <c r="U369" i="63"/>
  <c r="AT369" i="63" l="1"/>
  <c r="O370" i="63"/>
  <c r="AN370" i="63" s="1"/>
  <c r="AS370" i="63" s="1"/>
  <c r="AU369" i="63"/>
  <c r="AV369" i="63" s="1"/>
  <c r="N370" i="63"/>
  <c r="Q370" i="63" l="1"/>
  <c r="M370" i="63"/>
  <c r="L370" i="63" s="1"/>
  <c r="AM370" i="63" l="1"/>
  <c r="Z370" i="63"/>
  <c r="V370" i="63"/>
  <c r="P370" i="63"/>
  <c r="U370" i="63" l="1"/>
  <c r="W370" i="63"/>
  <c r="AT370" i="63" l="1"/>
  <c r="AU370" i="63"/>
  <c r="AV370" i="63" s="1"/>
  <c r="O371" i="63"/>
  <c r="N371" i="63"/>
  <c r="Q371" i="63" l="1"/>
  <c r="V371" i="63" s="1"/>
  <c r="M371" i="63"/>
  <c r="L371" i="63" s="1"/>
  <c r="AN371" i="63"/>
  <c r="AS371" i="63" s="1"/>
  <c r="P371" i="63" l="1"/>
  <c r="U371" i="63" s="1"/>
  <c r="AM371" i="63"/>
  <c r="Z371" i="63"/>
  <c r="W371" i="63" l="1"/>
  <c r="AT371" i="63" s="1"/>
  <c r="O372" i="63" l="1"/>
  <c r="AN372" i="63" s="1"/>
  <c r="AS372" i="63" s="1"/>
  <c r="N372" i="63"/>
  <c r="AU371" i="63"/>
  <c r="AV371" i="63" s="1"/>
  <c r="Q372" i="63"/>
  <c r="M372" i="63"/>
  <c r="L372" i="63" s="1"/>
  <c r="Z372" i="63" l="1"/>
  <c r="AM372" i="63"/>
  <c r="V372" i="63"/>
  <c r="P372" i="63"/>
  <c r="U372" i="63" l="1"/>
  <c r="W372" i="63"/>
  <c r="O373" i="63" l="1"/>
  <c r="AN373" i="63" s="1"/>
  <c r="AS373" i="63" s="1"/>
  <c r="AT372" i="63"/>
  <c r="N373" i="63"/>
  <c r="AU372" i="63"/>
  <c r="AV372" i="63" s="1"/>
  <c r="M373" i="63" l="1"/>
  <c r="L373" i="63" s="1"/>
  <c r="Q373" i="63"/>
  <c r="V373" i="63" s="1"/>
  <c r="AM373" i="63" l="1"/>
  <c r="Z373" i="63"/>
  <c r="P373" i="63"/>
  <c r="U373" i="63" l="1"/>
  <c r="W373" i="63"/>
  <c r="AT373" i="63" l="1"/>
  <c r="O374" i="63"/>
  <c r="N374" i="63"/>
  <c r="AU373" i="63"/>
  <c r="AV373" i="63" s="1"/>
  <c r="M374" i="63" l="1"/>
  <c r="L374" i="63" s="1"/>
  <c r="Q374" i="63"/>
  <c r="V374" i="63" s="1"/>
  <c r="AN374" i="63"/>
  <c r="AS374" i="63" s="1"/>
  <c r="P374" i="63" l="1"/>
  <c r="AM374" i="63"/>
  <c r="Z374" i="63"/>
  <c r="W374" i="63" l="1"/>
  <c r="U374" i="63"/>
  <c r="N375" i="63" l="1"/>
  <c r="AT374" i="63"/>
  <c r="O375" i="63"/>
  <c r="AU374" i="63"/>
  <c r="AV374" i="63" s="1"/>
  <c r="AN375" i="63" l="1"/>
  <c r="AS375" i="63" s="1"/>
  <c r="M375" i="63"/>
  <c r="L375" i="63" s="1"/>
  <c r="Q375" i="63"/>
  <c r="V375" i="63" s="1"/>
  <c r="Z375" i="63" l="1"/>
  <c r="AM375" i="63"/>
  <c r="P375" i="63"/>
  <c r="U375" i="63" l="1"/>
  <c r="W375" i="63"/>
  <c r="AT375" i="63" l="1"/>
  <c r="AU375" i="63"/>
  <c r="AV375" i="63" s="1"/>
  <c r="O376" i="63"/>
  <c r="N376" i="63"/>
  <c r="AN376" i="63" l="1"/>
  <c r="AS376" i="63" s="1"/>
  <c r="Q376" i="63"/>
  <c r="V376" i="63" s="1"/>
  <c r="M376" i="63"/>
  <c r="L376" i="63" s="1"/>
  <c r="Z376" i="63" l="1"/>
  <c r="AM376" i="63"/>
  <c r="P376" i="63"/>
  <c r="W376" i="63" l="1"/>
  <c r="U376" i="63"/>
  <c r="AU376" i="63" l="1"/>
  <c r="AV376" i="63" s="1"/>
  <c r="O377" i="63"/>
  <c r="N377" i="63"/>
  <c r="AT376" i="63"/>
  <c r="Q377" i="63" l="1"/>
  <c r="V377" i="63" s="1"/>
  <c r="M377" i="63"/>
  <c r="L377" i="63" s="1"/>
  <c r="AN377" i="63"/>
  <c r="AS377" i="63" s="1"/>
  <c r="P377" i="63" l="1"/>
  <c r="U377" i="63" s="1"/>
  <c r="AM377" i="63"/>
  <c r="Z377" i="63"/>
  <c r="W377" i="63" l="1"/>
  <c r="O378" i="63"/>
  <c r="AT377" i="63"/>
  <c r="AU377" i="63"/>
  <c r="AV377" i="63" s="1"/>
  <c r="N378" i="63"/>
  <c r="M378" i="63" l="1"/>
  <c r="L378" i="63" s="1"/>
  <c r="Q378" i="63"/>
  <c r="V378" i="63" s="1"/>
  <c r="AN378" i="63"/>
  <c r="AS378" i="63" s="1"/>
  <c r="P378" i="63" l="1"/>
  <c r="U378" i="63" s="1"/>
  <c r="Z378" i="63"/>
  <c r="AM378" i="63"/>
  <c r="W378" i="63" l="1"/>
  <c r="AU378" i="63" s="1"/>
  <c r="AV378" i="63" s="1"/>
  <c r="O379" i="63" l="1"/>
  <c r="AN379" i="63" s="1"/>
  <c r="AS379" i="63" s="1"/>
  <c r="AT378" i="63"/>
  <c r="N379" i="63"/>
  <c r="Q379" i="63" s="1"/>
  <c r="V379" i="63" s="1"/>
  <c r="M379" i="63" l="1"/>
  <c r="L379" i="63" s="1"/>
  <c r="AM379" i="63" s="1"/>
  <c r="P379" i="63"/>
  <c r="Z379" i="63" l="1"/>
  <c r="W379" i="63"/>
  <c r="U379" i="63"/>
  <c r="AU379" i="63" l="1"/>
  <c r="AV379" i="63" s="1"/>
  <c r="N380" i="63"/>
  <c r="O380" i="63"/>
  <c r="AN380" i="63" s="1"/>
  <c r="AS380" i="63" s="1"/>
  <c r="AT379" i="63"/>
  <c r="Q380" i="63" l="1"/>
  <c r="V380" i="63" s="1"/>
  <c r="M380" i="63"/>
  <c r="L380" i="63" s="1"/>
  <c r="AM380" i="63" l="1"/>
  <c r="Z380" i="63"/>
  <c r="P380" i="63"/>
  <c r="W380" i="63" l="1"/>
  <c r="U380" i="63"/>
  <c r="N381" i="63" l="1"/>
  <c r="AT380" i="63"/>
  <c r="O381" i="63"/>
  <c r="AU380" i="63"/>
  <c r="AV380" i="63" s="1"/>
  <c r="AN381" i="63" l="1"/>
  <c r="AS381" i="63" s="1"/>
  <c r="M381" i="63"/>
  <c r="L381" i="63" s="1"/>
  <c r="Q381" i="63"/>
  <c r="V381" i="63" s="1"/>
  <c r="Z381" i="63" l="1"/>
  <c r="AM381" i="63"/>
  <c r="P381" i="63"/>
  <c r="U381" i="63" l="1"/>
  <c r="W381" i="63"/>
  <c r="N382" i="63" l="1"/>
  <c r="O382" i="63"/>
  <c r="AU381" i="63"/>
  <c r="AV381" i="63" s="1"/>
  <c r="AT381" i="63"/>
  <c r="AN382" i="63" l="1"/>
  <c r="AS382" i="63" s="1"/>
  <c r="Q382" i="63"/>
  <c r="V382" i="63" s="1"/>
  <c r="M382" i="63"/>
  <c r="L382" i="63" s="1"/>
  <c r="Z382" i="63" l="1"/>
  <c r="AM382" i="63"/>
  <c r="P382" i="63"/>
  <c r="W382" i="63" l="1"/>
  <c r="U382" i="63"/>
  <c r="AU382" i="63" l="1"/>
  <c r="AV382" i="63" s="1"/>
  <c r="O383" i="63"/>
  <c r="AT382" i="63"/>
  <c r="N383" i="63"/>
  <c r="Q383" i="63" l="1"/>
  <c r="V383" i="63" s="1"/>
  <c r="M383" i="63"/>
  <c r="L383" i="63" s="1"/>
  <c r="AN383" i="63"/>
  <c r="AS383" i="63" s="1"/>
  <c r="P383" i="63" l="1"/>
  <c r="U383" i="63" s="1"/>
  <c r="Z383" i="63"/>
  <c r="AM383" i="63"/>
  <c r="W383" i="63" l="1"/>
  <c r="AU383" i="63" s="1"/>
  <c r="AV383" i="63" s="1"/>
  <c r="N384" i="63" l="1"/>
  <c r="AT383" i="63"/>
  <c r="O384" i="63"/>
  <c r="AN384" i="63" s="1"/>
  <c r="AS384" i="63" s="1"/>
  <c r="M384" i="63"/>
  <c r="L384" i="63" s="1"/>
  <c r="Q384" i="63"/>
  <c r="V384" i="63" l="1"/>
  <c r="P384" i="63"/>
  <c r="Z384" i="63"/>
  <c r="AM384" i="63"/>
  <c r="U384" i="63" l="1"/>
  <c r="W384" i="63"/>
  <c r="AT384" i="63" l="1"/>
  <c r="N385" i="63"/>
  <c r="AU384" i="63"/>
  <c r="AV384" i="63" s="1"/>
  <c r="O385" i="63"/>
  <c r="AN385" i="63" s="1"/>
  <c r="AS385" i="63" s="1"/>
  <c r="M385" i="63" l="1"/>
  <c r="L385" i="63" s="1"/>
  <c r="Q385" i="63"/>
  <c r="V385" i="63" l="1"/>
  <c r="P385" i="63"/>
  <c r="AM385" i="63"/>
  <c r="Z385" i="63"/>
  <c r="U385" i="63" l="1"/>
  <c r="W385" i="63"/>
  <c r="AU385" i="63" l="1"/>
  <c r="AV385" i="63" s="1"/>
  <c r="O386" i="63"/>
  <c r="AN386" i="63" s="1"/>
  <c r="AS386" i="63" s="1"/>
  <c r="AT385" i="63"/>
  <c r="N386" i="63"/>
  <c r="M386" i="63" l="1"/>
  <c r="L386" i="63" s="1"/>
  <c r="Q386" i="63"/>
  <c r="V386" i="63" l="1"/>
  <c r="P386" i="63"/>
  <c r="Z386" i="63"/>
  <c r="AM386" i="63"/>
  <c r="W386" i="63" l="1"/>
  <c r="U386" i="63"/>
  <c r="AU386" i="63" l="1"/>
  <c r="AV386" i="63" s="1"/>
  <c r="AT386" i="63"/>
  <c r="N387" i="63"/>
  <c r="O387" i="63"/>
  <c r="AN387" i="63" s="1"/>
  <c r="AS387" i="63" s="1"/>
  <c r="Q387" i="63" l="1"/>
  <c r="V387" i="63" s="1"/>
  <c r="M387" i="63"/>
  <c r="L387" i="63" s="1"/>
  <c r="Z387" i="63" l="1"/>
  <c r="AM387" i="63"/>
  <c r="P387" i="63"/>
  <c r="U387" i="63" l="1"/>
  <c r="W387" i="63"/>
  <c r="O388" i="63" l="1"/>
  <c r="AN388" i="63" s="1"/>
  <c r="AS388" i="63" s="1"/>
  <c r="AT387" i="63"/>
  <c r="N388" i="63"/>
  <c r="AU387" i="63"/>
  <c r="AV387" i="63" s="1"/>
  <c r="Q388" i="63" l="1"/>
  <c r="M388" i="63"/>
  <c r="L388" i="63" s="1"/>
  <c r="AM388" i="63" l="1"/>
  <c r="Z388" i="63"/>
  <c r="V388" i="63"/>
  <c r="P388" i="63"/>
  <c r="U388" i="63" l="1"/>
  <c r="W388" i="63"/>
  <c r="N389" i="63" l="1"/>
  <c r="AU388" i="63"/>
  <c r="AV388" i="63" s="1"/>
  <c r="AT388" i="63"/>
  <c r="O389" i="63"/>
  <c r="AN389" i="63" s="1"/>
  <c r="AS389" i="63" s="1"/>
  <c r="Q389" i="63" l="1"/>
  <c r="M389" i="63"/>
  <c r="L389" i="63" s="1"/>
  <c r="Z389" i="63" l="1"/>
  <c r="AM389" i="63"/>
  <c r="V389" i="63"/>
  <c r="P389" i="63"/>
  <c r="U389" i="63" l="1"/>
  <c r="W389" i="63"/>
  <c r="N390" i="63" l="1"/>
  <c r="AU389" i="63"/>
  <c r="AV389" i="63" s="1"/>
  <c r="O390" i="63"/>
  <c r="AN390" i="63" s="1"/>
  <c r="AS390" i="63" s="1"/>
  <c r="AT389" i="63"/>
  <c r="Q390" i="63" l="1"/>
  <c r="M390" i="63"/>
  <c r="L390" i="63" s="1"/>
  <c r="AM390" i="63" l="1"/>
  <c r="Z390" i="63"/>
  <c r="V390" i="63"/>
  <c r="P390" i="63"/>
  <c r="U390" i="63" l="1"/>
  <c r="W390" i="63"/>
  <c r="AU390" i="63" l="1"/>
  <c r="AV390" i="63" s="1"/>
  <c r="O391" i="63"/>
  <c r="AN391" i="63" s="1"/>
  <c r="AS391" i="63" s="1"/>
  <c r="AT390" i="63"/>
  <c r="N391" i="63"/>
  <c r="Q391" i="63" l="1"/>
  <c r="M391" i="63"/>
  <c r="L391" i="63" s="1"/>
  <c r="AM391" i="63" l="1"/>
  <c r="Z391" i="63"/>
  <c r="V391" i="63"/>
  <c r="P391" i="63"/>
  <c r="U391" i="63" l="1"/>
  <c r="W391" i="63"/>
  <c r="O392" i="63" l="1"/>
  <c r="N392" i="63"/>
  <c r="AT391" i="63"/>
  <c r="AU391" i="63"/>
  <c r="AV391" i="63" s="1"/>
  <c r="Q392" i="63" l="1"/>
  <c r="V392" i="63" s="1"/>
  <c r="M392" i="63"/>
  <c r="L392" i="63" s="1"/>
  <c r="AN392" i="63"/>
  <c r="AS392" i="63" s="1"/>
  <c r="P392" i="63" l="1"/>
  <c r="U392" i="63" s="1"/>
  <c r="AM392" i="63"/>
  <c r="Z392" i="63"/>
  <c r="W392" i="63" l="1"/>
  <c r="N393" i="63" s="1"/>
  <c r="AT392" i="63" l="1"/>
  <c r="O393" i="63"/>
  <c r="AN393" i="63" s="1"/>
  <c r="AS393" i="63" s="1"/>
  <c r="AU392" i="63"/>
  <c r="AV392" i="63" s="1"/>
  <c r="Q393" i="63"/>
  <c r="V393" i="63" s="1"/>
  <c r="M393" i="63"/>
  <c r="L393" i="63" s="1"/>
  <c r="AM393" i="63" l="1"/>
  <c r="Z393" i="63"/>
  <c r="P393" i="63"/>
  <c r="U393" i="63" l="1"/>
  <c r="W393" i="63"/>
  <c r="AT393" i="63" l="1"/>
  <c r="N394" i="63"/>
  <c r="AU393" i="63"/>
  <c r="AV393" i="63" s="1"/>
  <c r="O394" i="63"/>
  <c r="M394" i="63" l="1"/>
  <c r="L394" i="63" s="1"/>
  <c r="Q394" i="63"/>
  <c r="V394" i="63" s="1"/>
  <c r="AN394" i="63"/>
  <c r="AS394" i="63" s="1"/>
  <c r="P394" i="63" l="1"/>
  <c r="U394" i="63" s="1"/>
  <c r="AM394" i="63"/>
  <c r="Z394" i="63"/>
  <c r="W394" i="63" l="1"/>
  <c r="N395" i="63" s="1"/>
  <c r="O395" i="63"/>
  <c r="AN395" i="63" s="1"/>
  <c r="AS395" i="63" s="1"/>
  <c r="AT394" i="63"/>
  <c r="AU394" i="63"/>
  <c r="AV394" i="63" s="1"/>
  <c r="M395" i="63" l="1"/>
  <c r="L395" i="63" s="1"/>
  <c r="Q395" i="63"/>
  <c r="V395" i="63" l="1"/>
  <c r="P395" i="63"/>
  <c r="AM395" i="63"/>
  <c r="Z395" i="63"/>
  <c r="U395" i="63" l="1"/>
  <c r="W395" i="63"/>
  <c r="AU395" i="63" l="1"/>
  <c r="AV395" i="63" s="1"/>
  <c r="AT395" i="63"/>
  <c r="O396" i="63"/>
  <c r="N396" i="63"/>
  <c r="M396" i="63" l="1"/>
  <c r="L396" i="63" s="1"/>
  <c r="Q396" i="63"/>
  <c r="V396" i="63" s="1"/>
  <c r="AN396" i="63"/>
  <c r="AS396" i="63" s="1"/>
  <c r="P396" i="63" l="1"/>
  <c r="U396" i="63" s="1"/>
  <c r="AM396" i="63"/>
  <c r="Z396" i="63"/>
  <c r="W396" i="63" l="1"/>
  <c r="N397" i="63" s="1"/>
  <c r="AU396" i="63"/>
  <c r="AV396" i="63" s="1"/>
  <c r="O397" i="63"/>
  <c r="AN397" i="63" s="1"/>
  <c r="AS397" i="63" s="1"/>
  <c r="AT396" i="63" l="1"/>
  <c r="M397" i="63"/>
  <c r="L397" i="63" s="1"/>
  <c r="Q397" i="63"/>
  <c r="V397" i="63" l="1"/>
  <c r="P397" i="63"/>
  <c r="AM397" i="63"/>
  <c r="Z397" i="63"/>
  <c r="U397" i="63" l="1"/>
  <c r="W397" i="63"/>
  <c r="O398" i="63" l="1"/>
  <c r="AN398" i="63" s="1"/>
  <c r="AS398" i="63" s="1"/>
  <c r="AT397" i="63"/>
  <c r="AU397" i="63"/>
  <c r="AV397" i="63" s="1"/>
  <c r="N398" i="63"/>
  <c r="M398" i="63" l="1"/>
  <c r="L398" i="63" s="1"/>
  <c r="Q398" i="63"/>
  <c r="V398" i="63" l="1"/>
  <c r="P398" i="63"/>
  <c r="AM398" i="63"/>
  <c r="Z398" i="63"/>
  <c r="U398" i="63" l="1"/>
  <c r="W398" i="63"/>
  <c r="N399" i="63" l="1"/>
  <c r="O399" i="63"/>
  <c r="AT398" i="63"/>
  <c r="AU398" i="63"/>
  <c r="AV398" i="63" s="1"/>
  <c r="AN399" i="63" l="1"/>
  <c r="AS399" i="63" s="1"/>
  <c r="M399" i="63"/>
  <c r="L399" i="63" s="1"/>
  <c r="Q399" i="63"/>
  <c r="V399" i="63" s="1"/>
  <c r="Z399" i="63" l="1"/>
  <c r="AM399" i="63"/>
  <c r="P399" i="63"/>
  <c r="W399" i="63" l="1"/>
  <c r="U399" i="63"/>
  <c r="AT399" i="63" l="1"/>
  <c r="N400" i="63"/>
  <c r="AU399" i="63"/>
  <c r="AV399" i="63" s="1"/>
  <c r="O400" i="63"/>
  <c r="AN400" i="63" l="1"/>
  <c r="AS400" i="63" s="1"/>
  <c r="Q400" i="63"/>
  <c r="V400" i="63" s="1"/>
  <c r="M400" i="63"/>
  <c r="L400" i="63" s="1"/>
  <c r="Z400" i="63" l="1"/>
  <c r="AM400" i="63"/>
  <c r="P400" i="63"/>
  <c r="U400" i="63" l="1"/>
  <c r="W400" i="63"/>
  <c r="AU400" i="63" l="1"/>
  <c r="AV400" i="63" s="1"/>
  <c r="N401" i="63"/>
  <c r="O401" i="63"/>
  <c r="AT400" i="63"/>
  <c r="Q401" i="63" l="1"/>
  <c r="V401" i="63" s="1"/>
  <c r="M401" i="63"/>
  <c r="L401" i="63" s="1"/>
  <c r="AN401" i="63"/>
  <c r="AS401" i="63" s="1"/>
  <c r="P401" i="63" l="1"/>
  <c r="U401" i="63" s="1"/>
  <c r="AM401" i="63"/>
  <c r="Z401" i="63"/>
  <c r="W401" i="63" l="1"/>
  <c r="N402" i="63" s="1"/>
  <c r="O402" i="63" l="1"/>
  <c r="AN402" i="63" s="1"/>
  <c r="AS402" i="63" s="1"/>
  <c r="AU401" i="63"/>
  <c r="AV401" i="63" s="1"/>
  <c r="AT401" i="63"/>
  <c r="M402" i="63"/>
  <c r="L402" i="63" s="1"/>
  <c r="Q402" i="63"/>
  <c r="V402" i="63" s="1"/>
  <c r="AM402" i="63" l="1"/>
  <c r="Z402" i="63"/>
  <c r="P402" i="63"/>
  <c r="U402" i="63" l="1"/>
  <c r="W402" i="63"/>
  <c r="AU402" i="63" l="1"/>
  <c r="AV402" i="63" s="1"/>
  <c r="N403" i="63"/>
  <c r="AT402" i="63"/>
  <c r="O403" i="63"/>
  <c r="AN403" i="63" l="1"/>
  <c r="AS403" i="63" s="1"/>
  <c r="Q403" i="63"/>
  <c r="V403" i="63" s="1"/>
  <c r="M403" i="63"/>
  <c r="L403" i="63" s="1"/>
  <c r="Z403" i="63" l="1"/>
  <c r="AM403" i="63"/>
  <c r="P403" i="63"/>
  <c r="U403" i="63" l="1"/>
  <c r="W403" i="63"/>
  <c r="AU403" i="63" l="1"/>
  <c r="AV403" i="63" s="1"/>
  <c r="AT403" i="63"/>
  <c r="O404" i="63"/>
  <c r="N404" i="63"/>
  <c r="M404" i="63" l="1"/>
  <c r="L404" i="63" s="1"/>
  <c r="Q404" i="63"/>
  <c r="V404" i="63" s="1"/>
  <c r="AN404" i="63"/>
  <c r="AS404" i="63" s="1"/>
  <c r="P404" i="63" l="1"/>
  <c r="U404" i="63" s="1"/>
  <c r="Z404" i="63"/>
  <c r="AM404" i="63"/>
  <c r="W404" i="63" l="1"/>
  <c r="N405" i="63" s="1"/>
  <c r="AT404" i="63"/>
  <c r="AU404" i="63"/>
  <c r="AV404" i="63" s="1"/>
  <c r="O405" i="63"/>
  <c r="AN405" i="63" l="1"/>
  <c r="AS405" i="63" s="1"/>
  <c r="M405" i="63"/>
  <c r="L405" i="63" s="1"/>
  <c r="Q405" i="63"/>
  <c r="V405" i="63" s="1"/>
  <c r="AM405" i="63" l="1"/>
  <c r="Z405" i="63"/>
  <c r="P405" i="63"/>
  <c r="U405" i="63" l="1"/>
  <c r="W405" i="63"/>
  <c r="AU405" i="63" l="1"/>
  <c r="AV405" i="63" s="1"/>
  <c r="O406" i="63"/>
  <c r="AT405" i="63"/>
  <c r="N406" i="63"/>
  <c r="M406" i="63" l="1"/>
  <c r="L406" i="63" s="1"/>
  <c r="Q406" i="63"/>
  <c r="V406" i="63" s="1"/>
  <c r="AN406" i="63"/>
  <c r="AS406" i="63" s="1"/>
  <c r="P406" i="63" l="1"/>
  <c r="U406" i="63" s="1"/>
  <c r="Z406" i="63"/>
  <c r="AM406" i="63"/>
  <c r="W406" i="63" l="1"/>
  <c r="AT406" i="63" s="1"/>
  <c r="AU406" i="63"/>
  <c r="AV406" i="63" s="1"/>
  <c r="N407" i="63"/>
  <c r="O407" i="63"/>
  <c r="AN407" i="63" l="1"/>
  <c r="AS407" i="63" s="1"/>
  <c r="M407" i="63"/>
  <c r="L407" i="63" s="1"/>
  <c r="Q407" i="63"/>
  <c r="V407" i="63" s="1"/>
  <c r="Z407" i="63" l="1"/>
  <c r="AM407" i="63"/>
  <c r="P407" i="63"/>
  <c r="U407" i="63" l="1"/>
  <c r="W407" i="63"/>
  <c r="N408" i="63" l="1"/>
  <c r="AU407" i="63"/>
  <c r="AV407" i="63" s="1"/>
  <c r="AT407" i="63"/>
  <c r="O408" i="63"/>
  <c r="AN408" i="63" l="1"/>
  <c r="AS408" i="63" s="1"/>
  <c r="Q408" i="63"/>
  <c r="V408" i="63" s="1"/>
  <c r="M408" i="63"/>
  <c r="L408" i="63" s="1"/>
  <c r="Z408" i="63" l="1"/>
  <c r="AM408" i="63"/>
  <c r="P408" i="63"/>
  <c r="U408" i="63" l="1"/>
  <c r="W408" i="63"/>
  <c r="O409" i="63" l="1"/>
  <c r="AU408" i="63"/>
  <c r="AV408" i="63" s="1"/>
  <c r="AT408" i="63"/>
  <c r="N409" i="63"/>
  <c r="Q409" i="63" l="1"/>
  <c r="V409" i="63" s="1"/>
  <c r="M409" i="63"/>
  <c r="L409" i="63" s="1"/>
  <c r="AN409" i="63"/>
  <c r="AS409" i="63" s="1"/>
  <c r="P409" i="63" l="1"/>
  <c r="U409" i="63" s="1"/>
  <c r="Z409" i="63"/>
  <c r="AM409" i="63"/>
  <c r="W409" i="63" l="1"/>
  <c r="AU409" i="63" s="1"/>
  <c r="AV409" i="63" s="1"/>
  <c r="O410" i="63"/>
  <c r="N410" i="63"/>
  <c r="AT409" i="63" l="1"/>
  <c r="AN410" i="63"/>
  <c r="AS410" i="63" s="1"/>
  <c r="M410" i="63"/>
  <c r="L410" i="63" s="1"/>
  <c r="Q410" i="63"/>
  <c r="V410" i="63" s="1"/>
  <c r="AM410" i="63" l="1"/>
  <c r="Z410" i="63"/>
  <c r="P410" i="63"/>
  <c r="U410" i="63" l="1"/>
  <c r="W410" i="63"/>
  <c r="AT410" i="63" l="1"/>
  <c r="AU410" i="63"/>
  <c r="AV410" i="63" s="1"/>
  <c r="O411" i="63"/>
  <c r="N411" i="63"/>
  <c r="AN411" i="63" l="1"/>
  <c r="AS411" i="63" s="1"/>
  <c r="Q411" i="63"/>
  <c r="V411" i="63" s="1"/>
  <c r="M411" i="63"/>
  <c r="L411" i="63" s="1"/>
  <c r="P411" i="63" l="1"/>
  <c r="Z411" i="63"/>
  <c r="AM411" i="63"/>
  <c r="U411" i="63" l="1"/>
  <c r="W411" i="63"/>
  <c r="AT411" i="63" l="1"/>
  <c r="AU411" i="63"/>
  <c r="AV411" i="63" s="1"/>
  <c r="O412" i="63"/>
  <c r="N412" i="63"/>
  <c r="Q412" i="63" l="1"/>
  <c r="V412" i="63" s="1"/>
  <c r="M412" i="63"/>
  <c r="L412" i="63" s="1"/>
  <c r="AN412" i="63"/>
  <c r="AS412" i="63" s="1"/>
  <c r="P412" i="63" l="1"/>
  <c r="U412" i="63" s="1"/>
  <c r="Z412" i="63"/>
  <c r="AM412" i="63"/>
  <c r="W412" i="63" l="1"/>
  <c r="AT412" i="63" s="1"/>
  <c r="N413" i="63" l="1"/>
  <c r="O413" i="63"/>
  <c r="AU412" i="63"/>
  <c r="AV412" i="63" s="1"/>
  <c r="Q413" i="63"/>
  <c r="V413" i="63" s="1"/>
  <c r="M413" i="63"/>
  <c r="L413" i="63" s="1"/>
  <c r="AN413" i="63"/>
  <c r="AS413" i="63" s="1"/>
  <c r="P413" i="63" l="1"/>
  <c r="U413" i="63" s="1"/>
  <c r="Z413" i="63"/>
  <c r="AM413" i="63"/>
  <c r="W413" i="63" l="1"/>
  <c r="O414" i="63" s="1"/>
  <c r="N414" i="63" l="1"/>
  <c r="AU413" i="63"/>
  <c r="AV413" i="63" s="1"/>
  <c r="AT413" i="63"/>
  <c r="M414" i="63"/>
  <c r="L414" i="63" s="1"/>
  <c r="Q414" i="63"/>
  <c r="V414" i="63" s="1"/>
  <c r="AN414" i="63"/>
  <c r="AS414" i="63" s="1"/>
  <c r="P414" i="63" l="1"/>
  <c r="AM414" i="63"/>
  <c r="Z414" i="63"/>
  <c r="U414" i="63" l="1"/>
  <c r="W414" i="63"/>
  <c r="AT414" i="63" l="1"/>
  <c r="N415" i="63"/>
  <c r="AU414" i="63"/>
  <c r="AV414" i="63" s="1"/>
  <c r="O415" i="63"/>
  <c r="AN415" i="63" l="1"/>
  <c r="AS415" i="63" s="1"/>
  <c r="M415" i="63"/>
  <c r="L415" i="63" s="1"/>
  <c r="Q415" i="63"/>
  <c r="V415" i="63" s="1"/>
  <c r="Z415" i="63" l="1"/>
  <c r="AM415" i="63"/>
  <c r="P415" i="63"/>
  <c r="W415" i="63" l="1"/>
  <c r="U415" i="63"/>
  <c r="N416" i="63" l="1"/>
  <c r="O416" i="63"/>
  <c r="AT415" i="63"/>
  <c r="AU415" i="63"/>
  <c r="AV415" i="63" s="1"/>
  <c r="AN416" i="63" l="1"/>
  <c r="AS416" i="63" s="1"/>
  <c r="M416" i="63"/>
  <c r="L416" i="63" s="1"/>
  <c r="Q416" i="63"/>
  <c r="V416" i="63" s="1"/>
  <c r="P416" i="63" l="1"/>
  <c r="Z416" i="63"/>
  <c r="AM416" i="63"/>
  <c r="U416" i="63" l="1"/>
  <c r="W416" i="63"/>
  <c r="N417" i="63" l="1"/>
  <c r="AT416" i="63"/>
  <c r="AU416" i="63"/>
  <c r="AV416" i="63" s="1"/>
  <c r="O417" i="63"/>
  <c r="AN417" i="63" l="1"/>
  <c r="AS417" i="63" s="1"/>
  <c r="M417" i="63"/>
  <c r="L417" i="63" s="1"/>
  <c r="Q417" i="63"/>
  <c r="V417" i="63" s="1"/>
  <c r="AM417" i="63" l="1"/>
  <c r="Z417" i="63"/>
  <c r="P417" i="63"/>
  <c r="U417" i="63" l="1"/>
  <c r="W417" i="63"/>
  <c r="N418" i="63" l="1"/>
  <c r="AU417" i="63"/>
  <c r="AV417" i="63" s="1"/>
  <c r="O418" i="63"/>
  <c r="AT417" i="63"/>
  <c r="AN418" i="63" l="1"/>
  <c r="AS418" i="63" s="1"/>
  <c r="M418" i="63"/>
  <c r="L418" i="63" s="1"/>
  <c r="Q418" i="63"/>
  <c r="V418" i="63" s="1"/>
  <c r="AM418" i="63" l="1"/>
  <c r="Z418" i="63"/>
  <c r="P418" i="63"/>
  <c r="U418" i="63" l="1"/>
  <c r="W418" i="63"/>
  <c r="AT418" i="63" l="1"/>
  <c r="N419" i="63"/>
  <c r="O419" i="63"/>
  <c r="AU418" i="63"/>
  <c r="AV418" i="63" s="1"/>
  <c r="AN419" i="63" l="1"/>
  <c r="AS419" i="63" s="1"/>
  <c r="M419" i="63"/>
  <c r="L419" i="63" s="1"/>
  <c r="Q419" i="63"/>
  <c r="V419" i="63" s="1"/>
  <c r="AM419" i="63" l="1"/>
  <c r="Z419" i="63"/>
  <c r="P419" i="63"/>
  <c r="U419" i="63" l="1"/>
  <c r="W419" i="63"/>
  <c r="AU419" i="63" l="1"/>
  <c r="AV419" i="63" s="1"/>
  <c r="N420" i="63"/>
  <c r="O420" i="63"/>
  <c r="AT419" i="63"/>
  <c r="AN420" i="63" l="1"/>
  <c r="AS420" i="63" s="1"/>
  <c r="M420" i="63"/>
  <c r="L420" i="63" s="1"/>
  <c r="Q420" i="63"/>
  <c r="V420" i="63" s="1"/>
  <c r="AM420" i="63" l="1"/>
  <c r="Z420" i="63"/>
  <c r="P420" i="63"/>
  <c r="U420" i="63" l="1"/>
  <c r="W420" i="63"/>
  <c r="AV420" i="63" l="1"/>
  <c r="AT420" i="63"/>
  <c r="N421" i="63"/>
  <c r="O421" i="63"/>
  <c r="AU420" i="63"/>
  <c r="AN421" i="63" l="1"/>
  <c r="AS421" i="63" s="1"/>
  <c r="M421" i="63"/>
  <c r="L421" i="63" s="1"/>
  <c r="Q421" i="63"/>
  <c r="V421" i="63" s="1"/>
  <c r="Z421" i="63" l="1"/>
  <c r="AM421" i="63"/>
  <c r="P421" i="63"/>
  <c r="U421" i="63" l="1"/>
  <c r="W421" i="63"/>
  <c r="O422" i="63" l="1"/>
  <c r="AT421" i="63"/>
  <c r="N422" i="63"/>
  <c r="AU421" i="63"/>
  <c r="AV421" i="63" s="1"/>
  <c r="M422" i="63" l="1"/>
  <c r="L422" i="63" s="1"/>
  <c r="Q422" i="63"/>
  <c r="V422" i="63" s="1"/>
  <c r="AN422" i="63"/>
  <c r="AS422" i="63" s="1"/>
  <c r="P422" i="63" l="1"/>
  <c r="Z422" i="63"/>
  <c r="AM422" i="63"/>
  <c r="U422" i="63" l="1"/>
  <c r="W422" i="63"/>
  <c r="AT422" i="63" l="1"/>
  <c r="O423" i="63"/>
  <c r="N423" i="63"/>
  <c r="AU422" i="63"/>
  <c r="AV422" i="63" s="1"/>
  <c r="Q423" i="63" l="1"/>
  <c r="V423" i="63" s="1"/>
  <c r="M423" i="63"/>
  <c r="L423" i="63" s="1"/>
  <c r="AN423" i="63"/>
  <c r="AS423" i="63" s="1"/>
  <c r="P423" i="63" l="1"/>
  <c r="U423" i="63" s="1"/>
  <c r="Z423" i="63"/>
  <c r="AM423" i="63"/>
  <c r="W423" i="63" l="1"/>
  <c r="AU423" i="63" s="1"/>
  <c r="AT423" i="63" l="1"/>
  <c r="O424" i="63"/>
  <c r="AN424" i="63" s="1"/>
  <c r="AS424" i="63" s="1"/>
  <c r="AV423" i="63"/>
  <c r="N424" i="63"/>
  <c r="Q424" i="63" s="1"/>
  <c r="V424" i="63" s="1"/>
  <c r="M424" i="63" l="1"/>
  <c r="L424" i="63" s="1"/>
  <c r="AM424" i="63" s="1"/>
  <c r="P424" i="63"/>
  <c r="Z424" i="63" l="1"/>
  <c r="U424" i="63"/>
  <c r="W424" i="63"/>
  <c r="AU424" i="63" l="1"/>
  <c r="O425" i="63"/>
  <c r="N425" i="63"/>
  <c r="AV424" i="63"/>
  <c r="AT424" i="63"/>
  <c r="Q425" i="63" l="1"/>
  <c r="V425" i="63" s="1"/>
  <c r="M425" i="63"/>
  <c r="L425" i="63" s="1"/>
  <c r="AN425" i="63"/>
  <c r="AS425" i="63" s="1"/>
  <c r="P425" i="63" l="1"/>
  <c r="U425" i="63" s="1"/>
  <c r="Z425" i="63"/>
  <c r="AM425" i="63"/>
  <c r="W425" i="63" l="1"/>
  <c r="AU425" i="63" s="1"/>
  <c r="O426" i="63" l="1"/>
  <c r="N426" i="63"/>
  <c r="AT425" i="63"/>
  <c r="AV425" i="63"/>
  <c r="AN426" i="63"/>
  <c r="AS426" i="63" s="1"/>
  <c r="Q426" i="63"/>
  <c r="V426" i="63" s="1"/>
  <c r="M426" i="63"/>
  <c r="L426" i="63" s="1"/>
  <c r="AM426" i="63" l="1"/>
  <c r="Z426" i="63"/>
  <c r="P426" i="63"/>
  <c r="U426" i="63" l="1"/>
  <c r="W426" i="63"/>
  <c r="O427" i="63" l="1"/>
  <c r="N427" i="63"/>
  <c r="AU426" i="63"/>
  <c r="AV426" i="63" s="1"/>
  <c r="AT426" i="63"/>
  <c r="Q427" i="63" l="1"/>
  <c r="V427" i="63" s="1"/>
  <c r="M427" i="63"/>
  <c r="L427" i="63" s="1"/>
  <c r="AN427" i="63"/>
  <c r="AS427" i="63" s="1"/>
  <c r="P427" i="63" l="1"/>
  <c r="U427" i="63" s="1"/>
  <c r="AM427" i="63"/>
  <c r="Z427" i="63"/>
  <c r="W427" i="63" l="1"/>
  <c r="AT427" i="63" s="1"/>
  <c r="O428" i="63"/>
  <c r="AU427" i="63"/>
  <c r="AV427" i="63" s="1"/>
  <c r="N428" i="63"/>
  <c r="M428" i="63" l="1"/>
  <c r="L428" i="63" s="1"/>
  <c r="Q428" i="63"/>
  <c r="V428" i="63" s="1"/>
  <c r="AN428" i="63"/>
  <c r="AS428" i="63" s="1"/>
  <c r="P428" i="63" l="1"/>
  <c r="U428" i="63" s="1"/>
  <c r="Z428" i="63"/>
  <c r="AM428" i="63"/>
  <c r="W428" i="63" l="1"/>
  <c r="AU428" i="63" s="1"/>
  <c r="N429" i="63" l="1"/>
  <c r="M429" i="63" s="1"/>
  <c r="L429" i="63" s="1"/>
  <c r="AT428" i="63"/>
  <c r="AV428" i="63"/>
  <c r="O429" i="63"/>
  <c r="AN429" i="63" s="1"/>
  <c r="AS429" i="63" s="1"/>
  <c r="Q429" i="63" l="1"/>
  <c r="V429" i="63" s="1"/>
  <c r="Z429" i="63"/>
  <c r="AM429" i="63"/>
  <c r="P429" i="63" l="1"/>
  <c r="U429" i="63" s="1"/>
  <c r="W429" i="63" l="1"/>
  <c r="AT429" i="63" s="1"/>
  <c r="N430" i="63"/>
  <c r="AU429" i="63"/>
  <c r="AV429" i="63" s="1"/>
  <c r="O430" i="63"/>
  <c r="M430" i="63"/>
  <c r="L430" i="63" s="1"/>
  <c r="Q430" i="63"/>
  <c r="V430" i="63" s="1"/>
  <c r="AN430" i="63"/>
  <c r="AS430" i="63" s="1"/>
  <c r="P430" i="63" l="1"/>
  <c r="U430" i="63" s="1"/>
  <c r="AM430" i="63"/>
  <c r="Z430" i="63"/>
  <c r="W430" i="63" l="1"/>
  <c r="AU430" i="63" s="1"/>
  <c r="AT430" i="63" l="1"/>
  <c r="O431" i="63"/>
  <c r="AN431" i="63" s="1"/>
  <c r="AS431" i="63" s="1"/>
  <c r="N431" i="63"/>
  <c r="AV430" i="63"/>
  <c r="Q431" i="63"/>
  <c r="V431" i="63" s="1"/>
  <c r="M431" i="63"/>
  <c r="L431" i="63" s="1"/>
  <c r="AM431" i="63" l="1"/>
  <c r="Z431" i="63"/>
  <c r="P431" i="63"/>
  <c r="U431" i="63" l="1"/>
  <c r="W431" i="63"/>
  <c r="N432" i="63" l="1"/>
  <c r="O432" i="63"/>
  <c r="AU431" i="63"/>
  <c r="AV431" i="63"/>
  <c r="AT431" i="63"/>
  <c r="AN432" i="63" l="1"/>
  <c r="AS432" i="63" s="1"/>
  <c r="Q432" i="63"/>
  <c r="V432" i="63" s="1"/>
  <c r="M432" i="63"/>
  <c r="L432" i="63" s="1"/>
  <c r="AM432" i="63" l="1"/>
  <c r="Z432" i="63"/>
  <c r="P432" i="63"/>
  <c r="U432" i="63" l="1"/>
  <c r="W432" i="63"/>
  <c r="AU432" i="63" l="1"/>
  <c r="AV432" i="63" s="1"/>
  <c r="N433" i="63"/>
  <c r="AT432" i="63"/>
  <c r="O433" i="63"/>
  <c r="M433" i="63" l="1"/>
  <c r="L433" i="63" s="1"/>
  <c r="Q433" i="63"/>
  <c r="V433" i="63" s="1"/>
  <c r="AN433" i="63"/>
  <c r="AS433" i="63" s="1"/>
  <c r="P433" i="63" l="1"/>
  <c r="U433" i="63" s="1"/>
  <c r="AM433" i="63"/>
  <c r="Z433" i="63"/>
  <c r="W433" i="63" l="1"/>
  <c r="AU433" i="63" s="1"/>
  <c r="B72" i="64"/>
  <c r="B71" i="64" s="1"/>
  <c r="BI2" i="64" s="1"/>
  <c r="N434" i="63" l="1"/>
  <c r="M434" i="63" s="1"/>
  <c r="L434" i="63" s="1"/>
  <c r="O434" i="63"/>
  <c r="AN434" i="63" s="1"/>
  <c r="AS434" i="63" s="1"/>
  <c r="AT433" i="63"/>
  <c r="AV433" i="63"/>
  <c r="CF2" i="64"/>
  <c r="Q434" i="63" l="1"/>
  <c r="V434" i="63" s="1"/>
  <c r="AM434" i="63"/>
  <c r="Z434" i="63"/>
  <c r="P434" i="63" l="1"/>
  <c r="U434" i="63" s="1"/>
  <c r="W434" i="63" l="1"/>
  <c r="N435" i="63" s="1"/>
  <c r="O435" i="63"/>
  <c r="AP435" i="63" s="1"/>
  <c r="AT434" i="63"/>
  <c r="AV434" i="63"/>
  <c r="M435" i="63"/>
  <c r="L435" i="63" s="1"/>
  <c r="Q435" i="63"/>
  <c r="V435" i="63" s="1"/>
  <c r="AU434" i="63" l="1"/>
  <c r="AO434" i="63"/>
  <c r="AN435" i="63"/>
  <c r="AS435" i="63" s="1"/>
  <c r="AM435" i="63"/>
  <c r="Z435" i="63"/>
  <c r="P435" i="63"/>
  <c r="U435" i="63" l="1"/>
  <c r="W435" i="63"/>
  <c r="AO435" i="63" l="1"/>
  <c r="N436" i="63"/>
  <c r="AT435" i="63"/>
  <c r="O436" i="63"/>
  <c r="AV435" i="63"/>
  <c r="AU435" i="63"/>
  <c r="AN436" i="63" l="1"/>
  <c r="AS436" i="63" s="1"/>
  <c r="AP436" i="63"/>
  <c r="M436" i="63"/>
  <c r="L436" i="63" s="1"/>
  <c r="Q436" i="63"/>
  <c r="V436" i="63" s="1"/>
  <c r="P436" i="63" l="1"/>
  <c r="AM436" i="63"/>
  <c r="Z436" i="63"/>
  <c r="U436" i="63" l="1"/>
  <c r="W436" i="63"/>
  <c r="N437" i="63" l="1"/>
  <c r="AO436" i="63"/>
  <c r="AV436" i="63"/>
  <c r="AT436" i="63"/>
  <c r="AU436" i="63"/>
  <c r="O437" i="63"/>
  <c r="AN437" i="63" l="1"/>
  <c r="AS437" i="63" s="1"/>
  <c r="AP437" i="63"/>
  <c r="M437" i="63"/>
  <c r="L437" i="63" s="1"/>
  <c r="Q437" i="63"/>
  <c r="V437" i="63" s="1"/>
  <c r="P437" i="63" l="1"/>
  <c r="Z437" i="63"/>
  <c r="AM437" i="63"/>
  <c r="U437" i="63" l="1"/>
  <c r="W437" i="63"/>
  <c r="AV437" i="63" l="1"/>
  <c r="AO437" i="63"/>
  <c r="AT437" i="63"/>
  <c r="AU437" i="63"/>
  <c r="O438" i="63"/>
  <c r="N438" i="63"/>
  <c r="Q438" i="63" l="1"/>
  <c r="V438" i="63" s="1"/>
  <c r="M438" i="63"/>
  <c r="L438" i="63" s="1"/>
  <c r="AP438" i="63"/>
  <c r="AN438" i="63"/>
  <c r="AS438" i="63" s="1"/>
  <c r="P438" i="63"/>
  <c r="U438" i="63" s="1"/>
  <c r="W438" i="63" l="1"/>
  <c r="Z438" i="63"/>
  <c r="AM438" i="63"/>
  <c r="AU438" i="63" l="1"/>
  <c r="AO438" i="63"/>
  <c r="AT438" i="63"/>
  <c r="O439" i="63"/>
  <c r="N439" i="63"/>
  <c r="AV438" i="63"/>
  <c r="M439" i="63" l="1"/>
  <c r="L439" i="63" s="1"/>
  <c r="Q439" i="63"/>
  <c r="V439" i="63" s="1"/>
  <c r="AN439" i="63"/>
  <c r="AS439" i="63" s="1"/>
  <c r="AP439" i="63"/>
  <c r="P439" i="63" l="1"/>
  <c r="U439" i="63" s="1"/>
  <c r="Z439" i="63"/>
  <c r="AM439" i="63"/>
  <c r="W439" i="63" l="1"/>
  <c r="AO439" i="63" s="1"/>
  <c r="AU439" i="63" l="1"/>
  <c r="O440" i="63"/>
  <c r="AT439" i="63"/>
  <c r="N440" i="63"/>
  <c r="M440" i="63" s="1"/>
  <c r="L440" i="63" s="1"/>
  <c r="AV439" i="63"/>
  <c r="AP440" i="63"/>
  <c r="AN440" i="63"/>
  <c r="AS440" i="63" s="1"/>
  <c r="Q440" i="63"/>
  <c r="V440" i="63" s="1"/>
  <c r="P440" i="63" l="1"/>
  <c r="Z440" i="63"/>
  <c r="AM440" i="63"/>
  <c r="W440" i="63" l="1"/>
  <c r="U440" i="63"/>
  <c r="AU440" i="63" l="1"/>
  <c r="AV440" i="63"/>
  <c r="O441" i="63"/>
  <c r="AO440" i="63"/>
  <c r="AT440" i="63"/>
  <c r="N441" i="63"/>
  <c r="M441" i="63" l="1"/>
  <c r="L441" i="63" s="1"/>
  <c r="Q441" i="63"/>
  <c r="AN441" i="63"/>
  <c r="AS441" i="63" s="1"/>
  <c r="AP441" i="63"/>
  <c r="V441" i="63" l="1"/>
  <c r="P441" i="63"/>
  <c r="Z441" i="63"/>
  <c r="AM441" i="63"/>
  <c r="U441" i="63" l="1"/>
  <c r="W441" i="63"/>
  <c r="AU441" i="63" l="1"/>
  <c r="AO441" i="63"/>
  <c r="O442" i="63"/>
  <c r="N442" i="63"/>
  <c r="AT441" i="63"/>
  <c r="AV441" i="63"/>
  <c r="M442" i="63" l="1"/>
  <c r="L442" i="63" s="1"/>
  <c r="Q442" i="63"/>
  <c r="V442" i="63" s="1"/>
  <c r="AP442" i="63"/>
  <c r="AN442" i="63"/>
  <c r="AS442" i="63" s="1"/>
  <c r="P442" i="63" l="1"/>
  <c r="Z442" i="63"/>
  <c r="AM442" i="63"/>
  <c r="W442" i="63" l="1"/>
  <c r="U442" i="63"/>
  <c r="AT442" i="63" l="1"/>
  <c r="AU442" i="63"/>
  <c r="N443" i="63"/>
  <c r="O443" i="63"/>
  <c r="AO442" i="63"/>
  <c r="AV442" i="63"/>
  <c r="AP443" i="63" l="1"/>
  <c r="AN443" i="63"/>
  <c r="AS443" i="63" s="1"/>
  <c r="M443" i="63"/>
  <c r="L443" i="63" s="1"/>
  <c r="Q443" i="63"/>
  <c r="V443" i="63" s="1"/>
  <c r="AM443" i="63" l="1"/>
  <c r="Z443" i="63"/>
  <c r="P443" i="63"/>
  <c r="U443" i="63" l="1"/>
  <c r="W443" i="63"/>
  <c r="AO443" i="63" l="1"/>
  <c r="AU443" i="63"/>
  <c r="N444" i="63"/>
  <c r="O444" i="63"/>
  <c r="AT443" i="63"/>
  <c r="AV443" i="63"/>
  <c r="M444" i="63" l="1"/>
  <c r="L444" i="63" s="1"/>
  <c r="Q444" i="63"/>
  <c r="V444" i="63" s="1"/>
  <c r="AP444" i="63"/>
  <c r="AN444" i="63"/>
  <c r="AS444" i="63" s="1"/>
  <c r="P444" i="63" l="1"/>
  <c r="U444" i="63" s="1"/>
  <c r="AM444" i="63"/>
  <c r="Z444" i="63"/>
  <c r="W444" i="63" l="1"/>
  <c r="N445" i="63" s="1"/>
  <c r="AO444" i="63"/>
  <c r="AV444" i="63"/>
  <c r="O445" i="63"/>
  <c r="AU444" i="63" l="1"/>
  <c r="AT444" i="63"/>
  <c r="AN445" i="63"/>
  <c r="AS445" i="63" s="1"/>
  <c r="AP445" i="63"/>
  <c r="M445" i="63"/>
  <c r="L445" i="63" s="1"/>
  <c r="Q445" i="63"/>
  <c r="V445" i="63" s="1"/>
  <c r="AM445" i="63" l="1"/>
  <c r="Z445" i="63"/>
  <c r="P445" i="63"/>
  <c r="U445" i="63" l="1"/>
  <c r="W445" i="63"/>
  <c r="O446" i="63" l="1"/>
  <c r="AT445" i="63"/>
  <c r="AV445" i="63"/>
  <c r="AO445" i="63"/>
  <c r="N446" i="63"/>
  <c r="AU445" i="63"/>
  <c r="Q446" i="63" l="1"/>
  <c r="V446" i="63" s="1"/>
  <c r="M446" i="63"/>
  <c r="L446" i="63" s="1"/>
  <c r="AN446" i="63"/>
  <c r="AS446" i="63" s="1"/>
  <c r="AP446" i="63"/>
  <c r="P446" i="63" l="1"/>
  <c r="U446" i="63" s="1"/>
  <c r="AM446" i="63"/>
  <c r="Z446" i="63"/>
  <c r="W446" i="63" l="1"/>
  <c r="AV446" i="63"/>
  <c r="AU446" i="63"/>
  <c r="AT446" i="63"/>
  <c r="N447" i="63"/>
  <c r="AO446" i="63"/>
  <c r="O447" i="63"/>
  <c r="AP447" i="63" l="1"/>
  <c r="AN447" i="63"/>
  <c r="AS447" i="63" s="1"/>
  <c r="M447" i="63"/>
  <c r="L447" i="63" s="1"/>
  <c r="Q447" i="63"/>
  <c r="V447" i="63" s="1"/>
  <c r="AM447" i="63" l="1"/>
  <c r="Z447" i="63"/>
  <c r="P447" i="63"/>
  <c r="U447" i="63" l="1"/>
  <c r="W447" i="63"/>
  <c r="AT447" i="63" l="1"/>
  <c r="N448" i="63"/>
  <c r="AV447" i="63"/>
  <c r="AO447" i="63"/>
  <c r="AU447" i="63"/>
  <c r="O448" i="63"/>
  <c r="AN448" i="63" l="1"/>
  <c r="AS448" i="63" s="1"/>
  <c r="AP448" i="63"/>
  <c r="Q448" i="63"/>
  <c r="V448" i="63" s="1"/>
  <c r="M448" i="63"/>
  <c r="L448" i="63" s="1"/>
  <c r="Z448" i="63" l="1"/>
  <c r="AM448" i="63"/>
  <c r="P448" i="63"/>
  <c r="U448" i="63" l="1"/>
  <c r="W448" i="63"/>
  <c r="AO448" i="63" l="1"/>
  <c r="N449" i="63"/>
  <c r="AT448" i="63"/>
  <c r="O449" i="63"/>
  <c r="AU448" i="63"/>
  <c r="AV448" i="63"/>
  <c r="AN449" i="63" l="1"/>
  <c r="AS449" i="63" s="1"/>
  <c r="AP449" i="63"/>
  <c r="M449" i="63"/>
  <c r="L449" i="63" s="1"/>
  <c r="Q449" i="63"/>
  <c r="V449" i="63" s="1"/>
  <c r="P449" i="63" l="1"/>
  <c r="Z449" i="63"/>
  <c r="AM449" i="63"/>
  <c r="U449" i="63" l="1"/>
  <c r="W449" i="63"/>
  <c r="AT449" i="63" l="1"/>
  <c r="AV449" i="63"/>
  <c r="N450" i="63"/>
  <c r="AU449" i="63"/>
  <c r="O450" i="63"/>
  <c r="AO449" i="63"/>
  <c r="M450" i="63" l="1"/>
  <c r="L450" i="63" s="1"/>
  <c r="Q450" i="63"/>
  <c r="V450" i="63" s="1"/>
  <c r="AP450" i="63"/>
  <c r="AN450" i="63"/>
  <c r="AS450" i="63" s="1"/>
  <c r="P450" i="63" l="1"/>
  <c r="U450" i="63" s="1"/>
  <c r="Z450" i="63"/>
  <c r="AM450" i="63"/>
  <c r="W450" i="63" l="1"/>
  <c r="AT450" i="63" s="1"/>
  <c r="AV450" i="63"/>
  <c r="O451" i="63"/>
  <c r="N451" i="63" l="1"/>
  <c r="AU450" i="63"/>
  <c r="AO450" i="63"/>
  <c r="Q451" i="63"/>
  <c r="V451" i="63" s="1"/>
  <c r="M451" i="63"/>
  <c r="L451" i="63" s="1"/>
  <c r="AN451" i="63"/>
  <c r="AS451" i="63" s="1"/>
  <c r="AP451" i="63"/>
  <c r="P451" i="63" l="1"/>
  <c r="U451" i="63" s="1"/>
  <c r="Z451" i="63"/>
  <c r="AM451" i="63"/>
  <c r="W451" i="63" l="1"/>
  <c r="O452" i="63"/>
  <c r="AV451" i="63"/>
  <c r="AO451" i="63"/>
  <c r="AU451" i="63"/>
  <c r="N452" i="63"/>
  <c r="AT451" i="63"/>
  <c r="Q452" i="63" l="1"/>
  <c r="V452" i="63" s="1"/>
  <c r="M452" i="63"/>
  <c r="L452" i="63" s="1"/>
  <c r="AP452" i="63"/>
  <c r="AN452" i="63"/>
  <c r="AS452" i="63" s="1"/>
  <c r="P452" i="63" l="1"/>
  <c r="U452" i="63" s="1"/>
  <c r="Z452" i="63"/>
  <c r="AM452" i="63"/>
  <c r="W452" i="63" l="1"/>
  <c r="AV452" i="63" s="1"/>
  <c r="N453" i="63"/>
  <c r="AU452" i="63"/>
  <c r="AO452" i="63"/>
  <c r="AT452" i="63"/>
  <c r="O453" i="63"/>
  <c r="M453" i="63" l="1"/>
  <c r="L453" i="63" s="1"/>
  <c r="Q453" i="63"/>
  <c r="V453" i="63" s="1"/>
  <c r="AP453" i="63"/>
  <c r="AN453" i="63"/>
  <c r="AS453" i="63" s="1"/>
  <c r="P453" i="63" l="1"/>
  <c r="U453" i="63" s="1"/>
  <c r="AM453" i="63"/>
  <c r="Z453" i="63"/>
  <c r="W453" i="63" l="1"/>
  <c r="AV453" i="63" s="1"/>
  <c r="AU453" i="63"/>
  <c r="AO453" i="63" l="1"/>
  <c r="AT453" i="63"/>
  <c r="N454" i="63"/>
  <c r="O454" i="63"/>
  <c r="Q454" i="63"/>
  <c r="V454" i="63" s="1"/>
  <c r="M454" i="63"/>
  <c r="L454" i="63" s="1"/>
  <c r="AP454" i="63"/>
  <c r="AN454" i="63"/>
  <c r="AS454" i="63" s="1"/>
  <c r="P454" i="63" l="1"/>
  <c r="U454" i="63" s="1"/>
  <c r="AM454" i="63"/>
  <c r="Z454" i="63"/>
  <c r="W454" i="63" l="1"/>
  <c r="AV454" i="63" s="1"/>
  <c r="AO454" i="63"/>
  <c r="AU454" i="63"/>
  <c r="AT454" i="63" l="1"/>
  <c r="O455" i="63"/>
  <c r="N455" i="63"/>
  <c r="Q455" i="63" s="1"/>
  <c r="AN455" i="63"/>
  <c r="AS455" i="63" s="1"/>
  <c r="AP455" i="63"/>
  <c r="M455" i="63" l="1"/>
  <c r="L455" i="63" s="1"/>
  <c r="AM455" i="63" s="1"/>
  <c r="V455" i="63"/>
  <c r="P455" i="63"/>
  <c r="Z455" i="63" l="1"/>
  <c r="U455" i="63"/>
  <c r="W455" i="63"/>
  <c r="AU455" i="63" l="1"/>
  <c r="AV455" i="63"/>
  <c r="AT455" i="63"/>
  <c r="O456" i="63"/>
  <c r="N456" i="63"/>
  <c r="AO455" i="63"/>
  <c r="Q456" i="63" l="1"/>
  <c r="M456" i="63"/>
  <c r="L456" i="63" s="1"/>
  <c r="AP456" i="63"/>
  <c r="AN456" i="63"/>
  <c r="AS456" i="63" s="1"/>
  <c r="Z456" i="63" l="1"/>
  <c r="AM456" i="63"/>
  <c r="V456" i="63"/>
  <c r="P456" i="63"/>
  <c r="U456" i="63" l="1"/>
  <c r="W456" i="63"/>
  <c r="AT456" i="63" l="1"/>
  <c r="AO456" i="63"/>
  <c r="AU456" i="63"/>
  <c r="N457" i="63"/>
  <c r="O457" i="63"/>
  <c r="AV456" i="63"/>
  <c r="AN457" i="63" l="1"/>
  <c r="AS457" i="63" s="1"/>
  <c r="AP457" i="63"/>
  <c r="Q457" i="63"/>
  <c r="V457" i="63" s="1"/>
  <c r="M457" i="63"/>
  <c r="L457" i="63" s="1"/>
  <c r="AM457" i="63" l="1"/>
  <c r="Z457" i="63"/>
  <c r="P457" i="63"/>
  <c r="U457" i="63" l="1"/>
  <c r="W457" i="63"/>
  <c r="O458" i="63" l="1"/>
  <c r="AT457" i="63"/>
  <c r="AV457" i="63"/>
  <c r="AU457" i="63"/>
  <c r="N458" i="63"/>
  <c r="AO457" i="63"/>
  <c r="M458" i="63" l="1"/>
  <c r="L458" i="63" s="1"/>
  <c r="Q458" i="63"/>
  <c r="V458" i="63" s="1"/>
  <c r="AN458" i="63"/>
  <c r="AS458" i="63" s="1"/>
  <c r="AP458" i="63"/>
  <c r="P458" i="63" l="1"/>
  <c r="U458" i="63" s="1"/>
  <c r="AM458" i="63"/>
  <c r="Z458" i="63"/>
  <c r="W458" i="63" l="1"/>
  <c r="AT458" i="63" s="1"/>
  <c r="O459" i="63"/>
  <c r="N459" i="63"/>
  <c r="AU458" i="63"/>
  <c r="AV458" i="63"/>
  <c r="AO458" i="63" l="1"/>
  <c r="M459" i="63"/>
  <c r="L459" i="63" s="1"/>
  <c r="Q459" i="63"/>
  <c r="V459" i="63" s="1"/>
  <c r="AN459" i="63"/>
  <c r="AS459" i="63" s="1"/>
  <c r="AP459" i="63"/>
  <c r="P459" i="63" l="1"/>
  <c r="Z459" i="63"/>
  <c r="AM459" i="63"/>
  <c r="F54" i="1"/>
  <c r="T62" i="63"/>
  <c r="T61" i="63"/>
  <c r="T60" i="63"/>
  <c r="R63" i="63"/>
  <c r="T63" i="63" s="1"/>
  <c r="B73" i="64"/>
  <c r="BK2" i="64" s="1"/>
  <c r="U459" i="63" l="1"/>
  <c r="W459" i="63"/>
  <c r="AA17" i="63"/>
  <c r="B20" i="64"/>
  <c r="AV2" i="64" s="1"/>
  <c r="R64" i="63"/>
  <c r="AU459" i="63" l="1"/>
  <c r="AT459" i="63"/>
  <c r="AV459" i="63"/>
  <c r="O460" i="63"/>
  <c r="N460" i="63"/>
  <c r="AO459" i="63"/>
  <c r="AO422" i="63"/>
  <c r="AO423" i="63"/>
  <c r="AO424" i="63"/>
  <c r="AO425" i="63"/>
  <c r="AO426" i="63"/>
  <c r="AO427" i="63"/>
  <c r="AO428" i="63"/>
  <c r="AO429" i="63"/>
  <c r="AO430" i="63"/>
  <c r="AO431" i="63"/>
  <c r="AO432" i="63"/>
  <c r="AO433" i="63"/>
  <c r="AO421" i="63"/>
  <c r="AO420" i="63"/>
  <c r="AO419" i="63"/>
  <c r="AO405" i="63"/>
  <c r="AO406" i="63"/>
  <c r="AO399" i="63"/>
  <c r="AO400" i="63"/>
  <c r="AO409" i="63"/>
  <c r="AO396" i="63"/>
  <c r="AO413" i="63"/>
  <c r="AO414" i="63"/>
  <c r="AO407" i="63"/>
  <c r="AO408" i="63"/>
  <c r="AO395" i="63"/>
  <c r="AO404" i="63"/>
  <c r="AO418" i="63"/>
  <c r="AO417" i="63"/>
  <c r="AO415" i="63"/>
  <c r="AO416" i="63"/>
  <c r="AO412" i="63"/>
  <c r="AO411" i="63"/>
  <c r="AO403" i="63"/>
  <c r="AO394" i="63"/>
  <c r="AO389" i="63"/>
  <c r="AO390" i="63"/>
  <c r="AO393" i="63"/>
  <c r="AO402" i="63"/>
  <c r="AO397" i="63"/>
  <c r="AO398" i="63"/>
  <c r="AO391" i="63"/>
  <c r="AO392" i="63"/>
  <c r="AO401" i="63"/>
  <c r="AO410" i="63"/>
  <c r="AO388" i="63"/>
  <c r="AC17" i="63"/>
  <c r="AH17" i="63" s="1"/>
  <c r="AI17" i="63"/>
  <c r="AP17" i="63"/>
  <c r="AD17" i="63"/>
  <c r="AT2" i="64"/>
  <c r="R65" i="63"/>
  <c r="T64" i="63"/>
  <c r="M460" i="63" l="1"/>
  <c r="L460" i="63" s="1"/>
  <c r="Q460" i="63"/>
  <c r="V460" i="63" s="1"/>
  <c r="AN460" i="63"/>
  <c r="AS460" i="63" s="1"/>
  <c r="AP460" i="63"/>
  <c r="AB17" i="63"/>
  <c r="AE17" i="63" s="1"/>
  <c r="AF17" i="63" s="1"/>
  <c r="T65" i="63"/>
  <c r="R66" i="63"/>
  <c r="P460" i="63" l="1"/>
  <c r="Z460" i="63"/>
  <c r="AM460" i="63"/>
  <c r="AG17" i="63"/>
  <c r="AA18" i="63"/>
  <c r="R67" i="63"/>
  <c r="T66" i="63"/>
  <c r="W460" i="63" l="1"/>
  <c r="U460" i="63"/>
  <c r="AC18" i="63"/>
  <c r="AH18" i="63" s="1"/>
  <c r="AI18" i="63"/>
  <c r="AP18" i="63"/>
  <c r="AD18" i="63"/>
  <c r="T67" i="63"/>
  <c r="R68" i="63"/>
  <c r="N461" i="63" l="1"/>
  <c r="O461" i="63"/>
  <c r="AU460" i="63"/>
  <c r="AV460" i="63"/>
  <c r="AO460" i="63"/>
  <c r="AT460" i="63"/>
  <c r="AB18" i="63"/>
  <c r="T68" i="63"/>
  <c r="R69" i="63"/>
  <c r="AN461" i="63" l="1"/>
  <c r="AS461" i="63" s="1"/>
  <c r="AP461" i="63"/>
  <c r="Q461" i="63"/>
  <c r="M461" i="63"/>
  <c r="L461" i="63" s="1"/>
  <c r="AG18" i="63"/>
  <c r="AE18" i="63"/>
  <c r="AF18" i="63" s="1"/>
  <c r="T69" i="63"/>
  <c r="R70" i="63"/>
  <c r="V461" i="63" l="1"/>
  <c r="P461" i="63"/>
  <c r="Z461" i="63"/>
  <c r="AM461" i="63"/>
  <c r="AA19" i="63"/>
  <c r="T70" i="63"/>
  <c r="R71" i="63"/>
  <c r="U461" i="63" l="1"/>
  <c r="W461" i="63"/>
  <c r="AC19" i="63"/>
  <c r="AH19" i="63" s="1"/>
  <c r="AI19" i="63"/>
  <c r="AP19" i="63"/>
  <c r="AD19" i="63"/>
  <c r="R72" i="63"/>
  <c r="T71" i="63"/>
  <c r="O462" i="63" l="1"/>
  <c r="AV461" i="63"/>
  <c r="N462" i="63"/>
  <c r="AU461" i="63"/>
  <c r="AO461" i="63"/>
  <c r="AT461" i="63"/>
  <c r="AB19" i="63"/>
  <c r="R73" i="63"/>
  <c r="T72" i="63"/>
  <c r="AP462" i="63" l="1"/>
  <c r="AN462" i="63"/>
  <c r="AS462" i="63" s="1"/>
  <c r="M462" i="63"/>
  <c r="L462" i="63" s="1"/>
  <c r="Q462" i="63"/>
  <c r="V462" i="63" s="1"/>
  <c r="AE19" i="63"/>
  <c r="AF19" i="63" s="1"/>
  <c r="AG19" i="63"/>
  <c r="T73" i="63"/>
  <c r="R74" i="63"/>
  <c r="P462" i="63" l="1"/>
  <c r="AM462" i="63"/>
  <c r="Z462" i="63"/>
  <c r="AA20" i="63"/>
  <c r="R75" i="63"/>
  <c r="T74" i="63"/>
  <c r="U462" i="63" l="1"/>
  <c r="W462" i="63"/>
  <c r="AC20" i="63"/>
  <c r="AH20" i="63" s="1"/>
  <c r="AI20" i="63"/>
  <c r="AP20" i="63"/>
  <c r="AD20" i="63"/>
  <c r="R76" i="63"/>
  <c r="T75" i="63"/>
  <c r="AU462" i="63" l="1"/>
  <c r="N463" i="63"/>
  <c r="AO462" i="63"/>
  <c r="O463" i="63"/>
  <c r="AV462" i="63"/>
  <c r="AT462" i="63"/>
  <c r="AB20" i="63"/>
  <c r="R77" i="63"/>
  <c r="T76" i="63"/>
  <c r="M463" i="63" l="1"/>
  <c r="L463" i="63" s="1"/>
  <c r="Q463" i="63"/>
  <c r="V463" i="63" s="1"/>
  <c r="AP463" i="63"/>
  <c r="AN463" i="63"/>
  <c r="AS463" i="63" s="1"/>
  <c r="AE20" i="63"/>
  <c r="AF20" i="63" s="1"/>
  <c r="AG20" i="63"/>
  <c r="T77" i="63"/>
  <c r="R78" i="63"/>
  <c r="P463" i="63" l="1"/>
  <c r="W463" i="63" s="1"/>
  <c r="Z463" i="63"/>
  <c r="AM463" i="63"/>
  <c r="AA21" i="63"/>
  <c r="R79" i="63"/>
  <c r="T78" i="63"/>
  <c r="U463" i="63" l="1"/>
  <c r="N464" i="63"/>
  <c r="AV463" i="63"/>
  <c r="AT463" i="63"/>
  <c r="AU463" i="63"/>
  <c r="AO463" i="63"/>
  <c r="O464" i="63"/>
  <c r="AC21" i="63"/>
  <c r="AH21" i="63" s="1"/>
  <c r="AI21" i="63"/>
  <c r="AP21" i="63"/>
  <c r="AD21" i="63"/>
  <c r="R80" i="63"/>
  <c r="T79" i="63"/>
  <c r="AN464" i="63" l="1"/>
  <c r="AS464" i="63" s="1"/>
  <c r="AP464" i="63"/>
  <c r="Q464" i="63"/>
  <c r="V464" i="63" s="1"/>
  <c r="M464" i="63"/>
  <c r="L464" i="63" s="1"/>
  <c r="AB21" i="63"/>
  <c r="R81" i="63"/>
  <c r="T80" i="63"/>
  <c r="Z464" i="63" l="1"/>
  <c r="AM464" i="63"/>
  <c r="P464" i="63"/>
  <c r="AE21" i="63"/>
  <c r="AF21" i="63" s="1"/>
  <c r="AG21" i="63"/>
  <c r="T81" i="63"/>
  <c r="R82" i="63"/>
  <c r="U464" i="63" l="1"/>
  <c r="W464" i="63"/>
  <c r="AA22" i="63"/>
  <c r="R83" i="63"/>
  <c r="T82" i="63"/>
  <c r="AU464" i="63" l="1"/>
  <c r="AO464" i="63"/>
  <c r="AT464" i="63"/>
  <c r="O465" i="63"/>
  <c r="AV464" i="63"/>
  <c r="N465" i="63"/>
  <c r="AC22" i="63"/>
  <c r="AH22" i="63" s="1"/>
  <c r="AI22" i="63"/>
  <c r="AP22" i="63"/>
  <c r="AD22" i="63"/>
  <c r="R84" i="63"/>
  <c r="T83" i="63"/>
  <c r="AN465" i="63" l="1"/>
  <c r="AS465" i="63" s="1"/>
  <c r="AP465" i="63"/>
  <c r="Q465" i="63"/>
  <c r="M465" i="63"/>
  <c r="L465" i="63" s="1"/>
  <c r="AB22" i="63"/>
  <c r="R85" i="63"/>
  <c r="T84" i="63"/>
  <c r="Z465" i="63" l="1"/>
  <c r="AM465" i="63"/>
  <c r="V465" i="63"/>
  <c r="P465" i="63"/>
  <c r="AG22" i="63"/>
  <c r="AE22" i="63"/>
  <c r="AF22" i="63" s="1"/>
  <c r="T85" i="63"/>
  <c r="R86" i="63"/>
  <c r="W465" i="63" l="1"/>
  <c r="U465" i="63"/>
  <c r="AA23" i="63"/>
  <c r="R87" i="63"/>
  <c r="T86" i="63"/>
  <c r="O466" i="63" l="1"/>
  <c r="N466" i="63"/>
  <c r="AT465" i="63"/>
  <c r="AV465" i="63"/>
  <c r="AO465" i="63"/>
  <c r="AU465" i="63"/>
  <c r="AC23" i="63"/>
  <c r="AH23" i="63" s="1"/>
  <c r="AI23" i="63"/>
  <c r="AP23" i="63"/>
  <c r="AD23" i="63"/>
  <c r="R88" i="63"/>
  <c r="T87" i="63"/>
  <c r="Q466" i="63" l="1"/>
  <c r="M466" i="63"/>
  <c r="L466" i="63" s="1"/>
  <c r="AP466" i="63"/>
  <c r="AN466" i="63"/>
  <c r="AS466" i="63" s="1"/>
  <c r="AB23" i="63"/>
  <c r="R89" i="63"/>
  <c r="T88" i="63"/>
  <c r="AM466" i="63" l="1"/>
  <c r="Z466" i="63"/>
  <c r="V466" i="63"/>
  <c r="P466" i="63"/>
  <c r="AG23" i="63"/>
  <c r="AE23" i="63"/>
  <c r="AF23" i="63" s="1"/>
  <c r="T89" i="63"/>
  <c r="R90" i="63"/>
  <c r="U466" i="63" l="1"/>
  <c r="W466" i="63"/>
  <c r="AA24" i="63"/>
  <c r="R91" i="63"/>
  <c r="T90" i="63"/>
  <c r="AO466" i="63" l="1"/>
  <c r="N467" i="63"/>
  <c r="AV466" i="63"/>
  <c r="O467" i="63"/>
  <c r="AU466" i="63"/>
  <c r="AT466" i="63"/>
  <c r="AC24" i="63"/>
  <c r="AH24" i="63" s="1"/>
  <c r="AI24" i="63"/>
  <c r="AP24" i="63"/>
  <c r="AD24" i="63"/>
  <c r="R92" i="63"/>
  <c r="T91" i="63"/>
  <c r="AN467" i="63" l="1"/>
  <c r="AS467" i="63" s="1"/>
  <c r="AP467" i="63"/>
  <c r="Q467" i="63"/>
  <c r="V467" i="63" s="1"/>
  <c r="M467" i="63"/>
  <c r="L467" i="63" s="1"/>
  <c r="AB24" i="63"/>
  <c r="R93" i="63"/>
  <c r="T92" i="63"/>
  <c r="AM467" i="63" l="1"/>
  <c r="Z467" i="63"/>
  <c r="P467" i="63"/>
  <c r="AG24" i="63"/>
  <c r="AE24" i="63"/>
  <c r="AF24" i="63" s="1"/>
  <c r="T93" i="63"/>
  <c r="R94" i="63"/>
  <c r="U467" i="63" l="1"/>
  <c r="W467" i="63"/>
  <c r="AA25" i="63"/>
  <c r="R95" i="63"/>
  <c r="T94" i="63"/>
  <c r="AV467" i="63" l="1"/>
  <c r="N468" i="63"/>
  <c r="AO467" i="63"/>
  <c r="AU467" i="63"/>
  <c r="AT467" i="63"/>
  <c r="O468" i="63"/>
  <c r="AC25" i="63"/>
  <c r="AH25" i="63" s="1"/>
  <c r="AI25" i="63"/>
  <c r="AP25" i="63"/>
  <c r="AD25" i="63"/>
  <c r="R96" i="63"/>
  <c r="T95" i="63"/>
  <c r="M468" i="63" l="1"/>
  <c r="L468" i="63" s="1"/>
  <c r="Q468" i="63"/>
  <c r="V468" i="63" s="1"/>
  <c r="AP468" i="63"/>
  <c r="AN468" i="63"/>
  <c r="AS468" i="63" s="1"/>
  <c r="AB25" i="63"/>
  <c r="R97" i="63"/>
  <c r="T96" i="63"/>
  <c r="P468" i="63" l="1"/>
  <c r="AM468" i="63"/>
  <c r="Z468" i="63"/>
  <c r="AG25" i="63"/>
  <c r="AE25" i="63"/>
  <c r="AF25" i="63" s="1"/>
  <c r="T97" i="63"/>
  <c r="R98" i="63"/>
  <c r="U468" i="63" l="1"/>
  <c r="W468" i="63"/>
  <c r="AA26" i="63"/>
  <c r="R99" i="63"/>
  <c r="T98" i="63"/>
  <c r="N469" i="63" l="1"/>
  <c r="AT468" i="63"/>
  <c r="AV468" i="63"/>
  <c r="AO468" i="63"/>
  <c r="AU468" i="63"/>
  <c r="O469" i="63"/>
  <c r="AC26" i="63"/>
  <c r="AH26" i="63" s="1"/>
  <c r="AI26" i="63"/>
  <c r="AP26" i="63"/>
  <c r="AD26" i="63"/>
  <c r="R100" i="63"/>
  <c r="T99" i="63"/>
  <c r="AN469" i="63" l="1"/>
  <c r="AS469" i="63" s="1"/>
  <c r="AP469" i="63"/>
  <c r="M469" i="63"/>
  <c r="L469" i="63" s="1"/>
  <c r="Q469" i="63"/>
  <c r="AB26" i="63"/>
  <c r="R101" i="63"/>
  <c r="T100" i="63"/>
  <c r="V469" i="63" l="1"/>
  <c r="P469" i="63"/>
  <c r="AM469" i="63"/>
  <c r="Z469" i="63"/>
  <c r="AG26" i="63"/>
  <c r="AE26" i="63"/>
  <c r="AF26" i="63" s="1"/>
  <c r="T101" i="63"/>
  <c r="R102" i="63"/>
  <c r="W469" i="63" l="1"/>
  <c r="U469" i="63"/>
  <c r="R103" i="63"/>
  <c r="T102" i="63"/>
  <c r="AO469" i="63" l="1"/>
  <c r="AT469" i="63"/>
  <c r="AU469" i="63"/>
  <c r="N470" i="63"/>
  <c r="O470" i="63"/>
  <c r="AV469" i="63"/>
  <c r="AB4" i="63"/>
  <c r="R104" i="63"/>
  <c r="T103" i="63"/>
  <c r="AN470" i="63" l="1"/>
  <c r="AS470" i="63" s="1"/>
  <c r="AP470" i="63"/>
  <c r="Q470" i="63"/>
  <c r="V470" i="63" s="1"/>
  <c r="M470" i="63"/>
  <c r="L470" i="63" s="1"/>
  <c r="AC4" i="63"/>
  <c r="AB6" i="63"/>
  <c r="R105" i="63"/>
  <c r="T104" i="63"/>
  <c r="AM470" i="63" l="1"/>
  <c r="Z470" i="63"/>
  <c r="P470" i="63"/>
  <c r="AD4" i="63"/>
  <c r="AD6" i="63" s="1"/>
  <c r="AC6" i="63"/>
  <c r="T105" i="63"/>
  <c r="R106" i="63"/>
  <c r="U470" i="63" l="1"/>
  <c r="W470" i="63"/>
  <c r="AA4" i="63"/>
  <c r="B13" i="64" s="1"/>
  <c r="AA6" i="63"/>
  <c r="R107" i="63"/>
  <c r="T106" i="63"/>
  <c r="AO194" i="63" l="1"/>
  <c r="Y16" i="63"/>
  <c r="O471" i="63"/>
  <c r="AV470" i="63"/>
  <c r="AT470" i="63"/>
  <c r="N471" i="63"/>
  <c r="AO470" i="63"/>
  <c r="AU470" i="63"/>
  <c r="AO233" i="63"/>
  <c r="AO322" i="63"/>
  <c r="AO299" i="63"/>
  <c r="AO164" i="63"/>
  <c r="AO370" i="63"/>
  <c r="AO306" i="63"/>
  <c r="AO371" i="63"/>
  <c r="AO286" i="63"/>
  <c r="AO248" i="63"/>
  <c r="AO177" i="63"/>
  <c r="AO219" i="63"/>
  <c r="AO82" i="63"/>
  <c r="AO119" i="63"/>
  <c r="AO234" i="63"/>
  <c r="AO157" i="63"/>
  <c r="AO309" i="63"/>
  <c r="AO325" i="63"/>
  <c r="AO143" i="63"/>
  <c r="AO381" i="63"/>
  <c r="AO378" i="63"/>
  <c r="AO96" i="63"/>
  <c r="AO363" i="63"/>
  <c r="AO222" i="63"/>
  <c r="AO238" i="63"/>
  <c r="AO236" i="63"/>
  <c r="AO241" i="63"/>
  <c r="AO358" i="63"/>
  <c r="AO226" i="63"/>
  <c r="AO93" i="63"/>
  <c r="AO307" i="63"/>
  <c r="AO191" i="63"/>
  <c r="AO256" i="63"/>
  <c r="AO154" i="63"/>
  <c r="AO52" i="63"/>
  <c r="AO75" i="63"/>
  <c r="AO104" i="63"/>
  <c r="AO229" i="63"/>
  <c r="AO89" i="63"/>
  <c r="AO324" i="63"/>
  <c r="AO86" i="63"/>
  <c r="AO291" i="63"/>
  <c r="AO56" i="63"/>
  <c r="AO263" i="63"/>
  <c r="AO308" i="63"/>
  <c r="AO313" i="63"/>
  <c r="AO366" i="63"/>
  <c r="AO84" i="63"/>
  <c r="AO335" i="63"/>
  <c r="AO163" i="63"/>
  <c r="AO260" i="63"/>
  <c r="AO199" i="63"/>
  <c r="AO374" i="63"/>
  <c r="AO142" i="63"/>
  <c r="AO147" i="63"/>
  <c r="AO176" i="63"/>
  <c r="AO237" i="63"/>
  <c r="AO298" i="63"/>
  <c r="AO214" i="63"/>
  <c r="AO264" i="63"/>
  <c r="AO116" i="63"/>
  <c r="AO320" i="63"/>
  <c r="AO314" i="63"/>
  <c r="AO380" i="63"/>
  <c r="AO385" i="63"/>
  <c r="AO70" i="63"/>
  <c r="AO156" i="63"/>
  <c r="AO161" i="63"/>
  <c r="AO85" i="63"/>
  <c r="AO65" i="63"/>
  <c r="AO246" i="63"/>
  <c r="AO192" i="63"/>
  <c r="AO108" i="63"/>
  <c r="AO359" i="63"/>
  <c r="AO101" i="63"/>
  <c r="AO207" i="63"/>
  <c r="AO271" i="63"/>
  <c r="AO261" i="63"/>
  <c r="AO367" i="63"/>
  <c r="AO272" i="63"/>
  <c r="AO190" i="63"/>
  <c r="AO185" i="63"/>
  <c r="AO109" i="63"/>
  <c r="AO170" i="63"/>
  <c r="AO90" i="63"/>
  <c r="AO337" i="63"/>
  <c r="AO330" i="63"/>
  <c r="AO295" i="63"/>
  <c r="AO136" i="63"/>
  <c r="AO180" i="63"/>
  <c r="AO47" i="63"/>
  <c r="AO379" i="63"/>
  <c r="AO279" i="63"/>
  <c r="AO155" i="63"/>
  <c r="AO200" i="63"/>
  <c r="AO193" i="63"/>
  <c r="AO174" i="63"/>
  <c r="AO269" i="63"/>
  <c r="AO135" i="63"/>
  <c r="AO257" i="63"/>
  <c r="AO310" i="63"/>
  <c r="AO242" i="63"/>
  <c r="AO158" i="63"/>
  <c r="AO184" i="63"/>
  <c r="AO333" i="63"/>
  <c r="AO57" i="63"/>
  <c r="AO315" i="63"/>
  <c r="AO124" i="63"/>
  <c r="AO252" i="63"/>
  <c r="AO120" i="63"/>
  <c r="AO181" i="63"/>
  <c r="AO105" i="63"/>
  <c r="AO235" i="63"/>
  <c r="AO112" i="63"/>
  <c r="AO188" i="63"/>
  <c r="AO318" i="63"/>
  <c r="AO287" i="63"/>
  <c r="AO129" i="63"/>
  <c r="AO91" i="63"/>
  <c r="AO382" i="63"/>
  <c r="AO250" i="63"/>
  <c r="AO351" i="63"/>
  <c r="AO98" i="63"/>
  <c r="AO302" i="63"/>
  <c r="AO265" i="63"/>
  <c r="AO258" i="63"/>
  <c r="AO94" i="63"/>
  <c r="AO125" i="63"/>
  <c r="AO329" i="63"/>
  <c r="AO253" i="63"/>
  <c r="AO113" i="63"/>
  <c r="AO230" i="63"/>
  <c r="AO336" i="63"/>
  <c r="AO165" i="63"/>
  <c r="AO128" i="63"/>
  <c r="AO121" i="63"/>
  <c r="AO171" i="63"/>
  <c r="AO386" i="63"/>
  <c r="AO387" i="63"/>
  <c r="AO338" i="63"/>
  <c r="AO259" i="63"/>
  <c r="AO117" i="63"/>
  <c r="AO166" i="63"/>
  <c r="AO227" i="63"/>
  <c r="AO51" i="63"/>
  <c r="AO122" i="63"/>
  <c r="AO323" i="63"/>
  <c r="AO243" i="63"/>
  <c r="AO316" i="63"/>
  <c r="AO197" i="63"/>
  <c r="AO360" i="63"/>
  <c r="AO189" i="63"/>
  <c r="AO186" i="63"/>
  <c r="AO106" i="63"/>
  <c r="AO92" i="63"/>
  <c r="AO67" i="63"/>
  <c r="AO340" i="63"/>
  <c r="AO46" i="63"/>
  <c r="AO55" i="63"/>
  <c r="AO344" i="63"/>
  <c r="AO273" i="63"/>
  <c r="AO266" i="63"/>
  <c r="AO208" i="63"/>
  <c r="AO79" i="63"/>
  <c r="AO209" i="63"/>
  <c r="AO375" i="63"/>
  <c r="AO223" i="63"/>
  <c r="AO288" i="63"/>
  <c r="AO54" i="63"/>
  <c r="AO215" i="63"/>
  <c r="AO83" i="63"/>
  <c r="AO201" i="63"/>
  <c r="AO254" i="63"/>
  <c r="AO102" i="63"/>
  <c r="AO198" i="63"/>
  <c r="AO178" i="63"/>
  <c r="AO332" i="63"/>
  <c r="AO196" i="63"/>
  <c r="AO326" i="63"/>
  <c r="AO331" i="63"/>
  <c r="AO345" i="63"/>
  <c r="AO346" i="63"/>
  <c r="AO311" i="63"/>
  <c r="AO63" i="63"/>
  <c r="AO319" i="63"/>
  <c r="AO149" i="63"/>
  <c r="AO205" i="63"/>
  <c r="AO239" i="63"/>
  <c r="AO216" i="63"/>
  <c r="AO247" i="63"/>
  <c r="AO231" i="63"/>
  <c r="AO179" i="63"/>
  <c r="AO341" i="63"/>
  <c r="AO53" i="63"/>
  <c r="AO118" i="63"/>
  <c r="AO87" i="63"/>
  <c r="AO369" i="63"/>
  <c r="AO50" i="63"/>
  <c r="AO110" i="63"/>
  <c r="AO280" i="63"/>
  <c r="AO321" i="63"/>
  <c r="AO274" i="63"/>
  <c r="AO356" i="63"/>
  <c r="AO349" i="63"/>
  <c r="AO232" i="63"/>
  <c r="AO303" i="63"/>
  <c r="AO251" i="63"/>
  <c r="AO151" i="63"/>
  <c r="AO249" i="63"/>
  <c r="AO137" i="63"/>
  <c r="AO195" i="63"/>
  <c r="AO172" i="63"/>
  <c r="AO361" i="63"/>
  <c r="AO182" i="63"/>
  <c r="AO114" i="63"/>
  <c r="AO268" i="63"/>
  <c r="AO150" i="63"/>
  <c r="AO202" i="63"/>
  <c r="AO348" i="63"/>
  <c r="AO245" i="63"/>
  <c r="AO80" i="63"/>
  <c r="AO68" i="63"/>
  <c r="AO352" i="63"/>
  <c r="AO107" i="63"/>
  <c r="AO132" i="63"/>
  <c r="AB9" i="63"/>
  <c r="Z9" i="63" s="1"/>
  <c r="B18" i="64" s="1"/>
  <c r="B17" i="64" s="1"/>
  <c r="AU2" i="64" s="1"/>
  <c r="AO187" i="63"/>
  <c r="AO343" i="63"/>
  <c r="AO97" i="63"/>
  <c r="AO162" i="63"/>
  <c r="AO204" i="63"/>
  <c r="AO99" i="63"/>
  <c r="AO126" i="63"/>
  <c r="AO224" i="63"/>
  <c r="AO355" i="63"/>
  <c r="AO383" i="63"/>
  <c r="AO48" i="63"/>
  <c r="AO66" i="63"/>
  <c r="AO159" i="63"/>
  <c r="AO144" i="63"/>
  <c r="AO60" i="63"/>
  <c r="AO364" i="63"/>
  <c r="AO95" i="63"/>
  <c r="AO384" i="63"/>
  <c r="AO262" i="63"/>
  <c r="AO267" i="63"/>
  <c r="AO296" i="63"/>
  <c r="AO276" i="63"/>
  <c r="AO277" i="63"/>
  <c r="AO282" i="63"/>
  <c r="AO203" i="63"/>
  <c r="AO357" i="63"/>
  <c r="AO255" i="63"/>
  <c r="AO72" i="63"/>
  <c r="AO133" i="63"/>
  <c r="AO130" i="63"/>
  <c r="AO167" i="63"/>
  <c r="AO115" i="63"/>
  <c r="AO328" i="63"/>
  <c r="AO210" i="63"/>
  <c r="AO292" i="63"/>
  <c r="AO285" i="63"/>
  <c r="AO228" i="63"/>
  <c r="AO334" i="63"/>
  <c r="AO339" i="63"/>
  <c r="AO368" i="63"/>
  <c r="AO62" i="63"/>
  <c r="AO353" i="63"/>
  <c r="AO244" i="63"/>
  <c r="AO73" i="63"/>
  <c r="AO131" i="63"/>
  <c r="AO217" i="63"/>
  <c r="AL16" i="63"/>
  <c r="AJ16" i="63" s="1"/>
  <c r="AO74" i="63"/>
  <c r="AO305" i="63"/>
  <c r="AO342" i="63"/>
  <c r="AO218" i="63"/>
  <c r="AO312" i="63"/>
  <c r="AO168" i="63"/>
  <c r="AO145" i="63"/>
  <c r="AO69" i="63"/>
  <c r="AO49" i="63"/>
  <c r="AO103" i="63"/>
  <c r="AO212" i="63"/>
  <c r="AO213" i="63"/>
  <c r="AO81" i="63"/>
  <c r="AO183" i="63"/>
  <c r="AO148" i="63"/>
  <c r="AO270" i="63"/>
  <c r="AO275" i="63"/>
  <c r="AO304" i="63"/>
  <c r="AO365" i="63"/>
  <c r="AO58" i="63"/>
  <c r="AO78" i="63"/>
  <c r="AO77" i="63"/>
  <c r="AO64" i="63"/>
  <c r="AO362" i="63"/>
  <c r="AO71" i="63"/>
  <c r="AO173" i="63"/>
  <c r="AO141" i="63"/>
  <c r="AO138" i="63"/>
  <c r="AO175" i="63"/>
  <c r="AO284" i="63"/>
  <c r="AO289" i="63"/>
  <c r="AO127" i="63"/>
  <c r="AO283" i="63"/>
  <c r="AO300" i="63"/>
  <c r="AO153" i="63"/>
  <c r="AO281" i="63"/>
  <c r="AO294" i="63"/>
  <c r="AO347" i="63"/>
  <c r="AO376" i="63"/>
  <c r="AO61" i="63"/>
  <c r="AO123" i="63"/>
  <c r="AO152" i="63"/>
  <c r="AO169" i="63"/>
  <c r="AO146" i="63"/>
  <c r="AO111" i="63"/>
  <c r="AO278" i="63"/>
  <c r="AO160" i="63"/>
  <c r="AO293" i="63"/>
  <c r="AO225" i="63"/>
  <c r="AO134" i="63"/>
  <c r="AO139" i="63"/>
  <c r="AO301" i="63"/>
  <c r="AO88" i="63"/>
  <c r="AO140" i="63"/>
  <c r="AO317" i="63"/>
  <c r="AO327" i="63"/>
  <c r="AO372" i="63"/>
  <c r="AO377" i="63"/>
  <c r="AO220" i="63"/>
  <c r="AO76" i="63"/>
  <c r="AO354" i="63"/>
  <c r="AO100" i="63"/>
  <c r="AO206" i="63"/>
  <c r="AO211" i="63"/>
  <c r="AO240" i="63"/>
  <c r="AO59" i="63"/>
  <c r="AO290" i="63"/>
  <c r="AO350" i="63"/>
  <c r="AO373" i="63"/>
  <c r="AO297" i="63"/>
  <c r="AO221" i="63"/>
  <c r="Y17" i="63"/>
  <c r="AL17" i="63" s="1"/>
  <c r="BZ2" i="64"/>
  <c r="AO2" i="64"/>
  <c r="R108" i="63"/>
  <c r="T107" i="63"/>
  <c r="Q471" i="63" l="1"/>
  <c r="V471" i="63" s="1"/>
  <c r="M471" i="63"/>
  <c r="L471" i="63" s="1"/>
  <c r="AP471" i="63"/>
  <c r="AN471" i="63"/>
  <c r="AS471" i="63" s="1"/>
  <c r="BJ2" i="64"/>
  <c r="Y18" i="63"/>
  <c r="AL18" i="63" s="1"/>
  <c r="AJ17" i="63"/>
  <c r="R109" i="63"/>
  <c r="T108" i="63"/>
  <c r="P471" i="63" l="1"/>
  <c r="U471" i="63" s="1"/>
  <c r="Z471" i="63"/>
  <c r="AM471" i="63"/>
  <c r="AJ18" i="63"/>
  <c r="Y19" i="63"/>
  <c r="AL19" i="63" s="1"/>
  <c r="T109" i="63"/>
  <c r="R110" i="63"/>
  <c r="W471" i="63" l="1"/>
  <c r="AU471" i="63" s="1"/>
  <c r="AV471" i="63"/>
  <c r="N472" i="63"/>
  <c r="AO471" i="63"/>
  <c r="AT471" i="63"/>
  <c r="O472" i="63"/>
  <c r="Y20" i="63"/>
  <c r="AL20" i="63" s="1"/>
  <c r="AJ19" i="63"/>
  <c r="R111" i="63"/>
  <c r="T110" i="63"/>
  <c r="AP472" i="63" l="1"/>
  <c r="AN472" i="63"/>
  <c r="AS472" i="63" s="1"/>
  <c r="M472" i="63"/>
  <c r="L472" i="63" s="1"/>
  <c r="Q472" i="63"/>
  <c r="V472" i="63" s="1"/>
  <c r="AJ20" i="63"/>
  <c r="Y21" i="63"/>
  <c r="AL21" i="63" s="1"/>
  <c r="R112" i="63"/>
  <c r="T111" i="63"/>
  <c r="Z472" i="63" l="1"/>
  <c r="AM472" i="63"/>
  <c r="P472" i="63"/>
  <c r="Y22" i="63"/>
  <c r="AL22" i="63" s="1"/>
  <c r="AJ21" i="63"/>
  <c r="R113" i="63"/>
  <c r="T112" i="63"/>
  <c r="U472" i="63" l="1"/>
  <c r="W472" i="63"/>
  <c r="AJ22" i="63"/>
  <c r="Y23" i="63"/>
  <c r="AL23" i="63" s="1"/>
  <c r="T113" i="63"/>
  <c r="R114" i="63"/>
  <c r="AV472" i="63" l="1"/>
  <c r="AO472" i="63"/>
  <c r="N473" i="63"/>
  <c r="AT472" i="63"/>
  <c r="O473" i="63"/>
  <c r="AU472" i="63"/>
  <c r="Y24" i="63"/>
  <c r="AL24" i="63" s="1"/>
  <c r="AJ23" i="63"/>
  <c r="R115" i="63"/>
  <c r="T114" i="63"/>
  <c r="AP473" i="63" l="1"/>
  <c r="AN473" i="63"/>
  <c r="AS473" i="63" s="1"/>
  <c r="M473" i="63"/>
  <c r="L473" i="63" s="1"/>
  <c r="Q473" i="63"/>
  <c r="V473" i="63" s="1"/>
  <c r="Y25" i="63"/>
  <c r="AL25" i="63" s="1"/>
  <c r="AJ24" i="63"/>
  <c r="R116" i="63"/>
  <c r="T115" i="63"/>
  <c r="AM473" i="63" l="1"/>
  <c r="Z473" i="63"/>
  <c r="P473" i="63"/>
  <c r="Y26" i="63"/>
  <c r="AL26" i="63" s="1"/>
  <c r="AJ25" i="63"/>
  <c r="R117" i="63"/>
  <c r="T116" i="63"/>
  <c r="U473" i="63" l="1"/>
  <c r="W473" i="63"/>
  <c r="AJ26" i="63"/>
  <c r="Y27" i="63"/>
  <c r="AA27" i="63"/>
  <c r="T117" i="63"/>
  <c r="R118" i="63"/>
  <c r="AO473" i="63" l="1"/>
  <c r="N474" i="63"/>
  <c r="AV473" i="63"/>
  <c r="O474" i="63"/>
  <c r="AU473" i="63"/>
  <c r="AT473" i="63"/>
  <c r="AI27" i="63"/>
  <c r="AP27" i="63"/>
  <c r="AD27" i="63"/>
  <c r="AC27" i="63"/>
  <c r="AH27" i="63" s="1"/>
  <c r="R119" i="63"/>
  <c r="T118" i="63"/>
  <c r="Q474" i="63" l="1"/>
  <c r="V474" i="63" s="1"/>
  <c r="M474" i="63"/>
  <c r="L474" i="63" s="1"/>
  <c r="AP474" i="63"/>
  <c r="AN474" i="63"/>
  <c r="AS474" i="63" s="1"/>
  <c r="AB27" i="63"/>
  <c r="R120" i="63"/>
  <c r="T119" i="63"/>
  <c r="P474" i="63" l="1"/>
  <c r="U474" i="63" s="1"/>
  <c r="Z474" i="63"/>
  <c r="AM474" i="63"/>
  <c r="W474" i="63"/>
  <c r="AE27" i="63"/>
  <c r="AF27" i="63" s="1"/>
  <c r="AG27" i="63"/>
  <c r="AL27" i="63"/>
  <c r="R121" i="63"/>
  <c r="T120" i="63"/>
  <c r="O475" i="63" l="1"/>
  <c r="N475" i="63"/>
  <c r="AU474" i="63"/>
  <c r="AO474" i="63"/>
  <c r="AV474" i="63"/>
  <c r="AT474" i="63"/>
  <c r="AJ27" i="63"/>
  <c r="Y28" i="63"/>
  <c r="AA28" i="63"/>
  <c r="T121" i="63"/>
  <c r="R122" i="63"/>
  <c r="M475" i="63" l="1"/>
  <c r="L475" i="63" s="1"/>
  <c r="Q475" i="63"/>
  <c r="V475" i="63" s="1"/>
  <c r="AN475" i="63"/>
  <c r="AS475" i="63" s="1"/>
  <c r="AP475" i="63"/>
  <c r="AP28" i="63"/>
  <c r="AD28" i="63"/>
  <c r="AI28" i="63"/>
  <c r="AC28" i="63"/>
  <c r="AH28" i="63" s="1"/>
  <c r="R123" i="63"/>
  <c r="T122" i="63"/>
  <c r="P475" i="63" l="1"/>
  <c r="U475" i="63" s="1"/>
  <c r="AM475" i="63"/>
  <c r="Z475" i="63"/>
  <c r="AB28" i="63"/>
  <c r="R124" i="63"/>
  <c r="T123" i="63"/>
  <c r="W475" i="63" l="1"/>
  <c r="AO475" i="63" s="1"/>
  <c r="N476" i="63"/>
  <c r="AU475" i="63"/>
  <c r="O476" i="63"/>
  <c r="AV475" i="63"/>
  <c r="AT475" i="63"/>
  <c r="AG28" i="63"/>
  <c r="AE28" i="63"/>
  <c r="AF28" i="63" s="1"/>
  <c r="AL28" i="63"/>
  <c r="R125" i="63"/>
  <c r="T124" i="63"/>
  <c r="AN476" i="63" l="1"/>
  <c r="AS476" i="63" s="1"/>
  <c r="AP476" i="63"/>
  <c r="M476" i="63"/>
  <c r="L476" i="63" s="1"/>
  <c r="Q476" i="63"/>
  <c r="V476" i="63" s="1"/>
  <c r="AA29" i="63"/>
  <c r="Y29" i="63"/>
  <c r="AJ28" i="63"/>
  <c r="T125" i="63"/>
  <c r="R126" i="63"/>
  <c r="AM476" i="63" l="1"/>
  <c r="Z476" i="63"/>
  <c r="P476" i="63"/>
  <c r="AC29" i="63"/>
  <c r="AH29" i="63" s="1"/>
  <c r="AI29" i="63"/>
  <c r="AP29" i="63"/>
  <c r="AD29" i="63"/>
  <c r="R127" i="63"/>
  <c r="T126" i="63"/>
  <c r="U476" i="63" l="1"/>
  <c r="W476" i="63"/>
  <c r="AB29" i="63"/>
  <c r="AE29" i="63" s="1"/>
  <c r="AF29" i="63" s="1"/>
  <c r="R128" i="63"/>
  <c r="T127" i="63"/>
  <c r="AV476" i="63" l="1"/>
  <c r="AU476" i="63"/>
  <c r="N477" i="63"/>
  <c r="AO476" i="63"/>
  <c r="O477" i="63"/>
  <c r="AT476" i="63"/>
  <c r="AL29" i="63"/>
  <c r="Y30" i="63" s="1"/>
  <c r="AG29" i="63"/>
  <c r="R129" i="63"/>
  <c r="T128" i="63"/>
  <c r="AN477" i="63" l="1"/>
  <c r="AS477" i="63" s="1"/>
  <c r="AP477" i="63"/>
  <c r="Q477" i="63"/>
  <c r="V477" i="63" s="1"/>
  <c r="M477" i="63"/>
  <c r="L477" i="63" s="1"/>
  <c r="AJ29" i="63"/>
  <c r="AA30" i="63"/>
  <c r="AD30" i="63" s="1"/>
  <c r="AC30" i="63"/>
  <c r="AH30" i="63" s="1"/>
  <c r="T129" i="63"/>
  <c r="R130" i="63"/>
  <c r="P477" i="63" l="1"/>
  <c r="Z477" i="63"/>
  <c r="AM477" i="63"/>
  <c r="AP30" i="63"/>
  <c r="AI30" i="63"/>
  <c r="AB30" i="63"/>
  <c r="R131" i="63"/>
  <c r="T130" i="63"/>
  <c r="U477" i="63" l="1"/>
  <c r="W477" i="63"/>
  <c r="AG30" i="63"/>
  <c r="AE30" i="63"/>
  <c r="AF30" i="63" s="1"/>
  <c r="AL30" i="63"/>
  <c r="R132" i="63"/>
  <c r="T131" i="63"/>
  <c r="N478" i="63" l="1"/>
  <c r="AV477" i="63"/>
  <c r="AT477" i="63"/>
  <c r="O478" i="63"/>
  <c r="AO477" i="63"/>
  <c r="AU477" i="63"/>
  <c r="Y31" i="63"/>
  <c r="AJ30" i="63"/>
  <c r="AA31" i="63"/>
  <c r="R133" i="63"/>
  <c r="T132" i="63"/>
  <c r="AP478" i="63" l="1"/>
  <c r="AN478" i="63"/>
  <c r="AS478" i="63" s="1"/>
  <c r="Q478" i="63"/>
  <c r="V478" i="63" s="1"/>
  <c r="M478" i="63"/>
  <c r="L478" i="63" s="1"/>
  <c r="AI31" i="63"/>
  <c r="AD31" i="63"/>
  <c r="AP31" i="63"/>
  <c r="AC31" i="63"/>
  <c r="AH31" i="63" s="1"/>
  <c r="T133" i="63"/>
  <c r="R134" i="63"/>
  <c r="Z478" i="63" l="1"/>
  <c r="AM478" i="63"/>
  <c r="P478" i="63"/>
  <c r="AB31" i="63"/>
  <c r="R135" i="63"/>
  <c r="T134" i="63"/>
  <c r="U478" i="63" l="1"/>
  <c r="W478" i="63"/>
  <c r="AG31" i="63"/>
  <c r="AE31" i="63"/>
  <c r="AF31" i="63" s="1"/>
  <c r="AL31" i="63"/>
  <c r="R136" i="63"/>
  <c r="T135" i="63"/>
  <c r="AO478" i="63" l="1"/>
  <c r="O479" i="63"/>
  <c r="N479" i="63"/>
  <c r="AV478" i="63"/>
  <c r="AT478" i="63"/>
  <c r="AU478" i="63"/>
  <c r="AA32" i="63"/>
  <c r="Y32" i="63"/>
  <c r="AJ31" i="63"/>
  <c r="R137" i="63"/>
  <c r="T136" i="63"/>
  <c r="Q479" i="63" l="1"/>
  <c r="V479" i="63" s="1"/>
  <c r="M479" i="63"/>
  <c r="L479" i="63" s="1"/>
  <c r="AP479" i="63"/>
  <c r="AN479" i="63"/>
  <c r="AS479" i="63" s="1"/>
  <c r="AC32" i="63"/>
  <c r="AH32" i="63" s="1"/>
  <c r="AI32" i="63"/>
  <c r="AP32" i="63"/>
  <c r="AD32" i="63"/>
  <c r="T137" i="63"/>
  <c r="R138" i="63"/>
  <c r="P479" i="63" l="1"/>
  <c r="U479" i="63" s="1"/>
  <c r="Z479" i="63"/>
  <c r="AM479" i="63"/>
  <c r="AB32" i="63"/>
  <c r="AG32" i="63" s="1"/>
  <c r="R139" i="63"/>
  <c r="T138" i="63"/>
  <c r="W479" i="63" l="1"/>
  <c r="O480" i="63" s="1"/>
  <c r="AE32" i="63"/>
  <c r="AF32" i="63" s="1"/>
  <c r="AL32" i="63"/>
  <c r="AJ32" i="63" s="1"/>
  <c r="R140" i="63"/>
  <c r="T139" i="63"/>
  <c r="AT479" i="63" l="1"/>
  <c r="N480" i="63"/>
  <c r="AU479" i="63"/>
  <c r="AO479" i="63"/>
  <c r="AV479" i="63"/>
  <c r="Q480" i="63"/>
  <c r="V480" i="63" s="1"/>
  <c r="M480" i="63"/>
  <c r="L480" i="63" s="1"/>
  <c r="AP480" i="63"/>
  <c r="AN480" i="63"/>
  <c r="AS480" i="63" s="1"/>
  <c r="AA33" i="63"/>
  <c r="AI33" i="63" s="1"/>
  <c r="Y33" i="63"/>
  <c r="AC33" i="63" s="1"/>
  <c r="AH33" i="63" s="1"/>
  <c r="R141" i="63"/>
  <c r="T140" i="63"/>
  <c r="P480" i="63" l="1"/>
  <c r="U480" i="63" s="1"/>
  <c r="Z480" i="63"/>
  <c r="AM480" i="63"/>
  <c r="AP33" i="63"/>
  <c r="AD33" i="63"/>
  <c r="AB33" i="63"/>
  <c r="T141" i="63"/>
  <c r="R142" i="63"/>
  <c r="W480" i="63" l="1"/>
  <c r="AT480" i="63" s="1"/>
  <c r="O481" i="63"/>
  <c r="AV480" i="63"/>
  <c r="N481" i="63"/>
  <c r="AO480" i="63"/>
  <c r="AU480" i="63"/>
  <c r="AG33" i="63"/>
  <c r="AE33" i="63"/>
  <c r="AF33" i="63" s="1"/>
  <c r="AL33" i="63"/>
  <c r="R143" i="63"/>
  <c r="T142" i="63"/>
  <c r="M481" i="63" l="1"/>
  <c r="L481" i="63" s="1"/>
  <c r="Q481" i="63"/>
  <c r="V481" i="63" s="1"/>
  <c r="AN481" i="63"/>
  <c r="AS481" i="63" s="1"/>
  <c r="AP481" i="63"/>
  <c r="AA34" i="63"/>
  <c r="Y34" i="63"/>
  <c r="AJ33" i="63"/>
  <c r="R144" i="63"/>
  <c r="T143" i="63"/>
  <c r="P481" i="63" l="1"/>
  <c r="U481" i="63" s="1"/>
  <c r="Z481" i="63"/>
  <c r="AM481" i="63"/>
  <c r="AC34" i="63"/>
  <c r="AH34" i="63" s="1"/>
  <c r="AI34" i="63"/>
  <c r="AP34" i="63"/>
  <c r="AD34" i="63"/>
  <c r="R145" i="63"/>
  <c r="T144" i="63"/>
  <c r="W481" i="63" l="1"/>
  <c r="AV481" i="63" s="1"/>
  <c r="O482" i="63"/>
  <c r="AU481" i="63"/>
  <c r="AT481" i="63"/>
  <c r="N482" i="63"/>
  <c r="AO481" i="63"/>
  <c r="AB34" i="63"/>
  <c r="T145" i="63"/>
  <c r="R146" i="63"/>
  <c r="Q482" i="63" l="1"/>
  <c r="V482" i="63" s="1"/>
  <c r="M482" i="63"/>
  <c r="L482" i="63" s="1"/>
  <c r="AN482" i="63"/>
  <c r="AS482" i="63" s="1"/>
  <c r="P482" i="63"/>
  <c r="U482" i="63" s="1"/>
  <c r="AP482" i="63"/>
  <c r="AE34" i="63"/>
  <c r="AF34" i="63" s="1"/>
  <c r="AG34" i="63"/>
  <c r="AL34" i="63"/>
  <c r="R147" i="63"/>
  <c r="T146" i="63"/>
  <c r="W482" i="63" l="1"/>
  <c r="Z482" i="63"/>
  <c r="AM482" i="63"/>
  <c r="AA35" i="63"/>
  <c r="Y35" i="63"/>
  <c r="AJ34" i="63"/>
  <c r="R148" i="63"/>
  <c r="T147" i="63"/>
  <c r="AV482" i="63" l="1"/>
  <c r="AT482" i="63"/>
  <c r="O483" i="63"/>
  <c r="N483" i="63"/>
  <c r="AO482" i="63"/>
  <c r="AU482" i="63"/>
  <c r="AC35" i="63"/>
  <c r="AH35" i="63" s="1"/>
  <c r="AI35" i="63"/>
  <c r="AP35" i="63"/>
  <c r="AD35" i="63"/>
  <c r="R149" i="63"/>
  <c r="T148" i="63"/>
  <c r="Q483" i="63" l="1"/>
  <c r="V483" i="63" s="1"/>
  <c r="M483" i="63"/>
  <c r="L483" i="63" s="1"/>
  <c r="AP483" i="63"/>
  <c r="AN483" i="63"/>
  <c r="AS483" i="63" s="1"/>
  <c r="AB35" i="63"/>
  <c r="AE35" i="63" s="1"/>
  <c r="AF35" i="63" s="1"/>
  <c r="T149" i="63"/>
  <c r="R150" i="63"/>
  <c r="P483" i="63" l="1"/>
  <c r="U483" i="63" s="1"/>
  <c r="Z483" i="63"/>
  <c r="AM483" i="63"/>
  <c r="W483" i="63"/>
  <c r="AG35" i="63"/>
  <c r="AL35" i="63"/>
  <c r="AA36" i="63" s="1"/>
  <c r="R151" i="63"/>
  <c r="T150" i="63"/>
  <c r="N484" i="63" l="1"/>
  <c r="AU483" i="63"/>
  <c r="AO483" i="63"/>
  <c r="AV483" i="63"/>
  <c r="AT483" i="63"/>
  <c r="O484" i="63"/>
  <c r="Y36" i="63"/>
  <c r="AC36" i="63" s="1"/>
  <c r="AH36" i="63" s="1"/>
  <c r="AJ35" i="63"/>
  <c r="AI36" i="63"/>
  <c r="AP36" i="63"/>
  <c r="AD36" i="63"/>
  <c r="R152" i="63"/>
  <c r="T151" i="63"/>
  <c r="AN484" i="63" l="1"/>
  <c r="AS484" i="63" s="1"/>
  <c r="AP484" i="63"/>
  <c r="M484" i="63"/>
  <c r="L484" i="63" s="1"/>
  <c r="Q484" i="63"/>
  <c r="V484" i="63" s="1"/>
  <c r="AB36" i="63"/>
  <c r="AE36" i="63" s="1"/>
  <c r="AF36" i="63" s="1"/>
  <c r="R153" i="63"/>
  <c r="T152" i="63"/>
  <c r="AM484" i="63" l="1"/>
  <c r="Z484" i="63"/>
  <c r="P484" i="63"/>
  <c r="AG36" i="63"/>
  <c r="AI8" i="63"/>
  <c r="AI9" i="63" s="1"/>
  <c r="AL36" i="63"/>
  <c r="Y37" i="63" s="1"/>
  <c r="T153" i="63"/>
  <c r="R154" i="63"/>
  <c r="U484" i="63" l="1"/>
  <c r="W484" i="63"/>
  <c r="AJ36" i="63"/>
  <c r="AA37" i="63"/>
  <c r="AI37" i="63" s="1"/>
  <c r="AR10" i="63"/>
  <c r="AR9" i="63"/>
  <c r="AS5" i="63"/>
  <c r="AR6" i="63"/>
  <c r="AU5" i="63"/>
  <c r="AT4" i="63"/>
  <c r="AI11" i="63"/>
  <c r="AR4" i="63"/>
  <c r="AJ10" i="63"/>
  <c r="AI10" i="63"/>
  <c r="AU4" i="63"/>
  <c r="AS4" i="63"/>
  <c r="AS6" i="63"/>
  <c r="AT6" i="63"/>
  <c r="AR5" i="63"/>
  <c r="AU6" i="63"/>
  <c r="AT5" i="63"/>
  <c r="AC37" i="63"/>
  <c r="AH37" i="63" s="1"/>
  <c r="AP37" i="63"/>
  <c r="AD37" i="63"/>
  <c r="R155" i="63"/>
  <c r="T154" i="63"/>
  <c r="AU484" i="63" l="1"/>
  <c r="AV484" i="63"/>
  <c r="AO484" i="63"/>
  <c r="O485" i="63"/>
  <c r="AT484" i="63"/>
  <c r="N485" i="63"/>
  <c r="AI12" i="63"/>
  <c r="AR11" i="63"/>
  <c r="AU7" i="63"/>
  <c r="AT7" i="63"/>
  <c r="AS7" i="63"/>
  <c r="AR7" i="63"/>
  <c r="AB37" i="63"/>
  <c r="AE37" i="63" s="1"/>
  <c r="AF37" i="63" s="1"/>
  <c r="R156" i="63"/>
  <c r="T155" i="63"/>
  <c r="Q485" i="63" l="1"/>
  <c r="V485" i="63" s="1"/>
  <c r="M485" i="63"/>
  <c r="L485" i="63" s="1"/>
  <c r="AN485" i="63"/>
  <c r="AS485" i="63" s="1"/>
  <c r="AP485" i="63"/>
  <c r="AL37" i="63"/>
  <c r="Y38" i="63" s="1"/>
  <c r="AG37" i="63"/>
  <c r="R157" i="63"/>
  <c r="T156" i="63"/>
  <c r="P485" i="63" l="1"/>
  <c r="U485" i="63" s="1"/>
  <c r="Z485" i="63"/>
  <c r="AM485" i="63"/>
  <c r="AA38" i="63"/>
  <c r="AP38" i="63" s="1"/>
  <c r="AJ37" i="63"/>
  <c r="AC38" i="63"/>
  <c r="AH38" i="63" s="1"/>
  <c r="T157" i="63"/>
  <c r="R158" i="63"/>
  <c r="W485" i="63" l="1"/>
  <c r="AI38" i="63"/>
  <c r="AD38" i="63"/>
  <c r="AO485" i="63"/>
  <c r="AV485" i="63"/>
  <c r="AU485" i="63"/>
  <c r="AT485" i="63"/>
  <c r="O486" i="63"/>
  <c r="N486" i="63"/>
  <c r="AB38" i="63"/>
  <c r="R159" i="63"/>
  <c r="T158" i="63"/>
  <c r="M486" i="63" l="1"/>
  <c r="L486" i="63" s="1"/>
  <c r="Q486" i="63"/>
  <c r="V486" i="63" s="1"/>
  <c r="AN486" i="63"/>
  <c r="AS486" i="63" s="1"/>
  <c r="AP486" i="63"/>
  <c r="AE38" i="63"/>
  <c r="AF38" i="63" s="1"/>
  <c r="AG38" i="63"/>
  <c r="AL38" i="63"/>
  <c r="R160" i="63"/>
  <c r="T159" i="63"/>
  <c r="P486" i="63" l="1"/>
  <c r="U486" i="63" s="1"/>
  <c r="Z486" i="63"/>
  <c r="AM486" i="63"/>
  <c r="AA39" i="63"/>
  <c r="Y39" i="63"/>
  <c r="AJ38" i="63"/>
  <c r="R161" i="63"/>
  <c r="T160" i="63"/>
  <c r="W486" i="63" l="1"/>
  <c r="AU486" i="63" s="1"/>
  <c r="AC39" i="63"/>
  <c r="AH39" i="63" s="1"/>
  <c r="AI39" i="63"/>
  <c r="AP39" i="63"/>
  <c r="AD39" i="63"/>
  <c r="T161" i="63"/>
  <c r="R162" i="63"/>
  <c r="AO486" i="63" l="1"/>
  <c r="AT486" i="63"/>
  <c r="N487" i="63"/>
  <c r="AV486" i="63"/>
  <c r="O487" i="63"/>
  <c r="AB39" i="63"/>
  <c r="AG39" i="63" s="1"/>
  <c r="R163" i="63"/>
  <c r="T162" i="63"/>
  <c r="AN487" i="63" l="1"/>
  <c r="AS487" i="63" s="1"/>
  <c r="AP487" i="63"/>
  <c r="Q487" i="63"/>
  <c r="V487" i="63" s="1"/>
  <c r="M487" i="63"/>
  <c r="L487" i="63" s="1"/>
  <c r="AL39" i="63"/>
  <c r="AA40" i="63" s="1"/>
  <c r="AE39" i="63"/>
  <c r="AF39" i="63" s="1"/>
  <c r="R164" i="63"/>
  <c r="T163" i="63"/>
  <c r="AM487" i="63" l="1"/>
  <c r="Z487" i="63"/>
  <c r="P487" i="63"/>
  <c r="AJ39" i="63"/>
  <c r="Y40" i="63"/>
  <c r="AC40" i="63" s="1"/>
  <c r="AH40" i="63" s="1"/>
  <c r="AI40" i="63"/>
  <c r="AD40" i="63"/>
  <c r="AP40" i="63"/>
  <c r="R165" i="63"/>
  <c r="T164" i="63"/>
  <c r="U487" i="63" l="1"/>
  <c r="W487" i="63"/>
  <c r="AB40" i="63"/>
  <c r="AG40" i="63" s="1"/>
  <c r="T165" i="63"/>
  <c r="R166" i="63"/>
  <c r="AU487" i="63" l="1"/>
  <c r="AO487" i="63"/>
  <c r="N488" i="63"/>
  <c r="AT487" i="63"/>
  <c r="O488" i="63"/>
  <c r="AV487" i="63"/>
  <c r="AL40" i="63"/>
  <c r="AJ40" i="63" s="1"/>
  <c r="AE40" i="63"/>
  <c r="AF40" i="63" s="1"/>
  <c r="R167" i="63"/>
  <c r="T166" i="63"/>
  <c r="AN488" i="63" l="1"/>
  <c r="AS488" i="63" s="1"/>
  <c r="AP488" i="63"/>
  <c r="M488" i="63"/>
  <c r="L488" i="63" s="1"/>
  <c r="Q488" i="63"/>
  <c r="V488" i="63" s="1"/>
  <c r="Y41" i="63"/>
  <c r="AC41" i="63" s="1"/>
  <c r="AH41" i="63" s="1"/>
  <c r="AA41" i="63"/>
  <c r="AD41" i="63" s="1"/>
  <c r="R168" i="63"/>
  <c r="T167" i="63"/>
  <c r="Z488" i="63" l="1"/>
  <c r="AM488" i="63"/>
  <c r="P488" i="63"/>
  <c r="AP41" i="63"/>
  <c r="AI41" i="63"/>
  <c r="AB41" i="63"/>
  <c r="R169" i="63"/>
  <c r="T168" i="63"/>
  <c r="U488" i="63" l="1"/>
  <c r="W488" i="63"/>
  <c r="AG41" i="63"/>
  <c r="AE41" i="63"/>
  <c r="AF41" i="63" s="1"/>
  <c r="AL41" i="63"/>
  <c r="T169" i="63"/>
  <c r="R170" i="63"/>
  <c r="AU488" i="63" l="1"/>
  <c r="N489" i="63"/>
  <c r="AT488" i="63"/>
  <c r="AO488" i="63"/>
  <c r="AV488" i="63"/>
  <c r="O489" i="63"/>
  <c r="AA42" i="63"/>
  <c r="Y42" i="63"/>
  <c r="AJ41" i="63"/>
  <c r="R171" i="63"/>
  <c r="T170" i="63"/>
  <c r="AP489" i="63" l="1"/>
  <c r="AN489" i="63"/>
  <c r="AS489" i="63" s="1"/>
  <c r="M489" i="63"/>
  <c r="L489" i="63" s="1"/>
  <c r="Q489" i="63"/>
  <c r="V489" i="63" s="1"/>
  <c r="AC42" i="63"/>
  <c r="AH42" i="63" s="1"/>
  <c r="AI42" i="63"/>
  <c r="AP42" i="63"/>
  <c r="AD42" i="63"/>
  <c r="R172" i="63"/>
  <c r="T171" i="63"/>
  <c r="AM489" i="63" l="1"/>
  <c r="Z489" i="63"/>
  <c r="P489" i="63"/>
  <c r="AB42" i="63"/>
  <c r="AE42" i="63" s="1"/>
  <c r="AF42" i="63" s="1"/>
  <c r="R173" i="63"/>
  <c r="T172" i="63"/>
  <c r="U489" i="63" l="1"/>
  <c r="W489" i="63"/>
  <c r="AL42" i="63"/>
  <c r="Y43" i="63" s="1"/>
  <c r="AG42" i="63"/>
  <c r="T173" i="63"/>
  <c r="R174" i="63"/>
  <c r="O490" i="63" l="1"/>
  <c r="AO489" i="63"/>
  <c r="AT489" i="63"/>
  <c r="AV489" i="63"/>
  <c r="AU489" i="63"/>
  <c r="N490" i="63"/>
  <c r="AJ42" i="63"/>
  <c r="AA43" i="63"/>
  <c r="AI43" i="63" s="1"/>
  <c r="AC43" i="63"/>
  <c r="AH43" i="63" s="1"/>
  <c r="R175" i="63"/>
  <c r="T174" i="63"/>
  <c r="Q490" i="63" l="1"/>
  <c r="V490" i="63" s="1"/>
  <c r="M490" i="63"/>
  <c r="L490" i="63" s="1"/>
  <c r="AP490" i="63"/>
  <c r="AN490" i="63"/>
  <c r="AS490" i="63" s="1"/>
  <c r="AP43" i="63"/>
  <c r="AD43" i="63"/>
  <c r="AB43" i="63"/>
  <c r="R176" i="63"/>
  <c r="T175" i="63"/>
  <c r="P490" i="63" l="1"/>
  <c r="U490" i="63" s="1"/>
  <c r="Z490" i="63"/>
  <c r="AM490" i="63"/>
  <c r="W490" i="63"/>
  <c r="AE43" i="63"/>
  <c r="AF43" i="63" s="1"/>
  <c r="AG43" i="63"/>
  <c r="AL43" i="63"/>
  <c r="R177" i="63"/>
  <c r="T176" i="63"/>
  <c r="O491" i="63" l="1"/>
  <c r="N491" i="63"/>
  <c r="AO490" i="63"/>
  <c r="AT490" i="63"/>
  <c r="AV490" i="63"/>
  <c r="AU490" i="63"/>
  <c r="Y44" i="63"/>
  <c r="AJ43" i="63"/>
  <c r="AA44" i="63"/>
  <c r="T177" i="63"/>
  <c r="R178" i="63"/>
  <c r="M491" i="63" l="1"/>
  <c r="L491" i="63" s="1"/>
  <c r="Q491" i="63"/>
  <c r="V491" i="63" s="1"/>
  <c r="AN491" i="63"/>
  <c r="AS491" i="63" s="1"/>
  <c r="AP491" i="63"/>
  <c r="AI44" i="63"/>
  <c r="AD44" i="63"/>
  <c r="AP44" i="63"/>
  <c r="AC44" i="63"/>
  <c r="AH44" i="63" s="1"/>
  <c r="R179" i="63"/>
  <c r="T178" i="63"/>
  <c r="P491" i="63" l="1"/>
  <c r="U491" i="63" s="1"/>
  <c r="W491" i="63"/>
  <c r="AM491" i="63"/>
  <c r="Z491" i="63"/>
  <c r="AB44" i="63"/>
  <c r="R180" i="63"/>
  <c r="T179" i="63"/>
  <c r="AO491" i="63" l="1"/>
  <c r="AT491" i="63"/>
  <c r="AU491" i="63"/>
  <c r="AV491" i="63"/>
  <c r="AG44" i="63"/>
  <c r="AE44" i="63"/>
  <c r="AF44" i="63" s="1"/>
  <c r="AL44" i="63"/>
  <c r="R181" i="63"/>
  <c r="T180" i="63"/>
  <c r="Y45" i="63" l="1"/>
  <c r="AJ44" i="63"/>
  <c r="AA45" i="63"/>
  <c r="T181" i="63"/>
  <c r="R182" i="63"/>
  <c r="AI45" i="63" l="1"/>
  <c r="AP45" i="63"/>
  <c r="AD45" i="63"/>
  <c r="AC45" i="63"/>
  <c r="AH45" i="63" s="1"/>
  <c r="R183" i="63"/>
  <c r="T182" i="63"/>
  <c r="AB45" i="63" l="1"/>
  <c r="R184" i="63"/>
  <c r="T183" i="63"/>
  <c r="AG45" i="63" l="1"/>
  <c r="AE45" i="63"/>
  <c r="AF45" i="63" s="1"/>
  <c r="AL45" i="63"/>
  <c r="R185" i="63"/>
  <c r="T184" i="63"/>
  <c r="AJ45" i="63" l="1"/>
  <c r="Y46" i="63"/>
  <c r="AA46" i="63"/>
  <c r="T185" i="63"/>
  <c r="R186" i="63"/>
  <c r="AI46" i="63" l="1"/>
  <c r="AP46" i="63"/>
  <c r="AD46" i="63"/>
  <c r="AC46" i="63"/>
  <c r="AH46" i="63" s="1"/>
  <c r="R187" i="63"/>
  <c r="T186" i="63"/>
  <c r="AB46" i="63" l="1"/>
  <c r="R188" i="63"/>
  <c r="T187" i="63"/>
  <c r="AE46" i="63" l="1"/>
  <c r="AF46" i="63" s="1"/>
  <c r="AG46" i="63"/>
  <c r="AL46" i="63"/>
  <c r="R189" i="63"/>
  <c r="T188" i="63"/>
  <c r="AJ46" i="63" l="1"/>
  <c r="AA47" i="63"/>
  <c r="Y47" i="63"/>
  <c r="T189" i="63"/>
  <c r="R190" i="63"/>
  <c r="AC47" i="63" l="1"/>
  <c r="AH47" i="63" s="1"/>
  <c r="AI47" i="63"/>
  <c r="AP47" i="63"/>
  <c r="AD47" i="63"/>
  <c r="R191" i="63"/>
  <c r="T190" i="63"/>
  <c r="AB47" i="63" l="1"/>
  <c r="R192" i="63"/>
  <c r="T191" i="63"/>
  <c r="AE47" i="63" l="1"/>
  <c r="AF47" i="63" s="1"/>
  <c r="AG47" i="63"/>
  <c r="AL47" i="63"/>
  <c r="R193" i="63"/>
  <c r="T192" i="63"/>
  <c r="AJ47" i="63" l="1"/>
  <c r="AA48" i="63"/>
  <c r="Y48" i="63"/>
  <c r="T193" i="63"/>
  <c r="R194" i="63"/>
  <c r="AC48" i="63" l="1"/>
  <c r="AH48" i="63" s="1"/>
  <c r="AI48" i="63"/>
  <c r="AP48" i="63"/>
  <c r="AD48" i="63"/>
  <c r="R195" i="63"/>
  <c r="T194" i="63"/>
  <c r="AB48" i="63" l="1"/>
  <c r="AE48" i="63" s="1"/>
  <c r="AF48" i="63" s="1"/>
  <c r="R196" i="63"/>
  <c r="T195" i="63"/>
  <c r="AL48" i="63" l="1"/>
  <c r="AJ48" i="63" s="1"/>
  <c r="AG48" i="63"/>
  <c r="AA49" i="63"/>
  <c r="Y49" i="63"/>
  <c r="R197" i="63"/>
  <c r="T196" i="63"/>
  <c r="AC49" i="63" l="1"/>
  <c r="AH49" i="63" s="1"/>
  <c r="AI49" i="63"/>
  <c r="AP49" i="63"/>
  <c r="AD49" i="63"/>
  <c r="T197" i="63"/>
  <c r="R198" i="63"/>
  <c r="AB49" i="63" l="1"/>
  <c r="AE49" i="63" s="1"/>
  <c r="AF49" i="63" s="1"/>
  <c r="R199" i="63"/>
  <c r="T198" i="63"/>
  <c r="AL49" i="63" l="1"/>
  <c r="AJ49" i="63" s="1"/>
  <c r="AG49" i="63"/>
  <c r="R200" i="63"/>
  <c r="T199" i="63"/>
  <c r="Y50" i="63" l="1"/>
  <c r="AC50" i="63" s="1"/>
  <c r="AH50" i="63" s="1"/>
  <c r="AA50" i="63"/>
  <c r="AI50" i="63" s="1"/>
  <c r="R201" i="63"/>
  <c r="T200" i="63"/>
  <c r="AD50" i="63" l="1"/>
  <c r="AP50" i="63"/>
  <c r="AB50" i="63"/>
  <c r="T201" i="63"/>
  <c r="R202" i="63"/>
  <c r="AE50" i="63" l="1"/>
  <c r="AF50" i="63" s="1"/>
  <c r="AG50" i="63"/>
  <c r="AL50" i="63"/>
  <c r="R203" i="63"/>
  <c r="T202" i="63"/>
  <c r="AA51" i="63" l="1"/>
  <c r="Y51" i="63"/>
  <c r="AC51" i="63" s="1"/>
  <c r="AH51" i="63" s="1"/>
  <c r="AJ50" i="63"/>
  <c r="R204" i="63"/>
  <c r="T203" i="63"/>
  <c r="AI51" i="63" l="1"/>
  <c r="AP51" i="63"/>
  <c r="AD51" i="63"/>
  <c r="AB51" i="63"/>
  <c r="R205" i="63"/>
  <c r="T204" i="63"/>
  <c r="AL51" i="63" l="1"/>
  <c r="AG51" i="63"/>
  <c r="AE51" i="63"/>
  <c r="AF51" i="63" s="1"/>
  <c r="T205" i="63"/>
  <c r="R206" i="63"/>
  <c r="AA52" i="63" l="1"/>
  <c r="Y52" i="63"/>
  <c r="AJ51" i="63"/>
  <c r="R207" i="63"/>
  <c r="T206" i="63"/>
  <c r="AC52" i="63" l="1"/>
  <c r="AH52" i="63" s="1"/>
  <c r="AP52" i="63"/>
  <c r="AD52" i="63"/>
  <c r="AI52" i="63"/>
  <c r="R208" i="63"/>
  <c r="T207" i="63"/>
  <c r="AB52" i="63" l="1"/>
  <c r="AE52" i="63" s="1"/>
  <c r="AF52" i="63" s="1"/>
  <c r="R209" i="63"/>
  <c r="T208" i="63"/>
  <c r="AL52" i="63" l="1"/>
  <c r="Y53" i="63" s="1"/>
  <c r="AG52" i="63"/>
  <c r="T209" i="63"/>
  <c r="R210" i="63"/>
  <c r="AJ52" i="63" l="1"/>
  <c r="AA53" i="63"/>
  <c r="AI53" i="63" s="1"/>
  <c r="AC53" i="63"/>
  <c r="AH53" i="63" s="1"/>
  <c r="R211" i="63"/>
  <c r="T210" i="63"/>
  <c r="AD53" i="63" l="1"/>
  <c r="AP53" i="63"/>
  <c r="AB53" i="63"/>
  <c r="R212" i="63"/>
  <c r="T211" i="63"/>
  <c r="AE53" i="63" l="1"/>
  <c r="AF53" i="63" s="1"/>
  <c r="AG53" i="63"/>
  <c r="AL53" i="63"/>
  <c r="R213" i="63"/>
  <c r="T212" i="63"/>
  <c r="AA54" i="63" l="1"/>
  <c r="Y54" i="63"/>
  <c r="AJ53" i="63"/>
  <c r="T213" i="63"/>
  <c r="R214" i="63"/>
  <c r="AC54" i="63" l="1"/>
  <c r="AH54" i="63" s="1"/>
  <c r="AI54" i="63"/>
  <c r="AP54" i="63"/>
  <c r="AD54" i="63"/>
  <c r="R215" i="63"/>
  <c r="T214" i="63"/>
  <c r="AB54" i="63" l="1"/>
  <c r="AE54" i="63" s="1"/>
  <c r="AF54" i="63" s="1"/>
  <c r="R216" i="63"/>
  <c r="T215" i="63"/>
  <c r="AL54" i="63" l="1"/>
  <c r="Y55" i="63" s="1"/>
  <c r="AG54" i="63"/>
  <c r="R217" i="63"/>
  <c r="T216" i="63"/>
  <c r="AA55" i="63" l="1"/>
  <c r="AI55" i="63" s="1"/>
  <c r="AJ54" i="63"/>
  <c r="AC55" i="63"/>
  <c r="AH55" i="63" s="1"/>
  <c r="T217" i="63"/>
  <c r="R218" i="63"/>
  <c r="AD55" i="63" l="1"/>
  <c r="AP55" i="63"/>
  <c r="AB55" i="63"/>
  <c r="R219" i="63"/>
  <c r="T218" i="63"/>
  <c r="AE55" i="63" l="1"/>
  <c r="AF55" i="63" s="1"/>
  <c r="AG55" i="63"/>
  <c r="AL55" i="63"/>
  <c r="R220" i="63"/>
  <c r="T219" i="63"/>
  <c r="AA56" i="63" l="1"/>
  <c r="Y56" i="63"/>
  <c r="AJ55" i="63"/>
  <c r="R221" i="63"/>
  <c r="T220" i="63"/>
  <c r="AC56" i="63" l="1"/>
  <c r="AH56" i="63" s="1"/>
  <c r="AP56" i="63"/>
  <c r="AD56" i="63"/>
  <c r="AI56" i="63"/>
  <c r="T221" i="63"/>
  <c r="R222" i="63"/>
  <c r="AB56" i="63" l="1"/>
  <c r="AL56" i="63" s="1"/>
  <c r="AA57" i="63" s="1"/>
  <c r="R223" i="63"/>
  <c r="T222" i="63"/>
  <c r="AG56" i="63" l="1"/>
  <c r="AE56" i="63"/>
  <c r="AF56" i="63" s="1"/>
  <c r="Y57" i="63"/>
  <c r="AC57" i="63" s="1"/>
  <c r="AH57" i="63" s="1"/>
  <c r="AJ56" i="63"/>
  <c r="AP57" i="63"/>
  <c r="AD57" i="63"/>
  <c r="AI57" i="63"/>
  <c r="R224" i="63"/>
  <c r="T223" i="63"/>
  <c r="AB57" i="63" l="1"/>
  <c r="AE57" i="63" s="1"/>
  <c r="AF57" i="63" s="1"/>
  <c r="R225" i="63"/>
  <c r="T224" i="63"/>
  <c r="AL57" i="63" l="1"/>
  <c r="Y58" i="63" s="1"/>
  <c r="AG57" i="63"/>
  <c r="T225" i="63"/>
  <c r="R226" i="63"/>
  <c r="AA58" i="63" l="1"/>
  <c r="AD58" i="63" s="1"/>
  <c r="AJ57" i="63"/>
  <c r="AC58" i="63"/>
  <c r="AH58" i="63" s="1"/>
  <c r="R227" i="63"/>
  <c r="T226" i="63"/>
  <c r="AI58" i="63" l="1"/>
  <c r="AP58" i="63"/>
  <c r="AB58" i="63"/>
  <c r="AG58" i="63" s="1"/>
  <c r="R228" i="63"/>
  <c r="T227" i="63"/>
  <c r="AL58" i="63" l="1"/>
  <c r="AA59" i="63" s="1"/>
  <c r="AE58" i="63"/>
  <c r="AF58" i="63" s="1"/>
  <c r="R229" i="63"/>
  <c r="T228" i="63"/>
  <c r="Y59" i="63" l="1"/>
  <c r="AC59" i="63" s="1"/>
  <c r="AH59" i="63" s="1"/>
  <c r="AJ58" i="63"/>
  <c r="AD59" i="63"/>
  <c r="AI59" i="63"/>
  <c r="AP59" i="63"/>
  <c r="T229" i="63"/>
  <c r="R230" i="63"/>
  <c r="AB59" i="63" l="1"/>
  <c r="AL59" i="63" s="1"/>
  <c r="AJ59" i="63" s="1"/>
  <c r="R231" i="63"/>
  <c r="T230" i="63"/>
  <c r="AG59" i="63" l="1"/>
  <c r="AE59" i="63"/>
  <c r="AF59" i="63" s="1"/>
  <c r="Y60" i="63"/>
  <c r="AC60" i="63" s="1"/>
  <c r="AH60" i="63" s="1"/>
  <c r="AA60"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R232" i="63"/>
  <c r="T231" i="63"/>
  <c r="AP60" i="63" l="1"/>
  <c r="AI60" i="63"/>
  <c r="AB60" i="63"/>
  <c r="AD493" i="63"/>
  <c r="R233" i="63"/>
  <c r="T232" i="63"/>
  <c r="AD494" i="63" l="1"/>
  <c r="AG60" i="63"/>
  <c r="AE60" i="63"/>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L60" i="63"/>
  <c r="T233" i="63"/>
  <c r="R234" i="63"/>
  <c r="AF60" i="63" l="1"/>
  <c r="AE493" i="63"/>
  <c r="AF492" i="63"/>
  <c r="AA61" i="63"/>
  <c r="Y61" i="63"/>
  <c r="AJ60" i="63"/>
  <c r="AK60" i="63" s="1"/>
  <c r="AD495" i="63"/>
  <c r="R235" i="63"/>
  <c r="T234" i="63"/>
  <c r="AD496" i="63" l="1"/>
  <c r="AC61" i="63"/>
  <c r="AH61" i="63" s="1"/>
  <c r="AP61" i="63"/>
  <c r="AI61" i="63"/>
  <c r="AE494" i="63"/>
  <c r="AF493" i="63"/>
  <c r="R236" i="63"/>
  <c r="T235" i="63"/>
  <c r="AB61" i="63" l="1"/>
  <c r="AG61" i="63" s="1"/>
  <c r="AE495" i="63"/>
  <c r="AF494" i="63"/>
  <c r="AD497" i="63"/>
  <c r="R237" i="63"/>
  <c r="T236" i="63"/>
  <c r="AF61" i="63" l="1"/>
  <c r="AL61" i="63"/>
  <c r="AD498" i="63"/>
  <c r="AA62" i="63"/>
  <c r="AJ61" i="63"/>
  <c r="AK61" i="63" s="1"/>
  <c r="Y62" i="63"/>
  <c r="AC62" i="63" s="1"/>
  <c r="AH62" i="63" s="1"/>
  <c r="AE496" i="63"/>
  <c r="AF495" i="63"/>
  <c r="T237" i="63"/>
  <c r="R238" i="63"/>
  <c r="AE497" i="63" l="1"/>
  <c r="AF496" i="63"/>
  <c r="AI62" i="63"/>
  <c r="AP62" i="63"/>
  <c r="AB62" i="63"/>
  <c r="AD499" i="63"/>
  <c r="R239" i="63"/>
  <c r="T238" i="63"/>
  <c r="AE498" i="63" l="1"/>
  <c r="AF497" i="63"/>
  <c r="AD500" i="63"/>
  <c r="AL62" i="63"/>
  <c r="AF62" i="63"/>
  <c r="AG62" i="63"/>
  <c r="R240" i="63"/>
  <c r="T239" i="63"/>
  <c r="AJ62" i="63" l="1"/>
  <c r="AK62" i="63" s="1"/>
  <c r="AA63" i="63"/>
  <c r="Y63" i="63"/>
  <c r="AD501" i="63"/>
  <c r="AE499" i="63"/>
  <c r="AF498" i="63"/>
  <c r="R241" i="63"/>
  <c r="T240" i="63"/>
  <c r="AE500" i="63" l="1"/>
  <c r="AF499" i="63"/>
  <c r="AD502" i="63"/>
  <c r="AC63" i="63"/>
  <c r="AH63" i="63" s="1"/>
  <c r="AP63" i="63"/>
  <c r="AI63" i="63"/>
  <c r="T241" i="63"/>
  <c r="R242" i="63"/>
  <c r="AD503" i="63" l="1"/>
  <c r="AB63" i="63"/>
  <c r="AE501" i="63"/>
  <c r="AF500" i="63"/>
  <c r="R243" i="63"/>
  <c r="T242" i="63"/>
  <c r="AE502" i="63" l="1"/>
  <c r="AF501" i="63"/>
  <c r="AF63" i="63"/>
  <c r="AG63" i="63"/>
  <c r="AL63" i="63"/>
  <c r="AD504" i="63"/>
  <c r="R244" i="63"/>
  <c r="T243" i="63"/>
  <c r="AJ63" i="63" l="1"/>
  <c r="AK63" i="63" s="1"/>
  <c r="AA64" i="63"/>
  <c r="Y64" i="63"/>
  <c r="AC64" i="63" s="1"/>
  <c r="AH64" i="63" s="1"/>
  <c r="AD505" i="63"/>
  <c r="AE503" i="63"/>
  <c r="AF502" i="63"/>
  <c r="R245" i="63"/>
  <c r="T244" i="63"/>
  <c r="AE504" i="63" l="1"/>
  <c r="AF503" i="63"/>
  <c r="AD506" i="63"/>
  <c r="AI64" i="63"/>
  <c r="AP64" i="63"/>
  <c r="AB64" i="63"/>
  <c r="T245" i="63"/>
  <c r="R246" i="63"/>
  <c r="AL64" i="63" l="1"/>
  <c r="AG64" i="63"/>
  <c r="AF64" i="63"/>
  <c r="AD507" i="63"/>
  <c r="AE505" i="63"/>
  <c r="AF504" i="63"/>
  <c r="R247" i="63"/>
  <c r="T246" i="63"/>
  <c r="AE506" i="63" l="1"/>
  <c r="AF505" i="63"/>
  <c r="AD508" i="63"/>
  <c r="AA65" i="63"/>
  <c r="AJ64" i="63"/>
  <c r="AK64" i="63" s="1"/>
  <c r="Y65" i="63"/>
  <c r="R248" i="63"/>
  <c r="T247" i="63"/>
  <c r="AC65" i="63" l="1"/>
  <c r="AH65" i="63" s="1"/>
  <c r="AP65" i="63"/>
  <c r="AI65" i="63"/>
  <c r="AD509" i="63"/>
  <c r="AE507" i="63"/>
  <c r="AF506" i="63"/>
  <c r="R249" i="63"/>
  <c r="T248" i="63"/>
  <c r="AB65" i="63" l="1"/>
  <c r="AF65" i="63" s="1"/>
  <c r="AD510" i="63"/>
  <c r="AE508" i="63"/>
  <c r="AF507" i="63"/>
  <c r="T249" i="63"/>
  <c r="R250" i="63"/>
  <c r="AL65" i="63" l="1"/>
  <c r="AA66" i="63" s="1"/>
  <c r="AG65" i="63"/>
  <c r="AE509" i="63"/>
  <c r="AF508" i="63"/>
  <c r="AD511" i="63"/>
  <c r="R251" i="63"/>
  <c r="T250" i="63"/>
  <c r="AJ65" i="63" l="1"/>
  <c r="AK65" i="63" s="1"/>
  <c r="Y66" i="63"/>
  <c r="AC66" i="63" s="1"/>
  <c r="AH66" i="63" s="1"/>
  <c r="AD512" i="63"/>
  <c r="AI66" i="63"/>
  <c r="AP66" i="63"/>
  <c r="AE510" i="63"/>
  <c r="AF509" i="63"/>
  <c r="R252" i="63"/>
  <c r="T251" i="63"/>
  <c r="AB66" i="63" l="1"/>
  <c r="AG66" i="63" s="1"/>
  <c r="AE511" i="63"/>
  <c r="AF510" i="63"/>
  <c r="AD513" i="63"/>
  <c r="R253" i="63"/>
  <c r="T252" i="63"/>
  <c r="AF66" i="63" l="1"/>
  <c r="AL66" i="63"/>
  <c r="AD514" i="63"/>
  <c r="AE512" i="63"/>
  <c r="AF511" i="63"/>
  <c r="AJ66" i="63"/>
  <c r="AK66" i="63" s="1"/>
  <c r="Y67" i="63"/>
  <c r="AA67" i="63"/>
  <c r="T253" i="63"/>
  <c r="R254" i="63"/>
  <c r="AC67" i="63" l="1"/>
  <c r="AH67" i="63" s="1"/>
  <c r="AI67" i="63"/>
  <c r="AP67" i="63"/>
  <c r="AE513" i="63"/>
  <c r="AF512" i="63"/>
  <c r="AD515" i="63"/>
  <c r="R255" i="63"/>
  <c r="T254" i="63"/>
  <c r="AB67" i="63" l="1"/>
  <c r="AG67" i="63" s="1"/>
  <c r="AD516" i="63"/>
  <c r="AE514" i="63"/>
  <c r="AF513" i="63"/>
  <c r="R256" i="63"/>
  <c r="T255" i="63"/>
  <c r="AF67" i="63" l="1"/>
  <c r="AL67" i="63"/>
  <c r="Y68" i="63" s="1"/>
  <c r="AE515" i="63"/>
  <c r="AF514" i="63"/>
  <c r="AD517" i="63"/>
  <c r="R257" i="63"/>
  <c r="T256" i="63"/>
  <c r="AJ67" i="63" l="1"/>
  <c r="AK67" i="63" s="1"/>
  <c r="AA68" i="63"/>
  <c r="AI68" i="63" s="1"/>
  <c r="AD518" i="63"/>
  <c r="AE516" i="63"/>
  <c r="AF515" i="63"/>
  <c r="AC68" i="63"/>
  <c r="AH68" i="63" s="1"/>
  <c r="T257" i="63"/>
  <c r="R258" i="63"/>
  <c r="AP68" i="63" l="1"/>
  <c r="AB68" i="63"/>
  <c r="AE517" i="63"/>
  <c r="AF516" i="63"/>
  <c r="AD519" i="63"/>
  <c r="R259" i="63"/>
  <c r="T258" i="63"/>
  <c r="AD520" i="63" l="1"/>
  <c r="AE518" i="63"/>
  <c r="AF517" i="63"/>
  <c r="AF68" i="63"/>
  <c r="AG68" i="63"/>
  <c r="AL68" i="63"/>
  <c r="R260" i="63"/>
  <c r="T259" i="63"/>
  <c r="AE519" i="63" l="1"/>
  <c r="AF518" i="63"/>
  <c r="AD521" i="63"/>
  <c r="AJ68" i="63"/>
  <c r="AK68" i="63" s="1"/>
  <c r="AA69" i="63"/>
  <c r="Y69" i="63"/>
  <c r="R261" i="63"/>
  <c r="T260" i="63"/>
  <c r="AC69" i="63" l="1"/>
  <c r="AH69" i="63" s="1"/>
  <c r="AI69" i="63"/>
  <c r="AP69" i="63"/>
  <c r="AD522" i="63"/>
  <c r="AE520" i="63"/>
  <c r="AF519" i="63"/>
  <c r="T261" i="63"/>
  <c r="R262" i="63"/>
  <c r="AB69" i="63" l="1"/>
  <c r="AG69" i="63" s="1"/>
  <c r="AE521" i="63"/>
  <c r="AF520" i="63"/>
  <c r="AD523" i="63"/>
  <c r="R263" i="63"/>
  <c r="T262" i="63"/>
  <c r="AL69" i="63" l="1"/>
  <c r="AJ69" i="63" s="1"/>
  <c r="AK69" i="63" s="1"/>
  <c r="AF69" i="63"/>
  <c r="AD524" i="63"/>
  <c r="AE522" i="63"/>
  <c r="AF521" i="63"/>
  <c r="R264" i="63"/>
  <c r="T263" i="63"/>
  <c r="Y70" i="63" l="1"/>
  <c r="AC70" i="63" s="1"/>
  <c r="AH70" i="63" s="1"/>
  <c r="AA70" i="63"/>
  <c r="AP70" i="63" s="1"/>
  <c r="AE523" i="63"/>
  <c r="AF522" i="63"/>
  <c r="AD525" i="63"/>
  <c r="R265" i="63"/>
  <c r="T264" i="63"/>
  <c r="AI70" i="63" l="1"/>
  <c r="AB70" i="63"/>
  <c r="AL70" i="63" s="1"/>
  <c r="AF70" i="63"/>
  <c r="AD526" i="63"/>
  <c r="AE524" i="63"/>
  <c r="AF523" i="63"/>
  <c r="T265" i="63"/>
  <c r="R266" i="63"/>
  <c r="AG70" i="63" l="1"/>
  <c r="AE525" i="63"/>
  <c r="AF524" i="63"/>
  <c r="AD527" i="63"/>
  <c r="AA71" i="63"/>
  <c r="AJ70" i="63"/>
  <c r="AK70" i="63" s="1"/>
  <c r="Y71" i="63"/>
  <c r="R267" i="63"/>
  <c r="T266" i="63"/>
  <c r="AC71" i="63" l="1"/>
  <c r="AH71" i="63" s="1"/>
  <c r="AP71" i="63"/>
  <c r="AI71" i="63"/>
  <c r="AD528" i="63"/>
  <c r="AE526" i="63"/>
  <c r="AF525" i="63"/>
  <c r="R268" i="63"/>
  <c r="T267" i="63"/>
  <c r="AB71" i="63" l="1"/>
  <c r="AL71" i="63" s="1"/>
  <c r="Y72" i="63" s="1"/>
  <c r="AE527" i="63"/>
  <c r="AF526" i="63"/>
  <c r="AD529" i="63"/>
  <c r="R269" i="63"/>
  <c r="T268" i="63"/>
  <c r="AF71" i="63" l="1"/>
  <c r="AG71" i="63"/>
  <c r="AJ71" i="63"/>
  <c r="AK71" i="63" s="1"/>
  <c r="AA72" i="63"/>
  <c r="AI72" i="63" s="1"/>
  <c r="AD530" i="63"/>
  <c r="AE528" i="63"/>
  <c r="AF527" i="63"/>
  <c r="AC72" i="63"/>
  <c r="AH72" i="63" s="1"/>
  <c r="T269" i="63"/>
  <c r="R270" i="63"/>
  <c r="AP72" i="63" l="1"/>
  <c r="AE529" i="63"/>
  <c r="AF528" i="63"/>
  <c r="AB72" i="63"/>
  <c r="AD531" i="63"/>
  <c r="R271" i="63"/>
  <c r="T270" i="63"/>
  <c r="AD532" i="63" l="1"/>
  <c r="AG72" i="63"/>
  <c r="AF72" i="63"/>
  <c r="AL72" i="63"/>
  <c r="AE530" i="63"/>
  <c r="AF529" i="63"/>
  <c r="R272" i="63"/>
  <c r="T271" i="63"/>
  <c r="AE531" i="63" l="1"/>
  <c r="AF530" i="63"/>
  <c r="Y73" i="63"/>
  <c r="AJ72" i="63"/>
  <c r="AK72" i="63" s="1"/>
  <c r="AA73" i="63"/>
  <c r="AD533" i="63"/>
  <c r="R273" i="63"/>
  <c r="T272" i="63"/>
  <c r="AD534" i="63" l="1"/>
  <c r="AC73" i="63"/>
  <c r="AH73" i="63" s="1"/>
  <c r="AI73" i="63"/>
  <c r="AP73" i="63"/>
  <c r="AE532" i="63"/>
  <c r="AF531" i="63"/>
  <c r="T273" i="63"/>
  <c r="R274" i="63"/>
  <c r="AB73" i="63" l="1"/>
  <c r="AF73" i="63" s="1"/>
  <c r="AE533" i="63"/>
  <c r="AF532" i="63"/>
  <c r="AD535" i="63"/>
  <c r="R275" i="63"/>
  <c r="T274" i="63"/>
  <c r="AL73" i="63" l="1"/>
  <c r="AJ73" i="63" s="1"/>
  <c r="AK73" i="63" s="1"/>
  <c r="AG73" i="63"/>
  <c r="AD536" i="63"/>
  <c r="AE534" i="63"/>
  <c r="AF533" i="63"/>
  <c r="R276" i="63"/>
  <c r="T275" i="63"/>
  <c r="Y74" i="63" l="1"/>
  <c r="AA74" i="63"/>
  <c r="AP74" i="63" s="1"/>
  <c r="AE535" i="63"/>
  <c r="AF534" i="63"/>
  <c r="AC74" i="63"/>
  <c r="AH74" i="63" s="1"/>
  <c r="AI74" i="63"/>
  <c r="AD537" i="63"/>
  <c r="R277" i="63"/>
  <c r="T276" i="63"/>
  <c r="AB74" i="63" l="1"/>
  <c r="AF74" i="63" s="1"/>
  <c r="AD538" i="63"/>
  <c r="AE536" i="63"/>
  <c r="AF535" i="63"/>
  <c r="T277" i="63"/>
  <c r="R278" i="63"/>
  <c r="AG74" i="63" l="1"/>
  <c r="AL74" i="63"/>
  <c r="AE537" i="63"/>
  <c r="AF536" i="63"/>
  <c r="AJ74" i="63"/>
  <c r="AK74" i="63" s="1"/>
  <c r="AA75" i="63"/>
  <c r="Y75" i="63"/>
  <c r="AD539" i="63"/>
  <c r="R279" i="63"/>
  <c r="T278" i="63"/>
  <c r="AD540" i="63" l="1"/>
  <c r="AC75" i="63"/>
  <c r="AH75" i="63" s="1"/>
  <c r="AP75" i="63"/>
  <c r="AI75" i="63"/>
  <c r="AE538" i="63"/>
  <c r="AF537" i="63"/>
  <c r="R280" i="63"/>
  <c r="T279" i="63"/>
  <c r="AB75" i="63" l="1"/>
  <c r="AF75" i="63" s="1"/>
  <c r="AE539" i="63"/>
  <c r="AF538" i="63"/>
  <c r="AD541" i="63"/>
  <c r="R281" i="63"/>
  <c r="T280" i="63"/>
  <c r="AG75" i="63" l="1"/>
  <c r="AL75" i="63"/>
  <c r="AA76" i="63" s="1"/>
  <c r="AD542" i="63"/>
  <c r="AE540" i="63"/>
  <c r="AF539" i="63"/>
  <c r="T281" i="63"/>
  <c r="R282" i="63"/>
  <c r="AJ75" i="63" l="1"/>
  <c r="AK75" i="63" s="1"/>
  <c r="Y76" i="63"/>
  <c r="AE541" i="63"/>
  <c r="AF540" i="63"/>
  <c r="AC76" i="63"/>
  <c r="AH76" i="63" s="1"/>
  <c r="AP76" i="63"/>
  <c r="AI76" i="63"/>
  <c r="AD543" i="63"/>
  <c r="R283" i="63"/>
  <c r="T282" i="63"/>
  <c r="AB76" i="63" l="1"/>
  <c r="AL76" i="63" s="1"/>
  <c r="AJ76" i="63" s="1"/>
  <c r="AK76" i="63" s="1"/>
  <c r="AD544" i="63"/>
  <c r="AE542" i="63"/>
  <c r="AF541" i="63"/>
  <c r="R284" i="63"/>
  <c r="T283" i="63"/>
  <c r="AG76" i="63" l="1"/>
  <c r="AF76" i="63"/>
  <c r="AA77" i="63"/>
  <c r="Y77" i="63"/>
  <c r="AC77" i="63" s="1"/>
  <c r="AH77" i="63" s="1"/>
  <c r="AE543" i="63"/>
  <c r="AF542" i="63"/>
  <c r="AP77" i="63"/>
  <c r="AI77" i="63"/>
  <c r="R285" i="63"/>
  <c r="T284" i="63"/>
  <c r="AB77" i="63" l="1"/>
  <c r="AE544" i="63"/>
  <c r="AF544" i="63" s="1"/>
  <c r="AF543" i="63"/>
  <c r="T285" i="63"/>
  <c r="R286" i="63"/>
  <c r="AG77" i="63" l="1"/>
  <c r="AF77" i="63"/>
  <c r="AL77" i="63"/>
  <c r="R287" i="63"/>
  <c r="T286" i="63"/>
  <c r="Y78" i="63" l="1"/>
  <c r="AJ77" i="63"/>
  <c r="AK77" i="63" s="1"/>
  <c r="AA78" i="63"/>
  <c r="R288" i="63"/>
  <c r="T287" i="63"/>
  <c r="AP78" i="63" l="1"/>
  <c r="AI78" i="63"/>
  <c r="AC78" i="63"/>
  <c r="AH78" i="63" s="1"/>
  <c r="R289" i="63"/>
  <c r="T288" i="63"/>
  <c r="AB78" i="63" l="1"/>
  <c r="T289" i="63"/>
  <c r="R290" i="63"/>
  <c r="AF78" i="63" l="1"/>
  <c r="AG78" i="63"/>
  <c r="AL78" i="63"/>
  <c r="R291" i="63"/>
  <c r="T290" i="63"/>
  <c r="AA79" i="63" l="1"/>
  <c r="Y79" i="63"/>
  <c r="AJ78" i="63"/>
  <c r="AK78" i="63" s="1"/>
  <c r="R292" i="63"/>
  <c r="T291" i="63"/>
  <c r="AC79" i="63" l="1"/>
  <c r="AH79" i="63" s="1"/>
  <c r="AP79" i="63"/>
  <c r="AI79" i="63"/>
  <c r="R293" i="63"/>
  <c r="T292" i="63"/>
  <c r="AB79" i="63" l="1"/>
  <c r="AF79" i="63" s="1"/>
  <c r="T293" i="63"/>
  <c r="R294" i="63"/>
  <c r="AL79" i="63" l="1"/>
  <c r="AJ79" i="63" s="1"/>
  <c r="AK79" i="63" s="1"/>
  <c r="AG79" i="63"/>
  <c r="R295" i="63"/>
  <c r="T294" i="63"/>
  <c r="Y80" i="63" l="1"/>
  <c r="AC80" i="63" s="1"/>
  <c r="AH80" i="63" s="1"/>
  <c r="AA80" i="63"/>
  <c r="AP80" i="63" s="1"/>
  <c r="R296" i="63"/>
  <c r="T295" i="63"/>
  <c r="AI80" i="63" l="1"/>
  <c r="AB80" i="63"/>
  <c r="AL80" i="63" s="1"/>
  <c r="R297" i="63"/>
  <c r="T296" i="63"/>
  <c r="AF80" i="63" l="1"/>
  <c r="AG80" i="63"/>
  <c r="AA81" i="63"/>
  <c r="Y81" i="63"/>
  <c r="AJ80" i="63"/>
  <c r="AK80" i="63" s="1"/>
  <c r="T297" i="63"/>
  <c r="R298" i="63"/>
  <c r="AC81" i="63" l="1"/>
  <c r="AH81" i="63" s="1"/>
  <c r="AI81" i="63"/>
  <c r="AP81" i="63"/>
  <c r="R299" i="63"/>
  <c r="T298" i="63"/>
  <c r="AB81" i="63" l="1"/>
  <c r="AG81" i="63" s="1"/>
  <c r="R300" i="63"/>
  <c r="T299" i="63"/>
  <c r="AF81" i="63" l="1"/>
  <c r="AL81" i="63"/>
  <c r="AJ81" i="63" s="1"/>
  <c r="AK81" i="63" s="1"/>
  <c r="R301" i="63"/>
  <c r="T300" i="63"/>
  <c r="AA82" i="63" l="1"/>
  <c r="AI82" i="63" s="1"/>
  <c r="Y82" i="63"/>
  <c r="AC82" i="63" s="1"/>
  <c r="AH82" i="63" s="1"/>
  <c r="T301" i="63"/>
  <c r="R302" i="63"/>
  <c r="AP82" i="63" l="1"/>
  <c r="AB82" i="63"/>
  <c r="R303" i="63"/>
  <c r="T302" i="63"/>
  <c r="AF82" i="63" l="1"/>
  <c r="AG82" i="63"/>
  <c r="AL82" i="63"/>
  <c r="R304" i="63"/>
  <c r="T303" i="63"/>
  <c r="AA83" i="63" l="1"/>
  <c r="Y83" i="63"/>
  <c r="AJ82" i="63"/>
  <c r="AK82" i="63" s="1"/>
  <c r="R305" i="63"/>
  <c r="T304" i="63"/>
  <c r="AC83" i="63" l="1"/>
  <c r="AH83" i="63" s="1"/>
  <c r="AP83" i="63"/>
  <c r="AI83" i="63"/>
  <c r="T305" i="63"/>
  <c r="R306" i="63"/>
  <c r="AB83" i="63" l="1"/>
  <c r="AL83" i="63" s="1"/>
  <c r="Y84" i="63" s="1"/>
  <c r="R307" i="63"/>
  <c r="T306" i="63"/>
  <c r="AF83" i="63" l="1"/>
  <c r="AG83" i="63"/>
  <c r="AJ83" i="63"/>
  <c r="AK83" i="63" s="1"/>
  <c r="AA84" i="63"/>
  <c r="AI84" i="63" s="1"/>
  <c r="AC84" i="63"/>
  <c r="AH84" i="63" s="1"/>
  <c r="R308" i="63"/>
  <c r="T307" i="63"/>
  <c r="AP84" i="63" l="1"/>
  <c r="AB84" i="63"/>
  <c r="R309" i="63"/>
  <c r="T308" i="63"/>
  <c r="AG84" i="63" l="1"/>
  <c r="AF84" i="63"/>
  <c r="AL84" i="63"/>
  <c r="T309" i="63"/>
  <c r="R310" i="63"/>
  <c r="Y85" i="63" l="1"/>
  <c r="AJ84" i="63"/>
  <c r="AK84" i="63" s="1"/>
  <c r="AA85" i="63"/>
  <c r="R311" i="63"/>
  <c r="T310" i="63"/>
  <c r="AI85" i="63" l="1"/>
  <c r="AP85" i="63"/>
  <c r="AC85" i="63"/>
  <c r="AH85" i="63" s="1"/>
  <c r="R312" i="63"/>
  <c r="T311" i="63"/>
  <c r="AB85" i="63" l="1"/>
  <c r="R313" i="63"/>
  <c r="T312" i="63"/>
  <c r="AG85" i="63" l="1"/>
  <c r="AF85" i="63"/>
  <c r="AL85" i="63"/>
  <c r="T313" i="63"/>
  <c r="R314" i="63"/>
  <c r="AJ85" i="63" l="1"/>
  <c r="AK85" i="63" s="1"/>
  <c r="Y86" i="63"/>
  <c r="AA86" i="63"/>
  <c r="R315" i="63"/>
  <c r="T314" i="63"/>
  <c r="AC86" i="63" l="1"/>
  <c r="AH86" i="63" s="1"/>
  <c r="AI86" i="63"/>
  <c r="AP86" i="63"/>
  <c r="R316" i="63"/>
  <c r="T315" i="63"/>
  <c r="AB86" i="63" l="1"/>
  <c r="AL86" i="63" s="1"/>
  <c r="AA87" i="63" s="1"/>
  <c r="R317" i="63"/>
  <c r="T316" i="63"/>
  <c r="AG86" i="63" l="1"/>
  <c r="AF86" i="63"/>
  <c r="AJ86" i="63"/>
  <c r="AK86" i="63" s="1"/>
  <c r="Y87" i="63"/>
  <c r="AC87" i="63" s="1"/>
  <c r="AH87" i="63" s="1"/>
  <c r="AI87" i="63"/>
  <c r="AP87" i="63"/>
  <c r="AJ8" i="63" s="1"/>
  <c r="T317" i="63"/>
  <c r="R318" i="63"/>
  <c r="AB87" i="63" l="1"/>
  <c r="AL87" i="63" s="1"/>
  <c r="AJ87" i="63" s="1"/>
  <c r="AK87" i="63" s="1"/>
  <c r="AJ9" i="63"/>
  <c r="I9" i="1"/>
  <c r="H10" i="1" s="1"/>
  <c r="I54" i="1" s="1"/>
  <c r="R319" i="63"/>
  <c r="T318" i="63"/>
  <c r="AG87" i="63" l="1"/>
  <c r="AF87" i="63"/>
  <c r="AA88" i="63"/>
  <c r="AI88" i="63" s="1"/>
  <c r="Y88" i="63"/>
  <c r="AC88" i="63" s="1"/>
  <c r="AH88" i="63" s="1"/>
  <c r="I55" i="1"/>
  <c r="I57" i="1" s="1"/>
  <c r="R320" i="63"/>
  <c r="T319" i="63"/>
  <c r="AP88" i="63" l="1"/>
  <c r="AB88" i="63"/>
  <c r="AG88" i="63" s="1"/>
  <c r="R321" i="63"/>
  <c r="T320" i="63"/>
  <c r="AF88" i="63" l="1"/>
  <c r="AL88" i="63"/>
  <c r="Y89" i="63" s="1"/>
  <c r="AC89" i="63" s="1"/>
  <c r="AH89" i="63" s="1"/>
  <c r="T321" i="63"/>
  <c r="R322" i="63"/>
  <c r="AA89" i="63" l="1"/>
  <c r="AB89" i="63" s="1"/>
  <c r="AF89" i="63" s="1"/>
  <c r="AJ88" i="63"/>
  <c r="AK88" i="63" s="1"/>
  <c r="R323" i="63"/>
  <c r="T322" i="63"/>
  <c r="AP89" i="63" l="1"/>
  <c r="AI89" i="63"/>
  <c r="AL89" i="63"/>
  <c r="AJ89" i="63" s="1"/>
  <c r="AG89" i="63"/>
  <c r="R324" i="63"/>
  <c r="T323" i="63"/>
  <c r="AK89" i="63" l="1"/>
  <c r="AA90" i="63"/>
  <c r="AP90" i="63" s="1"/>
  <c r="Y90" i="63"/>
  <c r="AC90" i="63" s="1"/>
  <c r="AH90" i="63" s="1"/>
  <c r="R325" i="63"/>
  <c r="T324" i="63"/>
  <c r="AI90" i="63" l="1"/>
  <c r="AB90" i="63"/>
  <c r="T325" i="63"/>
  <c r="R326" i="63"/>
  <c r="AF90" i="63" l="1"/>
  <c r="AG90" i="63"/>
  <c r="AL90" i="63"/>
  <c r="R327" i="63"/>
  <c r="T326" i="63"/>
  <c r="AA91" i="63" l="1"/>
  <c r="AJ90" i="63"/>
  <c r="AK90" i="63" s="1"/>
  <c r="Y91" i="63"/>
  <c r="R328" i="63"/>
  <c r="T327" i="63"/>
  <c r="AC91" i="63" l="1"/>
  <c r="AH91" i="63" s="1"/>
  <c r="AP91" i="63"/>
  <c r="AI91" i="63"/>
  <c r="R329" i="63"/>
  <c r="T328" i="63"/>
  <c r="AB91" i="63" l="1"/>
  <c r="AG91" i="63" s="1"/>
  <c r="T329" i="63"/>
  <c r="R330" i="63"/>
  <c r="AL91" i="63" l="1"/>
  <c r="AA92" i="63" s="1"/>
  <c r="AF91" i="63"/>
  <c r="R331" i="63"/>
  <c r="T330" i="63"/>
  <c r="AJ91" i="63" l="1"/>
  <c r="AK91" i="63" s="1"/>
  <c r="Y92" i="63"/>
  <c r="AC92" i="63" s="1"/>
  <c r="AH92" i="63" s="1"/>
  <c r="AP92" i="63"/>
  <c r="AI92" i="63"/>
  <c r="R332" i="63"/>
  <c r="T331" i="63"/>
  <c r="AB92" i="63" l="1"/>
  <c r="AL92" i="63" s="1"/>
  <c r="AJ92" i="63" s="1"/>
  <c r="AK92" i="63" s="1"/>
  <c r="R333" i="63"/>
  <c r="T332" i="63"/>
  <c r="AF92" i="63" l="1"/>
  <c r="AG92" i="63"/>
  <c r="Y93" i="63"/>
  <c r="AC93" i="63" s="1"/>
  <c r="AH93" i="63" s="1"/>
  <c r="AA93" i="63"/>
  <c r="AP93" i="63" s="1"/>
  <c r="T333" i="63"/>
  <c r="R334" i="63"/>
  <c r="AI93" i="63" l="1"/>
  <c r="AB93" i="63"/>
  <c r="R335" i="63"/>
  <c r="T334" i="63"/>
  <c r="AF93" i="63" l="1"/>
  <c r="AG93" i="63"/>
  <c r="AL93" i="63"/>
  <c r="R336" i="63"/>
  <c r="T335" i="63"/>
  <c r="AA94" i="63" l="1"/>
  <c r="AJ93" i="63"/>
  <c r="AK93" i="63" s="1"/>
  <c r="Y94" i="63"/>
  <c r="AC94" i="63" s="1"/>
  <c r="AH94" i="63" s="1"/>
  <c r="R337" i="63"/>
  <c r="T336" i="63"/>
  <c r="AP94" i="63" l="1"/>
  <c r="AI94" i="63"/>
  <c r="AB94" i="63"/>
  <c r="T337" i="63"/>
  <c r="R338" i="63"/>
  <c r="AL94" i="63" l="1"/>
  <c r="AF94" i="63"/>
  <c r="AG94" i="63"/>
  <c r="R339" i="63"/>
  <c r="T338" i="63"/>
  <c r="AJ94" i="63" l="1"/>
  <c r="AK94" i="63" s="1"/>
  <c r="Y95" i="63"/>
  <c r="AA95" i="63"/>
  <c r="R340" i="63"/>
  <c r="T339" i="63"/>
  <c r="AP95" i="63" l="1"/>
  <c r="AI95" i="63"/>
  <c r="AC95" i="63"/>
  <c r="AH95" i="63" s="1"/>
  <c r="R341" i="63"/>
  <c r="T340" i="63"/>
  <c r="AB95" i="63" l="1"/>
  <c r="T341" i="63"/>
  <c r="R342" i="63"/>
  <c r="AF95" i="63" l="1"/>
  <c r="AG95" i="63"/>
  <c r="AL95" i="63"/>
  <c r="R343" i="63"/>
  <c r="T342" i="63"/>
  <c r="AJ95" i="63" l="1"/>
  <c r="AK95" i="63" s="1"/>
  <c r="Y96" i="63"/>
  <c r="AC96" i="63" s="1"/>
  <c r="AH96" i="63" s="1"/>
  <c r="AA96" i="63"/>
  <c r="R344" i="63"/>
  <c r="T343" i="63"/>
  <c r="AP96" i="63" l="1"/>
  <c r="AI96" i="63"/>
  <c r="AB96" i="63"/>
  <c r="R345" i="63"/>
  <c r="T344" i="63"/>
  <c r="AL96" i="63" l="1"/>
  <c r="AG96" i="63"/>
  <c r="AF96" i="63"/>
  <c r="T345" i="63"/>
  <c r="R346" i="63"/>
  <c r="AJ96" i="63" l="1"/>
  <c r="AK96" i="63" s="1"/>
  <c r="AA97" i="63"/>
  <c r="Y97" i="63"/>
  <c r="R347" i="63"/>
  <c r="T346" i="63"/>
  <c r="AC97" i="63" l="1"/>
  <c r="AH97" i="63" s="1"/>
  <c r="AP97" i="63"/>
  <c r="AI97" i="63"/>
  <c r="R348" i="63"/>
  <c r="T347" i="63"/>
  <c r="AB97" i="63" l="1"/>
  <c r="AF97" i="63" s="1"/>
  <c r="R349" i="63"/>
  <c r="T348" i="63"/>
  <c r="AL97" i="63" l="1"/>
  <c r="AJ97" i="63" s="1"/>
  <c r="AK97" i="63" s="1"/>
  <c r="AG97" i="63"/>
  <c r="T349" i="63"/>
  <c r="R350" i="63"/>
  <c r="AA98" i="63" l="1"/>
  <c r="AP98" i="63" s="1"/>
  <c r="Y98" i="63"/>
  <c r="AC98" i="63" s="1"/>
  <c r="AH98" i="63" s="1"/>
  <c r="R351" i="63"/>
  <c r="T350" i="63"/>
  <c r="AI98" i="63" l="1"/>
  <c r="AB98" i="63"/>
  <c r="R352" i="63"/>
  <c r="T351" i="63"/>
  <c r="AG98" i="63" l="1"/>
  <c r="AF98" i="63"/>
  <c r="AL98" i="63"/>
  <c r="R353" i="63"/>
  <c r="T352" i="63"/>
  <c r="Y99" i="63" l="1"/>
  <c r="AC99" i="63" s="1"/>
  <c r="AH99" i="63" s="1"/>
  <c r="AJ98" i="63"/>
  <c r="AK98" i="63" s="1"/>
  <c r="AA99" i="63"/>
  <c r="T353" i="63"/>
  <c r="R354" i="63"/>
  <c r="AP99" i="63" l="1"/>
  <c r="AI99" i="63"/>
  <c r="AB99" i="63"/>
  <c r="R355" i="63"/>
  <c r="T354" i="63"/>
  <c r="AL99" i="63" l="1"/>
  <c r="AG99" i="63"/>
  <c r="AF99" i="63"/>
  <c r="R356" i="63"/>
  <c r="T355" i="63"/>
  <c r="Y100" i="63" l="1"/>
  <c r="AJ99" i="63"/>
  <c r="AK99" i="63" s="1"/>
  <c r="AA100" i="63"/>
  <c r="R357" i="63"/>
  <c r="T356" i="63"/>
  <c r="AP100" i="63" l="1"/>
  <c r="AI100" i="63"/>
  <c r="AC100" i="63"/>
  <c r="AH100" i="63" s="1"/>
  <c r="T357" i="63"/>
  <c r="R358" i="63"/>
  <c r="AB100" i="63" l="1"/>
  <c r="R359" i="63"/>
  <c r="T358" i="63"/>
  <c r="AG100" i="63" l="1"/>
  <c r="AF100" i="63"/>
  <c r="AL100" i="63"/>
  <c r="R360" i="63"/>
  <c r="T359" i="63"/>
  <c r="AJ100" i="63" l="1"/>
  <c r="AK100" i="63" s="1"/>
  <c r="AA101" i="63"/>
  <c r="Y101" i="63"/>
  <c r="R361" i="63"/>
  <c r="T360" i="63"/>
  <c r="AP101" i="63" l="1"/>
  <c r="AI101" i="63"/>
  <c r="AC101" i="63"/>
  <c r="AH101" i="63" s="1"/>
  <c r="T361" i="63"/>
  <c r="R362" i="63"/>
  <c r="AB101" i="63" l="1"/>
  <c r="R363" i="63"/>
  <c r="T362" i="63"/>
  <c r="AF101" i="63" l="1"/>
  <c r="AG101" i="63"/>
  <c r="AL101" i="63"/>
  <c r="R364" i="63"/>
  <c r="T363" i="63"/>
  <c r="AJ101" i="63" l="1"/>
  <c r="AK101" i="63" s="1"/>
  <c r="Y102" i="63"/>
  <c r="AA102" i="63"/>
  <c r="R365" i="63"/>
  <c r="T364" i="63"/>
  <c r="AP102" i="63" l="1"/>
  <c r="AI102" i="63"/>
  <c r="AC102" i="63"/>
  <c r="AH102" i="63" s="1"/>
  <c r="T365" i="63"/>
  <c r="R366" i="63"/>
  <c r="AB102" i="63" l="1"/>
  <c r="R367" i="63"/>
  <c r="T366" i="63"/>
  <c r="AF102" i="63" l="1"/>
  <c r="AG102" i="63"/>
  <c r="AL102" i="63"/>
  <c r="R368" i="63"/>
  <c r="T367" i="63"/>
  <c r="AA103" i="63" l="1"/>
  <c r="Y103" i="63"/>
  <c r="AJ102" i="63"/>
  <c r="AK102" i="63" s="1"/>
  <c r="R369" i="63"/>
  <c r="T368" i="63"/>
  <c r="AC103" i="63" l="1"/>
  <c r="AH103" i="63" s="1"/>
  <c r="AP103" i="63"/>
  <c r="AI103" i="63"/>
  <c r="T369" i="63"/>
  <c r="R370" i="63"/>
  <c r="AB103" i="63" l="1"/>
  <c r="R371" i="63"/>
  <c r="T370" i="63"/>
  <c r="AG103" i="63" l="1"/>
  <c r="AF103" i="63"/>
  <c r="AL103" i="63"/>
  <c r="R372" i="63"/>
  <c r="T371" i="63"/>
  <c r="AA104" i="63" l="1"/>
  <c r="AJ103" i="63"/>
  <c r="AK103" i="63" s="1"/>
  <c r="Y104" i="63"/>
  <c r="R373" i="63"/>
  <c r="T372" i="63"/>
  <c r="AC104" i="63" l="1"/>
  <c r="AH104" i="63" s="1"/>
  <c r="AP104" i="63"/>
  <c r="AI104" i="63"/>
  <c r="T373" i="63"/>
  <c r="R374" i="63"/>
  <c r="AB104" i="63" l="1"/>
  <c r="R375" i="63"/>
  <c r="T374" i="63"/>
  <c r="AF104" i="63" l="1"/>
  <c r="AG104" i="63"/>
  <c r="AL104" i="63"/>
  <c r="R376" i="63"/>
  <c r="T375" i="63"/>
  <c r="Y105" i="63" l="1"/>
  <c r="AC105" i="63" s="1"/>
  <c r="AH105" i="63" s="1"/>
  <c r="AJ104" i="63"/>
  <c r="AK104" i="63" s="1"/>
  <c r="AA105" i="63"/>
  <c r="R377" i="63"/>
  <c r="T376" i="63"/>
  <c r="AP105" i="63" l="1"/>
  <c r="AI105" i="63"/>
  <c r="AB105" i="63"/>
  <c r="T377" i="63"/>
  <c r="R378" i="63"/>
  <c r="AL105" i="63" l="1"/>
  <c r="AG105" i="63"/>
  <c r="AF105" i="63"/>
  <c r="R379" i="63"/>
  <c r="T378" i="63"/>
  <c r="AJ105" i="63" l="1"/>
  <c r="AK105" i="63" s="1"/>
  <c r="Y106" i="63"/>
  <c r="AA106" i="63"/>
  <c r="R380" i="63"/>
  <c r="T379" i="63"/>
  <c r="AC106" i="63" l="1"/>
  <c r="AH106" i="63" s="1"/>
  <c r="AP106" i="63"/>
  <c r="AI106" i="63"/>
  <c r="R381" i="63"/>
  <c r="T380" i="63"/>
  <c r="AB106" i="63" l="1"/>
  <c r="AF106" i="63" s="1"/>
  <c r="T381" i="63"/>
  <c r="R382" i="63"/>
  <c r="AL106" i="63" l="1"/>
  <c r="AJ106" i="63" s="1"/>
  <c r="AK106" i="63" s="1"/>
  <c r="AG106" i="63"/>
  <c r="R383" i="63"/>
  <c r="T382" i="63"/>
  <c r="AA107" i="63" l="1"/>
  <c r="AP107" i="63" s="1"/>
  <c r="Y107" i="63"/>
  <c r="AC107" i="63" s="1"/>
  <c r="AH107" i="63" s="1"/>
  <c r="R384" i="63"/>
  <c r="T383" i="63"/>
  <c r="AI107" i="63" l="1"/>
  <c r="AB107" i="63"/>
  <c r="R385" i="63"/>
  <c r="T384" i="63"/>
  <c r="AF107" i="63" l="1"/>
  <c r="AG107" i="63"/>
  <c r="AL107" i="63"/>
  <c r="T385" i="63"/>
  <c r="R386" i="63"/>
  <c r="AJ107" i="63" l="1"/>
  <c r="AK107" i="63" s="1"/>
  <c r="Y108" i="63"/>
  <c r="AC108" i="63" s="1"/>
  <c r="AH108" i="63" s="1"/>
  <c r="AA108" i="63"/>
  <c r="R387" i="63"/>
  <c r="T386" i="63"/>
  <c r="AP108" i="63" l="1"/>
  <c r="AI108" i="63"/>
  <c r="AB108" i="63"/>
  <c r="R388" i="63"/>
  <c r="T387" i="63"/>
  <c r="AL108" i="63" l="1"/>
  <c r="AG108" i="63"/>
  <c r="AF108" i="63"/>
  <c r="R389" i="63"/>
  <c r="T388" i="63"/>
  <c r="AJ108" i="63" l="1"/>
  <c r="AK108" i="63" s="1"/>
  <c r="Y109" i="63"/>
  <c r="AC109" i="63" s="1"/>
  <c r="AH109" i="63" s="1"/>
  <c r="AA109" i="63"/>
  <c r="T389" i="63"/>
  <c r="R390" i="63"/>
  <c r="AP109" i="63" l="1"/>
  <c r="AI109" i="63"/>
  <c r="AB109" i="63"/>
  <c r="R391" i="63"/>
  <c r="T390" i="63"/>
  <c r="AL109" i="63" l="1"/>
  <c r="AG109" i="63"/>
  <c r="AF109" i="63"/>
  <c r="R392" i="63"/>
  <c r="T391" i="63"/>
  <c r="AJ109" i="63" l="1"/>
  <c r="AK109" i="63" s="1"/>
  <c r="Y110" i="63"/>
  <c r="AA110" i="63"/>
  <c r="R393" i="63"/>
  <c r="T392" i="63"/>
  <c r="AP110" i="63" l="1"/>
  <c r="AI110" i="63"/>
  <c r="AC110" i="63"/>
  <c r="AH110" i="63" s="1"/>
  <c r="T393" i="63"/>
  <c r="R394" i="63"/>
  <c r="AB110" i="63" l="1"/>
  <c r="R395" i="63"/>
  <c r="T394" i="63"/>
  <c r="AF110" i="63" l="1"/>
  <c r="AG110" i="63"/>
  <c r="AL110" i="63"/>
  <c r="R396" i="63"/>
  <c r="T395" i="63"/>
  <c r="AJ110" i="63" l="1"/>
  <c r="AK110" i="63" s="1"/>
  <c r="Y111" i="63"/>
  <c r="AC111" i="63" s="1"/>
  <c r="AH111" i="63" s="1"/>
  <c r="AA111" i="63"/>
  <c r="R397" i="63"/>
  <c r="T396" i="63"/>
  <c r="AP111" i="63" l="1"/>
  <c r="AI111" i="63"/>
  <c r="AB111" i="63"/>
  <c r="T397" i="63"/>
  <c r="R398" i="63"/>
  <c r="AL111" i="63" l="1"/>
  <c r="AG111" i="63"/>
  <c r="AF111" i="63"/>
  <c r="R399" i="63"/>
  <c r="T398" i="63"/>
  <c r="AJ111" i="63" l="1"/>
  <c r="AK111" i="63" s="1"/>
  <c r="Y112" i="63"/>
  <c r="AA112" i="63"/>
  <c r="R400" i="63"/>
  <c r="T399" i="63"/>
  <c r="AP112" i="63" l="1"/>
  <c r="AI112" i="63"/>
  <c r="AC112" i="63"/>
  <c r="AH112" i="63" s="1"/>
  <c r="R401" i="63"/>
  <c r="T400" i="63"/>
  <c r="AB112" i="63" l="1"/>
  <c r="T401" i="63"/>
  <c r="R402" i="63"/>
  <c r="AG112" i="63" l="1"/>
  <c r="AF112" i="63"/>
  <c r="AL112" i="63"/>
  <c r="R403" i="63"/>
  <c r="T402" i="63"/>
  <c r="AJ112" i="63" l="1"/>
  <c r="AK112" i="63" s="1"/>
  <c r="AA113" i="63"/>
  <c r="Y113" i="63"/>
  <c r="R404" i="63"/>
  <c r="T403" i="63"/>
  <c r="AC113" i="63" l="1"/>
  <c r="AH113" i="63" s="1"/>
  <c r="AP113" i="63"/>
  <c r="AI113" i="63"/>
  <c r="R405" i="63"/>
  <c r="T404" i="63"/>
  <c r="AB113" i="63" l="1"/>
  <c r="AG113" i="63" s="1"/>
  <c r="T405" i="63"/>
  <c r="R406" i="63"/>
  <c r="AL113" i="63" l="1"/>
  <c r="Y114" i="63" s="1"/>
  <c r="AF113" i="63"/>
  <c r="R407" i="63"/>
  <c r="T406" i="63"/>
  <c r="AJ113" i="63" l="1"/>
  <c r="AK113" i="63" s="1"/>
  <c r="AA114" i="63"/>
  <c r="AP114" i="63" s="1"/>
  <c r="AC114" i="63"/>
  <c r="AH114" i="63" s="1"/>
  <c r="R408" i="63"/>
  <c r="T407" i="63"/>
  <c r="AI114" i="63" l="1"/>
  <c r="AB114" i="63"/>
  <c r="R409" i="63"/>
  <c r="T408" i="63"/>
  <c r="AG114" i="63" l="1"/>
  <c r="AF114" i="63"/>
  <c r="AL114" i="63"/>
  <c r="T409" i="63"/>
  <c r="R410" i="63"/>
  <c r="Y115" i="63" l="1"/>
  <c r="AA115" i="63"/>
  <c r="AJ114" i="63"/>
  <c r="AK114" i="63" s="1"/>
  <c r="R411" i="63"/>
  <c r="T410" i="63"/>
  <c r="AP115" i="63" l="1"/>
  <c r="AI115" i="63"/>
  <c r="AC115" i="63"/>
  <c r="AH115" i="63" s="1"/>
  <c r="R412" i="63"/>
  <c r="T411" i="63"/>
  <c r="AB115" i="63" l="1"/>
  <c r="R413" i="63"/>
  <c r="T412" i="63"/>
  <c r="AF115" i="63" l="1"/>
  <c r="AG115" i="63"/>
  <c r="AL115" i="63"/>
  <c r="T413" i="63"/>
  <c r="R414" i="63"/>
  <c r="AJ115" i="63" l="1"/>
  <c r="AK115" i="63" s="1"/>
  <c r="Y116" i="63"/>
  <c r="AA116" i="63"/>
  <c r="R415" i="63"/>
  <c r="T414" i="63"/>
  <c r="AP116" i="63" l="1"/>
  <c r="AI116" i="63"/>
  <c r="AC116" i="63"/>
  <c r="AH116" i="63" s="1"/>
  <c r="R416" i="63"/>
  <c r="T415" i="63"/>
  <c r="AB116" i="63" l="1"/>
  <c r="R417" i="63"/>
  <c r="T416" i="63"/>
  <c r="AG116" i="63" l="1"/>
  <c r="AF116" i="63"/>
  <c r="AL116" i="63"/>
  <c r="T417" i="63"/>
  <c r="R418" i="63"/>
  <c r="AJ116" i="63" l="1"/>
  <c r="AK116" i="63" s="1"/>
  <c r="Y117" i="63"/>
  <c r="AA117" i="63"/>
  <c r="R419" i="63"/>
  <c r="T418" i="63"/>
  <c r="AC117" i="63" l="1"/>
  <c r="AH117" i="63" s="1"/>
  <c r="AP117" i="63"/>
  <c r="AI117" i="63"/>
  <c r="R420" i="63"/>
  <c r="T419" i="63"/>
  <c r="AB117" i="63" l="1"/>
  <c r="AG117" i="63" s="1"/>
  <c r="R421" i="63"/>
  <c r="T420" i="63"/>
  <c r="AL117" i="63" l="1"/>
  <c r="AJ117" i="63" s="1"/>
  <c r="AK117" i="63" s="1"/>
  <c r="AF117" i="63"/>
  <c r="T421" i="63"/>
  <c r="R422" i="63"/>
  <c r="AA118" i="63" l="1"/>
  <c r="AI118" i="63" s="1"/>
  <c r="Y118" i="63"/>
  <c r="AC118" i="63" s="1"/>
  <c r="AH118" i="63" s="1"/>
  <c r="R423" i="63"/>
  <c r="T422" i="63"/>
  <c r="AP118" i="63" l="1"/>
  <c r="AB118" i="63"/>
  <c r="R424" i="63"/>
  <c r="T423" i="63"/>
  <c r="AF118" i="63" l="1"/>
  <c r="AG118" i="63"/>
  <c r="AL118" i="63"/>
  <c r="R425" i="63"/>
  <c r="T424" i="63"/>
  <c r="AJ118" i="63" l="1"/>
  <c r="AK118" i="63" s="1"/>
  <c r="Y119" i="63"/>
  <c r="AA119" i="63"/>
  <c r="T425" i="63"/>
  <c r="R426" i="63"/>
  <c r="AP119" i="63" l="1"/>
  <c r="AI119" i="63"/>
  <c r="AC119" i="63"/>
  <c r="AH119" i="63" s="1"/>
  <c r="R427" i="63"/>
  <c r="T426" i="63"/>
  <c r="AB119" i="63" l="1"/>
  <c r="R428" i="63"/>
  <c r="T427" i="63"/>
  <c r="AF119" i="63" l="1"/>
  <c r="AG119" i="63"/>
  <c r="AL119" i="63"/>
  <c r="R429" i="63"/>
  <c r="T428" i="63"/>
  <c r="AJ119" i="63" l="1"/>
  <c r="AK119" i="63" s="1"/>
  <c r="Y120" i="63"/>
  <c r="AC120" i="63" s="1"/>
  <c r="AH120" i="63" s="1"/>
  <c r="T429" i="63"/>
  <c r="R430" i="63"/>
  <c r="R431" i="63" l="1"/>
  <c r="T430" i="63"/>
  <c r="R432" i="63" l="1"/>
  <c r="T431" i="63"/>
  <c r="R433" i="63" l="1"/>
  <c r="T432" i="63"/>
  <c r="T433" i="63" l="1"/>
  <c r="R434" i="63"/>
  <c r="R435" i="63" l="1"/>
  <c r="T434" i="63"/>
  <c r="R436" i="63" l="1"/>
  <c r="T435" i="63"/>
  <c r="R437" i="63" l="1"/>
  <c r="T436" i="63"/>
  <c r="T437" i="63" l="1"/>
  <c r="R438" i="63"/>
  <c r="R439" i="63" l="1"/>
  <c r="T438" i="63"/>
  <c r="R440" i="63" l="1"/>
  <c r="T439" i="63"/>
  <c r="R441" i="63" l="1"/>
  <c r="T440" i="63"/>
  <c r="T441" i="63" l="1"/>
  <c r="R442" i="63"/>
  <c r="R443" i="63" l="1"/>
  <c r="T442" i="63"/>
  <c r="R444" i="63" l="1"/>
  <c r="T443" i="63"/>
  <c r="R445" i="63" l="1"/>
  <c r="T444" i="63"/>
  <c r="T445" i="63" l="1"/>
  <c r="R446" i="63"/>
  <c r="R447" i="63" l="1"/>
  <c r="T446" i="63"/>
  <c r="R448" i="63" l="1"/>
  <c r="T447" i="63"/>
  <c r="R449" i="63" l="1"/>
  <c r="T448" i="63"/>
  <c r="T449" i="63" l="1"/>
  <c r="R450" i="63"/>
  <c r="R451" i="63" l="1"/>
  <c r="T450" i="63"/>
  <c r="R452" i="63" l="1"/>
  <c r="T451" i="63"/>
  <c r="R453" i="63" l="1"/>
  <c r="T452" i="63"/>
  <c r="T453" i="63" l="1"/>
  <c r="R454" i="63"/>
  <c r="R455" i="63" l="1"/>
  <c r="T454" i="63"/>
  <c r="R456" i="63" l="1"/>
  <c r="T455" i="63"/>
  <c r="R457" i="63" l="1"/>
  <c r="T456" i="63"/>
  <c r="T457" i="63" l="1"/>
  <c r="R458" i="63"/>
  <c r="R459" i="63" l="1"/>
  <c r="T458" i="63"/>
  <c r="R460" i="63" l="1"/>
  <c r="T459" i="63"/>
  <c r="R461" i="63" l="1"/>
  <c r="T460" i="63"/>
  <c r="T461" i="63" l="1"/>
  <c r="R462" i="63"/>
  <c r="R463" i="63" l="1"/>
  <c r="T462" i="63"/>
  <c r="R464" i="63" l="1"/>
  <c r="T463" i="63"/>
  <c r="R465" i="63" l="1"/>
  <c r="T464" i="63"/>
  <c r="T465" i="63" l="1"/>
  <c r="R466" i="63"/>
  <c r="R467" i="63" l="1"/>
  <c r="T466" i="63"/>
  <c r="R468" i="63" l="1"/>
  <c r="T467" i="63"/>
  <c r="R469" i="63" l="1"/>
  <c r="T468" i="63"/>
  <c r="T469" i="63" l="1"/>
  <c r="R470" i="63"/>
  <c r="R471" i="63" l="1"/>
  <c r="T470" i="63"/>
  <c r="R472" i="63" l="1"/>
  <c r="T471" i="63"/>
  <c r="R473" i="63" l="1"/>
  <c r="T472" i="63"/>
  <c r="T473" i="63" l="1"/>
  <c r="R474" i="63"/>
  <c r="R475" i="63" l="1"/>
  <c r="T474" i="63"/>
  <c r="R476" i="63" l="1"/>
  <c r="T475" i="63"/>
  <c r="R477" i="63" l="1"/>
  <c r="T476" i="63"/>
  <c r="T477" i="63" l="1"/>
  <c r="R478" i="63"/>
  <c r="R479" i="63" l="1"/>
  <c r="T478" i="63"/>
  <c r="R480" i="63" l="1"/>
  <c r="T479" i="63"/>
  <c r="R481" i="63" l="1"/>
  <c r="T480" i="63"/>
  <c r="T481" i="63" l="1"/>
  <c r="R482" i="63"/>
  <c r="R483" i="63" l="1"/>
  <c r="T482" i="63"/>
  <c r="R484" i="63" l="1"/>
  <c r="T483" i="63"/>
  <c r="R485" i="63" l="1"/>
  <c r="T484" i="63"/>
  <c r="T485" i="63" l="1"/>
  <c r="R486" i="63"/>
  <c r="R487" i="63" l="1"/>
  <c r="T486" i="63"/>
  <c r="R488" i="63" l="1"/>
  <c r="T487" i="63"/>
  <c r="R489" i="63" l="1"/>
  <c r="T488" i="63"/>
  <c r="T489" i="63" l="1"/>
  <c r="R490" i="63"/>
  <c r="R491" i="63" l="1"/>
  <c r="T491" i="63" s="1"/>
  <c r="T490" i="63"/>
  <c r="AA120" i="63"/>
  <c r="AP120" i="63" s="1"/>
  <c r="AI120" i="63" l="1"/>
  <c r="AB120" i="63"/>
  <c r="AG120" i="63" l="1"/>
  <c r="AF120" i="63"/>
  <c r="AL120" i="63"/>
  <c r="AA121" i="63" l="1"/>
  <c r="AP121" i="63" s="1"/>
  <c r="AJ120" i="63"/>
  <c r="AK120" i="63" s="1"/>
  <c r="Y121" i="63"/>
  <c r="AC121" i="63" l="1"/>
  <c r="AH121" i="63" s="1"/>
  <c r="AI121" i="63"/>
  <c r="AB121" i="63" l="1"/>
  <c r="AL121" i="63" s="1"/>
  <c r="AA122" i="63" s="1"/>
  <c r="AP122" i="63" s="1"/>
  <c r="AF121" i="63" l="1"/>
  <c r="Y122" i="63"/>
  <c r="AC122" i="63" s="1"/>
  <c r="AH122" i="63" s="1"/>
  <c r="AG121" i="63"/>
  <c r="AJ121" i="63"/>
  <c r="AK121" i="63" s="1"/>
  <c r="AI122" i="63"/>
  <c r="AB122" i="63" l="1"/>
  <c r="AL122" i="63" s="1"/>
  <c r="AJ122" i="63" s="1"/>
  <c r="AK122" i="63" s="1"/>
  <c r="AF122" i="63" l="1"/>
  <c r="AG122" i="63"/>
  <c r="Y123" i="63"/>
  <c r="AC123" i="63" s="1"/>
  <c r="AH123" i="63" s="1"/>
  <c r="AA123" i="63"/>
  <c r="AP123" i="63" s="1"/>
  <c r="AI123" i="63" l="1"/>
  <c r="AB123" i="63"/>
  <c r="AG123" i="63" s="1"/>
  <c r="AL123" i="63" l="1"/>
  <c r="AA124" i="63" s="1"/>
  <c r="AP124" i="63" s="1"/>
  <c r="AF123" i="63"/>
  <c r="AJ123" i="63" l="1"/>
  <c r="AK123" i="63" s="1"/>
  <c r="Y124" i="63"/>
  <c r="AC124" i="63" s="1"/>
  <c r="AH124" i="63" s="1"/>
  <c r="AI124" i="63"/>
  <c r="AB124" i="63" l="1"/>
  <c r="AG124" i="63" s="1"/>
  <c r="AF124" i="63" l="1"/>
  <c r="AL124" i="63"/>
  <c r="AJ124" i="63" s="1"/>
  <c r="AK124" i="63" s="1"/>
  <c r="Y125" i="63" l="1"/>
  <c r="AC125" i="63" s="1"/>
  <c r="AH125" i="63" s="1"/>
  <c r="AA125" i="63"/>
  <c r="AP125" i="63" s="1"/>
  <c r="AI125" i="63" l="1"/>
  <c r="AB125" i="63"/>
  <c r="AF125" i="63" s="1"/>
  <c r="AL125" i="63" l="1"/>
  <c r="AA126" i="63" s="1"/>
  <c r="AP126" i="63" s="1"/>
  <c r="AG125" i="63"/>
  <c r="Y126" i="63" l="1"/>
  <c r="AC126" i="63" s="1"/>
  <c r="AH126" i="63" s="1"/>
  <c r="AJ125" i="63"/>
  <c r="AK125" i="63" s="1"/>
  <c r="AI126" i="63"/>
  <c r="AB126" i="63" l="1"/>
  <c r="AG126" i="63" s="1"/>
  <c r="AL126" i="63" l="1"/>
  <c r="AJ126" i="63" s="1"/>
  <c r="AK126" i="63" s="1"/>
  <c r="AF126" i="63"/>
  <c r="Y127" i="63" l="1"/>
  <c r="AC127" i="63" s="1"/>
  <c r="AH127" i="63" s="1"/>
  <c r="AA127" i="63"/>
  <c r="AP127" i="63" s="1"/>
  <c r="AI127" i="63" l="1"/>
  <c r="AB127" i="63"/>
  <c r="AF127" i="63" s="1"/>
  <c r="AG127" i="63" l="1"/>
  <c r="AL127" i="63"/>
  <c r="AJ127" i="63" s="1"/>
  <c r="AK127" i="63" s="1"/>
  <c r="Y128" i="63" l="1"/>
  <c r="AC128" i="63" s="1"/>
  <c r="AH128" i="63" s="1"/>
  <c r="AA128" i="63"/>
  <c r="AP128" i="63" s="1"/>
  <c r="AI128" i="63" l="1"/>
  <c r="AB128" i="63"/>
  <c r="AL128" i="63" s="1"/>
  <c r="AJ128" i="63" s="1"/>
  <c r="AK128" i="63" l="1"/>
  <c r="AG128" i="63"/>
  <c r="AF128" i="63"/>
  <c r="Y129" i="63"/>
  <c r="AA129" i="63"/>
  <c r="AP129" i="63" s="1"/>
  <c r="AC129" i="63"/>
  <c r="AH129" i="63" s="1"/>
  <c r="AI129" i="63" l="1"/>
  <c r="AB129" i="63"/>
  <c r="AL129" i="63" s="1"/>
  <c r="AJ129" i="63" s="1"/>
  <c r="AF129" i="63" l="1"/>
  <c r="AG129" i="63"/>
  <c r="AA130" i="63"/>
  <c r="AP130" i="63" s="1"/>
  <c r="Y130" i="63"/>
  <c r="AC130" i="63" s="1"/>
  <c r="AH130" i="63" s="1"/>
  <c r="AK129" i="63"/>
  <c r="AI130" i="63" l="1"/>
  <c r="AB130" i="63"/>
  <c r="AL130" i="63" s="1"/>
  <c r="AA131" i="63" s="1"/>
  <c r="AP131" i="63" s="1"/>
  <c r="AG130" i="63" l="1"/>
  <c r="AF130" i="63"/>
  <c r="AJ130" i="63"/>
  <c r="AK130" i="63" s="1"/>
  <c r="Y131" i="63"/>
  <c r="AC131" i="63" s="1"/>
  <c r="AH131" i="63" s="1"/>
  <c r="AI131" i="63"/>
  <c r="AB131" i="63" l="1"/>
  <c r="AG131" i="63" s="1"/>
  <c r="AL131" i="63" l="1"/>
  <c r="AA132" i="63" s="1"/>
  <c r="AP132" i="63" s="1"/>
  <c r="AF131" i="63"/>
  <c r="Y132" i="63" l="1"/>
  <c r="AC132" i="63" s="1"/>
  <c r="AH132" i="63" s="1"/>
  <c r="AJ131" i="63"/>
  <c r="AK131" i="63" s="1"/>
  <c r="AI132" i="63"/>
  <c r="AB132" i="63" l="1"/>
  <c r="AF132" i="63" s="1"/>
  <c r="AG132" i="63" l="1"/>
  <c r="AL132" i="63"/>
  <c r="AJ132" i="63" s="1"/>
  <c r="AK132" i="63" s="1"/>
  <c r="Y133" i="63" l="1"/>
  <c r="AC133" i="63" s="1"/>
  <c r="AH133" i="63" s="1"/>
  <c r="AA133" i="63"/>
  <c r="AP133" i="63" s="1"/>
  <c r="AI133" i="63" l="1"/>
  <c r="AB133" i="63"/>
  <c r="AF133" i="63" s="1"/>
  <c r="AL133" i="63" l="1"/>
  <c r="AA134" i="63" s="1"/>
  <c r="AP134" i="63" s="1"/>
  <c r="AG133" i="63"/>
  <c r="Y134" i="63" l="1"/>
  <c r="AC134" i="63" s="1"/>
  <c r="AH134" i="63" s="1"/>
  <c r="AJ133" i="63"/>
  <c r="AK133" i="63" s="1"/>
  <c r="AI134" i="63"/>
  <c r="AB134" i="63" l="1"/>
  <c r="AG134" i="63" s="1"/>
  <c r="AF134" i="63" l="1"/>
  <c r="AL134" i="63"/>
  <c r="AJ134" i="63" s="1"/>
  <c r="AK134" i="63" s="1"/>
  <c r="Y135" i="63" l="1"/>
  <c r="AC135" i="63" s="1"/>
  <c r="AH135" i="63" s="1"/>
  <c r="AA135" i="63"/>
  <c r="AP135" i="63" s="1"/>
  <c r="AI135" i="63" l="1"/>
  <c r="AB135" i="63"/>
  <c r="AF135" i="63" s="1"/>
  <c r="AL135" i="63" l="1"/>
  <c r="AJ135" i="63" s="1"/>
  <c r="AK135" i="63" s="1"/>
  <c r="AB11" i="63"/>
  <c r="AJ11" i="63"/>
  <c r="AG135" i="63"/>
  <c r="Y136" i="63" l="1"/>
  <c r="AA136" i="63"/>
  <c r="AP136" i="63" s="1"/>
  <c r="AJ12" i="63"/>
  <c r="G13" i="1"/>
  <c r="F55" i="1" s="1"/>
  <c r="AC136" i="63"/>
  <c r="AH136" i="63" s="1"/>
  <c r="AI136" i="63"/>
  <c r="AB136" i="63" l="1"/>
  <c r="AL136" i="63" s="1"/>
  <c r="AJ136" i="63" s="1"/>
  <c r="AK136" i="63" s="1"/>
  <c r="AA137" i="63" l="1"/>
  <c r="AP137" i="63" s="1"/>
  <c r="Y137" i="63"/>
  <c r="AC137" i="63" s="1"/>
  <c r="AH137" i="63" s="1"/>
  <c r="AF136" i="63"/>
  <c r="AG136" i="63"/>
  <c r="AI137" i="63" l="1"/>
  <c r="AB137" i="63"/>
  <c r="AF137" i="63" s="1"/>
  <c r="AL137" i="63" l="1"/>
  <c r="AJ137" i="63" s="1"/>
  <c r="AK137" i="63" s="1"/>
  <c r="AG137" i="63"/>
  <c r="AA138" i="63" l="1"/>
  <c r="AP138" i="63" s="1"/>
  <c r="Y138" i="63"/>
  <c r="AC138" i="63" s="1"/>
  <c r="AH138" i="63" s="1"/>
  <c r="AI138" i="63" l="1"/>
  <c r="AB138" i="63"/>
  <c r="AG138" i="63" s="1"/>
  <c r="AL138" i="63" l="1"/>
  <c r="AA139" i="63" s="1"/>
  <c r="AP139" i="63" s="1"/>
  <c r="AF138" i="63"/>
  <c r="Y139" i="63" l="1"/>
  <c r="AC139" i="63" s="1"/>
  <c r="AH139" i="63" s="1"/>
  <c r="AJ138" i="63"/>
  <c r="AK138" i="63" s="1"/>
  <c r="AI139" i="63"/>
  <c r="AB139" i="63" l="1"/>
  <c r="AG139" i="63" s="1"/>
  <c r="AF139" i="63" l="1"/>
  <c r="AL139" i="63"/>
  <c r="AJ139" i="63" s="1"/>
  <c r="AK139" i="63" s="1"/>
  <c r="Y140" i="63" l="1"/>
  <c r="AC140" i="63" s="1"/>
  <c r="AH140" i="63" s="1"/>
  <c r="AA140" i="63"/>
  <c r="AP140" i="63" s="1"/>
  <c r="AI140" i="63" l="1"/>
  <c r="AB140" i="63"/>
  <c r="AG140" i="63" s="1"/>
  <c r="AF140" i="63" l="1"/>
  <c r="AL140" i="63"/>
  <c r="AJ140" i="63" s="1"/>
  <c r="AK140" i="63" s="1"/>
  <c r="Y141" i="63" l="1"/>
  <c r="AC141" i="63" s="1"/>
  <c r="AH141" i="63" s="1"/>
  <c r="AA141" i="63"/>
  <c r="AP141" i="63" s="1"/>
  <c r="AI141" i="63" l="1"/>
  <c r="AB141" i="63"/>
  <c r="AF141" i="63" s="1"/>
  <c r="AL141" i="63" l="1"/>
  <c r="AA142" i="63" s="1"/>
  <c r="AP142" i="63" s="1"/>
  <c r="AG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G143" i="63" s="1"/>
  <c r="AL143" i="63" l="1"/>
  <c r="AJ143" i="63" s="1"/>
  <c r="AK143" i="63" s="1"/>
  <c r="AF143" i="63"/>
  <c r="Y144" i="63" l="1"/>
  <c r="AC144" i="63" s="1"/>
  <c r="AH144" i="63" s="1"/>
  <c r="AA144" i="63"/>
  <c r="AP144" i="63" s="1"/>
  <c r="AI144" i="63" l="1"/>
  <c r="AB144" i="63"/>
  <c r="AF144" i="63" s="1"/>
  <c r="AL144" i="63" l="1"/>
  <c r="AJ144" i="63" s="1"/>
  <c r="AK144" i="63" s="1"/>
  <c r="AG144" i="63"/>
  <c r="Y145" i="63" l="1"/>
  <c r="AC145" i="63" s="1"/>
  <c r="AH145" i="63" s="1"/>
  <c r="AA145" i="63"/>
  <c r="AP145" i="63" s="1"/>
  <c r="AI145" i="63" l="1"/>
  <c r="AB145" i="63"/>
  <c r="AG145" i="63" s="1"/>
  <c r="AL145" i="63" l="1"/>
  <c r="AJ145" i="63" s="1"/>
  <c r="AK145" i="63" s="1"/>
  <c r="AF145" i="63"/>
  <c r="Y146" i="63" l="1"/>
  <c r="AC146" i="63" s="1"/>
  <c r="AH146" i="63" s="1"/>
  <c r="AA146" i="63"/>
  <c r="AP146" i="63" s="1"/>
  <c r="AI146" i="63" l="1"/>
  <c r="AB146" i="63"/>
  <c r="AL146" i="63" s="1"/>
  <c r="AJ146" i="63" s="1"/>
  <c r="AG146" i="63" l="1"/>
  <c r="AF146" i="63"/>
  <c r="Y147" i="63"/>
  <c r="AA147" i="63"/>
  <c r="AP147" i="63" s="1"/>
  <c r="AK146" i="63"/>
  <c r="AC147" i="63"/>
  <c r="AH147" i="63" s="1"/>
  <c r="AI147" i="63" l="1"/>
  <c r="AB147" i="63"/>
  <c r="AG147" i="63" s="1"/>
  <c r="AL147" i="63" l="1"/>
  <c r="AJ147" i="63" s="1"/>
  <c r="AK147" i="63" s="1"/>
  <c r="AF147" i="63"/>
  <c r="Y148" i="63" l="1"/>
  <c r="AC148" i="63" s="1"/>
  <c r="AH148" i="63" s="1"/>
  <c r="AA148" i="63"/>
  <c r="AP148" i="63" s="1"/>
  <c r="AI148" i="63" l="1"/>
  <c r="AB148" i="63"/>
  <c r="AF148" i="63" s="1"/>
  <c r="AL148" i="63" l="1"/>
  <c r="AJ148" i="63" s="1"/>
  <c r="AK148" i="63" s="1"/>
  <c r="AG148" i="63"/>
  <c r="Y149" i="63" l="1"/>
  <c r="AC149" i="63" s="1"/>
  <c r="AH149" i="63" s="1"/>
  <c r="AA149" i="63"/>
  <c r="AP149" i="63" s="1"/>
  <c r="AI149" i="63" l="1"/>
  <c r="AB149" i="63"/>
  <c r="AL149" i="63" s="1"/>
  <c r="AA150" i="63" s="1"/>
  <c r="AP150" i="63" s="1"/>
  <c r="AF149" i="63" l="1"/>
  <c r="AG149" i="63"/>
  <c r="Y150" i="63"/>
  <c r="AJ149" i="63"/>
  <c r="AK149" i="63" s="1"/>
  <c r="AC150" i="63"/>
  <c r="AH150" i="63" s="1"/>
  <c r="AI150" i="63"/>
  <c r="AB150" i="63" l="1"/>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L152" i="63" l="1"/>
  <c r="AJ152" i="63" s="1"/>
  <c r="AK152" i="63" s="1"/>
  <c r="AG152" i="63"/>
  <c r="Y153" i="63" l="1"/>
  <c r="AC153" i="63" s="1"/>
  <c r="AH153" i="63" s="1"/>
  <c r="AA153" i="63"/>
  <c r="AP153" i="63" s="1"/>
  <c r="AI153" i="63" l="1"/>
  <c r="AB153" i="63"/>
  <c r="AF153" i="63" s="1"/>
  <c r="AG153" i="63" l="1"/>
  <c r="AL153" i="63"/>
  <c r="AJ153" i="63" s="1"/>
  <c r="AK153" i="63" s="1"/>
  <c r="AA154" i="63"/>
  <c r="AP154" i="63" s="1"/>
  <c r="Y154" i="63" l="1"/>
  <c r="AC154" i="63" s="1"/>
  <c r="AH154" i="63" s="1"/>
  <c r="AI154" i="63"/>
  <c r="AB154" i="63" l="1"/>
  <c r="AG154" i="63" s="1"/>
  <c r="AL154" i="63" l="1"/>
  <c r="AJ154" i="63" s="1"/>
  <c r="AK154" i="63" s="1"/>
  <c r="AF154" i="63"/>
  <c r="AA155" i="63" l="1"/>
  <c r="AP155" i="63" s="1"/>
  <c r="Y155" i="63"/>
  <c r="AC155" i="63" s="1"/>
  <c r="AH155" i="63" s="1"/>
  <c r="AI155" i="63" l="1"/>
  <c r="AB155" i="63"/>
  <c r="AG155" i="63" s="1"/>
  <c r="AL155" i="63" l="1"/>
  <c r="AJ155" i="63" s="1"/>
  <c r="AK155" i="63" s="1"/>
  <c r="AF155" i="63"/>
  <c r="Y156" i="63" l="1"/>
  <c r="AC156" i="63" s="1"/>
  <c r="AH156" i="63" s="1"/>
  <c r="AA156" i="63"/>
  <c r="AP156" i="63" s="1"/>
  <c r="AI156" i="63" l="1"/>
  <c r="AB156" i="63"/>
  <c r="AF156" i="63" s="1"/>
  <c r="AL156" i="63" l="1"/>
  <c r="AA157" i="63" s="1"/>
  <c r="AP157" i="63" s="1"/>
  <c r="AG156" i="63"/>
  <c r="AJ156" i="63" l="1"/>
  <c r="AK156" i="63" s="1"/>
  <c r="Y157" i="63"/>
  <c r="AC157" i="63" s="1"/>
  <c r="AH157" i="63" s="1"/>
  <c r="AI157" i="63"/>
  <c r="AB157" i="63" l="1"/>
  <c r="AL157" i="63" s="1"/>
  <c r="AJ157" i="63" s="1"/>
  <c r="AK157" i="63" s="1"/>
  <c r="AF157" i="63" l="1"/>
  <c r="AA158" i="63"/>
  <c r="AP158" i="63" s="1"/>
  <c r="AG157" i="63"/>
  <c r="Y158" i="63"/>
  <c r="AC158" i="63" s="1"/>
  <c r="AH158" i="63" s="1"/>
  <c r="AI158" i="63" l="1"/>
  <c r="AB158" i="63"/>
  <c r="AG158" i="63" s="1"/>
  <c r="AL158" i="63" l="1"/>
  <c r="AA159" i="63" s="1"/>
  <c r="AP159" i="63" s="1"/>
  <c r="AF158" i="63"/>
  <c r="AJ158" i="63" l="1"/>
  <c r="AK158" i="63" s="1"/>
  <c r="Y159" i="63"/>
  <c r="AC159" i="63" s="1"/>
  <c r="AH159" i="63" s="1"/>
  <c r="AI159" i="63"/>
  <c r="AB159" i="63" l="1"/>
  <c r="AL159" i="63" s="1"/>
  <c r="AJ159" i="63" s="1"/>
  <c r="AK159" i="63" s="1"/>
  <c r="AG159" i="63" l="1"/>
  <c r="AF159" i="63"/>
  <c r="Y160" i="63"/>
  <c r="AC160" i="63" s="1"/>
  <c r="AH160" i="63" s="1"/>
  <c r="AA160" i="63"/>
  <c r="AP160" i="63" s="1"/>
  <c r="AI160" i="63" l="1"/>
  <c r="AB160" i="63"/>
  <c r="AL160" i="63" s="1"/>
  <c r="AJ160" i="63" s="1"/>
  <c r="AK160" i="63" l="1"/>
  <c r="AF160" i="63"/>
  <c r="AG160" i="63"/>
  <c r="Y161" i="63"/>
  <c r="AA161" i="63"/>
  <c r="AP161" i="63" s="1"/>
  <c r="AC161" i="63"/>
  <c r="AH161" i="63" s="1"/>
  <c r="AI161" i="63" l="1"/>
  <c r="AB161" i="63"/>
  <c r="AF161" i="63" s="1"/>
  <c r="AL161" i="63" l="1"/>
  <c r="AA162" i="63" s="1"/>
  <c r="AP162" i="63" s="1"/>
  <c r="AG161" i="63"/>
  <c r="Y162" i="63" l="1"/>
  <c r="AC162" i="63" s="1"/>
  <c r="AH162" i="63" s="1"/>
  <c r="AJ161" i="63"/>
  <c r="AK161" i="63" s="1"/>
  <c r="AI162" i="63"/>
  <c r="AB162" i="63" l="1"/>
  <c r="AL162" i="63" s="1"/>
  <c r="AA163" i="63" s="1"/>
  <c r="AP163" i="63" s="1"/>
  <c r="AG162" i="63" l="1"/>
  <c r="AF162" i="63"/>
  <c r="Y163" i="63"/>
  <c r="AJ162" i="63"/>
  <c r="AK162" i="63" s="1"/>
  <c r="AC163" i="63"/>
  <c r="AH163" i="63" s="1"/>
  <c r="AI163" i="63"/>
  <c r="AB163" i="63" l="1"/>
  <c r="AG163" i="63" s="1"/>
  <c r="AF163" i="63" l="1"/>
  <c r="AL163" i="63"/>
  <c r="AA164" i="63" s="1"/>
  <c r="AP164" i="63" s="1"/>
  <c r="Y164" i="63" l="1"/>
  <c r="AC164" i="63" s="1"/>
  <c r="AH164" i="63" s="1"/>
  <c r="AJ163" i="63"/>
  <c r="AK163" i="63" s="1"/>
  <c r="AI164" i="63"/>
  <c r="AB164" i="63" l="1"/>
  <c r="AG164" i="63" s="1"/>
  <c r="AL164" i="63" l="1"/>
  <c r="AJ164" i="63" s="1"/>
  <c r="AK164" i="63" s="1"/>
  <c r="AF164" i="63"/>
  <c r="AA165" i="63" l="1"/>
  <c r="AP165" i="63" s="1"/>
  <c r="Y165" i="63"/>
  <c r="AC165" i="63" s="1"/>
  <c r="AH165" i="63" s="1"/>
  <c r="AI165" i="63" l="1"/>
  <c r="AB165" i="63"/>
  <c r="AL165" i="63" s="1"/>
  <c r="AA166" i="63" s="1"/>
  <c r="AP166" i="63" s="1"/>
  <c r="AG165" i="63" l="1"/>
  <c r="AF165" i="63"/>
  <c r="Y166" i="63"/>
  <c r="AJ165" i="63"/>
  <c r="AK165" i="63" s="1"/>
  <c r="AC166" i="63"/>
  <c r="AH166" i="63" s="1"/>
  <c r="AI166" i="63"/>
  <c r="AB166" i="63" l="1"/>
  <c r="AL166" i="63" s="1"/>
  <c r="AJ166" i="63" s="1"/>
  <c r="AK166" i="63" s="1"/>
  <c r="AG166" i="63" l="1"/>
  <c r="AF166" i="63"/>
  <c r="Y167" i="63"/>
  <c r="AA167" i="63"/>
  <c r="AP167" i="63" s="1"/>
  <c r="AC167" i="63"/>
  <c r="AH167" i="63" s="1"/>
  <c r="AI167" i="63" l="1"/>
  <c r="AB167" i="63"/>
  <c r="AL167" i="63" s="1"/>
  <c r="AA168" i="63" s="1"/>
  <c r="AP168" i="63" s="1"/>
  <c r="AF167" i="63" l="1"/>
  <c r="AJ167" i="63"/>
  <c r="AK167" i="63" s="1"/>
  <c r="AG167" i="63"/>
  <c r="Y168" i="63"/>
  <c r="AC168" i="63" s="1"/>
  <c r="AH168" i="63" s="1"/>
  <c r="AI168" i="63"/>
  <c r="AB168" i="63" l="1"/>
  <c r="AL168" i="63" s="1"/>
  <c r="AJ168" i="63" s="1"/>
  <c r="AK168" i="63" s="1"/>
  <c r="AG168" i="63" l="1"/>
  <c r="AF168" i="63"/>
  <c r="Y169" i="63"/>
  <c r="AC169" i="63" s="1"/>
  <c r="AH169" i="63" s="1"/>
  <c r="AA169" i="63"/>
  <c r="AP169" i="63" s="1"/>
  <c r="AI169" i="63" l="1"/>
  <c r="AB169" i="63"/>
  <c r="AL169" i="63" s="1"/>
  <c r="AJ169" i="63" s="1"/>
  <c r="AK169" i="63" l="1"/>
  <c r="AF169" i="63"/>
  <c r="AG169" i="63"/>
  <c r="Y170" i="63"/>
  <c r="AA170" i="63"/>
  <c r="AP170" i="63" s="1"/>
  <c r="AC170" i="63"/>
  <c r="AH170" i="63" s="1"/>
  <c r="AI170" i="63" l="1"/>
  <c r="AB170" i="63"/>
  <c r="AG170" i="63" s="1"/>
  <c r="AL170" i="63" l="1"/>
  <c r="AA171" i="63" s="1"/>
  <c r="AP171" i="63" s="1"/>
  <c r="AF170" i="63"/>
  <c r="Y171" i="63" l="1"/>
  <c r="AC171" i="63" s="1"/>
  <c r="AH171" i="63" s="1"/>
  <c r="AJ170" i="63"/>
  <c r="AK170" i="63" s="1"/>
  <c r="AI171" i="63"/>
  <c r="AB171" i="63" l="1"/>
  <c r="AG171" i="63" s="1"/>
  <c r="AF171" i="63" l="1"/>
  <c r="AL171" i="63"/>
  <c r="AA172" i="63" s="1"/>
  <c r="AP172" i="63" s="1"/>
  <c r="AJ171" i="63" l="1"/>
  <c r="AK171" i="63" s="1"/>
  <c r="Y172" i="63"/>
  <c r="AC172" i="63" s="1"/>
  <c r="AH172" i="63" s="1"/>
  <c r="AI172" i="63"/>
  <c r="AB172" i="63" l="1"/>
  <c r="AL172" i="63" s="1"/>
  <c r="AJ172" i="63" s="1"/>
  <c r="AK172" i="63" s="1"/>
  <c r="Y173" i="63" l="1"/>
  <c r="AC173" i="63" s="1"/>
  <c r="AH173" i="63" s="1"/>
  <c r="AG172" i="63"/>
  <c r="AF172" i="63"/>
  <c r="AA173" i="63"/>
  <c r="AI173" i="63" l="1"/>
  <c r="AP173" i="63"/>
  <c r="AB173" i="63"/>
  <c r="AF173" i="63" s="1"/>
  <c r="AG173" i="63" l="1"/>
  <c r="AL173" i="63"/>
  <c r="AA174" i="63" s="1"/>
  <c r="AP174" i="63" s="1"/>
  <c r="Y174" i="63" l="1"/>
  <c r="AC174" i="63" s="1"/>
  <c r="AH174" i="63" s="1"/>
  <c r="AJ173" i="63"/>
  <c r="AK173" i="63" s="1"/>
  <c r="AI174" i="63"/>
  <c r="AB174" i="63" l="1"/>
  <c r="AL174" i="63" s="1"/>
  <c r="AA175" i="63" s="1"/>
  <c r="AP175" i="63" s="1"/>
  <c r="AF174" i="63" l="1"/>
  <c r="AG174" i="63"/>
  <c r="Y175" i="63"/>
  <c r="AC175" i="63" s="1"/>
  <c r="AH175" i="63" s="1"/>
  <c r="AJ174" i="63"/>
  <c r="AK174" i="63" s="1"/>
  <c r="AI175" i="63"/>
  <c r="AB175" i="63" l="1"/>
  <c r="AG175" i="63" s="1"/>
  <c r="AL175" i="63" l="1"/>
  <c r="AA176" i="63" s="1"/>
  <c r="AP176" i="63" s="1"/>
  <c r="AF175" i="63"/>
  <c r="AJ175" i="63" l="1"/>
  <c r="AK175" i="63" s="1"/>
  <c r="Y176" i="63"/>
  <c r="AC176" i="63" s="1"/>
  <c r="AH176" i="63" s="1"/>
  <c r="AI176" i="63"/>
  <c r="AB176" i="63" l="1"/>
  <c r="AL176" i="63" s="1"/>
  <c r="AJ176" i="63" s="1"/>
  <c r="AK176" i="63" s="1"/>
  <c r="AG176" i="63" l="1"/>
  <c r="AF176" i="63"/>
  <c r="AA177" i="63"/>
  <c r="AP177" i="63" s="1"/>
  <c r="Y177" i="63"/>
  <c r="AC177" i="63" s="1"/>
  <c r="AH177" i="63" s="1"/>
  <c r="AI177" i="63" l="1"/>
  <c r="AB177" i="63"/>
  <c r="AL177" i="63" s="1"/>
  <c r="AJ177" i="63" s="1"/>
  <c r="AF177" i="63" l="1"/>
  <c r="AG177" i="63"/>
  <c r="Y178" i="63"/>
  <c r="AC178" i="63" s="1"/>
  <c r="AH178" i="63" s="1"/>
  <c r="AK177" i="63"/>
  <c r="AA178" i="63"/>
  <c r="AP178" i="63" s="1"/>
  <c r="AI178" i="63" l="1"/>
  <c r="AB178" i="63"/>
  <c r="AL178" i="63" s="1"/>
  <c r="AJ178" i="63" s="1"/>
  <c r="AK178" i="63" l="1"/>
  <c r="AG178" i="63"/>
  <c r="AF178" i="63"/>
  <c r="Y179" i="63"/>
  <c r="AC179" i="63" s="1"/>
  <c r="AH179" i="63" s="1"/>
  <c r="AA179" i="63"/>
  <c r="AP179" i="63" s="1"/>
  <c r="AI179" i="63" l="1"/>
  <c r="AB179" i="63"/>
  <c r="AG179" i="63" s="1"/>
  <c r="AF179" i="63" l="1"/>
  <c r="AL179" i="63"/>
  <c r="AJ179" i="63" s="1"/>
  <c r="AK179" i="63" s="1"/>
  <c r="AA180" i="63" l="1"/>
  <c r="AP180" i="63" s="1"/>
  <c r="Y180" i="63"/>
  <c r="AC180" i="63" s="1"/>
  <c r="AH180" i="63" s="1"/>
  <c r="AI180" i="63" l="1"/>
  <c r="AB180" i="63"/>
  <c r="AF180" i="63" s="1"/>
  <c r="AG180" i="63" l="1"/>
  <c r="AL180" i="63"/>
  <c r="AJ180" i="63" s="1"/>
  <c r="AK180" i="63" s="1"/>
  <c r="AA181" i="63" l="1"/>
  <c r="AP181" i="63" s="1"/>
  <c r="Y181" i="63"/>
  <c r="AC181" i="63" s="1"/>
  <c r="AH181" i="63" s="1"/>
  <c r="AI181" i="63" l="1"/>
  <c r="AB181" i="63"/>
  <c r="AL181" i="63" s="1"/>
  <c r="AJ181" i="63" s="1"/>
  <c r="AK181" i="63" l="1"/>
  <c r="AG181" i="63"/>
  <c r="AF181" i="63"/>
  <c r="Y182" i="63"/>
  <c r="AA182" i="63"/>
  <c r="AP182" i="63" s="1"/>
  <c r="AC182" i="63"/>
  <c r="AH182" i="63" s="1"/>
  <c r="AI182" i="63" l="1"/>
  <c r="AB182" i="63"/>
  <c r="AL182" i="63" s="1"/>
  <c r="AJ182" i="63" s="1"/>
  <c r="AK182" i="63" l="1"/>
  <c r="AG182" i="63"/>
  <c r="AF182" i="63"/>
  <c r="Y183" i="63"/>
  <c r="AA183" i="63"/>
  <c r="AP183" i="63" s="1"/>
  <c r="AC183" i="63"/>
  <c r="AH183" i="63" s="1"/>
  <c r="AI183" i="63" l="1"/>
  <c r="AB183" i="63"/>
  <c r="AG183" i="63" s="1"/>
  <c r="AF183" i="63" l="1"/>
  <c r="AL183" i="63"/>
  <c r="AJ183" i="63" s="1"/>
  <c r="AK183" i="63" s="1"/>
  <c r="Y184" i="63" l="1"/>
  <c r="AC184" i="63" s="1"/>
  <c r="AH184" i="63" s="1"/>
  <c r="AA184" i="63"/>
  <c r="AP184" i="63" s="1"/>
  <c r="AI184" i="63" l="1"/>
  <c r="AB184" i="63"/>
  <c r="AG184" i="63" s="1"/>
  <c r="AF184" i="63" l="1"/>
  <c r="AL184" i="63"/>
  <c r="AA185" i="63" s="1"/>
  <c r="AP185" i="63" s="1"/>
  <c r="Y185" i="63" l="1"/>
  <c r="AC185" i="63" s="1"/>
  <c r="AH185" i="63" s="1"/>
  <c r="AJ184" i="63"/>
  <c r="AK184" i="63" s="1"/>
  <c r="AI185" i="63"/>
  <c r="AB185" i="63" l="1"/>
  <c r="AL185" i="63" s="1"/>
  <c r="AJ185" i="63" s="1"/>
  <c r="AK185" i="63" s="1"/>
  <c r="AG185" i="63" l="1"/>
  <c r="AF185" i="63"/>
  <c r="Y186" i="63"/>
  <c r="AC186" i="63" s="1"/>
  <c r="AH186" i="63" s="1"/>
  <c r="AA186" i="63"/>
  <c r="AI186" i="63" l="1"/>
  <c r="AP186" i="63"/>
  <c r="AB186" i="63"/>
  <c r="AG186" i="63" s="1"/>
  <c r="AL186" i="63" l="1"/>
  <c r="AJ186" i="63" s="1"/>
  <c r="AK186" i="63" s="1"/>
  <c r="AF186" i="63"/>
  <c r="Y187" i="63" l="1"/>
  <c r="AC187" i="63" s="1"/>
  <c r="AH187" i="63" s="1"/>
  <c r="AA187" i="63"/>
  <c r="AP187" i="63" s="1"/>
  <c r="AI187" i="63" l="1"/>
  <c r="AB187" i="63"/>
  <c r="AF187" i="63" s="1"/>
  <c r="AL187" i="63" l="1"/>
  <c r="AA188" i="63" s="1"/>
  <c r="AP188" i="63" s="1"/>
  <c r="AG187" i="63"/>
  <c r="Y188" i="63" l="1"/>
  <c r="AC188" i="63" s="1"/>
  <c r="AH188" i="63" s="1"/>
  <c r="AJ187" i="63"/>
  <c r="AK187" i="63" s="1"/>
  <c r="AI188" i="63"/>
  <c r="AB188" i="63" l="1"/>
  <c r="AG188" i="63" s="1"/>
  <c r="AL188" i="63" l="1"/>
  <c r="AA189" i="63" s="1"/>
  <c r="AP189" i="63" s="1"/>
  <c r="AF188" i="63"/>
  <c r="AJ188" i="63" l="1"/>
  <c r="AK188" i="63" s="1"/>
  <c r="Y189" i="63"/>
  <c r="AC189" i="63" s="1"/>
  <c r="AH189" i="63" s="1"/>
  <c r="AI189" i="63"/>
  <c r="AB189" i="63" l="1"/>
  <c r="AF189" i="63" s="1"/>
  <c r="AL189" i="63" l="1"/>
  <c r="AJ189" i="63" s="1"/>
  <c r="AK189" i="63" s="1"/>
  <c r="AG189" i="63"/>
  <c r="Y190" i="63" l="1"/>
  <c r="AC190" i="63" s="1"/>
  <c r="AH190" i="63" s="1"/>
  <c r="AA190" i="63"/>
  <c r="AP190" i="63" s="1"/>
  <c r="AI190" i="63" l="1"/>
  <c r="AB190" i="63"/>
  <c r="AL190" i="63" s="1"/>
  <c r="AJ190" i="63" s="1"/>
  <c r="AK190" i="63" l="1"/>
  <c r="AF190" i="63"/>
  <c r="AG190" i="63"/>
  <c r="Y191" i="63"/>
  <c r="AA191" i="63"/>
  <c r="AP191" i="63" s="1"/>
  <c r="AC191" i="63"/>
  <c r="AH191" i="63" s="1"/>
  <c r="AI191" i="63" l="1"/>
  <c r="AB191" i="63"/>
  <c r="AF191" i="63" s="1"/>
  <c r="AL191" i="63" l="1"/>
  <c r="AJ191" i="63" s="1"/>
  <c r="AK191" i="63" s="1"/>
  <c r="AG191" i="63"/>
  <c r="Y192" i="63" l="1"/>
  <c r="AC192" i="63" s="1"/>
  <c r="AH192" i="63" s="1"/>
  <c r="AA192" i="63"/>
  <c r="AP192" i="63" s="1"/>
  <c r="AI192" i="63" l="1"/>
  <c r="AB192" i="63"/>
  <c r="AG192" i="63" s="1"/>
  <c r="AL192" i="63" l="1"/>
  <c r="AA193" i="63" s="1"/>
  <c r="AP193" i="63" s="1"/>
  <c r="AF192" i="63"/>
  <c r="Y193" i="63" l="1"/>
  <c r="AC193" i="63" s="1"/>
  <c r="AH193" i="63" s="1"/>
  <c r="AJ192" i="63"/>
  <c r="AK192" i="63" s="1"/>
  <c r="AI193" i="63"/>
  <c r="AB193" i="63" l="1"/>
  <c r="AF193" i="63" s="1"/>
  <c r="AL193" i="63" l="1"/>
  <c r="AJ193" i="63" s="1"/>
  <c r="AK193" i="63" s="1"/>
  <c r="AG193" i="63"/>
  <c r="Y194" i="63" l="1"/>
  <c r="AC194" i="63" s="1"/>
  <c r="AH194" i="63" s="1"/>
  <c r="AA194" i="63"/>
  <c r="AP194" i="63" s="1"/>
  <c r="AI194" i="63" l="1"/>
  <c r="AB194" i="63"/>
  <c r="AG194" i="63" s="1"/>
  <c r="AL194" i="63" l="1"/>
  <c r="AJ194" i="63" s="1"/>
  <c r="AK194" i="63" s="1"/>
  <c r="AF194" i="63"/>
  <c r="AA195" i="63" l="1"/>
  <c r="AP195" i="63" s="1"/>
  <c r="Y195" i="63"/>
  <c r="AC195" i="63" s="1"/>
  <c r="AH195" i="63" s="1"/>
  <c r="AI195" i="63" l="1"/>
  <c r="AB195" i="63"/>
  <c r="AF195" i="63" l="1"/>
  <c r="AG195" i="63"/>
  <c r="AL195" i="63"/>
  <c r="AA196" i="63" l="1"/>
  <c r="AP196" i="63" s="1"/>
  <c r="AJ195" i="63"/>
  <c r="AK195" i="63" s="1"/>
  <c r="Y196" i="63"/>
  <c r="AC196" i="63" l="1"/>
  <c r="AH196" i="63" s="1"/>
  <c r="AI196" i="63"/>
  <c r="AB196" i="63" l="1"/>
  <c r="AG196" i="63" s="1"/>
  <c r="AL196" i="63" l="1"/>
  <c r="AJ196" i="63" s="1"/>
  <c r="AK196" i="63" s="1"/>
  <c r="AF196" i="63"/>
  <c r="Y197" i="63" l="1"/>
  <c r="AC197" i="63" s="1"/>
  <c r="AH197" i="63" s="1"/>
  <c r="AA197" i="63"/>
  <c r="AP197" i="63" s="1"/>
  <c r="AI197" i="63" l="1"/>
  <c r="AB197" i="63"/>
  <c r="AG197" i="63" s="1"/>
  <c r="AL197" i="63" l="1"/>
  <c r="AA198" i="63" s="1"/>
  <c r="AP198" i="63" s="1"/>
  <c r="AF197" i="63"/>
  <c r="Y198" i="63" l="1"/>
  <c r="AC198" i="63" s="1"/>
  <c r="AH198" i="63" s="1"/>
  <c r="AJ197" i="63"/>
  <c r="AK197" i="63" s="1"/>
  <c r="AI198" i="63"/>
  <c r="AB198" i="63" l="1"/>
  <c r="AG198" i="63" s="1"/>
  <c r="AL198" i="63" l="1"/>
  <c r="AJ198" i="63" s="1"/>
  <c r="AK198" i="63" s="1"/>
  <c r="AF198" i="63"/>
  <c r="Y199" i="63" l="1"/>
  <c r="AC199" i="63" s="1"/>
  <c r="AH199" i="63" s="1"/>
  <c r="AA199" i="63"/>
  <c r="AP199" i="63" s="1"/>
  <c r="AI199" i="63" l="1"/>
  <c r="AB199" i="63"/>
  <c r="AG199" i="63" s="1"/>
  <c r="AF199" i="63" l="1"/>
  <c r="AL199" i="63"/>
  <c r="AJ199" i="63" s="1"/>
  <c r="AK199" i="63" s="1"/>
  <c r="Y200" i="63" l="1"/>
  <c r="AC200" i="63" s="1"/>
  <c r="AH200" i="63" s="1"/>
  <c r="AA200" i="63"/>
  <c r="AP200" i="63" s="1"/>
  <c r="AI200" i="63" l="1"/>
  <c r="AB200" i="63"/>
  <c r="AG200" i="63" s="1"/>
  <c r="AL200" i="63" l="1"/>
  <c r="AJ200" i="63" s="1"/>
  <c r="AK200" i="63" s="1"/>
  <c r="AF200" i="63"/>
  <c r="Y201" i="63" l="1"/>
  <c r="AC201" i="63" s="1"/>
  <c r="AH201" i="63" s="1"/>
  <c r="AA201" i="63"/>
  <c r="AP201" i="63" s="1"/>
  <c r="AI201" i="63" l="1"/>
  <c r="AB201" i="63"/>
  <c r="AG201" i="63" s="1"/>
  <c r="AF201" i="63" l="1"/>
  <c r="AL201" i="63"/>
  <c r="AA202" i="63" s="1"/>
  <c r="AP202" i="63" s="1"/>
  <c r="Y202" i="63" l="1"/>
  <c r="AC202" i="63" s="1"/>
  <c r="AH202" i="63" s="1"/>
  <c r="AJ201" i="63"/>
  <c r="AK201" i="63" s="1"/>
  <c r="AI202" i="63"/>
  <c r="AB202" i="63" l="1"/>
  <c r="AF202" i="63" s="1"/>
  <c r="AG202" i="63" l="1"/>
  <c r="AL202" i="63"/>
  <c r="AJ202" i="63" s="1"/>
  <c r="AK202" i="63" s="1"/>
  <c r="Y203" i="63" l="1"/>
  <c r="AC203" i="63" s="1"/>
  <c r="AH203" i="63" s="1"/>
  <c r="AA203" i="63"/>
  <c r="AP203" i="63" s="1"/>
  <c r="AI203" i="63" l="1"/>
  <c r="AB203" i="63"/>
  <c r="AG203" i="63" s="1"/>
  <c r="AL203" i="63" l="1"/>
  <c r="AA204" i="63" s="1"/>
  <c r="AP204" i="63" s="1"/>
  <c r="AF203" i="63"/>
  <c r="Y204" i="63" l="1"/>
  <c r="AC204" i="63" s="1"/>
  <c r="AH204" i="63" s="1"/>
  <c r="AJ203" i="63"/>
  <c r="AK203" i="63" s="1"/>
  <c r="AI204" i="63"/>
  <c r="AB204" i="63" l="1"/>
  <c r="AF204" i="63" s="1"/>
  <c r="AL204" i="63" l="1"/>
  <c r="AJ204" i="63" s="1"/>
  <c r="AK204" i="63" s="1"/>
  <c r="AG204" i="63"/>
  <c r="Y205" i="63" l="1"/>
  <c r="AC205" i="63" s="1"/>
  <c r="AH205" i="63" s="1"/>
  <c r="AA205" i="63"/>
  <c r="AP205" i="63" s="1"/>
  <c r="AI205" i="63" l="1"/>
  <c r="AB205" i="63"/>
  <c r="AL205" i="63" s="1"/>
  <c r="AJ205" i="63" s="1"/>
  <c r="AK205" i="63" l="1"/>
  <c r="AG205" i="63"/>
  <c r="AA206" i="63"/>
  <c r="AP206" i="63" s="1"/>
  <c r="AF205" i="63"/>
  <c r="Y206" i="63"/>
  <c r="AC206" i="63" s="1"/>
  <c r="AH206" i="63" s="1"/>
  <c r="AI206" i="63" l="1"/>
  <c r="AB206" i="63"/>
  <c r="AL206" i="63" s="1"/>
  <c r="AJ206" i="63" s="1"/>
  <c r="AF206" i="63" l="1"/>
  <c r="AK206" i="63"/>
  <c r="AG206" i="63"/>
  <c r="Y207" i="63"/>
  <c r="AC207" i="63" s="1"/>
  <c r="AH207" i="63" s="1"/>
  <c r="AA207" i="63"/>
  <c r="AP207" i="63" s="1"/>
  <c r="AI207" i="63" l="1"/>
  <c r="AB207" i="63"/>
  <c r="AF207" i="63" s="1"/>
  <c r="AL207" i="63" l="1"/>
  <c r="AJ207" i="63" s="1"/>
  <c r="AK207" i="63" s="1"/>
  <c r="AG207" i="63"/>
  <c r="AA208" i="63" l="1"/>
  <c r="AP208" i="63" s="1"/>
  <c r="Y208" i="63"/>
  <c r="AC208" i="63" s="1"/>
  <c r="AH208" i="63" s="1"/>
  <c r="AI208" i="63" l="1"/>
  <c r="AB208" i="63"/>
  <c r="AG208" i="63" s="1"/>
  <c r="AF208" i="63" l="1"/>
  <c r="AL208" i="63"/>
  <c r="AJ208" i="63" s="1"/>
  <c r="AK208" i="63" s="1"/>
  <c r="Y209" i="63" l="1"/>
  <c r="AC209" i="63" s="1"/>
  <c r="AH209" i="63" s="1"/>
  <c r="AA209" i="63"/>
  <c r="AP209" i="63" s="1"/>
  <c r="AI209" i="63" l="1"/>
  <c r="AB209" i="63"/>
  <c r="AF209" i="63" s="1"/>
  <c r="AL209" i="63" l="1"/>
  <c r="AJ209" i="63" s="1"/>
  <c r="AK209" i="63" s="1"/>
  <c r="AG209" i="63"/>
  <c r="Y210" i="63" l="1"/>
  <c r="AC210" i="63" s="1"/>
  <c r="AH210" i="63" s="1"/>
  <c r="AA210" i="63"/>
  <c r="AP210" i="63" s="1"/>
  <c r="AI210" i="63" l="1"/>
  <c r="AB210" i="63"/>
  <c r="AL210" i="63" s="1"/>
  <c r="AJ210" i="63" s="1"/>
  <c r="AK210" i="63" l="1"/>
  <c r="AF210" i="63"/>
  <c r="AG210" i="63"/>
  <c r="AA211" i="63"/>
  <c r="AP211" i="63" s="1"/>
  <c r="Y211" i="63"/>
  <c r="AC211" i="63" s="1"/>
  <c r="AH211" i="63" s="1"/>
  <c r="AI211" i="63" l="1"/>
  <c r="AB211" i="63"/>
  <c r="AG211" i="63" s="1"/>
  <c r="AL211" i="63" l="1"/>
  <c r="AJ211" i="63" s="1"/>
  <c r="AK211" i="63" s="1"/>
  <c r="AF211" i="63"/>
  <c r="Y212" i="63" l="1"/>
  <c r="AC212" i="63" s="1"/>
  <c r="AH212" i="63" s="1"/>
  <c r="AA212" i="63"/>
  <c r="AP212" i="63" s="1"/>
  <c r="AI212" i="63" l="1"/>
  <c r="AB212" i="63"/>
  <c r="AG212" i="63" s="1"/>
  <c r="AL212" i="63" l="1"/>
  <c r="AJ212" i="63" s="1"/>
  <c r="AK212" i="63" s="1"/>
  <c r="AF212" i="63"/>
  <c r="Y213" i="63" l="1"/>
  <c r="AC213" i="63" s="1"/>
  <c r="AH213" i="63" s="1"/>
  <c r="AA213" i="63"/>
  <c r="AP213" i="63" s="1"/>
  <c r="AI213" i="63" l="1"/>
  <c r="AB213" i="63"/>
  <c r="AF213" i="63" s="1"/>
  <c r="AL213" i="63" l="1"/>
  <c r="AA214" i="63" s="1"/>
  <c r="AP214" i="63" s="1"/>
  <c r="AG213" i="63"/>
  <c r="Y214" i="63" l="1"/>
  <c r="AC214" i="63" s="1"/>
  <c r="AH214" i="63" s="1"/>
  <c r="AJ213" i="63"/>
  <c r="AK213" i="63" s="1"/>
  <c r="AI214" i="63"/>
  <c r="AB214" i="63" l="1"/>
  <c r="AL214" i="63" s="1"/>
  <c r="AJ214" i="63" s="1"/>
  <c r="AK214" i="63" s="1"/>
  <c r="AF214" i="63" l="1"/>
  <c r="Y215" i="63"/>
  <c r="AC215" i="63" s="1"/>
  <c r="AH215" i="63" s="1"/>
  <c r="AG214" i="63"/>
  <c r="AA215" i="63"/>
  <c r="AP215" i="63" s="1"/>
  <c r="AI215" i="63" l="1"/>
  <c r="AB215" i="63"/>
  <c r="AF215" i="63" s="1"/>
  <c r="AL215" i="63" l="1"/>
  <c r="AA216" i="63" s="1"/>
  <c r="AP216" i="63" s="1"/>
  <c r="AG215" i="63"/>
  <c r="Y216" i="63" l="1"/>
  <c r="AC216" i="63" s="1"/>
  <c r="AH216" i="63" s="1"/>
  <c r="AJ215" i="63"/>
  <c r="AK215" i="63" s="1"/>
  <c r="AI216" i="63"/>
  <c r="AB216" i="63" l="1"/>
  <c r="AG216" i="63" s="1"/>
  <c r="AL216" i="63" l="1"/>
  <c r="AA217" i="63" s="1"/>
  <c r="AP217" i="63" s="1"/>
  <c r="AF216" i="63"/>
  <c r="Y217" i="63" l="1"/>
  <c r="AC217" i="63" s="1"/>
  <c r="AH217" i="63" s="1"/>
  <c r="AJ216" i="63"/>
  <c r="AK216" i="63" s="1"/>
  <c r="AI217" i="63"/>
  <c r="AB217" i="63" l="1"/>
  <c r="AF217" i="63" s="1"/>
  <c r="AL217" i="63" l="1"/>
  <c r="AA218" i="63" s="1"/>
  <c r="AP218" i="63" s="1"/>
  <c r="AG217" i="63"/>
  <c r="Y218" i="63" l="1"/>
  <c r="AC218" i="63" s="1"/>
  <c r="AH218" i="63" s="1"/>
  <c r="AJ217" i="63"/>
  <c r="AK217" i="63" s="1"/>
  <c r="AI218" i="63"/>
  <c r="AB218" i="63" l="1"/>
  <c r="AL218" i="63" s="1"/>
  <c r="AA219" i="63" s="1"/>
  <c r="AP219" i="63" s="1"/>
  <c r="AG218" i="63" l="1"/>
  <c r="AF218" i="63"/>
  <c r="Y219" i="63"/>
  <c r="AC219" i="63" s="1"/>
  <c r="AH219" i="63" s="1"/>
  <c r="AJ218" i="63"/>
  <c r="AK218" i="63" s="1"/>
  <c r="AI219" i="63"/>
  <c r="AB219" i="63" l="1"/>
  <c r="AF219" i="63" s="1"/>
  <c r="AL219" i="63" l="1"/>
  <c r="AJ219" i="63" s="1"/>
  <c r="AK219" i="63" s="1"/>
  <c r="AG219" i="63"/>
  <c r="AA220" i="63" l="1"/>
  <c r="AP220" i="63" s="1"/>
  <c r="Y220" i="63"/>
  <c r="AC220" i="63" s="1"/>
  <c r="AH220" i="63" s="1"/>
  <c r="AI220" i="63" l="1"/>
  <c r="AB220" i="63"/>
  <c r="AF220" i="63" s="1"/>
  <c r="AL220" i="63" l="1"/>
  <c r="AJ220" i="63" s="1"/>
  <c r="AK220" i="63" s="1"/>
  <c r="AG220" i="63"/>
  <c r="Y221" i="63" l="1"/>
  <c r="AC221" i="63" s="1"/>
  <c r="AH221" i="63" s="1"/>
  <c r="AA221" i="63"/>
  <c r="AP221" i="63" s="1"/>
  <c r="AI221" i="63" l="1"/>
  <c r="AB221" i="63"/>
  <c r="AG221" i="63" s="1"/>
  <c r="AL221" i="63" l="1"/>
  <c r="AJ221" i="63" s="1"/>
  <c r="AK221" i="63" s="1"/>
  <c r="AF221" i="63"/>
  <c r="Y222" i="63" l="1"/>
  <c r="AC222" i="63" s="1"/>
  <c r="AH222" i="63" s="1"/>
  <c r="AA222" i="63"/>
  <c r="AP222" i="63" s="1"/>
  <c r="AI222" i="63" l="1"/>
  <c r="AB222" i="63"/>
  <c r="AL222" i="63" s="1"/>
  <c r="AJ222" i="63" s="1"/>
  <c r="AK222" i="63" l="1"/>
  <c r="AG222" i="63"/>
  <c r="AF222" i="63"/>
  <c r="Y223" i="63"/>
  <c r="AA223" i="63"/>
  <c r="AP223" i="63" s="1"/>
  <c r="AC223" i="63"/>
  <c r="AH223" i="63" s="1"/>
  <c r="AI223" i="63" l="1"/>
  <c r="AB223" i="63"/>
  <c r="AF223" i="63" s="1"/>
  <c r="AL223" i="63" l="1"/>
  <c r="AJ223" i="63" s="1"/>
  <c r="AK223" i="63" s="1"/>
  <c r="AG223" i="63"/>
  <c r="Y224" i="63" l="1"/>
  <c r="AC224" i="63" s="1"/>
  <c r="AH224" i="63" s="1"/>
  <c r="AA224" i="63"/>
  <c r="AP224" i="63" s="1"/>
  <c r="AI224" i="63" l="1"/>
  <c r="AB224" i="63"/>
  <c r="AF224" i="63" s="1"/>
  <c r="AL224" i="63" l="1"/>
  <c r="AJ224" i="63" s="1"/>
  <c r="AK224" i="63" s="1"/>
  <c r="AG224" i="63"/>
  <c r="Y225" i="63" l="1"/>
  <c r="AC225" i="63" s="1"/>
  <c r="AH225" i="63" s="1"/>
  <c r="AA225" i="63"/>
  <c r="AP225" i="63" s="1"/>
  <c r="AI225" i="63" l="1"/>
  <c r="AB225" i="63"/>
  <c r="AL225" i="63" s="1"/>
  <c r="AJ225" i="63" s="1"/>
  <c r="AK225" i="63" l="1"/>
  <c r="AG225" i="63"/>
  <c r="AF225" i="63"/>
  <c r="Y226" i="63"/>
  <c r="AC226" i="63" s="1"/>
  <c r="AH226" i="63" s="1"/>
  <c r="AA226" i="63"/>
  <c r="AP226" i="63" s="1"/>
  <c r="AI226" i="63" l="1"/>
  <c r="AB226" i="63"/>
  <c r="AL226" i="63" s="1"/>
  <c r="AA227" i="63" s="1"/>
  <c r="AP227" i="63" s="1"/>
  <c r="AG226" i="63" l="1"/>
  <c r="AF226" i="63"/>
  <c r="Y227" i="63"/>
  <c r="AC227" i="63" s="1"/>
  <c r="AH227" i="63" s="1"/>
  <c r="AJ226" i="63"/>
  <c r="AK226" i="63" s="1"/>
  <c r="AI227" i="63"/>
  <c r="AB227" i="63" l="1"/>
  <c r="AG227" i="63" s="1"/>
  <c r="AL227" i="63" l="1"/>
  <c r="AJ227" i="63" s="1"/>
  <c r="AK227" i="63" s="1"/>
  <c r="AF227" i="63"/>
  <c r="AA228" i="63" l="1"/>
  <c r="AP228" i="63" s="1"/>
  <c r="Y228" i="63"/>
  <c r="AC228" i="63" s="1"/>
  <c r="AH228" i="63" s="1"/>
  <c r="AI228" i="63" l="1"/>
  <c r="AB228" i="63"/>
  <c r="AL228" i="63" s="1"/>
  <c r="AA229" i="63" s="1"/>
  <c r="AP229" i="63" s="1"/>
  <c r="AG228" i="63" l="1"/>
  <c r="AF228" i="63"/>
  <c r="Y229" i="63"/>
  <c r="AC229" i="63" s="1"/>
  <c r="AH229" i="63" s="1"/>
  <c r="AJ228" i="63"/>
  <c r="AK228" i="63" s="1"/>
  <c r="AI229" i="63"/>
  <c r="AB229" i="63" l="1"/>
  <c r="AL229" i="63" s="1"/>
  <c r="AJ229" i="63" s="1"/>
  <c r="AK229" i="63" s="1"/>
  <c r="AG229" i="63" l="1"/>
  <c r="AF229" i="63"/>
  <c r="Y230" i="63"/>
  <c r="AA230" i="63"/>
  <c r="AP230" i="63" s="1"/>
  <c r="AC230" i="63"/>
  <c r="AH230" i="63" s="1"/>
  <c r="AI230" i="63" l="1"/>
  <c r="AB230" i="63"/>
  <c r="AG230" i="63" s="1"/>
  <c r="AL230" i="63" l="1"/>
  <c r="AA231" i="63" s="1"/>
  <c r="AP231" i="63" s="1"/>
  <c r="AF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L232" i="63" l="1"/>
  <c r="AA233" i="63" s="1"/>
  <c r="AP233" i="63" s="1"/>
  <c r="AG232" i="63"/>
  <c r="Y233" i="63" l="1"/>
  <c r="AC233" i="63" s="1"/>
  <c r="AH233" i="63" s="1"/>
  <c r="AJ232" i="63"/>
  <c r="AK232" i="63" s="1"/>
  <c r="AI233" i="63"/>
  <c r="AB233" i="63" l="1"/>
  <c r="AF233" i="63" s="1"/>
  <c r="AG233" i="63" l="1"/>
  <c r="AL233" i="63"/>
  <c r="AJ233" i="63" s="1"/>
  <c r="AK233" i="63" s="1"/>
  <c r="Y234" i="63" l="1"/>
  <c r="AC234" i="63" s="1"/>
  <c r="AH234" i="63" s="1"/>
  <c r="AA234" i="63"/>
  <c r="AP234" i="63" s="1"/>
  <c r="AI234" i="63" l="1"/>
  <c r="AB234" i="63"/>
  <c r="AL234" i="63" s="1"/>
  <c r="AJ234" i="63" s="1"/>
  <c r="AK234" i="63" l="1"/>
  <c r="AF234" i="63"/>
  <c r="AG234" i="63"/>
  <c r="Y235" i="63"/>
  <c r="AC235" i="63" s="1"/>
  <c r="AH235" i="63" s="1"/>
  <c r="AA235" i="63"/>
  <c r="AP235" i="63" s="1"/>
  <c r="AI235" i="63" l="1"/>
  <c r="AB235" i="63"/>
  <c r="AF235" i="63" s="1"/>
  <c r="AL235" i="63" l="1"/>
  <c r="AA236" i="63" s="1"/>
  <c r="AP236" i="63" s="1"/>
  <c r="AG235" i="63"/>
  <c r="Y236" i="63" l="1"/>
  <c r="AC236" i="63" s="1"/>
  <c r="AH236" i="63" s="1"/>
  <c r="AJ235" i="63"/>
  <c r="AK235" i="63" s="1"/>
  <c r="AI236" i="63"/>
  <c r="AB236" i="63" l="1"/>
  <c r="AG236" i="63" s="1"/>
  <c r="AL236" i="63" l="1"/>
  <c r="AJ236" i="63" s="1"/>
  <c r="AK236" i="63" s="1"/>
  <c r="AF236" i="63"/>
  <c r="Y237" i="63" l="1"/>
  <c r="AC237" i="63" s="1"/>
  <c r="AH237" i="63" s="1"/>
  <c r="AA237" i="63"/>
  <c r="AP237" i="63" s="1"/>
  <c r="AI237" i="63" l="1"/>
  <c r="AB237" i="63"/>
  <c r="AL237" i="63" s="1"/>
  <c r="AJ237" i="63" s="1"/>
  <c r="AK237" i="63" l="1"/>
  <c r="AF237" i="63"/>
  <c r="AG237" i="63"/>
  <c r="Y238" i="63"/>
  <c r="AC238" i="63" s="1"/>
  <c r="AH238" i="63" s="1"/>
  <c r="AA238" i="63"/>
  <c r="AP238" i="63" s="1"/>
  <c r="AI238" i="63" l="1"/>
  <c r="AB238" i="63"/>
  <c r="AL238" i="63" s="1"/>
  <c r="AJ238" i="63" s="1"/>
  <c r="AG238" i="63" l="1"/>
  <c r="AK238" i="63"/>
  <c r="AF238" i="63"/>
  <c r="Y239" i="63"/>
  <c r="AC239" i="63" s="1"/>
  <c r="AH239" i="63" s="1"/>
  <c r="AA239" i="63"/>
  <c r="AP239" i="63" s="1"/>
  <c r="AI239" i="63" l="1"/>
  <c r="AB239" i="63"/>
  <c r="AF239" i="63" s="1"/>
  <c r="AL239" i="63" l="1"/>
  <c r="AJ239" i="63" s="1"/>
  <c r="AK239" i="63" s="1"/>
  <c r="AG239" i="63"/>
  <c r="Y240" i="63" l="1"/>
  <c r="AC240" i="63" s="1"/>
  <c r="AH240" i="63" s="1"/>
  <c r="AA240" i="63"/>
  <c r="AP240" i="63" s="1"/>
  <c r="AI240" i="63" l="1"/>
  <c r="AB240" i="63"/>
  <c r="AG240" i="63" s="1"/>
  <c r="AL240" i="63" l="1"/>
  <c r="AJ240" i="63" s="1"/>
  <c r="AK240" i="63" s="1"/>
  <c r="AF240" i="63"/>
  <c r="Y241" i="63" l="1"/>
  <c r="AC241" i="63" s="1"/>
  <c r="AH241" i="63" s="1"/>
  <c r="AA241" i="63"/>
  <c r="AP241" i="63" s="1"/>
  <c r="AI241" i="63" l="1"/>
  <c r="AB241" i="63"/>
  <c r="AF241" i="63" s="1"/>
  <c r="AL241" i="63" l="1"/>
  <c r="AJ241" i="63" s="1"/>
  <c r="AK241" i="63" s="1"/>
  <c r="AG241" i="63"/>
  <c r="Y242" i="63" l="1"/>
  <c r="AC242" i="63" s="1"/>
  <c r="AH242" i="63" s="1"/>
  <c r="AA242" i="63"/>
  <c r="AP242" i="63" s="1"/>
  <c r="AI242" i="63" l="1"/>
  <c r="AB242" i="63"/>
  <c r="AL242" i="63" s="1"/>
  <c r="AJ242" i="63" s="1"/>
  <c r="AK242" i="63" l="1"/>
  <c r="AG242" i="63"/>
  <c r="AF242" i="63"/>
  <c r="Y243" i="63"/>
  <c r="AC243" i="63" s="1"/>
  <c r="AH243" i="63" s="1"/>
  <c r="AA243" i="63"/>
  <c r="AP243" i="63" s="1"/>
  <c r="AI243" i="63" l="1"/>
  <c r="AB243" i="63"/>
  <c r="AG243" i="63" s="1"/>
  <c r="AF243" i="63" l="1"/>
  <c r="AL243" i="63"/>
  <c r="AJ243" i="63" s="1"/>
  <c r="AK243" i="63" s="1"/>
  <c r="Y244" i="63" l="1"/>
  <c r="AC244" i="63" s="1"/>
  <c r="AH244" i="63" s="1"/>
  <c r="AA244" i="63"/>
  <c r="AP244" i="63" s="1"/>
  <c r="AI244" i="63" l="1"/>
  <c r="AB244" i="63"/>
  <c r="AG244" i="63" s="1"/>
  <c r="AL244" i="63" l="1"/>
  <c r="AJ244" i="63" s="1"/>
  <c r="AK244" i="63" s="1"/>
  <c r="AF244" i="63"/>
  <c r="Y245" i="63" l="1"/>
  <c r="AC245" i="63" s="1"/>
  <c r="AH245" i="63" s="1"/>
  <c r="AA245" i="63"/>
  <c r="AP245" i="63" s="1"/>
  <c r="AI245" i="63" l="1"/>
  <c r="AB245" i="63"/>
  <c r="AF245" i="63" s="1"/>
  <c r="AL245" i="63" l="1"/>
  <c r="AA246" i="63" s="1"/>
  <c r="AP246" i="63" s="1"/>
  <c r="AG245" i="63"/>
  <c r="Y246" i="63" l="1"/>
  <c r="AC246" i="63" s="1"/>
  <c r="AH246" i="63" s="1"/>
  <c r="AJ245" i="63"/>
  <c r="AK245" i="63" s="1"/>
  <c r="AI246" i="63"/>
  <c r="AB246" i="63" l="1"/>
  <c r="AL246" i="63" s="1"/>
  <c r="AJ246" i="63" s="1"/>
  <c r="AK246" i="63" s="1"/>
  <c r="AF246" i="63" l="1"/>
  <c r="AG246" i="63"/>
  <c r="Y247" i="63"/>
  <c r="AC247" i="63" s="1"/>
  <c r="AH247" i="63" s="1"/>
  <c r="AA247" i="63"/>
  <c r="AP247" i="63" s="1"/>
  <c r="AI247" i="63" l="1"/>
  <c r="AB247" i="63"/>
  <c r="AL247" i="63" s="1"/>
  <c r="AA248" i="63" s="1"/>
  <c r="AP248" i="63" s="1"/>
  <c r="AF247" i="63" l="1"/>
  <c r="AG247" i="63"/>
  <c r="Y248" i="63"/>
  <c r="AC248" i="63" s="1"/>
  <c r="AH248" i="63" s="1"/>
  <c r="AJ247" i="63"/>
  <c r="AK247" i="63" s="1"/>
  <c r="AI248" i="63"/>
  <c r="AB248" i="63" l="1"/>
  <c r="AG248" i="63" s="1"/>
  <c r="AL248" i="63" l="1"/>
  <c r="AA249" i="63" s="1"/>
  <c r="AP249" i="63" s="1"/>
  <c r="AF248" i="63"/>
  <c r="AJ248" i="63" l="1"/>
  <c r="AK248" i="63" s="1"/>
  <c r="Y249" i="63"/>
  <c r="AC249" i="63" s="1"/>
  <c r="AH249" i="63" s="1"/>
  <c r="AI249" i="63"/>
  <c r="AB249" i="63" l="1"/>
  <c r="AL249" i="63" s="1"/>
  <c r="AG249" i="63" l="1"/>
  <c r="AF249" i="63"/>
  <c r="AJ249" i="63"/>
  <c r="AK249" i="63" s="1"/>
  <c r="AA250" i="63"/>
  <c r="AP250" i="63" s="1"/>
  <c r="Y250" i="63"/>
  <c r="AC250" i="63" l="1"/>
  <c r="AH250" i="63" s="1"/>
  <c r="AI250" i="63"/>
  <c r="AB250" i="63" l="1"/>
  <c r="AL250" i="63" s="1"/>
  <c r="AJ250" i="63" s="1"/>
  <c r="AK250" i="63" s="1"/>
  <c r="AG250" i="63" l="1"/>
  <c r="AF250" i="63"/>
  <c r="Y251" i="63"/>
  <c r="AA251" i="63"/>
  <c r="AP251" i="63" s="1"/>
  <c r="AC251" i="63"/>
  <c r="AH251" i="63" s="1"/>
  <c r="AI251" i="63" l="1"/>
  <c r="AB251" i="63"/>
  <c r="AG251" i="63" s="1"/>
  <c r="AL251" i="63" l="1"/>
  <c r="AJ251" i="63" s="1"/>
  <c r="AK251" i="63" s="1"/>
  <c r="AF251" i="63"/>
  <c r="Y252" i="63" l="1"/>
  <c r="AC252" i="63" s="1"/>
  <c r="AH252" i="63" s="1"/>
  <c r="AA252" i="63"/>
  <c r="AP252" i="63" s="1"/>
  <c r="AI252" i="63" l="1"/>
  <c r="AB252" i="63"/>
  <c r="AG252" i="63" s="1"/>
  <c r="AL252" i="63" l="1"/>
  <c r="AA253" i="63" s="1"/>
  <c r="AP253" i="63" s="1"/>
  <c r="AF252" i="63"/>
  <c r="Y253" i="63" l="1"/>
  <c r="AC253" i="63" s="1"/>
  <c r="AH253" i="63" s="1"/>
  <c r="AJ252" i="63"/>
  <c r="AK252" i="63" s="1"/>
  <c r="AI253" i="63"/>
  <c r="AB253" i="63" l="1"/>
  <c r="AF253" i="63" s="1"/>
  <c r="AL253" i="63" l="1"/>
  <c r="AJ253" i="63" s="1"/>
  <c r="AK253" i="63" s="1"/>
  <c r="AG253" i="63"/>
  <c r="Y254" i="63" l="1"/>
  <c r="AC254" i="63" s="1"/>
  <c r="AH254" i="63" s="1"/>
  <c r="AA254" i="63"/>
  <c r="AP254" i="63" s="1"/>
  <c r="AI254" i="63" l="1"/>
  <c r="AB254" i="63"/>
  <c r="AL254" i="63" s="1"/>
  <c r="AJ254" i="63" s="1"/>
  <c r="AK254" i="63" l="1"/>
  <c r="AG254" i="63"/>
  <c r="AF254" i="63"/>
  <c r="Y255" i="63"/>
  <c r="AC255" i="63" s="1"/>
  <c r="AH255" i="63" s="1"/>
  <c r="AA255" i="63"/>
  <c r="AP255" i="63" s="1"/>
  <c r="AI255" i="63" l="1"/>
  <c r="AB255" i="63"/>
  <c r="AG255" i="63" s="1"/>
  <c r="AL255" i="63" l="1"/>
  <c r="AJ255" i="63" s="1"/>
  <c r="AK255" i="63" s="1"/>
  <c r="AF255" i="63"/>
  <c r="Y256" i="63" l="1"/>
  <c r="AC256" i="63" s="1"/>
  <c r="AH256" i="63" s="1"/>
  <c r="AA256" i="63"/>
  <c r="AP256" i="63" s="1"/>
  <c r="AI256" i="63" l="1"/>
  <c r="AB256" i="63"/>
  <c r="AF256" i="63" s="1"/>
  <c r="AG256" i="63" l="1"/>
  <c r="AL256" i="63"/>
  <c r="AA257" i="63" s="1"/>
  <c r="AP257" i="63" s="1"/>
  <c r="Y257" i="63" l="1"/>
  <c r="AC257" i="63" s="1"/>
  <c r="AH257" i="63" s="1"/>
  <c r="AJ256" i="63"/>
  <c r="AK256" i="63" s="1"/>
  <c r="AI257" i="63"/>
  <c r="AB257" i="63" l="1"/>
  <c r="AG257" i="63" s="1"/>
  <c r="AL257" i="63" l="1"/>
  <c r="AA258" i="63" s="1"/>
  <c r="AP258" i="63" s="1"/>
  <c r="AF257" i="63"/>
  <c r="Y258" i="63" l="1"/>
  <c r="AC258" i="63" s="1"/>
  <c r="AH258" i="63" s="1"/>
  <c r="AJ257" i="63"/>
  <c r="AK257" i="63" s="1"/>
  <c r="AI258" i="63"/>
  <c r="AB258" i="63" l="1"/>
  <c r="AL258" i="63" s="1"/>
  <c r="AA259" i="63" s="1"/>
  <c r="AP259" i="63" s="1"/>
  <c r="AF258" i="63" l="1"/>
  <c r="AG258" i="63"/>
  <c r="Y259" i="63"/>
  <c r="AC259" i="63" s="1"/>
  <c r="AH259" i="63" s="1"/>
  <c r="AJ258" i="63"/>
  <c r="AK258" i="63" s="1"/>
  <c r="AI259" i="63"/>
  <c r="AB259" i="63" l="1"/>
  <c r="AL259" i="63" s="1"/>
  <c r="AJ259" i="63" s="1"/>
  <c r="AK259" i="63" s="1"/>
  <c r="AF259" i="63" l="1"/>
  <c r="AG259" i="63"/>
  <c r="Y260" i="63"/>
  <c r="AA260" i="63"/>
  <c r="AP260" i="63" s="1"/>
  <c r="AC260" i="63"/>
  <c r="AH260" i="63" s="1"/>
  <c r="AI260" i="63" l="1"/>
  <c r="AB260" i="63"/>
  <c r="AG260" i="63" s="1"/>
  <c r="AL260" i="63" l="1"/>
  <c r="AA261" i="63" s="1"/>
  <c r="AP261" i="63" s="1"/>
  <c r="AF260" i="63"/>
  <c r="Y261" i="63" l="1"/>
  <c r="AC261" i="63" s="1"/>
  <c r="AH261" i="63" s="1"/>
  <c r="AJ260" i="63"/>
  <c r="AK260" i="63" s="1"/>
  <c r="AI261" i="63"/>
  <c r="AB261" i="63" l="1"/>
  <c r="AL261" i="63" s="1"/>
  <c r="AJ261" i="63" s="1"/>
  <c r="AK261" i="63" s="1"/>
  <c r="AG261" i="63" l="1"/>
  <c r="AF261" i="63"/>
  <c r="Y262" i="63"/>
  <c r="AA262" i="63"/>
  <c r="AP262" i="63" s="1"/>
  <c r="AC262" i="63"/>
  <c r="AH262" i="63" s="1"/>
  <c r="AI262" i="63" l="1"/>
  <c r="AB262" i="63"/>
  <c r="AL262" i="63" s="1"/>
  <c r="AA263" i="63" s="1"/>
  <c r="AP263" i="63" s="1"/>
  <c r="AG262" i="63" l="1"/>
  <c r="AF262" i="63"/>
  <c r="Y263" i="63"/>
  <c r="AC263" i="63" s="1"/>
  <c r="AH263" i="63" s="1"/>
  <c r="AJ262" i="63"/>
  <c r="AK262" i="63" s="1"/>
  <c r="AI263" i="63"/>
  <c r="AB263" i="63" l="1"/>
  <c r="AG263" i="63" s="1"/>
  <c r="AL263" i="63" l="1"/>
  <c r="AA264" i="63" s="1"/>
  <c r="AP264" i="63" s="1"/>
  <c r="AF263" i="63"/>
  <c r="AJ263" i="63" l="1"/>
  <c r="AK263" i="63" s="1"/>
  <c r="Y264" i="63"/>
  <c r="AC264" i="63" s="1"/>
  <c r="AH264" i="63" s="1"/>
  <c r="AI264" i="63"/>
  <c r="AB264" i="63" l="1"/>
  <c r="AF264" i="63" s="1"/>
  <c r="AL264" i="63" l="1"/>
  <c r="AA265" i="63" s="1"/>
  <c r="AP265" i="63" s="1"/>
  <c r="AG264" i="63"/>
  <c r="Y265" i="63" l="1"/>
  <c r="AC265" i="63" s="1"/>
  <c r="AH265" i="63" s="1"/>
  <c r="AJ264" i="63"/>
  <c r="AK264" i="63" s="1"/>
  <c r="AI265" i="63"/>
  <c r="AB265" i="63" l="1"/>
  <c r="AL265" i="63" s="1"/>
  <c r="AJ265" i="63" s="1"/>
  <c r="AK265" i="63" s="1"/>
  <c r="AF265" i="63" l="1"/>
  <c r="AG265" i="63"/>
  <c r="Y266" i="63"/>
  <c r="AA266" i="63"/>
  <c r="AP266" i="63" s="1"/>
  <c r="AC266" i="63"/>
  <c r="AH266" i="63" s="1"/>
  <c r="AI266" i="63" l="1"/>
  <c r="AB266" i="63"/>
  <c r="AF266" i="63" s="1"/>
  <c r="AL266" i="63" l="1"/>
  <c r="AA267" i="63" s="1"/>
  <c r="AP267" i="63" s="1"/>
  <c r="AG266" i="63"/>
  <c r="Y267" i="63" l="1"/>
  <c r="AC267" i="63" s="1"/>
  <c r="AH267" i="63" s="1"/>
  <c r="AJ266" i="63"/>
  <c r="AK266" i="63" s="1"/>
  <c r="AI267" i="63"/>
  <c r="AB267" i="63" l="1"/>
  <c r="AG267" i="63" s="1"/>
  <c r="AL267" i="63" l="1"/>
  <c r="AJ267" i="63" s="1"/>
  <c r="AK267" i="63" s="1"/>
  <c r="AF267" i="63"/>
  <c r="Y268" i="63" l="1"/>
  <c r="AC268" i="63" s="1"/>
  <c r="AH268" i="63" s="1"/>
  <c r="AA268" i="63"/>
  <c r="AP268" i="63" s="1"/>
  <c r="AI268" i="63" l="1"/>
  <c r="AB268" i="63"/>
  <c r="AL268" i="63" s="1"/>
  <c r="AJ268" i="63" s="1"/>
  <c r="AK268" i="63" l="1"/>
  <c r="AA269" i="63"/>
  <c r="AP269" i="63" s="1"/>
  <c r="AF268" i="63"/>
  <c r="AG268" i="63"/>
  <c r="Y269" i="63"/>
  <c r="AC269" i="63" s="1"/>
  <c r="AH269" i="63" s="1"/>
  <c r="AI269" i="63" l="1"/>
  <c r="AB269" i="63"/>
  <c r="AG269" i="63" s="1"/>
  <c r="AF269" i="63" l="1"/>
  <c r="AL269" i="63"/>
  <c r="AJ269" i="63" s="1"/>
  <c r="AK269" i="63" s="1"/>
  <c r="Y270" i="63" l="1"/>
  <c r="AC270" i="63" s="1"/>
  <c r="AH270" i="63" s="1"/>
  <c r="AA270" i="63"/>
  <c r="AP270" i="63" s="1"/>
  <c r="AI270" i="63" l="1"/>
  <c r="AB270" i="63"/>
  <c r="AL270" i="63" s="1"/>
  <c r="AJ270" i="63" s="1"/>
  <c r="AK270" i="63" l="1"/>
  <c r="AF270" i="63"/>
  <c r="AG270" i="63"/>
  <c r="Y271" i="63"/>
  <c r="AA271" i="63"/>
  <c r="AP271" i="63" s="1"/>
  <c r="AC271" i="63"/>
  <c r="AH271" i="63" s="1"/>
  <c r="AI271" i="63" l="1"/>
  <c r="AB271" i="63"/>
  <c r="AL271" i="63" s="1"/>
  <c r="AA272" i="63" s="1"/>
  <c r="AP272" i="63" s="1"/>
  <c r="AF271" i="63" l="1"/>
  <c r="AG271" i="63"/>
  <c r="Y272" i="63"/>
  <c r="AJ271" i="63"/>
  <c r="AK271" i="63" s="1"/>
  <c r="AC272" i="63"/>
  <c r="AH272" i="63" s="1"/>
  <c r="AI272" i="63"/>
  <c r="AB272" i="63" l="1"/>
  <c r="AL272" i="63" s="1"/>
  <c r="AJ272" i="63" s="1"/>
  <c r="AK272" i="63" s="1"/>
  <c r="AG272" i="63" l="1"/>
  <c r="AF272" i="63"/>
  <c r="Y273" i="63"/>
  <c r="AA273" i="63"/>
  <c r="AP273" i="63" s="1"/>
  <c r="AC273" i="63"/>
  <c r="AH273" i="63" s="1"/>
  <c r="AI273" i="63" l="1"/>
  <c r="AB273" i="63"/>
  <c r="AL273" i="63" s="1"/>
  <c r="AA274" i="63" s="1"/>
  <c r="AP274" i="63" s="1"/>
  <c r="AF273" i="63" l="1"/>
  <c r="AG273" i="63"/>
  <c r="Y274" i="63"/>
  <c r="AJ273" i="63"/>
  <c r="AK273" i="63" s="1"/>
  <c r="AC274" i="63"/>
  <c r="AH274" i="63" s="1"/>
  <c r="AI274" i="63"/>
  <c r="AB274" i="63" l="1"/>
  <c r="AL274" i="63" s="1"/>
  <c r="AA275" i="63" s="1"/>
  <c r="AP275" i="63" s="1"/>
  <c r="AF274" i="63" l="1"/>
  <c r="AG274" i="63"/>
  <c r="AJ274" i="63"/>
  <c r="AK274" i="63" s="1"/>
  <c r="Y275" i="63"/>
  <c r="AC275" i="63" s="1"/>
  <c r="AH275" i="63" s="1"/>
  <c r="AI275" i="63"/>
  <c r="AB275" i="63" l="1"/>
  <c r="AF275" i="63" s="1"/>
  <c r="AL275" i="63" l="1"/>
  <c r="AJ275" i="63" s="1"/>
  <c r="AK275" i="63" s="1"/>
  <c r="AG275" i="63"/>
  <c r="AA276" i="63" l="1"/>
  <c r="AP276" i="63" s="1"/>
  <c r="Y276" i="63"/>
  <c r="AC276" i="63" s="1"/>
  <c r="AH276" i="63" s="1"/>
  <c r="AI276" i="63" l="1"/>
  <c r="AB276" i="63"/>
  <c r="AL276" i="63" s="1"/>
  <c r="AJ276" i="63" s="1"/>
  <c r="AK276" i="63" l="1"/>
  <c r="AF276" i="63"/>
  <c r="AG276" i="63"/>
  <c r="Y277" i="63"/>
  <c r="AC277" i="63" s="1"/>
  <c r="AH277" i="63" s="1"/>
  <c r="AA277" i="63"/>
  <c r="AP277" i="63" s="1"/>
  <c r="AI277" i="63" l="1"/>
  <c r="AB277" i="63"/>
  <c r="AL277" i="63" s="1"/>
  <c r="AJ277" i="63" s="1"/>
  <c r="AK277" i="63" l="1"/>
  <c r="AF277" i="63"/>
  <c r="AG277" i="63"/>
  <c r="Y278" i="63"/>
  <c r="AC278" i="63" s="1"/>
  <c r="AH278" i="63" s="1"/>
  <c r="AA278" i="63"/>
  <c r="AP278" i="63" s="1"/>
  <c r="AI278" i="63" l="1"/>
  <c r="AB278" i="63"/>
  <c r="AL278" i="63" s="1"/>
  <c r="AA279" i="63" s="1"/>
  <c r="AP279" i="63" s="1"/>
  <c r="AG278" i="63" l="1"/>
  <c r="AF278" i="63"/>
  <c r="Y279" i="63"/>
  <c r="AC279" i="63" s="1"/>
  <c r="AH279" i="63" s="1"/>
  <c r="AJ278" i="63"/>
  <c r="AK278" i="63" s="1"/>
  <c r="AI279" i="63"/>
  <c r="AB279" i="63" l="1"/>
  <c r="AF279" i="63" s="1"/>
  <c r="AL279" i="63" l="1"/>
  <c r="AA280" i="63" s="1"/>
  <c r="AP280" i="63" s="1"/>
  <c r="AG279" i="63"/>
  <c r="Y280" i="63" l="1"/>
  <c r="AC280" i="63" s="1"/>
  <c r="AH280" i="63" s="1"/>
  <c r="AJ279" i="63"/>
  <c r="AK279" i="63" s="1"/>
  <c r="AI280" i="63"/>
  <c r="AB280" i="63" l="1"/>
  <c r="AG280" i="63" s="1"/>
  <c r="AL280" i="63" l="1"/>
  <c r="AJ280" i="63" s="1"/>
  <c r="AK280" i="63" s="1"/>
  <c r="AF280" i="63"/>
  <c r="Y281" i="63" l="1"/>
  <c r="AC281" i="63" s="1"/>
  <c r="AH281" i="63" s="1"/>
  <c r="AA281" i="63"/>
  <c r="AP281" i="63" s="1"/>
  <c r="AI281" i="63" l="1"/>
  <c r="AB281" i="63"/>
  <c r="AL281" i="63" s="1"/>
  <c r="AJ281" i="63" s="1"/>
  <c r="AK281" i="63" l="1"/>
  <c r="AF281" i="63"/>
  <c r="AG281" i="63"/>
  <c r="Y282" i="63"/>
  <c r="AC282" i="63" s="1"/>
  <c r="AH282" i="63" s="1"/>
  <c r="AA282" i="63"/>
  <c r="AP282" i="63" s="1"/>
  <c r="AB282" i="63" l="1"/>
  <c r="AL282" i="63" s="1"/>
  <c r="AJ282" i="63" s="1"/>
  <c r="AI282" i="63"/>
  <c r="AF282" i="63" l="1"/>
  <c r="AA283" i="63"/>
  <c r="AP283" i="63" s="1"/>
  <c r="AG282" i="63"/>
  <c r="Y283" i="63"/>
  <c r="AC283" i="63" s="1"/>
  <c r="AH283" i="63" s="1"/>
  <c r="AK282" i="63"/>
  <c r="AI283" i="63" l="1"/>
  <c r="AB283" i="63"/>
  <c r="AG283" i="63" s="1"/>
  <c r="AL283" i="63" l="1"/>
  <c r="AA284" i="63" s="1"/>
  <c r="AP284" i="63" s="1"/>
  <c r="AF283" i="63"/>
  <c r="Y284" i="63" l="1"/>
  <c r="AC284" i="63" s="1"/>
  <c r="AH284" i="63" s="1"/>
  <c r="AJ283" i="63"/>
  <c r="AK283" i="63" s="1"/>
  <c r="AI284" i="63"/>
  <c r="AB284" i="63" l="1"/>
  <c r="AL284" i="63" s="1"/>
  <c r="AA285" i="63" s="1"/>
  <c r="AP285" i="63" s="1"/>
  <c r="AF284" i="63" l="1"/>
  <c r="AG284" i="63"/>
  <c r="Y285" i="63"/>
  <c r="AJ284" i="63"/>
  <c r="AK284" i="63" s="1"/>
  <c r="AC285" i="63"/>
  <c r="AH285" i="63" s="1"/>
  <c r="AI285" i="63"/>
  <c r="AB285" i="63" l="1"/>
  <c r="AG285" i="63" s="1"/>
  <c r="AL285" i="63" l="1"/>
  <c r="AJ285" i="63" s="1"/>
  <c r="AK285" i="63" s="1"/>
  <c r="AF285" i="63"/>
  <c r="AA286" i="63" l="1"/>
  <c r="AP286" i="63" s="1"/>
  <c r="Y286" i="63"/>
  <c r="AC286" i="63" s="1"/>
  <c r="AH286" i="63" s="1"/>
  <c r="AI286" i="63" l="1"/>
  <c r="AB286" i="63"/>
  <c r="AL286" i="63" s="1"/>
  <c r="AJ286" i="63" s="1"/>
  <c r="AF286" i="63" l="1"/>
  <c r="AK286" i="63"/>
  <c r="Y287" i="63"/>
  <c r="AG286" i="63"/>
  <c r="AA287" i="63"/>
  <c r="AP287" i="63" s="1"/>
  <c r="AC287" i="63"/>
  <c r="AH287" i="63" s="1"/>
  <c r="AI287" i="63" l="1"/>
  <c r="AB287" i="63"/>
  <c r="AF287" i="63" s="1"/>
  <c r="AL287" i="63" l="1"/>
  <c r="AJ287" i="63" s="1"/>
  <c r="AK287" i="63" s="1"/>
  <c r="AG287" i="63"/>
  <c r="AA288" i="63" l="1"/>
  <c r="AP288" i="63" s="1"/>
  <c r="Y288" i="63"/>
  <c r="AC288" i="63" s="1"/>
  <c r="AH288" i="63" s="1"/>
  <c r="AI288" i="63" l="1"/>
  <c r="AB288" i="63"/>
  <c r="AG288" i="63" s="1"/>
  <c r="AF288" i="63" l="1"/>
  <c r="AL288" i="63"/>
  <c r="AA289" i="63" s="1"/>
  <c r="AP289" i="63" s="1"/>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A291" i="63" s="1"/>
  <c r="AP291" i="63" s="1"/>
  <c r="AF290" i="63"/>
  <c r="Y291" i="63" l="1"/>
  <c r="AC291" i="63" s="1"/>
  <c r="AH291" i="63" s="1"/>
  <c r="AJ290" i="63"/>
  <c r="AK290" i="63" s="1"/>
  <c r="AI291" i="63"/>
  <c r="AB291" i="63" l="1"/>
  <c r="AG291" i="63" s="1"/>
  <c r="AL291" i="63" l="1"/>
  <c r="AJ291" i="63" s="1"/>
  <c r="AK291" i="63" s="1"/>
  <c r="AF291" i="63"/>
  <c r="AA292" i="63" l="1"/>
  <c r="AP292" i="63" s="1"/>
  <c r="Y292" i="63"/>
  <c r="AC292" i="63" s="1"/>
  <c r="AH292" i="63" s="1"/>
  <c r="AI292" i="63" l="1"/>
  <c r="AB292" i="63"/>
  <c r="AF292" i="63" s="1"/>
  <c r="AL292" i="63" l="1"/>
  <c r="AA293" i="63" s="1"/>
  <c r="AP293" i="63" s="1"/>
  <c r="AG292" i="63"/>
  <c r="Y293" i="63" l="1"/>
  <c r="AC293" i="63" s="1"/>
  <c r="AH293" i="63" s="1"/>
  <c r="AJ292" i="63"/>
  <c r="AK292" i="63" s="1"/>
  <c r="AI293" i="63"/>
  <c r="AB293" i="63" l="1"/>
  <c r="AL293" i="63" s="1"/>
  <c r="AJ293" i="63" s="1"/>
  <c r="AK293" i="63" s="1"/>
  <c r="AF293" i="63" l="1"/>
  <c r="AG293" i="63"/>
  <c r="Y294" i="63"/>
  <c r="AC294" i="63" s="1"/>
  <c r="AH294" i="63" s="1"/>
  <c r="AA294" i="63"/>
  <c r="AP294" i="63" s="1"/>
  <c r="AI294" i="63" l="1"/>
  <c r="AB294" i="63"/>
  <c r="AL294" i="63" s="1"/>
  <c r="AA295" i="63" s="1"/>
  <c r="AP295" i="63" s="1"/>
  <c r="AG294" i="63" l="1"/>
  <c r="AF294" i="63"/>
  <c r="Y295" i="63"/>
  <c r="AJ294" i="63"/>
  <c r="AK294" i="63" s="1"/>
  <c r="AC295" i="63"/>
  <c r="AH295" i="63" s="1"/>
  <c r="AI295" i="63"/>
  <c r="AB295" i="63" l="1"/>
  <c r="AG295" i="63" s="1"/>
  <c r="AL295" i="63" l="1"/>
  <c r="AJ295" i="63" s="1"/>
  <c r="AK295" i="63" s="1"/>
  <c r="AF295" i="63"/>
  <c r="Y296" i="63" l="1"/>
  <c r="AC296" i="63" s="1"/>
  <c r="AH296" i="63" s="1"/>
  <c r="AA296" i="63"/>
  <c r="AP296" i="63" s="1"/>
  <c r="AI296" i="63" l="1"/>
  <c r="AB296" i="63"/>
  <c r="AF296" i="63" s="1"/>
  <c r="AL296" i="63" l="1"/>
  <c r="AJ296" i="63" s="1"/>
  <c r="AK296" i="63" s="1"/>
  <c r="AG296" i="63"/>
  <c r="Y297" i="63" l="1"/>
  <c r="AC297" i="63" s="1"/>
  <c r="AH297" i="63" s="1"/>
  <c r="AA297" i="63"/>
  <c r="AP297" i="63" s="1"/>
  <c r="AI297" i="63" l="1"/>
  <c r="AB297" i="63"/>
  <c r="AG297" i="63" s="1"/>
  <c r="AL297" i="63" l="1"/>
  <c r="AJ297" i="63" s="1"/>
  <c r="AK297" i="63" s="1"/>
  <c r="AF297" i="63"/>
  <c r="Y298" i="63" l="1"/>
  <c r="AC298" i="63" s="1"/>
  <c r="AH298" i="63" s="1"/>
  <c r="AA298" i="63"/>
  <c r="AP298" i="63" s="1"/>
  <c r="AI298" i="63" l="1"/>
  <c r="AB298" i="63"/>
  <c r="AG298" i="63" s="1"/>
  <c r="AF298" i="63" l="1"/>
  <c r="AL298" i="63"/>
  <c r="AA299" i="63" s="1"/>
  <c r="AP299" i="63" s="1"/>
  <c r="Y299" i="63" l="1"/>
  <c r="AC299" i="63" s="1"/>
  <c r="AH299" i="63" s="1"/>
  <c r="AJ298" i="63"/>
  <c r="AK298" i="63" s="1"/>
  <c r="AI299" i="63"/>
  <c r="AB299" i="63" l="1"/>
  <c r="AF299" i="63" s="1"/>
  <c r="AL299" i="63" l="1"/>
  <c r="AJ299" i="63" s="1"/>
  <c r="AK299" i="63" s="1"/>
  <c r="AG299" i="63"/>
  <c r="AA300" i="63" l="1"/>
  <c r="AP300" i="63" s="1"/>
  <c r="Y300" i="63"/>
  <c r="AC300" i="63" s="1"/>
  <c r="AH300" i="63" s="1"/>
  <c r="AI300" i="63" l="1"/>
  <c r="AB300" i="63"/>
  <c r="AG300" i="63" s="1"/>
  <c r="AL300" i="63" l="1"/>
  <c r="AJ300" i="63" s="1"/>
  <c r="AK300" i="63" s="1"/>
  <c r="AF300" i="63"/>
  <c r="Y301" i="63" l="1"/>
  <c r="AC301" i="63" s="1"/>
  <c r="AH301" i="63" s="1"/>
  <c r="AA301" i="63"/>
  <c r="AP301" i="63" s="1"/>
  <c r="AI301" i="63" l="1"/>
  <c r="AB301" i="63"/>
  <c r="AF301" i="63" s="1"/>
  <c r="AL301" i="63" l="1"/>
  <c r="AJ301" i="63" s="1"/>
  <c r="AK301" i="63" s="1"/>
  <c r="AG301" i="63"/>
  <c r="Y302" i="63" l="1"/>
  <c r="AC302" i="63" s="1"/>
  <c r="AH302" i="63" s="1"/>
  <c r="AA302" i="63"/>
  <c r="AP302" i="63" s="1"/>
  <c r="AI302" i="63" l="1"/>
  <c r="AB302" i="63"/>
  <c r="AL302" i="63" s="1"/>
  <c r="AJ302" i="63" s="1"/>
  <c r="AK302" i="63" l="1"/>
  <c r="AF302" i="63"/>
  <c r="AG302" i="63"/>
  <c r="Y303" i="63"/>
  <c r="AC303" i="63" s="1"/>
  <c r="AH303" i="63" s="1"/>
  <c r="AA303" i="63"/>
  <c r="AP303" i="63" s="1"/>
  <c r="AI303" i="63" l="1"/>
  <c r="AB303" i="63"/>
  <c r="AF303" i="63" s="1"/>
  <c r="AL303" i="63" l="1"/>
  <c r="AJ303" i="63" s="1"/>
  <c r="AK303" i="63" s="1"/>
  <c r="AG303" i="63"/>
  <c r="AA304" i="63" l="1"/>
  <c r="AP304" i="63" s="1"/>
  <c r="Y304" i="63"/>
  <c r="AC304" i="63" s="1"/>
  <c r="AH304" i="63" s="1"/>
  <c r="AI304" i="63" l="1"/>
  <c r="AB304" i="63"/>
  <c r="AF304" i="63" l="1"/>
  <c r="AG304" i="63"/>
  <c r="AL304" i="63"/>
  <c r="AJ304" i="63" l="1"/>
  <c r="AK304" i="63" s="1"/>
  <c r="AA305" i="63"/>
  <c r="AP305" i="63" s="1"/>
  <c r="Y305" i="63"/>
  <c r="AC305" i="63" l="1"/>
  <c r="AH305" i="63" s="1"/>
  <c r="AI305" i="63"/>
  <c r="AB305" i="63" l="1"/>
  <c r="AG305" i="63" s="1"/>
  <c r="AL305" i="63" l="1"/>
  <c r="Y306" i="63" s="1"/>
  <c r="AF305" i="63"/>
  <c r="AA306" i="63" l="1"/>
  <c r="AP306" i="63" s="1"/>
  <c r="AJ305" i="63"/>
  <c r="AK305" i="63" s="1"/>
  <c r="AC306" i="63"/>
  <c r="AH306" i="63" s="1"/>
  <c r="AI306" i="63" l="1"/>
  <c r="AB306" i="63"/>
  <c r="AL306" i="63" s="1"/>
  <c r="AJ306" i="63" s="1"/>
  <c r="AK306" i="63" l="1"/>
  <c r="AF306" i="63"/>
  <c r="AG306" i="63"/>
  <c r="Y307" i="63"/>
  <c r="AA307" i="63"/>
  <c r="AP307" i="63" s="1"/>
  <c r="AC307" i="63"/>
  <c r="AH307" i="63" s="1"/>
  <c r="AI307" i="63" l="1"/>
  <c r="AB307" i="63"/>
  <c r="AF307" i="63" s="1"/>
  <c r="AL307" i="63" l="1"/>
  <c r="AJ307" i="63" s="1"/>
  <c r="AK307" i="63" s="1"/>
  <c r="AG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G309" i="63" s="1"/>
  <c r="AL309" i="63" l="1"/>
  <c r="AA310" i="63" s="1"/>
  <c r="AP310" i="63" s="1"/>
  <c r="AF309" i="63"/>
  <c r="Y310" i="63" l="1"/>
  <c r="AC310" i="63" s="1"/>
  <c r="AH310" i="63" s="1"/>
  <c r="AJ309" i="63"/>
  <c r="AK309" i="63" s="1"/>
  <c r="AI310" i="63"/>
  <c r="AB310" i="63" l="1"/>
  <c r="AL310" i="63" s="1"/>
  <c r="AJ310" i="63" s="1"/>
  <c r="AK310" i="63" s="1"/>
  <c r="AG310" i="63" l="1"/>
  <c r="AA311" i="63"/>
  <c r="AP311" i="63" s="1"/>
  <c r="AF310" i="63"/>
  <c r="Y311" i="63"/>
  <c r="AC311" i="63" s="1"/>
  <c r="AH311" i="63" s="1"/>
  <c r="AI311" i="63" l="1"/>
  <c r="AB311" i="63"/>
  <c r="AL311" i="63" s="1"/>
  <c r="AJ311" i="63" s="1"/>
  <c r="AF311" i="63" l="1"/>
  <c r="AK311" i="63"/>
  <c r="AG311" i="63"/>
  <c r="Y312" i="63"/>
  <c r="AC312" i="63" s="1"/>
  <c r="AH312" i="63" s="1"/>
  <c r="AA312" i="63"/>
  <c r="AP312" i="63" s="1"/>
  <c r="AI312" i="63" l="1"/>
  <c r="AB312" i="63"/>
  <c r="AG312" i="63" s="1"/>
  <c r="AL312" i="63" l="1"/>
  <c r="AA313" i="63" s="1"/>
  <c r="AP313" i="63" s="1"/>
  <c r="AF312" i="63"/>
  <c r="AJ312" i="63" l="1"/>
  <c r="AK312" i="63" s="1"/>
  <c r="Y313" i="63"/>
  <c r="AC313" i="63" s="1"/>
  <c r="AH313" i="63" s="1"/>
  <c r="AI313" i="63"/>
  <c r="AB313" i="63" l="1"/>
  <c r="AL313" i="63" s="1"/>
  <c r="AJ313" i="63" s="1"/>
  <c r="AK313" i="63" s="1"/>
  <c r="AF313" i="63" l="1"/>
  <c r="AG313" i="63"/>
  <c r="Y314" i="63"/>
  <c r="AC314" i="63" s="1"/>
  <c r="AH314" i="63" s="1"/>
  <c r="AA314" i="63"/>
  <c r="AP314" i="63" s="1"/>
  <c r="AI314" i="63" l="1"/>
  <c r="AB314" i="63"/>
  <c r="AL314" i="63" s="1"/>
  <c r="AA315" i="63" s="1"/>
  <c r="AP315" i="63" s="1"/>
  <c r="AG314" i="63" l="1"/>
  <c r="AF314" i="63"/>
  <c r="Y315" i="63"/>
  <c r="AJ314" i="63"/>
  <c r="AK314" i="63" s="1"/>
  <c r="AC315" i="63"/>
  <c r="AH315" i="63" s="1"/>
  <c r="AI315" i="63"/>
  <c r="AB315" i="63" l="1"/>
  <c r="AF315" i="63" s="1"/>
  <c r="AG315" i="63" l="1"/>
  <c r="AL315" i="63"/>
  <c r="AJ315" i="63" s="1"/>
  <c r="AK315" i="63" s="1"/>
  <c r="Y316" i="63" l="1"/>
  <c r="AC316" i="63" s="1"/>
  <c r="AH316" i="63" s="1"/>
  <c r="AA316" i="63"/>
  <c r="AP316" i="63" s="1"/>
  <c r="AI316" i="63" l="1"/>
  <c r="AB316" i="63"/>
  <c r="AF316" i="63" s="1"/>
  <c r="AL316" i="63" l="1"/>
  <c r="AJ316" i="63" s="1"/>
  <c r="AK316" i="63" s="1"/>
  <c r="AG316" i="63"/>
  <c r="Y317" i="63" l="1"/>
  <c r="AC317" i="63" s="1"/>
  <c r="AH317" i="63" s="1"/>
  <c r="AA317" i="63"/>
  <c r="AP317" i="63" s="1"/>
  <c r="AI317" i="63" l="1"/>
  <c r="AB317" i="63"/>
  <c r="AL317" i="63" s="1"/>
  <c r="AJ317" i="63" s="1"/>
  <c r="AF317" i="63" l="1"/>
  <c r="AG317" i="63"/>
  <c r="AK317" i="63"/>
  <c r="Y318" i="63"/>
  <c r="AC318" i="63" s="1"/>
  <c r="AH318" i="63" s="1"/>
  <c r="AA318" i="63"/>
  <c r="AP318" i="63" s="1"/>
  <c r="AI318" i="63" l="1"/>
  <c r="AB318" i="63"/>
  <c r="AL318" i="63" s="1"/>
  <c r="AJ318" i="63" s="1"/>
  <c r="AK318" i="63" l="1"/>
  <c r="AF318" i="63"/>
  <c r="AG318" i="63"/>
  <c r="Y319" i="63"/>
  <c r="AC319" i="63" s="1"/>
  <c r="AH319" i="63" s="1"/>
  <c r="AA319" i="63"/>
  <c r="AP319" i="63" s="1"/>
  <c r="AI319" i="63" l="1"/>
  <c r="AB319" i="63"/>
  <c r="AF319" i="63" s="1"/>
  <c r="AL319" i="63" l="1"/>
  <c r="AJ319" i="63" s="1"/>
  <c r="AK319" i="63" s="1"/>
  <c r="AG319" i="63"/>
  <c r="Y320" i="63" l="1"/>
  <c r="AC320" i="63" s="1"/>
  <c r="AH320" i="63" s="1"/>
  <c r="AA320" i="63"/>
  <c r="AP320" i="63" s="1"/>
  <c r="AI320" i="63" l="1"/>
  <c r="AB320" i="63"/>
  <c r="AG320" i="63" s="1"/>
  <c r="AL320" i="63" l="1"/>
  <c r="AJ320" i="63" s="1"/>
  <c r="AK320" i="63" s="1"/>
  <c r="AF320" i="63"/>
  <c r="Y321" i="63" l="1"/>
  <c r="AC321" i="63" s="1"/>
  <c r="AH321" i="63" s="1"/>
  <c r="AA321" i="63"/>
  <c r="AP321" i="63" s="1"/>
  <c r="AI321" i="63" l="1"/>
  <c r="AB321" i="63"/>
  <c r="AL321" i="63" s="1"/>
  <c r="AJ321" i="63" s="1"/>
  <c r="AK321" i="63" l="1"/>
  <c r="AF321" i="63"/>
  <c r="AG321" i="63"/>
  <c r="Y322" i="63"/>
  <c r="AC322" i="63" s="1"/>
  <c r="AH322" i="63" s="1"/>
  <c r="AA322" i="63"/>
  <c r="AP322" i="63" s="1"/>
  <c r="AI322" i="63" l="1"/>
  <c r="AB322" i="63"/>
  <c r="AL322" i="63" s="1"/>
  <c r="AA323" i="63" s="1"/>
  <c r="AP323" i="63" s="1"/>
  <c r="AG322" i="63" l="1"/>
  <c r="AF322" i="63"/>
  <c r="Y323" i="63"/>
  <c r="AC323" i="63" s="1"/>
  <c r="AH323" i="63" s="1"/>
  <c r="AJ322" i="63"/>
  <c r="AK322" i="63" s="1"/>
  <c r="AI323" i="63"/>
  <c r="AB323" i="63" l="1"/>
  <c r="AL323" i="63" s="1"/>
  <c r="AJ323" i="63" s="1"/>
  <c r="AK323" i="63" s="1"/>
  <c r="AG323" i="63" l="1"/>
  <c r="AF323" i="63"/>
  <c r="Y324" i="63"/>
  <c r="AA324" i="63"/>
  <c r="AP324" i="63" s="1"/>
  <c r="AC324" i="63"/>
  <c r="AH324" i="63" s="1"/>
  <c r="AI324" i="63" l="1"/>
  <c r="AB324" i="63"/>
  <c r="AF324" i="63" s="1"/>
  <c r="AL324" i="63" l="1"/>
  <c r="AA325" i="63" s="1"/>
  <c r="AP325" i="63" s="1"/>
  <c r="AG324" i="63"/>
  <c r="Y325" i="63" l="1"/>
  <c r="AC325" i="63" s="1"/>
  <c r="AH325" i="63" s="1"/>
  <c r="AJ324" i="63"/>
  <c r="AK324" i="63" s="1"/>
  <c r="AI325" i="63"/>
  <c r="AB325" i="63" l="1"/>
  <c r="AG325" i="63" s="1"/>
  <c r="AL325" i="63" l="1"/>
  <c r="AJ325" i="63" s="1"/>
  <c r="AK325" i="63" s="1"/>
  <c r="AF325" i="63"/>
  <c r="AA326" i="63" l="1"/>
  <c r="AP326" i="63" s="1"/>
  <c r="Y326" i="63"/>
  <c r="AC326" i="63" s="1"/>
  <c r="AH326" i="63" s="1"/>
  <c r="AI326" i="63" l="1"/>
  <c r="AB326" i="63"/>
  <c r="AL326" i="63" s="1"/>
  <c r="AA327" i="63" s="1"/>
  <c r="AP327" i="63" s="1"/>
  <c r="AG326" i="63" l="1"/>
  <c r="AF326" i="63"/>
  <c r="Y327" i="63"/>
  <c r="AC327" i="63" s="1"/>
  <c r="AH327" i="63" s="1"/>
  <c r="AJ326" i="63"/>
  <c r="AK326" i="63" s="1"/>
  <c r="AI327" i="63"/>
  <c r="AB327" i="63" l="1"/>
  <c r="AF327" i="63" s="1"/>
  <c r="AL327" i="63" l="1"/>
  <c r="AJ327" i="63" s="1"/>
  <c r="AK327" i="63" s="1"/>
  <c r="AG327" i="63"/>
  <c r="AA328" i="63" l="1"/>
  <c r="AP328" i="63" s="1"/>
  <c r="Y328" i="63"/>
  <c r="AC328" i="63" s="1"/>
  <c r="AH328" i="63" s="1"/>
  <c r="AI328" i="63" l="1"/>
  <c r="AB328" i="63"/>
  <c r="AG328" i="63" s="1"/>
  <c r="AL328" i="63" l="1"/>
  <c r="AA329" i="63" s="1"/>
  <c r="AP329" i="63" s="1"/>
  <c r="AF328" i="63"/>
  <c r="AJ328" i="63" l="1"/>
  <c r="AK328" i="63" s="1"/>
  <c r="Y329" i="63"/>
  <c r="AC329" i="63" s="1"/>
  <c r="AH329" i="63" s="1"/>
  <c r="AI329" i="63"/>
  <c r="AB329" i="63" l="1"/>
  <c r="AF329" i="63" s="1"/>
  <c r="AL329" i="63" l="1"/>
  <c r="AA330" i="63" s="1"/>
  <c r="AP330" i="63" s="1"/>
  <c r="AG329" i="63"/>
  <c r="Y330" i="63" l="1"/>
  <c r="AC330" i="63" s="1"/>
  <c r="AH330" i="63" s="1"/>
  <c r="AJ329" i="63"/>
  <c r="AK329" i="63" s="1"/>
  <c r="AI330" i="63"/>
  <c r="AB330" i="63" l="1"/>
  <c r="AL330" i="63" s="1"/>
  <c r="AJ330" i="63" s="1"/>
  <c r="AK330" i="63" s="1"/>
  <c r="AG330" i="63" l="1"/>
  <c r="Y331" i="63"/>
  <c r="AC331" i="63" s="1"/>
  <c r="AH331" i="63" s="1"/>
  <c r="AA331" i="63"/>
  <c r="AP331" i="63" s="1"/>
  <c r="AF330" i="63"/>
  <c r="AI331" i="63" l="1"/>
  <c r="AB331" i="63"/>
  <c r="AF331" i="63" s="1"/>
  <c r="AL331" i="63" l="1"/>
  <c r="AJ331" i="63" s="1"/>
  <c r="AK331" i="63" s="1"/>
  <c r="AG331" i="63"/>
  <c r="Y332" i="63" l="1"/>
  <c r="AC332" i="63" s="1"/>
  <c r="AH332" i="63" s="1"/>
  <c r="AA332" i="63"/>
  <c r="AP332" i="63" s="1"/>
  <c r="AI332" i="63" l="1"/>
  <c r="AB332" i="63"/>
  <c r="AF332" i="63" s="1"/>
  <c r="AL332" i="63" l="1"/>
  <c r="AA333" i="63" s="1"/>
  <c r="AP333" i="63" s="1"/>
  <c r="AG332" i="63"/>
  <c r="Y333" i="63" l="1"/>
  <c r="AC333" i="63" s="1"/>
  <c r="AH333" i="63" s="1"/>
  <c r="AJ332" i="63"/>
  <c r="AK332" i="63" s="1"/>
  <c r="AI333" i="63"/>
  <c r="AB333" i="63" l="1"/>
  <c r="AG333" i="63" s="1"/>
  <c r="AL333" i="63" l="1"/>
  <c r="AJ333" i="63" s="1"/>
  <c r="AK333" i="63" s="1"/>
  <c r="AF333" i="63"/>
  <c r="Y334" i="63" l="1"/>
  <c r="AC334" i="63" s="1"/>
  <c r="AH334" i="63" s="1"/>
  <c r="AA334" i="63"/>
  <c r="AP334" i="63" s="1"/>
  <c r="AI334" i="63" l="1"/>
  <c r="AB334" i="63"/>
  <c r="AL334" i="63" s="1"/>
  <c r="AJ334" i="63" s="1"/>
  <c r="AK334" i="63" l="1"/>
  <c r="AG334" i="63"/>
  <c r="AF334" i="63"/>
  <c r="Y335" i="63"/>
  <c r="AA335" i="63"/>
  <c r="AP335" i="63" s="1"/>
  <c r="AC335" i="63"/>
  <c r="AH335" i="63" s="1"/>
  <c r="AI335" i="63" l="1"/>
  <c r="AB335" i="63"/>
  <c r="AF335" i="63" s="1"/>
  <c r="AL335" i="63" l="1"/>
  <c r="AJ335" i="63" s="1"/>
  <c r="AK335" i="63" s="1"/>
  <c r="AG335" i="63"/>
  <c r="Y336" i="63" l="1"/>
  <c r="AC336" i="63" s="1"/>
  <c r="AH336" i="63" s="1"/>
  <c r="AA336" i="63"/>
  <c r="AP336" i="63" s="1"/>
  <c r="AI336" i="63" l="1"/>
  <c r="AB336" i="63"/>
  <c r="AG336" i="63" s="1"/>
  <c r="AL336" i="63" l="1"/>
  <c r="AA337" i="63" s="1"/>
  <c r="AP337" i="63" s="1"/>
  <c r="AF336" i="63"/>
  <c r="Y337" i="63" l="1"/>
  <c r="AC337" i="63" s="1"/>
  <c r="AH337" i="63" s="1"/>
  <c r="AJ336" i="63"/>
  <c r="AK336" i="63" s="1"/>
  <c r="AI337" i="63"/>
  <c r="AB337" i="63" l="1"/>
  <c r="AL337" i="63" s="1"/>
  <c r="AJ337" i="63" s="1"/>
  <c r="AK337" i="63" s="1"/>
  <c r="AG337" i="63" l="1"/>
  <c r="AF337" i="63"/>
  <c r="Y338" i="63"/>
  <c r="AC338" i="63" s="1"/>
  <c r="AH338" i="63" s="1"/>
  <c r="AA338" i="63"/>
  <c r="AP338" i="63" s="1"/>
  <c r="AI338" i="63" l="1"/>
  <c r="AB338" i="63"/>
  <c r="AF338" i="63" s="1"/>
  <c r="AL338" i="63" l="1"/>
  <c r="AA339" i="63" s="1"/>
  <c r="AP339" i="63" s="1"/>
  <c r="AG338" i="63"/>
  <c r="Y339" i="63" l="1"/>
  <c r="AC339" i="63" s="1"/>
  <c r="AH339" i="63" s="1"/>
  <c r="AJ338" i="63"/>
  <c r="AK338" i="63" s="1"/>
  <c r="AI339" i="63"/>
  <c r="AB339" i="63" l="1"/>
  <c r="AL339" i="63" s="1"/>
  <c r="AJ339" i="63" s="1"/>
  <c r="AK339" i="63" s="1"/>
  <c r="AG339" i="63" l="1"/>
  <c r="AF339" i="63"/>
  <c r="Y340" i="63"/>
  <c r="AC340" i="63" s="1"/>
  <c r="AH340" i="63" s="1"/>
  <c r="AA340" i="63"/>
  <c r="AP340" i="63" s="1"/>
  <c r="AI340" i="63" l="1"/>
  <c r="AB340" i="63"/>
  <c r="AF340" i="63" s="1"/>
  <c r="AL340" i="63" l="1"/>
  <c r="AA341" i="63" s="1"/>
  <c r="AP341" i="63" s="1"/>
  <c r="AG340" i="63"/>
  <c r="Y341" i="63" l="1"/>
  <c r="AC341" i="63" s="1"/>
  <c r="AH341" i="63" s="1"/>
  <c r="AJ340" i="63"/>
  <c r="AK340" i="63" s="1"/>
  <c r="AI341" i="63"/>
  <c r="AB341" i="63" l="1"/>
  <c r="AL341" i="63" s="1"/>
  <c r="AJ341" i="63" s="1"/>
  <c r="AK341" i="63" s="1"/>
  <c r="AF341" i="63" l="1"/>
  <c r="AG341" i="63"/>
  <c r="Y342" i="63"/>
  <c r="AC342" i="63" s="1"/>
  <c r="AH342" i="63" s="1"/>
  <c r="AA342" i="63"/>
  <c r="AP342" i="63" s="1"/>
  <c r="AI342" i="63" l="1"/>
  <c r="AB342" i="63"/>
  <c r="AF342" i="63" s="1"/>
  <c r="AL342" i="63" l="1"/>
  <c r="AJ342" i="63" s="1"/>
  <c r="AK342" i="63" s="1"/>
  <c r="AG342" i="63"/>
  <c r="Y343" i="63" l="1"/>
  <c r="AC343" i="63" s="1"/>
  <c r="AH343" i="63" s="1"/>
  <c r="AA343" i="63"/>
  <c r="AP343" i="63" s="1"/>
  <c r="AI343" i="63" l="1"/>
  <c r="AB343" i="63"/>
  <c r="AF343" i="63" s="1"/>
  <c r="AG343" i="63" l="1"/>
  <c r="AL343" i="63"/>
  <c r="AJ343" i="63" s="1"/>
  <c r="AK343" i="63" s="1"/>
  <c r="Y344" i="63" l="1"/>
  <c r="AC344" i="63" s="1"/>
  <c r="AH344" i="63" s="1"/>
  <c r="AA344" i="63"/>
  <c r="AP344" i="63" s="1"/>
  <c r="AI344" i="63" l="1"/>
  <c r="AB344" i="63"/>
  <c r="AG344" i="63" s="1"/>
  <c r="AL344" i="63" l="1"/>
  <c r="AJ344" i="63" s="1"/>
  <c r="AK344" i="63" s="1"/>
  <c r="AF344" i="63"/>
  <c r="AA345" i="63" l="1"/>
  <c r="AP345" i="63" s="1"/>
  <c r="Y345" i="63"/>
  <c r="AC345" i="63" s="1"/>
  <c r="AH345" i="63" s="1"/>
  <c r="AI345" i="63" l="1"/>
  <c r="AB345" i="63"/>
  <c r="AL345" i="63" s="1"/>
  <c r="AJ345" i="63" s="1"/>
  <c r="AK345" i="63" l="1"/>
  <c r="AF345" i="63"/>
  <c r="AG345" i="63"/>
  <c r="Y346" i="63"/>
  <c r="AA346" i="63"/>
  <c r="AP346" i="63" s="1"/>
  <c r="AC346" i="63"/>
  <c r="AH346" i="63" s="1"/>
  <c r="AI346" i="63" l="1"/>
  <c r="AB346" i="63"/>
  <c r="AG346" i="63" s="1"/>
  <c r="AL346" i="63" l="1"/>
  <c r="AJ346" i="63" s="1"/>
  <c r="AK346" i="63" s="1"/>
  <c r="AF346" i="63"/>
  <c r="AA347" i="63"/>
  <c r="AP347" i="63" s="1"/>
  <c r="Y347" i="63" l="1"/>
  <c r="AC347" i="63" s="1"/>
  <c r="AH347" i="63" s="1"/>
  <c r="AI347" i="63"/>
  <c r="AB347" i="63" l="1"/>
  <c r="AL347" i="63" s="1"/>
  <c r="AJ347" i="63" s="1"/>
  <c r="AK347" i="63" s="1"/>
  <c r="AG347" i="63" l="1"/>
  <c r="AF347" i="63"/>
  <c r="AA348" i="63"/>
  <c r="AP348" i="63" s="1"/>
  <c r="Y348" i="63"/>
  <c r="AC348" i="63" s="1"/>
  <c r="AH348" i="63" s="1"/>
  <c r="AI348" i="63" l="1"/>
  <c r="AB348" i="63"/>
  <c r="AG348" i="63" s="1"/>
  <c r="AL348" i="63" l="1"/>
  <c r="AJ348" i="63" s="1"/>
  <c r="AK348" i="63" s="1"/>
  <c r="AF348" i="63"/>
  <c r="AA349" i="63" l="1"/>
  <c r="AP349" i="63" s="1"/>
  <c r="Y349" i="63"/>
  <c r="AC349" i="63" s="1"/>
  <c r="AH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s="1"/>
  <c r="AL351" i="63" l="1"/>
  <c r="AJ351" i="63" s="1"/>
  <c r="AK351" i="63" s="1"/>
  <c r="AF351" i="63"/>
  <c r="Y352" i="63" l="1"/>
  <c r="AC352" i="63" s="1"/>
  <c r="AH352" i="63" s="1"/>
  <c r="AA352" i="63"/>
  <c r="AP352" i="63" s="1"/>
  <c r="AI352" i="63" l="1"/>
  <c r="AB352" i="63"/>
  <c r="AG352" i="63" l="1"/>
  <c r="AF352" i="63"/>
  <c r="AL352" i="63"/>
  <c r="AA353" i="63" l="1"/>
  <c r="AP353" i="63" s="1"/>
  <c r="AJ352" i="63"/>
  <c r="AK352" i="63" s="1"/>
  <c r="Y353" i="63"/>
  <c r="AC353" i="63" l="1"/>
  <c r="AH353" i="63" s="1"/>
  <c r="AI353" i="63"/>
  <c r="AB353" i="63" l="1"/>
  <c r="AL353" i="63" s="1"/>
  <c r="AA354" i="63" s="1"/>
  <c r="AP354" i="63" s="1"/>
  <c r="AG353" i="63" l="1"/>
  <c r="AF353" i="63"/>
  <c r="Y354" i="63"/>
  <c r="AC354" i="63" s="1"/>
  <c r="AH354" i="63" s="1"/>
  <c r="AJ353" i="63"/>
  <c r="AK353" i="63" s="1"/>
  <c r="AI354" i="63"/>
  <c r="AB354" i="63" l="1"/>
  <c r="AF354" i="63" s="1"/>
  <c r="AL354" i="63" l="1"/>
  <c r="AA355" i="63" s="1"/>
  <c r="AP355" i="63" s="1"/>
  <c r="AG354" i="63"/>
  <c r="Y355" i="63" l="1"/>
  <c r="AC355" i="63" s="1"/>
  <c r="AH355" i="63" s="1"/>
  <c r="AJ354" i="63"/>
  <c r="AK354" i="63" s="1"/>
  <c r="AI355" i="63"/>
  <c r="AB355" i="63" l="1"/>
  <c r="AF355" i="63" s="1"/>
  <c r="AG355" i="63" l="1"/>
  <c r="AL355" i="63"/>
  <c r="AJ355" i="63" s="1"/>
  <c r="AK355" i="63" s="1"/>
  <c r="Y356" i="63" l="1"/>
  <c r="AC356" i="63" s="1"/>
  <c r="AH356" i="63" s="1"/>
  <c r="AA356" i="63"/>
  <c r="AP356" i="63" s="1"/>
  <c r="AI356" i="63" l="1"/>
  <c r="AB356" i="63"/>
  <c r="AF356" i="63" s="1"/>
  <c r="AL356" i="63" l="1"/>
  <c r="AA357" i="63" s="1"/>
  <c r="AP357" i="63" s="1"/>
  <c r="AG356" i="63"/>
  <c r="Y357" i="63" l="1"/>
  <c r="AC357" i="63" s="1"/>
  <c r="AH357" i="63" s="1"/>
  <c r="AJ356" i="63"/>
  <c r="AK356" i="63" s="1"/>
  <c r="AI357" i="63"/>
  <c r="AB357" i="63" l="1"/>
  <c r="AF357" i="63" s="1"/>
  <c r="AG357" i="63" l="1"/>
  <c r="AL357" i="63"/>
  <c r="AA358" i="63" s="1"/>
  <c r="AP358" i="63" s="1"/>
  <c r="Y358" i="63" l="1"/>
  <c r="AC358" i="63" s="1"/>
  <c r="AH358" i="63" s="1"/>
  <c r="AJ357" i="63"/>
  <c r="AK357" i="63" s="1"/>
  <c r="AI358" i="63"/>
  <c r="AB358" i="63" l="1"/>
  <c r="AF358" i="63" s="1"/>
  <c r="AL358" i="63" l="1"/>
  <c r="AJ358" i="63" s="1"/>
  <c r="AK358" i="63" s="1"/>
  <c r="AG358" i="63"/>
  <c r="Y359" i="63" l="1"/>
  <c r="AC359" i="63" s="1"/>
  <c r="AH359" i="63" s="1"/>
  <c r="AA359" i="63"/>
  <c r="AP359" i="63" s="1"/>
  <c r="AI359" i="63" l="1"/>
  <c r="AB359" i="63"/>
  <c r="AG359" i="63" s="1"/>
  <c r="AL359" i="63" l="1"/>
  <c r="AJ359" i="63" s="1"/>
  <c r="AK359" i="63" s="1"/>
  <c r="AF359" i="63"/>
  <c r="Y360" i="63" l="1"/>
  <c r="AC360" i="63" s="1"/>
  <c r="AH360" i="63" s="1"/>
  <c r="AA360" i="63"/>
  <c r="AP360" i="63" s="1"/>
  <c r="AI360" i="63" l="1"/>
  <c r="AB360" i="63"/>
  <c r="AL360" i="63" s="1"/>
  <c r="AA361" i="63" s="1"/>
  <c r="AP361" i="63" s="1"/>
  <c r="AF360" i="63" l="1"/>
  <c r="AG360" i="63"/>
  <c r="Y361" i="63"/>
  <c r="AJ360" i="63"/>
  <c r="AK360" i="63" s="1"/>
  <c r="AC361" i="63"/>
  <c r="AH361" i="63" s="1"/>
  <c r="AI361" i="63"/>
  <c r="AB361" i="63" l="1"/>
  <c r="AF361" i="63" s="1"/>
  <c r="AL361" i="63" l="1"/>
  <c r="AJ361" i="63" s="1"/>
  <c r="AK361" i="63" s="1"/>
  <c r="AG361" i="63"/>
  <c r="Y362" i="63" l="1"/>
  <c r="AC362" i="63" s="1"/>
  <c r="AH362" i="63" s="1"/>
  <c r="AA362" i="63"/>
  <c r="AP362" i="63" s="1"/>
  <c r="AI362" i="63" l="1"/>
  <c r="AB362" i="63"/>
  <c r="AF362" i="63" s="1"/>
  <c r="AL362" i="63" l="1"/>
  <c r="AA363" i="63" s="1"/>
  <c r="AP363" i="63" s="1"/>
  <c r="AG362" i="63"/>
  <c r="Y363" i="63" l="1"/>
  <c r="AC363" i="63" s="1"/>
  <c r="AH363" i="63" s="1"/>
  <c r="AJ362" i="63"/>
  <c r="AK362" i="63" s="1"/>
  <c r="AI363" i="63"/>
  <c r="AB363" i="63" l="1"/>
  <c r="AL363" i="63" s="1"/>
  <c r="AF363" i="63" l="1"/>
  <c r="AG363" i="63"/>
  <c r="AA364" i="63"/>
  <c r="AP364" i="63" s="1"/>
  <c r="AJ363" i="63"/>
  <c r="AK363" i="63" s="1"/>
  <c r="Y364" i="63"/>
  <c r="AC364" i="63" l="1"/>
  <c r="AH364" i="63" s="1"/>
  <c r="AI364" i="63"/>
  <c r="AB364" i="63" l="1"/>
  <c r="AL364" i="63" s="1"/>
  <c r="AA365" i="63" s="1"/>
  <c r="AP365" i="63" s="1"/>
  <c r="AF364" i="63" l="1"/>
  <c r="AG364" i="63"/>
  <c r="Y365" i="63"/>
  <c r="AC365" i="63" s="1"/>
  <c r="AH365" i="63" s="1"/>
  <c r="AJ364" i="63"/>
  <c r="AK364" i="63" s="1"/>
  <c r="AI365" i="63"/>
  <c r="AB365" i="63" l="1"/>
  <c r="AF365" i="63" s="1"/>
  <c r="AL365" i="63" l="1"/>
  <c r="AJ365" i="63" s="1"/>
  <c r="AK365" i="63" s="1"/>
  <c r="AG365" i="63"/>
  <c r="AA366" i="63" l="1"/>
  <c r="AP366" i="63" s="1"/>
  <c r="Y366" i="63"/>
  <c r="AC366" i="63" s="1"/>
  <c r="AH366" i="63" s="1"/>
  <c r="AI366" i="63" l="1"/>
  <c r="AB366" i="63"/>
  <c r="AF366" i="63" s="1"/>
  <c r="AL366" i="63" l="1"/>
  <c r="AJ366" i="63" s="1"/>
  <c r="AK366" i="63" s="1"/>
  <c r="AG366" i="63"/>
  <c r="Y367" i="63" l="1"/>
  <c r="AC367" i="63" s="1"/>
  <c r="AH367" i="63" s="1"/>
  <c r="AA367" i="63"/>
  <c r="AP367" i="63" s="1"/>
  <c r="AI367" i="63" l="1"/>
  <c r="AB367" i="63"/>
  <c r="AG367" i="63" s="1"/>
  <c r="AL367" i="63" l="1"/>
  <c r="AJ367" i="63" s="1"/>
  <c r="AK367" i="63" s="1"/>
  <c r="AF367" i="63"/>
  <c r="Y368" i="63" l="1"/>
  <c r="AC368" i="63" s="1"/>
  <c r="AH368" i="63" s="1"/>
  <c r="AA368" i="63"/>
  <c r="AP368" i="63" s="1"/>
  <c r="AI368" i="63" l="1"/>
  <c r="AB368" i="63"/>
  <c r="AL368" i="63" s="1"/>
  <c r="AF368" i="63" l="1"/>
  <c r="AG368" i="63"/>
  <c r="AA369" i="63"/>
  <c r="AP369" i="63" s="1"/>
  <c r="AJ368" i="63"/>
  <c r="AK368" i="63" s="1"/>
  <c r="Y369" i="63"/>
  <c r="AC369" i="63" l="1"/>
  <c r="AH369" i="63" s="1"/>
  <c r="AI369" i="63"/>
  <c r="AB369" i="63" l="1"/>
  <c r="AL369" i="63" s="1"/>
  <c r="AA370" i="63" s="1"/>
  <c r="AP370" i="63" s="1"/>
  <c r="AJ369" i="63" l="1"/>
  <c r="AK369" i="63" s="1"/>
  <c r="AF369" i="63"/>
  <c r="Y370" i="63"/>
  <c r="AC370" i="63" s="1"/>
  <c r="AH370" i="63" s="1"/>
  <c r="AG369" i="63"/>
  <c r="AI370" i="63"/>
  <c r="AB370" i="63" l="1"/>
  <c r="AG370" i="63" s="1"/>
  <c r="AL370" i="63" l="1"/>
  <c r="AJ370" i="63" s="1"/>
  <c r="AK370" i="63" s="1"/>
  <c r="AF370" i="63"/>
  <c r="Y371" i="63" l="1"/>
  <c r="AC371" i="63" s="1"/>
  <c r="AH371" i="63" s="1"/>
  <c r="AA371" i="63"/>
  <c r="AP371" i="63" s="1"/>
  <c r="AI371" i="63" l="1"/>
  <c r="AB371" i="63"/>
  <c r="AL371" i="63" s="1"/>
  <c r="AJ371" i="63" s="1"/>
  <c r="AK371" i="63" l="1"/>
  <c r="AF371" i="63"/>
  <c r="AG371" i="63"/>
  <c r="Y372" i="63"/>
  <c r="AA372" i="63"/>
  <c r="AP372" i="63" s="1"/>
  <c r="AC372" i="63"/>
  <c r="AH372" i="63" s="1"/>
  <c r="AI372" i="63" l="1"/>
  <c r="AB372" i="63"/>
  <c r="AF372" i="63" s="1"/>
  <c r="AL372" i="63" l="1"/>
  <c r="AA373" i="63" s="1"/>
  <c r="AP373" i="63" s="1"/>
  <c r="AG372" i="63"/>
  <c r="Y373" i="63" l="1"/>
  <c r="AC373" i="63" s="1"/>
  <c r="AH373" i="63" s="1"/>
  <c r="AJ372" i="63"/>
  <c r="AK372" i="63" s="1"/>
  <c r="AI373" i="63"/>
  <c r="AB373" i="63" l="1"/>
  <c r="AG373" i="63" s="1"/>
  <c r="AL373" i="63" l="1"/>
  <c r="AJ373" i="63" s="1"/>
  <c r="AK373" i="63" s="1"/>
  <c r="AF373" i="63"/>
  <c r="AA374" i="63" l="1"/>
  <c r="AP374" i="63" s="1"/>
  <c r="Y374" i="63"/>
  <c r="AC374" i="63" s="1"/>
  <c r="AH374" i="63" s="1"/>
  <c r="AI374" i="63" l="1"/>
  <c r="AB374" i="63"/>
  <c r="AL374" i="63" s="1"/>
  <c r="AJ374" i="63" s="1"/>
  <c r="AF374" i="63" l="1"/>
  <c r="AG374" i="63"/>
  <c r="Y375" i="63"/>
  <c r="AA375" i="63"/>
  <c r="AP375" i="63" s="1"/>
  <c r="AK374" i="63"/>
  <c r="AC375" i="63"/>
  <c r="AH375" i="63" s="1"/>
  <c r="AI375" i="63" l="1"/>
  <c r="AB375" i="63"/>
  <c r="AL375" i="63" s="1"/>
  <c r="AJ375" i="63" s="1"/>
  <c r="AK375" i="63" l="1"/>
  <c r="AG375" i="63"/>
  <c r="AF375" i="63"/>
  <c r="Y376" i="63"/>
  <c r="AA376" i="63"/>
  <c r="AP376" i="63" s="1"/>
  <c r="AC376" i="63"/>
  <c r="AH376" i="63" s="1"/>
  <c r="AI376" i="63" l="1"/>
  <c r="AB376" i="63"/>
  <c r="AG376" i="63" s="1"/>
  <c r="AL376" i="63" l="1"/>
  <c r="AA377" i="63" s="1"/>
  <c r="AP377" i="63" s="1"/>
  <c r="AF376" i="63"/>
  <c r="Y377" i="63" l="1"/>
  <c r="AC377" i="63" s="1"/>
  <c r="AH377" i="63" s="1"/>
  <c r="AJ376" i="63"/>
  <c r="AK376" i="63" s="1"/>
  <c r="AI377" i="63"/>
  <c r="AB377" i="63" l="1"/>
  <c r="AL377" i="63" s="1"/>
  <c r="AA378" i="63" s="1"/>
  <c r="AP378" i="63" s="1"/>
  <c r="AG377" i="63" l="1"/>
  <c r="AF377" i="63"/>
  <c r="Y378" i="63"/>
  <c r="AJ377" i="63"/>
  <c r="AK377" i="63" s="1"/>
  <c r="AC378" i="63"/>
  <c r="AH378" i="63" s="1"/>
  <c r="AI378" i="63"/>
  <c r="AB378" i="63" l="1"/>
  <c r="AL378" i="63" s="1"/>
  <c r="AJ378" i="63" s="1"/>
  <c r="AK378" i="63" s="1"/>
  <c r="Y379" i="63" l="1"/>
  <c r="AC379" i="63" s="1"/>
  <c r="AH379" i="63" s="1"/>
  <c r="AG378" i="63"/>
  <c r="AF378" i="63"/>
  <c r="AA379" i="63"/>
  <c r="AP379" i="63" s="1"/>
  <c r="AI379" i="63" l="1"/>
  <c r="AB379" i="63"/>
  <c r="AG379" i="63" s="1"/>
  <c r="AL379" i="63" l="1"/>
  <c r="AJ379" i="63" s="1"/>
  <c r="AK379" i="63" s="1"/>
  <c r="AF379" i="63"/>
  <c r="Y380" i="63" l="1"/>
  <c r="AC380" i="63" s="1"/>
  <c r="AH380" i="63" s="1"/>
  <c r="AA380" i="63"/>
  <c r="AP380" i="63" s="1"/>
  <c r="AI380" i="63" l="1"/>
  <c r="AB380" i="63"/>
  <c r="AG380" i="63" s="1"/>
  <c r="AL380" i="63" l="1"/>
  <c r="AA381" i="63" s="1"/>
  <c r="AP381" i="63" s="1"/>
  <c r="AF380" i="63"/>
  <c r="Y381" i="63" l="1"/>
  <c r="AC381" i="63" s="1"/>
  <c r="AH381" i="63" s="1"/>
  <c r="AJ380" i="63"/>
  <c r="AK380" i="63" s="1"/>
  <c r="AI381" i="63"/>
  <c r="AB381" i="63" l="1"/>
  <c r="AL381" i="63" s="1"/>
  <c r="AA382" i="63" s="1"/>
  <c r="AP382" i="63" s="1"/>
  <c r="AG381" i="63" l="1"/>
  <c r="AF381" i="63"/>
  <c r="Y382" i="63"/>
  <c r="AC382" i="63" s="1"/>
  <c r="AH382" i="63" s="1"/>
  <c r="AJ381" i="63"/>
  <c r="AK381" i="63" s="1"/>
  <c r="AI382" i="63"/>
  <c r="AB382" i="63" l="1"/>
  <c r="AL382" i="63" s="1"/>
  <c r="AA383" i="63" s="1"/>
  <c r="AP383" i="63" s="1"/>
  <c r="AF382" i="63" l="1"/>
  <c r="AG382" i="63"/>
  <c r="Y383" i="63"/>
  <c r="AJ382" i="63"/>
  <c r="AK382" i="63" s="1"/>
  <c r="AC383" i="63"/>
  <c r="AH383" i="63" s="1"/>
  <c r="AI383" i="63"/>
  <c r="AB383" i="63" l="1"/>
  <c r="AL383" i="63" s="1"/>
  <c r="AJ383" i="63" s="1"/>
  <c r="AK383" i="63" s="1"/>
  <c r="AG383" i="63" l="1"/>
  <c r="AF383" i="63"/>
  <c r="Y384" i="63"/>
  <c r="AC384" i="63" s="1"/>
  <c r="AH384" i="63" s="1"/>
  <c r="AA384" i="63"/>
  <c r="AP384" i="63" s="1"/>
  <c r="AI384" i="63" l="1"/>
  <c r="AB384" i="63"/>
  <c r="AL384" i="63" s="1"/>
  <c r="AJ384" i="63" s="1"/>
  <c r="AK384" i="63" l="1"/>
  <c r="AG384" i="63"/>
  <c r="AF384" i="63"/>
  <c r="AA385" i="63"/>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F387" i="63" s="1"/>
  <c r="AL387" i="63" l="1"/>
  <c r="AJ387" i="63" s="1"/>
  <c r="AK387" i="63" s="1"/>
  <c r="AG387" i="63"/>
  <c r="Y388" i="63" l="1"/>
  <c r="AC388" i="63" s="1"/>
  <c r="AH388" i="63" s="1"/>
  <c r="AA388" i="63"/>
  <c r="AP388" i="63" s="1"/>
  <c r="AI388" i="63" l="1"/>
  <c r="AB388" i="63"/>
  <c r="AG388" i="63" s="1"/>
  <c r="AL388" i="63" l="1"/>
  <c r="AJ388" i="63" s="1"/>
  <c r="AK388" i="63" s="1"/>
  <c r="AF388" i="63"/>
  <c r="AA389" i="63" l="1"/>
  <c r="AP389" i="63" s="1"/>
  <c r="Y389" i="63"/>
  <c r="AC389" i="63" s="1"/>
  <c r="AH389" i="63" s="1"/>
  <c r="AI389" i="63" l="1"/>
  <c r="AB389" i="63"/>
  <c r="AL389" i="63" s="1"/>
  <c r="AJ389" i="63" s="1"/>
  <c r="AK389" i="63" l="1"/>
  <c r="AG389" i="63"/>
  <c r="AF389" i="63"/>
  <c r="Y390" i="63"/>
  <c r="AA390" i="63"/>
  <c r="AP390" i="63" s="1"/>
  <c r="AC390" i="63"/>
  <c r="AH390" i="63" s="1"/>
  <c r="AI390" i="63" l="1"/>
  <c r="AB390" i="63"/>
  <c r="AF390" i="63" s="1"/>
  <c r="AL390" i="63" l="1"/>
  <c r="Y391" i="63" s="1"/>
  <c r="AG390" i="63"/>
  <c r="AA391" i="63" l="1"/>
  <c r="AP391" i="63" s="1"/>
  <c r="AJ390" i="63"/>
  <c r="AK390" i="63" s="1"/>
  <c r="AC391" i="63"/>
  <c r="AH391" i="63" s="1"/>
  <c r="AI391" i="63" l="1"/>
  <c r="AB391" i="63"/>
  <c r="AL391" i="63" s="1"/>
  <c r="AJ391" i="63" s="1"/>
  <c r="AK391" i="63" l="1"/>
  <c r="AG391" i="63"/>
  <c r="AF391" i="63"/>
  <c r="Y392" i="63"/>
  <c r="AA392" i="63"/>
  <c r="AP392" i="63" s="1"/>
  <c r="AC392" i="63"/>
  <c r="AH392" i="63" s="1"/>
  <c r="AI392" i="63" l="1"/>
  <c r="AB392" i="63"/>
  <c r="AF392" i="63" s="1"/>
  <c r="AL392" i="63" l="1"/>
  <c r="AA393" i="63" s="1"/>
  <c r="AP393" i="63" s="1"/>
  <c r="AG392" i="63"/>
  <c r="Y393" i="63" l="1"/>
  <c r="AJ392" i="63"/>
  <c r="AK392" i="63" s="1"/>
  <c r="AC393" i="63"/>
  <c r="AH393" i="63" s="1"/>
  <c r="AI393" i="63"/>
  <c r="AB393" i="63" l="1"/>
  <c r="AL393" i="63" s="1"/>
  <c r="AA394" i="63" s="1"/>
  <c r="AP394" i="63" s="1"/>
  <c r="AF393" i="63" l="1"/>
  <c r="AG393" i="63"/>
  <c r="AJ393" i="63"/>
  <c r="AK393" i="63" s="1"/>
  <c r="Y394" i="63"/>
  <c r="AC394" i="63" s="1"/>
  <c r="AH394" i="63" s="1"/>
  <c r="AI394" i="63"/>
  <c r="AB394" i="63" l="1"/>
  <c r="AG394" i="63" s="1"/>
  <c r="AL394" i="63" l="1"/>
  <c r="AA395" i="63" s="1"/>
  <c r="AP395" i="63" s="1"/>
  <c r="AF394" i="63"/>
  <c r="Y395" i="63" l="1"/>
  <c r="AC395" i="63" s="1"/>
  <c r="AH395" i="63" s="1"/>
  <c r="AJ394" i="63"/>
  <c r="AK394" i="63" s="1"/>
  <c r="AI395" i="63"/>
  <c r="AB395" i="63" l="1"/>
  <c r="AG395" i="63" s="1"/>
  <c r="AL395" i="63" l="1"/>
  <c r="AJ395" i="63" s="1"/>
  <c r="AK395" i="63" s="1"/>
  <c r="AF395" i="63"/>
  <c r="AA396" i="63" l="1"/>
  <c r="AP396" i="63" s="1"/>
  <c r="Y396" i="63"/>
  <c r="AC396" i="63" s="1"/>
  <c r="AH396" i="63" s="1"/>
  <c r="AI396" i="63" l="1"/>
  <c r="AB396" i="63"/>
  <c r="AF396" i="63" s="1"/>
  <c r="AL396" i="63" l="1"/>
  <c r="AJ396" i="63" s="1"/>
  <c r="AK396" i="63" s="1"/>
  <c r="AG396" i="63"/>
  <c r="AA397" i="63" l="1"/>
  <c r="AP397" i="63" s="1"/>
  <c r="Y397" i="63"/>
  <c r="AC397" i="63" s="1"/>
  <c r="AH397" i="63" s="1"/>
  <c r="AI397" i="63" l="1"/>
  <c r="AB397" i="63"/>
  <c r="AL397" i="63" s="1"/>
  <c r="AA398" i="63" s="1"/>
  <c r="AP398" i="63" s="1"/>
  <c r="AG397" i="63" l="1"/>
  <c r="AF397" i="63"/>
  <c r="Y398" i="63"/>
  <c r="AC398" i="63" s="1"/>
  <c r="AH398" i="63" s="1"/>
  <c r="AJ397" i="63"/>
  <c r="AK397" i="63" s="1"/>
  <c r="AI398" i="63"/>
  <c r="AB398" i="63" l="1"/>
  <c r="AL398" i="63" s="1"/>
  <c r="AJ398" i="63" s="1"/>
  <c r="AK398" i="63" s="1"/>
  <c r="AF398" i="63" l="1"/>
  <c r="Y399" i="63"/>
  <c r="AG398" i="63"/>
  <c r="AA399" i="63"/>
  <c r="AP399" i="63" s="1"/>
  <c r="AC399" i="63"/>
  <c r="AH399" i="63" s="1"/>
  <c r="AI399" i="63" l="1"/>
  <c r="AB399" i="63"/>
  <c r="AL399" i="63" s="1"/>
  <c r="AJ399" i="63" s="1"/>
  <c r="AK399" i="63" l="1"/>
  <c r="AF399" i="63"/>
  <c r="AG399" i="63"/>
  <c r="Y400" i="63"/>
  <c r="AC400" i="63" s="1"/>
  <c r="AH400" i="63" s="1"/>
  <c r="AA400" i="63"/>
  <c r="AP400" i="63" s="1"/>
  <c r="AI400" i="63" l="1"/>
  <c r="AB400" i="63"/>
  <c r="AG400" i="63" s="1"/>
  <c r="AL400" i="63" l="1"/>
  <c r="AA401" i="63" s="1"/>
  <c r="AP401" i="63" s="1"/>
  <c r="AF400" i="63"/>
  <c r="AJ400" i="63" l="1"/>
  <c r="AK400" i="63" s="1"/>
  <c r="Y401" i="63"/>
  <c r="AC401" i="63" s="1"/>
  <c r="AH401" i="63" s="1"/>
  <c r="AI401" i="63"/>
  <c r="AB401" i="63" l="1"/>
  <c r="AF401" i="63" s="1"/>
  <c r="AL401" i="63" l="1"/>
  <c r="AJ401" i="63" s="1"/>
  <c r="AK401" i="63" s="1"/>
  <c r="AG401" i="63"/>
  <c r="Y402" i="63" l="1"/>
  <c r="AC402" i="63" s="1"/>
  <c r="AH402" i="63" s="1"/>
  <c r="AA402" i="63"/>
  <c r="AP402" i="63" s="1"/>
  <c r="AI402" i="63" l="1"/>
  <c r="AB402" i="63"/>
  <c r="AG402" i="63" s="1"/>
  <c r="AF402" i="63" l="1"/>
  <c r="AL402" i="63"/>
  <c r="AA403" i="63" s="1"/>
  <c r="AP403" i="63" s="1"/>
  <c r="Y403" i="63" l="1"/>
  <c r="AC403" i="63" s="1"/>
  <c r="AH403" i="63" s="1"/>
  <c r="AJ402" i="63"/>
  <c r="AK402" i="63" s="1"/>
  <c r="AI403" i="63"/>
  <c r="AB403" i="63" l="1"/>
  <c r="AG403" i="63" s="1"/>
  <c r="AL403" i="63" l="1"/>
  <c r="AA404" i="63" s="1"/>
  <c r="AP404" i="63" s="1"/>
  <c r="AF403" i="63"/>
  <c r="Y404" i="63" l="1"/>
  <c r="AC404" i="63" s="1"/>
  <c r="AH404" i="63" s="1"/>
  <c r="AJ403" i="63"/>
  <c r="AK403" i="63" s="1"/>
  <c r="AI404" i="63"/>
  <c r="AB404" i="63" l="1"/>
  <c r="AL404" i="63" s="1"/>
  <c r="AJ404" i="63" s="1"/>
  <c r="AK404" i="63" s="1"/>
  <c r="AG404" i="63" l="1"/>
  <c r="AF404" i="63"/>
  <c r="Y405" i="63"/>
  <c r="AC405" i="63" s="1"/>
  <c r="AH405" i="63" s="1"/>
  <c r="AA405" i="63"/>
  <c r="AP405" i="63" s="1"/>
  <c r="AI405" i="63" l="1"/>
  <c r="AB405" i="63"/>
  <c r="AL405" i="63" s="1"/>
  <c r="AJ405" i="63" s="1"/>
  <c r="AK405" i="63" l="1"/>
  <c r="AF405" i="63"/>
  <c r="AG405" i="63"/>
  <c r="Y406" i="63"/>
  <c r="AA406" i="63"/>
  <c r="AP406" i="63" s="1"/>
  <c r="AC406" i="63"/>
  <c r="AH406" i="63" s="1"/>
  <c r="AI406" i="63" l="1"/>
  <c r="AB406" i="63"/>
  <c r="AF406" i="63" s="1"/>
  <c r="AL406" i="63" l="1"/>
  <c r="AJ406" i="63" s="1"/>
  <c r="AK406" i="63" s="1"/>
  <c r="AG406" i="63"/>
  <c r="Y407" i="63" l="1"/>
  <c r="AC407" i="63" s="1"/>
  <c r="AH407" i="63" s="1"/>
  <c r="AA407" i="63"/>
  <c r="AP407" i="63" s="1"/>
  <c r="AI407" i="63" l="1"/>
  <c r="AB407" i="63"/>
  <c r="AL407" i="63" s="1"/>
  <c r="AA408" i="63" s="1"/>
  <c r="AP408" i="63" s="1"/>
  <c r="AF407" i="63" l="1"/>
  <c r="AG407" i="63"/>
  <c r="Y408" i="63"/>
  <c r="AC408" i="63" s="1"/>
  <c r="AH408" i="63" s="1"/>
  <c r="AJ407" i="63"/>
  <c r="AK407" i="63" s="1"/>
  <c r="AI408" i="63"/>
  <c r="AB408" i="63" l="1"/>
  <c r="AG408" i="63" s="1"/>
  <c r="AF408" i="63" l="1"/>
  <c r="AL408" i="63"/>
  <c r="AA409" i="63" s="1"/>
  <c r="AP409" i="63" s="1"/>
  <c r="Y409" i="63" l="1"/>
  <c r="AC409" i="63" s="1"/>
  <c r="AH409" i="63" s="1"/>
  <c r="AJ408" i="63"/>
  <c r="AK408" i="63" s="1"/>
  <c r="AI409" i="63"/>
  <c r="AB409" i="63" l="1"/>
  <c r="AF409" i="63" s="1"/>
  <c r="AL409" i="63" l="1"/>
  <c r="AJ409" i="63" s="1"/>
  <c r="AK409" i="63" s="1"/>
  <c r="AG409" i="63"/>
  <c r="Y410" i="63" l="1"/>
  <c r="AC410" i="63" s="1"/>
  <c r="AH410" i="63" s="1"/>
  <c r="AA410" i="63"/>
  <c r="AP410" i="63" s="1"/>
  <c r="AI410" i="63" l="1"/>
  <c r="AB410" i="63"/>
  <c r="AG410" i="63" s="1"/>
  <c r="AL410" i="63" l="1"/>
  <c r="AJ410" i="63" s="1"/>
  <c r="AK410" i="63" s="1"/>
  <c r="AF410" i="63"/>
  <c r="Y411" i="63" l="1"/>
  <c r="AC411" i="63" s="1"/>
  <c r="AH411" i="63" s="1"/>
  <c r="AA411" i="63"/>
  <c r="AP411" i="63" s="1"/>
  <c r="AI411" i="63" l="1"/>
  <c r="AB411" i="63"/>
  <c r="AG411" i="63" s="1"/>
  <c r="AL411" i="63" l="1"/>
  <c r="AA412" i="63" s="1"/>
  <c r="AP412" i="63" s="1"/>
  <c r="AF411" i="63"/>
  <c r="Y412" i="63" l="1"/>
  <c r="AC412" i="63" s="1"/>
  <c r="AH412" i="63" s="1"/>
  <c r="AJ411" i="63"/>
  <c r="AK411" i="63" s="1"/>
  <c r="AI412" i="63"/>
  <c r="AB412" i="63" l="1"/>
  <c r="AL412" i="63" s="1"/>
  <c r="AJ412" i="63" s="1"/>
  <c r="AK412" i="63" s="1"/>
  <c r="AF412" i="63" l="1"/>
  <c r="AG412" i="63"/>
  <c r="AA413" i="63"/>
  <c r="AP413" i="63" s="1"/>
  <c r="Y413" i="63"/>
  <c r="AC413" i="63" s="1"/>
  <c r="AH413" i="63" s="1"/>
  <c r="AI413" i="63" l="1"/>
  <c r="AB413" i="63"/>
  <c r="AG413" i="63" l="1"/>
  <c r="AF413" i="63"/>
  <c r="AL413" i="63"/>
  <c r="AJ413" i="63" l="1"/>
  <c r="AK413" i="63" s="1"/>
  <c r="AA414" i="63"/>
  <c r="AP414" i="63" s="1"/>
  <c r="Y414" i="63"/>
  <c r="AC414" i="63" l="1"/>
  <c r="AH414" i="63" s="1"/>
  <c r="AI414" i="63"/>
  <c r="AB414" i="63" l="1"/>
  <c r="AF414" i="63" s="1"/>
  <c r="AL414" i="63" l="1"/>
  <c r="AA415" i="63" s="1"/>
  <c r="AP415" i="63" s="1"/>
  <c r="AG414" i="63"/>
  <c r="Y415" i="63" l="1"/>
  <c r="AC415" i="63" s="1"/>
  <c r="AH415" i="63" s="1"/>
  <c r="AJ414" i="63"/>
  <c r="AK414" i="63" s="1"/>
  <c r="AI415" i="63"/>
  <c r="AB415" i="63" l="1"/>
  <c r="AL415" i="63" s="1"/>
  <c r="AJ415" i="63" s="1"/>
  <c r="AK415" i="63" s="1"/>
  <c r="AG415" i="63" l="1"/>
  <c r="AF415" i="63"/>
  <c r="Y416" i="63"/>
  <c r="AA416" i="63"/>
  <c r="AP416" i="63" s="1"/>
  <c r="AC416" i="63"/>
  <c r="AH416" i="63" s="1"/>
  <c r="AI416" i="63" l="1"/>
  <c r="AB416" i="63"/>
  <c r="AL416" i="63" s="1"/>
  <c r="AJ416" i="63" s="1"/>
  <c r="AG416" i="63" l="1"/>
  <c r="AF416" i="63"/>
  <c r="AK416" i="63"/>
  <c r="Y417" i="63"/>
  <c r="AC417" i="63" s="1"/>
  <c r="AH417" i="63" s="1"/>
  <c r="AA417" i="63"/>
  <c r="AP417" i="63" s="1"/>
  <c r="AI417" i="63" l="1"/>
  <c r="AB417" i="63"/>
  <c r="AG417" i="63" s="1"/>
  <c r="AL417" i="63" l="1"/>
  <c r="AJ417" i="63" s="1"/>
  <c r="AK417" i="63" s="1"/>
  <c r="AF417" i="63"/>
  <c r="Y418" i="63" l="1"/>
  <c r="AC418" i="63" s="1"/>
  <c r="AH418" i="63" s="1"/>
  <c r="AA418" i="63"/>
  <c r="AP418" i="63" s="1"/>
  <c r="AI418" i="63" l="1"/>
  <c r="AB418" i="63"/>
  <c r="AL418" i="63" s="1"/>
  <c r="AJ418" i="63" s="1"/>
  <c r="AK418" i="63" l="1"/>
  <c r="AF418" i="63"/>
  <c r="AG418" i="63"/>
  <c r="AA419" i="63"/>
  <c r="AP419" i="63" s="1"/>
  <c r="Y419" i="63"/>
  <c r="AC419" i="63" s="1"/>
  <c r="AH419" i="63" s="1"/>
  <c r="AI419" i="63" l="1"/>
  <c r="AB419" i="63"/>
  <c r="AF419" i="63" s="1"/>
  <c r="AL419" i="63" l="1"/>
  <c r="AA420" i="63" s="1"/>
  <c r="AP420" i="63" s="1"/>
  <c r="AG419" i="63"/>
  <c r="AJ419" i="63" l="1"/>
  <c r="AK419" i="63" s="1"/>
  <c r="Y420" i="63"/>
  <c r="AC420" i="63" s="1"/>
  <c r="AH420" i="63" s="1"/>
  <c r="AI420" i="63"/>
  <c r="AB420" i="63" l="1"/>
  <c r="AG420" i="63" s="1"/>
  <c r="AL420" i="63" l="1"/>
  <c r="AJ420" i="63" s="1"/>
  <c r="AK420" i="63" s="1"/>
  <c r="AF420" i="63"/>
  <c r="Y421" i="63" l="1"/>
  <c r="AC421" i="63" s="1"/>
  <c r="AH421" i="63" s="1"/>
  <c r="AA421" i="63"/>
  <c r="AP421" i="63" s="1"/>
  <c r="AI421" i="63" l="1"/>
  <c r="AB421" i="63"/>
  <c r="AL421" i="63" s="1"/>
  <c r="AJ421" i="63" s="1"/>
  <c r="AK421" i="63" l="1"/>
  <c r="AA422" i="63"/>
  <c r="AP422" i="63" s="1"/>
  <c r="AF421" i="63"/>
  <c r="AG421" i="63"/>
  <c r="Y422" i="63"/>
  <c r="AC422" i="63" s="1"/>
  <c r="AH422" i="63" s="1"/>
  <c r="AI422" i="63" l="1"/>
  <c r="AB422" i="63"/>
  <c r="AG422" i="63" s="1"/>
  <c r="AL422" i="63" l="1"/>
  <c r="AA423" i="63" s="1"/>
  <c r="AP423" i="63" s="1"/>
  <c r="AF422" i="63"/>
  <c r="AJ422" i="63" l="1"/>
  <c r="AK422" i="63" s="1"/>
  <c r="Y423" i="63"/>
  <c r="AC423" i="63" s="1"/>
  <c r="AH423" i="63" s="1"/>
  <c r="AI423" i="63"/>
  <c r="AB423" i="63" l="1"/>
  <c r="AL423" i="63" s="1"/>
  <c r="AJ423" i="63" s="1"/>
  <c r="AK423" i="63" s="1"/>
  <c r="AG423" i="63" l="1"/>
  <c r="AF423" i="63"/>
  <c r="Y424" i="63"/>
  <c r="AC424" i="63" s="1"/>
  <c r="AH424" i="63" s="1"/>
  <c r="AA424" i="63"/>
  <c r="AP424" i="63" s="1"/>
  <c r="AI424" i="63" l="1"/>
  <c r="AB424" i="63"/>
  <c r="AL424" i="63" s="1"/>
  <c r="AJ424" i="63" s="1"/>
  <c r="AK424" i="63" l="1"/>
  <c r="AF424" i="63"/>
  <c r="AG424" i="63"/>
  <c r="Y425" i="63"/>
  <c r="AC425" i="63" s="1"/>
  <c r="AH425" i="63" s="1"/>
  <c r="AA425" i="63"/>
  <c r="AI425" i="63" l="1"/>
  <c r="AP425" i="63"/>
  <c r="AB425" i="63"/>
  <c r="AF425" i="63" s="1"/>
  <c r="AL425" i="63" l="1"/>
  <c r="AJ425" i="63" s="1"/>
  <c r="AK425" i="63" s="1"/>
  <c r="AG425" i="63"/>
  <c r="AA426" i="63" l="1"/>
  <c r="AP426" i="63" s="1"/>
  <c r="Y426" i="63"/>
  <c r="AC426" i="63" s="1"/>
  <c r="AH426" i="63" s="1"/>
  <c r="AI426" i="63" l="1"/>
  <c r="AB426" i="63"/>
  <c r="AF426" i="63" s="1"/>
  <c r="AL426" i="63" l="1"/>
  <c r="AJ426" i="63" s="1"/>
  <c r="AK426" i="63" s="1"/>
  <c r="AG426" i="63"/>
  <c r="Y427" i="63" l="1"/>
  <c r="AC427" i="63" s="1"/>
  <c r="AH427" i="63" s="1"/>
  <c r="AA427" i="63"/>
  <c r="AP427" i="63" s="1"/>
  <c r="AI427" i="63" l="1"/>
  <c r="AB427" i="63"/>
  <c r="AF427" i="63" s="1"/>
  <c r="AL427" i="63" l="1"/>
  <c r="AJ427" i="63" s="1"/>
  <c r="AK427" i="63" s="1"/>
  <c r="AG427" i="63"/>
  <c r="Y428" i="63" l="1"/>
  <c r="AC428" i="63" s="1"/>
  <c r="AH428" i="63" s="1"/>
  <c r="AA428" i="63"/>
  <c r="AP428" i="63" s="1"/>
  <c r="AI428" i="63" l="1"/>
  <c r="AB428" i="63"/>
  <c r="AG428" i="63" s="1"/>
  <c r="AL428" i="63" l="1"/>
  <c r="AJ428" i="63" s="1"/>
  <c r="AK428" i="63" s="1"/>
  <c r="AF428" i="63"/>
  <c r="Y429" i="63" l="1"/>
  <c r="AC429" i="63" s="1"/>
  <c r="AH429" i="63" s="1"/>
  <c r="AA429" i="63"/>
  <c r="AP429" i="63" s="1"/>
  <c r="AI429" i="63" l="1"/>
  <c r="AB429" i="63"/>
  <c r="AF429" i="63" s="1"/>
  <c r="AL429" i="63" l="1"/>
  <c r="AA430" i="63" s="1"/>
  <c r="AP430" i="63" s="1"/>
  <c r="AG429" i="63"/>
  <c r="Y430" i="63" l="1"/>
  <c r="AC430" i="63" s="1"/>
  <c r="AH430" i="63" s="1"/>
  <c r="AJ429" i="63"/>
  <c r="AK429" i="63" s="1"/>
  <c r="AI430" i="63"/>
  <c r="AB430" i="63" l="1"/>
  <c r="AG430" i="63" s="1"/>
  <c r="AL430" i="63" l="1"/>
  <c r="AA431" i="63" s="1"/>
  <c r="AP431" i="63" s="1"/>
  <c r="AF430" i="63"/>
  <c r="Y431" i="63" l="1"/>
  <c r="AC431" i="63" s="1"/>
  <c r="AH431" i="63" s="1"/>
  <c r="AJ430" i="63"/>
  <c r="AK430" i="63" s="1"/>
  <c r="AI431" i="63"/>
  <c r="AB431" i="63" l="1"/>
  <c r="AF431" i="63" s="1"/>
  <c r="AL431" i="63" l="1"/>
  <c r="AJ431" i="63" s="1"/>
  <c r="AK431" i="63" s="1"/>
  <c r="AG431" i="63"/>
  <c r="Y432" i="63" l="1"/>
  <c r="AC432" i="63" s="1"/>
  <c r="AH432" i="63" s="1"/>
  <c r="AA432" i="63"/>
  <c r="AP432" i="63" s="1"/>
  <c r="AI432" i="63" l="1"/>
  <c r="AB432" i="63"/>
  <c r="AL432" i="63" s="1"/>
  <c r="AJ432" i="63" s="1"/>
  <c r="AK432" i="63" l="1"/>
  <c r="AG432" i="63"/>
  <c r="AF432" i="63"/>
  <c r="Y433" i="63"/>
  <c r="AA433" i="63"/>
  <c r="AC433" i="63"/>
  <c r="AH433" i="63" s="1"/>
  <c r="AI433" i="63" l="1"/>
  <c r="AP433" i="63"/>
  <c r="AB433" i="63"/>
  <c r="AL433" i="63" s="1"/>
  <c r="AA434" i="63" s="1"/>
  <c r="AP434" i="63" s="1"/>
  <c r="AF433" i="63" l="1"/>
  <c r="AG433" i="63"/>
  <c r="Y434" i="63"/>
  <c r="AC434" i="63" s="1"/>
  <c r="AH434" i="63" s="1"/>
  <c r="AJ433" i="63"/>
  <c r="AK433" i="63" s="1"/>
  <c r="AI434" i="63"/>
  <c r="AB434" i="63" l="1"/>
  <c r="AG434" i="63" s="1"/>
  <c r="AL434" i="63" l="1"/>
  <c r="AJ434" i="63" s="1"/>
  <c r="AK434" i="63" s="1"/>
  <c r="AF434" i="63"/>
  <c r="Y435" i="63" l="1"/>
  <c r="AC435" i="63" s="1"/>
  <c r="AH435" i="63" s="1"/>
  <c r="AA435" i="63"/>
  <c r="AI435" i="63" s="1"/>
  <c r="AB435" i="63" l="1"/>
  <c r="AG435" i="63" s="1"/>
  <c r="AL435" i="63" l="1"/>
  <c r="AA436" i="63" s="1"/>
  <c r="AF435" i="63"/>
  <c r="Y436" i="63" l="1"/>
  <c r="AC436" i="63" s="1"/>
  <c r="AH436" i="63" s="1"/>
  <c r="AJ435" i="63"/>
  <c r="AK435" i="63" s="1"/>
  <c r="AI436" i="63"/>
  <c r="AB436" i="63" l="1"/>
  <c r="AF436" i="63" s="1"/>
  <c r="AL436" i="63" l="1"/>
  <c r="AJ436" i="63" s="1"/>
  <c r="AK436" i="63" s="1"/>
  <c r="AG436" i="63"/>
  <c r="Y437" i="63" l="1"/>
  <c r="AC437" i="63" s="1"/>
  <c r="AH437" i="63" s="1"/>
  <c r="AA437" i="63"/>
  <c r="AI437" i="63" s="1"/>
  <c r="AB437" i="63" l="1"/>
  <c r="AG437" i="63" s="1"/>
  <c r="AF437" i="63" l="1"/>
  <c r="AL437" i="63"/>
  <c r="AJ437" i="63" s="1"/>
  <c r="AK437" i="63" s="1"/>
  <c r="Y438" i="63" l="1"/>
  <c r="AC438" i="63" s="1"/>
  <c r="AH438" i="63" s="1"/>
  <c r="AA438" i="63"/>
  <c r="AI438" i="63" s="1"/>
  <c r="AB438" i="63" l="1"/>
  <c r="AF438" i="63" s="1"/>
  <c r="AL438" i="63" l="1"/>
  <c r="AA439" i="63" s="1"/>
  <c r="AG438" i="63"/>
  <c r="Y439" i="63" l="1"/>
  <c r="AC439" i="63" s="1"/>
  <c r="AH439" i="63" s="1"/>
  <c r="AJ438" i="63"/>
  <c r="AK438" i="63" s="1"/>
  <c r="AI439" i="63"/>
  <c r="AB439" i="63" l="1"/>
  <c r="AL439" i="63" s="1"/>
  <c r="AA440" i="63" s="1"/>
  <c r="AG439" i="63" l="1"/>
  <c r="AF439" i="63"/>
  <c r="Y440" i="63"/>
  <c r="AC440" i="63" s="1"/>
  <c r="AH440" i="63" s="1"/>
  <c r="AJ439" i="63"/>
  <c r="AK439" i="63" s="1"/>
  <c r="AI440" i="63"/>
  <c r="AB440" i="63" l="1"/>
  <c r="AL440" i="63" s="1"/>
  <c r="AA441" i="63" s="1"/>
  <c r="AF440" i="63" l="1"/>
  <c r="AG440" i="63"/>
  <c r="Y441" i="63"/>
  <c r="AJ440" i="63"/>
  <c r="AK440" i="63" s="1"/>
  <c r="AC441" i="63"/>
  <c r="AH441" i="63" s="1"/>
  <c r="AI441" i="63"/>
  <c r="AB441" i="63" l="1"/>
  <c r="AG441" i="63" s="1"/>
  <c r="AL441" i="63" l="1"/>
  <c r="AJ441" i="63" s="1"/>
  <c r="AK441" i="63" s="1"/>
  <c r="AF441" i="63"/>
  <c r="Y442" i="63" l="1"/>
  <c r="AC442" i="63" s="1"/>
  <c r="AH442" i="63" s="1"/>
  <c r="AA442" i="63"/>
  <c r="AI442" i="63" s="1"/>
  <c r="AB442" i="63" l="1"/>
  <c r="AF442" i="63" s="1"/>
  <c r="AL442" i="63" l="1"/>
  <c r="AJ442" i="63" s="1"/>
  <c r="AK442" i="63" s="1"/>
  <c r="AG442" i="63"/>
  <c r="Y443" i="63" l="1"/>
  <c r="AC443" i="63" s="1"/>
  <c r="AH443" i="63" s="1"/>
  <c r="AA443" i="63"/>
  <c r="AI443" i="63" s="1"/>
  <c r="AB443" i="63" l="1"/>
  <c r="AF443" i="63" s="1"/>
  <c r="AL443" i="63" l="1"/>
  <c r="AA444" i="63" s="1"/>
  <c r="AG443" i="63"/>
  <c r="AJ443" i="63" l="1"/>
  <c r="AK443" i="63" s="1"/>
  <c r="Y444" i="63"/>
  <c r="AC444" i="63" s="1"/>
  <c r="AH444" i="63" s="1"/>
  <c r="AI444" i="63"/>
  <c r="AB444" i="63" l="1"/>
  <c r="AF444" i="63" s="1"/>
  <c r="AL444" i="63" l="1"/>
  <c r="AA445" i="63" s="1"/>
  <c r="AG444" i="63"/>
  <c r="AJ444" i="63" l="1"/>
  <c r="AK444" i="63" s="1"/>
  <c r="Y445" i="63"/>
  <c r="AC445" i="63" s="1"/>
  <c r="AH445" i="63" s="1"/>
  <c r="AI445" i="63"/>
  <c r="AB445" i="63" l="1"/>
  <c r="AF445" i="63" s="1"/>
  <c r="AL445" i="63" l="1"/>
  <c r="AA446" i="63" s="1"/>
  <c r="AG445" i="63"/>
  <c r="Y446" i="63" l="1"/>
  <c r="AC446" i="63" s="1"/>
  <c r="AH446" i="63" s="1"/>
  <c r="AJ445" i="63"/>
  <c r="AK445" i="63" s="1"/>
  <c r="AI446" i="63"/>
  <c r="AB446" i="63" l="1"/>
  <c r="AG446" i="63" s="1"/>
  <c r="AF446" i="63" l="1"/>
  <c r="AL446" i="63"/>
  <c r="AJ446" i="63" s="1"/>
  <c r="AK446" i="63" s="1"/>
  <c r="AA447" i="63" l="1"/>
  <c r="Y447" i="63"/>
  <c r="AC447" i="63" s="1"/>
  <c r="AH447" i="63" s="1"/>
  <c r="AI447" i="63"/>
  <c r="AB447" i="63" l="1"/>
  <c r="AL447" i="63" s="1"/>
  <c r="AJ447" i="63" s="1"/>
  <c r="AK447" i="63" s="1"/>
  <c r="AG447" i="63" l="1"/>
  <c r="AF447" i="63"/>
  <c r="Y448" i="63"/>
  <c r="AC448" i="63" s="1"/>
  <c r="AH448" i="63" s="1"/>
  <c r="AA448" i="63"/>
  <c r="AI448" i="63" s="1"/>
  <c r="AB448" i="63" l="1"/>
  <c r="AL448" i="63" s="1"/>
  <c r="AA449" i="63" s="1"/>
  <c r="AG448" i="63" l="1"/>
  <c r="AF448" i="63"/>
  <c r="AJ448" i="63"/>
  <c r="AK448" i="63" s="1"/>
  <c r="Y449" i="63"/>
  <c r="AC449" i="63" s="1"/>
  <c r="AH449" i="63" s="1"/>
  <c r="AI449" i="63"/>
  <c r="AB449" i="63" l="1"/>
  <c r="AF449" i="63" s="1"/>
  <c r="AL449" i="63" l="1"/>
  <c r="AA450" i="63" s="1"/>
  <c r="AG449" i="63"/>
  <c r="Y450" i="63" l="1"/>
  <c r="AC450" i="63" s="1"/>
  <c r="AH450" i="63" s="1"/>
  <c r="AJ449" i="63"/>
  <c r="AK449" i="63" s="1"/>
  <c r="AI450" i="63"/>
  <c r="AB450" i="63" l="1"/>
  <c r="AF450" i="63" s="1"/>
  <c r="AL450" i="63" l="1"/>
  <c r="AJ450" i="63" s="1"/>
  <c r="AK450" i="63" s="1"/>
  <c r="AG450" i="63"/>
  <c r="Y451" i="63" l="1"/>
  <c r="AC451" i="63" s="1"/>
  <c r="AH451" i="63" s="1"/>
  <c r="AA451" i="63"/>
  <c r="AI451" i="63" s="1"/>
  <c r="AB451" i="63" l="1"/>
  <c r="AL451" i="63" s="1"/>
  <c r="AA452" i="63" s="1"/>
  <c r="AG451" i="63" l="1"/>
  <c r="AF451" i="63"/>
  <c r="Y452" i="63"/>
  <c r="AC452" i="63" s="1"/>
  <c r="AH452" i="63" s="1"/>
  <c r="AJ451" i="63"/>
  <c r="AK451" i="63" s="1"/>
  <c r="AI452" i="63"/>
  <c r="AB452" i="63" l="1"/>
  <c r="AL452" i="63" s="1"/>
  <c r="AA453" i="63" s="1"/>
  <c r="AG452" i="63" l="1"/>
  <c r="AF452" i="63"/>
  <c r="Y453" i="63"/>
  <c r="AC453" i="63" s="1"/>
  <c r="AH453" i="63" s="1"/>
  <c r="AJ452" i="63"/>
  <c r="AK452" i="63" s="1"/>
  <c r="AI453" i="63"/>
  <c r="AB453" i="63" l="1"/>
  <c r="AL453" i="63" s="1"/>
  <c r="AA454" i="63" s="1"/>
  <c r="AF453" i="63" l="1"/>
  <c r="AG453" i="63"/>
  <c r="Y454" i="63"/>
  <c r="AC454" i="63" s="1"/>
  <c r="AH454" i="63" s="1"/>
  <c r="AJ453" i="63"/>
  <c r="AK453" i="63" s="1"/>
  <c r="AI454" i="63"/>
  <c r="AB454" i="63" l="1"/>
  <c r="AL454" i="63" s="1"/>
  <c r="AJ454" i="63" s="1"/>
  <c r="AK454" i="63" s="1"/>
  <c r="AF454" i="63" l="1"/>
  <c r="AG454" i="63"/>
  <c r="Y455" i="63"/>
  <c r="AC455" i="63" s="1"/>
  <c r="AH455" i="63" s="1"/>
  <c r="AA455" i="63"/>
  <c r="AI455" i="63" s="1"/>
  <c r="AB455" i="63" l="1"/>
  <c r="AL455" i="63" s="1"/>
  <c r="AA456" i="63" s="1"/>
  <c r="Y456" i="63" l="1"/>
  <c r="AC456" i="63" s="1"/>
  <c r="AH456" i="63" s="1"/>
  <c r="AF455" i="63"/>
  <c r="AG455" i="63"/>
  <c r="AJ455" i="63"/>
  <c r="AK455" i="63" s="1"/>
  <c r="AI456" i="63"/>
  <c r="AB456" i="63" l="1"/>
  <c r="AL456" i="63" s="1"/>
  <c r="AJ456" i="63" s="1"/>
  <c r="AK456" i="63" s="1"/>
  <c r="AG456" i="63" l="1"/>
  <c r="AF456" i="63"/>
  <c r="Y457" i="63"/>
  <c r="AA457" i="63"/>
  <c r="AI457" i="63" s="1"/>
  <c r="AC457" i="63"/>
  <c r="AH457" i="63" s="1"/>
  <c r="AB457" i="63" l="1"/>
  <c r="AG457" i="63" s="1"/>
  <c r="AL457" i="63" l="1"/>
  <c r="AA458" i="63" s="1"/>
  <c r="AF457" i="63"/>
  <c r="AJ457" i="63" l="1"/>
  <c r="AK457" i="63" s="1"/>
  <c r="Y458" i="63"/>
  <c r="AC458" i="63" s="1"/>
  <c r="AH458" i="63" s="1"/>
  <c r="AI458" i="63"/>
  <c r="AB458" i="63" l="1"/>
  <c r="AG458" i="63" s="1"/>
  <c r="AL458" i="63" l="1"/>
  <c r="AA459" i="63" s="1"/>
  <c r="AF458" i="63"/>
  <c r="Y459" i="63" l="1"/>
  <c r="AC459" i="63" s="1"/>
  <c r="AH459" i="63" s="1"/>
  <c r="AJ458" i="63"/>
  <c r="AK458" i="63" s="1"/>
  <c r="AI459" i="63"/>
  <c r="AB459" i="63" l="1"/>
  <c r="AG459" i="63" s="1"/>
  <c r="AL459" i="63" l="1"/>
  <c r="AA460" i="63" s="1"/>
  <c r="AF459" i="63"/>
  <c r="AJ459" i="63" l="1"/>
  <c r="AK459" i="63" s="1"/>
  <c r="Y460" i="63"/>
  <c r="AC460" i="63" s="1"/>
  <c r="AH460" i="63" s="1"/>
  <c r="AI460" i="63"/>
  <c r="AB460" i="63" l="1"/>
  <c r="AG460" i="63" s="1"/>
  <c r="AL460" i="63" l="1"/>
  <c r="AJ460" i="63" s="1"/>
  <c r="AK460" i="63" s="1"/>
  <c r="AF460" i="63"/>
  <c r="Y461" i="63" l="1"/>
  <c r="AC461" i="63" s="1"/>
  <c r="AH461" i="63" s="1"/>
  <c r="AA461" i="63"/>
  <c r="AI461" i="63" s="1"/>
  <c r="AB461" i="63" l="1"/>
  <c r="AG461" i="63" s="1"/>
  <c r="AL461" i="63" l="1"/>
  <c r="AA462" i="63" s="1"/>
  <c r="AF461" i="63"/>
  <c r="Y462" i="63" l="1"/>
  <c r="AC462" i="63" s="1"/>
  <c r="AH462" i="63" s="1"/>
  <c r="AJ461" i="63"/>
  <c r="AK461" i="63" s="1"/>
  <c r="AI462" i="63"/>
  <c r="AB462" i="63" l="1"/>
  <c r="AF462" i="63" s="1"/>
  <c r="AL462" i="63" l="1"/>
  <c r="AJ462" i="63" s="1"/>
  <c r="AK462" i="63" s="1"/>
  <c r="AG462" i="63"/>
  <c r="AA463" i="63" l="1"/>
  <c r="AI463" i="63" s="1"/>
  <c r="Y463" i="63"/>
  <c r="AC463" i="63" s="1"/>
  <c r="AH463" i="63" s="1"/>
  <c r="AB463" i="63" l="1"/>
  <c r="AG463" i="63" l="1"/>
  <c r="AF463" i="63"/>
  <c r="AL463" i="63"/>
  <c r="AA464" i="63" l="1"/>
  <c r="Y464" i="63"/>
  <c r="AJ463" i="63"/>
  <c r="AK463" i="63" s="1"/>
  <c r="AC464" i="63" l="1"/>
  <c r="AH464" i="63" s="1"/>
  <c r="AI464" i="63"/>
  <c r="AB464" i="63" l="1"/>
  <c r="AG464" i="63" s="1"/>
  <c r="AL464" i="63" l="1"/>
  <c r="AJ464" i="63" s="1"/>
  <c r="AK464" i="63" s="1"/>
  <c r="AF464" i="63"/>
  <c r="Y465" i="63" l="1"/>
  <c r="AC465" i="63" s="1"/>
  <c r="AH465" i="63" s="1"/>
  <c r="AA465" i="63"/>
  <c r="AI465" i="63" s="1"/>
  <c r="AB465" i="63" l="1"/>
  <c r="AG465" i="63" l="1"/>
  <c r="AF465" i="63"/>
  <c r="AL465" i="63"/>
  <c r="AA466" i="63" l="1"/>
  <c r="AJ465" i="63"/>
  <c r="AK465" i="63" s="1"/>
  <c r="Y466" i="63"/>
  <c r="AC466" i="63" l="1"/>
  <c r="AH466" i="63" s="1"/>
  <c r="AI466" i="63"/>
  <c r="AB466" i="63" l="1"/>
  <c r="AF466" i="63" s="1"/>
  <c r="AL466" i="63" l="1"/>
  <c r="AA467" i="63" s="1"/>
  <c r="AG466" i="63"/>
  <c r="Y467" i="63" l="1"/>
  <c r="AC467" i="63" s="1"/>
  <c r="AH467" i="63" s="1"/>
  <c r="AJ466" i="63"/>
  <c r="AK466" i="63" s="1"/>
  <c r="AI467" i="63"/>
  <c r="AB467" i="63" l="1"/>
  <c r="AG467" i="63" s="1"/>
  <c r="AF467" i="63" l="1"/>
  <c r="AL467" i="63"/>
  <c r="AA468" i="63" s="1"/>
  <c r="Y468" i="63" l="1"/>
  <c r="AC468" i="63" s="1"/>
  <c r="AH468" i="63" s="1"/>
  <c r="AJ467" i="63"/>
  <c r="AK467" i="63" s="1"/>
  <c r="AI468" i="63"/>
  <c r="AB468" i="63" l="1"/>
  <c r="AL468" i="63" s="1"/>
  <c r="AG468" i="63" l="1"/>
  <c r="AF468" i="63"/>
  <c r="AJ468" i="63"/>
  <c r="AK468" i="63" s="1"/>
  <c r="AA469" i="63"/>
  <c r="Y469" i="63"/>
  <c r="AC469" i="63" l="1"/>
  <c r="AH469" i="63" s="1"/>
  <c r="AI469" i="63"/>
  <c r="AB469" i="63" l="1"/>
  <c r="AF469" i="63" s="1"/>
  <c r="AL469" i="63" l="1"/>
  <c r="AJ469" i="63" s="1"/>
  <c r="AK469" i="63" s="1"/>
  <c r="AG469" i="63"/>
  <c r="AA470" i="63" l="1"/>
  <c r="AI470" i="63" s="1"/>
  <c r="Y470" i="63"/>
  <c r="AC470" i="63" s="1"/>
  <c r="AH470" i="63" s="1"/>
  <c r="AB470" i="63" l="1"/>
  <c r="AG470" i="63" s="1"/>
  <c r="AL470" i="63" l="1"/>
  <c r="AJ470" i="63" s="1"/>
  <c r="AK470" i="63" s="1"/>
  <c r="AF470" i="63"/>
  <c r="Y471" i="63" l="1"/>
  <c r="AC471" i="63" s="1"/>
  <c r="AH471" i="63" s="1"/>
  <c r="AA471" i="63"/>
  <c r="AI471" i="63" s="1"/>
  <c r="AB471" i="63" l="1"/>
  <c r="AG471" i="63" s="1"/>
  <c r="AL471" i="63" l="1"/>
  <c r="AA472" i="63" s="1"/>
  <c r="AF471" i="63"/>
  <c r="AJ471" i="63" l="1"/>
  <c r="AK471" i="63" s="1"/>
  <c r="Y472" i="63"/>
  <c r="AC472" i="63" s="1"/>
  <c r="AH472" i="63" s="1"/>
  <c r="AI472" i="63"/>
  <c r="AB472" i="63" l="1"/>
  <c r="AF472" i="63" s="1"/>
  <c r="AG472" i="63" l="1"/>
  <c r="AL472" i="63"/>
  <c r="AJ472" i="63" s="1"/>
  <c r="AK472" i="63" s="1"/>
  <c r="Y473" i="63" l="1"/>
  <c r="AC473" i="63" s="1"/>
  <c r="AH473" i="63" s="1"/>
  <c r="AA473" i="63"/>
  <c r="AI473" i="63" s="1"/>
  <c r="AB473" i="63" l="1"/>
  <c r="AG473" i="63" s="1"/>
  <c r="AL473" i="63" l="1"/>
  <c r="AJ473" i="63" s="1"/>
  <c r="AK473" i="63" s="1"/>
  <c r="AF473" i="63"/>
  <c r="AA474" i="63" l="1"/>
  <c r="AI474" i="63" s="1"/>
  <c r="Y474" i="63"/>
  <c r="AC474" i="63" s="1"/>
  <c r="AH474" i="63" s="1"/>
  <c r="AB474" i="63" l="1"/>
  <c r="AF474" i="63" s="1"/>
  <c r="AL474" i="63" l="1"/>
  <c r="AJ474" i="63" s="1"/>
  <c r="AK474" i="63" s="1"/>
  <c r="AG474" i="63"/>
  <c r="AA475" i="63"/>
  <c r="Y475" i="63" l="1"/>
  <c r="AC475" i="63" s="1"/>
  <c r="AH475" i="63" s="1"/>
  <c r="AI475" i="63"/>
  <c r="AB475" i="63" l="1"/>
  <c r="AG475" i="63" l="1"/>
  <c r="AF475" i="63"/>
  <c r="AL475" i="63"/>
  <c r="AA476" i="63" l="1"/>
  <c r="AJ475" i="63"/>
  <c r="AK475" i="63" s="1"/>
  <c r="Y476" i="63"/>
  <c r="AC476" i="63" l="1"/>
  <c r="AH476" i="63" s="1"/>
  <c r="AI476" i="63"/>
  <c r="AB476" i="63" l="1"/>
  <c r="AF476" i="63" s="1"/>
  <c r="AL476" i="63" l="1"/>
  <c r="AJ476" i="63" s="1"/>
  <c r="AK476" i="63" s="1"/>
  <c r="AG476" i="63"/>
  <c r="Y477" i="63" l="1"/>
  <c r="AC477" i="63" s="1"/>
  <c r="AH477" i="63" s="1"/>
  <c r="AA477" i="63"/>
  <c r="AI477" i="63" s="1"/>
  <c r="AB477" i="63" l="1"/>
  <c r="AG477" i="63" s="1"/>
  <c r="AF477" i="63" l="1"/>
  <c r="AL477" i="63"/>
  <c r="AJ477" i="63" s="1"/>
  <c r="AK477" i="63" s="1"/>
  <c r="Y478" i="63" l="1"/>
  <c r="AC478" i="63" s="1"/>
  <c r="AH478" i="63" s="1"/>
  <c r="AA478" i="63"/>
  <c r="AI478" i="63" s="1"/>
  <c r="AB478" i="63" l="1"/>
  <c r="AG478" i="63" s="1"/>
  <c r="AL478" i="63" l="1"/>
  <c r="AJ478" i="63" s="1"/>
  <c r="AK478" i="63" s="1"/>
  <c r="AF478" i="63"/>
  <c r="Y479" i="63" l="1"/>
  <c r="AC479" i="63" s="1"/>
  <c r="AH479" i="63" s="1"/>
  <c r="AA479" i="63"/>
  <c r="AI479" i="63" s="1"/>
  <c r="AB479" i="63" l="1"/>
  <c r="AF479" i="63" s="1"/>
  <c r="AL479" i="63" l="1"/>
  <c r="AA480" i="63" s="1"/>
  <c r="AG479" i="63"/>
  <c r="Y480" i="63"/>
  <c r="AJ479" i="63" l="1"/>
  <c r="AK479" i="63" s="1"/>
  <c r="AC480" i="63"/>
  <c r="AH480" i="63" s="1"/>
  <c r="AI480" i="63"/>
  <c r="AB480" i="63" l="1"/>
  <c r="AG480" i="63" s="1"/>
  <c r="AL480" i="63" l="1"/>
  <c r="AJ480" i="63" s="1"/>
  <c r="AK480" i="63" s="1"/>
  <c r="AF480" i="63"/>
  <c r="Y481" i="63" l="1"/>
  <c r="AC481" i="63" s="1"/>
  <c r="AH481" i="63" s="1"/>
  <c r="AA481" i="63"/>
  <c r="AI481" i="63" s="1"/>
  <c r="AB481" i="63" l="1"/>
  <c r="AG481" i="63" s="1"/>
  <c r="AL481" i="63" l="1"/>
  <c r="AA482" i="63" s="1"/>
  <c r="AF481" i="63"/>
  <c r="Y482" i="63" l="1"/>
  <c r="AC482" i="63" s="1"/>
  <c r="AH482" i="63" s="1"/>
  <c r="AJ481" i="63"/>
  <c r="AK481" i="63" s="1"/>
  <c r="AI482" i="63"/>
  <c r="AB482" i="63" l="1"/>
  <c r="AF482" i="63" s="1"/>
  <c r="AL482" i="63" l="1"/>
  <c r="AJ482" i="63" s="1"/>
  <c r="AK482" i="63" s="1"/>
  <c r="AG482" i="63"/>
  <c r="AA483" i="63" l="1"/>
  <c r="AI483" i="63" s="1"/>
  <c r="Y483" i="63"/>
  <c r="AC483" i="63" s="1"/>
  <c r="AH483" i="63" s="1"/>
  <c r="AB483" i="63" l="1"/>
  <c r="AF483" i="63" l="1"/>
  <c r="AG483" i="63"/>
  <c r="AL483" i="63"/>
  <c r="AA484" i="63" l="1"/>
  <c r="AJ483" i="63"/>
  <c r="AK483" i="63" s="1"/>
  <c r="Y484" i="63"/>
  <c r="AC484" i="63" l="1"/>
  <c r="AH484" i="63" s="1"/>
  <c r="AI484" i="63"/>
  <c r="AB484" i="63" l="1"/>
  <c r="AF484" i="63" s="1"/>
  <c r="AL484" i="63" l="1"/>
  <c r="AJ484" i="63" s="1"/>
  <c r="AK484" i="63" s="1"/>
  <c r="AG484" i="63"/>
  <c r="Y485" i="63" l="1"/>
  <c r="AC485" i="63" s="1"/>
  <c r="AH485" i="63" s="1"/>
  <c r="AA485" i="63"/>
  <c r="AI485" i="63" s="1"/>
  <c r="AB485" i="63" l="1"/>
  <c r="AF485" i="63" s="1"/>
  <c r="AL485" i="63" l="1"/>
  <c r="AA486" i="63" s="1"/>
  <c r="AG485" i="63"/>
  <c r="Y486" i="63" l="1"/>
  <c r="AC486" i="63" s="1"/>
  <c r="AH486" i="63" s="1"/>
  <c r="AJ485" i="63"/>
  <c r="AK485" i="63" s="1"/>
  <c r="AI486" i="63"/>
  <c r="AB486" i="63" l="1"/>
  <c r="AF486" i="63" s="1"/>
  <c r="AL486" i="63" l="1"/>
  <c r="AJ486" i="63" s="1"/>
  <c r="AK486" i="63" s="1"/>
  <c r="AG486" i="63"/>
  <c r="Y487" i="63" l="1"/>
  <c r="AC487" i="63" s="1"/>
  <c r="AH487" i="63" s="1"/>
  <c r="AA487" i="63"/>
  <c r="AI487" i="63" s="1"/>
  <c r="AB487" i="63" l="1"/>
  <c r="AG487" i="63" s="1"/>
  <c r="AF487" i="63" l="1"/>
  <c r="AL487" i="63"/>
  <c r="AA488" i="63" s="1"/>
  <c r="AJ487" i="63" l="1"/>
  <c r="AK487" i="63" s="1"/>
  <c r="Y488" i="63"/>
  <c r="AC488" i="63" s="1"/>
  <c r="AH488" i="63" s="1"/>
  <c r="AI488" i="63"/>
  <c r="AB488" i="63" l="1"/>
  <c r="AF488" i="63" s="1"/>
  <c r="AL488" i="63" l="1"/>
  <c r="AA489" i="63" s="1"/>
  <c r="AG488" i="63"/>
  <c r="AJ488" i="63" l="1"/>
  <c r="AK488" i="63" s="1"/>
  <c r="Y489" i="63"/>
  <c r="AC489" i="63" s="1"/>
  <c r="AH489" i="63" s="1"/>
  <c r="AI489" i="63"/>
  <c r="AB489" i="63" l="1"/>
  <c r="AG489" i="63" s="1"/>
  <c r="AL489" i="63" l="1"/>
  <c r="AJ489" i="63" s="1"/>
  <c r="AK489" i="63" s="1"/>
  <c r="AF489" i="63"/>
  <c r="Y490" i="63" l="1"/>
  <c r="AC490" i="63" s="1"/>
  <c r="AH490" i="63" s="1"/>
  <c r="AA490" i="63"/>
  <c r="AI490" i="63" s="1"/>
  <c r="AB490" i="63" l="1"/>
  <c r="AG490" i="63" s="1"/>
  <c r="AL490" i="63" l="1"/>
  <c r="Y491" i="63" s="1"/>
  <c r="AF490" i="63"/>
  <c r="AJ490" i="63" l="1"/>
  <c r="AK490" i="63" s="1"/>
  <c r="AA491" i="63"/>
  <c r="AI491" i="63" s="1"/>
  <c r="AC491" i="63"/>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H544" i="63" s="1"/>
  <c r="AI492" i="63" l="1"/>
  <c r="AB491" i="63"/>
  <c r="AG491" i="63" l="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G544" i="63" s="1"/>
  <c r="AF491" i="63"/>
  <c r="AL491" i="63"/>
  <c r="AI493" i="63"/>
  <c r="AI494" i="63" l="1"/>
  <c r="Y492" i="63"/>
  <c r="AL492" i="63" s="1"/>
  <c r="AJ491" i="63"/>
  <c r="AK491" i="63" s="1"/>
  <c r="AJ492" i="63" l="1"/>
  <c r="AK492" i="63" s="1"/>
  <c r="Y493" i="63"/>
  <c r="AL493" i="63" s="1"/>
  <c r="AI495" i="63"/>
  <c r="AI496" i="63" l="1"/>
  <c r="AJ493" i="63"/>
  <c r="AK493" i="63" s="1"/>
  <c r="Y494" i="63"/>
  <c r="AL494" i="63" s="1"/>
  <c r="AJ494" i="63" l="1"/>
  <c r="AK494" i="63" s="1"/>
  <c r="Y495" i="63"/>
  <c r="AL495" i="63" s="1"/>
  <c r="AI497" i="63"/>
  <c r="AI498" i="63" l="1"/>
  <c r="Y496" i="63"/>
  <c r="AL496" i="63" s="1"/>
  <c r="AJ495" i="63"/>
  <c r="AK495" i="63" s="1"/>
  <c r="Y497" i="63" l="1"/>
  <c r="AL497" i="63" s="1"/>
  <c r="AJ496" i="63"/>
  <c r="AK496" i="63" s="1"/>
  <c r="AI499" i="63"/>
  <c r="AI500" i="63" l="1"/>
  <c r="AJ497" i="63"/>
  <c r="AK497" i="63" s="1"/>
  <c r="Y498" i="63"/>
  <c r="AL498" i="63" s="1"/>
  <c r="Y499" i="63" l="1"/>
  <c r="AL499" i="63" s="1"/>
  <c r="AJ498" i="63"/>
  <c r="AK498" i="63" s="1"/>
  <c r="AI501" i="63"/>
  <c r="AI502" i="63" l="1"/>
  <c r="Y500" i="63"/>
  <c r="AL500" i="63" s="1"/>
  <c r="AJ499" i="63"/>
  <c r="AK499" i="63" s="1"/>
  <c r="AJ500" i="63" l="1"/>
  <c r="AK500" i="63" s="1"/>
  <c r="Y501" i="63"/>
  <c r="AL501" i="63" s="1"/>
  <c r="AI503" i="63"/>
  <c r="AI504" i="63" l="1"/>
  <c r="AJ501" i="63"/>
  <c r="AK501" i="63" s="1"/>
  <c r="Y502" i="63"/>
  <c r="AL502" i="63" s="1"/>
  <c r="Y503" i="63" l="1"/>
  <c r="AL503" i="63" s="1"/>
  <c r="AJ502" i="63"/>
  <c r="AK502" i="63" s="1"/>
  <c r="AI505" i="63"/>
  <c r="AI506" i="63" l="1"/>
  <c r="Y504" i="63"/>
  <c r="AL504" i="63" s="1"/>
  <c r="AJ503" i="63"/>
  <c r="AK503" i="63" s="1"/>
  <c r="Y505" i="63" l="1"/>
  <c r="AL505" i="63" s="1"/>
  <c r="AJ504" i="63"/>
  <c r="AK504" i="63" s="1"/>
  <c r="AI507" i="63"/>
  <c r="AI508" i="63" l="1"/>
  <c r="Y506" i="63"/>
  <c r="AL506" i="63" s="1"/>
  <c r="AJ505" i="63"/>
  <c r="AK505" i="63" s="1"/>
  <c r="Y507" i="63" l="1"/>
  <c r="AL507" i="63" s="1"/>
  <c r="AJ506" i="63"/>
  <c r="AK506" i="63" s="1"/>
  <c r="AI509" i="63"/>
  <c r="AI510" i="63" l="1"/>
  <c r="Y508" i="63"/>
  <c r="AL508" i="63" s="1"/>
  <c r="AJ507" i="63"/>
  <c r="AK507" i="63" s="1"/>
  <c r="Y509" i="63" l="1"/>
  <c r="AL509" i="63" s="1"/>
  <c r="AJ508" i="63"/>
  <c r="AK508" i="63" s="1"/>
  <c r="AI511" i="63"/>
  <c r="AI512" i="63" l="1"/>
  <c r="AJ509" i="63"/>
  <c r="AK509" i="63" s="1"/>
  <c r="Y510" i="63"/>
  <c r="AL510" i="63" s="1"/>
  <c r="AJ510" i="63" l="1"/>
  <c r="AK510" i="63" s="1"/>
  <c r="Y511" i="63"/>
  <c r="AL511" i="63" s="1"/>
  <c r="AI513" i="63"/>
  <c r="AI514" i="63" l="1"/>
  <c r="AJ511" i="63"/>
  <c r="AK511" i="63" s="1"/>
  <c r="Y512" i="63"/>
  <c r="AL512" i="63" s="1"/>
  <c r="Y513" i="63" l="1"/>
  <c r="AL513" i="63" s="1"/>
  <c r="AJ512" i="63"/>
  <c r="AK512" i="63" s="1"/>
  <c r="AI515" i="63"/>
  <c r="AI516" i="63" l="1"/>
  <c r="AJ513" i="63"/>
  <c r="AK513" i="63" s="1"/>
  <c r="Y514" i="63"/>
  <c r="AL514" i="63" s="1"/>
  <c r="Y515" i="63" l="1"/>
  <c r="AL515" i="63" s="1"/>
  <c r="AJ514" i="63"/>
  <c r="AK514" i="63" s="1"/>
  <c r="AI517" i="63"/>
  <c r="AI518" i="63" l="1"/>
  <c r="Y516" i="63"/>
  <c r="AL516" i="63" s="1"/>
  <c r="AJ515" i="63"/>
  <c r="AK515" i="63" s="1"/>
  <c r="AJ516" i="63" l="1"/>
  <c r="AK516" i="63" s="1"/>
  <c r="Y517" i="63"/>
  <c r="AL517" i="63" s="1"/>
  <c r="AI519" i="63"/>
  <c r="AI520" i="63" l="1"/>
  <c r="AJ517" i="63"/>
  <c r="AK517" i="63" s="1"/>
  <c r="Y518" i="63"/>
  <c r="AL518" i="63" s="1"/>
  <c r="Y519" i="63" l="1"/>
  <c r="AL519" i="63" s="1"/>
  <c r="AJ518" i="63"/>
  <c r="AK518" i="63" s="1"/>
  <c r="AI521" i="63"/>
  <c r="AI522" i="63" l="1"/>
  <c r="AJ519" i="63"/>
  <c r="AK519" i="63" s="1"/>
  <c r="Y520" i="63"/>
  <c r="AL520" i="63" s="1"/>
  <c r="AJ520" i="63" l="1"/>
  <c r="AK520" i="63" s="1"/>
  <c r="Y521" i="63"/>
  <c r="AL521" i="63" s="1"/>
  <c r="AI523" i="63"/>
  <c r="AI524" i="63" l="1"/>
  <c r="AJ521" i="63"/>
  <c r="AK521" i="63" s="1"/>
  <c r="Y522" i="63"/>
  <c r="AL522" i="63" s="1"/>
  <c r="Y523" i="63" l="1"/>
  <c r="AL523" i="63" s="1"/>
  <c r="AJ522" i="63"/>
  <c r="AK522" i="63" s="1"/>
  <c r="AI525" i="63"/>
  <c r="AI526" i="63" l="1"/>
  <c r="Y524" i="63"/>
  <c r="AL524" i="63" s="1"/>
  <c r="AJ523" i="63"/>
  <c r="AK523" i="63" s="1"/>
  <c r="AJ524" i="63" l="1"/>
  <c r="AK524" i="63" s="1"/>
  <c r="Y525" i="63"/>
  <c r="AL525" i="63" s="1"/>
  <c r="AI527" i="63"/>
  <c r="AI528" i="63" l="1"/>
  <c r="AJ525" i="63"/>
  <c r="AK525" i="63" s="1"/>
  <c r="Y526" i="63"/>
  <c r="AL526" i="63" s="1"/>
  <c r="AJ526" i="63" l="1"/>
  <c r="AK526" i="63" s="1"/>
  <c r="Y527" i="63"/>
  <c r="AL527" i="63" s="1"/>
  <c r="AI529" i="63"/>
  <c r="AI530" i="63" l="1"/>
  <c r="Y528" i="63"/>
  <c r="AL528" i="63" s="1"/>
  <c r="AJ527" i="63"/>
  <c r="AK527" i="63" s="1"/>
  <c r="AJ528" i="63" l="1"/>
  <c r="AK528" i="63" s="1"/>
  <c r="Y529" i="63"/>
  <c r="AL529" i="63" s="1"/>
  <c r="AI531" i="63"/>
  <c r="AI532" i="63" l="1"/>
  <c r="AJ529" i="63"/>
  <c r="AK529" i="63" s="1"/>
  <c r="Y530" i="63"/>
  <c r="AL530" i="63" s="1"/>
  <c r="Y531" i="63" l="1"/>
  <c r="AL531" i="63" s="1"/>
  <c r="AJ530" i="63"/>
  <c r="AK530" i="63" s="1"/>
  <c r="AI533" i="63"/>
  <c r="AI534" i="63" l="1"/>
  <c r="Y532" i="63"/>
  <c r="AL532" i="63" s="1"/>
  <c r="AJ531" i="63"/>
  <c r="AK531" i="63" s="1"/>
  <c r="AJ532" i="63" l="1"/>
  <c r="AK532" i="63" s="1"/>
  <c r="Y533" i="63"/>
  <c r="AL533" i="63" s="1"/>
  <c r="AI535" i="63"/>
  <c r="AI536" i="63" l="1"/>
  <c r="AJ533" i="63"/>
  <c r="AK533" i="63" s="1"/>
  <c r="Y534" i="63"/>
  <c r="AL534" i="63" s="1"/>
  <c r="Y535" i="63" l="1"/>
  <c r="AL535" i="63" s="1"/>
  <c r="AJ534" i="63"/>
  <c r="AK534" i="63" s="1"/>
  <c r="AI537" i="63"/>
  <c r="AI538" i="63" l="1"/>
  <c r="Y536" i="63"/>
  <c r="AL536" i="63" s="1"/>
  <c r="AJ535" i="63"/>
  <c r="AK535" i="63" s="1"/>
  <c r="AJ536" i="63" l="1"/>
  <c r="AK536" i="63" s="1"/>
  <c r="Y537" i="63"/>
  <c r="AL537" i="63" s="1"/>
  <c r="AI539" i="63"/>
  <c r="AI540" i="63" l="1"/>
  <c r="AJ537" i="63"/>
  <c r="AK537" i="63" s="1"/>
  <c r="Y538" i="63"/>
  <c r="AL538" i="63" s="1"/>
  <c r="Y539" i="63" l="1"/>
  <c r="AL539" i="63" s="1"/>
  <c r="AJ538" i="63"/>
  <c r="AK538" i="63" s="1"/>
  <c r="AI541" i="63"/>
  <c r="AI542" i="63" l="1"/>
  <c r="Y540" i="63"/>
  <c r="AL540" i="63" s="1"/>
  <c r="AJ539" i="63"/>
  <c r="AK539" i="63" s="1"/>
  <c r="Y541" i="63" l="1"/>
  <c r="AL541" i="63" s="1"/>
  <c r="AJ540" i="63"/>
  <c r="AK540" i="63" s="1"/>
  <c r="AI543" i="63"/>
  <c r="AI544" i="63" l="1"/>
  <c r="AJ541" i="63"/>
  <c r="AK541" i="63" s="1"/>
  <c r="Y542" i="63"/>
  <c r="AL542" i="63" s="1"/>
  <c r="Y543" i="63" l="1"/>
  <c r="AL543" i="63" s="1"/>
  <c r="AJ542" i="63"/>
  <c r="AK542" i="63" s="1"/>
  <c r="AJ543" i="63" l="1"/>
  <c r="AK543" i="63" s="1"/>
  <c r="Y544" i="63"/>
  <c r="AL544" i="63" s="1"/>
  <c r="AJ544" i="63" s="1"/>
  <c r="AK544"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K4" i="63" s="1"/>
  <c r="D60" i="1" l="1"/>
  <c r="G37" i="33"/>
  <c r="C50" i="33"/>
  <c r="G24" i="33"/>
  <c r="E27" i="33" l="1"/>
  <c r="E26" i="33"/>
  <c r="E50" i="33"/>
  <c r="G50" i="33"/>
  <c r="E53" i="33" s="1"/>
  <c r="E41" i="33"/>
  <c r="E40" i="33"/>
  <c r="F50" i="33" l="1"/>
  <c r="E54" i="33" s="1"/>
  <c r="I42" i="33"/>
  <c r="R25" i="37" l="1"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<sst xmlns="http://schemas.openxmlformats.org/spreadsheetml/2006/main" count="4449" uniqueCount="1479">
  <si>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</si>
  <si>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</si>
  <si>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</si>
  <si>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</si>
  <si>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</si>
  <si>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</si>
  <si>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</si>
  <si>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</si>
  <si>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</si>
  <si>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</si>
  <si>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</si>
  <si>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</si>
  <si>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</si>
  <si>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</si>
  <si>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</si>
  <si>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</si>
  <si>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</si>
  <si>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</si>
  <si>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</si>
  <si>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</si>
  <si>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</si>
  <si>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</si>
  <si>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</si>
  <si>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</si>
  <si>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</si>
  <si>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</si>
  <si>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</si>
  <si>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</si>
  <si>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</si>
  <si>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</si>
  <si>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</si>
  <si>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</si>
  <si>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</si>
  <si>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</si>
  <si>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</si>
  <si>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</si>
  <si>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</si>
  <si>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</si>
  <si>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</si>
  <si>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</si>
  <si>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</si>
  <si>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</si>
  <si>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</si>
  <si>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</si>
  <si>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</si>
  <si>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</si>
  <si>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</si>
  <si>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</si>
  <si>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</si>
  <si>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</si>
  <si>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</si>
  <si>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</si>
  <si>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</si>
  <si>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</si>
  <si>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</si>
  <si>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</si>
  <si>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</si>
  <si>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</si>
  <si>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</si>
  <si>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</si>
  <si>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</si>
  <si>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</si>
  <si>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</si>
  <si>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</si>
  <si>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</si>
  <si>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</si>
  <si>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</si>
  <si>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</si>
  <si>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</si>
  <si>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</si>
  <si>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</si>
  <si>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</si>
  <si>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</si>
  <si>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</si>
  <si>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</si>
  <si>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</si>
  <si>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</si>
  <si>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</si>
  <si>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</si>
  <si>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</si>
  <si>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</si>
  <si>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</si>
  <si>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</si>
  <si>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</si>
  <si>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</si>
  <si>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</si>
  <si>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</si>
  <si>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</si>
  <si>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</si>
  <si>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</si>
  <si>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</si>
  <si>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</si>
  <si>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</si>
  <si>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</si>
  <si>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</si>
  <si>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</si>
  <si>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</si>
  <si>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</si>
  <si>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</si>
  <si>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</si>
  <si>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</si>
  <si>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</si>
  <si>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</si>
  <si>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</si>
  <si>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</si>
  <si>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</si>
  <si>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</si>
  <si>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</si>
  <si>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</si>
  <si>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</si>
  <si>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</si>
  <si>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</si>
  <si>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</si>
  <si>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</si>
  <si>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</si>
  <si>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</si>
  <si>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</si>
  <si>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</si>
  <si>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</si>
  <si>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</si>
  <si>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</si>
  <si>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</si>
  <si>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</si>
  <si>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</si>
  <si>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</si>
  <si>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</si>
  <si>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</si>
  <si>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</si>
  <si>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</si>
  <si>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</si>
  <si>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</si>
  <si>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</si>
  <si>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</si>
  <si>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</si>
  <si>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</si>
  <si>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</si>
  <si>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</si>
  <si>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</si>
  <si>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</si>
  <si>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</si>
  <si>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</si>
  <si>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</si>
  <si>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</si>
  <si>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</si>
  <si>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</si>
  <si>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</si>
  <si>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</si>
  <si>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</si>
  <si>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</si>
  <si>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</si>
  <si>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</si>
  <si>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</si>
  <si>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</si>
  <si>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</si>
  <si>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</si>
  <si>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</si>
  <si>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</si>
  <si>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</si>
  <si>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</si>
  <si>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</si>
  <si>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</si>
  <si>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</si>
  <si>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</si>
  <si>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</si>
  <si>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</si>
  <si>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</si>
  <si>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</si>
  <si>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</si>
  <si>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</si>
  <si>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</si>
  <si>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</si>
  <si>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</si>
  <si>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</si>
  <si>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</si>
  <si>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</si>
  <si>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</si>
  <si>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</si>
  <si>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</si>
  <si>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</si>
  <si>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</si>
  <si>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</si>
  <si>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</si>
  <si>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</si>
  <si>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</si>
  <si>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</si>
  <si>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</si>
  <si>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</si>
  <si>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</si>
  <si>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</si>
  <si>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</si>
  <si>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</si>
  <si>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</si>
  <si>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</si>
  <si>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</si>
  <si>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</si>
  <si>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</si>
  <si>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</si>
  <si>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</si>
  <si>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</si>
  <si>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</si>
  <si>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</si>
  <si>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</si>
  <si>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</si>
  <si>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</si>
  <si>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</si>
  <si>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</si>
  <si>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</si>
  <si>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</si>
  <si>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</si>
  <si>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</si>
  <si>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</si>
  <si>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</si>
  <si>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</si>
  <si>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</si>
  <si>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</si>
  <si>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</si>
  <si>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</si>
  <si>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</si>
  <si>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</si>
  <si>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</si>
  <si>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</si>
  <si>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</si>
  <si>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</si>
  <si>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</si>
  <si>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</si>
  <si>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</si>
  <si>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</si>
  <si>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</si>
  <si>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</si>
  <si>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</si>
  <si>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</si>
  <si>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</si>
  <si>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</si>
  <si>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</si>
  <si>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</si>
  <si>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</si>
  <si>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</si>
  <si>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</si>
  <si>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</si>
  <si>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</si>
  <si>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</si>
  <si>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</si>
  <si>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</si>
  <si>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</si>
  <si>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</si>
  <si>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</si>
  <si>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</si>
  <si>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</si>
  <si>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</si>
  <si>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</si>
  <si>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</si>
  <si>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</si>
  <si>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</si>
  <si>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</si>
  <si>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</si>
  <si>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</si>
  <si>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</si>
  <si>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</si>
  <si>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</si>
  <si>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</si>
  <si>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</si>
  <si>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</si>
  <si>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</si>
  <si>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</si>
  <si>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</si>
  <si>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</si>
  <si>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</si>
  <si>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</si>
  <si>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</si>
  <si>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</si>
  <si>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</si>
  <si>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</si>
  <si>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</si>
  <si>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</si>
  <si>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</si>
  <si>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</si>
  <si>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</si>
  <si>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</si>
  <si>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</si>
  <si>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</si>
  <si>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</si>
  <si>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</si>
  <si>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</si>
  <si>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</si>
  <si>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</si>
  <si>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</si>
  <si>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</si>
  <si>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</si>
  <si>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</si>
  <si>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</si>
  <si>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</si>
  <si>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</si>
  <si>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</si>
  <si>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</si>
  <si>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</si>
  <si>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</si>
  <si>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</si>
  <si>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</si>
  <si>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</si>
  <si>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</si>
  <si>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</si>
  <si>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</si>
  <si>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</si>
  <si>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</si>
  <si>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</si>
  <si>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</si>
  <si>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</si>
  <si>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</si>
  <si>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</si>
  <si>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</si>
  <si>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</si>
  <si>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</si>
  <si>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</si>
  <si>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</si>
  <si>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</si>
  <si>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</si>
  <si>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</si>
  <si>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</si>
  <si>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</si>
  <si>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</si>
  <si>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</si>
  <si>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</si>
  <si>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</si>
  <si>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</si>
  <si>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</si>
  <si>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</si>
  <si>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</si>
  <si>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</si>
  <si>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</si>
  <si>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</si>
  <si>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</si>
  <si>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</si>
  <si>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</si>
  <si>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</si>
  <si>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</si>
  <si>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</si>
  <si>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</si>
  <si>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</si>
  <si>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</si>
  <si>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</si>
  <si>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</si>
  <si>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</si>
  <si>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</si>
  <si>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</si>
  <si>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</si>
  <si>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</si>
  <si>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</si>
  <si>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</si>
  <si>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</si>
  <si>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</si>
  <si>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</si>
  <si>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</si>
  <si>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</si>
  <si>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</si>
  <si>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</si>
  <si>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</si>
  <si>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</si>
  <si>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</si>
  <si>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</si>
  <si>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</si>
  <si>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</si>
  <si>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</si>
  <si>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</si>
  <si>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</si>
  <si>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</si>
  <si>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</si>
  <si>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</si>
  <si>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</si>
  <si>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</si>
  <si>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</si>
  <si>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</si>
  <si>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</si>
  <si>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</si>
  <si>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</si>
  <si>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</si>
  <si>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</si>
  <si>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</si>
  <si>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</si>
  <si>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</si>
  <si>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</si>
  <si>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</si>
  <si>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</si>
  <si>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</si>
  <si>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</si>
  <si>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</si>
  <si>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</si>
  <si>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</si>
  <si>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</si>
  <si>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</si>
  <si>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</si>
  <si>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</si>
  <si>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</si>
  <si>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</si>
  <si>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</si>
  <si>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</si>
  <si>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</si>
  <si>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</si>
  <si>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</si>
  <si>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</si>
  <si>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</si>
  <si>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</si>
  <si>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</si>
  <si>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</si>
  <si>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</si>
  <si>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</si>
  <si>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</si>
  <si>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</si>
  <si>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</si>
  <si>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</si>
  <si>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</si>
  <si>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</si>
  <si>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</si>
  <si>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</si>
  <si>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</si>
  <si>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</si>
  <si>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</si>
  <si>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</si>
  <si>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</si>
  <si>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</si>
  <si>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</si>
  <si>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</si>
  <si>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</si>
  <si>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</si>
  <si>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</si>
  <si>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</si>
  <si>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</si>
  <si>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</si>
  <si>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</si>
  <si>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</si>
  <si>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</si>
  <si>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</si>
  <si>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</si>
  <si>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</si>
  <si>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</si>
  <si>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</si>
  <si>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</si>
  <si>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</si>
  <si>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</si>
  <si>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</si>
  <si>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</si>
  <si>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</si>
  <si>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</si>
  <si>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</si>
  <si>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</si>
  <si>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</si>
  <si>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</si>
  <si>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</si>
  <si>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</si>
  <si>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</si>
  <si>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</si>
  <si>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</si>
  <si>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</si>
  <si>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</si>
  <si>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</si>
  <si>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</si>
  <si>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</si>
  <si>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</si>
  <si>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</si>
  <si>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</si>
  <si>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</si>
  <si>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</si>
  <si>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</si>
  <si>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</si>
  <si>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</si>
  <si>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</si>
  <si>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</si>
  <si>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</si>
  <si>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</si>
  <si>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</si>
  <si>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</si>
  <si>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</si>
  <si>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</si>
  <si>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</si>
  <si>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</si>
  <si>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</si>
  <si>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</si>
  <si>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</si>
  <si>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</si>
  <si>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</si>
  <si>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</si>
  <si>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</si>
  <si>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</si>
  <si>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</si>
  <si>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</si>
  <si>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</si>
  <si>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</si>
  <si>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</si>
  <si>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</si>
  <si>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</si>
  <si>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</si>
  <si>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</si>
  <si>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</si>
  <si>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</si>
  <si>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</si>
  <si>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</si>
  <si>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</si>
  <si>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</si>
  <si>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</si>
  <si>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</si>
  <si>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</si>
  <si>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</si>
  <si>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</si>
  <si>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</si>
  <si>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</si>
  <si>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</si>
  <si>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</si>
  <si>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</si>
  <si>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</si>
  <si>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</si>
  <si>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</si>
  <si>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</si>
  <si>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</si>
  <si>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</si>
  <si>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</si>
  <si>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</si>
  <si>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</si>
  <si>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</si>
  <si>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</si>
  <si>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</si>
  <si>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</si>
  <si>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</si>
  <si>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</si>
  <si>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</si>
  <si>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</si>
  <si>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</si>
  <si>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</si>
  <si>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</si>
  <si>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</si>
  <si>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</si>
  <si>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</si>
  <si>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</si>
  <si>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</si>
  <si>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</si>
  <si>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</si>
  <si>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</si>
  <si>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</si>
  <si>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</si>
  <si>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</si>
  <si>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</si>
  <si>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</si>
  <si>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</si>
  <si>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</si>
  <si>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</si>
  <si>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</si>
  <si>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</si>
  <si>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</si>
  <si>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</si>
  <si>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</si>
  <si>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</si>
  <si>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</si>
  <si>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</si>
  <si>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</si>
  <si>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</si>
  <si>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</si>
  <si>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</si>
  <si>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</si>
  <si>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</si>
  <si>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</si>
  <si>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</si>
  <si>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</si>
  <si>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</si>
  <si>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</si>
  <si>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</si>
  <si>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</si>
  <si>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</si>
  <si>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</si>
  <si>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</si>
  <si>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</si>
  <si>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</si>
  <si>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</si>
  <si>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</si>
  <si>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</si>
  <si>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</si>
  <si>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</si>
  <si>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</si>
  <si>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</si>
  <si>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</si>
  <si>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</si>
  <si>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</si>
  <si>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</si>
  <si>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</si>
  <si>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</si>
  <si>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</si>
  <si>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</si>
  <si>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</si>
  <si>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</si>
  <si>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</si>
  <si>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</si>
  <si>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</si>
  <si>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</si>
  <si>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</si>
  <si>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</si>
  <si>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</si>
  <si>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</si>
  <si>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</si>
  <si>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</si>
  <si>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</si>
  <si>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</si>
  <si>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</si>
  <si>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</si>
  <si>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</si>
  <si>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</si>
  <si>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</si>
  <si>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</si>
  <si>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</si>
  <si>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</si>
  <si>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</si>
  <si>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</si>
  <si>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</si>
  <si>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</si>
  <si>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</si>
  <si>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</si>
  <si>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</si>
  <si>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</si>
  <si>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</si>
  <si>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</si>
  <si>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</si>
  <si>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</si>
  <si>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</si>
  <si>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</si>
  <si>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</si>
  <si>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</si>
  <si>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</si>
  <si>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</si>
  <si>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</si>
  <si>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</si>
  <si>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</si>
  <si>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</si>
  <si>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</si>
  <si>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</si>
  <si>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</si>
  <si>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</si>
  <si>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</si>
  <si>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</si>
  <si>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</si>
  <si>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</si>
  <si>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</si>
  <si>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</si>
  <si>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</si>
  <si>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</si>
  <si>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</si>
  <si>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</si>
  <si>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</si>
  <si>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</si>
  <si>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</si>
  <si>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</si>
  <si>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</si>
  <si>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</si>
  <si>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</si>
  <si>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</si>
  <si>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</si>
  <si>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</si>
  <si>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</si>
  <si>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</si>
  <si>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</si>
  <si>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</si>
  <si>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</si>
  <si>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</si>
  <si>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</si>
  <si>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</si>
  <si>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</si>
  <si>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</si>
  <si>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</si>
  <si>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</si>
  <si>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</si>
  <si>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</si>
  <si>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</si>
  <si>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</si>
  <si>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</si>
  <si>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</si>
  <si>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</si>
  <si>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</si>
  <si>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</si>
  <si>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</si>
  <si>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</si>
  <si>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</si>
  <si>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</si>
  <si>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</si>
  <si>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</si>
  <si>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</si>
  <si>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</si>
  <si>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</si>
  <si>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</si>
  <si>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</si>
  <si>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</si>
  <si>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</si>
  <si>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</si>
  <si>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</si>
  <si>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</si>
  <si>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</si>
  <si>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</si>
  <si>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</si>
  <si>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</si>
  <si>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</si>
  <si>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</si>
  <si>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</si>
  <si>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</si>
  <si>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</si>
  <si>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</si>
  <si>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</si>
  <si>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</si>
  <si>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</si>
  <si>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</si>
  <si>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</si>
  <si>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</si>
  <si>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</si>
  <si>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</si>
  <si>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</si>
  <si>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</si>
  <si>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</si>
  <si>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</si>
  <si>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</si>
  <si>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</si>
  <si>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</si>
  <si>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</si>
  <si>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</si>
  <si>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</si>
  <si>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</si>
  <si>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</si>
  <si>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</si>
  <si>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</si>
  <si>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</si>
  <si>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</si>
  <si>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</si>
  <si>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</si>
  <si>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</si>
  <si>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</si>
  <si>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</si>
  <si>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</si>
  <si>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</si>
  <si>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</si>
  <si>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</si>
  <si>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</si>
  <si>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</si>
  <si>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</si>
  <si>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</si>
  <si>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</si>
  <si>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</si>
  <si>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</si>
  <si>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</si>
  <si>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</si>
  <si>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</si>
  <si>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</si>
  <si>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</si>
  <si>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</si>
  <si>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</si>
  <si>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</si>
  <si>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</si>
  <si>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</si>
  <si>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</si>
  <si>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</si>
  <si>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</si>
  <si>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</si>
  <si>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</si>
  <si>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</si>
  <si>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</si>
  <si>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</si>
  <si>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</si>
  <si>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</si>
  <si>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</si>
  <si>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</si>
  <si>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</si>
  <si>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</si>
  <si>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</si>
  <si>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</si>
  <si>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</si>
  <si>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</si>
  <si>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</si>
  <si>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</si>
  <si>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</si>
  <si>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</si>
  <si>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</si>
  <si>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</si>
  <si>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</si>
  <si>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</si>
  <si>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</si>
  <si>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</si>
  <si>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</si>
  <si>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</si>
  <si>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</si>
  <si>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</si>
  <si>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</si>
  <si>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</si>
  <si>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</si>
  <si>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</si>
  <si>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</si>
  <si>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</si>
  <si>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</si>
  <si>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</si>
  <si>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</si>
  <si>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</si>
  <si>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</si>
  <si>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</si>
  <si>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</si>
  <si>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</si>
  <si>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</si>
  <si>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</si>
  <si>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</si>
  <si>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</si>
  <si>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</si>
  <si>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</si>
  <si>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</si>
  <si>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</si>
  <si>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</si>
  <si>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</si>
  <si>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</si>
  <si>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</si>
  <si>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</si>
  <si>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</si>
  <si>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</si>
  <si>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</si>
  <si>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</si>
  <si>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</si>
  <si>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</si>
  <si>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</si>
  <si>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</si>
  <si>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</si>
  <si>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</si>
  <si>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</si>
  <si>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</si>
  <si>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</si>
  <si>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</si>
  <si>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</si>
  <si>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</si>
  <si>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</si>
  <si>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</si>
  <si>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</si>
  <si>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</si>
  <si>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</si>
  <si>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</si>
  <si>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</si>
  <si>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</si>
  <si>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</si>
  <si>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</si>
  <si>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</si>
  <si>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</si>
  <si>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</si>
  <si>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</si>
  <si>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</si>
  <si>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</si>
  <si>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</si>
  <si>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</si>
  <si>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</si>
  <si>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</si>
  <si>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</si>
  <si>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</si>
  <si>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</si>
  <si>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</si>
  <si>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</si>
  <si>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</si>
  <si>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</si>
  <si>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</si>
  <si>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</si>
  <si>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</si>
  <si>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</si>
  <si>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</si>
  <si>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</si>
  <si>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</si>
  <si>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</si>
  <si>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</si>
  <si>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</si>
  <si>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</si>
  <si>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</si>
  <si>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</si>
  <si>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</si>
  <si>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</si>
  <si>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</si>
  <si>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</si>
  <si>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</si>
  <si>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</si>
  <si>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</si>
  <si>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</si>
  <si>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</si>
  <si>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</si>
  <si>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</si>
  <si>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</si>
  <si>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</si>
  <si>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</si>
  <si>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</si>
  <si>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</si>
  <si>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</si>
  <si>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</si>
  <si>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</si>
  <si>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</si>
  <si>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</si>
  <si>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</si>
  <si>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</si>
  <si>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</si>
  <si>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</si>
  <si>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</si>
  <si>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</si>
  <si>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</si>
  <si>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</si>
  <si>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</si>
  <si>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</si>
  <si>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</si>
  <si>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</si>
  <si>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</si>
  <si>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</si>
  <si>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</si>
  <si>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</si>
  <si>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</si>
  <si>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</si>
  <si>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</si>
  <si>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</si>
  <si>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</si>
  <si>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</si>
  <si>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</si>
  <si>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</si>
  <si>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</si>
  <si>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</si>
  <si>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</si>
  <si>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</si>
  <si>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</si>
  <si>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</si>
  <si>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</si>
  <si>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</si>
  <si>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</si>
  <si>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</si>
  <si>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</si>
  <si>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</si>
  <si>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</si>
  <si>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</si>
  <si>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</si>
  <si>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</si>
  <si>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</si>
  <si>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</si>
  <si>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</si>
  <si>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</si>
  <si>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</si>
  <si>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</si>
  <si>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</si>
  <si>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</si>
  <si>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</si>
  <si>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</si>
  <si>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</si>
  <si>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</si>
  <si>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</si>
  <si>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</si>
  <si>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</si>
  <si>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</si>
  <si>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</si>
  <si>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</si>
  <si>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</si>
  <si>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</si>
  <si>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</si>
  <si>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</si>
  <si>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</si>
  <si>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</si>
  <si>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</si>
  <si>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</si>
  <si>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</si>
  <si>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</si>
  <si>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</si>
  <si>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</si>
  <si>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</si>
  <si>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</si>
  <si>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</si>
  <si>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</si>
  <si>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</si>
  <si>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</si>
  <si>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</si>
  <si>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</si>
  <si>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</si>
  <si>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</si>
  <si>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</si>
  <si>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</si>
  <si>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</si>
  <si>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</si>
  <si>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</si>
  <si>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</si>
  <si>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</si>
  <si>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</si>
  <si>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</si>
  <si>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</si>
  <si>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</si>
  <si>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</si>
  <si>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</si>
  <si>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</si>
  <si>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</si>
  <si>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</si>
  <si>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</si>
  <si>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</si>
  <si>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</si>
  <si>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</si>
  <si>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</si>
  <si>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</si>
  <si>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</si>
  <si>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</si>
  <si>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</si>
  <si>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</si>
  <si>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</si>
  <si>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</si>
  <si>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</si>
  <si>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</si>
  <si>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</si>
  <si>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</si>
  <si>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</si>
  <si>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</si>
  <si>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</si>
  <si>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</si>
  <si>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</si>
  <si>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</si>
  <si>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</si>
  <si>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</si>
  <si>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</si>
  <si>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</si>
  <si>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</si>
  <si>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</si>
  <si>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</si>
  <si>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</si>
  <si>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</si>
  <si>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</si>
  <si>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</si>
  <si>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</si>
  <si>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</si>
  <si>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</si>
  <si>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</si>
  <si>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</si>
  <si>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</si>
  <si>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</si>
  <si>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</si>
  <si>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</si>
  <si>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</si>
  <si>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</si>
  <si>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</si>
  <si>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</si>
  <si>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</si>
  <si>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</si>
  <si>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</si>
  <si>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</si>
  <si>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</si>
  <si>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</si>
  <si>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</si>
  <si>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</si>
  <si>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</si>
  <si>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</si>
  <si>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</si>
  <si>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</si>
  <si>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</si>
  <si>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</si>
  <si>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</si>
  <si>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</si>
  <si>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</si>
  <si>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</si>
  <si>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</si>
  <si>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</si>
  <si>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</si>
  <si>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</si>
  <si>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</si>
  <si>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</si>
  <si>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</si>
  <si>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</si>
  <si>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</si>
  <si>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</si>
  <si>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</si>
  <si>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</si>
  <si>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</si>
  <si>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</si>
  <si>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</si>
  <si>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</si>
  <si>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</si>
  <si>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</si>
  <si>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</si>
  <si>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</si>
  <si>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</si>
  <si>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</si>
  <si>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</si>
  <si>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</si>
  <si>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</si>
  <si>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</si>
  <si>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</si>
  <si>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</si>
  <si>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</si>
  <si>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</si>
  <si>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</si>
  <si>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</si>
  <si>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</si>
  <si>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</si>
  <si>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</si>
  <si>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</si>
  <si>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</si>
  <si>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</si>
  <si>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</si>
  <si>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</si>
  <si>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</si>
  <si>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</si>
  <si>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</si>
  <si>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</si>
  <si>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</si>
  <si>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</si>
  <si>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</si>
  <si>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</si>
  <si>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</si>
  <si>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</si>
  <si>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</si>
  <si>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</si>
  <si>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</si>
  <si>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</si>
  <si>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</si>
  <si>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</si>
  <si>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</si>
  <si>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</si>
  <si>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</si>
  <si>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</si>
  <si>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</si>
  <si>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</si>
  <si>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</si>
  <si>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</si>
  <si>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</si>
  <si>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</si>
  <si>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</si>
  <si>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</si>
  <si>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</si>
  <si>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</si>
  <si>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</si>
  <si>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</si>
  <si>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</si>
  <si>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</si>
  <si>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</si>
  <si>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</si>
  <si>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</si>
  <si>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</si>
  <si>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</si>
  <si>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</si>
  <si>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</si>
  <si>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</si>
  <si>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</si>
  <si>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</si>
  <si>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</si>
  <si>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</si>
  <si>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</si>
  <si>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</si>
  <si>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</si>
  <si>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</si>
  <si>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</si>
  <si>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</si>
  <si>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</si>
  <si>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</si>
  <si>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</si>
  <si>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</si>
  <si>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</si>
  <si>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</si>
  <si>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</si>
  <si>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</si>
  <si>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</si>
  <si>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</si>
  <si>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</si>
  <si>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</si>
  <si>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</si>
  <si>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</si>
  <si>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</si>
  <si>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</si>
  <si>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</si>
  <si>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</si>
  <si>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</si>
  <si>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</si>
  <si>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</si>
  <si>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</si>
  <si>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</si>
  <si>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</si>
  <si>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</si>
  <si>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</si>
  <si>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</si>
  <si>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</si>
  <si>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</si>
  <si>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</si>
  <si>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</si>
  <si>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</si>
  <si>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</si>
  <si>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</si>
  <si>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</si>
  <si>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</si>
  <si>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</si>
  <si>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</si>
  <si>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</si>
  <si>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</si>
  <si>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</si>
  <si>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</si>
  <si>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</si>
  <si>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</si>
  <si>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</si>
  <si>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</si>
  <si>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</si>
  <si>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</si>
  <si>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</si>
  <si>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</si>
  <si>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</si>
  <si>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</si>
  <si>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</si>
  <si>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</si>
  <si>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</si>
  <si>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</si>
  <si>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</si>
  <si>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</si>
  <si>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</si>
  <si>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</si>
  <si>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</si>
  <si>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</si>
  <si>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</si>
  <si>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</si>
  <si>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</si>
  <si>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</si>
  <si>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</si>
  <si>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</si>
  <si>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</si>
  <si>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</si>
  <si>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</si>
  <si>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</si>
  <si>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</si>
  <si>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</si>
  <si>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</si>
  <si>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</si>
  <si>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</si>
  <si>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</si>
  <si>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</si>
  <si>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</si>
  <si>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</si>
  <si>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</si>
  <si>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</si>
  <si>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</si>
  <si>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</si>
  <si>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</si>
  <si>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</si>
  <si>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</si>
  <si>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</si>
  <si>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</si>
  <si>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</si>
  <si>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</si>
  <si>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</si>
  <si>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</si>
  <si>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</si>
  <si>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</si>
  <si>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</si>
  <si>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</si>
  <si>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</si>
  <si>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</si>
  <si>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</si>
  <si>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</si>
  <si>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</si>
  <si>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</si>
  <si>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</si>
  <si>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</si>
  <si>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</si>
  <si>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</si>
  <si>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</si>
  <si>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</si>
  <si>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</si>
  <si>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</si>
  <si>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</si>
  <si>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</si>
  <si>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</si>
  <si>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</si>
  <si>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</si>
  <si>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</si>
  <si>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</si>
  <si>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</si>
  <si>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</si>
  <si>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</si>
  <si>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</si>
  <si>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</si>
  <si>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</si>
  <si>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</si>
  <si>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</si>
  <si>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</si>
  <si>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</si>
  <si>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</si>
  <si>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</si>
  <si>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</si>
  <si>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</si>
  <si>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</si>
  <si>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</si>
  <si>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</si>
  <si>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</si>
  <si>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</si>
  <si>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</si>
  <si>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</si>
  <si>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</si>
  <si>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</si>
  <si>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Ever Cardoza</t>
  </si>
  <si>
    <t>Buyer's Rate:</t>
  </si>
  <si>
    <t>Term(years):</t>
  </si>
  <si>
    <t>Read me the en</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</si>
  <si>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</si>
  <si>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</si>
  <si>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</si>
  <si>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</si>
  <si>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</si>
  <si>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</si>
  <si>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</si>
  <si>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</si>
  <si>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</si>
  <si>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</si>
  <si>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</si>
  <si>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</si>
  <si>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</si>
  <si>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</si>
  <si>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</si>
  <si>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</si>
  <si>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</si>
  <si>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</si>
  <si>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</si>
  <si>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</si>
  <si>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</si>
  <si>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</si>
  <si>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</si>
  <si>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</si>
  <si>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</si>
  <si>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</si>
  <si>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</si>
  <si>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</si>
  <si>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</si>
  <si>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</si>
  <si>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</si>
  <si>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</si>
  <si>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</si>
  <si>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</si>
  <si>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</si>
  <si>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</si>
  <si>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</si>
  <si>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</si>
  <si>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</si>
  <si>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</si>
  <si>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</si>
  <si>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</si>
  <si>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</si>
  <si>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</si>
  <si>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</si>
  <si>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</si>
  <si>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</si>
  <si>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</si>
  <si>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</si>
  <si>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</si>
  <si>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</si>
  <si>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</si>
  <si>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</si>
  <si>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</si>
  <si>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</si>
  <si>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</si>
  <si>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</si>
  <si>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</si>
  <si>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</si>
  <si>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</si>
  <si>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</si>
  <si>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</si>
  <si>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</si>
  <si>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</si>
  <si>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</si>
  <si>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</si>
  <si>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</si>
  <si>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</si>
  <si>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</si>
  <si>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</si>
  <si>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</si>
  <si>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</si>
  <si>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</si>
  <si>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</si>
  <si>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</si>
  <si>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</si>
  <si>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</si>
  <si>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</si>
  <si>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</si>
  <si>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</si>
  <si>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</si>
  <si>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</si>
  <si>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</si>
  <si>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</si>
  <si>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</si>
  <si>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</si>
  <si>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</si>
  <si>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</si>
  <si>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</si>
  <si>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</si>
  <si>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</si>
  <si>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</si>
  <si>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</si>
  <si>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</si>
  <si>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</si>
  <si>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</si>
  <si>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</si>
  <si>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</si>
  <si>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</si>
  <si>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</si>
  <si>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</si>
  <si>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</si>
  <si>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</si>
  <si>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</si>
  <si>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</si>
  <si>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</si>
  <si>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</si>
  <si>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</si>
  <si>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</si>
  <si>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</si>
  <si>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</si>
  <si>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</si>
  <si>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</si>
  <si>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</si>
  <si>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</si>
  <si>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</si>
  <si>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</si>
  <si>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</si>
  <si>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</si>
  <si>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</si>
  <si>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</si>
  <si>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</si>
  <si>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</si>
  <si>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</si>
  <si>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</si>
  <si>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</si>
  <si>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</si>
  <si>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</si>
  <si>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</si>
  <si>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</si>
  <si>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</si>
  <si>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</si>
  <si>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</si>
  <si>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</si>
  <si>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</si>
  <si>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</si>
  <si>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</si>
  <si>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</si>
  <si>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</si>
  <si>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</si>
  <si>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</si>
  <si>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</si>
  <si>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</si>
  <si>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</si>
  <si>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</si>
  <si>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</si>
  <si>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</si>
  <si>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</si>
  <si>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</si>
  <si>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</si>
  <si>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</si>
  <si>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</si>
  <si>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</si>
  <si>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</si>
  <si>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</si>
  <si>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</si>
  <si>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</si>
  <si>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</si>
  <si>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</si>
  <si>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</si>
  <si>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</si>
  <si>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</si>
  <si>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</si>
  <si>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</si>
  <si>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</si>
  <si>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</si>
  <si>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</si>
  <si>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</si>
  <si>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</si>
  <si>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</si>
  <si>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</si>
  <si>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</si>
  <si>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</si>
  <si>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</si>
  <si>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</si>
  <si>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</si>
  <si>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</si>
  <si>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</si>
  <si>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</si>
  <si>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Wes Browning</t>
  </si>
  <si>
    <t>Selling-Buyer1</t>
  </si>
  <si>
    <t>Selling-Buyer2</t>
  </si>
  <si>
    <t>1765676891</t>
  </si>
  <si>
    <t>Monthly Payment:</t>
  </si>
  <si>
    <t>Ernest Money, Reduces  Down Payment:</t>
  </si>
  <si>
    <t>Total Deposit:</t>
  </si>
  <si>
    <t>Selling Earnest Money:</t>
  </si>
  <si>
    <t>Sales Price:</t>
  </si>
  <si>
    <t>above  ARV:</t>
  </si>
  <si>
    <t>Financed</t>
  </si>
  <si>
    <t>profit</t>
  </si>
  <si>
    <t>Down Payment: %</t>
  </si>
  <si>
    <t>1st mortgage to Shellpoint of 122,713.02</t>
  </si>
  <si>
    <t>Deferred Balance of 54,532.00</t>
  </si>
  <si>
    <t>A lien of 100,000.00</t>
  </si>
  <si>
    <t>Maria Sarmiento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</si>
</sst>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4">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
      <sz val="12"/>
      <color theme="1"/>
      <name val="Aptos"/>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2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0" fontId="1" fillId="0" borderId="0" xfId="0" applyFont="1" applyAlignment="1">
      <alignment horizontal="right"/>
    </xf>
    <xf numFmtId="0" fontId="0" fillId="0" borderId="5" xfId="0" applyBorder="1"/>
    <xf numFmtId="3" fontId="1" fillId="0" borderId="26" xfId="0" applyNumberFormat="1" applyFont="1" applyBorder="1" applyAlignment="1">
      <alignment horizontal="center"/>
    </xf>
    <xf numFmtId="0" fontId="1" fillId="0" borderId="27" xfId="0"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15" borderId="27"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0" fontId="0" fillId="0" borderId="7" xfId="0"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0" fillId="0" borderId="25" xfId="0" applyBorder="1" applyAlignment="1">
      <alignment horizontal="center" vertical="center"/>
    </xf>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6"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0" fontId="0" fillId="2" borderId="7" xfId="0" applyFill="1" applyBorder="1"/>
    <xf numFmtId="3" fontId="0" fillId="0" borderId="27" xfId="0" applyNumberFormat="1" applyBorder="1"/>
    <xf numFmtId="0" fontId="13" fillId="15" borderId="30" xfId="0" applyFont="1" applyFill="1" applyBorder="1" applyAlignment="1">
      <alignment horizontal="center" vertical="center" wrapText="1"/>
    </xf>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15" borderId="25" xfId="0" applyFill="1"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0" fontId="0" fillId="0" borderId="0" xfId="0" applyAlignment="1">
      <alignment horizontal="lef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6" fontId="0" fillId="0" borderId="26" xfId="0" applyNumberFormat="1" applyBorder="1"/>
    <xf numFmtId="166" fontId="0" fillId="0" borderId="27" xfId="0" applyNumberFormat="1" applyBorder="1"/>
    <xf numFmtId="178" fontId="0" fillId="0" borderId="27" xfId="0" applyNumberFormat="1" applyBorder="1"/>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xf numFmtId="3" fontId="0" fillId="2" borderId="26" xfId="0" applyNumberFormat="1" applyFill="1" applyBorder="1" applyAlignment="1"/>
    <xf numFmtId="3" fontId="0" fillId="0" borderId="27" xfId="0" applyNumberFormat="1" applyBorder="1" applyAlignment="1"/>
    <xf numFmtId="10" fontId="0" fillId="2" borderId="0" xfId="0" applyNumberFormat="1" applyFill="1" applyBorder="1"/>
    <xf numFmtId="9" fontId="0" fillId="2" borderId="26" xfId="0" applyNumberFormat="1" applyFill="1" applyBorder="1" applyAlignment="1"/>
    <xf numFmtId="9" fontId="0" fillId="0" borderId="27" xfId="0" applyNumberFormat="1" applyBorder="1" applyAlignment="1"/>
    <xf numFmtId="10" fontId="1" fillId="2" borderId="20" xfId="0" applyNumberFormat="1" applyFont="1" applyFill="1" applyBorder="1" applyAlignment="1">
      <alignment horizontal="center"/>
    </xf>
    <xf numFmtId="10" fontId="0" fillId="23" borderId="20" xfId="0" applyNumberFormat="1" applyFill="1" applyBorder="1"/>
    <xf numFmtId="10" fontId="0" fillId="17" borderId="20" xfId="0" applyNumberFormat="1" applyFill="1" applyBorder="1"/>
    <xf numFmtId="3" fontId="0" fillId="15" borderId="26" xfId="0" applyNumberFormat="1" applyFill="1" applyBorder="1" applyAlignment="1"/>
    <xf numFmtId="3" fontId="0" fillId="15" borderId="27" xfId="0" applyNumberFormat="1" applyFill="1" applyBorder="1" applyAlignment="1"/>
    <xf numFmtId="9" fontId="0" fillId="15" borderId="20" xfId="0" applyNumberFormat="1" applyFill="1" applyBorder="1"/>
    <xf numFmtId="0" fontId="53" fillId="0" borderId="0" xfId="0" applyFont="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fill>
        <patternFill>
          <bgColor theme="0" tint="-4.9989318521683403E-2"/>
        </patternFill>
      </fill>
      <border>
        <left/>
        <right/>
        <top/>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30" formatCode="@"/>
    </dxf>
    <dxf>
      <numFmt numFmtId="166" formatCode="&quot;$&quot;#,##0.00"/>
    </dxf>
    <dxf>
      <numFmt numFmtId="19" formatCode="m/d/yyyy"/>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226"/>
    <tableColumn id="4" xr3:uid="{D5470820-6609-4E78-A72A-2198D8D1D6C2}" name="Vendor"/>
    <tableColumn id="5" xr3:uid="{D1A14ED8-CF8A-400A-97CC-A7DDE54A1707}" name="Description"/>
    <tableColumn id="6" xr3:uid="{466C2632-78B3-43CF-82E8-7DD36057FD1A}" name="Amount" dataDxfId="225"/>
    <tableColumn id="7" xr3:uid="{F578DFB6-4AFB-4EF5-A003-270CF24F94BE}" name="Source"/>
    <tableColumn id="8" xr3:uid="{1B0E4B58-8537-4FF0-A030-4379C4B6058C}" name="Invoice #" dataDxfId="224"/>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223" dataDxfId="222" tableBorderDxfId="221">
  <autoFilter ref="A1:H64" xr:uid="{F04BC767-34F9-44F1-A9FC-4F7E4C837A06}"/>
  <tableColumns count="8">
    <tableColumn id="1" xr3:uid="{07B67D15-CD60-40AF-B839-F965916CE3C1}" name="Index" dataDxfId="220"/>
    <tableColumn id="2" xr3:uid="{96ED4F9E-B5B1-427C-9287-D5699CC4336A}" name="Cost Code" dataDxfId="219" totalsRowDxfId="218"/>
    <tableColumn id="3" xr3:uid="{7731E66A-B343-453B-8F4A-0DB49865ED68}" name="Title" dataDxfId="217" totalsRowDxfId="216"/>
    <tableColumn id="4" xr3:uid="{954D3DD3-61FA-485B-9B14-22DE8BD30E11}" name="Description" dataDxfId="215" totalsRowDxfId="214"/>
    <tableColumn id="5" xr3:uid="{B017106D-49F2-46AB-AD10-BD362BF46446}" name="Qty" dataDxfId="213" totalsRowDxfId="212"/>
    <tableColumn id="6" xr3:uid="{6257B278-6DE1-492B-ACFF-354B800708ED}" name="Unit Price" dataDxfId="211" totalsRowDxfId="210"/>
    <tableColumn id="7" xr3:uid="{F9F25888-E545-4C3B-96B2-E28C303268E9}" name="Assigned" dataDxfId="209" totalsRowDxfId="208"/>
    <tableColumn id="8" xr3:uid="{2FC3BC55-BA01-4A91-A5AE-63D8F2CE692A}" name="Dependency" dataDxfId="207">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206"/>
    <tableColumn id="3" xr3:uid="{652F5567-5E63-4241-A40B-A20F557A2D92}" uniqueName="3" name="Title" queryTableFieldId="3" dataDxfId="205"/>
    <tableColumn id="4" xr3:uid="{3C612867-5039-4B04-A357-AC3AF76C43FD}" uniqueName="4" name="Description" queryTableFieldId="4" dataDxfId="204"/>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203"/>
    <tableColumn id="18" xr3:uid="{54D602F5-25F9-423E-944C-BE8A69FFF4F6}" uniqueName="18" name="Dependency" queryTableFieldId="18"/>
    <tableColumn id="8" xr3:uid="{AE8EA6EA-857C-4074-AA81-AEE33FC3E58E}" uniqueName="8" name="Unit Price 2" queryTableFieldId="8" dataDxfId="202">
      <calculatedColumnFormula array="1">_xlfn.XLOOKUP(tblContractDependency[[#This Row],[Index]],_xleta.INDEX,qryContractsToGnatt[Unit Price],0)</calculatedColumnFormula>
    </tableColumn>
    <tableColumn id="9" xr3:uid="{5BC245A6-7444-4512-83EF-9C85F8863D94}" uniqueName="9" name="Order" queryTableFieldId="9" dataDxfId="201">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200">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99">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98">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97">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96">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95">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94">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93">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92"/>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91">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90">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89">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88"/>
    <tableColumn id="3" xr3:uid="{C866347C-3351-40C4-87CE-8C691F809940}" uniqueName="3" name="Title" queryTableFieldId="3" dataDxfId="187"/>
    <tableColumn id="4" xr3:uid="{311FC545-6905-46F1-A9F4-A8764698DE43}" uniqueName="4" name="Description" queryTableFieldId="4" dataDxfId="186"/>
    <tableColumn id="5" xr3:uid="{51F791AC-EFEC-477F-AA63-A42D74256E18}" uniqueName="5" name="Qty" queryTableFieldId="5"/>
    <tableColumn id="6" xr3:uid="{2AD5ED1F-D85A-40B0-BF14-D82BB4C9CFFE}" uniqueName="6" name="Unit Price" queryTableFieldId="6" dataDxfId="185"/>
    <tableColumn id="18" xr3:uid="{190DEF62-2597-4983-B313-D03CA3B59085}" uniqueName="18" name="Assigned" queryTableFieldId="7"/>
    <tableColumn id="7" xr3:uid="{AF7ED0C9-218C-4F48-840E-16BE9AAB803F}" uniqueName="7" name="Unit Price 2" queryTableFieldId="8" dataDxfId="184"/>
    <tableColumn id="16" xr3:uid="{12A291E7-C972-4A57-BE5C-5BA075258657}" uniqueName="16" name="Order" queryTableFieldId="17" dataDxfId="183">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82">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81">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80">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79">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78">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77">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76">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75">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74"/>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73">
      <calculatedColumnFormula>_xlfn.XLOOKUP(tblContractOthers[[#This Row],[Index]],qryContractsToGnatt[Index],qryContractsToGnatt[Unit Price],0)</calculatedColumnFormula>
    </tableColumn>
    <tableColumn id="16" xr3:uid="{A5A71B71-CDCB-4B45-A5D8-37954022AA1B}" uniqueName="16" name="Order" queryTableFieldId="17" dataDxfId="172">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71">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70">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69"/>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68">
      <calculatedColumnFormula>_xlfn.MAXIFS(#REF!,qryContractsToGnatt[Cost Code],qryCostSummary[[#This Row],[Cost Code]])</calculatedColumnFormula>
    </tableColumn>
    <tableColumn id="3" xr3:uid="{26B1FC0C-E5D6-49B0-BF90-B98E29B972D4}" uniqueName="3" name="End date" queryTableFieldId="3" dataDxfId="167">
      <calculatedColumnFormula>_xlfn.MAXIFS(#REF!,qryContractsToGnatt[Cost Code],qryCostSummary[[#This Row],[Cost Code]])</calculatedColumnFormula>
    </tableColumn>
    <tableColumn id="4" xr3:uid="{843A04AA-27EE-4C70-9AF9-C8849A1372D7}" uniqueName="4" name="Cost" queryTableFieldId="4" dataDxfId="166">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165" totalsRowDxfId="164">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163" totalsRowDxfId="162"/>
    <tableColumn id="28" xr3:uid="{43F6FEE0-5380-41C8-8B55-5EC4AD20C3E4}" name="Dep" dataDxfId="161">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160" totalsRowDxfId="159"/>
    <tableColumn id="21" xr3:uid="{A7E97A30-A5FE-4781-A859-7C9C7AA8EE36}" name="Rank" dataDxfId="158" totalsRowDxfId="157"/>
    <tableColumn id="3" xr3:uid="{200E7299-305E-455A-9FD2-4450DC7113E9}" name="Order" dataDxfId="156" totalsRowDxfId="155">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154" totalsRowDxfId="153"/>
    <tableColumn id="16" xr3:uid="{A70633F5-8D33-47A2-84A8-135856520D6F}" name="Date" dataDxfId="152" totalsRowDxfId="151">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150" totalsRowDxfId="149"/>
    <tableColumn id="19" xr3:uid="{2FBA8AC2-2F3D-4617-99C3-599DBEBD2473}" name="Delay" dataDxfId="148" totalsRowDxfId="147"/>
    <tableColumn id="26" xr3:uid="{0801256D-AD14-4FF3-AB49-E5FE9F79D6D2}" name="DepTitles" dataDxfId="146" totalsRowDxfId="145"/>
    <tableColumn id="7" xr3:uid="{262C02F2-33B8-4764-85C9-4E9E337D027D}" name="Notes" dataDxfId="144" totalsRowDxfId="143"/>
    <tableColumn id="8" xr3:uid="{7D75652A-A374-473E-8233-3EEBD95E51DA}" name="Approve" dataDxfId="142" totalsRowDxfId="141"/>
    <tableColumn id="9" xr3:uid="{17E5164D-D9A4-44CA-AE70-08AA5562F9BE}" name="Done" dataDxfId="140" totalsRowDxfId="139"/>
    <tableColumn id="10" xr3:uid="{881AA31F-B8E4-48F4-BB97-C354348DC853}" name="Paid" dataDxfId="138" totalsRowDxfId="137"/>
    <tableColumn id="15" xr3:uid="{BCEA7DCA-DC5A-4E01-AEA8-B12E952630D0}" name="SortKey" dataDxfId="136" totalsRowDxfId="135">
      <calculatedColumnFormula>TEXT(
  IFERROR(MATCH(Contract_Edits[[#This Row],[Index]], qryContractsToGnatt[Index], 0), 100000000 + Contract_Edits[[#This Row],[RowPos]]),
  "000000"
)</calculatedColumnFormula>
    </tableColumn>
    <tableColumn id="22" xr3:uid="{71C6F083-DA19-4E97-8E4A-242BDA3A50E7}" name="RowPos" dataDxfId="134" totalsRowDxfId="133">
      <calculatedColumnFormula array="1">ROW()-ROW(Contract_Edits[#Headers])</calculatedColumnFormula>
    </tableColumn>
    <tableColumn id="23" xr3:uid="{EDFE2A14-66DA-423F-9F26-5A640B3F32B2}" name="PrevPos" dataDxfId="132" totalsRowDxfId="131">
      <calculatedColumnFormula>IF(Contract_Edits[[#This Row],[RowPos]]&gt;1, Contract_Edits[[#This Row],[RowPos]]-1, 0)</calculatedColumnFormula>
    </tableColumn>
    <tableColumn id="12" xr3:uid="{EF4538EA-DDA7-426C-AC14-F8A656E34C11}" name="ParentKey" dataDxfId="130" totalsRowDxfId="129">
      <calculatedColumnFormula>IF(N(Contract_Edits[[#This Row],[Dep]])=0, N(Contract_Edits[[#This Row],[Index]]), N(Contract_Edits[[#This Row],[Dep]]))</calculatedColumnFormula>
    </tableColumn>
    <tableColumn id="4" xr3:uid="{53FE2532-9572-498D-9C0A-5CE40F11DA88}" name="PrevSiblingPos" dataDxfId="128" totalsRowDxfId="127"/>
    <tableColumn id="25" xr3:uid="{170737C7-BE20-4083-B74F-095E5972BE77}" name="SiblingRank" dataDxfId="126" totalsRowDxfId="125">
      <calculatedColumnFormula>IF(OR(#REF!=0,#REF!=""), 0, COUNTIFS(#REF!,#REF!,Contract_Edits[RowPos],"&lt;="&amp;Contract_Edits[[#This Row],[RowPos]]) * 5)</calculatedColumnFormula>
    </tableColumn>
    <tableColumn id="11" xr3:uid="{DD2ABC07-9113-4133-8C93-10A1054668D3}" name="BaseFlag" dataDxfId="124" totalsRowDxfId="123">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122" totalsRowDxfId="121">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20" totalsRowDxfId="119">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18" totalsRowDxfId="117">
      <calculatedColumnFormula>IF(Contract_Edits[[#This Row],[Dep]]=0,"Root",
   IF(ISNUMBER(MATCH(Contract_Edits[[#This Row],[Dep]],Contract_Edits[Index],0)),"OK","Missing")
)</calculatedColumnFormula>
    </tableColumn>
    <tableColumn id="29" xr3:uid="{F9DC7E22-8470-46E2-85DC-17EEBEAF58F1}" name="CycleFlag" dataDxfId="116" totalsRowDxfId="115">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14" totalsRowDxfId="113">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2" totalsRowDxfId="111">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110" totalsRowDxfId="109">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108" headerRowBorderDxfId="107">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106"/>
    <tableColumn id="6" xr3:uid="{20C049C9-116C-4946-998C-8C2E33BF8B83}" uniqueName="6" name="Qty" queryTableFieldId="6"/>
    <tableColumn id="7" xr3:uid="{C304C5BA-98C1-4F91-83F8-B256B11A3F06}" uniqueName="7" name="Unit Price" queryTableFieldId="7" dataDxfId="105"/>
    <tableColumn id="8" xr3:uid="{8A8C81A6-EB2A-4504-8642-6BE8896935F7}" uniqueName="8" name="Price" queryTableFieldId="8" dataDxfId="104"/>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103" dataDxfId="102">
  <autoFilter ref="A8:Z22" xr:uid="{C5C58A62-286D-492B-AB2E-D88499E2857D}"/>
  <sortState xmlns:xlrd2="http://schemas.microsoft.com/office/spreadsheetml/2017/richdata2" ref="A9:Z22">
    <sortCondition ref="P8:P22"/>
  </sortState>
  <tableColumns count="26">
    <tableColumn id="1" xr3:uid="{5A93CC9B-5DB4-44A4-AE21-C453CA575F5E}" name="Assigned" dataDxfId="101"/>
    <tableColumn id="3" xr3:uid="{B595F722-C559-4BBD-BBF1-E66CC82194A1}" name="Cost Code" dataDxfId="100"/>
    <tableColumn id="4" xr3:uid="{9AEE8938-2838-42B6-BC13-3B624710597E}" name="Title" dataDxfId="99"/>
    <tableColumn id="5" xr3:uid="{FBD3E090-17D3-4F97-9026-4084A5E61E7A}" name="Description" dataDxfId="98"/>
    <tableColumn id="6" xr3:uid="{D886DE43-47F9-4ABD-B954-36797318BAE7}" name="Qty" dataDxfId="97"/>
    <tableColumn id="7" xr3:uid="{FD0B0C97-E681-4BDA-BFB2-0CB4E5A411C4}" name="Unit Price" dataDxfId="96"/>
    <tableColumn id="8" xr3:uid="{EBE3B21C-F91B-4912-9C7F-00DB9895F215}" name="Price" dataDxfId="95">
      <calculatedColumnFormula>+E9*F9</calculatedColumnFormula>
    </tableColumn>
    <tableColumn id="36" xr3:uid="{D44D583C-B30C-400A-AC5F-7A7047A2A12B}" name="Dep" dataDxfId="94"/>
    <tableColumn id="18" xr3:uid="{C7321916-9213-4A8A-8D99-485A856B5463}" name="Due" dataDxfId="93"/>
    <tableColumn id="11" xr3:uid="{6F5FC790-C196-4F0D-8CE3-24F27A9636E7}" name="Index" dataDxfId="92"/>
    <tableColumn id="37" xr3:uid="{6A22E938-1CB8-46A0-8226-0B7C109B8303}" name="In Sync" dataDxfId="91"/>
    <tableColumn id="20" xr3:uid="{50E2592D-E598-4A45-AEBB-A502729F4906}" name="Index2" dataDxfId="90"/>
    <tableColumn id="2" xr3:uid="{4D1F7EB4-CEDF-4F2A-A538-1A559AEEFFB0}" name="Dep2" dataDxfId="89"/>
    <tableColumn id="21" xr3:uid="{931E6E93-3275-44F7-8D16-9DAD033E9135}" name="Group" dataDxfId="88">
      <calculatedColumnFormula>IFERROR(_xlfn.XLOOKUP(Table2[[#This Row],[Index]], Contract_Edits[Index], Contract_Edits[Group]), Table2[[#This Row],[Index2]])</calculatedColumnFormula>
    </tableColumn>
    <tableColumn id="42" xr3:uid="{EAA17209-690B-4609-8106-60C299D008B6}" name="Beg Order" dataDxfId="87"/>
    <tableColumn id="22" xr3:uid="{6DAA93D8-4056-4293-9363-50954168AEDF}" name="Order" dataDxfId="86">
      <calculatedColumnFormula>IFERROR(_xlfn.XLOOKUP(Table2[[#This Row],[Index]], Contract_Edits[Index], Contract_Edits[Order]), Table2[[#This Row],[Order]])</calculatedColumnFormula>
    </tableColumn>
    <tableColumn id="23" xr3:uid="{4199958E-B33D-40CD-A966-63728D7AC8EC}" name="Start" dataDxfId="85">
      <calculatedColumnFormula>IFERROR(_xlfn.XLOOKUP(Table2[[#This Row],[Index]], Contract_Edits[Index], Contract_Edits[Start]), Table2[[#This Row],[Start]])</calculatedColumnFormula>
    </tableColumn>
    <tableColumn id="38" xr3:uid="{37371DA0-AB1D-4918-BFFA-85D605D6FCB0}" name="Date" dataDxfId="84"/>
    <tableColumn id="24" xr3:uid="{CD563F6A-5FB7-433F-A0E2-1443B968C8DD}" name="Days" dataDxfId="83">
      <calculatedColumnFormula>IFERROR(_xlfn.XLOOKUP(#REF!, Contract_Edits[Index], Contract_Edits[Days]), Table2[[#This Row],[Order]])</calculatedColumnFormula>
    </tableColumn>
    <tableColumn id="39" xr3:uid="{D4BCE27A-CF66-4357-9731-B599E540AB13}" name="Delay" dataDxfId="82"/>
    <tableColumn id="10" xr3:uid="{73950BD5-D1BA-43C9-AF72-856E1AD48600}" name="Dep Titles" dataDxfId="81"/>
    <tableColumn id="26" xr3:uid="{82BDF265-112F-4B38-9071-C387A2D5EEB5}" name="Notes" dataDxfId="80">
      <calculatedColumnFormula>IFERROR(_xlfn.XLOOKUP(#REF!, Contract_Edits[Index], Contract_Edits[Notes]), Table2[[#This Row],[Dep Titles]])</calculatedColumnFormula>
    </tableColumn>
    <tableColumn id="27" xr3:uid="{9E03DB8F-2CAB-4F14-8DE1-20479239C5C1}" name="Approve" dataDxfId="79"/>
    <tableColumn id="28" xr3:uid="{A99313DA-2D4E-45EE-B82C-92D3BF1B2D6C}" name="Done" dataDxfId="78">
      <calculatedColumnFormula>IFERROR(_xlfn.XLOOKUP(Table2[[#This Row],[Index]], Contract_Edits[Index], Contract_Edits[Done]), Table2[[#This Row],[Approve]])</calculatedColumnFormula>
    </tableColumn>
    <tableColumn id="29" xr3:uid="{5ABC274D-0079-4442-A7EE-E2851144CA63}" name="Paid" dataDxfId="77">
      <calculatedColumnFormula>IFERROR(_xlfn.XLOOKUP(#REF!, Contract_Edits[Index], Contract_Edits[Paid]), Table2[[#This Row],[Done]])</calculatedColumnFormula>
    </tableColumn>
    <tableColumn id="9" xr3:uid="{2AE7B134-EBFF-40E4-8417-C37D35E594C1}" name="Sort Key" dataDxfId="7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7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7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73">
      <calculatedColumnFormula>+'Gnatt Chart'!R24</calculatedColumnFormula>
    </tableColumn>
    <tableColumn id="8" xr3:uid="{FABCC705-7435-48C0-A6C3-AC631BD680BE}" uniqueName="8" name="Days" queryTableFieldId="8" dataDxfId="72">
      <calculatedColumnFormula>_xlfn.DAYS(qryGnattToDraws[[#This Row],[Date]],$H$2)</calculatedColumnFormula>
    </tableColumn>
    <tableColumn id="9" xr3:uid="{E508989F-EE5B-4736-A3D8-BAE706AD2B2D}" uniqueName="9" name="Completed" queryTableFieldId="9" dataDxfId="7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7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22" activePane="bottomRight" state="frozen"/>
      <selection pane="topRight" activeCell="C1" sqref="C1:E1"/>
      <selection pane="bottomLeft" activeCell="C1" sqref="C1:E1"/>
      <selection pane="bottomRight" activeCell="K13" sqref="K13"/>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
      </c>
      <c r="C1" s="309" t="str">
        <f>IF(R3=2,"Hold","")</f>
        <v/>
      </c>
      <c r="D1" s="309" t="str">
        <f>IF(R3=3,"Slow Flip","")</f>
        <v>Slow Flip</v>
      </c>
      <c r="E1" s="378" t="s">
        <v>1</v>
      </c>
      <c r="F1" s="588" t="s">
        <v>2</v>
      </c>
      <c r="G1" s="589"/>
      <c r="H1" s="589"/>
      <c r="P1" s="38" t="s">
        <v>3</v>
      </c>
      <c r="Q1" s="37" t="b">
        <v>0</v>
      </c>
    </row>
    <row r="2" spans="1:18" ht="16.5" customHeight="1" thickBot="1">
      <c r="A2" s="61"/>
      <c r="B2" s="666" t="s">
        <v>4</v>
      </c>
      <c r="C2" s="667"/>
      <c r="D2" s="667"/>
      <c r="E2" s="664" t="s">
        <v>5</v>
      </c>
      <c r="F2" s="665"/>
      <c r="G2" s="373" t="s">
        <v>6</v>
      </c>
      <c r="H2" s="597" t="s">
        <v>7</v>
      </c>
      <c r="I2" s="598"/>
      <c r="J2" s="595" t="s">
        <v>8</v>
      </c>
      <c r="K2" s="656">
        <v>45715</v>
      </c>
      <c r="M2" s="357" t="s">
        <v>9</v>
      </c>
      <c r="N2" s="357"/>
      <c r="P2" s="38" t="s">
        <v>10</v>
      </c>
      <c r="Q2" s="37" t="b">
        <v>0</v>
      </c>
    </row>
    <row r="3" spans="1:18" ht="12" customHeight="1" thickBot="1">
      <c r="A3" s="63" t="s">
        <v>11</v>
      </c>
      <c r="B3" s="64"/>
      <c r="D3" s="601" t="s">
        <v>12</v>
      </c>
      <c r="E3" s="601"/>
      <c r="F3" s="601" t="s">
        <v>13</v>
      </c>
      <c r="G3" s="599"/>
      <c r="H3" s="599"/>
      <c r="I3" s="600"/>
      <c r="J3" s="596"/>
      <c r="K3" s="587"/>
      <c r="Q3" s="37" t="b">
        <v>0</v>
      </c>
      <c r="R3" s="37">
        <v>3</v>
      </c>
    </row>
    <row r="4" spans="1:18" ht="12" customHeight="1" thickBot="1">
      <c r="A4" s="38" t="s">
        <v>15</v>
      </c>
      <c r="B4" s="602">
        <v>330000</v>
      </c>
      <c r="C4" s="603"/>
      <c r="D4" s="267"/>
      <c r="E4" s="294"/>
      <c r="F4" s="291"/>
      <c r="G4" s="291"/>
      <c r="H4" s="71"/>
      <c r="I4" s="72"/>
      <c r="P4" s="85" t="s">
        <v>14</v>
      </c>
      <c r="Q4" s="37" t="b">
        <v>0</v>
      </c>
    </row>
    <row r="5" spans="1:18" ht="12" customHeight="1" thickBot="1">
      <c r="A5" s="38" t="s">
        <v>17</v>
      </c>
      <c r="B5" s="361">
        <f>+Amortization!O2</f>
        <v>0.05</v>
      </c>
      <c r="C5" s="227">
        <v>0</v>
      </c>
      <c r="D5" s="295"/>
      <c r="E5" s="296"/>
      <c r="F5" s="291"/>
      <c r="G5" s="291"/>
      <c r="H5" s="74"/>
      <c r="I5" s="75"/>
      <c r="N5" s="87" t="s">
        <v>18</v>
      </c>
      <c r="O5" s="187"/>
      <c r="P5" s="85" t="s">
        <v>16</v>
      </c>
      <c r="Q5" s="37" t="b">
        <v>0</v>
      </c>
    </row>
    <row r="6" spans="1:18" ht="12" customHeight="1" thickBot="1">
      <c r="A6" s="38" t="s">
        <v>20</v>
      </c>
      <c r="B6" s="604">
        <f>+B4</f>
        <v>330000</v>
      </c>
      <c r="C6" s="605"/>
      <c r="D6" s="295"/>
      <c r="E6" s="296"/>
      <c r="F6" s="291"/>
      <c r="G6" s="299">
        <f>IF(OR(R3=1,R3=2),$B$6,0)</f>
        <v>0</v>
      </c>
      <c r="H6" s="74"/>
      <c r="I6" s="75"/>
      <c r="O6" s="187"/>
      <c r="P6" s="85" t="s">
        <v>19</v>
      </c>
      <c r="Q6" s="37" t="b">
        <v>1</v>
      </c>
    </row>
    <row r="7" spans="1:18" ht="12" customHeight="1" thickBot="1">
      <c r="A7" s="38" t="s">
        <v>21</v>
      </c>
      <c r="B7" s="361">
        <f>+Amortization!$K$3</f>
        <v>0.06</v>
      </c>
      <c r="C7" s="241">
        <f>+B6*B7</f>
        <v>19800</v>
      </c>
      <c r="D7" s="242"/>
      <c r="E7" s="243">
        <f>IF(R3=3,+C7,0)</f>
        <v>19800</v>
      </c>
      <c r="F7" s="292"/>
      <c r="G7" s="291"/>
      <c r="H7" s="74"/>
      <c r="I7" s="75"/>
      <c r="J7" s="595" t="s">
        <v>22</v>
      </c>
      <c r="K7" s="608">
        <v>0.03</v>
      </c>
      <c r="O7" s="187"/>
      <c r="P7" s="356"/>
    </row>
    <row r="8" spans="1:18" ht="12" customHeight="1" thickBot="1">
      <c r="A8" s="38" t="s">
        <v>23</v>
      </c>
      <c r="B8" s="230"/>
      <c r="C8" s="313"/>
      <c r="D8" s="242"/>
      <c r="E8" s="296"/>
      <c r="F8" s="292"/>
      <c r="G8" s="300">
        <f>+IF($C$1="hold",$K$7,0)*$C$50/12*B4</f>
        <v>0</v>
      </c>
      <c r="H8" s="314"/>
      <c r="I8" s="75"/>
      <c r="J8" s="596"/>
      <c r="K8" s="609"/>
      <c r="M8" s="349" t="s">
        <v>24</v>
      </c>
    </row>
    <row r="9" spans="1:18" ht="12" customHeight="1" thickBot="1">
      <c r="A9" s="84" t="str">
        <f>IF(R3=3,"Delta Mortgages","Monthly Rent:")</f>
        <v>Delta Mortgages</v>
      </c>
      <c r="B9" s="591">
        <v>1736</v>
      </c>
      <c r="C9" s="592"/>
      <c r="D9" s="297"/>
      <c r="E9" s="298"/>
      <c r="F9" s="293"/>
      <c r="G9" s="301"/>
      <c r="H9" s="302"/>
      <c r="I9" s="310">
        <f>IF(OR(C1="Hold",D1="Slow Flip"),IF(C1="hold",+B9,+Amortization!AJ8),"")</f>
        <v>1944.5499999999997</v>
      </c>
      <c r="J9" s="595" t="s">
        <v>25</v>
      </c>
      <c r="K9" s="659">
        <v>1277</v>
      </c>
    </row>
    <row r="10" spans="1:18" ht="12" customHeight="1" thickBot="1">
      <c r="C10" s="620" t="s">
        <v>26</v>
      </c>
      <c r="D10" s="621" t="s">
        <v>26</v>
      </c>
      <c r="E10" s="65">
        <f>SUM(D4:E9)</f>
        <v>19800</v>
      </c>
      <c r="F10" s="628">
        <f>+SUM(F4:G9)</f>
        <v>0</v>
      </c>
      <c r="G10" s="629"/>
      <c r="H10" s="628">
        <f>SUM(H4:I9)</f>
        <v>1944.5499999999997</v>
      </c>
      <c r="I10" s="629"/>
      <c r="J10" s="596"/>
      <c r="K10" s="660"/>
      <c r="M10" s="349" t="s">
        <v>27</v>
      </c>
      <c r="O10" s="407"/>
    </row>
    <row r="11" spans="1:18" ht="12" customHeight="1" thickBot="1">
      <c r="C11" s="66"/>
      <c r="D11" s="67"/>
      <c r="E11" s="60"/>
      <c r="F11" s="661" t="str">
        <f>IF(R3=3,"Profit calcuations based on selling in 5 years","")</f>
        <v>Profit calcuations based on selling in 5 years</v>
      </c>
      <c r="G11" s="662"/>
      <c r="H11" s="662"/>
      <c r="I11" s="663"/>
      <c r="M11" s="349" t="s">
        <v>28</v>
      </c>
      <c r="N11" s="87">
        <v>250000</v>
      </c>
      <c r="O11" s="224" t="b">
        <f>+$B$4&gt;N11</f>
        <v>1</v>
      </c>
    </row>
    <row r="12" spans="1:18" ht="12" customHeight="1" thickTop="1" thickBot="1">
      <c r="A12" s="68" t="s">
        <v>29</v>
      </c>
      <c r="B12" s="68"/>
      <c r="C12" s="69"/>
      <c r="D12" s="267"/>
      <c r="E12" s="268"/>
      <c r="F12" s="275"/>
      <c r="G12" s="322"/>
      <c r="H12" s="277"/>
      <c r="I12" s="312"/>
      <c r="M12" s="349" t="s">
        <v>30</v>
      </c>
      <c r="N12" s="87">
        <v>700000</v>
      </c>
      <c r="O12" s="224" t="b">
        <f>+$B$4&lt;N12</f>
        <v>1</v>
      </c>
    </row>
    <row r="13" spans="1:18" ht="12" customHeight="1" thickBot="1">
      <c r="A13" s="38" t="s">
        <v>31</v>
      </c>
      <c r="B13" s="64"/>
      <c r="D13" s="295"/>
      <c r="E13" s="311"/>
      <c r="F13" s="247"/>
      <c r="G13" s="319">
        <f>IF(R3=3,+Amortization!AJ11,0)</f>
        <v>310719.84000000014</v>
      </c>
      <c r="H13" s="320"/>
      <c r="I13" s="321"/>
      <c r="J13" s="367" t="s">
        <v>32</v>
      </c>
      <c r="K13" s="369" t="b">
        <v>1</v>
      </c>
      <c r="M13" s="349" t="s">
        <v>33</v>
      </c>
      <c r="N13" s="87">
        <v>100000</v>
      </c>
      <c r="O13" s="224" t="b">
        <f ca="1">N13&lt;K61</f>
        <v>1</v>
      </c>
    </row>
    <row r="14" spans="1:18" ht="11.25" customHeight="1" thickBot="1">
      <c r="A14" s="38" t="s">
        <v>34</v>
      </c>
      <c r="B14" s="222"/>
      <c r="C14" s="348">
        <v>15000</v>
      </c>
      <c r="D14" s="269">
        <f>-C14</f>
        <v>-15000</v>
      </c>
      <c r="E14" s="243"/>
      <c r="F14" s="276"/>
      <c r="G14" s="94">
        <f>IF(K13,0,0.3*C14)</f>
        <v>0</v>
      </c>
      <c r="H14" s="630" t="s">
        <v>35</v>
      </c>
      <c r="I14" s="631"/>
      <c r="J14" s="614" t="s">
        <v>36</v>
      </c>
      <c r="K14" s="615"/>
      <c r="M14" s="349" t="s">
        <v>37</v>
      </c>
      <c r="N14" s="350">
        <v>0.35</v>
      </c>
      <c r="O14" s="224" t="b">
        <f ca="1">N14&lt;K61/B4</f>
        <v>1</v>
      </c>
      <c r="P14" s="437">
        <f ca="1">K61/B4</f>
        <v>0.4846282274821595</v>
      </c>
    </row>
    <row r="15" spans="1:18" ht="12" customHeight="1">
      <c r="A15" s="38" t="s">
        <v>38</v>
      </c>
      <c r="B15" s="171">
        <v>4.4999999999999998E-2</v>
      </c>
      <c r="C15" s="141">
        <v>122713</v>
      </c>
      <c r="D15" s="242">
        <f>-C15</f>
        <v>-122713</v>
      </c>
      <c r="E15" s="243">
        <f>-D15</f>
        <v>122713</v>
      </c>
      <c r="F15" s="247">
        <f>-C15</f>
        <v>-122713</v>
      </c>
      <c r="G15" s="368"/>
      <c r="H15" s="284"/>
      <c r="I15" s="285"/>
      <c r="J15" s="616"/>
      <c r="K15" s="617"/>
      <c r="M15" s="349" t="s">
        <v>39</v>
      </c>
      <c r="N15" s="87">
        <v>30000</v>
      </c>
      <c r="O15" s="224" t="b">
        <f>+N15&gt;($C$14+$C$20)</f>
        <v>1</v>
      </c>
    </row>
    <row r="16" spans="1:18" ht="12" customHeight="1">
      <c r="A16" s="38" t="s">
        <v>40</v>
      </c>
      <c r="B16" s="140"/>
      <c r="C16" s="141"/>
      <c r="D16" s="269"/>
      <c r="E16" s="243"/>
      <c r="F16" s="247">
        <f>-(120-C49)*(C16/120)</f>
        <v>0</v>
      </c>
      <c r="G16" s="248"/>
      <c r="H16" s="284">
        <f>-(C16*B16/12)</f>
        <v>0</v>
      </c>
      <c r="I16" s="285"/>
      <c r="J16" s="616"/>
      <c r="K16" s="617"/>
      <c r="M16" s="349" t="s">
        <v>41</v>
      </c>
      <c r="N16" s="87">
        <v>140000</v>
      </c>
      <c r="O16" s="224" t="b">
        <f>+N16&gt;($C$14+$C$20+E19)</f>
        <v>1</v>
      </c>
    </row>
    <row r="17" spans="1:17" ht="12" customHeight="1" thickBot="1">
      <c r="A17" s="38" t="s">
        <v>42</v>
      </c>
      <c r="B17" s="140">
        <v>0</v>
      </c>
      <c r="C17" s="141"/>
      <c r="D17" s="269">
        <f>-C17</f>
        <v>0</v>
      </c>
      <c r="E17" s="243">
        <f>+C17</f>
        <v>0</v>
      </c>
      <c r="F17" s="247">
        <f>IF(OR($R$3=1,$R$3=2,$R$3=3),IF(OR($R$3=1,$R$3=2),-C17,),0)</f>
        <v>0</v>
      </c>
      <c r="G17" s="248"/>
      <c r="H17" s="284"/>
      <c r="I17" s="285"/>
      <c r="J17" s="618"/>
      <c r="K17" s="619"/>
      <c r="O17" s="224"/>
    </row>
    <row r="18" spans="1:17" ht="12" customHeight="1" thickBot="1">
      <c r="A18" s="38" t="s">
        <v>43</v>
      </c>
      <c r="B18" s="119"/>
      <c r="C18" s="120">
        <v>54532</v>
      </c>
      <c r="D18" s="242">
        <f>-C18</f>
        <v>-54532</v>
      </c>
      <c r="E18" s="243">
        <f>-D18</f>
        <v>54532</v>
      </c>
      <c r="F18" s="247">
        <f>-C18</f>
        <v>-54532</v>
      </c>
      <c r="G18" s="248"/>
      <c r="H18" s="284"/>
      <c r="I18" s="285"/>
      <c r="J18" s="40"/>
      <c r="K18" s="40"/>
      <c r="O18" s="224"/>
    </row>
    <row r="19" spans="1:17" ht="12" customHeight="1" thickBot="1">
      <c r="A19" s="38" t="s">
        <v>44</v>
      </c>
      <c r="B19" s="240">
        <f>+B17</f>
        <v>0</v>
      </c>
      <c r="C19" s="414">
        <v>20000</v>
      </c>
      <c r="D19" s="242">
        <f>-C19</f>
        <v>-20000</v>
      </c>
      <c r="E19" s="243">
        <f>-D19</f>
        <v>20000</v>
      </c>
      <c r="F19" s="244">
        <f>IF(B1="flip",-C19,0)</f>
        <v>0</v>
      </c>
      <c r="G19" s="245"/>
      <c r="H19" s="284"/>
      <c r="I19" s="285"/>
      <c r="J19" s="40"/>
      <c r="K19" s="40"/>
      <c r="O19" s="224"/>
      <c r="P19" s="356"/>
    </row>
    <row r="20" spans="1:17" ht="12" customHeight="1" thickBot="1">
      <c r="A20" s="84" t="s">
        <v>45</v>
      </c>
      <c r="B20" s="347"/>
      <c r="C20" s="230">
        <v>10000</v>
      </c>
      <c r="D20" s="242">
        <f>-C20</f>
        <v>-10000</v>
      </c>
      <c r="E20" s="243"/>
      <c r="F20" s="244"/>
      <c r="G20" s="248"/>
      <c r="H20" s="287"/>
      <c r="I20" s="285"/>
      <c r="J20" s="40"/>
      <c r="K20" s="40"/>
      <c r="O20" s="408"/>
      <c r="P20" s="356"/>
    </row>
    <row r="21" spans="1:17" ht="12" customHeight="1" thickBot="1">
      <c r="A21" s="38" t="s">
        <v>46</v>
      </c>
      <c r="B21" s="590">
        <f>-SUM(D14:D20)</f>
        <v>222245</v>
      </c>
      <c r="C21" s="576"/>
      <c r="D21" s="269"/>
      <c r="E21" s="243"/>
      <c r="F21" s="247"/>
      <c r="G21" s="248"/>
      <c r="H21" s="287"/>
      <c r="I21" s="285"/>
      <c r="P21" s="356"/>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26" t="s">
        <v>48</v>
      </c>
      <c r="K22" s="627"/>
      <c r="P22" s="356"/>
    </row>
    <row r="23" spans="1:17" ht="12" customHeight="1" thickBot="1">
      <c r="A23" s="38" t="s">
        <v>49</v>
      </c>
      <c r="B23" s="249">
        <v>6.5000000000000002E-2</v>
      </c>
      <c r="C23" s="250">
        <v>30</v>
      </c>
      <c r="D23" s="242"/>
      <c r="E23" s="243"/>
      <c r="F23" s="247"/>
      <c r="G23" s="248"/>
      <c r="H23" s="287"/>
      <c r="I23" s="285"/>
      <c r="J23" s="626" t="s">
        <v>50</v>
      </c>
      <c r="K23" s="627"/>
      <c r="P23" s="356"/>
    </row>
    <row r="24" spans="1:17" ht="12" customHeight="1" thickBot="1">
      <c r="A24" s="38" t="s">
        <v>51</v>
      </c>
      <c r="B24" s="632"/>
      <c r="C24" s="633"/>
      <c r="D24" s="242"/>
      <c r="E24" s="243"/>
      <c r="F24" s="247"/>
      <c r="G24" s="248"/>
      <c r="H24" s="287"/>
      <c r="I24" s="285"/>
      <c r="K24" s="40"/>
      <c r="M24" s="349">
        <v>45819</v>
      </c>
      <c r="N24" s="87">
        <v>294300</v>
      </c>
      <c r="P24" s="356"/>
    </row>
    <row r="25" spans="1:17" ht="12" customHeight="1" thickBot="1">
      <c r="A25" s="84" t="s">
        <v>52</v>
      </c>
      <c r="B25" s="105">
        <v>0</v>
      </c>
      <c r="C25" s="106"/>
      <c r="D25" s="269"/>
      <c r="E25" s="243"/>
      <c r="F25" s="247"/>
      <c r="G25" s="248"/>
      <c r="H25" s="286"/>
      <c r="I25" s="285"/>
      <c r="M25" s="349">
        <v>45826</v>
      </c>
      <c r="N25" s="87">
        <v>293100</v>
      </c>
      <c r="Q25" s="87"/>
    </row>
    <row r="26" spans="1:17" ht="12" customHeight="1" thickBot="1">
      <c r="A26" s="84" t="s">
        <v>53</v>
      </c>
      <c r="B26" s="98"/>
      <c r="C26" s="106">
        <v>0</v>
      </c>
      <c r="D26" s="269">
        <f>-B26</f>
        <v>0</v>
      </c>
      <c r="E26" s="243"/>
      <c r="F26" s="247"/>
      <c r="G26" s="248"/>
      <c r="H26" s="287"/>
      <c r="I26" s="285"/>
      <c r="M26" s="349">
        <v>45923</v>
      </c>
      <c r="N26" s="87">
        <v>290700</v>
      </c>
      <c r="Q26" s="87"/>
    </row>
    <row r="27" spans="1:17" ht="12" customHeight="1" thickBot="1">
      <c r="A27" s="84" t="s">
        <v>54</v>
      </c>
      <c r="B27" s="593">
        <v>5000</v>
      </c>
      <c r="C27" s="594">
        <v>5000</v>
      </c>
      <c r="D27" s="269">
        <f>-B27</f>
        <v>-5000</v>
      </c>
      <c r="E27" s="243"/>
      <c r="F27" s="247"/>
      <c r="G27" s="248"/>
      <c r="H27" s="287"/>
      <c r="I27" s="285"/>
    </row>
    <row r="28" spans="1:17" ht="12" customHeight="1" thickBot="1">
      <c r="A28" s="84" t="s">
        <v>55</v>
      </c>
      <c r="B28" s="225">
        <f ca="1">+F72/30.42</f>
        <v>11.669953977646285</v>
      </c>
      <c r="C28" s="73"/>
      <c r="D28" s="269"/>
      <c r="E28" s="243"/>
      <c r="F28" s="247"/>
      <c r="G28" s="248"/>
      <c r="H28" s="286"/>
      <c r="I28" s="285"/>
      <c r="Q28" s="87"/>
    </row>
    <row r="29" spans="1:17" ht="12" customHeight="1">
      <c r="A29" s="84" t="s">
        <v>56</v>
      </c>
      <c r="B29" s="223">
        <f>+STR!K17/12</f>
        <v>0</v>
      </c>
      <c r="C29" s="73"/>
      <c r="D29" s="269"/>
      <c r="E29" s="243"/>
      <c r="F29" s="247"/>
      <c r="G29" s="248"/>
      <c r="H29" s="286">
        <f>-B29</f>
        <v>0</v>
      </c>
      <c r="I29" s="285"/>
      <c r="J29" s="610" t="s">
        <v>57</v>
      </c>
      <c r="K29" s="611"/>
      <c r="Q29" s="87"/>
    </row>
    <row r="30" spans="1:17" ht="12" customHeight="1" thickBot="1">
      <c r="A30" s="84" t="s">
        <v>58</v>
      </c>
      <c r="C30" s="225"/>
      <c r="D30" s="269"/>
      <c r="E30" s="243"/>
      <c r="F30" s="247"/>
      <c r="G30" s="248"/>
      <c r="H30" s="286"/>
      <c r="I30" s="285"/>
      <c r="J30" s="612"/>
      <c r="K30" s="613"/>
      <c r="O30" s="187"/>
      <c r="P30" s="356"/>
    </row>
    <row r="31" spans="1:17" ht="12" customHeight="1">
      <c r="A31" s="84" t="s">
        <v>1283</v>
      </c>
      <c r="B31" s="549">
        <f ca="1">+Carrying!B25/Profit!$B$28</f>
        <v>82.52903154929578</v>
      </c>
      <c r="C31" s="73"/>
      <c r="D31" s="269"/>
      <c r="E31" s="243"/>
      <c r="F31" s="247"/>
      <c r="G31" s="248"/>
      <c r="H31" s="286">
        <f t="shared" ref="H31:H34" ca="1" si="0">IF($R$3=3,-B31,0)</f>
        <v>-82.52903154929578</v>
      </c>
      <c r="I31" s="285">
        <f t="shared" ref="I31:I34" ca="1" si="1">IF($R$3=3,+B31,0)</f>
        <v>82.52903154929578</v>
      </c>
      <c r="J31" s="622" t="s">
        <v>59</v>
      </c>
      <c r="K31" s="623"/>
      <c r="P31" s="356"/>
    </row>
    <row r="32" spans="1:17" ht="12" customHeight="1">
      <c r="A32" s="84" t="s">
        <v>1297</v>
      </c>
      <c r="B32" s="549">
        <f ca="1">+Carrying!E25/Profit!$B$28</f>
        <v>1041.1454940845069</v>
      </c>
      <c r="C32" s="73"/>
      <c r="D32" s="269"/>
      <c r="E32" s="243"/>
      <c r="F32" s="247"/>
      <c r="G32" s="248"/>
      <c r="H32" s="286"/>
      <c r="I32" s="285"/>
      <c r="J32" s="624"/>
      <c r="K32" s="565"/>
      <c r="P32" s="356"/>
    </row>
    <row r="33" spans="1:11" ht="12" customHeight="1">
      <c r="A33" s="84" t="s">
        <v>60</v>
      </c>
      <c r="B33" s="549">
        <f ca="1">+Carrying!H25/Profit!$B$28</f>
        <v>0</v>
      </c>
      <c r="C33" s="73"/>
      <c r="D33" s="269"/>
      <c r="E33" s="243"/>
      <c r="F33" s="247"/>
      <c r="G33" s="248"/>
      <c r="H33" s="286">
        <f t="shared" ca="1" si="0"/>
        <v>0</v>
      </c>
      <c r="I33" s="285">
        <f t="shared" ca="1" si="1"/>
        <v>0</v>
      </c>
      <c r="J33" s="624"/>
      <c r="K33" s="565"/>
    </row>
    <row r="34" spans="1:11" ht="12" customHeight="1" thickBot="1">
      <c r="A34" s="84" t="s">
        <v>1284</v>
      </c>
      <c r="B34" s="549">
        <f ca="1">+Carrying!K25/Profit!$B$28</f>
        <v>0</v>
      </c>
      <c r="C34" s="73"/>
      <c r="D34" s="269"/>
      <c r="E34" s="243"/>
      <c r="F34" s="247"/>
      <c r="G34" s="248"/>
      <c r="H34" s="286">
        <f t="shared" ca="1" si="0"/>
        <v>0</v>
      </c>
      <c r="I34" s="285">
        <f t="shared" ca="1" si="1"/>
        <v>0</v>
      </c>
      <c r="J34" s="625"/>
      <c r="K34" s="583"/>
    </row>
    <row r="35" spans="1:11" ht="12" customHeight="1">
      <c r="A35" s="84" t="s">
        <v>502</v>
      </c>
      <c r="B35" s="549">
        <f ca="1">+Carrying!N25/Profit!$B$28</f>
        <v>0</v>
      </c>
      <c r="C35" s="73"/>
      <c r="D35" s="269"/>
      <c r="E35" s="243"/>
      <c r="F35" s="247"/>
      <c r="G35" s="248"/>
      <c r="H35" s="286"/>
      <c r="I35" s="285"/>
    </row>
    <row r="36" spans="1:11" ht="12" customHeight="1">
      <c r="A36" s="84" t="s">
        <v>1285</v>
      </c>
      <c r="B36" s="549">
        <f ca="1">+Carrying!Q25/Profit!$B$28</f>
        <v>19.515929577464789</v>
      </c>
      <c r="C36" s="73"/>
      <c r="D36" s="269"/>
      <c r="E36" s="243"/>
      <c r="F36" s="247"/>
      <c r="G36" s="248"/>
      <c r="H36" s="286"/>
      <c r="I36" s="285"/>
    </row>
    <row r="37" spans="1:11" ht="12" customHeight="1">
      <c r="A37" s="84" t="s">
        <v>1286</v>
      </c>
      <c r="B37" s="549">
        <f ca="1">+Carrying!T25/Profit!$B$28</f>
        <v>0</v>
      </c>
      <c r="C37" s="73"/>
      <c r="D37" s="269"/>
      <c r="E37" s="243"/>
      <c r="F37" s="247"/>
      <c r="G37" s="248"/>
      <c r="H37" s="286"/>
      <c r="I37" s="285"/>
    </row>
    <row r="38" spans="1:11" ht="12" customHeight="1">
      <c r="A38" s="84" t="s">
        <v>218</v>
      </c>
      <c r="B38" s="549">
        <f ca="1">+Carrying!W25/Profit!$B$28</f>
        <v>0</v>
      </c>
      <c r="C38" s="73"/>
      <c r="D38" s="269"/>
      <c r="E38" s="243"/>
      <c r="F38" s="247"/>
      <c r="G38" s="248"/>
      <c r="H38" s="286"/>
      <c r="I38" s="285"/>
    </row>
    <row r="39" spans="1:11" ht="12" customHeight="1">
      <c r="A39" s="84" t="s">
        <v>503</v>
      </c>
      <c r="B39" s="549">
        <f ca="1">+Carrying!Z25/Profit!$B$28</f>
        <v>0</v>
      </c>
      <c r="C39" s="73"/>
      <c r="D39" s="269"/>
      <c r="E39" s="243"/>
      <c r="F39" s="247"/>
      <c r="G39" s="248"/>
      <c r="H39" s="286"/>
      <c r="I39" s="285"/>
    </row>
    <row r="40" spans="1:11" ht="12" customHeight="1" thickBot="1">
      <c r="A40" s="84" t="s">
        <v>1287</v>
      </c>
      <c r="B40" s="549">
        <f ca="1">+Carrying!AC25/Profit!$B$28</f>
        <v>0</v>
      </c>
      <c r="C40" s="73"/>
      <c r="D40" s="269"/>
      <c r="E40" s="243"/>
      <c r="F40" s="247"/>
      <c r="G40" s="248"/>
      <c r="H40" s="286"/>
      <c r="I40" s="285"/>
    </row>
    <row r="41" spans="1:11" ht="12" customHeight="1" thickBot="1">
      <c r="A41" s="84" t="s">
        <v>1288</v>
      </c>
      <c r="B41" s="549">
        <f ca="1">+Carrying!AF25/Profit!$B$28</f>
        <v>0</v>
      </c>
      <c r="C41" s="73"/>
      <c r="D41" s="269"/>
      <c r="E41" s="243"/>
      <c r="F41" s="247"/>
      <c r="G41" s="248"/>
      <c r="H41" s="286"/>
      <c r="I41" s="285"/>
      <c r="J41" s="642" t="s">
        <v>62</v>
      </c>
      <c r="K41" s="644">
        <f ca="1">IF(+R3=3,-H54,+B42/B28)</f>
        <v>82.52903154929578</v>
      </c>
    </row>
    <row r="42" spans="1:11" ht="12" customHeight="1" thickBot="1">
      <c r="A42" s="38" t="s">
        <v>62</v>
      </c>
      <c r="B42" s="590">
        <f ca="1">+B28*SUM(B31:B41)</f>
        <v>13340.979999999998</v>
      </c>
      <c r="C42" s="639"/>
      <c r="D42" s="242">
        <f ca="1">-B42</f>
        <v>-13340.979999999998</v>
      </c>
      <c r="E42" s="243"/>
      <c r="F42" s="247"/>
      <c r="G42" s="248"/>
      <c r="H42" s="286"/>
      <c r="I42" s="285"/>
      <c r="J42" s="643"/>
      <c r="K42" s="645"/>
    </row>
    <row r="43" spans="1:11" ht="12" customHeight="1" thickBot="1">
      <c r="A43" s="84" t="s">
        <v>63</v>
      </c>
      <c r="B43" s="225">
        <v>0.1031</v>
      </c>
      <c r="C43" s="73" t="b">
        <v>1</v>
      </c>
      <c r="D43" s="269"/>
      <c r="E43" s="243"/>
      <c r="F43" s="247"/>
      <c r="G43" s="248"/>
      <c r="H43" s="286"/>
      <c r="I43" s="285"/>
    </row>
    <row r="44" spans="1:11" ht="12" customHeight="1" thickBot="1">
      <c r="A44" s="84">
        <v>0.65</v>
      </c>
      <c r="B44" s="552"/>
      <c r="C44" s="73">
        <f>IF(C43,+(B6*A44)-SUM(C15:C19)-B44,0)</f>
        <v>17255</v>
      </c>
      <c r="D44" s="269"/>
      <c r="E44" s="243">
        <f>IF(C43,B44,0)</f>
        <v>0</v>
      </c>
      <c r="F44" s="247">
        <f>IF(C43,-E44,0)</f>
        <v>0</v>
      </c>
      <c r="G44" s="248"/>
      <c r="H44" s="286">
        <f>IF($R$3=3,-E44*B43/12,0)</f>
        <v>0</v>
      </c>
      <c r="I44" s="285"/>
      <c r="J44" s="551" t="s">
        <v>1454</v>
      </c>
      <c r="K44" s="551">
        <f>+SUM(C15:C19)+B44</f>
        <v>197245</v>
      </c>
    </row>
    <row r="45" spans="1:11" ht="12" customHeight="1">
      <c r="A45" s="84" t="s">
        <v>65</v>
      </c>
      <c r="B45" s="225">
        <f>-D67</f>
        <v>36627.077565749991</v>
      </c>
      <c r="C45" s="73"/>
      <c r="D45" s="269">
        <f>-B45</f>
        <v>-36627.077565749991</v>
      </c>
      <c r="E45" s="243"/>
      <c r="F45" s="247"/>
      <c r="G45" s="248"/>
      <c r="H45" s="287"/>
      <c r="I45" s="285"/>
    </row>
    <row r="46" spans="1:11" ht="12" customHeight="1" thickBot="1">
      <c r="A46" s="84" t="s">
        <v>67</v>
      </c>
      <c r="B46" s="225">
        <v>600</v>
      </c>
      <c r="C46" s="73"/>
      <c r="D46" s="269">
        <f>-B46</f>
        <v>-600</v>
      </c>
      <c r="E46" s="243"/>
      <c r="F46" s="247"/>
      <c r="G46" s="248"/>
      <c r="H46" s="287"/>
      <c r="I46" s="285"/>
    </row>
    <row r="47" spans="1:11" ht="12" customHeight="1" thickBot="1">
      <c r="A47" s="38" t="s">
        <v>14</v>
      </c>
      <c r="B47" s="542"/>
      <c r="C47" s="543">
        <v>500</v>
      </c>
      <c r="D47" s="269"/>
      <c r="E47" s="243"/>
      <c r="F47" s="247" t="str">
        <f>IF(Q3,-C47,"")</f>
        <v/>
      </c>
      <c r="G47" s="248"/>
      <c r="H47" s="287"/>
      <c r="I47" s="285"/>
      <c r="J47" s="640" t="s">
        <v>61</v>
      </c>
      <c r="K47" s="634">
        <f>+B21</f>
        <v>222245</v>
      </c>
    </row>
    <row r="48" spans="1:11" ht="12" customHeight="1" thickBot="1">
      <c r="A48" s="85" t="s">
        <v>68</v>
      </c>
      <c r="B48" s="323"/>
      <c r="C48" s="86">
        <v>2.4E-2</v>
      </c>
      <c r="D48" s="269"/>
      <c r="E48" s="243"/>
      <c r="F48" s="247" t="str">
        <f>IF(Q4,IF(OR(R3=1,R3=2),-C48*$F$10,0),"")</f>
        <v/>
      </c>
      <c r="G48" s="248"/>
      <c r="H48" s="287"/>
      <c r="I48" s="285"/>
      <c r="J48" s="641"/>
      <c r="K48" s="635"/>
    </row>
    <row r="49" spans="1:15" ht="12" customHeight="1" thickBot="1">
      <c r="A49" s="85" t="s">
        <v>69</v>
      </c>
      <c r="B49" s="324"/>
      <c r="C49" s="123">
        <v>2.5999999999999999E-2</v>
      </c>
      <c r="D49" s="269"/>
      <c r="E49" s="243"/>
      <c r="F49" s="247" t="str">
        <f>IF(Q5,IF(OR(R3=1,R3=2),-C49*$F$10,0),"")</f>
        <v/>
      </c>
      <c r="G49" s="248"/>
      <c r="H49" s="287"/>
      <c r="I49" s="285"/>
      <c r="J49" s="640" t="s">
        <v>64</v>
      </c>
      <c r="K49" s="634">
        <f ca="1">-E55</f>
        <v>61708.057565749987</v>
      </c>
    </row>
    <row r="50" spans="1:15" ht="12" customHeight="1" thickBot="1">
      <c r="A50" s="124" t="s">
        <v>70</v>
      </c>
      <c r="B50" s="122"/>
      <c r="C50" s="151">
        <v>36</v>
      </c>
      <c r="D50" s="269"/>
      <c r="E50" s="243"/>
      <c r="F50" s="247"/>
      <c r="G50" s="248"/>
      <c r="H50" s="287"/>
      <c r="I50" s="285"/>
      <c r="J50" s="678"/>
      <c r="K50" s="635"/>
    </row>
    <row r="51" spans="1:15" ht="12" customHeight="1" thickBot="1">
      <c r="A51" s="38" t="s">
        <v>71</v>
      </c>
      <c r="B51" s="591"/>
      <c r="C51" s="638"/>
      <c r="D51" s="270"/>
      <c r="E51" s="243"/>
      <c r="F51" s="247">
        <f>-C51</f>
        <v>0</v>
      </c>
      <c r="G51" s="248"/>
      <c r="H51" s="288"/>
      <c r="I51" s="285"/>
      <c r="J51" s="674" t="s">
        <v>66</v>
      </c>
      <c r="K51" s="675"/>
    </row>
    <row r="52" spans="1:15" ht="12" customHeight="1" thickBot="1">
      <c r="A52" s="38" t="s">
        <v>72</v>
      </c>
      <c r="B52" s="636">
        <f>+D87</f>
        <v>940</v>
      </c>
      <c r="C52" s="637"/>
      <c r="D52" s="269">
        <f>-B52</f>
        <v>-940</v>
      </c>
      <c r="E52" s="243"/>
      <c r="F52" s="247"/>
      <c r="G52" s="248"/>
      <c r="H52" s="288"/>
      <c r="I52" s="285"/>
      <c r="J52" s="676"/>
      <c r="K52" s="677"/>
    </row>
    <row r="53" spans="1:15" ht="12" customHeight="1" thickBot="1">
      <c r="A53" s="38" t="s">
        <v>73</v>
      </c>
      <c r="B53" s="672">
        <f>+D98</f>
        <v>290</v>
      </c>
      <c r="C53" s="673"/>
      <c r="D53" s="271"/>
      <c r="E53" s="272"/>
      <c r="F53" s="273">
        <f>-B53</f>
        <v>-290</v>
      </c>
      <c r="G53" s="274"/>
      <c r="H53" s="289"/>
      <c r="I53" s="290"/>
    </row>
    <row r="54" spans="1:15" ht="12" customHeight="1" thickBot="1">
      <c r="B54" s="671" t="s">
        <v>74</v>
      </c>
      <c r="C54" s="621"/>
      <c r="D54" s="133">
        <f ca="1">+SUM(D14:D53)</f>
        <v>-278753.05756574997</v>
      </c>
      <c r="E54" s="351"/>
      <c r="F54" s="352">
        <f>+SUM(F14:F53)</f>
        <v>-177535</v>
      </c>
      <c r="G54" s="351"/>
      <c r="H54" s="353">
        <f ca="1">SUM(H15:H53)</f>
        <v>-82.52903154929578</v>
      </c>
      <c r="I54" s="354">
        <f ca="1">SUM(I15:I53)+H10</f>
        <v>2027.0790315492955</v>
      </c>
    </row>
    <row r="55" spans="1:15" ht="12" customHeight="1" thickBot="1">
      <c r="A55" s="39"/>
      <c r="B55" s="606" t="s">
        <v>75</v>
      </c>
      <c r="C55" s="607"/>
      <c r="D55" s="607"/>
      <c r="E55" s="91">
        <f ca="1">+SUM(D10:E53)</f>
        <v>-61708.057565749987</v>
      </c>
      <c r="F55" s="657">
        <f>+SUM(F10:G53)</f>
        <v>133184.84000000014</v>
      </c>
      <c r="G55" s="658"/>
      <c r="H55" s="89"/>
      <c r="I55" s="93">
        <f ca="1">+SUM(H54:I54)</f>
        <v>1944.5499999999997</v>
      </c>
      <c r="O55" s="60"/>
    </row>
    <row r="56" spans="1:15" ht="12" customHeight="1">
      <c r="A56" s="39"/>
      <c r="B56" s="39"/>
      <c r="D56" s="39"/>
      <c r="E56" s="703" t="s">
        <v>76</v>
      </c>
      <c r="F56" s="704"/>
      <c r="G56" s="88">
        <f ca="1">SUM(E55:G55)</f>
        <v>71476.782434250155</v>
      </c>
      <c r="H56" s="89"/>
      <c r="I56" s="90"/>
      <c r="J56" s="693" t="s">
        <v>77</v>
      </c>
      <c r="K56" s="701" t="s">
        <v>78</v>
      </c>
      <c r="O56" s="60"/>
    </row>
    <row r="57" spans="1:15" ht="12" customHeight="1" thickBot="1">
      <c r="A57" s="39"/>
      <c r="B57" s="39"/>
      <c r="E57" s="703" t="s">
        <v>79</v>
      </c>
      <c r="F57" s="704"/>
      <c r="G57" s="704"/>
      <c r="H57" s="355">
        <f>IF(OR(R3=2,R3=3),IF(R3=2,C50,60),0)</f>
        <v>60</v>
      </c>
      <c r="I57" s="134">
        <f ca="1">IF(OR(R3=2,R3=3),+H57*I55,0)</f>
        <v>116672.99999999999</v>
      </c>
      <c r="J57" s="694"/>
      <c r="K57" s="702"/>
      <c r="M57" s="60"/>
    </row>
    <row r="58" spans="1:15" ht="12" customHeight="1" thickBot="1">
      <c r="A58" s="39"/>
      <c r="B58" s="39"/>
      <c r="E58" s="92"/>
      <c r="F58" s="695" t="s">
        <v>80</v>
      </c>
      <c r="G58" s="696"/>
      <c r="H58" s="76"/>
      <c r="I58" s="76">
        <f ca="1">+I57+G56</f>
        <v>188149.78243425014</v>
      </c>
      <c r="J58" s="77">
        <f ca="1">$B$25*$I$58</f>
        <v>0</v>
      </c>
      <c r="K58" s="78">
        <f ca="1">+$I$58-J58</f>
        <v>188149.78243425014</v>
      </c>
    </row>
    <row r="59" spans="1:15" ht="12" customHeight="1" thickTop="1" thickBot="1">
      <c r="A59" s="79" t="s">
        <v>81</v>
      </c>
      <c r="B59" s="683">
        <f>IF(OR(C1="Hold",D1="slow flip"),0.15,0)</f>
        <v>0.15</v>
      </c>
      <c r="C59" s="684"/>
      <c r="D59" s="79"/>
      <c r="E59" s="79"/>
      <c r="H59" s="228"/>
      <c r="I59" s="229" t="s">
        <v>82</v>
      </c>
      <c r="J59" s="88">
        <f ca="1">-I81</f>
        <v>0</v>
      </c>
      <c r="K59" s="108">
        <f ca="1">+I81</f>
        <v>0</v>
      </c>
    </row>
    <row r="60" spans="1:15" ht="12" customHeight="1" thickTop="1" thickBot="1">
      <c r="A60" s="38" t="s">
        <v>83</v>
      </c>
      <c r="B60" s="679">
        <v>0.1</v>
      </c>
      <c r="C60" s="680">
        <v>0.15</v>
      </c>
      <c r="D60" s="681">
        <f ca="1">+K62*B60</f>
        <v>15992.731506911265</v>
      </c>
      <c r="E60" s="682"/>
      <c r="H60" s="705" t="s">
        <v>84</v>
      </c>
      <c r="I60" s="706"/>
      <c r="J60" s="325" t="s">
        <v>85</v>
      </c>
      <c r="K60" s="108">
        <f ca="1">IF(B59="",0,-$B$59*SUM(K58:K59))</f>
        <v>-28222.46736513752</v>
      </c>
    </row>
    <row r="61" spans="1:15" ht="12" customHeight="1">
      <c r="G61" s="39"/>
      <c r="H61" s="705" t="s">
        <v>86</v>
      </c>
      <c r="I61" s="706"/>
      <c r="J61" s="77">
        <f ca="1">SUM(J58:J60)</f>
        <v>0</v>
      </c>
      <c r="K61" s="78">
        <f ca="1">SUM(K58:K60)</f>
        <v>159927.31506911264</v>
      </c>
    </row>
    <row r="62" spans="1:15" ht="12" customHeight="1" thickBot="1">
      <c r="A62" s="64"/>
      <c r="C62" s="38"/>
      <c r="D62" s="38"/>
      <c r="E62" s="38"/>
      <c r="H62" s="695" t="s">
        <v>87</v>
      </c>
      <c r="I62" s="696"/>
      <c r="J62" s="82"/>
      <c r="K62" s="221">
        <f ca="1">SUM(J61:K61)</f>
        <v>159927.31506911264</v>
      </c>
    </row>
    <row r="63" spans="1:15" ht="12" customHeight="1" thickTop="1">
      <c r="A63" s="68" t="s">
        <v>88</v>
      </c>
    </row>
    <row r="64" spans="1:15" ht="12" customHeight="1" thickBot="1">
      <c r="A64" s="38" t="s">
        <v>89</v>
      </c>
      <c r="B64" s="650">
        <f>'Gnatt Chart'!I6</f>
        <v>34882.931014999995</v>
      </c>
      <c r="C64" s="650"/>
      <c r="D64" s="650">
        <f>-B64</f>
        <v>-34882.931014999995</v>
      </c>
      <c r="E64" s="650"/>
    </row>
    <row r="65" spans="1:11" ht="12" customHeight="1" thickBot="1">
      <c r="A65" s="38" t="s">
        <v>90</v>
      </c>
      <c r="B65" s="80">
        <v>0.05</v>
      </c>
      <c r="D65" s="650"/>
      <c r="E65" s="650"/>
      <c r="G65" s="614" t="s">
        <v>91</v>
      </c>
      <c r="H65" s="716"/>
      <c r="I65" s="716"/>
      <c r="J65" s="611"/>
    </row>
    <row r="66" spans="1:11" ht="12" customHeight="1" thickBot="1">
      <c r="A66" s="38" t="s">
        <v>92</v>
      </c>
      <c r="B66" s="670">
        <f>IF(Q12&lt;&gt;"Yes",+B65*SUM(B64:C64),0)</f>
        <v>1744.1465507499997</v>
      </c>
      <c r="C66" s="670"/>
      <c r="D66" s="670">
        <f>-B66</f>
        <v>-1744.1465507499997</v>
      </c>
      <c r="E66" s="670"/>
      <c r="G66" s="717"/>
      <c r="H66" s="718"/>
      <c r="I66" s="718"/>
      <c r="J66" s="719"/>
    </row>
    <row r="67" spans="1:11" ht="12" customHeight="1" thickBot="1">
      <c r="A67" s="38" t="s">
        <v>93</v>
      </c>
      <c r="D67" s="654">
        <f>+SUM(D64:E66)</f>
        <v>-36627.077565749991</v>
      </c>
      <c r="E67" s="655"/>
      <c r="G67" s="690" t="s">
        <v>94</v>
      </c>
      <c r="H67" s="691"/>
      <c r="I67" s="691"/>
      <c r="J67" s="692"/>
    </row>
    <row r="68" spans="1:11" ht="12" customHeight="1" thickTop="1" thickBot="1">
      <c r="A68" s="81" t="s">
        <v>95</v>
      </c>
      <c r="B68" s="79"/>
      <c r="C68" s="79"/>
      <c r="D68" s="38"/>
      <c r="E68" s="38"/>
      <c r="G68" s="687"/>
      <c r="H68" s="688"/>
      <c r="I68" s="688"/>
      <c r="J68" s="689"/>
    </row>
    <row r="69" spans="1:11" ht="12" customHeight="1">
      <c r="A69" s="38" t="s">
        <v>96</v>
      </c>
      <c r="B69" s="648">
        <v>350</v>
      </c>
      <c r="C69" s="649"/>
      <c r="D69" s="650"/>
      <c r="E69" s="650"/>
      <c r="H69" s="37"/>
      <c r="I69" s="37"/>
    </row>
    <row r="70" spans="1:11" ht="12" customHeight="1" thickBot="1">
      <c r="A70" s="38" t="s">
        <v>97</v>
      </c>
      <c r="B70" s="646">
        <v>0</v>
      </c>
      <c r="C70" s="647"/>
      <c r="D70" s="650"/>
      <c r="E70" s="650"/>
      <c r="H70" s="37"/>
      <c r="I70" s="37"/>
    </row>
    <row r="71" spans="1:11" ht="12" customHeight="1" thickBot="1">
      <c r="A71" s="38" t="s">
        <v>98</v>
      </c>
      <c r="B71" s="646">
        <v>250</v>
      </c>
      <c r="C71" s="647"/>
      <c r="F71" s="668" t="s">
        <v>99</v>
      </c>
      <c r="G71" s="669"/>
      <c r="H71" s="669" t="s">
        <v>100</v>
      </c>
      <c r="I71" s="669"/>
      <c r="J71" s="208" t="s">
        <v>101</v>
      </c>
    </row>
    <row r="72" spans="1:11" ht="12" customHeight="1" thickBot="1">
      <c r="A72" s="38" t="s">
        <v>98</v>
      </c>
      <c r="B72" s="646"/>
      <c r="C72" s="647"/>
      <c r="F72" s="709">
        <f ca="1">_xlfn.DAYS(J72,H72)</f>
        <v>355</v>
      </c>
      <c r="G72" s="567"/>
      <c r="H72" s="710">
        <v>45823</v>
      </c>
      <c r="I72" s="633"/>
      <c r="J72" s="406">
        <f ca="1">NOW()</f>
        <v>46178.344133564817</v>
      </c>
    </row>
    <row r="73" spans="1:11" ht="12" customHeight="1">
      <c r="A73" s="38" t="s">
        <v>102</v>
      </c>
      <c r="B73" s="646"/>
      <c r="C73" s="647"/>
      <c r="D73" s="70"/>
      <c r="E73" s="62"/>
      <c r="F73" s="62"/>
      <c r="G73" s="62"/>
      <c r="H73" s="209"/>
      <c r="I73" s="210"/>
      <c r="J73" s="62"/>
      <c r="K73" s="711" t="s">
        <v>103</v>
      </c>
    </row>
    <row r="74" spans="1:11" ht="12" customHeight="1">
      <c r="A74" s="38" t="s">
        <v>102</v>
      </c>
      <c r="B74" s="646"/>
      <c r="C74" s="647"/>
      <c r="D74" s="211"/>
      <c r="G74" s="714" t="s">
        <v>104</v>
      </c>
      <c r="H74" s="714" t="s">
        <v>105</v>
      </c>
      <c r="I74" s="714" t="s">
        <v>106</v>
      </c>
      <c r="J74" s="714" t="s">
        <v>107</v>
      </c>
      <c r="K74" s="712"/>
    </row>
    <row r="75" spans="1:11" ht="12" customHeight="1" thickBot="1">
      <c r="A75" s="38" t="s">
        <v>108</v>
      </c>
      <c r="B75" s="646"/>
      <c r="C75" s="647"/>
      <c r="D75" s="63" t="s">
        <v>109</v>
      </c>
      <c r="E75" s="601" t="s">
        <v>110</v>
      </c>
      <c r="F75" s="601"/>
      <c r="G75" s="715"/>
      <c r="H75" s="715"/>
      <c r="I75" s="715"/>
      <c r="J75" s="715"/>
      <c r="K75" s="713"/>
    </row>
    <row r="76" spans="1:11" ht="12" customHeight="1">
      <c r="A76" s="38" t="s">
        <v>111</v>
      </c>
      <c r="B76" s="646"/>
      <c r="C76" s="647"/>
      <c r="D76" s="278">
        <v>45397</v>
      </c>
      <c r="E76" s="699" t="s">
        <v>112</v>
      </c>
      <c r="F76" s="700"/>
      <c r="G76" s="279"/>
      <c r="H76" s="280">
        <f ca="1">+G76/$G$82</f>
        <v>0</v>
      </c>
      <c r="I76" s="281">
        <f ca="1">+$J$58*H76</f>
        <v>0</v>
      </c>
      <c r="J76" s="282">
        <f ca="1">+G76+I76</f>
        <v>0</v>
      </c>
      <c r="K76" s="283">
        <f>IF(G76="",0,+I76/G76*365/_xlfn.DAYS($J$72,D76))</f>
        <v>0</v>
      </c>
    </row>
    <row r="77" spans="1:11" ht="12" customHeight="1">
      <c r="A77" s="38" t="s">
        <v>113</v>
      </c>
      <c r="B77" s="646"/>
      <c r="C77" s="647"/>
      <c r="D77" s="278">
        <f>+D76+90</f>
        <v>45487</v>
      </c>
      <c r="E77" s="699" t="str">
        <f>+E76</f>
        <v>unknown</v>
      </c>
      <c r="F77" s="700"/>
      <c r="G77" s="279"/>
      <c r="H77" s="280">
        <f ca="1">+G77/$G$82</f>
        <v>0</v>
      </c>
      <c r="I77" s="281">
        <f ca="1">+$J$58*H77</f>
        <v>0</v>
      </c>
      <c r="J77" s="282">
        <f ca="1">+G77+I77</f>
        <v>0</v>
      </c>
      <c r="K77" s="283">
        <f>IF(G77="",0,+I77/G77*365/_xlfn.DAYS($J$72,D77))</f>
        <v>0</v>
      </c>
    </row>
    <row r="78" spans="1:11" ht="12" customHeight="1">
      <c r="A78" s="38" t="s">
        <v>114</v>
      </c>
      <c r="B78" s="646"/>
      <c r="C78" s="647"/>
      <c r="D78" s="278">
        <f>+D77+270</f>
        <v>45757</v>
      </c>
      <c r="E78" s="699" t="str">
        <f>+E77</f>
        <v>unknown</v>
      </c>
      <c r="F78" s="700"/>
      <c r="G78" s="279"/>
      <c r="H78" s="280">
        <f ca="1">+G78/$G$82</f>
        <v>0</v>
      </c>
      <c r="I78" s="281">
        <f ca="1">+$J$58*H78</f>
        <v>0</v>
      </c>
      <c r="J78" s="282">
        <f ca="1">+G78+I78</f>
        <v>0</v>
      </c>
      <c r="K78" s="283">
        <f>IF(G78="",0,+I78/G78*365/_xlfn.DAYS($J$72,D78))</f>
        <v>0</v>
      </c>
    </row>
    <row r="79" spans="1:11" ht="12" customHeight="1" thickBot="1">
      <c r="A79" s="38" t="s">
        <v>115</v>
      </c>
      <c r="B79" s="646"/>
      <c r="C79" s="647"/>
      <c r="D79" s="278">
        <f ca="1">+J72-120</f>
        <v>46058.344133564817</v>
      </c>
      <c r="E79" s="699" t="str">
        <f>+E78</f>
        <v>unknown</v>
      </c>
      <c r="F79" s="700"/>
      <c r="G79" s="279"/>
      <c r="H79" s="280">
        <f ca="1">+G79/$G$82</f>
        <v>0</v>
      </c>
      <c r="I79" s="281">
        <f ca="1">+$J$58*H79</f>
        <v>0</v>
      </c>
      <c r="J79" s="282">
        <f ca="1">+G79+I79</f>
        <v>0</v>
      </c>
      <c r="K79" s="283">
        <f>IF(G79="",0,+I79/G79*365/_xlfn.DAYS($J$72,D79))</f>
        <v>0</v>
      </c>
    </row>
    <row r="80" spans="1:11" ht="12" customHeight="1" thickBot="1">
      <c r="A80" s="38" t="s">
        <v>116</v>
      </c>
      <c r="B80" s="646">
        <v>200</v>
      </c>
      <c r="C80" s="647"/>
      <c r="D80" s="251">
        <v>45422</v>
      </c>
      <c r="E80" s="720" t="str">
        <f>+F1</f>
        <v>Your Home, LLC</v>
      </c>
      <c r="F80" s="721"/>
      <c r="G80" s="252">
        <f ca="1">-D54-SUM(G75:G78)</f>
        <v>278753.05756574997</v>
      </c>
      <c r="H80" s="253">
        <f ca="1">+G80/$G$82</f>
        <v>1</v>
      </c>
      <c r="I80" s="252">
        <f ca="1">+$J$58*H80</f>
        <v>0</v>
      </c>
      <c r="J80" s="254">
        <f ca="1">+G80+I80</f>
        <v>278753.05756574997</v>
      </c>
      <c r="K80" s="255" t="e">
        <f ca="1">IF(G80=0,0,+I80/G80*$F$72/_xlfn.DAYS(J71,H71))</f>
        <v>#VALUE!</v>
      </c>
    </row>
    <row r="81" spans="1:11" ht="12" customHeight="1" thickBot="1">
      <c r="A81" s="38" t="s">
        <v>117</v>
      </c>
      <c r="B81" s="646"/>
      <c r="C81" s="647"/>
      <c r="D81" s="256" t="str">
        <f>+J71</f>
        <v>End Date</v>
      </c>
      <c r="E81" s="707" t="s">
        <v>118</v>
      </c>
      <c r="F81" s="708"/>
      <c r="G81" s="257">
        <f>+SUM(G75:G78)</f>
        <v>0</v>
      </c>
      <c r="H81" s="258">
        <f ca="1">+SUM(H75:H78)</f>
        <v>0</v>
      </c>
      <c r="I81" s="257">
        <f ca="1">+SUM(I75:I78)</f>
        <v>0</v>
      </c>
      <c r="J81" s="257">
        <f ca="1">+SUM(J75:J78)</f>
        <v>0</v>
      </c>
      <c r="K81" s="259">
        <f>AVERAGE(K75:K78)</f>
        <v>0</v>
      </c>
    </row>
    <row r="82" spans="1:11" ht="12" customHeight="1" thickBot="1">
      <c r="A82" s="38" t="s">
        <v>119</v>
      </c>
      <c r="B82" s="646"/>
      <c r="C82" s="647"/>
      <c r="D82" s="260"/>
      <c r="E82" s="261" t="s">
        <v>120</v>
      </c>
      <c r="F82" s="262"/>
      <c r="G82" s="263">
        <f ca="1">SUM(G75:G78)+G80</f>
        <v>278753.05756574997</v>
      </c>
      <c r="H82" s="264">
        <f ca="1">SUM(H75:H78)+H80</f>
        <v>1</v>
      </c>
      <c r="I82" s="263">
        <f ca="1">SUM(I78:I81)</f>
        <v>0</v>
      </c>
      <c r="J82" s="265">
        <f ca="1">SUM(J75:J78)</f>
        <v>0</v>
      </c>
      <c r="K82" s="266" t="e">
        <f ca="1">AVERAGE(K75:K81)</f>
        <v>#VALUE!</v>
      </c>
    </row>
    <row r="83" spans="1:11" ht="12" customHeight="1">
      <c r="A83" s="38" t="s">
        <v>121</v>
      </c>
      <c r="B83" s="646">
        <v>90</v>
      </c>
      <c r="C83" s="647"/>
      <c r="D83" s="650"/>
      <c r="E83" s="650"/>
    </row>
    <row r="84" spans="1:11" ht="12" customHeight="1">
      <c r="A84" s="38" t="s">
        <v>122</v>
      </c>
      <c r="B84" s="646">
        <v>20</v>
      </c>
      <c r="C84" s="647"/>
      <c r="D84" s="650"/>
      <c r="E84" s="650"/>
    </row>
    <row r="85" spans="1:11" ht="12" customHeight="1">
      <c r="A85" s="38" t="s">
        <v>123</v>
      </c>
      <c r="B85" s="646">
        <v>30</v>
      </c>
      <c r="C85" s="647"/>
      <c r="D85" s="650"/>
      <c r="E85" s="650"/>
    </row>
    <row r="86" spans="1:11" ht="12" customHeight="1" thickBot="1">
      <c r="A86" s="38" t="s">
        <v>124</v>
      </c>
      <c r="B86" s="651"/>
      <c r="C86" s="652"/>
      <c r="D86" s="653"/>
      <c r="E86" s="599"/>
    </row>
    <row r="87" spans="1:11" ht="12" customHeight="1" thickBot="1">
      <c r="D87" s="654">
        <f>+SUM(B69:C86)</f>
        <v>940</v>
      </c>
      <c r="E87" s="655"/>
      <c r="G87" s="674" t="s">
        <v>125</v>
      </c>
      <c r="H87" s="685"/>
      <c r="I87" s="685"/>
      <c r="J87" s="686"/>
    </row>
    <row r="88" spans="1:11" ht="12" customHeight="1" thickBot="1">
      <c r="G88" s="687"/>
      <c r="H88" s="688"/>
      <c r="I88" s="688"/>
      <c r="J88" s="689"/>
    </row>
    <row r="89" spans="1:11" ht="12" customHeight="1" thickTop="1" thickBot="1">
      <c r="A89" s="81" t="s">
        <v>126</v>
      </c>
      <c r="B89" s="79"/>
      <c r="C89" s="79"/>
      <c r="D89" s="79"/>
      <c r="E89" s="79"/>
    </row>
    <row r="90" spans="1:11" ht="12" customHeight="1">
      <c r="A90" s="38" t="s">
        <v>96</v>
      </c>
      <c r="B90" s="648"/>
      <c r="C90" s="649"/>
      <c r="D90" s="650"/>
      <c r="E90" s="650"/>
    </row>
    <row r="91" spans="1:11" ht="12" customHeight="1">
      <c r="A91" s="38" t="s">
        <v>98</v>
      </c>
      <c r="B91" s="646">
        <v>250</v>
      </c>
      <c r="C91" s="647"/>
      <c r="D91" s="650"/>
      <c r="E91" s="650"/>
    </row>
    <row r="92" spans="1:11" ht="12" customHeight="1">
      <c r="A92" s="38" t="s">
        <v>127</v>
      </c>
      <c r="B92" s="646">
        <v>0</v>
      </c>
      <c r="C92" s="647"/>
      <c r="D92" s="650"/>
      <c r="E92" s="650"/>
    </row>
    <row r="93" spans="1:11" ht="12" customHeight="1">
      <c r="A93" s="38" t="s">
        <v>128</v>
      </c>
      <c r="B93" s="646"/>
      <c r="C93" s="647"/>
      <c r="D93" s="650"/>
      <c r="E93" s="650"/>
    </row>
    <row r="94" spans="1:11" ht="12" customHeight="1">
      <c r="A94" s="38" t="s">
        <v>121</v>
      </c>
      <c r="B94" s="646"/>
      <c r="C94" s="647"/>
      <c r="D94" s="650"/>
      <c r="E94" s="650"/>
    </row>
    <row r="95" spans="1:11" ht="12" customHeight="1">
      <c r="A95" s="38" t="s">
        <v>129</v>
      </c>
      <c r="B95" s="646">
        <v>40</v>
      </c>
      <c r="C95" s="647"/>
      <c r="D95" s="650"/>
      <c r="E95" s="650"/>
    </row>
    <row r="96" spans="1:11" ht="12" customHeight="1">
      <c r="A96" s="38" t="s">
        <v>130</v>
      </c>
      <c r="B96" s="646"/>
      <c r="C96" s="647"/>
      <c r="D96" s="650"/>
      <c r="E96" s="650"/>
    </row>
    <row r="97" spans="1:10" ht="12" customHeight="1" thickBot="1">
      <c r="A97" s="38" t="s">
        <v>124</v>
      </c>
      <c r="B97" s="697"/>
      <c r="C97" s="698"/>
      <c r="D97" s="653"/>
      <c r="E97" s="599"/>
    </row>
    <row r="98" spans="1:10" ht="12" customHeight="1" thickTop="1" thickBot="1">
      <c r="D98" s="654">
        <f>+SUM(B90:C97)</f>
        <v>290</v>
      </c>
      <c r="E98" s="655"/>
      <c r="G98" s="674" t="s">
        <v>131</v>
      </c>
      <c r="H98" s="685"/>
      <c r="I98" s="685"/>
      <c r="J98" s="686"/>
    </row>
    <row r="99" spans="1:10" ht="12" customHeight="1" thickBot="1">
      <c r="G99" s="687"/>
      <c r="H99" s="688"/>
      <c r="I99" s="688"/>
      <c r="J99" s="689"/>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F1:H1"/>
    <mergeCell ref="B21:C21"/>
    <mergeCell ref="B9:C9"/>
    <mergeCell ref="B27:C27"/>
    <mergeCell ref="J2:J3"/>
    <mergeCell ref="H2:I3"/>
    <mergeCell ref="D3:E3"/>
    <mergeCell ref="F3:G3"/>
    <mergeCell ref="B4:C4"/>
    <mergeCell ref="B6:C6"/>
  </mergeCells>
  <conditionalFormatting sqref="F19:F20">
    <cfRule type="expression" dxfId="69" priority="31">
      <formula>IF(B1="flip",-C19,0)</formula>
    </cfRule>
  </conditionalFormatting>
  <conditionalFormatting sqref="I9">
    <cfRule type="expression" dxfId="68" priority="29">
      <formula>IF(OR(C1="Hold",D1="Slow Flip"),+B9,"")</formula>
    </cfRule>
  </conditionalFormatting>
  <conditionalFormatting sqref="B59">
    <cfRule type="expression" dxfId="67" priority="26">
      <formula>IF(OR(C1="Hold",D1="slow flip"),0.15,0)</formula>
    </cfRule>
  </conditionalFormatting>
  <conditionalFormatting sqref="I57">
    <cfRule type="expression" dxfId="66" priority="24">
      <formula>+H57*H54</formula>
    </cfRule>
  </conditionalFormatting>
  <conditionalFormatting sqref="F49">
    <cfRule type="expression" dxfId="65" priority="16">
      <formula>OR(R3=1,R3=2)</formula>
    </cfRule>
  </conditionalFormatting>
  <conditionalFormatting sqref="F48">
    <cfRule type="expression" dxfId="64" priority="15">
      <formula>OR(R3=1,R3=2)</formula>
    </cfRule>
  </conditionalFormatting>
  <conditionalFormatting sqref="G6">
    <cfRule type="expression" dxfId="63" priority="13">
      <formula>IF(OR(R3=1,R3=2),$B$6,0)</formula>
    </cfRule>
  </conditionalFormatting>
  <conditionalFormatting sqref="G8">
    <cfRule type="expression" dxfId="62" priority="68">
      <formula>R3=2</formula>
    </cfRule>
  </conditionalFormatting>
  <conditionalFormatting sqref="C22">
    <cfRule type="expression" dxfId="61" priority="98">
      <formula>IF(C1="Hold",+B4*B22,0)</formula>
    </cfRule>
  </conditionalFormatting>
  <conditionalFormatting sqref="F22">
    <cfRule type="expression" dxfId="60" priority="99">
      <formula>IF(OR(C1="hold",D1="slow flip"),-C22,"")</formula>
    </cfRule>
  </conditionalFormatting>
  <conditionalFormatting sqref="H22">
    <cfRule type="expression" dxfId="59" priority="100">
      <formula>IF(OR(C1="hold",C4="slow flip"),IPMT(B23/12,1,C23*12,C22),PMT(B23/12,12*C23,C22))</formula>
    </cfRule>
  </conditionalFormatting>
  <conditionalFormatting sqref="E22">
    <cfRule type="expression" dxfId="58" priority="102">
      <formula>IF(C1="hold",C22-C15-C19-C28-B45,0)</formula>
    </cfRule>
  </conditionalFormatting>
  <conditionalFormatting sqref="H57">
    <cfRule type="expression" dxfId="57" priority="103">
      <formula>IF(OR(C1="Hold",D1="slow Flip"),C50,0)</formula>
    </cfRule>
  </conditionalFormatting>
  <conditionalFormatting sqref="K60">
    <cfRule type="expression" dxfId="56" priority="104">
      <formula>IF(C1="Hold",-$B$59*K58,0)</formula>
    </cfRule>
  </conditionalFormatting>
  <conditionalFormatting sqref="E7">
    <cfRule type="expression" dxfId="55" priority="11">
      <formula>$R$3=3</formula>
    </cfRule>
  </conditionalFormatting>
  <conditionalFormatting sqref="A9">
    <cfRule type="expression" dxfId="54" priority="8">
      <formula>"(R3=3)"</formula>
    </cfRule>
  </conditionalFormatting>
  <conditionalFormatting sqref="F17:F18 F15">
    <cfRule type="expression" dxfId="53" priority="6">
      <formula>IF(R3=3,-C15,0)</formula>
    </cfRule>
  </conditionalFormatting>
  <conditionalFormatting sqref="C7">
    <cfRule type="expression" dxfId="52" priority="1744">
      <formula>IF(C1048567="Hold",+B1048570*B7,0)</formula>
    </cfRule>
  </conditionalFormatting>
  <conditionalFormatting sqref="D43:D47">
    <cfRule type="expression" dxfId="51" priority="1748">
      <formula>IF(OR(R5=1,R5=2),-B43,0)</formula>
    </cfRule>
  </conditionalFormatting>
  <conditionalFormatting sqref="D37">
    <cfRule type="expression" dxfId="50" priority="1">
      <formula>IF(OR(R3=1,R3=2),-B37,0)</formula>
    </cfRule>
  </conditionalFormatting>
  <conditionalFormatting sqref="D38:D42">
    <cfRule type="expression" dxfId="49"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IF(R3=3,+Amortization!AI11,0)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IF(R3=3,+Amortization!AI11,0)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IF(U3=3,+Amortization!AP10,0)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3"/>
  <sheetViews>
    <sheetView workbookViewId="0">
      <pane ySplit="15" topLeftCell="A16" activePane="bottomLeft" state="frozen"/>
      <selection pane="bottomLeft" activeCell="O2" sqref="O2"/>
    </sheetView>
  </sheetViews>
  <sheetFormatPr defaultRowHeight="15"/>
  <cols>
    <col min="1" max="1" width="7.42578125" style="396"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6" bestFit="1" customWidth="1"/>
    <col min="25" max="25" width="9.140625" style="188" customWidth="1"/>
    <col min="26" max="26" width="15.140625" style="388"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4" t="s">
        <v>132</v>
      </c>
      <c r="N1" s="234"/>
      <c r="O1" s="391"/>
      <c r="P1" s="13"/>
      <c r="Q1" s="13"/>
      <c r="R1" s="13"/>
      <c r="S1" s="13"/>
      <c r="T1" s="13"/>
      <c r="Y1" s="234"/>
      <c r="Z1" s="387"/>
      <c r="AA1" s="391"/>
      <c r="AB1" s="13"/>
      <c r="AC1" s="13"/>
      <c r="AD1" s="13"/>
      <c r="AE1" s="13"/>
      <c r="AF1" s="13"/>
      <c r="AJ1" s="399"/>
      <c r="AK1" s="13"/>
      <c r="AP1"/>
      <c r="AQ1"/>
      <c r="AR1" s="239" t="s">
        <v>133</v>
      </c>
      <c r="AS1" s="239" t="s">
        <v>134</v>
      </c>
      <c r="AT1" s="239" t="s">
        <v>135</v>
      </c>
      <c r="AU1" s="399" t="s">
        <v>136</v>
      </c>
      <c r="AV1" s="14"/>
      <c r="AW1"/>
      <c r="AX1" s="188"/>
      <c r="AY1" s="14"/>
    </row>
    <row r="2" spans="1:51" ht="15.75" thickBot="1">
      <c r="B2" s="235" t="s">
        <v>137</v>
      </c>
      <c r="C2" s="402">
        <f>+Profit!C15</f>
        <v>122713</v>
      </c>
      <c r="J2" s="2" t="s">
        <v>1467</v>
      </c>
      <c r="K2" s="810">
        <v>6000</v>
      </c>
      <c r="L2" s="811"/>
      <c r="N2" s="30" t="s">
        <v>1471</v>
      </c>
      <c r="O2" s="820">
        <f>IF($AW$2=1,P2,IF($AW$2=2,Q2,IF($AW$2=3,R2)))</f>
        <v>0.05</v>
      </c>
      <c r="P2" s="544">
        <v>0.05</v>
      </c>
      <c r="Q2" s="544">
        <v>0</v>
      </c>
      <c r="R2" s="544">
        <v>-0.1</v>
      </c>
      <c r="Y2" s="564" t="s">
        <v>138</v>
      </c>
      <c r="Z2" s="565"/>
      <c r="AA2" s="392">
        <f>IF($AW$2=1,AB2,IF($AW$2=2,AC2,IF($AW$2=3,AD2)))</f>
        <v>0.06</v>
      </c>
      <c r="AB2" s="232">
        <f>+$K$3</f>
        <v>0.06</v>
      </c>
      <c r="AC2" s="232">
        <f t="shared" ref="AC2:AD2" si="0">+$K$3</f>
        <v>0.06</v>
      </c>
      <c r="AD2" s="232">
        <f t="shared" si="0"/>
        <v>0.06</v>
      </c>
      <c r="AJ2" s="14"/>
      <c r="AK2" s="14"/>
      <c r="AP2" s="30" t="s">
        <v>139</v>
      </c>
      <c r="AQ2" s="232">
        <v>0.03</v>
      </c>
      <c r="AS2" s="188"/>
      <c r="AT2" s="188"/>
      <c r="AU2" s="14"/>
      <c r="AV2" s="14"/>
      <c r="AW2">
        <v>1</v>
      </c>
      <c r="AX2" s="188"/>
    </row>
    <row r="3" spans="1:51" ht="15.75" thickBot="1">
      <c r="B3" s="235"/>
      <c r="C3" s="402"/>
      <c r="J3" s="30" t="s">
        <v>1474</v>
      </c>
      <c r="K3" s="813">
        <v>0.06</v>
      </c>
      <c r="L3" s="814"/>
      <c r="N3" s="30" t="s">
        <v>1470</v>
      </c>
      <c r="O3" s="303">
        <f>IF($AW$2=1,P3,IF($AW$2=2,Q3,IF($AW$2=3,R3)))</f>
        <v>346500</v>
      </c>
      <c r="P3" s="535">
        <f>+Profit!$B$4*(1++P2)</f>
        <v>346500</v>
      </c>
      <c r="Q3" s="305">
        <f>+Profit!$B$4*(1++Q2)</f>
        <v>330000</v>
      </c>
      <c r="R3" s="306">
        <f>+Profit!$B$4*(1++R2)</f>
        <v>297000</v>
      </c>
      <c r="Y3" s="30"/>
      <c r="Z3" s="213"/>
      <c r="AA3" s="392"/>
      <c r="AB3" s="232"/>
      <c r="AC3" s="232"/>
      <c r="AD3" s="232"/>
      <c r="AJ3" s="14"/>
      <c r="AK3" s="14"/>
      <c r="AP3" s="30"/>
      <c r="AQ3" s="812"/>
      <c r="AS3" s="188"/>
      <c r="AT3" s="188"/>
      <c r="AU3" s="14"/>
      <c r="AV3" s="14"/>
      <c r="AW3"/>
      <c r="AX3" s="188"/>
    </row>
    <row r="4" spans="1:51" ht="15.75" thickBot="1">
      <c r="B4" s="235" t="s">
        <v>140</v>
      </c>
      <c r="C4" s="370">
        <f>+Profit!B15</f>
        <v>4.4999999999999998E-2</v>
      </c>
      <c r="J4" s="30" t="s">
        <v>1473</v>
      </c>
      <c r="K4" s="818">
        <f ca="1">+Profit!K62</f>
        <v>159927.31506911264</v>
      </c>
      <c r="L4" s="819"/>
      <c r="N4" s="30" t="s">
        <v>1468</v>
      </c>
      <c r="O4" s="303">
        <f>IF($AW$2=1,P4,IF($AW$2=2,Q4,IF($AW$2=3,R4)))</f>
        <v>20790</v>
      </c>
      <c r="P4" s="535">
        <f>+$O$3*$K$3</f>
        <v>20790</v>
      </c>
      <c r="Q4" s="305">
        <f>+$O$3*$K$3</f>
        <v>20790</v>
      </c>
      <c r="R4" s="306">
        <f>+$O$3*$K$3</f>
        <v>20790</v>
      </c>
      <c r="Y4" s="564" t="s">
        <v>141</v>
      </c>
      <c r="Z4" s="565"/>
      <c r="AA4" s="303">
        <f>IF($AW$2=1,AB4,IF($AW$2=2,AC4,IF($AW$2=3,AD4)))</f>
        <v>346500</v>
      </c>
      <c r="AB4" s="535">
        <f>+O3+X5</f>
        <v>346500</v>
      </c>
      <c r="AC4" s="305">
        <f>+AB4</f>
        <v>346500</v>
      </c>
      <c r="AD4" s="306">
        <f>+AC4</f>
        <v>346500</v>
      </c>
      <c r="AJ4" s="14"/>
      <c r="AK4" s="14"/>
      <c r="AP4" s="30" t="s">
        <v>142</v>
      </c>
      <c r="AQ4"/>
      <c r="AR4" s="188">
        <f>_xlfn.XLOOKUP(5,$L:$L,$AT:$AT)</f>
        <v>118136.99000000011</v>
      </c>
      <c r="AS4" s="188">
        <f>_xlfn.XLOOKUP(10,$L:$L,$AT:$AT)</f>
        <v>234809.9899999995</v>
      </c>
      <c r="AT4" s="188">
        <f>_xlfn.XLOOKUP(20,$L:$L,$AT:$AT)</f>
        <v>468155.98999999813</v>
      </c>
      <c r="AU4" s="14">
        <f>_xlfn.XLOOKUP(29,$L:$L,$AT:$AT)</f>
        <v>678167.39000000153</v>
      </c>
      <c r="AV4" s="14"/>
      <c r="AW4"/>
      <c r="AX4" s="188"/>
      <c r="AY4" s="14"/>
    </row>
    <row r="5" spans="1:51" ht="15.75" thickBot="1">
      <c r="B5" s="235" t="s">
        <v>143</v>
      </c>
      <c r="C5" s="402">
        <f>+D5/12</f>
        <v>38.416666666666664</v>
      </c>
      <c r="D5" s="402">
        <f>DATEDIF(C7,C8,"m")</f>
        <v>461</v>
      </c>
      <c r="N5" s="30" t="s">
        <v>1472</v>
      </c>
      <c r="O5" s="303">
        <f>IF($AW$2=1,P5,IF($AW$2=2,Q5,IF($AW$2=3,R5)))</f>
        <v>325710</v>
      </c>
      <c r="P5" s="535">
        <f>+P3-P4</f>
        <v>325710</v>
      </c>
      <c r="Q5" s="305">
        <f>+Q3-Q4</f>
        <v>309210</v>
      </c>
      <c r="R5" s="306">
        <f>+R3-R4</f>
        <v>276210</v>
      </c>
      <c r="U5" s="584" t="s">
        <v>1274</v>
      </c>
      <c r="V5" s="585"/>
      <c r="W5" s="585"/>
      <c r="X5" s="586">
        <v>0</v>
      </c>
      <c r="Y5" s="564" t="s">
        <v>138</v>
      </c>
      <c r="Z5" s="565"/>
      <c r="AA5" s="303">
        <f>IF($AW$2=1,AB5,IF($AW$2=2,AC5,IF($AW$2=3,AD5)))</f>
        <v>20790</v>
      </c>
      <c r="AB5" s="535">
        <f>+$O$3*AB2</f>
        <v>20790</v>
      </c>
      <c r="AC5" s="305">
        <f>+$O$3*AC2</f>
        <v>20790</v>
      </c>
      <c r="AD5" s="306">
        <f>+$O$3*AD2</f>
        <v>20790</v>
      </c>
      <c r="AJ5" s="14"/>
      <c r="AK5" s="14"/>
      <c r="AP5" s="30" t="s">
        <v>144</v>
      </c>
      <c r="AQ5"/>
      <c r="AR5" s="188">
        <f>_xlfn.XLOOKUP(5,$L:$L,$AW:$AW)</f>
        <v>0</v>
      </c>
      <c r="AS5" s="188">
        <f>_xlfn.XLOOKUP(10,$L:$L,$AW:$AW)</f>
        <v>0</v>
      </c>
      <c r="AT5" s="188">
        <f>_xlfn.XLOOKUP(20,$L:$L,$AW:$AW)</f>
        <v>0</v>
      </c>
      <c r="AU5" s="14">
        <f>_xlfn.XLOOKUP(29,$L:$L,$AW:$AW)</f>
        <v>0</v>
      </c>
      <c r="AV5" s="14"/>
      <c r="AW5"/>
      <c r="AX5" s="188"/>
      <c r="AY5" s="14"/>
    </row>
    <row r="6" spans="1:51" ht="15.75" thickBot="1">
      <c r="B6" s="235" t="s">
        <v>145</v>
      </c>
      <c r="C6" s="14">
        <f>ROUND(PMT($C$4/12,$D$5,-$C$2,0), 2)</f>
        <v>559.88</v>
      </c>
      <c r="N6" s="30" t="s">
        <v>1272</v>
      </c>
      <c r="P6" s="815">
        <v>0.04</v>
      </c>
      <c r="Q6" s="815">
        <v>3.2500000000000001E-2</v>
      </c>
      <c r="R6" s="815">
        <v>0.04</v>
      </c>
      <c r="U6" s="585"/>
      <c r="V6" s="585"/>
      <c r="W6" s="585"/>
      <c r="X6" s="587"/>
      <c r="Y6" s="564" t="s">
        <v>137</v>
      </c>
      <c r="Z6" s="565"/>
      <c r="AA6" s="303">
        <f>IF($AW$2=1,AB6,IF($AW$2=2,AC6,IF($AW$2=3,AD6)))</f>
        <v>325710</v>
      </c>
      <c r="AB6" s="535">
        <f t="shared" ref="AB6:AD6" si="1">+AB4-AB5</f>
        <v>325710</v>
      </c>
      <c r="AC6" s="305">
        <f t="shared" si="1"/>
        <v>325710</v>
      </c>
      <c r="AD6" s="306">
        <f t="shared" si="1"/>
        <v>325710</v>
      </c>
      <c r="AJ6" s="21"/>
      <c r="AK6" s="14"/>
      <c r="AP6" s="30" t="s">
        <v>146</v>
      </c>
      <c r="AQ6"/>
      <c r="AR6" s="237">
        <f>_xlfn.XLOOKUP(5,$L:$L,$AV:$AV)</f>
        <v>65122.730573595538</v>
      </c>
      <c r="AS6" s="237">
        <f>_xlfn.XLOOKUP(10,$L:$L,$AV:$AV)</f>
        <v>128287.85861535955</v>
      </c>
      <c r="AT6" s="237">
        <f>_xlfn.XLOOKUP(20,$L:$L,$AV:$AV)</f>
        <v>286893.62093967781</v>
      </c>
      <c r="AU6" s="21">
        <f>_xlfn.XLOOKUP(29,$L:$L,$AV:$AV)</f>
        <v>476508.62189803913</v>
      </c>
      <c r="AV6" s="14"/>
      <c r="AW6"/>
      <c r="AX6" s="188"/>
      <c r="AY6" s="14"/>
    </row>
    <row r="7" spans="1:51" ht="15.75" thickBot="1">
      <c r="B7" s="235" t="s">
        <v>1277</v>
      </c>
      <c r="C7" s="537">
        <v>45870</v>
      </c>
      <c r="N7" s="30" t="s">
        <v>140</v>
      </c>
      <c r="O7" s="370">
        <f>IF($AW$2=1,P7,IF($AW$2=2,Q7,IF($AW$2=3,R7)))</f>
        <v>8.4999999999999992E-2</v>
      </c>
      <c r="P7" s="536">
        <f>+$C$4+P6</f>
        <v>8.4999999999999992E-2</v>
      </c>
      <c r="Q7" s="816">
        <f>+$C$4+Q6</f>
        <v>7.7499999999999999E-2</v>
      </c>
      <c r="R7" s="817">
        <f>+$C$4+R6</f>
        <v>8.4999999999999992E-2</v>
      </c>
      <c r="Y7" s="564" t="s">
        <v>1280</v>
      </c>
      <c r="Z7" s="565"/>
      <c r="AB7" s="536">
        <f>+$C$4+P6</f>
        <v>8.4999999999999992E-2</v>
      </c>
      <c r="AC7" s="358">
        <f>+$C$4+Q6</f>
        <v>7.7499999999999999E-2</v>
      </c>
      <c r="AD7" s="359">
        <f>+$C$4+R6</f>
        <v>8.4999999999999992E-2</v>
      </c>
      <c r="AH7" s="22"/>
      <c r="AI7" s="14" t="s">
        <v>147</v>
      </c>
      <c r="AJ7" s="14" t="s">
        <v>148</v>
      </c>
      <c r="AK7" s="400"/>
      <c r="AP7" s="30" t="s">
        <v>149</v>
      </c>
      <c r="AQ7"/>
      <c r="AR7" s="238">
        <f>SUM(AR4:AR6)</f>
        <v>183259.72057359564</v>
      </c>
      <c r="AS7" s="238">
        <f>SUM(AS4:AS6)</f>
        <v>363097.84861535905</v>
      </c>
      <c r="AT7" s="238">
        <f>SUM(AT4:AT6)</f>
        <v>755049.61093967594</v>
      </c>
      <c r="AU7" s="400">
        <f>SUM(AU4:AU6)</f>
        <v>1154676.0118980408</v>
      </c>
      <c r="AV7" s="14"/>
      <c r="AW7"/>
      <c r="AX7" s="188"/>
      <c r="AY7" s="14"/>
    </row>
    <row r="8" spans="1:51" ht="15.75" thickBot="1">
      <c r="B8" s="235" t="s">
        <v>1278</v>
      </c>
      <c r="C8" s="537">
        <v>59902</v>
      </c>
      <c r="N8" s="30" t="s">
        <v>1270</v>
      </c>
      <c r="O8" s="303">
        <f>ROUND(PMT($O$7/12,$P$9,-$O$5,0), 2)</f>
        <v>2504.4299999999998</v>
      </c>
      <c r="P8" s="535">
        <f t="shared" ref="P8:Q8" si="2">ROUND(PMT(P7/12,$P$9,-P5,0), 2)</f>
        <v>2504.4299999999998</v>
      </c>
      <c r="Q8" s="305">
        <f t="shared" si="2"/>
        <v>2215.2199999999998</v>
      </c>
      <c r="R8" s="306">
        <f>ROUND(PMT(R7/12,$P$9,-R5,0), 2)</f>
        <v>2123.8200000000002</v>
      </c>
      <c r="T8" s="13" t="s">
        <v>158</v>
      </c>
      <c r="Y8" s="564" t="s">
        <v>1281</v>
      </c>
      <c r="Z8" s="565"/>
      <c r="AB8" s="393">
        <f>+O9</f>
        <v>30</v>
      </c>
      <c r="AG8" s="30" t="s">
        <v>150</v>
      </c>
      <c r="AH8"/>
      <c r="AI8" s="188">
        <f>_xlfn.XLOOKUP(12,$M:$M,AS:AS)</f>
        <v>1944.5499999999997</v>
      </c>
      <c r="AJ8" s="188">
        <f>_xlfn.XLOOKUP(12,$M:$M,$AP:$AP)</f>
        <v>1944.5499999999997</v>
      </c>
      <c r="AK8" s="14"/>
      <c r="AP8" s="188"/>
      <c r="AQ8" s="188"/>
      <c r="AR8" s="188"/>
      <c r="AU8"/>
    </row>
    <row r="9" spans="1:51" ht="15.75" thickBot="1">
      <c r="N9" s="30" t="s">
        <v>1271</v>
      </c>
      <c r="O9" s="393">
        <v>30</v>
      </c>
      <c r="P9" s="392">
        <f>+O9*12</f>
        <v>360</v>
      </c>
      <c r="S9" s="391" t="s">
        <v>1268</v>
      </c>
      <c r="T9" s="393">
        <v>51.5</v>
      </c>
      <c r="Y9" s="377" t="str">
        <f>+"Payment at "&amp;AA9</f>
        <v>Payment at 0.085</v>
      </c>
      <c r="Z9" s="303">
        <f>ROUND(PMT($AA$9/12,$AC$9,-$AB$9,0), 2)</f>
        <v>2504.4299999999998</v>
      </c>
      <c r="AA9" s="232">
        <f>+AA10</f>
        <v>8.4999999999999992E-2</v>
      </c>
      <c r="AB9" s="303">
        <f>+AA6</f>
        <v>325710</v>
      </c>
      <c r="AC9" s="402">
        <f>+AB8*12</f>
        <v>360</v>
      </c>
      <c r="AG9" s="30" t="s">
        <v>151</v>
      </c>
      <c r="AH9"/>
      <c r="AI9" s="188">
        <f>+AI8*60</f>
        <v>116672.99999999999</v>
      </c>
      <c r="AJ9" s="188">
        <f>+AJ8*60</f>
        <v>116672.99999999999</v>
      </c>
      <c r="AK9" s="400"/>
      <c r="AQ9" s="391" t="s">
        <v>152</v>
      </c>
      <c r="AR9" s="188">
        <f>-_xlfn.XLOOKUP(5,$L:$L,$K:$K)</f>
        <v>-114358.53999999998</v>
      </c>
      <c r="AS9" s="400"/>
      <c r="AU9"/>
    </row>
    <row r="10" spans="1:51" ht="15.75" thickBot="1">
      <c r="S10" s="391" t="s">
        <v>1269</v>
      </c>
      <c r="T10" s="393">
        <f>1741.16/12</f>
        <v>145.09666666666666</v>
      </c>
      <c r="Y10" s="377" t="str">
        <f>+"Payment at "&amp;AA10</f>
        <v>Payment at 0.085</v>
      </c>
      <c r="Z10" s="303">
        <f>ROUND(PMT($AA$10/12,$AC$10,-$AB$10,0), 2)</f>
        <v>2545.85</v>
      </c>
      <c r="AA10" s="538">
        <f>IF($AW$2=1,AB7,IF($AW$2=2,AC7,IF($AW$2=3,AD7)))</f>
        <v>8.4999999999999992E-2</v>
      </c>
      <c r="AB10" s="304">
        <v>316165</v>
      </c>
      <c r="AC10" s="402">
        <f>+AC9-60</f>
        <v>300</v>
      </c>
      <c r="AG10" s="30" t="s">
        <v>153</v>
      </c>
      <c r="AH10"/>
      <c r="AI10" s="188">
        <f>-_xlfn.XLOOKUP(5,$L:$L,$K:$K)</f>
        <v>-114358.53999999998</v>
      </c>
      <c r="AJ10" s="188">
        <f>-_xlfn.XLOOKUP(5,$L:$L,$K:$K)</f>
        <v>-114358.53999999998</v>
      </c>
      <c r="AK10" s="14"/>
      <c r="AQ10" s="391" t="s">
        <v>154</v>
      </c>
      <c r="AR10" s="237">
        <f>_xlfn.XLOOKUP(5,$L:$L,$W:$W)</f>
        <v>310719.84000000014</v>
      </c>
    </row>
    <row r="11" spans="1:51" ht="15" customHeight="1" thickBot="1">
      <c r="N11" s="30" t="s">
        <v>1273</v>
      </c>
      <c r="O11" s="537">
        <v>46204</v>
      </c>
      <c r="P11" s="30" t="s">
        <v>1455</v>
      </c>
      <c r="Q11" s="559">
        <f>EDATE(O11, P9-1)</f>
        <v>57132</v>
      </c>
      <c r="S11" s="391" t="s">
        <v>1466</v>
      </c>
      <c r="T11" s="392">
        <f>+O8+T9+T10</f>
        <v>2701.0266666666666</v>
      </c>
      <c r="AB11" s="303">
        <f>_xlfn.XLOOKUP(60,$M:$M,AL:AL)</f>
        <v>310719.84000000014</v>
      </c>
      <c r="AG11" s="30" t="s">
        <v>155</v>
      </c>
      <c r="AH11"/>
      <c r="AI11" s="237">
        <f>_xlfn.XLOOKUP(5,$L:$L,$W:$W)</f>
        <v>310719.84000000014</v>
      </c>
      <c r="AJ11" s="237">
        <f>_xlfn.XLOOKUP(5,$L:$L,$AL:$AL)</f>
        <v>310719.84000000014</v>
      </c>
      <c r="AK11" s="14"/>
      <c r="AQ11" s="391" t="s">
        <v>156</v>
      </c>
      <c r="AR11" s="360">
        <f>SUM(AR9:AR10)</f>
        <v>196361.30000000016</v>
      </c>
    </row>
    <row r="12" spans="1:51" ht="15.75" thickBot="1">
      <c r="Y12" s="579"/>
      <c r="Z12" s="580"/>
      <c r="AC12" s="391"/>
      <c r="AG12" s="30" t="s">
        <v>157</v>
      </c>
      <c r="AH12"/>
      <c r="AI12" s="360">
        <f>SUM(AI9:AI11)</f>
        <v>313034.30000000016</v>
      </c>
      <c r="AJ12" s="360">
        <f>SUM(AJ9:AJ11)</f>
        <v>313034.30000000016</v>
      </c>
      <c r="AK12" s="14"/>
      <c r="AP12" s="360"/>
      <c r="AQ12" s="360"/>
      <c r="AR12" s="188"/>
    </row>
    <row r="13" spans="1:51" ht="15.75" thickBot="1">
      <c r="N13" s="572" t="str">
        <f>"Mortgage Fixed at "&amp; O7</f>
        <v>Mortgage Fixed at 0.085</v>
      </c>
      <c r="O13" s="573"/>
      <c r="P13" s="573"/>
      <c r="Q13" s="573"/>
      <c r="R13" s="573"/>
      <c r="S13" s="573"/>
      <c r="T13" s="573"/>
      <c r="U13" s="573"/>
      <c r="V13" s="573"/>
      <c r="W13" s="574"/>
      <c r="Y13" s="572" t="str">
        <f>"Mortgage Reduced to "&amp;AA9&amp;"% for 1st 5 years then "&amp;AA10 &amp; "%"</f>
        <v>Mortgage Reduced to 0.085% for 1st 5 years then 0.085%</v>
      </c>
      <c r="Z13" s="573"/>
      <c r="AA13" s="573"/>
      <c r="AB13" s="573"/>
      <c r="AC13" s="573"/>
      <c r="AD13" s="573"/>
      <c r="AE13" s="573"/>
      <c r="AF13" s="573"/>
      <c r="AG13" s="573"/>
      <c r="AH13" s="573"/>
      <c r="AI13" s="575"/>
      <c r="AJ13" s="575"/>
      <c r="AK13" s="575"/>
      <c r="AL13" s="576"/>
    </row>
    <row r="14" spans="1:51" ht="15" customHeight="1" thickBot="1">
      <c r="C14" s="568" t="s">
        <v>158</v>
      </c>
      <c r="D14" s="569"/>
      <c r="E14" s="570"/>
      <c r="F14" s="570"/>
      <c r="G14" s="570"/>
      <c r="H14" s="571"/>
      <c r="I14" s="566" t="s">
        <v>159</v>
      </c>
      <c r="J14" s="567"/>
      <c r="N14" s="403"/>
      <c r="U14" s="577" t="s">
        <v>159</v>
      </c>
      <c r="V14" s="578"/>
      <c r="W14" s="403"/>
      <c r="Y14" s="403"/>
      <c r="AA14" s="577" t="s">
        <v>158</v>
      </c>
      <c r="AB14" s="581"/>
      <c r="AC14" s="582"/>
      <c r="AD14" s="582"/>
      <c r="AE14" s="582"/>
      <c r="AF14" s="583"/>
      <c r="AG14" s="577" t="s">
        <v>159</v>
      </c>
      <c r="AH14" s="578"/>
      <c r="AI14" s="577" t="s">
        <v>160</v>
      </c>
      <c r="AJ14" s="581"/>
      <c r="AK14" s="578"/>
      <c r="AL14" s="403"/>
      <c r="AN14" s="566" t="s">
        <v>161</v>
      </c>
      <c r="AO14" s="567"/>
      <c r="AP14" s="566" t="s">
        <v>162</v>
      </c>
      <c r="AQ14" s="567"/>
      <c r="AT14" s="399" t="s">
        <v>159</v>
      </c>
      <c r="AU14" s="566" t="s">
        <v>163</v>
      </c>
      <c r="AV14" s="567"/>
    </row>
    <row r="15" spans="1:51" ht="15" customHeight="1" thickBot="1">
      <c r="A15" s="397" t="s">
        <v>109</v>
      </c>
      <c r="B15" s="236" t="s">
        <v>164</v>
      </c>
      <c r="C15" s="394" t="s">
        <v>165</v>
      </c>
      <c r="D15" s="401" t="s">
        <v>166</v>
      </c>
      <c r="E15" s="394" t="s">
        <v>167</v>
      </c>
      <c r="F15" s="394" t="s">
        <v>168</v>
      </c>
      <c r="G15" s="394" t="s">
        <v>169</v>
      </c>
      <c r="H15" s="394" t="s">
        <v>170</v>
      </c>
      <c r="I15" s="390" t="s">
        <v>166</v>
      </c>
      <c r="J15" s="390" t="s">
        <v>167</v>
      </c>
      <c r="K15" s="316" t="s">
        <v>171</v>
      </c>
      <c r="L15" s="307" t="s">
        <v>172</v>
      </c>
      <c r="M15" s="307" t="s">
        <v>173</v>
      </c>
      <c r="N15" s="236" t="s">
        <v>164</v>
      </c>
      <c r="O15" s="394" t="s">
        <v>165</v>
      </c>
      <c r="P15" s="394" t="s">
        <v>166</v>
      </c>
      <c r="Q15" s="394" t="s">
        <v>167</v>
      </c>
      <c r="R15" s="394" t="s">
        <v>168</v>
      </c>
      <c r="S15" s="394" t="s">
        <v>169</v>
      </c>
      <c r="T15" s="394" t="s">
        <v>174</v>
      </c>
      <c r="U15" s="390" t="s">
        <v>175</v>
      </c>
      <c r="V15" s="390" t="s">
        <v>167</v>
      </c>
      <c r="W15" s="394" t="s">
        <v>171</v>
      </c>
      <c r="X15" s="397" t="s">
        <v>109</v>
      </c>
      <c r="Y15" s="236" t="s">
        <v>164</v>
      </c>
      <c r="Z15" s="394" t="s">
        <v>176</v>
      </c>
      <c r="AA15" s="394" t="s">
        <v>165</v>
      </c>
      <c r="AB15" s="394" t="s">
        <v>166</v>
      </c>
      <c r="AC15" s="394" t="s">
        <v>167</v>
      </c>
      <c r="AD15" s="394" t="s">
        <v>168</v>
      </c>
      <c r="AE15" s="394" t="s">
        <v>169</v>
      </c>
      <c r="AF15" s="394" t="s">
        <v>170</v>
      </c>
      <c r="AG15" s="390" t="s">
        <v>166</v>
      </c>
      <c r="AH15" s="390" t="s">
        <v>167</v>
      </c>
      <c r="AI15" s="390" t="s">
        <v>177</v>
      </c>
      <c r="AJ15" s="390" t="s">
        <v>178</v>
      </c>
      <c r="AK15" s="390" t="s">
        <v>179</v>
      </c>
      <c r="AL15" s="390" t="s">
        <v>180</v>
      </c>
      <c r="AM15" s="307" t="s">
        <v>172</v>
      </c>
      <c r="AN15" s="394" t="s">
        <v>181</v>
      </c>
      <c r="AO15" s="394" t="s">
        <v>182</v>
      </c>
      <c r="AP15" s="394" t="s">
        <v>181</v>
      </c>
      <c r="AQ15" s="394" t="s">
        <v>182</v>
      </c>
      <c r="AR15" s="233" t="s">
        <v>183</v>
      </c>
      <c r="AS15" s="394" t="s">
        <v>184</v>
      </c>
      <c r="AT15" s="394" t="s">
        <v>184</v>
      </c>
      <c r="AU15" s="236" t="s">
        <v>158</v>
      </c>
      <c r="AV15" s="236" t="s">
        <v>185</v>
      </c>
    </row>
    <row r="16" spans="1:51">
      <c r="A16" s="395">
        <f>+C7</f>
        <v>45870</v>
      </c>
      <c r="B16" s="188">
        <f>+C2</f>
        <v>122713</v>
      </c>
      <c r="C16" s="14">
        <f t="shared" ref="C16:C79" si="3">IF(+$K15&lt;=0,0,$C$6)</f>
        <v>559.88</v>
      </c>
      <c r="D16" s="14">
        <f>+C16-E16</f>
        <v>99.70999999999998</v>
      </c>
      <c r="E16" s="14">
        <f t="shared" ref="E16:E79" si="4">ROUND($B16*($C$4/12), 2)</f>
        <v>460.17</v>
      </c>
      <c r="I16" s="188">
        <f>+C16</f>
        <v>559.88</v>
      </c>
      <c r="J16" s="188">
        <f>+E16</f>
        <v>460.17</v>
      </c>
      <c r="K16" s="188">
        <f>+B16-D16</f>
        <v>122613.29</v>
      </c>
      <c r="L16" s="317">
        <f t="shared" ref="L16:L79" si="5">IF(MOD(M16,12)=0,M16/12,L15)</f>
        <v>0</v>
      </c>
      <c r="M16" s="317">
        <v>0</v>
      </c>
      <c r="N16" s="188">
        <f>+$O$5</f>
        <v>325710</v>
      </c>
      <c r="O16" s="188">
        <f>IF($O$11&lt;=A16,$O$8,0)</f>
        <v>0</v>
      </c>
      <c r="P16" s="188">
        <f>+O16-Q16</f>
        <v>0</v>
      </c>
      <c r="Q16" s="188">
        <f>IF($O$11&lt;=$A16,ROUND(N16*(O$7/12),2),0)</f>
        <v>0</v>
      </c>
      <c r="R16" s="188">
        <f t="shared" ref="R16:R63" si="6">IF(O16=0,0,$T$9)</f>
        <v>0</v>
      </c>
      <c r="S16" s="188">
        <f t="shared" ref="S16:S62" si="7">IF(P16=0,0,$T$10)</f>
        <v>0</v>
      </c>
      <c r="T16" s="188">
        <f t="shared" ref="T16:T58" si="8">SUM(P16:S16)</f>
        <v>0</v>
      </c>
      <c r="U16" s="188">
        <f>+P16</f>
        <v>0</v>
      </c>
      <c r="V16" s="188">
        <f>+Q16</f>
        <v>0</v>
      </c>
      <c r="W16" s="188">
        <f>+N16-P16</f>
        <v>325710</v>
      </c>
      <c r="X16" s="395">
        <f>+A16</f>
        <v>45870</v>
      </c>
      <c r="Y16" s="188">
        <f>+AA6</f>
        <v>325710</v>
      </c>
      <c r="Z16" s="388">
        <f t="shared" ref="Z16:Z79" si="9">IF(L16&gt;4,$AA$10,$AA$9)</f>
        <v>8.4999999999999992E-2</v>
      </c>
      <c r="AA16" s="188">
        <f t="shared" ref="AA16:AA79" si="10">IF($O$11&lt;=$A16,IF(+AL15&lt;=0,0,IF(Z16=$AA$9,$Z$9,$Z$10)),0)</f>
        <v>0</v>
      </c>
      <c r="AB16" s="188">
        <f t="shared" ref="AB16:AB59" si="11">+AA16-AC16</f>
        <v>0</v>
      </c>
      <c r="AC16" s="188">
        <f t="shared" ref="AC16:AC79" si="12">IF($O$11&lt;=$A16,ROUND(Y16*(Z16/12),2),0)</f>
        <v>0</v>
      </c>
      <c r="AD16" s="188">
        <f t="shared" ref="AD16:AD60" si="13">IF(AA16=0,0,$T$9)</f>
        <v>0</v>
      </c>
      <c r="AE16" s="188">
        <f t="shared" ref="AE16:AE60" si="14">IF(AB16=0,0,$T$10)</f>
        <v>0</v>
      </c>
      <c r="AF16" s="188">
        <f t="shared" ref="AF16:AF60" si="15">SUM(AB16:AE16)</f>
        <v>0</v>
      </c>
      <c r="AG16" s="188">
        <v>0</v>
      </c>
      <c r="AH16" s="188">
        <v>0</v>
      </c>
      <c r="AI16" s="404">
        <f>SUM(AB16:AC16)-SUM(P16:Q16)</f>
        <v>0</v>
      </c>
      <c r="AJ16" s="404">
        <f t="shared" ref="AJ16:AJ79" si="16">+W16-AL16</f>
        <v>0</v>
      </c>
      <c r="AK16" s="404"/>
      <c r="AL16" s="188">
        <f t="shared" ref="AL16" si="17">+Y16-AB16</f>
        <v>325710</v>
      </c>
      <c r="AM16" s="317">
        <f>+L16</f>
        <v>0</v>
      </c>
      <c r="AN16" s="14">
        <f t="shared" ref="AN16:AN59" si="18">IF(O16=0,0,+O16-C16)</f>
        <v>0</v>
      </c>
      <c r="AO16" s="14">
        <f>IF(W16&lt;=0,0,+$O$5-$C$2+I16-U16+AV16)</f>
        <v>204371.155</v>
      </c>
      <c r="AP16" s="14">
        <f t="shared" ref="AP16:AP59" si="19">IF($O16=0,0,+AA16-$C16)</f>
        <v>0</v>
      </c>
      <c r="AS16" s="14">
        <f t="shared" ref="AS16:AS79" si="20">+AN16-AR16</f>
        <v>0</v>
      </c>
      <c r="AT16" s="14">
        <f>+AS16</f>
        <v>0</v>
      </c>
      <c r="AU16" s="188">
        <f>+O5*AQ2/12</f>
        <v>814.27499999999998</v>
      </c>
      <c r="AV16" s="188">
        <f>+AU16</f>
        <v>814.27499999999998</v>
      </c>
    </row>
    <row r="17" spans="1:48">
      <c r="A17" s="395">
        <f>IF(K17&lt;=0," ",+A16+30)</f>
        <v>45900</v>
      </c>
      <c r="B17" s="188">
        <f t="shared" ref="B17:B80" si="21">IF(+K16&lt;0,0,+K16)</f>
        <v>122613.29</v>
      </c>
      <c r="C17" s="14">
        <f t="shared" si="3"/>
        <v>559.88</v>
      </c>
      <c r="D17" s="14">
        <f>+C17-E17</f>
        <v>100.07999999999998</v>
      </c>
      <c r="E17" s="14">
        <f t="shared" si="4"/>
        <v>459.8</v>
      </c>
      <c r="I17" s="188">
        <f>$D17+$I16</f>
        <v>659.96</v>
      </c>
      <c r="J17" s="188">
        <f>$E17+$J16</f>
        <v>919.97</v>
      </c>
      <c r="K17" s="188">
        <f>+B17-D17</f>
        <v>122513.20999999999</v>
      </c>
      <c r="L17" s="317">
        <f t="shared" si="5"/>
        <v>0</v>
      </c>
      <c r="M17" s="317">
        <f>IF(N17&lt;&gt;"",IF(N17=$O$5,0,+M16+1),0)</f>
        <v>0</v>
      </c>
      <c r="N17" s="188">
        <f t="shared" ref="N17:N80" si="22">IF(+W16&lt;0,0,+W16)</f>
        <v>325710</v>
      </c>
      <c r="O17" s="188">
        <f>IF($O$11&lt;=A17,IF(+$W16&lt;=0,0,$O$8),0)</f>
        <v>0</v>
      </c>
      <c r="P17" s="188">
        <f>+O17-Q17</f>
        <v>0</v>
      </c>
      <c r="Q17" s="188">
        <f>IF($O$11&lt;=A17,ROUND(N17*($O$7/12),2),0)</f>
        <v>0</v>
      </c>
      <c r="R17" s="188">
        <f t="shared" si="6"/>
        <v>0</v>
      </c>
      <c r="S17" s="188">
        <f t="shared" si="7"/>
        <v>0</v>
      </c>
      <c r="T17" s="188">
        <f t="shared" si="8"/>
        <v>0</v>
      </c>
      <c r="U17" s="188">
        <f>+P17+U16</f>
        <v>0</v>
      </c>
      <c r="V17" s="188">
        <f>+V16+Q17</f>
        <v>0</v>
      </c>
      <c r="W17" s="188">
        <f>+N17-P17</f>
        <v>325710</v>
      </c>
      <c r="X17" s="395">
        <f t="shared" ref="X17:X80" si="23">+A17</f>
        <v>45900</v>
      </c>
      <c r="Y17" s="188">
        <f>IF(+AL16&lt;0,0,+AL16)</f>
        <v>325710</v>
      </c>
      <c r="Z17" s="388">
        <f t="shared" si="9"/>
        <v>8.4999999999999992E-2</v>
      </c>
      <c r="AA17" s="188">
        <f t="shared" si="10"/>
        <v>0</v>
      </c>
      <c r="AB17" s="188">
        <f t="shared" si="11"/>
        <v>0</v>
      </c>
      <c r="AC17" s="188">
        <f t="shared" si="12"/>
        <v>0</v>
      </c>
      <c r="AD17" s="188">
        <f t="shared" si="13"/>
        <v>0</v>
      </c>
      <c r="AE17" s="188">
        <f t="shared" si="14"/>
        <v>0</v>
      </c>
      <c r="AF17" s="188">
        <f t="shared" si="15"/>
        <v>0</v>
      </c>
      <c r="AG17" s="188">
        <f>+AB17+AG16</f>
        <v>0</v>
      </c>
      <c r="AH17" s="188">
        <f>+AH16+AC17</f>
        <v>0</v>
      </c>
      <c r="AI17" s="404">
        <f t="shared" ref="AI17:AI59" si="24">O17-AA17+AI16</f>
        <v>0</v>
      </c>
      <c r="AJ17" s="404">
        <f t="shared" si="16"/>
        <v>0</v>
      </c>
      <c r="AK17" s="404"/>
      <c r="AL17" s="188">
        <f>+Y17-AB17</f>
        <v>325710</v>
      </c>
      <c r="AM17" s="317">
        <f t="shared" ref="AM17:AM80" si="25">+L17</f>
        <v>0</v>
      </c>
      <c r="AN17" s="14">
        <f t="shared" si="18"/>
        <v>0</v>
      </c>
      <c r="AO17" s="14">
        <f>IF(W17&lt;=0,0,+$O$5-$C$2+I17-U17)</f>
        <v>203656.95999999999</v>
      </c>
      <c r="AP17" s="14">
        <f t="shared" si="19"/>
        <v>0</v>
      </c>
      <c r="AS17" s="14">
        <f t="shared" si="20"/>
        <v>0</v>
      </c>
      <c r="AT17" s="14">
        <f t="shared" ref="AT17:AT80" si="26">IF(W17&lt;=0,0,+AS17+AT16)</f>
        <v>0</v>
      </c>
      <c r="AU17" s="188">
        <f>IF(W17&lt;=0,0,+($O$5+AV16)*$AQ$2/12)</f>
        <v>816.31068749999997</v>
      </c>
      <c r="AV17" s="188">
        <f t="shared" ref="AV17:AV80" si="27">IF(W17&lt;=0,0,+AV16+AU17)</f>
        <v>1630.5856874999999</v>
      </c>
    </row>
    <row r="18" spans="1:48">
      <c r="A18" s="395">
        <f t="shared" ref="A18:A62" si="28">IF(K18&lt;=0," ",+A17+30)</f>
        <v>45930</v>
      </c>
      <c r="B18" s="188">
        <f t="shared" si="21"/>
        <v>122513.20999999999</v>
      </c>
      <c r="C18" s="14">
        <f t="shared" si="3"/>
        <v>559.88</v>
      </c>
      <c r="D18" s="14">
        <f t="shared" ref="D18:D81" si="29">+C18-E18</f>
        <v>100.45999999999998</v>
      </c>
      <c r="E18" s="14">
        <f t="shared" si="4"/>
        <v>459.42</v>
      </c>
      <c r="I18" s="188">
        <f t="shared" ref="I18:I32" si="30">$D18+$I17</f>
        <v>760.42000000000007</v>
      </c>
      <c r="J18" s="188">
        <f t="shared" ref="J18:J32" si="31">$E18+$J17</f>
        <v>1379.39</v>
      </c>
      <c r="K18" s="188">
        <f t="shared" ref="K18:K32" si="32">+B18-D18</f>
        <v>122412.74999999999</v>
      </c>
      <c r="L18" s="317">
        <f t="shared" si="5"/>
        <v>0</v>
      </c>
      <c r="M18" s="317">
        <f>IF(N18&lt;&gt;"",IF(N18=$O$5,0,+M17+1),0)</f>
        <v>0</v>
      </c>
      <c r="N18" s="188">
        <f t="shared" si="22"/>
        <v>325710</v>
      </c>
      <c r="O18" s="188">
        <f>IF($O$11&lt;=A18,IF(+$W17&lt;=0,0,$O$8),0)</f>
        <v>0</v>
      </c>
      <c r="P18" s="188">
        <f t="shared" ref="P18:P81" si="33">+O18-Q18</f>
        <v>0</v>
      </c>
      <c r="Q18" s="188">
        <f>IF($O$11&lt;=A18,ROUND(N18*($O$7/12),2),0)</f>
        <v>0</v>
      </c>
      <c r="R18" s="188">
        <f t="shared" si="6"/>
        <v>0</v>
      </c>
      <c r="S18" s="188">
        <f t="shared" si="7"/>
        <v>0</v>
      </c>
      <c r="T18" s="188">
        <f t="shared" si="8"/>
        <v>0</v>
      </c>
      <c r="U18" s="188">
        <f t="shared" ref="U18:U81" si="34">+P18+U17</f>
        <v>0</v>
      </c>
      <c r="V18" s="188">
        <f t="shared" ref="V18:V81" si="35">+V17+Q18</f>
        <v>0</v>
      </c>
      <c r="W18" s="188">
        <f t="shared" ref="W18:W62" si="36">+N18-P18</f>
        <v>325710</v>
      </c>
      <c r="X18" s="395">
        <f t="shared" si="23"/>
        <v>45930</v>
      </c>
      <c r="Y18" s="188">
        <f t="shared" ref="Y18:Y59" si="37">IF(+AL17&lt;0,0,+AL17)</f>
        <v>325710</v>
      </c>
      <c r="Z18" s="388">
        <f t="shared" si="9"/>
        <v>8.4999999999999992E-2</v>
      </c>
      <c r="AA18" s="188">
        <f t="shared" si="10"/>
        <v>0</v>
      </c>
      <c r="AB18" s="188">
        <f t="shared" si="11"/>
        <v>0</v>
      </c>
      <c r="AC18" s="188">
        <f t="shared" si="12"/>
        <v>0</v>
      </c>
      <c r="AD18" s="188">
        <f t="shared" si="13"/>
        <v>0</v>
      </c>
      <c r="AE18" s="188">
        <f t="shared" si="14"/>
        <v>0</v>
      </c>
      <c r="AF18" s="188">
        <f t="shared" si="15"/>
        <v>0</v>
      </c>
      <c r="AG18" s="188">
        <f t="shared" ref="AG18:AG59" si="38">+AB18+AG17</f>
        <v>0</v>
      </c>
      <c r="AH18" s="188">
        <f t="shared" ref="AH18:AH59" si="39">+AH17+AC18</f>
        <v>0</v>
      </c>
      <c r="AI18" s="404">
        <f t="shared" si="24"/>
        <v>0</v>
      </c>
      <c r="AJ18" s="404">
        <f t="shared" si="16"/>
        <v>0</v>
      </c>
      <c r="AK18" s="404"/>
      <c r="AL18" s="188">
        <f t="shared" ref="AL18:AL59" si="40">+Y18-AB18</f>
        <v>325710</v>
      </c>
      <c r="AM18" s="317">
        <f t="shared" si="25"/>
        <v>0</v>
      </c>
      <c r="AN18" s="14">
        <f t="shared" si="18"/>
        <v>0</v>
      </c>
      <c r="AO18" s="14">
        <f>IF(W18&lt;=0,0,+$O$5-$C$2+I18-U18)</f>
        <v>203757.42</v>
      </c>
      <c r="AP18" s="14">
        <f t="shared" si="19"/>
        <v>0</v>
      </c>
      <c r="AS18" s="14">
        <f t="shared" si="20"/>
        <v>0</v>
      </c>
      <c r="AT18" s="14">
        <f t="shared" si="26"/>
        <v>0</v>
      </c>
      <c r="AU18" s="188">
        <f>IF(W18&lt;=0,0,+($O$5+AV17)*$AQ$2/12)</f>
        <v>818.35146421875004</v>
      </c>
      <c r="AV18" s="188">
        <f t="shared" si="27"/>
        <v>2448.9371517187501</v>
      </c>
    </row>
    <row r="19" spans="1:48">
      <c r="A19" s="395">
        <f t="shared" si="28"/>
        <v>45960</v>
      </c>
      <c r="B19" s="188">
        <f t="shared" si="21"/>
        <v>122412.74999999999</v>
      </c>
      <c r="C19" s="14">
        <f t="shared" si="3"/>
        <v>559.88</v>
      </c>
      <c r="D19" s="14">
        <f t="shared" si="29"/>
        <v>100.82999999999998</v>
      </c>
      <c r="E19" s="14">
        <f t="shared" si="4"/>
        <v>459.05</v>
      </c>
      <c r="I19" s="188">
        <f t="shared" si="30"/>
        <v>861.25</v>
      </c>
      <c r="J19" s="188">
        <f t="shared" si="31"/>
        <v>1838.44</v>
      </c>
      <c r="K19" s="188">
        <f t="shared" si="32"/>
        <v>122311.91999999998</v>
      </c>
      <c r="L19" s="317">
        <f t="shared" si="5"/>
        <v>0</v>
      </c>
      <c r="M19" s="317">
        <f>IF(N19&lt;&gt;"",IF(N19=$O$5,0,+M18+1),0)</f>
        <v>0</v>
      </c>
      <c r="N19" s="188">
        <f t="shared" si="22"/>
        <v>325710</v>
      </c>
      <c r="O19" s="188">
        <f>IF($O$11&lt;=A19,IF(+$W18&lt;=0,0,$O$8),0)</f>
        <v>0</v>
      </c>
      <c r="P19" s="188">
        <f t="shared" si="33"/>
        <v>0</v>
      </c>
      <c r="Q19" s="188">
        <f>IF($O$11&lt;=A19,ROUND(N19*($O$7/12),2),0)</f>
        <v>0</v>
      </c>
      <c r="R19" s="188">
        <f t="shared" si="6"/>
        <v>0</v>
      </c>
      <c r="S19" s="188">
        <f t="shared" si="7"/>
        <v>0</v>
      </c>
      <c r="T19" s="188">
        <f t="shared" si="8"/>
        <v>0</v>
      </c>
      <c r="U19" s="188">
        <f t="shared" si="34"/>
        <v>0</v>
      </c>
      <c r="V19" s="188">
        <f t="shared" si="35"/>
        <v>0</v>
      </c>
      <c r="W19" s="188">
        <f t="shared" si="36"/>
        <v>325710</v>
      </c>
      <c r="X19" s="395">
        <f t="shared" si="23"/>
        <v>45960</v>
      </c>
      <c r="Y19" s="188">
        <f t="shared" si="37"/>
        <v>325710</v>
      </c>
      <c r="Z19" s="388">
        <f t="shared" si="9"/>
        <v>8.4999999999999992E-2</v>
      </c>
      <c r="AA19" s="188">
        <f t="shared" si="10"/>
        <v>0</v>
      </c>
      <c r="AB19" s="188">
        <f t="shared" si="11"/>
        <v>0</v>
      </c>
      <c r="AC19" s="188">
        <f t="shared" si="12"/>
        <v>0</v>
      </c>
      <c r="AD19" s="188">
        <f t="shared" si="13"/>
        <v>0</v>
      </c>
      <c r="AE19" s="188">
        <f t="shared" si="14"/>
        <v>0</v>
      </c>
      <c r="AF19" s="188">
        <f t="shared" si="15"/>
        <v>0</v>
      </c>
      <c r="AG19" s="188">
        <f t="shared" si="38"/>
        <v>0</v>
      </c>
      <c r="AH19" s="188">
        <f t="shared" si="39"/>
        <v>0</v>
      </c>
      <c r="AI19" s="404">
        <f t="shared" si="24"/>
        <v>0</v>
      </c>
      <c r="AJ19" s="404">
        <f t="shared" si="16"/>
        <v>0</v>
      </c>
      <c r="AK19" s="404"/>
      <c r="AL19" s="188">
        <f t="shared" si="40"/>
        <v>325710</v>
      </c>
      <c r="AM19" s="317">
        <f t="shared" si="25"/>
        <v>0</v>
      </c>
      <c r="AN19" s="14">
        <f t="shared" si="18"/>
        <v>0</v>
      </c>
      <c r="AO19" s="14">
        <f>IF(W19&lt;=0,0,+$O$5-$C$2+I19-U19)</f>
        <v>203858.25</v>
      </c>
      <c r="AP19" s="14">
        <f t="shared" si="19"/>
        <v>0</v>
      </c>
      <c r="AS19" s="14">
        <f t="shared" si="20"/>
        <v>0</v>
      </c>
      <c r="AT19" s="14">
        <f t="shared" si="26"/>
        <v>0</v>
      </c>
      <c r="AU19" s="188">
        <f>IF(W19&lt;=0,0,+($O$5+AV18)*$AQ$2/12)</f>
        <v>820.39734287929696</v>
      </c>
      <c r="AV19" s="188">
        <f t="shared" si="27"/>
        <v>3269.3344945980471</v>
      </c>
    </row>
    <row r="20" spans="1:48">
      <c r="A20" s="395">
        <f t="shared" si="28"/>
        <v>45990</v>
      </c>
      <c r="B20" s="188">
        <f t="shared" si="21"/>
        <v>122311.91999999998</v>
      </c>
      <c r="C20" s="14">
        <f t="shared" si="3"/>
        <v>559.88</v>
      </c>
      <c r="D20" s="14">
        <f t="shared" si="29"/>
        <v>101.20999999999998</v>
      </c>
      <c r="E20" s="14">
        <f t="shared" si="4"/>
        <v>458.67</v>
      </c>
      <c r="I20" s="188">
        <f t="shared" si="30"/>
        <v>962.46</v>
      </c>
      <c r="J20" s="188">
        <f t="shared" si="31"/>
        <v>2297.11</v>
      </c>
      <c r="K20" s="188">
        <f t="shared" si="32"/>
        <v>122210.70999999998</v>
      </c>
      <c r="L20" s="317">
        <f t="shared" si="5"/>
        <v>0</v>
      </c>
      <c r="M20" s="317">
        <f>IF(N20&lt;&gt;"",IF(N20=$O$5,0,+M19+1),0)</f>
        <v>0</v>
      </c>
      <c r="N20" s="188">
        <f t="shared" si="22"/>
        <v>325710</v>
      </c>
      <c r="O20" s="188">
        <f>IF($O$11&lt;=A20,IF(+$W19&lt;=0,0,$O$8),0)</f>
        <v>0</v>
      </c>
      <c r="P20" s="188">
        <f t="shared" si="33"/>
        <v>0</v>
      </c>
      <c r="Q20" s="188">
        <f>IF($O$11&lt;=A20,ROUND(N20*($O$7/12),2),0)</f>
        <v>0</v>
      </c>
      <c r="R20" s="188">
        <f t="shared" si="6"/>
        <v>0</v>
      </c>
      <c r="S20" s="188">
        <f t="shared" si="7"/>
        <v>0</v>
      </c>
      <c r="T20" s="188">
        <f t="shared" si="8"/>
        <v>0</v>
      </c>
      <c r="U20" s="188">
        <f t="shared" si="34"/>
        <v>0</v>
      </c>
      <c r="V20" s="188">
        <f t="shared" si="35"/>
        <v>0</v>
      </c>
      <c r="W20" s="188">
        <f t="shared" si="36"/>
        <v>325710</v>
      </c>
      <c r="X20" s="395">
        <f t="shared" si="23"/>
        <v>45990</v>
      </c>
      <c r="Y20" s="188">
        <f t="shared" si="37"/>
        <v>325710</v>
      </c>
      <c r="Z20" s="388">
        <f t="shared" si="9"/>
        <v>8.4999999999999992E-2</v>
      </c>
      <c r="AA20" s="188">
        <f t="shared" si="10"/>
        <v>0</v>
      </c>
      <c r="AB20" s="188">
        <f t="shared" si="11"/>
        <v>0</v>
      </c>
      <c r="AC20" s="188">
        <f t="shared" si="12"/>
        <v>0</v>
      </c>
      <c r="AD20" s="188">
        <f t="shared" si="13"/>
        <v>0</v>
      </c>
      <c r="AE20" s="188">
        <f t="shared" si="14"/>
        <v>0</v>
      </c>
      <c r="AF20" s="188">
        <f t="shared" si="15"/>
        <v>0</v>
      </c>
      <c r="AG20" s="188">
        <f t="shared" si="38"/>
        <v>0</v>
      </c>
      <c r="AH20" s="188">
        <f t="shared" si="39"/>
        <v>0</v>
      </c>
      <c r="AI20" s="404">
        <f t="shared" si="24"/>
        <v>0</v>
      </c>
      <c r="AJ20" s="404">
        <f t="shared" si="16"/>
        <v>0</v>
      </c>
      <c r="AK20" s="404"/>
      <c r="AL20" s="188">
        <f t="shared" si="40"/>
        <v>325710</v>
      </c>
      <c r="AM20" s="317">
        <f t="shared" si="25"/>
        <v>0</v>
      </c>
      <c r="AN20" s="14">
        <f t="shared" si="18"/>
        <v>0</v>
      </c>
      <c r="AO20" s="14">
        <f>IF(W20&lt;=0,0,+$O$5-$C$2+I20-U20)</f>
        <v>203959.46</v>
      </c>
      <c r="AP20" s="14">
        <f t="shared" si="19"/>
        <v>0</v>
      </c>
      <c r="AS20" s="14">
        <f t="shared" si="20"/>
        <v>0</v>
      </c>
      <c r="AT20" s="14">
        <f t="shared" si="26"/>
        <v>0</v>
      </c>
      <c r="AU20" s="188">
        <f>IF(W20&lt;=0,0,+($O$5+AV19)*$AQ$2/12)</f>
        <v>822.44833623649504</v>
      </c>
      <c r="AV20" s="188">
        <f t="shared" si="27"/>
        <v>4091.782830834542</v>
      </c>
    </row>
    <row r="21" spans="1:48">
      <c r="A21" s="395">
        <f t="shared" si="28"/>
        <v>46020</v>
      </c>
      <c r="B21" s="188">
        <f t="shared" si="21"/>
        <v>122210.70999999998</v>
      </c>
      <c r="C21" s="14">
        <f t="shared" si="3"/>
        <v>559.88</v>
      </c>
      <c r="D21" s="14">
        <f t="shared" si="29"/>
        <v>101.58999999999997</v>
      </c>
      <c r="E21" s="14">
        <f t="shared" si="4"/>
        <v>458.29</v>
      </c>
      <c r="I21" s="188">
        <f t="shared" si="30"/>
        <v>1064.05</v>
      </c>
      <c r="J21" s="188">
        <f t="shared" si="31"/>
        <v>2755.4</v>
      </c>
      <c r="K21" s="188">
        <f t="shared" si="32"/>
        <v>122109.11999999998</v>
      </c>
      <c r="L21" s="317">
        <f t="shared" si="5"/>
        <v>0</v>
      </c>
      <c r="M21" s="317">
        <f>IF(N21&lt;&gt;"",IF(N21=$O$5,0,+M20+1),0)</f>
        <v>0</v>
      </c>
      <c r="N21" s="188">
        <f t="shared" si="22"/>
        <v>325710</v>
      </c>
      <c r="O21" s="188">
        <f>IF($O$11&lt;=A21,IF(+$W20&lt;=0,0,$O$8),0)</f>
        <v>0</v>
      </c>
      <c r="P21" s="188">
        <f t="shared" si="33"/>
        <v>0</v>
      </c>
      <c r="Q21" s="188">
        <f>IF($O$11&lt;=A21,ROUND(N21*($O$7/12),2),0)</f>
        <v>0</v>
      </c>
      <c r="R21" s="188">
        <f t="shared" si="6"/>
        <v>0</v>
      </c>
      <c r="S21" s="188">
        <f t="shared" si="7"/>
        <v>0</v>
      </c>
      <c r="T21" s="188">
        <f t="shared" si="8"/>
        <v>0</v>
      </c>
      <c r="U21" s="188">
        <f t="shared" si="34"/>
        <v>0</v>
      </c>
      <c r="V21" s="188">
        <f t="shared" si="35"/>
        <v>0</v>
      </c>
      <c r="W21" s="188">
        <f t="shared" si="36"/>
        <v>325710</v>
      </c>
      <c r="X21" s="395">
        <f t="shared" si="23"/>
        <v>46020</v>
      </c>
      <c r="Y21" s="188">
        <f t="shared" si="37"/>
        <v>325710</v>
      </c>
      <c r="Z21" s="388">
        <f t="shared" si="9"/>
        <v>8.4999999999999992E-2</v>
      </c>
      <c r="AA21" s="188">
        <f t="shared" si="10"/>
        <v>0</v>
      </c>
      <c r="AB21" s="188">
        <f t="shared" si="11"/>
        <v>0</v>
      </c>
      <c r="AC21" s="188">
        <f t="shared" si="12"/>
        <v>0</v>
      </c>
      <c r="AD21" s="188">
        <f t="shared" si="13"/>
        <v>0</v>
      </c>
      <c r="AE21" s="188">
        <f t="shared" si="14"/>
        <v>0</v>
      </c>
      <c r="AF21" s="188">
        <f t="shared" si="15"/>
        <v>0</v>
      </c>
      <c r="AG21" s="188">
        <f t="shared" si="38"/>
        <v>0</v>
      </c>
      <c r="AH21" s="188">
        <f t="shared" si="39"/>
        <v>0</v>
      </c>
      <c r="AI21" s="404">
        <f t="shared" si="24"/>
        <v>0</v>
      </c>
      <c r="AJ21" s="404">
        <f t="shared" si="16"/>
        <v>0</v>
      </c>
      <c r="AK21" s="404"/>
      <c r="AL21" s="188">
        <f t="shared" si="40"/>
        <v>325710</v>
      </c>
      <c r="AM21" s="317">
        <f t="shared" si="25"/>
        <v>0</v>
      </c>
      <c r="AN21" s="14">
        <f t="shared" si="18"/>
        <v>0</v>
      </c>
      <c r="AO21" s="14">
        <f>IF(W21&lt;=0,0,+$O$5-$C$2+I21-U21)</f>
        <v>204061.05</v>
      </c>
      <c r="AP21" s="14">
        <f t="shared" si="19"/>
        <v>0</v>
      </c>
      <c r="AS21" s="14">
        <f t="shared" si="20"/>
        <v>0</v>
      </c>
      <c r="AT21" s="14">
        <f t="shared" si="26"/>
        <v>0</v>
      </c>
      <c r="AU21" s="188">
        <f>IF(W21&lt;=0,0,+($O$5+AV20)*$AQ$2/12)</f>
        <v>824.50445707708639</v>
      </c>
      <c r="AV21" s="188">
        <f t="shared" si="27"/>
        <v>4916.2872879116285</v>
      </c>
    </row>
    <row r="22" spans="1:48">
      <c r="A22" s="395">
        <f t="shared" si="28"/>
        <v>46050</v>
      </c>
      <c r="B22" s="188">
        <f t="shared" si="21"/>
        <v>122109.11999999998</v>
      </c>
      <c r="C22" s="14">
        <f t="shared" si="3"/>
        <v>559.88</v>
      </c>
      <c r="D22" s="14">
        <f t="shared" si="29"/>
        <v>101.96999999999997</v>
      </c>
      <c r="E22" s="14">
        <f t="shared" si="4"/>
        <v>457.91</v>
      </c>
      <c r="I22" s="188">
        <f t="shared" si="30"/>
        <v>1166.02</v>
      </c>
      <c r="J22" s="188">
        <f t="shared" si="31"/>
        <v>3213.31</v>
      </c>
      <c r="K22" s="188">
        <f t="shared" si="32"/>
        <v>122007.14999999998</v>
      </c>
      <c r="L22" s="317">
        <f t="shared" si="5"/>
        <v>0</v>
      </c>
      <c r="M22" s="317">
        <f>IF(N22&lt;&gt;"",IF(N22=$O$5,0,+M21+1),0)</f>
        <v>0</v>
      </c>
      <c r="N22" s="188">
        <f t="shared" si="22"/>
        <v>325710</v>
      </c>
      <c r="O22" s="188">
        <f>IF($O$11&lt;=A22,IF(+$W21&lt;=0,0,$O$8),0)</f>
        <v>0</v>
      </c>
      <c r="P22" s="188">
        <f t="shared" si="33"/>
        <v>0</v>
      </c>
      <c r="Q22" s="188">
        <f>IF($O$11&lt;=A22,ROUND(N22*($O$7/12),2),0)</f>
        <v>0</v>
      </c>
      <c r="R22" s="188">
        <f t="shared" si="6"/>
        <v>0</v>
      </c>
      <c r="S22" s="188">
        <f t="shared" si="7"/>
        <v>0</v>
      </c>
      <c r="T22" s="188">
        <f t="shared" si="8"/>
        <v>0</v>
      </c>
      <c r="U22" s="188">
        <f t="shared" si="34"/>
        <v>0</v>
      </c>
      <c r="V22" s="188">
        <f t="shared" si="35"/>
        <v>0</v>
      </c>
      <c r="W22" s="188">
        <f t="shared" si="36"/>
        <v>325710</v>
      </c>
      <c r="X22" s="395">
        <f t="shared" si="23"/>
        <v>46050</v>
      </c>
      <c r="Y22" s="188">
        <f t="shared" si="37"/>
        <v>325710</v>
      </c>
      <c r="Z22" s="388">
        <f t="shared" si="9"/>
        <v>8.4999999999999992E-2</v>
      </c>
      <c r="AA22" s="188">
        <f t="shared" si="10"/>
        <v>0</v>
      </c>
      <c r="AB22" s="188">
        <f t="shared" si="11"/>
        <v>0</v>
      </c>
      <c r="AC22" s="188">
        <f t="shared" si="12"/>
        <v>0</v>
      </c>
      <c r="AD22" s="188">
        <f t="shared" si="13"/>
        <v>0</v>
      </c>
      <c r="AE22" s="188">
        <f t="shared" si="14"/>
        <v>0</v>
      </c>
      <c r="AF22" s="188">
        <f t="shared" si="15"/>
        <v>0</v>
      </c>
      <c r="AG22" s="188">
        <f t="shared" si="38"/>
        <v>0</v>
      </c>
      <c r="AH22" s="188">
        <f t="shared" si="39"/>
        <v>0</v>
      </c>
      <c r="AI22" s="404">
        <f t="shared" si="24"/>
        <v>0</v>
      </c>
      <c r="AJ22" s="404">
        <f t="shared" si="16"/>
        <v>0</v>
      </c>
      <c r="AK22" s="404"/>
      <c r="AL22" s="188">
        <f t="shared" si="40"/>
        <v>325710</v>
      </c>
      <c r="AM22" s="317">
        <f t="shared" si="25"/>
        <v>0</v>
      </c>
      <c r="AN22" s="14">
        <f t="shared" si="18"/>
        <v>0</v>
      </c>
      <c r="AO22" s="14">
        <f>IF(W22&lt;=0,0,+$O$5-$C$2+I22-U22)</f>
        <v>204163.02</v>
      </c>
      <c r="AP22" s="14">
        <f t="shared" si="19"/>
        <v>0</v>
      </c>
      <c r="AS22" s="14">
        <f t="shared" si="20"/>
        <v>0</v>
      </c>
      <c r="AT22" s="14">
        <f t="shared" si="26"/>
        <v>0</v>
      </c>
      <c r="AU22" s="188">
        <f>IF(W22&lt;=0,0,+($O$5+AV21)*$AQ$2/12)</f>
        <v>826.56571821977911</v>
      </c>
      <c r="AV22" s="188">
        <f t="shared" si="27"/>
        <v>5742.8530061314077</v>
      </c>
    </row>
    <row r="23" spans="1:48">
      <c r="A23" s="395">
        <f t="shared" si="28"/>
        <v>46080</v>
      </c>
      <c r="B23" s="188">
        <f t="shared" si="21"/>
        <v>122007.14999999998</v>
      </c>
      <c r="C23" s="14">
        <f t="shared" si="3"/>
        <v>559.88</v>
      </c>
      <c r="D23" s="14">
        <f t="shared" si="29"/>
        <v>102.35000000000002</v>
      </c>
      <c r="E23" s="14">
        <f t="shared" si="4"/>
        <v>457.53</v>
      </c>
      <c r="I23" s="188">
        <f t="shared" si="30"/>
        <v>1268.3699999999999</v>
      </c>
      <c r="J23" s="188">
        <f t="shared" si="31"/>
        <v>3670.84</v>
      </c>
      <c r="K23" s="188">
        <f t="shared" si="32"/>
        <v>121904.79999999997</v>
      </c>
      <c r="L23" s="317">
        <f t="shared" si="5"/>
        <v>0</v>
      </c>
      <c r="M23" s="317">
        <f>IF(N23&lt;&gt;"",IF(N23=$O$5,0,+M22+1),0)</f>
        <v>0</v>
      </c>
      <c r="N23" s="188">
        <f t="shared" si="22"/>
        <v>325710</v>
      </c>
      <c r="O23" s="188">
        <f>IF($O$11&lt;=A23,IF(+$W22&lt;=0,0,$O$8),0)</f>
        <v>0</v>
      </c>
      <c r="P23" s="188">
        <f t="shared" si="33"/>
        <v>0</v>
      </c>
      <c r="Q23" s="188">
        <f>IF($O$11&lt;=A23,ROUND(N23*($O$7/12),2),0)</f>
        <v>0</v>
      </c>
      <c r="R23" s="188">
        <f t="shared" si="6"/>
        <v>0</v>
      </c>
      <c r="S23" s="188">
        <f t="shared" si="7"/>
        <v>0</v>
      </c>
      <c r="T23" s="188">
        <f t="shared" si="8"/>
        <v>0</v>
      </c>
      <c r="U23" s="188">
        <f t="shared" si="34"/>
        <v>0</v>
      </c>
      <c r="V23" s="188">
        <f t="shared" si="35"/>
        <v>0</v>
      </c>
      <c r="W23" s="188">
        <f t="shared" si="36"/>
        <v>325710</v>
      </c>
      <c r="X23" s="395">
        <f t="shared" si="23"/>
        <v>46080</v>
      </c>
      <c r="Y23" s="188">
        <f t="shared" si="37"/>
        <v>325710</v>
      </c>
      <c r="Z23" s="388">
        <f t="shared" si="9"/>
        <v>8.4999999999999992E-2</v>
      </c>
      <c r="AA23" s="188">
        <f t="shared" si="10"/>
        <v>0</v>
      </c>
      <c r="AB23" s="188">
        <f t="shared" si="11"/>
        <v>0</v>
      </c>
      <c r="AC23" s="188">
        <f t="shared" si="12"/>
        <v>0</v>
      </c>
      <c r="AD23" s="188">
        <f t="shared" si="13"/>
        <v>0</v>
      </c>
      <c r="AE23" s="188">
        <f t="shared" si="14"/>
        <v>0</v>
      </c>
      <c r="AF23" s="188">
        <f t="shared" si="15"/>
        <v>0</v>
      </c>
      <c r="AG23" s="188">
        <f t="shared" si="38"/>
        <v>0</v>
      </c>
      <c r="AH23" s="188">
        <f t="shared" si="39"/>
        <v>0</v>
      </c>
      <c r="AI23" s="404">
        <f t="shared" si="24"/>
        <v>0</v>
      </c>
      <c r="AJ23" s="404">
        <f t="shared" si="16"/>
        <v>0</v>
      </c>
      <c r="AK23" s="404"/>
      <c r="AL23" s="188">
        <f t="shared" si="40"/>
        <v>325710</v>
      </c>
      <c r="AM23" s="317">
        <f t="shared" si="25"/>
        <v>0</v>
      </c>
      <c r="AN23" s="14">
        <f t="shared" si="18"/>
        <v>0</v>
      </c>
      <c r="AO23" s="14">
        <f>IF(W23&lt;=0,0,+$O$5-$C$2+I23-U23)</f>
        <v>204265.37</v>
      </c>
      <c r="AP23" s="14">
        <f t="shared" si="19"/>
        <v>0</v>
      </c>
      <c r="AS23" s="14">
        <f t="shared" si="20"/>
        <v>0</v>
      </c>
      <c r="AT23" s="14">
        <f t="shared" si="26"/>
        <v>0</v>
      </c>
      <c r="AU23" s="188">
        <f>IF(W23&lt;=0,0,+($O$5+AV22)*$AQ$2/12)</f>
        <v>828.63213251532852</v>
      </c>
      <c r="AV23" s="188">
        <f t="shared" si="27"/>
        <v>6571.4851386467362</v>
      </c>
    </row>
    <row r="24" spans="1:48">
      <c r="A24" s="395">
        <f t="shared" si="28"/>
        <v>46110</v>
      </c>
      <c r="B24" s="188">
        <f t="shared" si="21"/>
        <v>121904.79999999997</v>
      </c>
      <c r="C24" s="14">
        <f t="shared" si="3"/>
        <v>559.88</v>
      </c>
      <c r="D24" s="14">
        <f t="shared" si="29"/>
        <v>102.74000000000001</v>
      </c>
      <c r="E24" s="14">
        <f t="shared" si="4"/>
        <v>457.14</v>
      </c>
      <c r="I24" s="188">
        <f t="shared" si="30"/>
        <v>1371.11</v>
      </c>
      <c r="J24" s="188">
        <f t="shared" si="31"/>
        <v>4127.9800000000005</v>
      </c>
      <c r="K24" s="188">
        <f t="shared" si="32"/>
        <v>121802.05999999997</v>
      </c>
      <c r="L24" s="317">
        <f t="shared" si="5"/>
        <v>0</v>
      </c>
      <c r="M24" s="317">
        <f>IF(N24&lt;&gt;"",IF(N24=$O$5,0,+M23+1),0)</f>
        <v>0</v>
      </c>
      <c r="N24" s="188">
        <f t="shared" si="22"/>
        <v>325710</v>
      </c>
      <c r="O24" s="188">
        <f>IF($O$11&lt;=A24,IF(+$W23&lt;=0,0,$O$8),0)</f>
        <v>0</v>
      </c>
      <c r="P24" s="188">
        <f t="shared" si="33"/>
        <v>0</v>
      </c>
      <c r="Q24" s="188">
        <f>IF($O$11&lt;=A24,ROUND(N24*($O$7/12),2),0)</f>
        <v>0</v>
      </c>
      <c r="R24" s="188">
        <f t="shared" si="6"/>
        <v>0</v>
      </c>
      <c r="S24" s="188">
        <f t="shared" si="7"/>
        <v>0</v>
      </c>
      <c r="T24" s="188">
        <f t="shared" si="8"/>
        <v>0</v>
      </c>
      <c r="U24" s="188">
        <f t="shared" si="34"/>
        <v>0</v>
      </c>
      <c r="V24" s="188">
        <f t="shared" si="35"/>
        <v>0</v>
      </c>
      <c r="W24" s="188">
        <f t="shared" si="36"/>
        <v>325710</v>
      </c>
      <c r="X24" s="395">
        <f t="shared" si="23"/>
        <v>46110</v>
      </c>
      <c r="Y24" s="188">
        <f t="shared" si="37"/>
        <v>325710</v>
      </c>
      <c r="Z24" s="388">
        <f t="shared" si="9"/>
        <v>8.4999999999999992E-2</v>
      </c>
      <c r="AA24" s="188">
        <f t="shared" si="10"/>
        <v>0</v>
      </c>
      <c r="AB24" s="188">
        <f t="shared" si="11"/>
        <v>0</v>
      </c>
      <c r="AC24" s="188">
        <f t="shared" si="12"/>
        <v>0</v>
      </c>
      <c r="AD24" s="188">
        <f t="shared" si="13"/>
        <v>0</v>
      </c>
      <c r="AE24" s="188">
        <f t="shared" si="14"/>
        <v>0</v>
      </c>
      <c r="AF24" s="188">
        <f t="shared" si="15"/>
        <v>0</v>
      </c>
      <c r="AG24" s="188">
        <f t="shared" si="38"/>
        <v>0</v>
      </c>
      <c r="AH24" s="188">
        <f t="shared" si="39"/>
        <v>0</v>
      </c>
      <c r="AI24" s="404">
        <f t="shared" si="24"/>
        <v>0</v>
      </c>
      <c r="AJ24" s="404">
        <f t="shared" si="16"/>
        <v>0</v>
      </c>
      <c r="AK24" s="404"/>
      <c r="AL24" s="188">
        <f t="shared" si="40"/>
        <v>325710</v>
      </c>
      <c r="AM24" s="317">
        <f t="shared" si="25"/>
        <v>0</v>
      </c>
      <c r="AN24" s="14">
        <f t="shared" si="18"/>
        <v>0</v>
      </c>
      <c r="AO24" s="14">
        <f>IF(W24&lt;=0,0,+$O$5-$C$2+I24-U24)</f>
        <v>204368.11</v>
      </c>
      <c r="AP24" s="14">
        <f t="shared" si="19"/>
        <v>0</v>
      </c>
      <c r="AS24" s="14">
        <f t="shared" si="20"/>
        <v>0</v>
      </c>
      <c r="AT24" s="14">
        <f t="shared" si="26"/>
        <v>0</v>
      </c>
      <c r="AU24" s="188">
        <f>IF(W24&lt;=0,0,+($O$5+AV23)*$AQ$2/12)</f>
        <v>830.70371284661678</v>
      </c>
      <c r="AV24" s="188">
        <f t="shared" si="27"/>
        <v>7402.1888514933526</v>
      </c>
    </row>
    <row r="25" spans="1:48">
      <c r="A25" s="395">
        <f t="shared" si="28"/>
        <v>46140</v>
      </c>
      <c r="B25" s="188">
        <f t="shared" si="21"/>
        <v>121802.05999999997</v>
      </c>
      <c r="C25" s="14">
        <f t="shared" si="3"/>
        <v>559.88</v>
      </c>
      <c r="D25" s="14">
        <f t="shared" si="29"/>
        <v>103.12</v>
      </c>
      <c r="E25" s="14">
        <f t="shared" si="4"/>
        <v>456.76</v>
      </c>
      <c r="I25" s="188">
        <f t="shared" si="30"/>
        <v>1474.23</v>
      </c>
      <c r="J25" s="188">
        <f t="shared" si="31"/>
        <v>4584.7400000000007</v>
      </c>
      <c r="K25" s="188">
        <f t="shared" si="32"/>
        <v>121698.93999999997</v>
      </c>
      <c r="L25" s="317">
        <f t="shared" si="5"/>
        <v>0</v>
      </c>
      <c r="M25" s="317">
        <f>IF(N25&lt;&gt;"",IF(N25=$O$5,0,+M24+1),0)</f>
        <v>0</v>
      </c>
      <c r="N25" s="188">
        <f t="shared" si="22"/>
        <v>325710</v>
      </c>
      <c r="O25" s="188">
        <f>IF($O$11&lt;=A25,IF(+$W24&lt;=0,0,$O$8),0)</f>
        <v>0</v>
      </c>
      <c r="P25" s="188">
        <f t="shared" si="33"/>
        <v>0</v>
      </c>
      <c r="Q25" s="188">
        <f>IF($O$11&lt;=A25,ROUND(N25*($O$7/12),2),0)</f>
        <v>0</v>
      </c>
      <c r="R25" s="188">
        <f t="shared" si="6"/>
        <v>0</v>
      </c>
      <c r="S25" s="188">
        <f t="shared" si="7"/>
        <v>0</v>
      </c>
      <c r="T25" s="188">
        <f t="shared" si="8"/>
        <v>0</v>
      </c>
      <c r="U25" s="188">
        <f t="shared" si="34"/>
        <v>0</v>
      </c>
      <c r="V25" s="188">
        <f t="shared" si="35"/>
        <v>0</v>
      </c>
      <c r="W25" s="188">
        <f t="shared" si="36"/>
        <v>325710</v>
      </c>
      <c r="X25" s="395">
        <f t="shared" si="23"/>
        <v>46140</v>
      </c>
      <c r="Y25" s="188">
        <f t="shared" si="37"/>
        <v>325710</v>
      </c>
      <c r="Z25" s="388">
        <f t="shared" si="9"/>
        <v>8.4999999999999992E-2</v>
      </c>
      <c r="AA25" s="188">
        <f t="shared" si="10"/>
        <v>0</v>
      </c>
      <c r="AB25" s="188">
        <f t="shared" si="11"/>
        <v>0</v>
      </c>
      <c r="AC25" s="188">
        <f t="shared" si="12"/>
        <v>0</v>
      </c>
      <c r="AD25" s="188">
        <f t="shared" si="13"/>
        <v>0</v>
      </c>
      <c r="AE25" s="188">
        <f t="shared" si="14"/>
        <v>0</v>
      </c>
      <c r="AF25" s="188">
        <f t="shared" si="15"/>
        <v>0</v>
      </c>
      <c r="AG25" s="188">
        <f t="shared" si="38"/>
        <v>0</v>
      </c>
      <c r="AH25" s="188">
        <f t="shared" si="39"/>
        <v>0</v>
      </c>
      <c r="AI25" s="404">
        <f t="shared" si="24"/>
        <v>0</v>
      </c>
      <c r="AJ25" s="404">
        <f t="shared" si="16"/>
        <v>0</v>
      </c>
      <c r="AK25" s="404"/>
      <c r="AL25" s="188">
        <f t="shared" si="40"/>
        <v>325710</v>
      </c>
      <c r="AM25" s="317">
        <f t="shared" si="25"/>
        <v>0</v>
      </c>
      <c r="AN25" s="14">
        <f t="shared" si="18"/>
        <v>0</v>
      </c>
      <c r="AO25" s="14">
        <f>IF(W25&lt;=0,0,+$O$5-$C$2+I25-U25)</f>
        <v>204471.23</v>
      </c>
      <c r="AP25" s="14">
        <f t="shared" si="19"/>
        <v>0</v>
      </c>
      <c r="AS25" s="14">
        <f t="shared" si="20"/>
        <v>0</v>
      </c>
      <c r="AT25" s="14">
        <f t="shared" si="26"/>
        <v>0</v>
      </c>
      <c r="AU25" s="188">
        <f>IF(W25&lt;=0,0,+($O$5+AV24)*$AQ$2/12)</f>
        <v>832.78047212873332</v>
      </c>
      <c r="AV25" s="188">
        <f t="shared" si="27"/>
        <v>8234.9693236220864</v>
      </c>
    </row>
    <row r="26" spans="1:48">
      <c r="A26" s="395">
        <f t="shared" si="28"/>
        <v>46170</v>
      </c>
      <c r="B26" s="188">
        <f t="shared" si="21"/>
        <v>121698.93999999997</v>
      </c>
      <c r="C26" s="14">
        <f t="shared" si="3"/>
        <v>559.88</v>
      </c>
      <c r="D26" s="14">
        <f t="shared" si="29"/>
        <v>103.50999999999999</v>
      </c>
      <c r="E26" s="14">
        <f t="shared" si="4"/>
        <v>456.37</v>
      </c>
      <c r="I26" s="188">
        <f t="shared" si="30"/>
        <v>1577.74</v>
      </c>
      <c r="J26" s="188">
        <f t="shared" si="31"/>
        <v>5041.1100000000006</v>
      </c>
      <c r="K26" s="188">
        <f t="shared" si="32"/>
        <v>121595.42999999998</v>
      </c>
      <c r="L26" s="317">
        <f t="shared" si="5"/>
        <v>0</v>
      </c>
      <c r="M26" s="317">
        <f>IF(N26&lt;&gt;"",IF(N26=$O$5,0,+M25+1),0)</f>
        <v>0</v>
      </c>
      <c r="N26" s="188">
        <f t="shared" si="22"/>
        <v>325710</v>
      </c>
      <c r="O26" s="188">
        <f>IF($O$11&lt;=A26,IF(+$W25&lt;=0,0,$O$8),0)</f>
        <v>0</v>
      </c>
      <c r="P26" s="188">
        <f t="shared" si="33"/>
        <v>0</v>
      </c>
      <c r="Q26" s="188">
        <f>IF($O$11&lt;=A26,ROUND(N26*($O$7/12),2),0)</f>
        <v>0</v>
      </c>
      <c r="R26" s="188">
        <f t="shared" si="6"/>
        <v>0</v>
      </c>
      <c r="S26" s="188">
        <f t="shared" si="7"/>
        <v>0</v>
      </c>
      <c r="T26" s="188">
        <f t="shared" si="8"/>
        <v>0</v>
      </c>
      <c r="U26" s="188">
        <f t="shared" si="34"/>
        <v>0</v>
      </c>
      <c r="V26" s="188">
        <f t="shared" si="35"/>
        <v>0</v>
      </c>
      <c r="W26" s="188">
        <f t="shared" si="36"/>
        <v>325710</v>
      </c>
      <c r="X26" s="395">
        <f t="shared" si="23"/>
        <v>46170</v>
      </c>
      <c r="Y26" s="188">
        <f t="shared" si="37"/>
        <v>325710</v>
      </c>
      <c r="Z26" s="388">
        <f t="shared" si="9"/>
        <v>8.4999999999999992E-2</v>
      </c>
      <c r="AA26" s="188">
        <f t="shared" si="10"/>
        <v>0</v>
      </c>
      <c r="AB26" s="188">
        <f t="shared" si="11"/>
        <v>0</v>
      </c>
      <c r="AC26" s="188">
        <f t="shared" si="12"/>
        <v>0</v>
      </c>
      <c r="AD26" s="188">
        <f t="shared" si="13"/>
        <v>0</v>
      </c>
      <c r="AE26" s="188">
        <f t="shared" si="14"/>
        <v>0</v>
      </c>
      <c r="AF26" s="188">
        <f t="shared" si="15"/>
        <v>0</v>
      </c>
      <c r="AG26" s="188">
        <f t="shared" si="38"/>
        <v>0</v>
      </c>
      <c r="AH26" s="188">
        <f t="shared" si="39"/>
        <v>0</v>
      </c>
      <c r="AI26" s="404">
        <f t="shared" si="24"/>
        <v>0</v>
      </c>
      <c r="AJ26" s="404">
        <f t="shared" si="16"/>
        <v>0</v>
      </c>
      <c r="AK26" s="404"/>
      <c r="AL26" s="188">
        <f t="shared" si="40"/>
        <v>325710</v>
      </c>
      <c r="AM26" s="317">
        <f t="shared" si="25"/>
        <v>0</v>
      </c>
      <c r="AN26" s="14">
        <f t="shared" si="18"/>
        <v>0</v>
      </c>
      <c r="AO26" s="14">
        <f>IF(W26&lt;=0,0,+$O$5-$C$2+I26-U26)</f>
        <v>204574.74</v>
      </c>
      <c r="AP26" s="14">
        <f t="shared" si="19"/>
        <v>0</v>
      </c>
      <c r="AS26" s="14">
        <f t="shared" si="20"/>
        <v>0</v>
      </c>
      <c r="AT26" s="14">
        <f t="shared" si="26"/>
        <v>0</v>
      </c>
      <c r="AU26" s="188">
        <f>IF(W26&lt;=0,0,+($O$5+AV25)*$AQ$2/12)</f>
        <v>834.86242330905509</v>
      </c>
      <c r="AV26" s="188">
        <f t="shared" si="27"/>
        <v>9069.8317469311423</v>
      </c>
    </row>
    <row r="27" spans="1:48" ht="15.75" thickBot="1">
      <c r="A27" s="398">
        <f t="shared" si="28"/>
        <v>46200</v>
      </c>
      <c r="B27" s="237">
        <f t="shared" si="21"/>
        <v>121595.42999999998</v>
      </c>
      <c r="C27" s="21">
        <f t="shared" si="3"/>
        <v>559.88</v>
      </c>
      <c r="D27" s="21">
        <f t="shared" si="29"/>
        <v>103.89999999999998</v>
      </c>
      <c r="E27" s="21">
        <f t="shared" si="4"/>
        <v>455.98</v>
      </c>
      <c r="F27" s="21"/>
      <c r="G27" s="21"/>
      <c r="H27" s="21"/>
      <c r="I27" s="237">
        <f t="shared" si="30"/>
        <v>1681.6399999999999</v>
      </c>
      <c r="J27" s="237">
        <f t="shared" si="31"/>
        <v>5497.09</v>
      </c>
      <c r="K27" s="237">
        <f t="shared" si="32"/>
        <v>121491.52999999998</v>
      </c>
      <c r="L27" s="318">
        <f t="shared" si="5"/>
        <v>0</v>
      </c>
      <c r="M27" s="318">
        <f>IF(N27&lt;&gt;"",IF(N27=$O$5,0,+M26+1),0)</f>
        <v>0</v>
      </c>
      <c r="N27" s="237">
        <f t="shared" si="22"/>
        <v>325710</v>
      </c>
      <c r="O27" s="237">
        <f>IF($O$11&lt;=A27,IF(+$W26&lt;=0,0,$O$8),0)</f>
        <v>0</v>
      </c>
      <c r="P27" s="237">
        <f t="shared" si="33"/>
        <v>0</v>
      </c>
      <c r="Q27" s="237">
        <f>IF($O$11&lt;=A27,ROUND(N27*($O$7/12),2),0)</f>
        <v>0</v>
      </c>
      <c r="R27" s="237">
        <f t="shared" si="6"/>
        <v>0</v>
      </c>
      <c r="S27" s="237">
        <f t="shared" si="7"/>
        <v>0</v>
      </c>
      <c r="T27" s="237">
        <f t="shared" si="8"/>
        <v>0</v>
      </c>
      <c r="U27" s="237">
        <f t="shared" si="34"/>
        <v>0</v>
      </c>
      <c r="V27" s="237">
        <f t="shared" si="35"/>
        <v>0</v>
      </c>
      <c r="W27" s="237">
        <f t="shared" si="36"/>
        <v>325710</v>
      </c>
      <c r="X27" s="398">
        <f t="shared" si="23"/>
        <v>46200</v>
      </c>
      <c r="Y27" s="237">
        <f t="shared" si="37"/>
        <v>325710</v>
      </c>
      <c r="Z27" s="389">
        <f t="shared" si="9"/>
        <v>8.4999999999999992E-2</v>
      </c>
      <c r="AA27" s="237">
        <f t="shared" si="10"/>
        <v>0</v>
      </c>
      <c r="AB27" s="237">
        <f t="shared" si="11"/>
        <v>0</v>
      </c>
      <c r="AC27" s="237">
        <f t="shared" si="12"/>
        <v>0</v>
      </c>
      <c r="AD27" s="237">
        <f t="shared" si="13"/>
        <v>0</v>
      </c>
      <c r="AE27" s="237">
        <f t="shared" si="14"/>
        <v>0</v>
      </c>
      <c r="AF27" s="237">
        <f t="shared" si="15"/>
        <v>0</v>
      </c>
      <c r="AG27" s="237">
        <f t="shared" si="38"/>
        <v>0</v>
      </c>
      <c r="AH27" s="237">
        <f t="shared" si="39"/>
        <v>0</v>
      </c>
      <c r="AI27" s="405">
        <f t="shared" si="24"/>
        <v>0</v>
      </c>
      <c r="AJ27" s="405">
        <f t="shared" si="16"/>
        <v>0</v>
      </c>
      <c r="AK27" s="405"/>
      <c r="AL27" s="237">
        <f t="shared" si="40"/>
        <v>325710</v>
      </c>
      <c r="AM27" s="318">
        <f t="shared" si="25"/>
        <v>0</v>
      </c>
      <c r="AN27" s="21">
        <f t="shared" si="18"/>
        <v>0</v>
      </c>
      <c r="AO27" s="21">
        <f>IF(W27&lt;=0,0,+$O$5-$C$2+I27-U27)</f>
        <v>204678.64</v>
      </c>
      <c r="AP27" s="21">
        <f t="shared" si="19"/>
        <v>0</v>
      </c>
      <c r="AQ27" s="21"/>
      <c r="AR27" s="23"/>
      <c r="AS27" s="21">
        <f t="shared" si="20"/>
        <v>0</v>
      </c>
      <c r="AT27" s="21">
        <f t="shared" si="26"/>
        <v>0</v>
      </c>
      <c r="AU27" s="237">
        <f>IF(W27&lt;=0,0,+($O$5+AV26)*$AQ$2/12)</f>
        <v>836.94957936732783</v>
      </c>
      <c r="AV27" s="188">
        <f t="shared" si="27"/>
        <v>9906.781326298471</v>
      </c>
    </row>
    <row r="28" spans="1:48">
      <c r="A28" s="395">
        <f t="shared" si="28"/>
        <v>46230</v>
      </c>
      <c r="B28" s="188">
        <f t="shared" si="21"/>
        <v>121491.52999999998</v>
      </c>
      <c r="C28" s="14">
        <f t="shared" si="3"/>
        <v>559.88</v>
      </c>
      <c r="D28" s="14">
        <f t="shared" si="29"/>
        <v>104.29000000000002</v>
      </c>
      <c r="E28" s="14">
        <f t="shared" si="4"/>
        <v>455.59</v>
      </c>
      <c r="I28" s="188">
        <f t="shared" si="30"/>
        <v>1785.9299999999998</v>
      </c>
      <c r="J28" s="188">
        <f t="shared" si="31"/>
        <v>5952.68</v>
      </c>
      <c r="K28" s="188">
        <f t="shared" si="32"/>
        <v>121387.23999999999</v>
      </c>
      <c r="L28" s="317">
        <f t="shared" si="5"/>
        <v>0</v>
      </c>
      <c r="M28" s="317">
        <f>IF(N28&lt;&gt;"",IF(N28=$O$5,0,+M27+1),0)</f>
        <v>0</v>
      </c>
      <c r="N28" s="188">
        <f t="shared" si="22"/>
        <v>325710</v>
      </c>
      <c r="O28" s="188">
        <f>IF($O$11&lt;=A28,IF(+$W27&lt;=0,0,$O$8),0)</f>
        <v>2504.4299999999998</v>
      </c>
      <c r="P28" s="188">
        <f t="shared" si="33"/>
        <v>197.31999999999971</v>
      </c>
      <c r="Q28" s="188">
        <f>IF($O$11&lt;=A28,ROUND(N28*($O$7/12),2),0)</f>
        <v>2307.11</v>
      </c>
      <c r="R28" s="188">
        <f t="shared" si="6"/>
        <v>51.5</v>
      </c>
      <c r="S28" s="188">
        <f t="shared" si="7"/>
        <v>145.09666666666666</v>
      </c>
      <c r="T28" s="188">
        <f t="shared" si="8"/>
        <v>2701.0266666666666</v>
      </c>
      <c r="U28" s="188">
        <f t="shared" si="34"/>
        <v>197.31999999999971</v>
      </c>
      <c r="V28" s="188">
        <f t="shared" si="35"/>
        <v>2307.11</v>
      </c>
      <c r="W28" s="188">
        <f t="shared" si="36"/>
        <v>325512.68</v>
      </c>
      <c r="X28" s="395">
        <f t="shared" si="23"/>
        <v>46230</v>
      </c>
      <c r="Y28" s="188">
        <f t="shared" si="37"/>
        <v>325710</v>
      </c>
      <c r="Z28" s="388">
        <f t="shared" si="9"/>
        <v>8.4999999999999992E-2</v>
      </c>
      <c r="AA28" s="188">
        <f t="shared" si="10"/>
        <v>2504.4299999999998</v>
      </c>
      <c r="AB28" s="188">
        <f t="shared" si="11"/>
        <v>197.31999999999971</v>
      </c>
      <c r="AC28" s="188">
        <f t="shared" si="12"/>
        <v>2307.11</v>
      </c>
      <c r="AD28" s="188">
        <f t="shared" si="13"/>
        <v>51.5</v>
      </c>
      <c r="AE28" s="188">
        <f t="shared" si="14"/>
        <v>145.09666666666666</v>
      </c>
      <c r="AF28" s="188">
        <f t="shared" si="15"/>
        <v>2701.0266666666666</v>
      </c>
      <c r="AG28" s="188">
        <f t="shared" si="38"/>
        <v>197.31999999999971</v>
      </c>
      <c r="AH28" s="188">
        <f t="shared" si="39"/>
        <v>2307.11</v>
      </c>
      <c r="AI28" s="404">
        <f t="shared" si="24"/>
        <v>0</v>
      </c>
      <c r="AJ28" s="404">
        <f t="shared" si="16"/>
        <v>0</v>
      </c>
      <c r="AK28" s="404"/>
      <c r="AL28" s="188">
        <f t="shared" si="40"/>
        <v>325512.68</v>
      </c>
      <c r="AM28" s="317">
        <f t="shared" si="25"/>
        <v>0</v>
      </c>
      <c r="AN28" s="14">
        <f>IF(O28=0,0,+O28-C28)</f>
        <v>1944.5499999999997</v>
      </c>
      <c r="AO28" s="14">
        <f>IF(W28&lt;=0,0,+$O$5-$C$2+I28-U28)</f>
        <v>204585.61</v>
      </c>
      <c r="AP28" s="14">
        <f t="shared" si="19"/>
        <v>1944.5499999999997</v>
      </c>
      <c r="AS28" s="14">
        <f t="shared" si="20"/>
        <v>1944.5499999999997</v>
      </c>
      <c r="AT28" s="14">
        <f t="shared" si="26"/>
        <v>1944.5499999999997</v>
      </c>
      <c r="AU28" s="188">
        <f>IF(W28&lt;=0,0,+($O$5+AV27)*$AQ$2/12)</f>
        <v>839.04195331574613</v>
      </c>
      <c r="AV28" s="188">
        <f t="shared" si="27"/>
        <v>10745.823279614217</v>
      </c>
    </row>
    <row r="29" spans="1:48">
      <c r="A29" s="395">
        <f t="shared" si="28"/>
        <v>46260</v>
      </c>
      <c r="B29" s="188">
        <f t="shared" si="21"/>
        <v>121387.23999999999</v>
      </c>
      <c r="C29" s="14">
        <f t="shared" si="3"/>
        <v>559.88</v>
      </c>
      <c r="D29" s="14">
        <f t="shared" si="29"/>
        <v>104.68</v>
      </c>
      <c r="E29" s="14">
        <f t="shared" si="4"/>
        <v>455.2</v>
      </c>
      <c r="I29" s="188">
        <f t="shared" si="30"/>
        <v>1890.61</v>
      </c>
      <c r="J29" s="188">
        <f t="shared" si="31"/>
        <v>6407.88</v>
      </c>
      <c r="K29" s="188">
        <f t="shared" si="32"/>
        <v>121282.56</v>
      </c>
      <c r="L29" s="317">
        <f t="shared" si="5"/>
        <v>0</v>
      </c>
      <c r="M29" s="317">
        <f>IF(N29&lt;&gt;"",IF(N29=$O$5,0,+M28+1),0)</f>
        <v>1</v>
      </c>
      <c r="N29" s="188">
        <f t="shared" si="22"/>
        <v>325512.68</v>
      </c>
      <c r="O29" s="188">
        <f>IF($O$11&lt;=A29,IF(+$W28&lt;=0,0,$O$8),0)</f>
        <v>2504.4299999999998</v>
      </c>
      <c r="P29" s="188">
        <f t="shared" si="33"/>
        <v>198.7199999999998</v>
      </c>
      <c r="Q29" s="188">
        <f>IF($O$11&lt;=A29,ROUND(N29*($O$7/12),2),0)</f>
        <v>2305.71</v>
      </c>
      <c r="R29" s="188">
        <f t="shared" si="6"/>
        <v>51.5</v>
      </c>
      <c r="S29" s="188">
        <f t="shared" si="7"/>
        <v>145.09666666666666</v>
      </c>
      <c r="T29" s="188">
        <f t="shared" si="8"/>
        <v>2701.0266666666666</v>
      </c>
      <c r="U29" s="188">
        <f t="shared" si="34"/>
        <v>396.03999999999951</v>
      </c>
      <c r="V29" s="188">
        <f t="shared" si="35"/>
        <v>4612.82</v>
      </c>
      <c r="W29" s="188">
        <f t="shared" si="36"/>
        <v>325313.96000000002</v>
      </c>
      <c r="X29" s="395">
        <f t="shared" si="23"/>
        <v>46260</v>
      </c>
      <c r="Y29" s="188">
        <f t="shared" si="37"/>
        <v>325512.68</v>
      </c>
      <c r="Z29" s="388">
        <f t="shared" si="9"/>
        <v>8.4999999999999992E-2</v>
      </c>
      <c r="AA29" s="188">
        <f t="shared" si="10"/>
        <v>2504.4299999999998</v>
      </c>
      <c r="AB29" s="188">
        <f t="shared" si="11"/>
        <v>198.7199999999998</v>
      </c>
      <c r="AC29" s="188">
        <f t="shared" si="12"/>
        <v>2305.71</v>
      </c>
      <c r="AD29" s="188">
        <f t="shared" si="13"/>
        <v>51.5</v>
      </c>
      <c r="AE29" s="188">
        <f t="shared" si="14"/>
        <v>145.09666666666666</v>
      </c>
      <c r="AF29" s="188">
        <f t="shared" si="15"/>
        <v>2701.0266666666666</v>
      </c>
      <c r="AG29" s="188">
        <f t="shared" si="38"/>
        <v>396.03999999999951</v>
      </c>
      <c r="AH29" s="188">
        <f t="shared" si="39"/>
        <v>4612.82</v>
      </c>
      <c r="AI29" s="404">
        <f t="shared" si="24"/>
        <v>0</v>
      </c>
      <c r="AJ29" s="404">
        <f t="shared" si="16"/>
        <v>0</v>
      </c>
      <c r="AK29" s="404"/>
      <c r="AL29" s="188">
        <f t="shared" si="40"/>
        <v>325313.96000000002</v>
      </c>
      <c r="AM29" s="317">
        <f t="shared" si="25"/>
        <v>0</v>
      </c>
      <c r="AN29" s="14">
        <f t="shared" si="18"/>
        <v>1944.5499999999997</v>
      </c>
      <c r="AO29" s="14">
        <f>IF(W29&lt;=0,0,+$O$5-$C$2+I29-U29)</f>
        <v>204491.56999999998</v>
      </c>
      <c r="AP29" s="14">
        <f t="shared" si="19"/>
        <v>1944.5499999999997</v>
      </c>
      <c r="AS29" s="14">
        <f t="shared" si="20"/>
        <v>1944.5499999999997</v>
      </c>
      <c r="AT29" s="14">
        <f t="shared" si="26"/>
        <v>3889.0999999999995</v>
      </c>
      <c r="AU29" s="188">
        <f>IF(W29&lt;=0,0,+($O$5+AV28)*$AQ$2/12)</f>
        <v>841.13955819903549</v>
      </c>
      <c r="AV29" s="188">
        <f t="shared" si="27"/>
        <v>11586.962837813251</v>
      </c>
    </row>
    <row r="30" spans="1:48">
      <c r="A30" s="395">
        <f t="shared" si="28"/>
        <v>46290</v>
      </c>
      <c r="B30" s="188">
        <f t="shared" si="21"/>
        <v>121282.56</v>
      </c>
      <c r="C30" s="14">
        <f t="shared" si="3"/>
        <v>559.88</v>
      </c>
      <c r="D30" s="14">
        <f t="shared" si="29"/>
        <v>105.07</v>
      </c>
      <c r="E30" s="14">
        <f t="shared" si="4"/>
        <v>454.81</v>
      </c>
      <c r="I30" s="188">
        <f t="shared" si="30"/>
        <v>1995.6799999999998</v>
      </c>
      <c r="J30" s="188">
        <f t="shared" si="31"/>
        <v>6862.6900000000005</v>
      </c>
      <c r="K30" s="188">
        <f t="shared" si="32"/>
        <v>121177.48999999999</v>
      </c>
      <c r="L30" s="317">
        <f t="shared" si="5"/>
        <v>0</v>
      </c>
      <c r="M30" s="317">
        <f>IF(N30&lt;&gt;"",IF(N30=$O$5,0,+M29+1),0)</f>
        <v>2</v>
      </c>
      <c r="N30" s="188">
        <f t="shared" si="22"/>
        <v>325313.96000000002</v>
      </c>
      <c r="O30" s="188">
        <f>IF($O$11&lt;=A30,IF(+$W29&lt;=0,0,$O$8),0)</f>
        <v>2504.4299999999998</v>
      </c>
      <c r="P30" s="188">
        <f t="shared" si="33"/>
        <v>200.11999999999989</v>
      </c>
      <c r="Q30" s="188">
        <f>IF($O$11&lt;=A30,ROUND(N30*($O$7/12),2),0)</f>
        <v>2304.31</v>
      </c>
      <c r="R30" s="188">
        <f t="shared" si="6"/>
        <v>51.5</v>
      </c>
      <c r="S30" s="188">
        <f t="shared" si="7"/>
        <v>145.09666666666666</v>
      </c>
      <c r="T30" s="188">
        <f t="shared" si="8"/>
        <v>2701.0266666666666</v>
      </c>
      <c r="U30" s="188">
        <f t="shared" si="34"/>
        <v>596.1599999999994</v>
      </c>
      <c r="V30" s="188">
        <f t="shared" si="35"/>
        <v>6917.1299999999992</v>
      </c>
      <c r="W30" s="188">
        <f t="shared" si="36"/>
        <v>325113.84000000003</v>
      </c>
      <c r="X30" s="395">
        <f t="shared" si="23"/>
        <v>46290</v>
      </c>
      <c r="Y30" s="188">
        <f t="shared" si="37"/>
        <v>325313.96000000002</v>
      </c>
      <c r="Z30" s="388">
        <f t="shared" si="9"/>
        <v>8.4999999999999992E-2</v>
      </c>
      <c r="AA30" s="188">
        <f t="shared" si="10"/>
        <v>2504.4299999999998</v>
      </c>
      <c r="AB30" s="188">
        <f t="shared" si="11"/>
        <v>200.11999999999989</v>
      </c>
      <c r="AC30" s="188">
        <f t="shared" si="12"/>
        <v>2304.31</v>
      </c>
      <c r="AD30" s="188">
        <f t="shared" si="13"/>
        <v>51.5</v>
      </c>
      <c r="AE30" s="188">
        <f t="shared" si="14"/>
        <v>145.09666666666666</v>
      </c>
      <c r="AF30" s="188">
        <f t="shared" si="15"/>
        <v>2701.0266666666666</v>
      </c>
      <c r="AG30" s="188">
        <f t="shared" si="38"/>
        <v>596.1599999999994</v>
      </c>
      <c r="AH30" s="188">
        <f t="shared" si="39"/>
        <v>6917.1299999999992</v>
      </c>
      <c r="AI30" s="404">
        <f t="shared" si="24"/>
        <v>0</v>
      </c>
      <c r="AJ30" s="404">
        <f t="shared" si="16"/>
        <v>0</v>
      </c>
      <c r="AK30" s="404"/>
      <c r="AL30" s="188">
        <f t="shared" si="40"/>
        <v>325113.84000000003</v>
      </c>
      <c r="AM30" s="317">
        <f t="shared" si="25"/>
        <v>0</v>
      </c>
      <c r="AN30" s="14">
        <f t="shared" si="18"/>
        <v>1944.5499999999997</v>
      </c>
      <c r="AO30" s="14">
        <f>IF(W30&lt;=0,0,+$O$5-$C$2+I30-U30)</f>
        <v>204396.52</v>
      </c>
      <c r="AP30" s="14">
        <f t="shared" si="19"/>
        <v>1944.5499999999997</v>
      </c>
      <c r="AS30" s="14">
        <f t="shared" si="20"/>
        <v>1944.5499999999997</v>
      </c>
      <c r="AT30" s="14">
        <f t="shared" si="26"/>
        <v>5833.65</v>
      </c>
      <c r="AU30" s="188">
        <f>IF(W30&lt;=0,0,+($O$5+AV29)*$AQ$2/12)</f>
        <v>843.24240709453306</v>
      </c>
      <c r="AV30" s="188">
        <f t="shared" si="27"/>
        <v>12430.205244907784</v>
      </c>
    </row>
    <row r="31" spans="1:48">
      <c r="A31" s="395">
        <f t="shared" si="28"/>
        <v>46320</v>
      </c>
      <c r="B31" s="188">
        <f t="shared" si="21"/>
        <v>121177.48999999999</v>
      </c>
      <c r="C31" s="14">
        <f t="shared" si="3"/>
        <v>559.88</v>
      </c>
      <c r="D31" s="14">
        <f t="shared" si="29"/>
        <v>105.45999999999998</v>
      </c>
      <c r="E31" s="14">
        <f t="shared" si="4"/>
        <v>454.42</v>
      </c>
      <c r="I31" s="188">
        <f t="shared" si="30"/>
        <v>2101.14</v>
      </c>
      <c r="J31" s="188">
        <f t="shared" si="31"/>
        <v>7317.1100000000006</v>
      </c>
      <c r="K31" s="188">
        <f t="shared" si="32"/>
        <v>121072.02999999998</v>
      </c>
      <c r="L31" s="317">
        <f t="shared" si="5"/>
        <v>0</v>
      </c>
      <c r="M31" s="317">
        <f>IF(N31&lt;&gt;"",IF(N31=$O$5,0,+M30+1),0)</f>
        <v>3</v>
      </c>
      <c r="N31" s="188">
        <f t="shared" si="22"/>
        <v>325113.84000000003</v>
      </c>
      <c r="O31" s="188">
        <f>IF($O$11&lt;=A31,IF(+$W30&lt;=0,0,$O$8),0)</f>
        <v>2504.4299999999998</v>
      </c>
      <c r="P31" s="188">
        <f t="shared" si="33"/>
        <v>201.53999999999996</v>
      </c>
      <c r="Q31" s="188">
        <f>IF($O$11&lt;=A31,ROUND(N31*($O$7/12),2),0)</f>
        <v>2302.89</v>
      </c>
      <c r="R31" s="188">
        <f t="shared" si="6"/>
        <v>51.5</v>
      </c>
      <c r="S31" s="188">
        <f t="shared" si="7"/>
        <v>145.09666666666666</v>
      </c>
      <c r="T31" s="188">
        <f t="shared" si="8"/>
        <v>2701.0266666666666</v>
      </c>
      <c r="U31" s="188">
        <f t="shared" si="34"/>
        <v>797.69999999999936</v>
      </c>
      <c r="V31" s="188">
        <f t="shared" si="35"/>
        <v>9220.0199999999986</v>
      </c>
      <c r="W31" s="188">
        <f t="shared" si="36"/>
        <v>324912.30000000005</v>
      </c>
      <c r="X31" s="395">
        <f t="shared" si="23"/>
        <v>46320</v>
      </c>
      <c r="Y31" s="188">
        <f t="shared" si="37"/>
        <v>325113.84000000003</v>
      </c>
      <c r="Z31" s="388">
        <f t="shared" si="9"/>
        <v>8.4999999999999992E-2</v>
      </c>
      <c r="AA31" s="188">
        <f t="shared" si="10"/>
        <v>2504.4299999999998</v>
      </c>
      <c r="AB31" s="188">
        <f t="shared" si="11"/>
        <v>201.53999999999996</v>
      </c>
      <c r="AC31" s="188">
        <f t="shared" si="12"/>
        <v>2302.89</v>
      </c>
      <c r="AD31" s="188">
        <f t="shared" si="13"/>
        <v>51.5</v>
      </c>
      <c r="AE31" s="188">
        <f t="shared" si="14"/>
        <v>145.09666666666666</v>
      </c>
      <c r="AF31" s="188">
        <f t="shared" si="15"/>
        <v>2701.0266666666666</v>
      </c>
      <c r="AG31" s="188">
        <f t="shared" si="38"/>
        <v>797.69999999999936</v>
      </c>
      <c r="AH31" s="188">
        <f t="shared" si="39"/>
        <v>9220.0199999999986</v>
      </c>
      <c r="AI31" s="404">
        <f t="shared" si="24"/>
        <v>0</v>
      </c>
      <c r="AJ31" s="404">
        <f t="shared" si="16"/>
        <v>0</v>
      </c>
      <c r="AK31" s="404"/>
      <c r="AL31" s="188">
        <f t="shared" si="40"/>
        <v>324912.30000000005</v>
      </c>
      <c r="AM31" s="317">
        <f t="shared" si="25"/>
        <v>0</v>
      </c>
      <c r="AN31" s="14">
        <f t="shared" si="18"/>
        <v>1944.5499999999997</v>
      </c>
      <c r="AO31" s="14">
        <f>IF(W31&lt;=0,0,+$O$5-$C$2+I31-U31)</f>
        <v>204300.44</v>
      </c>
      <c r="AP31" s="14">
        <f t="shared" si="19"/>
        <v>1944.5499999999997</v>
      </c>
      <c r="AS31" s="14">
        <f t="shared" si="20"/>
        <v>1944.5499999999997</v>
      </c>
      <c r="AT31" s="14">
        <f t="shared" si="26"/>
        <v>7778.1999999999989</v>
      </c>
      <c r="AU31" s="188">
        <f>IF(W31&lt;=0,0,+($O$5+AV30)*$AQ$2/12)</f>
        <v>845.35051311226937</v>
      </c>
      <c r="AV31" s="188">
        <f t="shared" si="27"/>
        <v>13275.555758020053</v>
      </c>
    </row>
    <row r="32" spans="1:48">
      <c r="A32" s="395">
        <f t="shared" si="28"/>
        <v>46350</v>
      </c>
      <c r="B32" s="188">
        <f t="shared" si="21"/>
        <v>121072.02999999998</v>
      </c>
      <c r="C32" s="14">
        <f t="shared" si="3"/>
        <v>559.88</v>
      </c>
      <c r="D32" s="14">
        <f t="shared" si="29"/>
        <v>105.86000000000001</v>
      </c>
      <c r="E32" s="14">
        <f t="shared" si="4"/>
        <v>454.02</v>
      </c>
      <c r="I32" s="188">
        <f t="shared" si="30"/>
        <v>2207</v>
      </c>
      <c r="J32" s="188">
        <f t="shared" si="31"/>
        <v>7771.130000000001</v>
      </c>
      <c r="K32" s="188">
        <f t="shared" si="32"/>
        <v>120966.16999999998</v>
      </c>
      <c r="L32" s="317">
        <f t="shared" si="5"/>
        <v>0</v>
      </c>
      <c r="M32" s="317">
        <f>IF(N32&lt;&gt;"",IF(N32=$O$5,0,+M31+1),0)</f>
        <v>4</v>
      </c>
      <c r="N32" s="188">
        <f t="shared" si="22"/>
        <v>324912.30000000005</v>
      </c>
      <c r="O32" s="188">
        <f>IF($O$11&lt;=A32,IF(+$W31&lt;=0,0,$O$8),0)</f>
        <v>2504.4299999999998</v>
      </c>
      <c r="P32" s="188">
        <f t="shared" si="33"/>
        <v>202.9699999999998</v>
      </c>
      <c r="Q32" s="188">
        <f>IF($O$11&lt;=A32,ROUND(N32*($O$7/12),2),0)</f>
        <v>2301.46</v>
      </c>
      <c r="R32" s="188">
        <f t="shared" si="6"/>
        <v>51.5</v>
      </c>
      <c r="S32" s="188">
        <f t="shared" si="7"/>
        <v>145.09666666666666</v>
      </c>
      <c r="T32" s="188">
        <f t="shared" si="8"/>
        <v>2701.0266666666666</v>
      </c>
      <c r="U32" s="188">
        <f t="shared" si="34"/>
        <v>1000.6699999999992</v>
      </c>
      <c r="V32" s="188">
        <f t="shared" si="35"/>
        <v>11521.48</v>
      </c>
      <c r="W32" s="188">
        <f t="shared" si="36"/>
        <v>324709.33000000007</v>
      </c>
      <c r="X32" s="395">
        <f t="shared" si="23"/>
        <v>46350</v>
      </c>
      <c r="Y32" s="188">
        <f t="shared" si="37"/>
        <v>324912.30000000005</v>
      </c>
      <c r="Z32" s="388">
        <f t="shared" si="9"/>
        <v>8.4999999999999992E-2</v>
      </c>
      <c r="AA32" s="188">
        <f t="shared" si="10"/>
        <v>2504.4299999999998</v>
      </c>
      <c r="AB32" s="188">
        <f t="shared" si="11"/>
        <v>202.9699999999998</v>
      </c>
      <c r="AC32" s="188">
        <f t="shared" si="12"/>
        <v>2301.46</v>
      </c>
      <c r="AD32" s="188">
        <f t="shared" si="13"/>
        <v>51.5</v>
      </c>
      <c r="AE32" s="188">
        <f t="shared" si="14"/>
        <v>145.09666666666666</v>
      </c>
      <c r="AF32" s="188">
        <f t="shared" si="15"/>
        <v>2701.0266666666666</v>
      </c>
      <c r="AG32" s="188">
        <f t="shared" si="38"/>
        <v>1000.6699999999992</v>
      </c>
      <c r="AH32" s="188">
        <f t="shared" si="39"/>
        <v>11521.48</v>
      </c>
      <c r="AI32" s="404">
        <f t="shared" si="24"/>
        <v>0</v>
      </c>
      <c r="AJ32" s="404">
        <f t="shared" si="16"/>
        <v>0</v>
      </c>
      <c r="AK32" s="404"/>
      <c r="AL32" s="188">
        <f t="shared" si="40"/>
        <v>324709.33000000007</v>
      </c>
      <c r="AM32" s="317">
        <f t="shared" si="25"/>
        <v>0</v>
      </c>
      <c r="AN32" s="14">
        <f t="shared" si="18"/>
        <v>1944.5499999999997</v>
      </c>
      <c r="AO32" s="14">
        <f>IF(W32&lt;=0,0,+$O$5-$C$2+I32-U32)</f>
        <v>204203.33</v>
      </c>
      <c r="AP32" s="14">
        <f t="shared" si="19"/>
        <v>1944.5499999999997</v>
      </c>
      <c r="AS32" s="14">
        <f t="shared" si="20"/>
        <v>1944.5499999999997</v>
      </c>
      <c r="AT32" s="14">
        <f t="shared" si="26"/>
        <v>9722.7499999999982</v>
      </c>
      <c r="AU32" s="188">
        <f>IF(W32&lt;=0,0,+($O$5+AV31)*$AQ$2/12)</f>
        <v>847.46388939505005</v>
      </c>
      <c r="AV32" s="188">
        <f t="shared" si="27"/>
        <v>14123.019647415103</v>
      </c>
    </row>
    <row r="33" spans="1:48">
      <c r="A33" s="395">
        <f t="shared" si="28"/>
        <v>46380</v>
      </c>
      <c r="B33" s="188">
        <f t="shared" si="21"/>
        <v>120966.16999999998</v>
      </c>
      <c r="C33" s="14">
        <f t="shared" si="3"/>
        <v>559.88</v>
      </c>
      <c r="D33" s="14">
        <f t="shared" si="29"/>
        <v>106.25999999999999</v>
      </c>
      <c r="E33" s="14">
        <f t="shared" si="4"/>
        <v>453.62</v>
      </c>
      <c r="I33" s="188">
        <f t="shared" ref="I33:I62" si="41">$D33+$I32</f>
        <v>2313.2600000000002</v>
      </c>
      <c r="J33" s="188">
        <f t="shared" ref="J33:J62" si="42">$E33+$J32</f>
        <v>8224.7500000000018</v>
      </c>
      <c r="K33" s="188">
        <f t="shared" ref="K33:K62" si="43">+B33-D33</f>
        <v>120859.90999999999</v>
      </c>
      <c r="L33" s="317">
        <f t="shared" si="5"/>
        <v>0</v>
      </c>
      <c r="M33" s="317">
        <f>IF(N33&lt;&gt;"",IF(N33=$O$5,0,+M32+1),0)</f>
        <v>5</v>
      </c>
      <c r="N33" s="188">
        <f t="shared" si="22"/>
        <v>324709.33000000007</v>
      </c>
      <c r="O33" s="188">
        <f>IF($O$11&lt;=A33,IF(+$W32&lt;=0,0,$O$8),0)</f>
        <v>2504.4299999999998</v>
      </c>
      <c r="P33" s="188">
        <f t="shared" si="33"/>
        <v>204.40999999999985</v>
      </c>
      <c r="Q33" s="188">
        <f>IF($O$11&lt;=A33,ROUND(N33*($O$7/12),2),0)</f>
        <v>2300.02</v>
      </c>
      <c r="R33" s="188">
        <f t="shared" si="6"/>
        <v>51.5</v>
      </c>
      <c r="S33" s="188">
        <f t="shared" si="7"/>
        <v>145.09666666666666</v>
      </c>
      <c r="T33" s="188">
        <f t="shared" si="8"/>
        <v>2701.0266666666666</v>
      </c>
      <c r="U33" s="188">
        <f t="shared" si="34"/>
        <v>1205.079999999999</v>
      </c>
      <c r="V33" s="188">
        <f t="shared" si="35"/>
        <v>13821.5</v>
      </c>
      <c r="W33" s="188">
        <f t="shared" si="36"/>
        <v>324504.9200000001</v>
      </c>
      <c r="X33" s="395">
        <f t="shared" si="23"/>
        <v>46380</v>
      </c>
      <c r="Y33" s="188">
        <f t="shared" si="37"/>
        <v>324709.33000000007</v>
      </c>
      <c r="Z33" s="388">
        <f t="shared" si="9"/>
        <v>8.4999999999999992E-2</v>
      </c>
      <c r="AA33" s="188">
        <f t="shared" si="10"/>
        <v>2504.4299999999998</v>
      </c>
      <c r="AB33" s="188">
        <f t="shared" si="11"/>
        <v>204.40999999999985</v>
      </c>
      <c r="AC33" s="188">
        <f t="shared" si="12"/>
        <v>2300.02</v>
      </c>
      <c r="AD33" s="188">
        <f t="shared" si="13"/>
        <v>51.5</v>
      </c>
      <c r="AE33" s="188">
        <f t="shared" si="14"/>
        <v>145.09666666666666</v>
      </c>
      <c r="AF33" s="188">
        <f t="shared" si="15"/>
        <v>2701.0266666666666</v>
      </c>
      <c r="AG33" s="188">
        <f t="shared" si="38"/>
        <v>1205.079999999999</v>
      </c>
      <c r="AH33" s="188">
        <f t="shared" si="39"/>
        <v>13821.5</v>
      </c>
      <c r="AI33" s="404">
        <f t="shared" si="24"/>
        <v>0</v>
      </c>
      <c r="AJ33" s="404">
        <f t="shared" si="16"/>
        <v>0</v>
      </c>
      <c r="AK33" s="404"/>
      <c r="AL33" s="188">
        <f t="shared" si="40"/>
        <v>324504.9200000001</v>
      </c>
      <c r="AM33" s="317">
        <f t="shared" si="25"/>
        <v>0</v>
      </c>
      <c r="AN33" s="14">
        <f t="shared" si="18"/>
        <v>1944.5499999999997</v>
      </c>
      <c r="AO33" s="14">
        <f>IF(W33&lt;=0,0,+$O$5-$C$2+I33-U33)</f>
        <v>204105.18000000002</v>
      </c>
      <c r="AP33" s="14">
        <f t="shared" si="19"/>
        <v>1944.5499999999997</v>
      </c>
      <c r="AS33" s="14">
        <f t="shared" si="20"/>
        <v>1944.5499999999997</v>
      </c>
      <c r="AT33" s="14">
        <f t="shared" si="26"/>
        <v>11667.299999999997</v>
      </c>
      <c r="AU33" s="188">
        <f>IF(W33&lt;=0,0,+($O$5+AV32)*$AQ$2/12)</f>
        <v>849.58254911853771</v>
      </c>
      <c r="AV33" s="188">
        <f t="shared" si="27"/>
        <v>14972.60219653364</v>
      </c>
    </row>
    <row r="34" spans="1:48">
      <c r="A34" s="395">
        <f t="shared" si="28"/>
        <v>46410</v>
      </c>
      <c r="B34" s="188">
        <f t="shared" si="21"/>
        <v>120859.90999999999</v>
      </c>
      <c r="C34" s="14">
        <f t="shared" si="3"/>
        <v>559.88</v>
      </c>
      <c r="D34" s="14">
        <f t="shared" si="29"/>
        <v>106.65999999999997</v>
      </c>
      <c r="E34" s="14">
        <f t="shared" si="4"/>
        <v>453.22</v>
      </c>
      <c r="I34" s="188">
        <f t="shared" si="41"/>
        <v>2419.92</v>
      </c>
      <c r="J34" s="188">
        <f t="shared" si="42"/>
        <v>8677.9700000000012</v>
      </c>
      <c r="K34" s="188">
        <f t="shared" si="43"/>
        <v>120753.24999999999</v>
      </c>
      <c r="L34" s="317">
        <f t="shared" si="5"/>
        <v>0</v>
      </c>
      <c r="M34" s="317">
        <f>IF(N34&lt;&gt;"",IF(N34=$O$5,0,+M33+1),0)</f>
        <v>6</v>
      </c>
      <c r="N34" s="188">
        <f t="shared" si="22"/>
        <v>324504.9200000001</v>
      </c>
      <c r="O34" s="188">
        <f>IF($O$11&lt;=A34,IF(+$W33&lt;=0,0,$O$8),0)</f>
        <v>2504.4299999999998</v>
      </c>
      <c r="P34" s="188">
        <f t="shared" si="33"/>
        <v>205.84999999999991</v>
      </c>
      <c r="Q34" s="188">
        <f>IF($O$11&lt;=A34,ROUND(N34*($O$7/12),2),0)</f>
        <v>2298.58</v>
      </c>
      <c r="R34" s="188">
        <f t="shared" si="6"/>
        <v>51.5</v>
      </c>
      <c r="S34" s="188">
        <f t="shared" si="7"/>
        <v>145.09666666666666</v>
      </c>
      <c r="T34" s="188">
        <f t="shared" si="8"/>
        <v>2701.0266666666666</v>
      </c>
      <c r="U34" s="188">
        <f t="shared" si="34"/>
        <v>1410.9299999999989</v>
      </c>
      <c r="V34" s="188">
        <f t="shared" si="35"/>
        <v>16120.08</v>
      </c>
      <c r="W34" s="188">
        <f t="shared" si="36"/>
        <v>324299.07000000012</v>
      </c>
      <c r="X34" s="395">
        <f t="shared" si="23"/>
        <v>46410</v>
      </c>
      <c r="Y34" s="188">
        <f t="shared" si="37"/>
        <v>324504.9200000001</v>
      </c>
      <c r="Z34" s="388">
        <f t="shared" si="9"/>
        <v>8.4999999999999992E-2</v>
      </c>
      <c r="AA34" s="188">
        <f t="shared" si="10"/>
        <v>2504.4299999999998</v>
      </c>
      <c r="AB34" s="188">
        <f t="shared" si="11"/>
        <v>205.84999999999991</v>
      </c>
      <c r="AC34" s="188">
        <f t="shared" si="12"/>
        <v>2298.58</v>
      </c>
      <c r="AD34" s="188">
        <f t="shared" si="13"/>
        <v>51.5</v>
      </c>
      <c r="AE34" s="188">
        <f t="shared" si="14"/>
        <v>145.09666666666666</v>
      </c>
      <c r="AF34" s="188">
        <f t="shared" si="15"/>
        <v>2701.0266666666666</v>
      </c>
      <c r="AG34" s="188">
        <f t="shared" si="38"/>
        <v>1410.9299999999989</v>
      </c>
      <c r="AH34" s="188">
        <f t="shared" si="39"/>
        <v>16120.08</v>
      </c>
      <c r="AI34" s="404">
        <f t="shared" si="24"/>
        <v>0</v>
      </c>
      <c r="AJ34" s="404">
        <f t="shared" si="16"/>
        <v>0</v>
      </c>
      <c r="AK34" s="404"/>
      <c r="AL34" s="188">
        <f t="shared" si="40"/>
        <v>324299.07000000012</v>
      </c>
      <c r="AM34" s="317">
        <f t="shared" si="25"/>
        <v>0</v>
      </c>
      <c r="AN34" s="14">
        <f t="shared" si="18"/>
        <v>1944.5499999999997</v>
      </c>
      <c r="AO34" s="14">
        <f>IF(W34&lt;=0,0,+$O$5-$C$2+I34-U34)</f>
        <v>204005.99000000002</v>
      </c>
      <c r="AP34" s="14">
        <f t="shared" si="19"/>
        <v>1944.5499999999997</v>
      </c>
      <c r="AS34" s="14">
        <f t="shared" si="20"/>
        <v>1944.5499999999997</v>
      </c>
      <c r="AT34" s="14">
        <f t="shared" si="26"/>
        <v>13611.849999999997</v>
      </c>
      <c r="AU34" s="188">
        <f>IF(W34&lt;=0,0,+($O$5+AV33)*$AQ$2/12)</f>
        <v>851.70650549133404</v>
      </c>
      <c r="AV34" s="188">
        <f t="shared" si="27"/>
        <v>15824.308702024975</v>
      </c>
    </row>
    <row r="35" spans="1:48">
      <c r="A35" s="395">
        <f t="shared" si="28"/>
        <v>46440</v>
      </c>
      <c r="B35" s="188">
        <f t="shared" si="21"/>
        <v>120753.24999999999</v>
      </c>
      <c r="C35" s="14">
        <f t="shared" si="3"/>
        <v>559.88</v>
      </c>
      <c r="D35" s="14">
        <f t="shared" si="29"/>
        <v>107.06</v>
      </c>
      <c r="E35" s="14">
        <f t="shared" si="4"/>
        <v>452.82</v>
      </c>
      <c r="I35" s="188">
        <f t="shared" si="41"/>
        <v>2526.98</v>
      </c>
      <c r="J35" s="188">
        <f t="shared" si="42"/>
        <v>9130.7900000000009</v>
      </c>
      <c r="K35" s="188">
        <f t="shared" si="43"/>
        <v>120646.18999999999</v>
      </c>
      <c r="L35" s="317">
        <f t="shared" si="5"/>
        <v>0</v>
      </c>
      <c r="M35" s="317">
        <f>IF(N35&lt;&gt;"",IF(N35=$O$5,0,+M34+1),0)</f>
        <v>7</v>
      </c>
      <c r="N35" s="188">
        <f t="shared" si="22"/>
        <v>324299.07000000012</v>
      </c>
      <c r="O35" s="188">
        <f>IF($O$11&lt;=A35,IF(+$W34&lt;=0,0,$O$8),0)</f>
        <v>2504.4299999999998</v>
      </c>
      <c r="P35" s="188">
        <f t="shared" si="33"/>
        <v>207.30999999999995</v>
      </c>
      <c r="Q35" s="188">
        <f>IF($O$11&lt;=A35,ROUND(N35*($O$7/12),2),0)</f>
        <v>2297.12</v>
      </c>
      <c r="R35" s="188">
        <f t="shared" si="6"/>
        <v>51.5</v>
      </c>
      <c r="S35" s="188">
        <f t="shared" si="7"/>
        <v>145.09666666666666</v>
      </c>
      <c r="T35" s="188">
        <f t="shared" si="8"/>
        <v>2701.0266666666666</v>
      </c>
      <c r="U35" s="188">
        <f t="shared" si="34"/>
        <v>1618.2399999999989</v>
      </c>
      <c r="V35" s="188">
        <f t="shared" si="35"/>
        <v>18417.2</v>
      </c>
      <c r="W35" s="188">
        <f t="shared" si="36"/>
        <v>324091.76000000013</v>
      </c>
      <c r="X35" s="395">
        <f t="shared" si="23"/>
        <v>46440</v>
      </c>
      <c r="Y35" s="188">
        <f t="shared" si="37"/>
        <v>324299.07000000012</v>
      </c>
      <c r="Z35" s="388">
        <f t="shared" si="9"/>
        <v>8.4999999999999992E-2</v>
      </c>
      <c r="AA35" s="188">
        <f t="shared" si="10"/>
        <v>2504.4299999999998</v>
      </c>
      <c r="AB35" s="188">
        <f t="shared" si="11"/>
        <v>207.30999999999995</v>
      </c>
      <c r="AC35" s="188">
        <f t="shared" si="12"/>
        <v>2297.12</v>
      </c>
      <c r="AD35" s="188">
        <f t="shared" si="13"/>
        <v>51.5</v>
      </c>
      <c r="AE35" s="188">
        <f t="shared" si="14"/>
        <v>145.09666666666666</v>
      </c>
      <c r="AF35" s="188">
        <f t="shared" si="15"/>
        <v>2701.0266666666666</v>
      </c>
      <c r="AG35" s="188">
        <f t="shared" si="38"/>
        <v>1618.2399999999989</v>
      </c>
      <c r="AH35" s="188">
        <f t="shared" si="39"/>
        <v>18417.2</v>
      </c>
      <c r="AI35" s="404">
        <f t="shared" si="24"/>
        <v>0</v>
      </c>
      <c r="AJ35" s="404">
        <f t="shared" si="16"/>
        <v>0</v>
      </c>
      <c r="AK35" s="404"/>
      <c r="AL35" s="188">
        <f t="shared" si="40"/>
        <v>324091.76000000013</v>
      </c>
      <c r="AM35" s="317">
        <f t="shared" si="25"/>
        <v>0</v>
      </c>
      <c r="AN35" s="14">
        <f t="shared" si="18"/>
        <v>1944.5499999999997</v>
      </c>
      <c r="AO35" s="14">
        <f>IF(W35&lt;=0,0,+$O$5-$C$2+I35-U35)</f>
        <v>203905.74000000002</v>
      </c>
      <c r="AP35" s="14">
        <f t="shared" si="19"/>
        <v>1944.5499999999997</v>
      </c>
      <c r="AS35" s="14">
        <f t="shared" si="20"/>
        <v>1944.5499999999997</v>
      </c>
      <c r="AT35" s="14">
        <f t="shared" si="26"/>
        <v>15556.399999999996</v>
      </c>
      <c r="AU35" s="188">
        <f>IF(W35&lt;=0,0,+($O$5+AV34)*$AQ$2/12)</f>
        <v>853.83577175506241</v>
      </c>
      <c r="AV35" s="188">
        <f t="shared" si="27"/>
        <v>16678.144473780038</v>
      </c>
    </row>
    <row r="36" spans="1:48">
      <c r="A36" s="395">
        <f t="shared" si="28"/>
        <v>46470</v>
      </c>
      <c r="B36" s="188">
        <f t="shared" si="21"/>
        <v>120646.18999999999</v>
      </c>
      <c r="C36" s="14">
        <f t="shared" si="3"/>
        <v>559.88</v>
      </c>
      <c r="D36" s="14">
        <f t="shared" si="29"/>
        <v>107.45999999999998</v>
      </c>
      <c r="E36" s="14">
        <f t="shared" si="4"/>
        <v>452.42</v>
      </c>
      <c r="I36" s="188">
        <f t="shared" si="41"/>
        <v>2634.44</v>
      </c>
      <c r="J36" s="188">
        <f t="shared" si="42"/>
        <v>9583.2100000000009</v>
      </c>
      <c r="K36" s="188">
        <f t="shared" si="43"/>
        <v>120538.72999999998</v>
      </c>
      <c r="L36" s="317">
        <f t="shared" si="5"/>
        <v>0</v>
      </c>
      <c r="M36" s="317">
        <f>IF(N36&lt;&gt;"",IF(N36=$O$5,0,+M35+1),0)</f>
        <v>8</v>
      </c>
      <c r="N36" s="188">
        <f t="shared" si="22"/>
        <v>324091.76000000013</v>
      </c>
      <c r="O36" s="188">
        <f>IF($O$11&lt;=A36,IF(+$W35&lt;=0,0,$O$8),0)</f>
        <v>2504.4299999999998</v>
      </c>
      <c r="P36" s="188">
        <f t="shared" si="33"/>
        <v>208.77999999999975</v>
      </c>
      <c r="Q36" s="188">
        <f>IF($O$11&lt;=A36,ROUND(N36*($O$7/12),2),0)</f>
        <v>2295.65</v>
      </c>
      <c r="R36" s="188">
        <f t="shared" si="6"/>
        <v>51.5</v>
      </c>
      <c r="S36" s="188">
        <f t="shared" si="7"/>
        <v>145.09666666666666</v>
      </c>
      <c r="T36" s="188">
        <f t="shared" si="8"/>
        <v>2701.0266666666666</v>
      </c>
      <c r="U36" s="188">
        <f t="shared" si="34"/>
        <v>1827.0199999999986</v>
      </c>
      <c r="V36" s="188">
        <f t="shared" si="35"/>
        <v>20712.850000000002</v>
      </c>
      <c r="W36" s="188">
        <f t="shared" si="36"/>
        <v>323882.9800000001</v>
      </c>
      <c r="X36" s="395">
        <f t="shared" si="23"/>
        <v>46470</v>
      </c>
      <c r="Y36" s="188">
        <f t="shared" si="37"/>
        <v>324091.76000000013</v>
      </c>
      <c r="Z36" s="388">
        <f t="shared" si="9"/>
        <v>8.4999999999999992E-2</v>
      </c>
      <c r="AA36" s="188">
        <f t="shared" si="10"/>
        <v>2504.4299999999998</v>
      </c>
      <c r="AB36" s="188">
        <f t="shared" si="11"/>
        <v>208.77999999999975</v>
      </c>
      <c r="AC36" s="188">
        <f t="shared" si="12"/>
        <v>2295.65</v>
      </c>
      <c r="AD36" s="188">
        <f t="shared" si="13"/>
        <v>51.5</v>
      </c>
      <c r="AE36" s="188">
        <f t="shared" si="14"/>
        <v>145.09666666666666</v>
      </c>
      <c r="AF36" s="188">
        <f t="shared" si="15"/>
        <v>2701.0266666666666</v>
      </c>
      <c r="AG36" s="188">
        <f t="shared" si="38"/>
        <v>1827.0199999999986</v>
      </c>
      <c r="AH36" s="188">
        <f t="shared" si="39"/>
        <v>20712.850000000002</v>
      </c>
      <c r="AI36" s="404">
        <f t="shared" si="24"/>
        <v>0</v>
      </c>
      <c r="AJ36" s="404">
        <f t="shared" si="16"/>
        <v>0</v>
      </c>
      <c r="AK36" s="404"/>
      <c r="AL36" s="188">
        <f t="shared" si="40"/>
        <v>323882.9800000001</v>
      </c>
      <c r="AM36" s="317">
        <f t="shared" si="25"/>
        <v>0</v>
      </c>
      <c r="AN36" s="14">
        <f t="shared" si="18"/>
        <v>1944.5499999999997</v>
      </c>
      <c r="AO36" s="14">
        <f>IF(W36&lt;=0,0,+$O$5-$C$2+I36-U36)</f>
        <v>203804.42</v>
      </c>
      <c r="AP36" s="14">
        <f t="shared" si="19"/>
        <v>1944.5499999999997</v>
      </c>
      <c r="AS36" s="14">
        <f t="shared" si="20"/>
        <v>1944.5499999999997</v>
      </c>
      <c r="AT36" s="14">
        <f t="shared" si="26"/>
        <v>17500.949999999997</v>
      </c>
      <c r="AU36" s="188">
        <f>IF(W36&lt;=0,0,+($O$5+AV35)*$AQ$2/12)</f>
        <v>855.9703611844501</v>
      </c>
      <c r="AV36" s="188">
        <f t="shared" si="27"/>
        <v>17534.114834964486</v>
      </c>
    </row>
    <row r="37" spans="1:48">
      <c r="A37" s="395">
        <f t="shared" si="28"/>
        <v>46500</v>
      </c>
      <c r="B37" s="188">
        <f t="shared" si="21"/>
        <v>120538.72999999998</v>
      </c>
      <c r="C37" s="14">
        <f t="shared" si="3"/>
        <v>559.88</v>
      </c>
      <c r="D37" s="14">
        <f t="shared" si="29"/>
        <v>107.86000000000001</v>
      </c>
      <c r="E37" s="14">
        <f t="shared" si="4"/>
        <v>452.02</v>
      </c>
      <c r="I37" s="188">
        <f t="shared" si="41"/>
        <v>2742.3</v>
      </c>
      <c r="J37" s="188">
        <f t="shared" si="42"/>
        <v>10035.230000000001</v>
      </c>
      <c r="K37" s="188">
        <f t="shared" si="43"/>
        <v>120430.86999999998</v>
      </c>
      <c r="L37" s="317">
        <f t="shared" si="5"/>
        <v>0</v>
      </c>
      <c r="M37" s="317">
        <f>IF(N37&lt;&gt;"",IF(N37=$O$5,0,+M36+1),0)</f>
        <v>9</v>
      </c>
      <c r="N37" s="188">
        <f t="shared" si="22"/>
        <v>323882.9800000001</v>
      </c>
      <c r="O37" s="188">
        <f>IF($O$11&lt;=A37,IF(+$W36&lt;=0,0,$O$8),0)</f>
        <v>2504.4299999999998</v>
      </c>
      <c r="P37" s="188">
        <f t="shared" si="33"/>
        <v>210.25999999999976</v>
      </c>
      <c r="Q37" s="188">
        <f>IF($O$11&lt;=A37,ROUND(N37*($O$7/12),2),0)</f>
        <v>2294.17</v>
      </c>
      <c r="R37" s="188">
        <f t="shared" si="6"/>
        <v>51.5</v>
      </c>
      <c r="S37" s="188">
        <f t="shared" si="7"/>
        <v>145.09666666666666</v>
      </c>
      <c r="T37" s="188">
        <f t="shared" si="8"/>
        <v>2701.0266666666666</v>
      </c>
      <c r="U37" s="188">
        <f t="shared" si="34"/>
        <v>2037.2799999999984</v>
      </c>
      <c r="V37" s="188">
        <f t="shared" si="35"/>
        <v>23007.020000000004</v>
      </c>
      <c r="W37" s="188">
        <f t="shared" si="36"/>
        <v>323672.72000000009</v>
      </c>
      <c r="X37" s="395">
        <f t="shared" si="23"/>
        <v>46500</v>
      </c>
      <c r="Y37" s="188">
        <f t="shared" si="37"/>
        <v>323882.9800000001</v>
      </c>
      <c r="Z37" s="388">
        <f t="shared" si="9"/>
        <v>8.4999999999999992E-2</v>
      </c>
      <c r="AA37" s="188">
        <f t="shared" si="10"/>
        <v>2504.4299999999998</v>
      </c>
      <c r="AB37" s="188">
        <f t="shared" si="11"/>
        <v>210.25999999999976</v>
      </c>
      <c r="AC37" s="188">
        <f t="shared" si="12"/>
        <v>2294.17</v>
      </c>
      <c r="AD37" s="188">
        <f t="shared" si="13"/>
        <v>51.5</v>
      </c>
      <c r="AE37" s="188">
        <f t="shared" si="14"/>
        <v>145.09666666666666</v>
      </c>
      <c r="AF37" s="188">
        <f t="shared" si="15"/>
        <v>2701.0266666666666</v>
      </c>
      <c r="AG37" s="188">
        <f t="shared" si="38"/>
        <v>2037.2799999999984</v>
      </c>
      <c r="AH37" s="188">
        <f t="shared" si="39"/>
        <v>23007.020000000004</v>
      </c>
      <c r="AI37" s="404">
        <f t="shared" si="24"/>
        <v>0</v>
      </c>
      <c r="AJ37" s="404">
        <f t="shared" si="16"/>
        <v>0</v>
      </c>
      <c r="AK37" s="404"/>
      <c r="AL37" s="188">
        <f t="shared" si="40"/>
        <v>323672.72000000009</v>
      </c>
      <c r="AM37" s="317">
        <f t="shared" si="25"/>
        <v>0</v>
      </c>
      <c r="AN37" s="14">
        <f t="shared" si="18"/>
        <v>1944.5499999999997</v>
      </c>
      <c r="AO37" s="14">
        <f>IF(W37&lt;=0,0,+$O$5-$C$2+I37-U37)</f>
        <v>203702.02</v>
      </c>
      <c r="AP37" s="14">
        <f t="shared" si="19"/>
        <v>1944.5499999999997</v>
      </c>
      <c r="AS37" s="14">
        <f t="shared" si="20"/>
        <v>1944.5499999999997</v>
      </c>
      <c r="AT37" s="14">
        <f t="shared" si="26"/>
        <v>19445.499999999996</v>
      </c>
      <c r="AU37" s="188">
        <f>IF(W37&lt;=0,0,+($O$5+AV36)*$AQ$2/12)</f>
        <v>858.11028708741117</v>
      </c>
      <c r="AV37" s="188">
        <f t="shared" si="27"/>
        <v>18392.225122051899</v>
      </c>
    </row>
    <row r="38" spans="1:48">
      <c r="A38" s="395">
        <f t="shared" si="28"/>
        <v>46530</v>
      </c>
      <c r="B38" s="188">
        <f t="shared" si="21"/>
        <v>120430.86999999998</v>
      </c>
      <c r="C38" s="14">
        <f t="shared" si="3"/>
        <v>559.88</v>
      </c>
      <c r="D38" s="14">
        <f t="shared" si="29"/>
        <v>108.25999999999999</v>
      </c>
      <c r="E38" s="14">
        <f t="shared" si="4"/>
        <v>451.62</v>
      </c>
      <c r="I38" s="188">
        <f t="shared" si="41"/>
        <v>2850.5600000000004</v>
      </c>
      <c r="J38" s="188">
        <f t="shared" si="42"/>
        <v>10486.850000000002</v>
      </c>
      <c r="K38" s="188">
        <f t="shared" si="43"/>
        <v>120322.60999999999</v>
      </c>
      <c r="L38" s="317">
        <f t="shared" si="5"/>
        <v>0</v>
      </c>
      <c r="M38" s="317">
        <f>IF(N38&lt;&gt;"",IF(N38=$O$5,0,+M37+1),0)</f>
        <v>10</v>
      </c>
      <c r="N38" s="188">
        <f t="shared" si="22"/>
        <v>323672.72000000009</v>
      </c>
      <c r="O38" s="188">
        <f>IF($O$11&lt;=A38,IF(+$W37&lt;=0,0,$O$8),0)</f>
        <v>2504.4299999999998</v>
      </c>
      <c r="P38" s="188">
        <f t="shared" si="33"/>
        <v>211.75</v>
      </c>
      <c r="Q38" s="188">
        <f>IF($O$11&lt;=A38,ROUND(N38*($O$7/12),2),0)</f>
        <v>2292.6799999999998</v>
      </c>
      <c r="R38" s="188">
        <f t="shared" si="6"/>
        <v>51.5</v>
      </c>
      <c r="S38" s="188">
        <f t="shared" si="7"/>
        <v>145.09666666666666</v>
      </c>
      <c r="T38" s="188">
        <f t="shared" si="8"/>
        <v>2701.0266666666666</v>
      </c>
      <c r="U38" s="188">
        <f t="shared" si="34"/>
        <v>2249.0299999999984</v>
      </c>
      <c r="V38" s="188">
        <f t="shared" si="35"/>
        <v>25299.700000000004</v>
      </c>
      <c r="W38" s="188">
        <f t="shared" si="36"/>
        <v>323460.97000000009</v>
      </c>
      <c r="X38" s="395">
        <f t="shared" si="23"/>
        <v>46530</v>
      </c>
      <c r="Y38" s="188">
        <f t="shared" si="37"/>
        <v>323672.72000000009</v>
      </c>
      <c r="Z38" s="388">
        <f t="shared" si="9"/>
        <v>8.4999999999999992E-2</v>
      </c>
      <c r="AA38" s="188">
        <f t="shared" si="10"/>
        <v>2504.4299999999998</v>
      </c>
      <c r="AB38" s="188">
        <f t="shared" si="11"/>
        <v>211.75</v>
      </c>
      <c r="AC38" s="188">
        <f t="shared" si="12"/>
        <v>2292.6799999999998</v>
      </c>
      <c r="AD38" s="188">
        <f t="shared" si="13"/>
        <v>51.5</v>
      </c>
      <c r="AE38" s="188">
        <f t="shared" si="14"/>
        <v>145.09666666666666</v>
      </c>
      <c r="AF38" s="188">
        <f t="shared" si="15"/>
        <v>2701.0266666666666</v>
      </c>
      <c r="AG38" s="188">
        <f t="shared" si="38"/>
        <v>2249.0299999999984</v>
      </c>
      <c r="AH38" s="188">
        <f t="shared" si="39"/>
        <v>25299.700000000004</v>
      </c>
      <c r="AI38" s="404">
        <f t="shared" si="24"/>
        <v>0</v>
      </c>
      <c r="AJ38" s="404">
        <f t="shared" si="16"/>
        <v>0</v>
      </c>
      <c r="AK38" s="404"/>
      <c r="AL38" s="188">
        <f t="shared" si="40"/>
        <v>323460.97000000009</v>
      </c>
      <c r="AM38" s="317">
        <f t="shared" si="25"/>
        <v>0</v>
      </c>
      <c r="AN38" s="14">
        <f t="shared" si="18"/>
        <v>1944.5499999999997</v>
      </c>
      <c r="AO38" s="14">
        <f>IF(W38&lt;=0,0,+$O$5-$C$2+I38-U38)</f>
        <v>203598.53</v>
      </c>
      <c r="AP38" s="14">
        <f t="shared" si="19"/>
        <v>1944.5499999999997</v>
      </c>
      <c r="AS38" s="14">
        <f t="shared" si="20"/>
        <v>1944.5499999999997</v>
      </c>
      <c r="AT38" s="14">
        <f t="shared" si="26"/>
        <v>21390.049999999996</v>
      </c>
      <c r="AU38" s="188">
        <f>IF(W38&lt;=0,0,+($O$5+AV37)*$AQ$2/12)</f>
        <v>860.25556280512967</v>
      </c>
      <c r="AV38" s="188">
        <f t="shared" si="27"/>
        <v>19252.48068485703</v>
      </c>
    </row>
    <row r="39" spans="1:48" ht="15.75" thickBot="1">
      <c r="A39" s="398">
        <f t="shared" si="28"/>
        <v>46560</v>
      </c>
      <c r="B39" s="237">
        <f t="shared" si="21"/>
        <v>120322.60999999999</v>
      </c>
      <c r="C39" s="21">
        <f t="shared" si="3"/>
        <v>559.88</v>
      </c>
      <c r="D39" s="21">
        <f t="shared" si="29"/>
        <v>108.67000000000002</v>
      </c>
      <c r="E39" s="21">
        <f t="shared" si="4"/>
        <v>451.21</v>
      </c>
      <c r="F39" s="21"/>
      <c r="G39" s="21"/>
      <c r="H39" s="21"/>
      <c r="I39" s="237">
        <f t="shared" si="41"/>
        <v>2959.2300000000005</v>
      </c>
      <c r="J39" s="237">
        <f t="shared" si="42"/>
        <v>10938.060000000001</v>
      </c>
      <c r="K39" s="237">
        <f t="shared" si="43"/>
        <v>120213.93999999999</v>
      </c>
      <c r="L39" s="318">
        <f t="shared" si="5"/>
        <v>0</v>
      </c>
      <c r="M39" s="318">
        <f>IF(N39&lt;&gt;"",IF(N39=$O$5,0,+M38+1),0)</f>
        <v>11</v>
      </c>
      <c r="N39" s="237">
        <f t="shared" si="22"/>
        <v>323460.97000000009</v>
      </c>
      <c r="O39" s="237">
        <f>IF($O$11&lt;=A39,IF(+$W38&lt;=0,0,$O$8),0)</f>
        <v>2504.4299999999998</v>
      </c>
      <c r="P39" s="237">
        <f t="shared" si="33"/>
        <v>213.25</v>
      </c>
      <c r="Q39" s="237">
        <f>IF($O$11&lt;=A39,ROUND(N39*($O$7/12),2),0)</f>
        <v>2291.1799999999998</v>
      </c>
      <c r="R39" s="237">
        <f t="shared" si="6"/>
        <v>51.5</v>
      </c>
      <c r="S39" s="237">
        <f t="shared" si="7"/>
        <v>145.09666666666666</v>
      </c>
      <c r="T39" s="237">
        <f t="shared" si="8"/>
        <v>2701.0266666666666</v>
      </c>
      <c r="U39" s="237">
        <f t="shared" si="34"/>
        <v>2462.2799999999984</v>
      </c>
      <c r="V39" s="237">
        <f t="shared" si="35"/>
        <v>27590.880000000005</v>
      </c>
      <c r="W39" s="237">
        <f t="shared" si="36"/>
        <v>323247.72000000009</v>
      </c>
      <c r="X39" s="398">
        <f t="shared" si="23"/>
        <v>46560</v>
      </c>
      <c r="Y39" s="237">
        <f t="shared" si="37"/>
        <v>323460.97000000009</v>
      </c>
      <c r="Z39" s="389">
        <f t="shared" si="9"/>
        <v>8.4999999999999992E-2</v>
      </c>
      <c r="AA39" s="237">
        <f t="shared" si="10"/>
        <v>2504.4299999999998</v>
      </c>
      <c r="AB39" s="237">
        <f t="shared" si="11"/>
        <v>213.25</v>
      </c>
      <c r="AC39" s="237">
        <f t="shared" si="12"/>
        <v>2291.1799999999998</v>
      </c>
      <c r="AD39" s="237">
        <f t="shared" si="13"/>
        <v>51.5</v>
      </c>
      <c r="AE39" s="237">
        <f t="shared" si="14"/>
        <v>145.09666666666666</v>
      </c>
      <c r="AF39" s="237">
        <f t="shared" si="15"/>
        <v>2701.0266666666666</v>
      </c>
      <c r="AG39" s="237">
        <f t="shared" si="38"/>
        <v>2462.2799999999984</v>
      </c>
      <c r="AH39" s="237">
        <f t="shared" si="39"/>
        <v>27590.880000000005</v>
      </c>
      <c r="AI39" s="405">
        <f t="shared" si="24"/>
        <v>0</v>
      </c>
      <c r="AJ39" s="405">
        <f t="shared" si="16"/>
        <v>0</v>
      </c>
      <c r="AK39" s="405"/>
      <c r="AL39" s="237">
        <f t="shared" si="40"/>
        <v>323247.72000000009</v>
      </c>
      <c r="AM39" s="318">
        <f t="shared" si="25"/>
        <v>0</v>
      </c>
      <c r="AN39" s="21">
        <f t="shared" si="18"/>
        <v>1944.5499999999997</v>
      </c>
      <c r="AO39" s="21">
        <f>IF(W39&lt;=0,0,+$O$5-$C$2+I39-U39)</f>
        <v>203493.95</v>
      </c>
      <c r="AP39" s="21">
        <f t="shared" si="19"/>
        <v>1944.5499999999997</v>
      </c>
      <c r="AQ39" s="21"/>
      <c r="AR39" s="23"/>
      <c r="AS39" s="21">
        <f t="shared" si="20"/>
        <v>1944.5499999999997</v>
      </c>
      <c r="AT39" s="21">
        <f t="shared" si="26"/>
        <v>23334.599999999995</v>
      </c>
      <c r="AU39" s="237">
        <f>IF(W39&lt;=0,0,+($O$5+AV38)*$AQ$2/12)</f>
        <v>862.40620171214243</v>
      </c>
      <c r="AV39" s="237">
        <f t="shared" si="27"/>
        <v>20114.886886569173</v>
      </c>
    </row>
    <row r="40" spans="1:48">
      <c r="A40" s="395">
        <f t="shared" si="28"/>
        <v>46590</v>
      </c>
      <c r="B40" s="188">
        <f t="shared" si="21"/>
        <v>120213.93999999999</v>
      </c>
      <c r="C40" s="14">
        <f t="shared" si="3"/>
        <v>559.88</v>
      </c>
      <c r="D40" s="14">
        <f t="shared" si="29"/>
        <v>109.07999999999998</v>
      </c>
      <c r="E40" s="14">
        <f t="shared" si="4"/>
        <v>450.8</v>
      </c>
      <c r="I40" s="188">
        <f t="shared" si="41"/>
        <v>3068.3100000000004</v>
      </c>
      <c r="J40" s="188">
        <f t="shared" si="42"/>
        <v>11388.86</v>
      </c>
      <c r="K40" s="188">
        <f t="shared" si="43"/>
        <v>120104.85999999999</v>
      </c>
      <c r="L40" s="317">
        <f t="shared" si="5"/>
        <v>1</v>
      </c>
      <c r="M40" s="317">
        <f>IF(N40&lt;&gt;"",IF(N40=$O$5,0,+M39+1),0)</f>
        <v>12</v>
      </c>
      <c r="N40" s="188">
        <f t="shared" si="22"/>
        <v>323247.72000000009</v>
      </c>
      <c r="O40" s="188">
        <f>IF($O$11&lt;=A40,IF(+$W39&lt;=0,0,$O$8),0)</f>
        <v>2504.4299999999998</v>
      </c>
      <c r="P40" s="188">
        <f t="shared" si="33"/>
        <v>214.75999999999976</v>
      </c>
      <c r="Q40" s="188">
        <f>IF($O$11&lt;=A40,ROUND(N40*($O$7/12),2),0)</f>
        <v>2289.67</v>
      </c>
      <c r="R40" s="188">
        <f t="shared" si="6"/>
        <v>51.5</v>
      </c>
      <c r="S40" s="188">
        <f t="shared" si="7"/>
        <v>145.09666666666666</v>
      </c>
      <c r="T40" s="188">
        <f t="shared" si="8"/>
        <v>2701.0266666666666</v>
      </c>
      <c r="U40" s="188">
        <f t="shared" si="34"/>
        <v>2677.0399999999981</v>
      </c>
      <c r="V40" s="188">
        <f t="shared" si="35"/>
        <v>29880.550000000003</v>
      </c>
      <c r="W40" s="188">
        <f t="shared" si="36"/>
        <v>323032.96000000008</v>
      </c>
      <c r="X40" s="395">
        <f t="shared" si="23"/>
        <v>46590</v>
      </c>
      <c r="Y40" s="188">
        <f t="shared" si="37"/>
        <v>323247.72000000009</v>
      </c>
      <c r="Z40" s="388">
        <f t="shared" si="9"/>
        <v>8.4999999999999992E-2</v>
      </c>
      <c r="AA40" s="188">
        <f t="shared" si="10"/>
        <v>2504.4299999999998</v>
      </c>
      <c r="AB40" s="188">
        <f t="shared" si="11"/>
        <v>214.75999999999976</v>
      </c>
      <c r="AC40" s="188">
        <f t="shared" si="12"/>
        <v>2289.67</v>
      </c>
      <c r="AD40" s="188">
        <f t="shared" si="13"/>
        <v>51.5</v>
      </c>
      <c r="AE40" s="188">
        <f t="shared" si="14"/>
        <v>145.09666666666666</v>
      </c>
      <c r="AF40" s="188">
        <f t="shared" si="15"/>
        <v>2701.0266666666666</v>
      </c>
      <c r="AG40" s="188">
        <f t="shared" si="38"/>
        <v>2677.0399999999981</v>
      </c>
      <c r="AH40" s="188">
        <f t="shared" si="39"/>
        <v>29880.550000000003</v>
      </c>
      <c r="AI40" s="404">
        <f t="shared" si="24"/>
        <v>0</v>
      </c>
      <c r="AJ40" s="404">
        <f t="shared" si="16"/>
        <v>0</v>
      </c>
      <c r="AK40" s="404"/>
      <c r="AL40" s="188">
        <f t="shared" si="40"/>
        <v>323032.96000000008</v>
      </c>
      <c r="AM40" s="317">
        <f t="shared" si="25"/>
        <v>1</v>
      </c>
      <c r="AN40" s="14">
        <f t="shared" si="18"/>
        <v>1944.5499999999997</v>
      </c>
      <c r="AO40" s="14">
        <f>IF(W40&lt;=0,0,+$O$5-$C$2+I40-U40)</f>
        <v>203388.27</v>
      </c>
      <c r="AP40" s="14">
        <f t="shared" si="19"/>
        <v>1944.5499999999997</v>
      </c>
      <c r="AS40" s="14">
        <f t="shared" si="20"/>
        <v>1944.5499999999997</v>
      </c>
      <c r="AT40" s="14">
        <f t="shared" si="26"/>
        <v>25279.149999999994</v>
      </c>
      <c r="AU40" s="188">
        <f>IF(W40&lt;=0,0,+($O$5+AV39)*$AQ$2/12)</f>
        <v>864.56221721642294</v>
      </c>
      <c r="AV40" s="188">
        <f t="shared" si="27"/>
        <v>20979.449103785595</v>
      </c>
    </row>
    <row r="41" spans="1:48">
      <c r="A41" s="395">
        <f t="shared" si="28"/>
        <v>46620</v>
      </c>
      <c r="B41" s="188">
        <f t="shared" si="21"/>
        <v>120104.85999999999</v>
      </c>
      <c r="C41" s="14">
        <f t="shared" si="3"/>
        <v>559.88</v>
      </c>
      <c r="D41" s="14">
        <f t="shared" si="29"/>
        <v>109.49000000000001</v>
      </c>
      <c r="E41" s="14">
        <f t="shared" si="4"/>
        <v>450.39</v>
      </c>
      <c r="I41" s="188">
        <f t="shared" si="41"/>
        <v>3177.8</v>
      </c>
      <c r="J41" s="188">
        <f t="shared" si="42"/>
        <v>11839.25</v>
      </c>
      <c r="K41" s="188">
        <f t="shared" si="43"/>
        <v>119995.36999999998</v>
      </c>
      <c r="L41" s="317">
        <f t="shared" si="5"/>
        <v>1</v>
      </c>
      <c r="M41" s="317">
        <f>IF(N41&lt;&gt;"",IF(N41=$O$5,0,+M40+1),0)</f>
        <v>13</v>
      </c>
      <c r="N41" s="188">
        <f t="shared" si="22"/>
        <v>323032.96000000008</v>
      </c>
      <c r="O41" s="188">
        <f>IF($O$11&lt;=A41,IF(+$W40&lt;=0,0,$O$8),0)</f>
        <v>2504.4299999999998</v>
      </c>
      <c r="P41" s="188">
        <f t="shared" si="33"/>
        <v>216.27999999999975</v>
      </c>
      <c r="Q41" s="188">
        <f>IF($O$11&lt;=A41,ROUND(N41*($O$7/12),2),0)</f>
        <v>2288.15</v>
      </c>
      <c r="R41" s="188">
        <f t="shared" si="6"/>
        <v>51.5</v>
      </c>
      <c r="S41" s="188">
        <f t="shared" si="7"/>
        <v>145.09666666666666</v>
      </c>
      <c r="T41" s="188">
        <f t="shared" si="8"/>
        <v>2701.0266666666666</v>
      </c>
      <c r="U41" s="188">
        <f t="shared" si="34"/>
        <v>2893.3199999999979</v>
      </c>
      <c r="V41" s="188">
        <f t="shared" si="35"/>
        <v>32168.700000000004</v>
      </c>
      <c r="W41" s="188">
        <f t="shared" si="36"/>
        <v>322816.68000000005</v>
      </c>
      <c r="X41" s="395">
        <f t="shared" si="23"/>
        <v>46620</v>
      </c>
      <c r="Y41" s="188">
        <f t="shared" si="37"/>
        <v>323032.96000000008</v>
      </c>
      <c r="Z41" s="388">
        <f t="shared" si="9"/>
        <v>8.4999999999999992E-2</v>
      </c>
      <c r="AA41" s="188">
        <f t="shared" si="10"/>
        <v>2504.4299999999998</v>
      </c>
      <c r="AB41" s="188">
        <f t="shared" si="11"/>
        <v>216.27999999999975</v>
      </c>
      <c r="AC41" s="188">
        <f t="shared" si="12"/>
        <v>2288.15</v>
      </c>
      <c r="AD41" s="188">
        <f t="shared" si="13"/>
        <v>51.5</v>
      </c>
      <c r="AE41" s="188">
        <f t="shared" si="14"/>
        <v>145.09666666666666</v>
      </c>
      <c r="AF41" s="188">
        <f t="shared" si="15"/>
        <v>2701.0266666666666</v>
      </c>
      <c r="AG41" s="188">
        <f t="shared" si="38"/>
        <v>2893.3199999999979</v>
      </c>
      <c r="AH41" s="188">
        <f t="shared" si="39"/>
        <v>32168.700000000004</v>
      </c>
      <c r="AI41" s="404">
        <f t="shared" si="24"/>
        <v>0</v>
      </c>
      <c r="AJ41" s="404">
        <f t="shared" si="16"/>
        <v>0</v>
      </c>
      <c r="AK41" s="404"/>
      <c r="AL41" s="188">
        <f t="shared" si="40"/>
        <v>322816.68000000005</v>
      </c>
      <c r="AM41" s="317">
        <f t="shared" si="25"/>
        <v>1</v>
      </c>
      <c r="AN41" s="14">
        <f t="shared" si="18"/>
        <v>1944.5499999999997</v>
      </c>
      <c r="AO41" s="14">
        <f>IF(W41&lt;=0,0,+$O$5-$C$2+I41-U41)</f>
        <v>203281.47999999998</v>
      </c>
      <c r="AP41" s="14">
        <f t="shared" si="19"/>
        <v>1944.5499999999997</v>
      </c>
      <c r="AS41" s="14">
        <f t="shared" si="20"/>
        <v>1944.5499999999997</v>
      </c>
      <c r="AT41" s="14">
        <f t="shared" si="26"/>
        <v>27223.699999999993</v>
      </c>
      <c r="AU41" s="188">
        <f>IF(W41&lt;=0,0,+($O$5+AV40)*$AQ$2/12)</f>
        <v>866.72362275946398</v>
      </c>
      <c r="AV41" s="188">
        <f t="shared" si="27"/>
        <v>21846.172726545061</v>
      </c>
    </row>
    <row r="42" spans="1:48">
      <c r="A42" s="395">
        <f t="shared" si="28"/>
        <v>46650</v>
      </c>
      <c r="B42" s="188">
        <f t="shared" si="21"/>
        <v>119995.36999999998</v>
      </c>
      <c r="C42" s="14">
        <f t="shared" si="3"/>
        <v>559.88</v>
      </c>
      <c r="D42" s="14">
        <f t="shared" si="29"/>
        <v>109.89999999999998</v>
      </c>
      <c r="E42" s="14">
        <f t="shared" si="4"/>
        <v>449.98</v>
      </c>
      <c r="I42" s="188">
        <f t="shared" si="41"/>
        <v>3287.7000000000003</v>
      </c>
      <c r="J42" s="188">
        <f t="shared" si="42"/>
        <v>12289.23</v>
      </c>
      <c r="K42" s="188">
        <f t="shared" si="43"/>
        <v>119885.46999999999</v>
      </c>
      <c r="L42" s="317">
        <f t="shared" si="5"/>
        <v>1</v>
      </c>
      <c r="M42" s="317">
        <f>IF(N42&lt;&gt;"",IF(N42=$O$5,0,+M41+1),0)</f>
        <v>14</v>
      </c>
      <c r="N42" s="188">
        <f t="shared" si="22"/>
        <v>322816.68000000005</v>
      </c>
      <c r="O42" s="188">
        <f>IF($O$11&lt;=A42,IF(+$W41&lt;=0,0,$O$8),0)</f>
        <v>2504.4299999999998</v>
      </c>
      <c r="P42" s="188">
        <f t="shared" si="33"/>
        <v>217.80999999999995</v>
      </c>
      <c r="Q42" s="188">
        <f>IF($O$11&lt;=A42,ROUND(N42*($O$7/12),2),0)</f>
        <v>2286.62</v>
      </c>
      <c r="R42" s="188">
        <f t="shared" si="6"/>
        <v>51.5</v>
      </c>
      <c r="S42" s="188">
        <f t="shared" si="7"/>
        <v>145.09666666666666</v>
      </c>
      <c r="T42" s="188">
        <f t="shared" si="8"/>
        <v>2701.0266666666666</v>
      </c>
      <c r="U42" s="188">
        <f t="shared" si="34"/>
        <v>3111.1299999999978</v>
      </c>
      <c r="V42" s="188">
        <f t="shared" si="35"/>
        <v>34455.320000000007</v>
      </c>
      <c r="W42" s="188">
        <f t="shared" si="36"/>
        <v>322598.87000000005</v>
      </c>
      <c r="X42" s="395">
        <f t="shared" si="23"/>
        <v>46650</v>
      </c>
      <c r="Y42" s="188">
        <f t="shared" si="37"/>
        <v>322816.68000000005</v>
      </c>
      <c r="Z42" s="388">
        <f t="shared" si="9"/>
        <v>8.4999999999999992E-2</v>
      </c>
      <c r="AA42" s="188">
        <f t="shared" si="10"/>
        <v>2504.4299999999998</v>
      </c>
      <c r="AB42" s="188">
        <f t="shared" si="11"/>
        <v>217.80999999999995</v>
      </c>
      <c r="AC42" s="188">
        <f t="shared" si="12"/>
        <v>2286.62</v>
      </c>
      <c r="AD42" s="188">
        <f t="shared" si="13"/>
        <v>51.5</v>
      </c>
      <c r="AE42" s="188">
        <f t="shared" si="14"/>
        <v>145.09666666666666</v>
      </c>
      <c r="AF42" s="188">
        <f t="shared" si="15"/>
        <v>2701.0266666666666</v>
      </c>
      <c r="AG42" s="188">
        <f t="shared" si="38"/>
        <v>3111.1299999999978</v>
      </c>
      <c r="AH42" s="188">
        <f t="shared" si="39"/>
        <v>34455.320000000007</v>
      </c>
      <c r="AI42" s="404">
        <f t="shared" si="24"/>
        <v>0</v>
      </c>
      <c r="AJ42" s="404">
        <f t="shared" si="16"/>
        <v>0</v>
      </c>
      <c r="AK42" s="404"/>
      <c r="AL42" s="188">
        <f t="shared" si="40"/>
        <v>322598.87000000005</v>
      </c>
      <c r="AM42" s="317">
        <f t="shared" si="25"/>
        <v>1</v>
      </c>
      <c r="AN42" s="14">
        <f t="shared" si="18"/>
        <v>1944.5499999999997</v>
      </c>
      <c r="AO42" s="14">
        <f>IF(W42&lt;=0,0,+$O$5-$C$2+I42-U42)</f>
        <v>203173.57</v>
      </c>
      <c r="AP42" s="14">
        <f t="shared" si="19"/>
        <v>1944.5499999999997</v>
      </c>
      <c r="AS42" s="14">
        <f t="shared" si="20"/>
        <v>1944.5499999999997</v>
      </c>
      <c r="AT42" s="14">
        <f t="shared" si="26"/>
        <v>29168.249999999993</v>
      </c>
      <c r="AU42" s="188">
        <f>IF(W42&lt;=0,0,+($O$5+AV41)*$AQ$2/12)</f>
        <v>868.89043181636271</v>
      </c>
      <c r="AV42" s="188">
        <f t="shared" si="27"/>
        <v>22715.063158361423</v>
      </c>
    </row>
    <row r="43" spans="1:48">
      <c r="A43" s="395">
        <f t="shared" si="28"/>
        <v>46680</v>
      </c>
      <c r="B43" s="188">
        <f t="shared" si="21"/>
        <v>119885.46999999999</v>
      </c>
      <c r="C43" s="14">
        <f t="shared" si="3"/>
        <v>559.88</v>
      </c>
      <c r="D43" s="14">
        <f t="shared" si="29"/>
        <v>110.31</v>
      </c>
      <c r="E43" s="14">
        <f t="shared" si="4"/>
        <v>449.57</v>
      </c>
      <c r="I43" s="188">
        <f t="shared" si="41"/>
        <v>3398.01</v>
      </c>
      <c r="J43" s="188">
        <f t="shared" si="42"/>
        <v>12738.8</v>
      </c>
      <c r="K43" s="188">
        <f t="shared" si="43"/>
        <v>119775.15999999999</v>
      </c>
      <c r="L43" s="317">
        <f t="shared" si="5"/>
        <v>1</v>
      </c>
      <c r="M43" s="317">
        <f>IF(N43&lt;&gt;"",IF(N43=$O$5,0,+M42+1),0)</f>
        <v>15</v>
      </c>
      <c r="N43" s="188">
        <f t="shared" si="22"/>
        <v>322598.87000000005</v>
      </c>
      <c r="O43" s="188">
        <f>IF($O$11&lt;=A43,IF(+$W42&lt;=0,0,$O$8),0)</f>
        <v>2504.4299999999998</v>
      </c>
      <c r="P43" s="188">
        <f t="shared" si="33"/>
        <v>219.34999999999991</v>
      </c>
      <c r="Q43" s="188">
        <f>IF($O$11&lt;=A43,ROUND(N43*($O$7/12),2),0)</f>
        <v>2285.08</v>
      </c>
      <c r="R43" s="188">
        <f t="shared" si="6"/>
        <v>51.5</v>
      </c>
      <c r="S43" s="188">
        <f t="shared" si="7"/>
        <v>145.09666666666666</v>
      </c>
      <c r="T43" s="188">
        <f t="shared" si="8"/>
        <v>2701.0266666666666</v>
      </c>
      <c r="U43" s="188">
        <f t="shared" si="34"/>
        <v>3330.4799999999977</v>
      </c>
      <c r="V43" s="188">
        <f t="shared" si="35"/>
        <v>36740.400000000009</v>
      </c>
      <c r="W43" s="188">
        <f t="shared" si="36"/>
        <v>322379.52000000008</v>
      </c>
      <c r="X43" s="395">
        <f t="shared" si="23"/>
        <v>46680</v>
      </c>
      <c r="Y43" s="188">
        <f t="shared" si="37"/>
        <v>322598.87000000005</v>
      </c>
      <c r="Z43" s="388">
        <f t="shared" si="9"/>
        <v>8.4999999999999992E-2</v>
      </c>
      <c r="AA43" s="188">
        <f t="shared" si="10"/>
        <v>2504.4299999999998</v>
      </c>
      <c r="AB43" s="188">
        <f t="shared" si="11"/>
        <v>219.34999999999991</v>
      </c>
      <c r="AC43" s="188">
        <f t="shared" si="12"/>
        <v>2285.08</v>
      </c>
      <c r="AD43" s="188">
        <f t="shared" si="13"/>
        <v>51.5</v>
      </c>
      <c r="AE43" s="188">
        <f t="shared" si="14"/>
        <v>145.09666666666666</v>
      </c>
      <c r="AF43" s="188">
        <f t="shared" si="15"/>
        <v>2701.0266666666666</v>
      </c>
      <c r="AG43" s="188">
        <f t="shared" si="38"/>
        <v>3330.4799999999977</v>
      </c>
      <c r="AH43" s="188">
        <f t="shared" si="39"/>
        <v>36740.400000000009</v>
      </c>
      <c r="AI43" s="404">
        <f t="shared" si="24"/>
        <v>0</v>
      </c>
      <c r="AJ43" s="404">
        <f t="shared" si="16"/>
        <v>0</v>
      </c>
      <c r="AK43" s="404"/>
      <c r="AL43" s="188">
        <f t="shared" si="40"/>
        <v>322379.52000000008</v>
      </c>
      <c r="AM43" s="317">
        <f t="shared" si="25"/>
        <v>1</v>
      </c>
      <c r="AN43" s="14">
        <f t="shared" si="18"/>
        <v>1944.5499999999997</v>
      </c>
      <c r="AO43" s="14">
        <f>IF(W43&lt;=0,0,+$O$5-$C$2+I43-U43)</f>
        <v>203064.53</v>
      </c>
      <c r="AP43" s="14">
        <f t="shared" si="19"/>
        <v>1944.5499999999997</v>
      </c>
      <c r="AS43" s="14">
        <f t="shared" si="20"/>
        <v>1944.5499999999997</v>
      </c>
      <c r="AT43" s="14">
        <f t="shared" si="26"/>
        <v>31112.799999999992</v>
      </c>
      <c r="AU43" s="188">
        <f>IF(W43&lt;=0,0,+($O$5+AV42)*$AQ$2/12)</f>
        <v>871.0626578959035</v>
      </c>
      <c r="AV43" s="188">
        <f t="shared" si="27"/>
        <v>23586.125816257325</v>
      </c>
    </row>
    <row r="44" spans="1:48">
      <c r="A44" s="395">
        <f t="shared" si="28"/>
        <v>46710</v>
      </c>
      <c r="B44" s="188">
        <f t="shared" si="21"/>
        <v>119775.15999999999</v>
      </c>
      <c r="C44" s="14">
        <f t="shared" si="3"/>
        <v>559.88</v>
      </c>
      <c r="D44" s="14">
        <f t="shared" si="29"/>
        <v>110.71999999999997</v>
      </c>
      <c r="E44" s="14">
        <f t="shared" si="4"/>
        <v>449.16</v>
      </c>
      <c r="I44" s="188">
        <f t="shared" si="41"/>
        <v>3508.73</v>
      </c>
      <c r="J44" s="188">
        <f t="shared" si="42"/>
        <v>13187.96</v>
      </c>
      <c r="K44" s="188">
        <f t="shared" si="43"/>
        <v>119664.43999999999</v>
      </c>
      <c r="L44" s="317">
        <f t="shared" si="5"/>
        <v>1</v>
      </c>
      <c r="M44" s="317">
        <f>IF(N44&lt;&gt;"",IF(N44=$O$5,0,+M43+1),0)</f>
        <v>16</v>
      </c>
      <c r="N44" s="188">
        <f t="shared" si="22"/>
        <v>322379.52000000008</v>
      </c>
      <c r="O44" s="188">
        <f>IF($O$11&lt;=A44,IF(+$W43&lt;=0,0,$O$8),0)</f>
        <v>2504.4299999999998</v>
      </c>
      <c r="P44" s="188">
        <f t="shared" si="33"/>
        <v>220.90999999999985</v>
      </c>
      <c r="Q44" s="188">
        <f>IF($O$11&lt;=A44,ROUND(N44*($O$7/12),2),0)</f>
        <v>2283.52</v>
      </c>
      <c r="R44" s="188">
        <f t="shared" si="6"/>
        <v>51.5</v>
      </c>
      <c r="S44" s="188">
        <f t="shared" si="7"/>
        <v>145.09666666666666</v>
      </c>
      <c r="T44" s="188">
        <f t="shared" si="8"/>
        <v>2701.0266666666666</v>
      </c>
      <c r="U44" s="188">
        <f t="shared" si="34"/>
        <v>3551.3899999999976</v>
      </c>
      <c r="V44" s="188">
        <f t="shared" si="35"/>
        <v>39023.920000000006</v>
      </c>
      <c r="W44" s="188">
        <f t="shared" si="36"/>
        <v>322158.6100000001</v>
      </c>
      <c r="X44" s="395">
        <f t="shared" si="23"/>
        <v>46710</v>
      </c>
      <c r="Y44" s="188">
        <f t="shared" si="37"/>
        <v>322379.52000000008</v>
      </c>
      <c r="Z44" s="388">
        <f t="shared" si="9"/>
        <v>8.4999999999999992E-2</v>
      </c>
      <c r="AA44" s="188">
        <f t="shared" si="10"/>
        <v>2504.4299999999998</v>
      </c>
      <c r="AB44" s="188">
        <f t="shared" si="11"/>
        <v>220.90999999999985</v>
      </c>
      <c r="AC44" s="188">
        <f t="shared" si="12"/>
        <v>2283.52</v>
      </c>
      <c r="AD44" s="188">
        <f t="shared" si="13"/>
        <v>51.5</v>
      </c>
      <c r="AE44" s="188">
        <f t="shared" si="14"/>
        <v>145.09666666666666</v>
      </c>
      <c r="AF44" s="188">
        <f t="shared" si="15"/>
        <v>2701.0266666666666</v>
      </c>
      <c r="AG44" s="188">
        <f t="shared" si="38"/>
        <v>3551.3899999999976</v>
      </c>
      <c r="AH44" s="188">
        <f t="shared" si="39"/>
        <v>39023.920000000006</v>
      </c>
      <c r="AI44" s="404">
        <f t="shared" si="24"/>
        <v>0</v>
      </c>
      <c r="AJ44" s="404">
        <f t="shared" si="16"/>
        <v>0</v>
      </c>
      <c r="AK44" s="404"/>
      <c r="AL44" s="188">
        <f t="shared" si="40"/>
        <v>322158.6100000001</v>
      </c>
      <c r="AM44" s="317">
        <f t="shared" si="25"/>
        <v>1</v>
      </c>
      <c r="AN44" s="14">
        <f t="shared" si="18"/>
        <v>1944.5499999999997</v>
      </c>
      <c r="AO44" s="14">
        <f>IF(W44&lt;=0,0,+$O$5-$C$2+I44-U44)</f>
        <v>202954.34000000003</v>
      </c>
      <c r="AP44" s="14">
        <f t="shared" si="19"/>
        <v>1944.5499999999997</v>
      </c>
      <c r="AS44" s="14">
        <f t="shared" si="20"/>
        <v>1944.5499999999997</v>
      </c>
      <c r="AT44" s="14">
        <f t="shared" si="26"/>
        <v>33057.349999999991</v>
      </c>
      <c r="AU44" s="188">
        <f>IF(W44&lt;=0,0,+($O$5+AV43)*$AQ$2/12)</f>
        <v>873.24031454064334</v>
      </c>
      <c r="AV44" s="188">
        <f t="shared" si="27"/>
        <v>24459.366130797967</v>
      </c>
    </row>
    <row r="45" spans="1:48">
      <c r="A45" s="395">
        <f t="shared" si="28"/>
        <v>46740</v>
      </c>
      <c r="B45" s="188">
        <f t="shared" si="21"/>
        <v>119664.43999999999</v>
      </c>
      <c r="C45" s="14">
        <f t="shared" si="3"/>
        <v>559.88</v>
      </c>
      <c r="D45" s="14">
        <f t="shared" si="29"/>
        <v>111.13999999999999</v>
      </c>
      <c r="E45" s="14">
        <f t="shared" si="4"/>
        <v>448.74</v>
      </c>
      <c r="I45" s="188">
        <f t="shared" si="41"/>
        <v>3619.87</v>
      </c>
      <c r="J45" s="188">
        <f t="shared" si="42"/>
        <v>13636.699999999999</v>
      </c>
      <c r="K45" s="188">
        <f t="shared" si="43"/>
        <v>119553.29999999999</v>
      </c>
      <c r="L45" s="317">
        <f t="shared" si="5"/>
        <v>1</v>
      </c>
      <c r="M45" s="317">
        <f>IF(N45&lt;&gt;"",IF(N45=$O$5,0,+M44+1),0)</f>
        <v>17</v>
      </c>
      <c r="N45" s="188">
        <f t="shared" si="22"/>
        <v>322158.6100000001</v>
      </c>
      <c r="O45" s="188">
        <f>IF($O$11&lt;=A45,IF(+$W44&lt;=0,0,$O$8),0)</f>
        <v>2504.4299999999998</v>
      </c>
      <c r="P45" s="188">
        <f t="shared" si="33"/>
        <v>222.4699999999998</v>
      </c>
      <c r="Q45" s="188">
        <f>IF($O$11&lt;=A45,ROUND(N45*($O$7/12),2),0)</f>
        <v>2281.96</v>
      </c>
      <c r="R45" s="188">
        <f t="shared" si="6"/>
        <v>51.5</v>
      </c>
      <c r="S45" s="188">
        <f t="shared" si="7"/>
        <v>145.09666666666666</v>
      </c>
      <c r="T45" s="188">
        <f t="shared" si="8"/>
        <v>2701.0266666666666</v>
      </c>
      <c r="U45" s="188">
        <f t="shared" si="34"/>
        <v>3773.8599999999974</v>
      </c>
      <c r="V45" s="188">
        <f t="shared" si="35"/>
        <v>41305.880000000005</v>
      </c>
      <c r="W45" s="188">
        <f t="shared" si="36"/>
        <v>321936.14000000013</v>
      </c>
      <c r="X45" s="395">
        <f t="shared" si="23"/>
        <v>46740</v>
      </c>
      <c r="Y45" s="188">
        <f t="shared" si="37"/>
        <v>322158.6100000001</v>
      </c>
      <c r="Z45" s="388">
        <f t="shared" si="9"/>
        <v>8.4999999999999992E-2</v>
      </c>
      <c r="AA45" s="188">
        <f t="shared" si="10"/>
        <v>2504.4299999999998</v>
      </c>
      <c r="AB45" s="188">
        <f t="shared" si="11"/>
        <v>222.4699999999998</v>
      </c>
      <c r="AC45" s="188">
        <f t="shared" si="12"/>
        <v>2281.96</v>
      </c>
      <c r="AD45" s="188">
        <f t="shared" si="13"/>
        <v>51.5</v>
      </c>
      <c r="AE45" s="188">
        <f t="shared" si="14"/>
        <v>145.09666666666666</v>
      </c>
      <c r="AF45" s="188">
        <f t="shared" si="15"/>
        <v>2701.0266666666666</v>
      </c>
      <c r="AG45" s="188">
        <f t="shared" si="38"/>
        <v>3773.8599999999974</v>
      </c>
      <c r="AH45" s="188">
        <f t="shared" si="39"/>
        <v>41305.880000000005</v>
      </c>
      <c r="AI45" s="404">
        <f t="shared" si="24"/>
        <v>0</v>
      </c>
      <c r="AJ45" s="404">
        <f t="shared" si="16"/>
        <v>0</v>
      </c>
      <c r="AK45" s="404"/>
      <c r="AL45" s="188">
        <f t="shared" si="40"/>
        <v>321936.14000000013</v>
      </c>
      <c r="AM45" s="317">
        <f t="shared" si="25"/>
        <v>1</v>
      </c>
      <c r="AN45" s="14">
        <f t="shared" si="18"/>
        <v>1944.5499999999997</v>
      </c>
      <c r="AO45" s="14">
        <f>IF(W45&lt;=0,0,+$O$5-$C$2+I45-U45)</f>
        <v>202843.01</v>
      </c>
      <c r="AP45" s="14">
        <f t="shared" si="19"/>
        <v>1944.5499999999997</v>
      </c>
      <c r="AS45" s="14">
        <f t="shared" si="20"/>
        <v>1944.5499999999997</v>
      </c>
      <c r="AT45" s="14">
        <f t="shared" si="26"/>
        <v>35001.899999999994</v>
      </c>
      <c r="AU45" s="188">
        <f>IF(W45&lt;=0,0,+($O$5+AV44)*$AQ$2/12)</f>
        <v>875.42341532699481</v>
      </c>
      <c r="AV45" s="188">
        <f t="shared" si="27"/>
        <v>25334.789546124961</v>
      </c>
    </row>
    <row r="46" spans="1:48">
      <c r="A46" s="395">
        <f t="shared" si="28"/>
        <v>46770</v>
      </c>
      <c r="B46" s="188">
        <f t="shared" si="21"/>
        <v>119553.29999999999</v>
      </c>
      <c r="C46" s="14">
        <f t="shared" si="3"/>
        <v>559.88</v>
      </c>
      <c r="D46" s="14">
        <f t="shared" si="29"/>
        <v>111.56</v>
      </c>
      <c r="E46" s="14">
        <f t="shared" si="4"/>
        <v>448.32</v>
      </c>
      <c r="I46" s="188">
        <f t="shared" si="41"/>
        <v>3731.43</v>
      </c>
      <c r="J46" s="188">
        <f t="shared" si="42"/>
        <v>14085.019999999999</v>
      </c>
      <c r="K46" s="188">
        <f t="shared" si="43"/>
        <v>119441.73999999999</v>
      </c>
      <c r="L46" s="317">
        <f t="shared" si="5"/>
        <v>1</v>
      </c>
      <c r="M46" s="317">
        <f>IF(N46&lt;&gt;"",IF(N46=$O$5,0,+M45+1),0)</f>
        <v>18</v>
      </c>
      <c r="N46" s="188">
        <f t="shared" si="22"/>
        <v>321936.14000000013</v>
      </c>
      <c r="O46" s="188">
        <f>IF($O$11&lt;=A46,IF(+$W45&lt;=0,0,$O$8),0)</f>
        <v>2504.4299999999998</v>
      </c>
      <c r="P46" s="188">
        <f t="shared" si="33"/>
        <v>224.04999999999973</v>
      </c>
      <c r="Q46" s="188">
        <f>IF($O$11&lt;=A46,ROUND(N46*($O$7/12),2),0)</f>
        <v>2280.38</v>
      </c>
      <c r="R46" s="188">
        <f t="shared" si="6"/>
        <v>51.5</v>
      </c>
      <c r="S46" s="188">
        <f t="shared" si="7"/>
        <v>145.09666666666666</v>
      </c>
      <c r="T46" s="188">
        <f t="shared" si="8"/>
        <v>2701.0266666666666</v>
      </c>
      <c r="U46" s="188">
        <f t="shared" si="34"/>
        <v>3997.9099999999971</v>
      </c>
      <c r="V46" s="188">
        <f t="shared" si="35"/>
        <v>43586.26</v>
      </c>
      <c r="W46" s="188">
        <f t="shared" si="36"/>
        <v>321712.09000000014</v>
      </c>
      <c r="X46" s="395">
        <f t="shared" si="23"/>
        <v>46770</v>
      </c>
      <c r="Y46" s="188">
        <f t="shared" si="37"/>
        <v>321936.14000000013</v>
      </c>
      <c r="Z46" s="388">
        <f t="shared" si="9"/>
        <v>8.4999999999999992E-2</v>
      </c>
      <c r="AA46" s="188">
        <f t="shared" si="10"/>
        <v>2504.4299999999998</v>
      </c>
      <c r="AB46" s="188">
        <f t="shared" si="11"/>
        <v>224.04999999999973</v>
      </c>
      <c r="AC46" s="188">
        <f t="shared" si="12"/>
        <v>2280.38</v>
      </c>
      <c r="AD46" s="188">
        <f t="shared" si="13"/>
        <v>51.5</v>
      </c>
      <c r="AE46" s="188">
        <f t="shared" si="14"/>
        <v>145.09666666666666</v>
      </c>
      <c r="AF46" s="188">
        <f t="shared" si="15"/>
        <v>2701.0266666666666</v>
      </c>
      <c r="AG46" s="188">
        <f t="shared" si="38"/>
        <v>3997.9099999999971</v>
      </c>
      <c r="AH46" s="188">
        <f t="shared" si="39"/>
        <v>43586.26</v>
      </c>
      <c r="AI46" s="404">
        <f t="shared" si="24"/>
        <v>0</v>
      </c>
      <c r="AJ46" s="404">
        <f t="shared" si="16"/>
        <v>0</v>
      </c>
      <c r="AK46" s="404"/>
      <c r="AL46" s="188">
        <f t="shared" si="40"/>
        <v>321712.09000000014</v>
      </c>
      <c r="AM46" s="317">
        <f t="shared" si="25"/>
        <v>1</v>
      </c>
      <c r="AN46" s="14">
        <f t="shared" si="18"/>
        <v>1944.5499999999997</v>
      </c>
      <c r="AO46" s="14">
        <f>IF(W46&lt;=0,0,+$AA$6-$C$2+I46-U46)</f>
        <v>202730.52</v>
      </c>
      <c r="AP46" s="14">
        <f t="shared" si="19"/>
        <v>1944.5499999999997</v>
      </c>
      <c r="AS46" s="14">
        <f t="shared" si="20"/>
        <v>1944.5499999999997</v>
      </c>
      <c r="AT46" s="14">
        <f t="shared" si="26"/>
        <v>36946.449999999997</v>
      </c>
      <c r="AU46" s="188">
        <f>IF(W46&lt;=0,0,+($O$5+AV45)*$AQ$2/12)</f>
        <v>877.61197386531239</v>
      </c>
      <c r="AV46" s="188">
        <f t="shared" si="27"/>
        <v>26212.401519990271</v>
      </c>
    </row>
    <row r="47" spans="1:48">
      <c r="A47" s="395">
        <f t="shared" si="28"/>
        <v>46800</v>
      </c>
      <c r="B47" s="188">
        <f t="shared" si="21"/>
        <v>119441.73999999999</v>
      </c>
      <c r="C47" s="14">
        <f t="shared" si="3"/>
        <v>559.88</v>
      </c>
      <c r="D47" s="14">
        <f t="shared" si="29"/>
        <v>111.96999999999997</v>
      </c>
      <c r="E47" s="14">
        <f t="shared" si="4"/>
        <v>447.91</v>
      </c>
      <c r="I47" s="188">
        <f t="shared" si="41"/>
        <v>3843.3999999999996</v>
      </c>
      <c r="J47" s="188">
        <f t="shared" si="42"/>
        <v>14532.929999999998</v>
      </c>
      <c r="K47" s="188">
        <f t="shared" si="43"/>
        <v>119329.76999999999</v>
      </c>
      <c r="L47" s="317">
        <f t="shared" si="5"/>
        <v>1</v>
      </c>
      <c r="M47" s="317">
        <f>IF(N47&lt;&gt;"",IF(N47=$O$5,0,+M46+1),0)</f>
        <v>19</v>
      </c>
      <c r="N47" s="188">
        <f t="shared" si="22"/>
        <v>321712.09000000014</v>
      </c>
      <c r="O47" s="188">
        <f>IF($O$11&lt;=A47,IF(+$W46&lt;=0,0,$O$8),0)</f>
        <v>2504.4299999999998</v>
      </c>
      <c r="P47" s="188">
        <f t="shared" si="33"/>
        <v>225.63999999999987</v>
      </c>
      <c r="Q47" s="188">
        <f>IF($O$11&lt;=A47,ROUND(N47*($O$7/12),2),0)</f>
        <v>2278.79</v>
      </c>
      <c r="R47" s="188">
        <f t="shared" si="6"/>
        <v>51.5</v>
      </c>
      <c r="S47" s="188">
        <f t="shared" si="7"/>
        <v>145.09666666666666</v>
      </c>
      <c r="T47" s="188">
        <f t="shared" si="8"/>
        <v>2701.0266666666666</v>
      </c>
      <c r="U47" s="188">
        <f t="shared" si="34"/>
        <v>4223.5499999999975</v>
      </c>
      <c r="V47" s="188">
        <f t="shared" si="35"/>
        <v>45865.05</v>
      </c>
      <c r="W47" s="188">
        <f t="shared" si="36"/>
        <v>321486.45000000013</v>
      </c>
      <c r="X47" s="395">
        <f t="shared" si="23"/>
        <v>46800</v>
      </c>
      <c r="Y47" s="188">
        <f t="shared" si="37"/>
        <v>321712.09000000014</v>
      </c>
      <c r="Z47" s="388">
        <f t="shared" si="9"/>
        <v>8.4999999999999992E-2</v>
      </c>
      <c r="AA47" s="188">
        <f t="shared" si="10"/>
        <v>2504.4299999999998</v>
      </c>
      <c r="AB47" s="188">
        <f t="shared" si="11"/>
        <v>225.63999999999987</v>
      </c>
      <c r="AC47" s="188">
        <f t="shared" si="12"/>
        <v>2278.79</v>
      </c>
      <c r="AD47" s="188">
        <f t="shared" si="13"/>
        <v>51.5</v>
      </c>
      <c r="AE47" s="188">
        <f t="shared" si="14"/>
        <v>145.09666666666666</v>
      </c>
      <c r="AF47" s="188">
        <f t="shared" si="15"/>
        <v>2701.0266666666666</v>
      </c>
      <c r="AG47" s="188">
        <f t="shared" si="38"/>
        <v>4223.5499999999975</v>
      </c>
      <c r="AH47" s="188">
        <f t="shared" si="39"/>
        <v>45865.05</v>
      </c>
      <c r="AI47" s="404">
        <f t="shared" si="24"/>
        <v>0</v>
      </c>
      <c r="AJ47" s="404">
        <f t="shared" si="16"/>
        <v>0</v>
      </c>
      <c r="AK47" s="404"/>
      <c r="AL47" s="188">
        <f t="shared" si="40"/>
        <v>321486.45000000013</v>
      </c>
      <c r="AM47" s="317">
        <f t="shared" si="25"/>
        <v>1</v>
      </c>
      <c r="AN47" s="14">
        <f t="shared" si="18"/>
        <v>1944.5499999999997</v>
      </c>
      <c r="AO47" s="14">
        <f>IF(W47&lt;=0,0,+$AA$6-$C$2+I47-U47)</f>
        <v>202616.85</v>
      </c>
      <c r="AP47" s="14">
        <f t="shared" si="19"/>
        <v>1944.5499999999997</v>
      </c>
      <c r="AS47" s="14">
        <f t="shared" si="20"/>
        <v>1944.5499999999997</v>
      </c>
      <c r="AT47" s="14">
        <f t="shared" si="26"/>
        <v>38891</v>
      </c>
      <c r="AU47" s="188">
        <f>IF(W47&lt;=0,0,+($O$5+AV46)*$AQ$2/12)</f>
        <v>879.80600379997577</v>
      </c>
      <c r="AV47" s="188">
        <f t="shared" si="27"/>
        <v>27092.207523790246</v>
      </c>
    </row>
    <row r="48" spans="1:48">
      <c r="A48" s="395">
        <f t="shared" si="28"/>
        <v>46830</v>
      </c>
      <c r="B48" s="188">
        <f t="shared" si="21"/>
        <v>119329.76999999999</v>
      </c>
      <c r="C48" s="14">
        <f t="shared" si="3"/>
        <v>559.88</v>
      </c>
      <c r="D48" s="14">
        <f t="shared" si="29"/>
        <v>112.38999999999999</v>
      </c>
      <c r="E48" s="14">
        <f t="shared" si="4"/>
        <v>447.49</v>
      </c>
      <c r="I48" s="188">
        <f t="shared" si="41"/>
        <v>3955.7899999999995</v>
      </c>
      <c r="J48" s="188">
        <f t="shared" si="42"/>
        <v>14980.419999999998</v>
      </c>
      <c r="K48" s="188">
        <f t="shared" si="43"/>
        <v>119217.37999999999</v>
      </c>
      <c r="L48" s="317">
        <f t="shared" si="5"/>
        <v>1</v>
      </c>
      <c r="M48" s="317">
        <f>IF(N48&lt;&gt;"",IF(N48=$O$5,0,+M47+1),0)</f>
        <v>20</v>
      </c>
      <c r="N48" s="188">
        <f t="shared" si="22"/>
        <v>321486.45000000013</v>
      </c>
      <c r="O48" s="188">
        <f>IF($O$11&lt;=A48,IF(+$W47&lt;=0,0,$O$8),0)</f>
        <v>2504.4299999999998</v>
      </c>
      <c r="P48" s="188">
        <f t="shared" si="33"/>
        <v>227.23000000000002</v>
      </c>
      <c r="Q48" s="188">
        <f>IF($O$11&lt;=A48,ROUND(N48*($O$7/12),2),0)</f>
        <v>2277.1999999999998</v>
      </c>
      <c r="R48" s="188">
        <f t="shared" si="6"/>
        <v>51.5</v>
      </c>
      <c r="S48" s="188">
        <f t="shared" si="7"/>
        <v>145.09666666666666</v>
      </c>
      <c r="T48" s="188">
        <f t="shared" si="8"/>
        <v>2701.0266666666666</v>
      </c>
      <c r="U48" s="188">
        <f t="shared" si="34"/>
        <v>4450.779999999997</v>
      </c>
      <c r="V48" s="188">
        <f t="shared" si="35"/>
        <v>48142.25</v>
      </c>
      <c r="W48" s="188">
        <f t="shared" si="36"/>
        <v>321259.22000000015</v>
      </c>
      <c r="X48" s="395">
        <f t="shared" si="23"/>
        <v>46830</v>
      </c>
      <c r="Y48" s="188">
        <f t="shared" si="37"/>
        <v>321486.45000000013</v>
      </c>
      <c r="Z48" s="388">
        <f t="shared" si="9"/>
        <v>8.4999999999999992E-2</v>
      </c>
      <c r="AA48" s="188">
        <f t="shared" si="10"/>
        <v>2504.4299999999998</v>
      </c>
      <c r="AB48" s="188">
        <f t="shared" si="11"/>
        <v>227.23000000000002</v>
      </c>
      <c r="AC48" s="188">
        <f t="shared" si="12"/>
        <v>2277.1999999999998</v>
      </c>
      <c r="AD48" s="188">
        <f t="shared" si="13"/>
        <v>51.5</v>
      </c>
      <c r="AE48" s="188">
        <f t="shared" si="14"/>
        <v>145.09666666666666</v>
      </c>
      <c r="AF48" s="188">
        <f t="shared" si="15"/>
        <v>2701.0266666666666</v>
      </c>
      <c r="AG48" s="188">
        <f t="shared" si="38"/>
        <v>4450.779999999997</v>
      </c>
      <c r="AH48" s="188">
        <f t="shared" si="39"/>
        <v>48142.25</v>
      </c>
      <c r="AI48" s="404">
        <f t="shared" si="24"/>
        <v>0</v>
      </c>
      <c r="AJ48" s="404">
        <f t="shared" si="16"/>
        <v>0</v>
      </c>
      <c r="AK48" s="404"/>
      <c r="AL48" s="188">
        <f t="shared" si="40"/>
        <v>321259.22000000015</v>
      </c>
      <c r="AM48" s="317">
        <f t="shared" si="25"/>
        <v>1</v>
      </c>
      <c r="AN48" s="14">
        <f t="shared" si="18"/>
        <v>1944.5499999999997</v>
      </c>
      <c r="AO48" s="14">
        <f>IF(W48&lt;=0,0,+$AA$6-$C$2+I48-U48)</f>
        <v>202502.01</v>
      </c>
      <c r="AP48" s="14">
        <f t="shared" si="19"/>
        <v>1944.5499999999997</v>
      </c>
      <c r="AS48" s="14">
        <f t="shared" si="20"/>
        <v>1944.5499999999997</v>
      </c>
      <c r="AT48" s="14">
        <f t="shared" si="26"/>
        <v>40835.550000000003</v>
      </c>
      <c r="AU48" s="188">
        <f>IF(W48&lt;=0,0,+($O$5+AV47)*$AQ$2/12)</f>
        <v>882.00551880947557</v>
      </c>
      <c r="AV48" s="188">
        <f t="shared" si="27"/>
        <v>27974.21304259972</v>
      </c>
    </row>
    <row r="49" spans="1:50">
      <c r="A49" s="395">
        <f t="shared" si="28"/>
        <v>46860</v>
      </c>
      <c r="B49" s="188">
        <f t="shared" si="21"/>
        <v>119217.37999999999</v>
      </c>
      <c r="C49" s="14">
        <f t="shared" si="3"/>
        <v>559.88</v>
      </c>
      <c r="D49" s="14">
        <f t="shared" si="29"/>
        <v>112.81</v>
      </c>
      <c r="E49" s="14">
        <f t="shared" si="4"/>
        <v>447.07</v>
      </c>
      <c r="I49" s="188">
        <f t="shared" si="41"/>
        <v>4068.5999999999995</v>
      </c>
      <c r="J49" s="188">
        <f t="shared" si="42"/>
        <v>15427.489999999998</v>
      </c>
      <c r="K49" s="188">
        <f t="shared" si="43"/>
        <v>119104.56999999999</v>
      </c>
      <c r="L49" s="317">
        <f t="shared" si="5"/>
        <v>1</v>
      </c>
      <c r="M49" s="317">
        <f>IF(N49&lt;&gt;"",IF(N49=$O$5,0,+M48+1),0)</f>
        <v>21</v>
      </c>
      <c r="N49" s="188">
        <f t="shared" si="22"/>
        <v>321259.22000000015</v>
      </c>
      <c r="O49" s="188">
        <f>IF($O$11&lt;=A49,IF(+$W48&lt;=0,0,$O$8),0)</f>
        <v>2504.4299999999998</v>
      </c>
      <c r="P49" s="188">
        <f t="shared" si="33"/>
        <v>228.83999999999969</v>
      </c>
      <c r="Q49" s="188">
        <f>IF($O$11&lt;=A49,ROUND(N49*($O$7/12),2),0)</f>
        <v>2275.59</v>
      </c>
      <c r="R49" s="188">
        <f t="shared" si="6"/>
        <v>51.5</v>
      </c>
      <c r="S49" s="188">
        <f t="shared" si="7"/>
        <v>145.09666666666666</v>
      </c>
      <c r="T49" s="188">
        <f t="shared" si="8"/>
        <v>2701.0266666666666</v>
      </c>
      <c r="U49" s="188">
        <f t="shared" si="34"/>
        <v>4679.6199999999972</v>
      </c>
      <c r="V49" s="188">
        <f t="shared" si="35"/>
        <v>50417.84</v>
      </c>
      <c r="W49" s="188">
        <f t="shared" si="36"/>
        <v>321030.38000000012</v>
      </c>
      <c r="X49" s="395">
        <f t="shared" si="23"/>
        <v>46860</v>
      </c>
      <c r="Y49" s="188">
        <f t="shared" si="37"/>
        <v>321259.22000000015</v>
      </c>
      <c r="Z49" s="388">
        <f t="shared" si="9"/>
        <v>8.4999999999999992E-2</v>
      </c>
      <c r="AA49" s="188">
        <f t="shared" si="10"/>
        <v>2504.4299999999998</v>
      </c>
      <c r="AB49" s="188">
        <f t="shared" si="11"/>
        <v>228.83999999999969</v>
      </c>
      <c r="AC49" s="188">
        <f t="shared" si="12"/>
        <v>2275.59</v>
      </c>
      <c r="AD49" s="188">
        <f t="shared" si="13"/>
        <v>51.5</v>
      </c>
      <c r="AE49" s="188">
        <f t="shared" si="14"/>
        <v>145.09666666666666</v>
      </c>
      <c r="AF49" s="188">
        <f t="shared" si="15"/>
        <v>2701.0266666666666</v>
      </c>
      <c r="AG49" s="188">
        <f t="shared" si="38"/>
        <v>4679.6199999999972</v>
      </c>
      <c r="AH49" s="188">
        <f t="shared" si="39"/>
        <v>50417.84</v>
      </c>
      <c r="AI49" s="404">
        <f t="shared" si="24"/>
        <v>0</v>
      </c>
      <c r="AJ49" s="404">
        <f t="shared" si="16"/>
        <v>0</v>
      </c>
      <c r="AK49" s="404"/>
      <c r="AL49" s="188">
        <f t="shared" si="40"/>
        <v>321030.38000000012</v>
      </c>
      <c r="AM49" s="317">
        <f t="shared" si="25"/>
        <v>1</v>
      </c>
      <c r="AN49" s="14">
        <f t="shared" si="18"/>
        <v>1944.5499999999997</v>
      </c>
      <c r="AO49" s="14">
        <f>IF(W49&lt;=0,0,+$AA$6-$C$2+I49-U49)</f>
        <v>202385.98</v>
      </c>
      <c r="AP49" s="14">
        <f t="shared" si="19"/>
        <v>1944.5499999999997</v>
      </c>
      <c r="AS49" s="14">
        <f t="shared" si="20"/>
        <v>1944.5499999999997</v>
      </c>
      <c r="AT49" s="14">
        <f t="shared" si="26"/>
        <v>42780.100000000006</v>
      </c>
      <c r="AU49" s="188">
        <f>IF(W49&lt;=0,0,+($O$5+AV48)*$AQ$2/12)</f>
        <v>884.21053260649933</v>
      </c>
      <c r="AV49" s="188">
        <f t="shared" si="27"/>
        <v>28858.42357520622</v>
      </c>
    </row>
    <row r="50" spans="1:50">
      <c r="A50" s="395">
        <f t="shared" si="28"/>
        <v>46890</v>
      </c>
      <c r="B50" s="188">
        <f t="shared" si="21"/>
        <v>119104.56999999999</v>
      </c>
      <c r="C50" s="14">
        <f t="shared" si="3"/>
        <v>559.88</v>
      </c>
      <c r="D50" s="14">
        <f t="shared" si="29"/>
        <v>113.24000000000001</v>
      </c>
      <c r="E50" s="14">
        <f t="shared" si="4"/>
        <v>446.64</v>
      </c>
      <c r="I50" s="188">
        <f t="shared" si="41"/>
        <v>4181.8399999999992</v>
      </c>
      <c r="J50" s="188">
        <f t="shared" si="42"/>
        <v>15874.129999999997</v>
      </c>
      <c r="K50" s="188">
        <f t="shared" si="43"/>
        <v>118991.32999999999</v>
      </c>
      <c r="L50" s="317">
        <f t="shared" si="5"/>
        <v>1</v>
      </c>
      <c r="M50" s="317">
        <f>IF(N50&lt;&gt;"",IF(N50=$O$5,0,+M49+1),0)</f>
        <v>22</v>
      </c>
      <c r="N50" s="188">
        <f t="shared" si="22"/>
        <v>321030.38000000012</v>
      </c>
      <c r="O50" s="188">
        <f>IF($O$11&lt;=A50,IF(+$W49&lt;=0,0,$O$8),0)</f>
        <v>2504.4299999999998</v>
      </c>
      <c r="P50" s="188">
        <f t="shared" si="33"/>
        <v>230.46000000000004</v>
      </c>
      <c r="Q50" s="188">
        <f>IF($O$11&lt;=A50,ROUND(N50*($O$7/12),2),0)</f>
        <v>2273.9699999999998</v>
      </c>
      <c r="R50" s="188">
        <f t="shared" si="6"/>
        <v>51.5</v>
      </c>
      <c r="S50" s="188">
        <f t="shared" si="7"/>
        <v>145.09666666666666</v>
      </c>
      <c r="T50" s="188">
        <f t="shared" si="8"/>
        <v>2701.0266666666666</v>
      </c>
      <c r="U50" s="188">
        <f t="shared" si="34"/>
        <v>4910.0799999999972</v>
      </c>
      <c r="V50" s="188">
        <f t="shared" si="35"/>
        <v>52691.81</v>
      </c>
      <c r="W50" s="188">
        <f t="shared" si="36"/>
        <v>320799.9200000001</v>
      </c>
      <c r="X50" s="395">
        <f t="shared" si="23"/>
        <v>46890</v>
      </c>
      <c r="Y50" s="188">
        <f t="shared" si="37"/>
        <v>321030.38000000012</v>
      </c>
      <c r="Z50" s="388">
        <f t="shared" si="9"/>
        <v>8.4999999999999992E-2</v>
      </c>
      <c r="AA50" s="188">
        <f t="shared" si="10"/>
        <v>2504.4299999999998</v>
      </c>
      <c r="AB50" s="188">
        <f t="shared" si="11"/>
        <v>230.46000000000004</v>
      </c>
      <c r="AC50" s="188">
        <f t="shared" si="12"/>
        <v>2273.9699999999998</v>
      </c>
      <c r="AD50" s="188">
        <f t="shared" si="13"/>
        <v>51.5</v>
      </c>
      <c r="AE50" s="188">
        <f t="shared" si="14"/>
        <v>145.09666666666666</v>
      </c>
      <c r="AF50" s="188">
        <f t="shared" si="15"/>
        <v>2701.0266666666666</v>
      </c>
      <c r="AG50" s="188">
        <f t="shared" si="38"/>
        <v>4910.0799999999972</v>
      </c>
      <c r="AH50" s="188">
        <f t="shared" si="39"/>
        <v>52691.81</v>
      </c>
      <c r="AI50" s="404">
        <f t="shared" si="24"/>
        <v>0</v>
      </c>
      <c r="AJ50" s="404">
        <f t="shared" si="16"/>
        <v>0</v>
      </c>
      <c r="AK50" s="404"/>
      <c r="AL50" s="188">
        <f t="shared" si="40"/>
        <v>320799.9200000001</v>
      </c>
      <c r="AM50" s="317">
        <f t="shared" si="25"/>
        <v>1</v>
      </c>
      <c r="AN50" s="14">
        <f t="shared" si="18"/>
        <v>1944.5499999999997</v>
      </c>
      <c r="AO50" s="14">
        <f>IF(W50&lt;=0,0,+$AA$6-$C$2+I50-U50)</f>
        <v>202268.76</v>
      </c>
      <c r="AP50" s="14">
        <f t="shared" si="19"/>
        <v>1944.5499999999997</v>
      </c>
      <c r="AS50" s="14">
        <f t="shared" si="20"/>
        <v>1944.5499999999997</v>
      </c>
      <c r="AT50" s="14">
        <f t="shared" si="26"/>
        <v>44724.650000000009</v>
      </c>
      <c r="AU50" s="188">
        <f>IF(W50&lt;=0,0,+($O$5+AV49)*$AQ$2/12)</f>
        <v>886.42105893801545</v>
      </c>
      <c r="AV50" s="188">
        <f t="shared" si="27"/>
        <v>29744.844634144236</v>
      </c>
    </row>
    <row r="51" spans="1:50" ht="15.75" thickBot="1">
      <c r="A51" s="398">
        <f t="shared" si="28"/>
        <v>46920</v>
      </c>
      <c r="B51" s="237">
        <f t="shared" si="21"/>
        <v>118991.32999999999</v>
      </c>
      <c r="C51" s="21">
        <f t="shared" si="3"/>
        <v>559.88</v>
      </c>
      <c r="D51" s="21">
        <f t="shared" si="29"/>
        <v>113.65999999999997</v>
      </c>
      <c r="E51" s="21">
        <f t="shared" si="4"/>
        <v>446.22</v>
      </c>
      <c r="F51" s="21"/>
      <c r="G51" s="21"/>
      <c r="H51" s="21"/>
      <c r="I51" s="237">
        <f t="shared" si="41"/>
        <v>4295.4999999999991</v>
      </c>
      <c r="J51" s="237">
        <f t="shared" si="42"/>
        <v>16320.349999999997</v>
      </c>
      <c r="K51" s="237">
        <f t="shared" si="43"/>
        <v>118877.66999999998</v>
      </c>
      <c r="L51" s="318">
        <f t="shared" si="5"/>
        <v>1</v>
      </c>
      <c r="M51" s="318">
        <f>IF(N51&lt;&gt;"",IF(N51=$O$5,0,+M50+1),0)</f>
        <v>23</v>
      </c>
      <c r="N51" s="237">
        <f t="shared" si="22"/>
        <v>320799.9200000001</v>
      </c>
      <c r="O51" s="237">
        <f>IF($O$11&lt;=A51,IF(+$W50&lt;=0,0,$O$8),0)</f>
        <v>2504.4299999999998</v>
      </c>
      <c r="P51" s="237">
        <f t="shared" si="33"/>
        <v>232.09999999999991</v>
      </c>
      <c r="Q51" s="237">
        <f>IF($O$11&lt;=A51,ROUND(N51*($O$7/12),2),0)</f>
        <v>2272.33</v>
      </c>
      <c r="R51" s="237">
        <f t="shared" si="6"/>
        <v>51.5</v>
      </c>
      <c r="S51" s="237">
        <f t="shared" si="7"/>
        <v>145.09666666666666</v>
      </c>
      <c r="T51" s="237">
        <f t="shared" si="8"/>
        <v>2701.0266666666666</v>
      </c>
      <c r="U51" s="237">
        <f t="shared" si="34"/>
        <v>5142.1799999999967</v>
      </c>
      <c r="V51" s="237">
        <f t="shared" si="35"/>
        <v>54964.14</v>
      </c>
      <c r="W51" s="237">
        <f t="shared" si="36"/>
        <v>320567.82000000012</v>
      </c>
      <c r="X51" s="398">
        <f t="shared" si="23"/>
        <v>46920</v>
      </c>
      <c r="Y51" s="237">
        <f t="shared" si="37"/>
        <v>320799.9200000001</v>
      </c>
      <c r="Z51" s="389">
        <f t="shared" si="9"/>
        <v>8.4999999999999992E-2</v>
      </c>
      <c r="AA51" s="237">
        <f t="shared" si="10"/>
        <v>2504.4299999999998</v>
      </c>
      <c r="AB51" s="237">
        <f t="shared" si="11"/>
        <v>232.09999999999991</v>
      </c>
      <c r="AC51" s="237">
        <f t="shared" si="12"/>
        <v>2272.33</v>
      </c>
      <c r="AD51" s="237">
        <f t="shared" si="13"/>
        <v>51.5</v>
      </c>
      <c r="AE51" s="237">
        <f t="shared" si="14"/>
        <v>145.09666666666666</v>
      </c>
      <c r="AF51" s="237">
        <f t="shared" si="15"/>
        <v>2701.0266666666666</v>
      </c>
      <c r="AG51" s="237">
        <f t="shared" si="38"/>
        <v>5142.1799999999967</v>
      </c>
      <c r="AH51" s="237">
        <f t="shared" si="39"/>
        <v>54964.14</v>
      </c>
      <c r="AI51" s="405">
        <f t="shared" si="24"/>
        <v>0</v>
      </c>
      <c r="AJ51" s="405">
        <f t="shared" si="16"/>
        <v>0</v>
      </c>
      <c r="AK51" s="405"/>
      <c r="AL51" s="237">
        <f t="shared" si="40"/>
        <v>320567.82000000012</v>
      </c>
      <c r="AM51" s="318">
        <f t="shared" si="25"/>
        <v>1</v>
      </c>
      <c r="AN51" s="21">
        <f t="shared" si="18"/>
        <v>1944.5499999999997</v>
      </c>
      <c r="AO51" s="21">
        <f>IF(W51&lt;=0,0,+$AA$6-$C$2+I51-U51)</f>
        <v>202150.32</v>
      </c>
      <c r="AP51" s="21">
        <f t="shared" si="19"/>
        <v>1944.5499999999997</v>
      </c>
      <c r="AQ51" s="21"/>
      <c r="AR51" s="23"/>
      <c r="AS51" s="21">
        <f t="shared" si="20"/>
        <v>1944.5499999999997</v>
      </c>
      <c r="AT51" s="21">
        <f t="shared" si="26"/>
        <v>46669.200000000012</v>
      </c>
      <c r="AU51" s="237">
        <f>IF(W51&lt;=0,0,+($O$5+AV50)*$AQ$2/12)</f>
        <v>888.63711158536046</v>
      </c>
      <c r="AV51" s="237">
        <f t="shared" si="27"/>
        <v>30633.481745729598</v>
      </c>
    </row>
    <row r="52" spans="1:50">
      <c r="A52" s="395">
        <f t="shared" si="28"/>
        <v>46950</v>
      </c>
      <c r="B52" s="188">
        <f t="shared" si="21"/>
        <v>118877.66999999998</v>
      </c>
      <c r="C52" s="14">
        <f t="shared" si="3"/>
        <v>559.88</v>
      </c>
      <c r="D52" s="14">
        <f t="shared" si="29"/>
        <v>114.08999999999997</v>
      </c>
      <c r="E52" s="14">
        <f t="shared" si="4"/>
        <v>445.79</v>
      </c>
      <c r="I52" s="188">
        <f t="shared" si="41"/>
        <v>4409.5899999999992</v>
      </c>
      <c r="J52" s="188">
        <f t="shared" si="42"/>
        <v>16766.139999999996</v>
      </c>
      <c r="K52" s="188">
        <f t="shared" si="43"/>
        <v>118763.57999999999</v>
      </c>
      <c r="L52" s="317">
        <f t="shared" si="5"/>
        <v>2</v>
      </c>
      <c r="M52" s="317">
        <f>IF(N52&lt;&gt;"",IF(N52=$O$5,0,+M51+1),0)</f>
        <v>24</v>
      </c>
      <c r="N52" s="188">
        <f t="shared" si="22"/>
        <v>320567.82000000012</v>
      </c>
      <c r="O52" s="188">
        <f>IF($O$11&lt;=A52,IF(+$W51&lt;=0,0,$O$8),0)</f>
        <v>2504.4299999999998</v>
      </c>
      <c r="P52" s="188">
        <f t="shared" si="33"/>
        <v>233.73999999999978</v>
      </c>
      <c r="Q52" s="188">
        <f>IF($O$11&lt;=A52,ROUND(N52*($O$7/12),2),0)</f>
        <v>2270.69</v>
      </c>
      <c r="R52" s="188">
        <f t="shared" si="6"/>
        <v>51.5</v>
      </c>
      <c r="S52" s="188">
        <f t="shared" si="7"/>
        <v>145.09666666666666</v>
      </c>
      <c r="T52" s="188">
        <f t="shared" si="8"/>
        <v>2701.0266666666666</v>
      </c>
      <c r="U52" s="188">
        <f t="shared" si="34"/>
        <v>5375.9199999999964</v>
      </c>
      <c r="V52" s="188">
        <f t="shared" si="35"/>
        <v>57234.83</v>
      </c>
      <c r="W52" s="188">
        <f t="shared" si="36"/>
        <v>320334.08000000013</v>
      </c>
      <c r="X52" s="395">
        <f t="shared" si="23"/>
        <v>46950</v>
      </c>
      <c r="Y52" s="188">
        <f t="shared" si="37"/>
        <v>320567.82000000012</v>
      </c>
      <c r="Z52" s="388">
        <f t="shared" si="9"/>
        <v>8.4999999999999992E-2</v>
      </c>
      <c r="AA52" s="188">
        <f t="shared" si="10"/>
        <v>2504.4299999999998</v>
      </c>
      <c r="AB52" s="188">
        <f t="shared" si="11"/>
        <v>233.73999999999978</v>
      </c>
      <c r="AC52" s="188">
        <f t="shared" si="12"/>
        <v>2270.69</v>
      </c>
      <c r="AD52" s="188">
        <f t="shared" si="13"/>
        <v>51.5</v>
      </c>
      <c r="AE52" s="188">
        <f t="shared" si="14"/>
        <v>145.09666666666666</v>
      </c>
      <c r="AF52" s="188">
        <f t="shared" si="15"/>
        <v>2701.0266666666666</v>
      </c>
      <c r="AG52" s="188">
        <f t="shared" si="38"/>
        <v>5375.9199999999964</v>
      </c>
      <c r="AH52" s="188">
        <f t="shared" si="39"/>
        <v>57234.83</v>
      </c>
      <c r="AI52" s="404">
        <f t="shared" si="24"/>
        <v>0</v>
      </c>
      <c r="AJ52" s="404">
        <f t="shared" si="16"/>
        <v>0</v>
      </c>
      <c r="AK52" s="404"/>
      <c r="AL52" s="188">
        <f t="shared" si="40"/>
        <v>320334.08000000013</v>
      </c>
      <c r="AM52" s="317">
        <f t="shared" si="25"/>
        <v>2</v>
      </c>
      <c r="AN52" s="14">
        <f t="shared" si="18"/>
        <v>1944.5499999999997</v>
      </c>
      <c r="AO52" s="14">
        <f>IF(W52&lt;=0,0,+$AA$6-$C$2+I52-U52)</f>
        <v>202030.67</v>
      </c>
      <c r="AP52" s="14">
        <f t="shared" si="19"/>
        <v>1944.5499999999997</v>
      </c>
      <c r="AS52" s="14">
        <f t="shared" si="20"/>
        <v>1944.5499999999997</v>
      </c>
      <c r="AT52" s="14">
        <f t="shared" si="26"/>
        <v>48613.750000000015</v>
      </c>
      <c r="AU52" s="188">
        <f>IF(W52&lt;=0,0,+($O$5+AV51)*$AQ$2/12)</f>
        <v>890.8587043643239</v>
      </c>
      <c r="AV52" s="188">
        <f t="shared" si="27"/>
        <v>31524.340450093921</v>
      </c>
    </row>
    <row r="53" spans="1:50">
      <c r="A53" s="395">
        <f t="shared" si="28"/>
        <v>46980</v>
      </c>
      <c r="B53" s="188">
        <f t="shared" si="21"/>
        <v>118763.57999999999</v>
      </c>
      <c r="C53" s="14">
        <f t="shared" si="3"/>
        <v>559.88</v>
      </c>
      <c r="D53" s="14">
        <f t="shared" si="29"/>
        <v>114.51999999999998</v>
      </c>
      <c r="E53" s="14">
        <f t="shared" si="4"/>
        <v>445.36</v>
      </c>
      <c r="I53" s="188">
        <f t="shared" si="41"/>
        <v>4524.1099999999988</v>
      </c>
      <c r="J53" s="188">
        <f t="shared" si="42"/>
        <v>17211.499999999996</v>
      </c>
      <c r="K53" s="188">
        <f t="shared" si="43"/>
        <v>118649.05999999998</v>
      </c>
      <c r="L53" s="317">
        <f t="shared" si="5"/>
        <v>2</v>
      </c>
      <c r="M53" s="317">
        <f>IF(N53&lt;&gt;"",IF(N53=$O$5,0,+M52+1),0)</f>
        <v>25</v>
      </c>
      <c r="N53" s="188">
        <f t="shared" si="22"/>
        <v>320334.08000000013</v>
      </c>
      <c r="O53" s="188">
        <f>IF($O$11&lt;=A53,IF(+$W52&lt;=0,0,$O$8),0)</f>
        <v>2504.4299999999998</v>
      </c>
      <c r="P53" s="188">
        <f t="shared" si="33"/>
        <v>235.39999999999964</v>
      </c>
      <c r="Q53" s="188">
        <f>IF($O$11&lt;=A53,ROUND(N53*($O$7/12),2),0)</f>
        <v>2269.0300000000002</v>
      </c>
      <c r="R53" s="188">
        <f t="shared" si="6"/>
        <v>51.5</v>
      </c>
      <c r="S53" s="188">
        <f t="shared" si="7"/>
        <v>145.09666666666666</v>
      </c>
      <c r="T53" s="188">
        <f t="shared" si="8"/>
        <v>2701.0266666666666</v>
      </c>
      <c r="U53" s="188">
        <f t="shared" si="34"/>
        <v>5611.3199999999961</v>
      </c>
      <c r="V53" s="188">
        <f t="shared" si="35"/>
        <v>59503.86</v>
      </c>
      <c r="W53" s="188">
        <f t="shared" si="36"/>
        <v>320098.68000000011</v>
      </c>
      <c r="X53" s="395">
        <f t="shared" si="23"/>
        <v>46980</v>
      </c>
      <c r="Y53" s="188">
        <f t="shared" si="37"/>
        <v>320334.08000000013</v>
      </c>
      <c r="Z53" s="388">
        <f t="shared" si="9"/>
        <v>8.4999999999999992E-2</v>
      </c>
      <c r="AA53" s="188">
        <f t="shared" si="10"/>
        <v>2504.4299999999998</v>
      </c>
      <c r="AB53" s="188">
        <f t="shared" si="11"/>
        <v>235.39999999999964</v>
      </c>
      <c r="AC53" s="188">
        <f t="shared" si="12"/>
        <v>2269.0300000000002</v>
      </c>
      <c r="AD53" s="188">
        <f t="shared" si="13"/>
        <v>51.5</v>
      </c>
      <c r="AE53" s="188">
        <f t="shared" si="14"/>
        <v>145.09666666666666</v>
      </c>
      <c r="AF53" s="188">
        <f t="shared" si="15"/>
        <v>2701.0266666666666</v>
      </c>
      <c r="AG53" s="188">
        <f t="shared" si="38"/>
        <v>5611.3199999999961</v>
      </c>
      <c r="AH53" s="188">
        <f t="shared" si="39"/>
        <v>59503.86</v>
      </c>
      <c r="AI53" s="404">
        <f t="shared" si="24"/>
        <v>0</v>
      </c>
      <c r="AJ53" s="404">
        <f t="shared" si="16"/>
        <v>0</v>
      </c>
      <c r="AK53" s="404"/>
      <c r="AL53" s="188">
        <f t="shared" si="40"/>
        <v>320098.68000000011</v>
      </c>
      <c r="AM53" s="317">
        <f t="shared" si="25"/>
        <v>2</v>
      </c>
      <c r="AN53" s="14">
        <f t="shared" si="18"/>
        <v>1944.5499999999997</v>
      </c>
      <c r="AO53" s="14">
        <f>IF(W53&lt;=0,0,+$AA$6-$C$2+I53-U53)</f>
        <v>201909.78999999998</v>
      </c>
      <c r="AP53" s="14">
        <f t="shared" si="19"/>
        <v>1944.5499999999997</v>
      </c>
      <c r="AS53" s="14">
        <f t="shared" si="20"/>
        <v>1944.5499999999997</v>
      </c>
      <c r="AT53" s="14">
        <f t="shared" si="26"/>
        <v>50558.300000000017</v>
      </c>
      <c r="AU53" s="188">
        <f>IF(W53&lt;=0,0,+($O$5+AV52)*$AQ$2/12)</f>
        <v>893.08585112523463</v>
      </c>
      <c r="AV53" s="188">
        <f t="shared" si="27"/>
        <v>32417.426301219155</v>
      </c>
    </row>
    <row r="54" spans="1:50">
      <c r="A54" s="395">
        <f t="shared" si="28"/>
        <v>47010</v>
      </c>
      <c r="B54" s="188">
        <f t="shared" si="21"/>
        <v>118649.05999999998</v>
      </c>
      <c r="C54" s="14">
        <f t="shared" si="3"/>
        <v>559.88</v>
      </c>
      <c r="D54" s="14">
        <f t="shared" si="29"/>
        <v>114.94999999999999</v>
      </c>
      <c r="E54" s="14">
        <f t="shared" si="4"/>
        <v>444.93</v>
      </c>
      <c r="I54" s="188">
        <f t="shared" si="41"/>
        <v>4639.0599999999986</v>
      </c>
      <c r="J54" s="188">
        <f t="shared" si="42"/>
        <v>17656.429999999997</v>
      </c>
      <c r="K54" s="188">
        <f t="shared" si="43"/>
        <v>118534.10999999999</v>
      </c>
      <c r="L54" s="317">
        <f t="shared" si="5"/>
        <v>2</v>
      </c>
      <c r="M54" s="317">
        <f>IF(N54&lt;&gt;"",IF(N54=$O$5,0,+M53+1),0)</f>
        <v>26</v>
      </c>
      <c r="N54" s="188">
        <f t="shared" si="22"/>
        <v>320098.68000000011</v>
      </c>
      <c r="O54" s="188">
        <f>IF($O$11&lt;=A54,IF(+$W53&lt;=0,0,$O$8),0)</f>
        <v>2504.4299999999998</v>
      </c>
      <c r="P54" s="188">
        <f t="shared" si="33"/>
        <v>237.05999999999995</v>
      </c>
      <c r="Q54" s="188">
        <f>IF($O$11&lt;=A54,ROUND(N54*($O$7/12),2),0)</f>
        <v>2267.37</v>
      </c>
      <c r="R54" s="188">
        <f t="shared" si="6"/>
        <v>51.5</v>
      </c>
      <c r="S54" s="188">
        <f t="shared" si="7"/>
        <v>145.09666666666666</v>
      </c>
      <c r="T54" s="188">
        <f t="shared" si="8"/>
        <v>2701.0266666666666</v>
      </c>
      <c r="U54" s="188">
        <f t="shared" si="34"/>
        <v>5848.3799999999956</v>
      </c>
      <c r="V54" s="188">
        <f t="shared" si="35"/>
        <v>61771.23</v>
      </c>
      <c r="W54" s="188">
        <f t="shared" si="36"/>
        <v>319861.62000000011</v>
      </c>
      <c r="X54" s="395">
        <f t="shared" si="23"/>
        <v>47010</v>
      </c>
      <c r="Y54" s="188">
        <f t="shared" si="37"/>
        <v>320098.68000000011</v>
      </c>
      <c r="Z54" s="388">
        <f t="shared" si="9"/>
        <v>8.4999999999999992E-2</v>
      </c>
      <c r="AA54" s="188">
        <f t="shared" si="10"/>
        <v>2504.4299999999998</v>
      </c>
      <c r="AB54" s="188">
        <f t="shared" si="11"/>
        <v>237.05999999999995</v>
      </c>
      <c r="AC54" s="188">
        <f t="shared" si="12"/>
        <v>2267.37</v>
      </c>
      <c r="AD54" s="188">
        <f t="shared" si="13"/>
        <v>51.5</v>
      </c>
      <c r="AE54" s="188">
        <f t="shared" si="14"/>
        <v>145.09666666666666</v>
      </c>
      <c r="AF54" s="188">
        <f t="shared" si="15"/>
        <v>2701.0266666666666</v>
      </c>
      <c r="AG54" s="188">
        <f t="shared" si="38"/>
        <v>5848.3799999999956</v>
      </c>
      <c r="AH54" s="188">
        <f t="shared" si="39"/>
        <v>61771.23</v>
      </c>
      <c r="AI54" s="404">
        <f t="shared" si="24"/>
        <v>0</v>
      </c>
      <c r="AJ54" s="404">
        <f t="shared" si="16"/>
        <v>0</v>
      </c>
      <c r="AK54" s="404"/>
      <c r="AL54" s="188">
        <f t="shared" si="40"/>
        <v>319861.62000000011</v>
      </c>
      <c r="AM54" s="317">
        <f t="shared" si="25"/>
        <v>2</v>
      </c>
      <c r="AN54" s="14">
        <f t="shared" si="18"/>
        <v>1944.5499999999997</v>
      </c>
      <c r="AO54" s="14">
        <f>IF(W54&lt;=0,0,+$AA$6-$C$2+I54-U54)</f>
        <v>201787.68</v>
      </c>
      <c r="AP54" s="14">
        <f t="shared" si="19"/>
        <v>1944.5499999999997</v>
      </c>
      <c r="AS54" s="14">
        <f t="shared" si="20"/>
        <v>1944.5499999999997</v>
      </c>
      <c r="AT54" s="14">
        <f t="shared" si="26"/>
        <v>52502.85000000002</v>
      </c>
      <c r="AU54" s="188">
        <f>IF(W54&lt;=0,0,+($O$5+AV53)*$AQ$2/12)</f>
        <v>895.31856575304789</v>
      </c>
      <c r="AV54" s="188">
        <f t="shared" si="27"/>
        <v>33312.7448669722</v>
      </c>
    </row>
    <row r="55" spans="1:50">
      <c r="A55" s="395">
        <f t="shared" si="28"/>
        <v>47040</v>
      </c>
      <c r="B55" s="188">
        <f t="shared" si="21"/>
        <v>118534.10999999999</v>
      </c>
      <c r="C55" s="14">
        <f t="shared" si="3"/>
        <v>559.88</v>
      </c>
      <c r="D55" s="14">
        <f t="shared" si="29"/>
        <v>115.38</v>
      </c>
      <c r="E55" s="14">
        <f t="shared" si="4"/>
        <v>444.5</v>
      </c>
      <c r="I55" s="188">
        <f t="shared" si="41"/>
        <v>4754.4399999999987</v>
      </c>
      <c r="J55" s="188">
        <f t="shared" si="42"/>
        <v>18100.929999999997</v>
      </c>
      <c r="K55" s="188">
        <f t="shared" si="43"/>
        <v>118418.72999999998</v>
      </c>
      <c r="L55" s="317">
        <f t="shared" si="5"/>
        <v>2</v>
      </c>
      <c r="M55" s="317">
        <f>IF(N55&lt;&gt;"",IF(N55=$O$5,0,+M54+1),0)</f>
        <v>27</v>
      </c>
      <c r="N55" s="188">
        <f t="shared" si="22"/>
        <v>319861.62000000011</v>
      </c>
      <c r="O55" s="188">
        <f>IF($O$11&lt;=A55,IF(+$W54&lt;=0,0,$O$8),0)</f>
        <v>2504.4299999999998</v>
      </c>
      <c r="P55" s="188">
        <f t="shared" si="33"/>
        <v>238.73999999999978</v>
      </c>
      <c r="Q55" s="188">
        <f>IF($O$11&lt;=A55,ROUND(N55*($O$7/12),2),0)</f>
        <v>2265.69</v>
      </c>
      <c r="R55" s="188">
        <f t="shared" si="6"/>
        <v>51.5</v>
      </c>
      <c r="S55" s="188">
        <f t="shared" si="7"/>
        <v>145.09666666666666</v>
      </c>
      <c r="T55" s="188">
        <f t="shared" si="8"/>
        <v>2701.0266666666666</v>
      </c>
      <c r="U55" s="188">
        <f t="shared" si="34"/>
        <v>6087.1199999999953</v>
      </c>
      <c r="V55" s="188">
        <f t="shared" si="35"/>
        <v>64036.920000000006</v>
      </c>
      <c r="W55" s="188">
        <f t="shared" si="36"/>
        <v>319622.88000000012</v>
      </c>
      <c r="X55" s="395">
        <f t="shared" si="23"/>
        <v>47040</v>
      </c>
      <c r="Y55" s="188">
        <f t="shared" si="37"/>
        <v>319861.62000000011</v>
      </c>
      <c r="Z55" s="388">
        <f t="shared" si="9"/>
        <v>8.4999999999999992E-2</v>
      </c>
      <c r="AA55" s="188">
        <f t="shared" si="10"/>
        <v>2504.4299999999998</v>
      </c>
      <c r="AB55" s="188">
        <f t="shared" si="11"/>
        <v>238.73999999999978</v>
      </c>
      <c r="AC55" s="188">
        <f t="shared" si="12"/>
        <v>2265.69</v>
      </c>
      <c r="AD55" s="188">
        <f t="shared" si="13"/>
        <v>51.5</v>
      </c>
      <c r="AE55" s="188">
        <f t="shared" si="14"/>
        <v>145.09666666666666</v>
      </c>
      <c r="AF55" s="188">
        <f t="shared" si="15"/>
        <v>2701.0266666666666</v>
      </c>
      <c r="AG55" s="188">
        <f t="shared" si="38"/>
        <v>6087.1199999999953</v>
      </c>
      <c r="AH55" s="188">
        <f t="shared" si="39"/>
        <v>64036.920000000006</v>
      </c>
      <c r="AI55" s="404">
        <f t="shared" si="24"/>
        <v>0</v>
      </c>
      <c r="AJ55" s="404">
        <f t="shared" si="16"/>
        <v>0</v>
      </c>
      <c r="AK55" s="404"/>
      <c r="AL55" s="188">
        <f t="shared" si="40"/>
        <v>319622.88000000012</v>
      </c>
      <c r="AM55" s="317">
        <f t="shared" si="25"/>
        <v>2</v>
      </c>
      <c r="AN55" s="14">
        <f t="shared" si="18"/>
        <v>1944.5499999999997</v>
      </c>
      <c r="AO55" s="14">
        <f>IF(W55&lt;=0,0,+$AA$6-$C$2+I55-U55)</f>
        <v>201664.32</v>
      </c>
      <c r="AP55" s="14">
        <f t="shared" si="19"/>
        <v>1944.5499999999997</v>
      </c>
      <c r="AS55" s="14">
        <f t="shared" si="20"/>
        <v>1944.5499999999997</v>
      </c>
      <c r="AT55" s="14">
        <f t="shared" si="26"/>
        <v>54447.400000000023</v>
      </c>
      <c r="AU55" s="188">
        <f>IF(W55&lt;=0,0,+($O$5+AV54)*$AQ$2/12)</f>
        <v>897.55686216743049</v>
      </c>
      <c r="AV55" s="188">
        <f t="shared" si="27"/>
        <v>34210.301729139632</v>
      </c>
    </row>
    <row r="56" spans="1:50">
      <c r="A56" s="395">
        <f t="shared" si="28"/>
        <v>47070</v>
      </c>
      <c r="B56" s="188">
        <f t="shared" si="21"/>
        <v>118418.72999999998</v>
      </c>
      <c r="C56" s="14">
        <f t="shared" si="3"/>
        <v>559.88</v>
      </c>
      <c r="D56" s="14">
        <f t="shared" si="29"/>
        <v>115.81</v>
      </c>
      <c r="E56" s="14">
        <f t="shared" si="4"/>
        <v>444.07</v>
      </c>
      <c r="I56" s="188">
        <f t="shared" si="41"/>
        <v>4870.2499999999991</v>
      </c>
      <c r="J56" s="188">
        <f t="shared" si="42"/>
        <v>18544.999999999996</v>
      </c>
      <c r="K56" s="188">
        <f t="shared" si="43"/>
        <v>118302.91999999998</v>
      </c>
      <c r="L56" s="317">
        <f t="shared" si="5"/>
        <v>2</v>
      </c>
      <c r="M56" s="317">
        <f>IF(N56&lt;&gt;"",IF(N56=$O$5,0,+M55+1),0)</f>
        <v>28</v>
      </c>
      <c r="N56" s="188">
        <f t="shared" si="22"/>
        <v>319622.88000000012</v>
      </c>
      <c r="O56" s="188">
        <f>IF($O$11&lt;=A56,IF(+$W55&lt;=0,0,$O$8),0)</f>
        <v>2504.4299999999998</v>
      </c>
      <c r="P56" s="188">
        <f t="shared" si="33"/>
        <v>240.42999999999984</v>
      </c>
      <c r="Q56" s="188">
        <f>IF($O$11&lt;=A56,ROUND(N56*($O$7/12),2),0)</f>
        <v>2264</v>
      </c>
      <c r="R56" s="188">
        <f t="shared" si="6"/>
        <v>51.5</v>
      </c>
      <c r="S56" s="188">
        <f t="shared" si="7"/>
        <v>145.09666666666666</v>
      </c>
      <c r="T56" s="188">
        <f t="shared" si="8"/>
        <v>2701.0266666666666</v>
      </c>
      <c r="U56" s="188">
        <f t="shared" si="34"/>
        <v>6327.5499999999956</v>
      </c>
      <c r="V56" s="188">
        <f t="shared" si="35"/>
        <v>66300.920000000013</v>
      </c>
      <c r="W56" s="188">
        <f t="shared" si="36"/>
        <v>319382.45000000013</v>
      </c>
      <c r="X56" s="395">
        <f t="shared" si="23"/>
        <v>47070</v>
      </c>
      <c r="Y56" s="188">
        <f t="shared" si="37"/>
        <v>319622.88000000012</v>
      </c>
      <c r="Z56" s="388">
        <f t="shared" si="9"/>
        <v>8.4999999999999992E-2</v>
      </c>
      <c r="AA56" s="188">
        <f t="shared" si="10"/>
        <v>2504.4299999999998</v>
      </c>
      <c r="AB56" s="188">
        <f t="shared" si="11"/>
        <v>240.42999999999984</v>
      </c>
      <c r="AC56" s="188">
        <f t="shared" si="12"/>
        <v>2264</v>
      </c>
      <c r="AD56" s="188">
        <f t="shared" si="13"/>
        <v>51.5</v>
      </c>
      <c r="AE56" s="188">
        <f t="shared" si="14"/>
        <v>145.09666666666666</v>
      </c>
      <c r="AF56" s="188">
        <f t="shared" si="15"/>
        <v>2701.0266666666666</v>
      </c>
      <c r="AG56" s="188">
        <f t="shared" si="38"/>
        <v>6327.5499999999956</v>
      </c>
      <c r="AH56" s="188">
        <f t="shared" si="39"/>
        <v>66300.920000000013</v>
      </c>
      <c r="AI56" s="404">
        <f t="shared" si="24"/>
        <v>0</v>
      </c>
      <c r="AJ56" s="404">
        <f t="shared" si="16"/>
        <v>0</v>
      </c>
      <c r="AK56" s="404"/>
      <c r="AL56" s="188">
        <f t="shared" si="40"/>
        <v>319382.45000000013</v>
      </c>
      <c r="AM56" s="317">
        <f t="shared" si="25"/>
        <v>2</v>
      </c>
      <c r="AN56" s="14">
        <f t="shared" si="18"/>
        <v>1944.5499999999997</v>
      </c>
      <c r="AO56" s="14">
        <f>IF(W56&lt;=0,0,+$AA$6-$C$2+I56-U56)</f>
        <v>201539.7</v>
      </c>
      <c r="AP56" s="14">
        <f t="shared" si="19"/>
        <v>1944.5499999999997</v>
      </c>
      <c r="AS56" s="14">
        <f t="shared" si="20"/>
        <v>1944.5499999999997</v>
      </c>
      <c r="AT56" s="14">
        <f t="shared" si="26"/>
        <v>56391.950000000026</v>
      </c>
      <c r="AU56" s="188">
        <f>IF(W56&lt;=0,0,+($O$5+AV55)*$AQ$2/12)</f>
        <v>899.80075432284912</v>
      </c>
      <c r="AV56" s="188">
        <f t="shared" si="27"/>
        <v>35110.102483462484</v>
      </c>
    </row>
    <row r="57" spans="1:50">
      <c r="A57" s="395">
        <f t="shared" si="28"/>
        <v>47100</v>
      </c>
      <c r="B57" s="188">
        <f t="shared" si="21"/>
        <v>118302.91999999998</v>
      </c>
      <c r="C57" s="14">
        <f t="shared" si="3"/>
        <v>559.88</v>
      </c>
      <c r="D57" s="14">
        <f t="shared" si="29"/>
        <v>116.24000000000001</v>
      </c>
      <c r="E57" s="14">
        <f t="shared" si="4"/>
        <v>443.64</v>
      </c>
      <c r="I57" s="188">
        <f t="shared" si="41"/>
        <v>4986.4899999999989</v>
      </c>
      <c r="J57" s="188">
        <f t="shared" si="42"/>
        <v>18988.639999999996</v>
      </c>
      <c r="K57" s="188">
        <f t="shared" si="43"/>
        <v>118186.67999999998</v>
      </c>
      <c r="L57" s="317">
        <f t="shared" si="5"/>
        <v>2</v>
      </c>
      <c r="M57" s="317">
        <f>IF(N57&lt;&gt;"",IF(N57=$O$5,0,+M56+1),0)</f>
        <v>29</v>
      </c>
      <c r="N57" s="188">
        <f t="shared" si="22"/>
        <v>319382.45000000013</v>
      </c>
      <c r="O57" s="188">
        <f>IF($O$11&lt;=A57,IF(+$W56&lt;=0,0,$O$8),0)</f>
        <v>2504.4299999999998</v>
      </c>
      <c r="P57" s="188">
        <f t="shared" si="33"/>
        <v>242.13999999999987</v>
      </c>
      <c r="Q57" s="188">
        <f>IF($O$11&lt;=A57,ROUND(N57*($O$7/12),2),0)</f>
        <v>2262.29</v>
      </c>
      <c r="R57" s="188">
        <f t="shared" si="6"/>
        <v>51.5</v>
      </c>
      <c r="S57" s="188">
        <f t="shared" si="7"/>
        <v>145.09666666666666</v>
      </c>
      <c r="T57" s="188">
        <f t="shared" si="8"/>
        <v>2701.0266666666666</v>
      </c>
      <c r="U57" s="188">
        <f t="shared" si="34"/>
        <v>6569.6899999999951</v>
      </c>
      <c r="V57" s="188">
        <f t="shared" si="35"/>
        <v>68563.210000000006</v>
      </c>
      <c r="W57" s="188">
        <f t="shared" si="36"/>
        <v>319140.31000000011</v>
      </c>
      <c r="X57" s="395">
        <f t="shared" si="23"/>
        <v>47100</v>
      </c>
      <c r="Y57" s="188">
        <f t="shared" si="37"/>
        <v>319382.45000000013</v>
      </c>
      <c r="Z57" s="388">
        <f t="shared" si="9"/>
        <v>8.4999999999999992E-2</v>
      </c>
      <c r="AA57" s="188">
        <f t="shared" si="10"/>
        <v>2504.4299999999998</v>
      </c>
      <c r="AB57" s="188">
        <f t="shared" si="11"/>
        <v>242.13999999999987</v>
      </c>
      <c r="AC57" s="188">
        <f t="shared" si="12"/>
        <v>2262.29</v>
      </c>
      <c r="AD57" s="188">
        <f t="shared" si="13"/>
        <v>51.5</v>
      </c>
      <c r="AE57" s="188">
        <f t="shared" si="14"/>
        <v>145.09666666666666</v>
      </c>
      <c r="AF57" s="188">
        <f t="shared" si="15"/>
        <v>2701.0266666666666</v>
      </c>
      <c r="AG57" s="188">
        <f t="shared" si="38"/>
        <v>6569.6899999999951</v>
      </c>
      <c r="AH57" s="188">
        <f t="shared" si="39"/>
        <v>68563.210000000006</v>
      </c>
      <c r="AI57" s="404">
        <f t="shared" si="24"/>
        <v>0</v>
      </c>
      <c r="AJ57" s="404">
        <f t="shared" si="16"/>
        <v>0</v>
      </c>
      <c r="AK57" s="404"/>
      <c r="AL57" s="188">
        <f t="shared" si="40"/>
        <v>319140.31000000011</v>
      </c>
      <c r="AM57" s="317">
        <f t="shared" si="25"/>
        <v>2</v>
      </c>
      <c r="AN57" s="14">
        <f t="shared" si="18"/>
        <v>1944.5499999999997</v>
      </c>
      <c r="AO57" s="14">
        <f>IF(W57&lt;=0,0,+$AA$6-$C$2+I57-U57)</f>
        <v>201413.8</v>
      </c>
      <c r="AP57" s="14">
        <f t="shared" si="19"/>
        <v>1944.5499999999997</v>
      </c>
      <c r="AS57" s="14">
        <f t="shared" si="20"/>
        <v>1944.5499999999997</v>
      </c>
      <c r="AT57" s="14">
        <f t="shared" si="26"/>
        <v>58336.500000000029</v>
      </c>
      <c r="AU57" s="188">
        <f>IF(W57&lt;=0,0,+($O$5+AV56)*$AQ$2/12)</f>
        <v>902.05025620865615</v>
      </c>
      <c r="AV57" s="188">
        <f t="shared" si="27"/>
        <v>36012.152739671139</v>
      </c>
    </row>
    <row r="58" spans="1:50">
      <c r="A58" s="395">
        <f t="shared" si="28"/>
        <v>47130</v>
      </c>
      <c r="B58" s="188">
        <f t="shared" si="21"/>
        <v>118186.67999999998</v>
      </c>
      <c r="C58" s="14">
        <f t="shared" si="3"/>
        <v>559.88</v>
      </c>
      <c r="D58" s="14">
        <f t="shared" si="29"/>
        <v>116.68</v>
      </c>
      <c r="E58" s="14">
        <f t="shared" si="4"/>
        <v>443.2</v>
      </c>
      <c r="F58" s="14">
        <f>IF(C58=0,0,$T$9)</f>
        <v>51.5</v>
      </c>
      <c r="G58" s="14">
        <f>IF(D58=0,0,$T$10)</f>
        <v>145.09666666666666</v>
      </c>
      <c r="H58" s="14">
        <f>SUM(D58:G58)</f>
        <v>756.47666666666669</v>
      </c>
      <c r="I58" s="188">
        <f t="shared" si="41"/>
        <v>5103.1699999999992</v>
      </c>
      <c r="J58" s="188">
        <f t="shared" si="42"/>
        <v>19431.839999999997</v>
      </c>
      <c r="K58" s="188">
        <f t="shared" si="43"/>
        <v>118069.99999999999</v>
      </c>
      <c r="L58" s="317">
        <f t="shared" si="5"/>
        <v>2</v>
      </c>
      <c r="M58" s="317">
        <f>IF(N58&lt;&gt;"",IF(N58=$O$5,0,+M57+1),0)</f>
        <v>30</v>
      </c>
      <c r="N58" s="188">
        <f t="shared" si="22"/>
        <v>319140.31000000011</v>
      </c>
      <c r="O58" s="188">
        <f>IF($O$11&lt;=A58,IF(+$W57&lt;=0,0,$O$8),0)</f>
        <v>2504.4299999999998</v>
      </c>
      <c r="P58" s="188">
        <f t="shared" si="33"/>
        <v>243.84999999999991</v>
      </c>
      <c r="Q58" s="188">
        <f>IF($O$11&lt;=A58,ROUND(N58*($O$7/12),2),0)</f>
        <v>2260.58</v>
      </c>
      <c r="R58" s="188">
        <f t="shared" si="6"/>
        <v>51.5</v>
      </c>
      <c r="S58" s="188">
        <f t="shared" si="7"/>
        <v>145.09666666666666</v>
      </c>
      <c r="T58" s="188">
        <f t="shared" si="8"/>
        <v>2701.0266666666666</v>
      </c>
      <c r="U58" s="188">
        <f t="shared" si="34"/>
        <v>6813.5399999999954</v>
      </c>
      <c r="V58" s="188">
        <f t="shared" si="35"/>
        <v>70823.790000000008</v>
      </c>
      <c r="W58" s="188">
        <f t="shared" si="36"/>
        <v>318896.46000000014</v>
      </c>
      <c r="X58" s="395">
        <f t="shared" si="23"/>
        <v>47130</v>
      </c>
      <c r="Y58" s="188">
        <f t="shared" si="37"/>
        <v>319140.31000000011</v>
      </c>
      <c r="Z58" s="388">
        <f t="shared" si="9"/>
        <v>8.4999999999999992E-2</v>
      </c>
      <c r="AA58" s="188">
        <f t="shared" si="10"/>
        <v>2504.4299999999998</v>
      </c>
      <c r="AB58" s="188">
        <f t="shared" si="11"/>
        <v>243.84999999999991</v>
      </c>
      <c r="AC58" s="188">
        <f t="shared" si="12"/>
        <v>2260.58</v>
      </c>
      <c r="AD58" s="188">
        <f t="shared" si="13"/>
        <v>51.5</v>
      </c>
      <c r="AE58" s="188">
        <f t="shared" si="14"/>
        <v>145.09666666666666</v>
      </c>
      <c r="AF58" s="188">
        <f t="shared" si="15"/>
        <v>2701.0266666666666</v>
      </c>
      <c r="AG58" s="188">
        <f t="shared" si="38"/>
        <v>6813.5399999999954</v>
      </c>
      <c r="AH58" s="188">
        <f t="shared" si="39"/>
        <v>70823.790000000008</v>
      </c>
      <c r="AI58" s="404">
        <f t="shared" si="24"/>
        <v>0</v>
      </c>
      <c r="AJ58" s="404">
        <f t="shared" si="16"/>
        <v>0</v>
      </c>
      <c r="AK58" s="404"/>
      <c r="AL58" s="188">
        <f t="shared" si="40"/>
        <v>318896.46000000014</v>
      </c>
      <c r="AM58" s="317">
        <f t="shared" si="25"/>
        <v>2</v>
      </c>
      <c r="AN58" s="14">
        <f t="shared" si="18"/>
        <v>1944.5499999999997</v>
      </c>
      <c r="AO58" s="14">
        <f>IF(W58&lt;=0,0,+$AA$6-$C$2+I58-U58)</f>
        <v>201286.63</v>
      </c>
      <c r="AP58" s="14">
        <f t="shared" si="19"/>
        <v>1944.5499999999997</v>
      </c>
      <c r="AS58" s="14">
        <f t="shared" si="20"/>
        <v>1944.5499999999997</v>
      </c>
      <c r="AT58" s="14">
        <f t="shared" si="26"/>
        <v>60281.050000000032</v>
      </c>
      <c r="AU58" s="188">
        <f>IF(W58&lt;=0,0,+($O$5+AV57)*$AQ$2/12)</f>
        <v>904.30538184917771</v>
      </c>
      <c r="AV58" s="188">
        <f t="shared" si="27"/>
        <v>36916.458121520314</v>
      </c>
    </row>
    <row r="59" spans="1:50">
      <c r="A59" s="395">
        <f t="shared" si="28"/>
        <v>47160</v>
      </c>
      <c r="B59" s="188">
        <f t="shared" si="21"/>
        <v>118069.99999999999</v>
      </c>
      <c r="C59" s="14">
        <f t="shared" si="3"/>
        <v>559.88</v>
      </c>
      <c r="D59" s="14">
        <f t="shared" si="29"/>
        <v>117.12</v>
      </c>
      <c r="E59" s="14">
        <f t="shared" si="4"/>
        <v>442.76</v>
      </c>
      <c r="F59" s="14">
        <f t="shared" ref="F59:F123" si="44">+F58</f>
        <v>51.5</v>
      </c>
      <c r="G59" s="14">
        <f t="shared" ref="G59:G122" si="45">+G58</f>
        <v>145.09666666666666</v>
      </c>
      <c r="H59" s="14">
        <f t="shared" ref="H59" si="46">+H58</f>
        <v>756.47666666666669</v>
      </c>
      <c r="I59" s="188">
        <f t="shared" si="41"/>
        <v>5220.2899999999991</v>
      </c>
      <c r="J59" s="188">
        <f t="shared" si="42"/>
        <v>19874.599999999995</v>
      </c>
      <c r="K59" s="188">
        <f t="shared" si="43"/>
        <v>117952.87999999999</v>
      </c>
      <c r="L59" s="317">
        <f t="shared" si="5"/>
        <v>2</v>
      </c>
      <c r="M59" s="317">
        <f>IF(N59&lt;&gt;"",IF(N59=$O$5,0,+M58+1),0)</f>
        <v>31</v>
      </c>
      <c r="N59" s="188">
        <f t="shared" si="22"/>
        <v>318896.46000000014</v>
      </c>
      <c r="O59" s="188">
        <f>IF($O$11&lt;=$A59,IF(+$W58&lt;=0,0,$O$8),0)</f>
        <v>2504.4299999999998</v>
      </c>
      <c r="P59" s="188">
        <f t="shared" si="33"/>
        <v>245.57999999999993</v>
      </c>
      <c r="Q59" s="188">
        <f>IF($O$11&lt;=A59,ROUND(N59*($O$7/12),2),0)</f>
        <v>2258.85</v>
      </c>
      <c r="R59" s="188">
        <f t="shared" si="6"/>
        <v>51.5</v>
      </c>
      <c r="S59" s="188">
        <f t="shared" si="7"/>
        <v>145.09666666666666</v>
      </c>
      <c r="T59" s="188">
        <f>SUM(P59:S59)</f>
        <v>2701.0266666666666</v>
      </c>
      <c r="U59" s="188">
        <f t="shared" si="34"/>
        <v>7059.1199999999953</v>
      </c>
      <c r="V59" s="188">
        <f t="shared" si="35"/>
        <v>73082.640000000014</v>
      </c>
      <c r="W59" s="188">
        <f t="shared" si="36"/>
        <v>318650.88000000012</v>
      </c>
      <c r="X59" s="395">
        <f t="shared" si="23"/>
        <v>47160</v>
      </c>
      <c r="Y59" s="188">
        <f t="shared" si="37"/>
        <v>318896.46000000014</v>
      </c>
      <c r="Z59" s="388">
        <f t="shared" si="9"/>
        <v>8.4999999999999992E-2</v>
      </c>
      <c r="AA59" s="188">
        <f t="shared" si="10"/>
        <v>2504.4299999999998</v>
      </c>
      <c r="AB59" s="188">
        <f t="shared" si="11"/>
        <v>245.57999999999993</v>
      </c>
      <c r="AC59" s="188">
        <f t="shared" si="12"/>
        <v>2258.85</v>
      </c>
      <c r="AD59" s="188">
        <f t="shared" si="13"/>
        <v>51.5</v>
      </c>
      <c r="AE59" s="188">
        <f t="shared" si="14"/>
        <v>145.09666666666666</v>
      </c>
      <c r="AF59" s="188">
        <f t="shared" si="15"/>
        <v>2701.0266666666666</v>
      </c>
      <c r="AG59" s="188">
        <f t="shared" si="38"/>
        <v>7059.1199999999953</v>
      </c>
      <c r="AH59" s="188">
        <f t="shared" si="39"/>
        <v>73082.640000000014</v>
      </c>
      <c r="AI59" s="404">
        <f t="shared" si="24"/>
        <v>0</v>
      </c>
      <c r="AJ59" s="404">
        <f t="shared" si="16"/>
        <v>0</v>
      </c>
      <c r="AK59" s="404"/>
      <c r="AL59" s="188">
        <f t="shared" si="40"/>
        <v>318650.88000000012</v>
      </c>
      <c r="AM59" s="317">
        <f t="shared" si="25"/>
        <v>2</v>
      </c>
      <c r="AN59" s="14">
        <f t="shared" si="18"/>
        <v>1944.5499999999997</v>
      </c>
      <c r="AO59" s="14">
        <f>IF(W59&lt;=0,0,+$AA$6-$C$2+I59-U59)</f>
        <v>201158.17</v>
      </c>
      <c r="AP59" s="14">
        <f t="shared" si="19"/>
        <v>1944.5499999999997</v>
      </c>
      <c r="AS59" s="14">
        <f t="shared" si="20"/>
        <v>1944.5499999999997</v>
      </c>
      <c r="AT59" s="14">
        <f t="shared" si="26"/>
        <v>62225.600000000035</v>
      </c>
      <c r="AU59" s="188">
        <f>IF(W59&lt;=0,0,+($O$5+AV58)*$AQ$2/12)</f>
        <v>906.56614530380068</v>
      </c>
      <c r="AV59" s="188">
        <f t="shared" si="27"/>
        <v>37823.024266824112</v>
      </c>
    </row>
    <row r="60" spans="1:50">
      <c r="A60" s="395">
        <f t="shared" si="28"/>
        <v>47190</v>
      </c>
      <c r="B60" s="188">
        <f t="shared" si="21"/>
        <v>117952.87999999999</v>
      </c>
      <c r="C60" s="14">
        <f t="shared" si="3"/>
        <v>559.88</v>
      </c>
      <c r="D60" s="14">
        <f t="shared" si="29"/>
        <v>117.56</v>
      </c>
      <c r="E60" s="14">
        <f t="shared" si="4"/>
        <v>442.32</v>
      </c>
      <c r="F60" s="14">
        <f t="shared" si="44"/>
        <v>51.5</v>
      </c>
      <c r="G60" s="14">
        <f t="shared" si="45"/>
        <v>145.09666666666666</v>
      </c>
      <c r="H60" s="14">
        <f t="shared" ref="H60:H122" si="47">SUM(D60:G60)</f>
        <v>756.47666666666669</v>
      </c>
      <c r="I60" s="188">
        <f t="shared" si="41"/>
        <v>5337.8499999999995</v>
      </c>
      <c r="J60" s="188">
        <f t="shared" si="42"/>
        <v>20316.919999999995</v>
      </c>
      <c r="K60" s="188">
        <f t="shared" si="43"/>
        <v>117835.31999999999</v>
      </c>
      <c r="L60" s="317">
        <f t="shared" si="5"/>
        <v>2</v>
      </c>
      <c r="M60" s="317">
        <f>IF(N60&lt;&gt;"",IF(N60=$O$5,0,+M59+1),0)</f>
        <v>32</v>
      </c>
      <c r="N60" s="188">
        <f t="shared" si="22"/>
        <v>318650.88000000012</v>
      </c>
      <c r="O60" s="188">
        <f>IF($O$11&lt;=A60,IF(+$W59&lt;=0,0,$O$8),0)</f>
        <v>2504.4299999999998</v>
      </c>
      <c r="P60" s="188">
        <f t="shared" si="33"/>
        <v>247.31999999999971</v>
      </c>
      <c r="Q60" s="188">
        <f>IF($O$11&lt;=A60,ROUND(N60*($O$7/12),2),0)</f>
        <v>2257.11</v>
      </c>
      <c r="R60" s="188">
        <f t="shared" si="6"/>
        <v>51.5</v>
      </c>
      <c r="S60" s="188">
        <f t="shared" si="7"/>
        <v>145.09666666666666</v>
      </c>
      <c r="T60" s="188">
        <f t="shared" ref="T60" si="48">SUM(P60:S60)</f>
        <v>2701.0266666666666</v>
      </c>
      <c r="U60" s="188">
        <f t="shared" si="34"/>
        <v>7306.4399999999951</v>
      </c>
      <c r="V60" s="188">
        <f t="shared" si="35"/>
        <v>75339.750000000015</v>
      </c>
      <c r="W60" s="188">
        <f t="shared" si="36"/>
        <v>318403.56000000011</v>
      </c>
      <c r="X60" s="395">
        <f t="shared" si="23"/>
        <v>47190</v>
      </c>
      <c r="Y60" s="188">
        <f>IF(+AL59&lt;0,0,+AL59)</f>
        <v>318650.88000000012</v>
      </c>
      <c r="Z60" s="388">
        <f t="shared" si="9"/>
        <v>8.4999999999999992E-2</v>
      </c>
      <c r="AA60" s="188">
        <f t="shared" si="10"/>
        <v>2504.4299999999998</v>
      </c>
      <c r="AB60" s="188">
        <f t="shared" ref="AB60:AB61" si="49">+AA60-AC60</f>
        <v>247.31999999999971</v>
      </c>
      <c r="AC60" s="188">
        <f t="shared" si="12"/>
        <v>2257.11</v>
      </c>
      <c r="AD60" s="188">
        <f t="shared" si="13"/>
        <v>51.5</v>
      </c>
      <c r="AE60" s="188">
        <f t="shared" si="14"/>
        <v>145.09666666666666</v>
      </c>
      <c r="AF60" s="188">
        <f t="shared" si="15"/>
        <v>2701.0266666666666</v>
      </c>
      <c r="AG60" s="188">
        <f t="shared" ref="AG60" si="50">+AB60+AG59</f>
        <v>7306.4399999999951</v>
      </c>
      <c r="AH60" s="188">
        <f t="shared" ref="AH60" si="51">+AH59+AC60</f>
        <v>75339.750000000015</v>
      </c>
      <c r="AI60" s="404">
        <f>O60-AA60+AI59</f>
        <v>0</v>
      </c>
      <c r="AJ60" s="404">
        <f t="shared" si="16"/>
        <v>0</v>
      </c>
      <c r="AK60" s="404">
        <f>SUM(AI60:AJ60)</f>
        <v>0</v>
      </c>
      <c r="AL60" s="188">
        <f>+Y60-AB60</f>
        <v>318403.56000000011</v>
      </c>
      <c r="AM60" s="317">
        <f t="shared" si="25"/>
        <v>2</v>
      </c>
      <c r="AN60" s="14">
        <f>IF($O60=0,0,+$O60-$C60)</f>
        <v>1944.5499999999997</v>
      </c>
      <c r="AO60" s="14">
        <f>IF(W60&lt;=0,0,+$AA$6-$C$2+I60-U60)</f>
        <v>201028.41</v>
      </c>
      <c r="AP60" s="14">
        <f>IF($O60=0,0,+AA60-$C60)</f>
        <v>1944.5499999999997</v>
      </c>
      <c r="AR60">
        <v>120.14</v>
      </c>
      <c r="AS60" s="14">
        <f t="shared" si="20"/>
        <v>1824.4099999999996</v>
      </c>
      <c r="AT60" s="14">
        <f t="shared" si="26"/>
        <v>64050.010000000031</v>
      </c>
      <c r="AU60" s="188">
        <f>IF(W60&lt;=0,0,+($O$5+AV59)*$AQ$2/12)</f>
        <v>908.83256066706019</v>
      </c>
      <c r="AV60" s="188">
        <f t="shared" si="27"/>
        <v>38731.856827491174</v>
      </c>
      <c r="AX60" s="371"/>
    </row>
    <row r="61" spans="1:50">
      <c r="A61" s="395">
        <f t="shared" si="28"/>
        <v>47220</v>
      </c>
      <c r="B61" s="188">
        <f t="shared" si="21"/>
        <v>117835.31999999999</v>
      </c>
      <c r="C61" s="14">
        <f t="shared" si="3"/>
        <v>559.88</v>
      </c>
      <c r="D61" s="14">
        <f t="shared" si="29"/>
        <v>118</v>
      </c>
      <c r="E61" s="14">
        <f t="shared" si="4"/>
        <v>441.88</v>
      </c>
      <c r="F61" s="14">
        <f t="shared" si="44"/>
        <v>51.5</v>
      </c>
      <c r="G61" s="14">
        <f t="shared" si="45"/>
        <v>145.09666666666666</v>
      </c>
      <c r="H61" s="14">
        <f t="shared" si="47"/>
        <v>756.47666666666669</v>
      </c>
      <c r="I61" s="188">
        <f t="shared" si="41"/>
        <v>5455.8499999999995</v>
      </c>
      <c r="J61" s="188">
        <f t="shared" si="42"/>
        <v>20758.799999999996</v>
      </c>
      <c r="K61" s="188">
        <f t="shared" si="43"/>
        <v>117717.31999999999</v>
      </c>
      <c r="L61" s="317">
        <f t="shared" si="5"/>
        <v>2</v>
      </c>
      <c r="M61" s="317">
        <f>IF(N61&lt;&gt;"",IF(N61=$O$5,0,+M60+1),0)</f>
        <v>33</v>
      </c>
      <c r="N61" s="188">
        <f t="shared" si="22"/>
        <v>318403.56000000011</v>
      </c>
      <c r="O61" s="188">
        <f>IF($O$11&lt;=A61,IF(+$W60&lt;=0,0,$O$8),0)</f>
        <v>2504.4299999999998</v>
      </c>
      <c r="P61" s="188">
        <f t="shared" si="33"/>
        <v>249.06999999999971</v>
      </c>
      <c r="Q61" s="188">
        <f>IF($O$11&lt;=A61,ROUND(N61*($O$7/12),2),0)</f>
        <v>2255.36</v>
      </c>
      <c r="R61" s="188">
        <f t="shared" si="6"/>
        <v>51.5</v>
      </c>
      <c r="S61" s="188">
        <f t="shared" si="7"/>
        <v>145.09666666666666</v>
      </c>
      <c r="T61" s="188">
        <f t="shared" ref="T61:T123" si="52">SUM(P61:S61)</f>
        <v>2701.0266666666666</v>
      </c>
      <c r="U61" s="188">
        <f t="shared" si="34"/>
        <v>7555.5099999999948</v>
      </c>
      <c r="V61" s="188">
        <f t="shared" si="35"/>
        <v>77595.110000000015</v>
      </c>
      <c r="W61" s="188">
        <f t="shared" si="36"/>
        <v>318154.49000000011</v>
      </c>
      <c r="X61" s="395">
        <f t="shared" si="23"/>
        <v>47220</v>
      </c>
      <c r="Y61" s="188">
        <f>IF(+AL60&lt;0,0,+AL60)</f>
        <v>318403.56000000011</v>
      </c>
      <c r="Z61" s="388">
        <f t="shared" si="9"/>
        <v>8.4999999999999992E-2</v>
      </c>
      <c r="AA61" s="188">
        <f t="shared" si="10"/>
        <v>2504.4299999999998</v>
      </c>
      <c r="AB61" s="188">
        <f t="shared" si="49"/>
        <v>249.06999999999971</v>
      </c>
      <c r="AC61" s="188">
        <f t="shared" si="12"/>
        <v>2255.36</v>
      </c>
      <c r="AD61" s="188">
        <f t="shared" ref="AD61:AE62" si="53">+AD60</f>
        <v>51.5</v>
      </c>
      <c r="AE61" s="188">
        <f t="shared" si="53"/>
        <v>145.09666666666666</v>
      </c>
      <c r="AF61" s="188">
        <f t="shared" ref="AF61:AF62" si="54">SUM(AB61:AE61)</f>
        <v>2701.0266666666666</v>
      </c>
      <c r="AG61" s="188">
        <f t="shared" ref="AG61:AG62" si="55">+AB61+AG60</f>
        <v>7555.5099999999948</v>
      </c>
      <c r="AH61" s="188">
        <f t="shared" ref="AH61:AH62" si="56">+AH60+AC61</f>
        <v>77595.110000000015</v>
      </c>
      <c r="AI61" s="404">
        <f t="shared" ref="AI61:AI124" si="57">O61-AA61+AI60</f>
        <v>0</v>
      </c>
      <c r="AJ61" s="404">
        <f t="shared" si="16"/>
        <v>0</v>
      </c>
      <c r="AK61" s="404">
        <f t="shared" ref="AK61:AK124" si="58">SUM(AI61:AJ61)</f>
        <v>0</v>
      </c>
      <c r="AL61" s="188">
        <f>+Y61-AB61</f>
        <v>318154.49000000011</v>
      </c>
      <c r="AM61" s="317">
        <f t="shared" si="25"/>
        <v>2</v>
      </c>
      <c r="AN61" s="14">
        <f t="shared" ref="AN61:AN124" si="59">IF(O61=0,0,+O61-C61)</f>
        <v>1944.5499999999997</v>
      </c>
      <c r="AO61" s="14">
        <f>IF(W61&lt;=0,0,+$AA$6-$C$2+I61-U61)</f>
        <v>200897.34000000003</v>
      </c>
      <c r="AP61" s="14">
        <f t="shared" ref="AP61:AP124" si="60">IF($O61=0,0,+AA61-$C61)</f>
        <v>1944.5499999999997</v>
      </c>
      <c r="AR61">
        <v>120.14</v>
      </c>
      <c r="AS61" s="14">
        <f t="shared" si="20"/>
        <v>1824.4099999999996</v>
      </c>
      <c r="AT61" s="14">
        <f t="shared" si="26"/>
        <v>65874.420000000027</v>
      </c>
      <c r="AU61" s="188">
        <f>IF(W61&lt;=0,0,+($O$5+AV60)*$AQ$2/12)</f>
        <v>911.10464206872803</v>
      </c>
      <c r="AV61" s="188">
        <f t="shared" si="27"/>
        <v>39642.961469559901</v>
      </c>
    </row>
    <row r="62" spans="1:50">
      <c r="A62" s="395">
        <f t="shared" si="28"/>
        <v>47250</v>
      </c>
      <c r="B62" s="188">
        <f t="shared" si="21"/>
        <v>117717.31999999999</v>
      </c>
      <c r="C62" s="14">
        <f t="shared" si="3"/>
        <v>559.88</v>
      </c>
      <c r="D62" s="14">
        <f t="shared" si="29"/>
        <v>118.44</v>
      </c>
      <c r="E62" s="14">
        <f t="shared" si="4"/>
        <v>441.44</v>
      </c>
      <c r="F62" s="14">
        <f t="shared" si="44"/>
        <v>51.5</v>
      </c>
      <c r="G62" s="14">
        <f t="shared" si="45"/>
        <v>145.09666666666666</v>
      </c>
      <c r="H62" s="14">
        <f t="shared" si="47"/>
        <v>756.47666666666669</v>
      </c>
      <c r="I62" s="188">
        <f t="shared" si="41"/>
        <v>5574.2899999999991</v>
      </c>
      <c r="J62" s="188">
        <f t="shared" si="42"/>
        <v>21200.239999999994</v>
      </c>
      <c r="K62" s="188">
        <f t="shared" si="43"/>
        <v>117598.87999999999</v>
      </c>
      <c r="L62" s="317">
        <f t="shared" si="5"/>
        <v>2</v>
      </c>
      <c r="M62" s="317">
        <f>IF(N62&lt;&gt;"",IF(N62=$O$5,0,+M61+1),0)</f>
        <v>34</v>
      </c>
      <c r="N62" s="188">
        <f t="shared" si="22"/>
        <v>318154.49000000011</v>
      </c>
      <c r="O62" s="188">
        <f>IF($O11&lt;=$A62,IF(+W61&lt;=0,0,O$8),0)</f>
        <v>2504.4299999999998</v>
      </c>
      <c r="P62" s="188">
        <f t="shared" si="33"/>
        <v>250.83999999999969</v>
      </c>
      <c r="Q62" s="188">
        <f>IF($O$11&lt;=$A62,ROUND(N62*(O$7/12),2),0)</f>
        <v>2253.59</v>
      </c>
      <c r="R62" s="188">
        <f t="shared" si="6"/>
        <v>51.5</v>
      </c>
      <c r="S62" s="188">
        <f t="shared" si="7"/>
        <v>145.09666666666666</v>
      </c>
      <c r="T62" s="188">
        <f t="shared" si="52"/>
        <v>2701.0266666666666</v>
      </c>
      <c r="U62" s="188">
        <f t="shared" si="34"/>
        <v>7806.3499999999949</v>
      </c>
      <c r="V62" s="188">
        <f t="shared" si="35"/>
        <v>79848.700000000012</v>
      </c>
      <c r="W62" s="188">
        <f t="shared" si="36"/>
        <v>317903.65000000008</v>
      </c>
      <c r="X62" s="395">
        <f t="shared" si="23"/>
        <v>47250</v>
      </c>
      <c r="Y62" s="188">
        <f>IF(+AL61&lt;0,0,+AL61)</f>
        <v>318154.49000000011</v>
      </c>
      <c r="Z62" s="388">
        <f t="shared" si="9"/>
        <v>8.4999999999999992E-2</v>
      </c>
      <c r="AA62" s="188">
        <f t="shared" si="10"/>
        <v>2504.4299999999998</v>
      </c>
      <c r="AB62" s="188">
        <f t="shared" ref="AB62" si="61">+AA62-AC62</f>
        <v>250.83999999999969</v>
      </c>
      <c r="AC62" s="188">
        <f t="shared" si="12"/>
        <v>2253.59</v>
      </c>
      <c r="AD62" s="188">
        <f t="shared" si="53"/>
        <v>51.5</v>
      </c>
      <c r="AE62" s="188">
        <f t="shared" si="53"/>
        <v>145.09666666666666</v>
      </c>
      <c r="AF62" s="188">
        <f t="shared" si="54"/>
        <v>2701.0266666666666</v>
      </c>
      <c r="AG62" s="188">
        <f t="shared" si="55"/>
        <v>7806.3499999999949</v>
      </c>
      <c r="AH62" s="188">
        <f t="shared" si="56"/>
        <v>79848.700000000012</v>
      </c>
      <c r="AI62" s="404">
        <f t="shared" si="57"/>
        <v>0</v>
      </c>
      <c r="AJ62" s="404">
        <f t="shared" si="16"/>
        <v>0</v>
      </c>
      <c r="AK62" s="404">
        <f t="shared" si="58"/>
        <v>0</v>
      </c>
      <c r="AL62" s="188">
        <f>+Y62-AB62</f>
        <v>317903.65000000008</v>
      </c>
      <c r="AM62" s="317">
        <f t="shared" si="25"/>
        <v>2</v>
      </c>
      <c r="AN62" s="14">
        <f>IF(O62=0,0,+O62-C62)</f>
        <v>1944.5499999999997</v>
      </c>
      <c r="AO62" s="14">
        <f>IF(W62&lt;=0,0,+$AA$6-$C$2+I62-U62)</f>
        <v>200764.94</v>
      </c>
      <c r="AP62" s="14">
        <f t="shared" si="60"/>
        <v>1944.5499999999997</v>
      </c>
      <c r="AR62">
        <v>120.14</v>
      </c>
      <c r="AS62" s="14">
        <f t="shared" si="20"/>
        <v>1824.4099999999996</v>
      </c>
      <c r="AT62" s="14">
        <f t="shared" si="26"/>
        <v>67698.830000000031</v>
      </c>
      <c r="AU62" s="188">
        <f>IF(W62&lt;=0,0,+($O$5+AV61)*$AQ$2/12)</f>
        <v>913.38240367389972</v>
      </c>
      <c r="AV62" s="188">
        <f t="shared" si="27"/>
        <v>40556.343873233804</v>
      </c>
    </row>
    <row r="63" spans="1:50" ht="15.75" thickBot="1">
      <c r="A63" s="398">
        <f t="shared" ref="A63:A126" si="62">IF(K63&lt;=0," ",+A62+30)</f>
        <v>47280</v>
      </c>
      <c r="B63" s="237">
        <f t="shared" si="21"/>
        <v>117598.87999999999</v>
      </c>
      <c r="C63" s="21">
        <f t="shared" si="3"/>
        <v>559.88</v>
      </c>
      <c r="D63" s="21">
        <f t="shared" si="29"/>
        <v>118.88</v>
      </c>
      <c r="E63" s="21">
        <f t="shared" si="4"/>
        <v>441</v>
      </c>
      <c r="F63" s="21">
        <f t="shared" si="44"/>
        <v>51.5</v>
      </c>
      <c r="G63" s="21">
        <f t="shared" si="45"/>
        <v>145.09666666666666</v>
      </c>
      <c r="H63" s="21">
        <f t="shared" si="47"/>
        <v>756.47666666666669</v>
      </c>
      <c r="I63" s="237">
        <f t="shared" ref="I63:I126" si="63">$D63+$I62</f>
        <v>5693.1699999999992</v>
      </c>
      <c r="J63" s="237">
        <f t="shared" ref="J63:J126" si="64">$E63+$J62</f>
        <v>21641.239999999994</v>
      </c>
      <c r="K63" s="237">
        <f t="shared" ref="K63:K126" si="65">+B63-D63</f>
        <v>117479.99999999999</v>
      </c>
      <c r="L63" s="318">
        <f t="shared" si="5"/>
        <v>2</v>
      </c>
      <c r="M63" s="318">
        <f>IF(N63&lt;&gt;"",IF(N63=$O$5,0,+M62+1),0)</f>
        <v>35</v>
      </c>
      <c r="N63" s="237">
        <f t="shared" si="22"/>
        <v>317903.65000000008</v>
      </c>
      <c r="O63" s="237">
        <f>IF($O$11&lt;=A63,IF(+$W62&lt;=0,0,$O$8),0)</f>
        <v>2504.4299999999998</v>
      </c>
      <c r="P63" s="237">
        <f t="shared" si="33"/>
        <v>252.60999999999967</v>
      </c>
      <c r="Q63" s="237">
        <f>IF($O$11&lt;=A63,ROUND(N63*($O$7/12),2),0)</f>
        <v>2251.8200000000002</v>
      </c>
      <c r="R63" s="237">
        <f t="shared" si="6"/>
        <v>51.5</v>
      </c>
      <c r="S63" s="237">
        <f t="shared" ref="S63:S124" si="66">+S62</f>
        <v>145.09666666666666</v>
      </c>
      <c r="T63" s="237">
        <f t="shared" si="52"/>
        <v>2701.0266666666666</v>
      </c>
      <c r="U63" s="237">
        <f t="shared" si="34"/>
        <v>8058.9599999999946</v>
      </c>
      <c r="V63" s="237">
        <f t="shared" si="35"/>
        <v>82100.520000000019</v>
      </c>
      <c r="W63" s="237">
        <f t="shared" ref="W63:W126" si="67">+N63-P63</f>
        <v>317651.0400000001</v>
      </c>
      <c r="X63" s="398">
        <f t="shared" si="23"/>
        <v>47280</v>
      </c>
      <c r="Y63" s="237">
        <f t="shared" ref="Y63:Y126" si="68">IF(+AL62&lt;0,0,+AL62)</f>
        <v>317903.65000000008</v>
      </c>
      <c r="Z63" s="389">
        <f t="shared" si="9"/>
        <v>8.4999999999999992E-2</v>
      </c>
      <c r="AA63" s="237">
        <f t="shared" si="10"/>
        <v>2504.4299999999998</v>
      </c>
      <c r="AB63" s="237">
        <f t="shared" ref="AB63:AB126" si="69">+AA63-AC63</f>
        <v>252.60999999999967</v>
      </c>
      <c r="AC63" s="237">
        <f t="shared" si="12"/>
        <v>2251.8200000000002</v>
      </c>
      <c r="AD63" s="237">
        <f t="shared" ref="AD63:AE63" si="70">+AD62</f>
        <v>51.5</v>
      </c>
      <c r="AE63" s="237">
        <f t="shared" si="70"/>
        <v>145.09666666666666</v>
      </c>
      <c r="AF63" s="237">
        <f t="shared" ref="AF63:AF126" si="71">SUM(AB63:AE63)</f>
        <v>2701.0266666666666</v>
      </c>
      <c r="AG63" s="237">
        <f t="shared" ref="AG63:AG126" si="72">+AB63+AG62</f>
        <v>8058.9599999999946</v>
      </c>
      <c r="AH63" s="237">
        <f t="shared" ref="AH63:AH126" si="73">+AH62+AC63</f>
        <v>82100.520000000019</v>
      </c>
      <c r="AI63" s="405">
        <f t="shared" si="57"/>
        <v>0</v>
      </c>
      <c r="AJ63" s="405">
        <f t="shared" si="16"/>
        <v>0</v>
      </c>
      <c r="AK63" s="405">
        <f t="shared" si="58"/>
        <v>0</v>
      </c>
      <c r="AL63" s="237">
        <f t="shared" ref="AL63:AL126" si="74">+Y63-AB63</f>
        <v>317651.0400000001</v>
      </c>
      <c r="AM63" s="318">
        <f t="shared" si="25"/>
        <v>2</v>
      </c>
      <c r="AN63" s="21">
        <f t="shared" si="59"/>
        <v>1944.5499999999997</v>
      </c>
      <c r="AO63" s="21">
        <f>IF(W63&lt;=0,0,+$AA$6-$C$2+I63-U63)</f>
        <v>200631.21000000002</v>
      </c>
      <c r="AP63" s="21">
        <f t="shared" si="60"/>
        <v>1944.5499999999997</v>
      </c>
      <c r="AR63">
        <v>120.14</v>
      </c>
      <c r="AS63" s="21">
        <f t="shared" si="20"/>
        <v>1824.4099999999996</v>
      </c>
      <c r="AT63" s="21">
        <f t="shared" si="26"/>
        <v>69523.240000000034</v>
      </c>
      <c r="AU63" s="237">
        <f>IF(W63&lt;=0,0,+($O$5+AV62)*$AQ$2/12)</f>
        <v>915.66585968308448</v>
      </c>
      <c r="AV63" s="237">
        <f t="shared" si="27"/>
        <v>41472.009732916886</v>
      </c>
    </row>
    <row r="64" spans="1:50">
      <c r="A64" s="395">
        <f t="shared" si="62"/>
        <v>47310</v>
      </c>
      <c r="B64" s="188">
        <f t="shared" si="21"/>
        <v>117479.99999999999</v>
      </c>
      <c r="C64" s="14">
        <f t="shared" si="3"/>
        <v>559.88</v>
      </c>
      <c r="D64" s="14">
        <f t="shared" si="29"/>
        <v>119.32999999999998</v>
      </c>
      <c r="E64" s="14">
        <f t="shared" si="4"/>
        <v>440.55</v>
      </c>
      <c r="F64" s="14">
        <f t="shared" si="44"/>
        <v>51.5</v>
      </c>
      <c r="G64" s="14">
        <f t="shared" si="45"/>
        <v>145.09666666666666</v>
      </c>
      <c r="H64" s="14">
        <f t="shared" si="47"/>
        <v>756.47666666666669</v>
      </c>
      <c r="I64" s="188">
        <f t="shared" si="63"/>
        <v>5812.4999999999991</v>
      </c>
      <c r="J64" s="188">
        <f t="shared" si="64"/>
        <v>22081.789999999994</v>
      </c>
      <c r="K64" s="188">
        <f t="shared" si="65"/>
        <v>117360.66999999998</v>
      </c>
      <c r="L64" s="317">
        <f t="shared" si="5"/>
        <v>3</v>
      </c>
      <c r="M64" s="317">
        <f>IF(N64&lt;&gt;"",IF(N64=$O$5,0,+M63+1),0)</f>
        <v>36</v>
      </c>
      <c r="N64" s="188">
        <f t="shared" si="22"/>
        <v>317651.0400000001</v>
      </c>
      <c r="O64" s="188">
        <f>IF($O$11&lt;=A64,IF(+$W63&lt;=0,0,$O$8),0)</f>
        <v>2504.4299999999998</v>
      </c>
      <c r="P64" s="188">
        <f t="shared" si="33"/>
        <v>254.39999999999964</v>
      </c>
      <c r="Q64" s="188">
        <f>IF($O$11&lt;=A64,ROUND(N64*($O$7/12),2),0)</f>
        <v>2250.0300000000002</v>
      </c>
      <c r="R64" s="188">
        <f t="shared" ref="R64:R124" si="75">+R63</f>
        <v>51.5</v>
      </c>
      <c r="S64" s="188">
        <f t="shared" si="66"/>
        <v>145.09666666666666</v>
      </c>
      <c r="T64" s="188">
        <f t="shared" si="52"/>
        <v>2701.0266666666666</v>
      </c>
      <c r="U64" s="188">
        <f t="shared" si="34"/>
        <v>8313.3599999999933</v>
      </c>
      <c r="V64" s="188">
        <f t="shared" si="35"/>
        <v>84350.550000000017</v>
      </c>
      <c r="W64" s="188">
        <f t="shared" si="67"/>
        <v>317396.64000000007</v>
      </c>
      <c r="X64" s="395">
        <f t="shared" si="23"/>
        <v>47310</v>
      </c>
      <c r="Y64" s="188">
        <f t="shared" si="68"/>
        <v>317651.0400000001</v>
      </c>
      <c r="Z64" s="388">
        <f t="shared" si="9"/>
        <v>8.4999999999999992E-2</v>
      </c>
      <c r="AA64" s="188">
        <f t="shared" si="10"/>
        <v>2504.4299999999998</v>
      </c>
      <c r="AB64" s="188">
        <f t="shared" si="69"/>
        <v>254.39999999999964</v>
      </c>
      <c r="AC64" s="188">
        <f t="shared" si="12"/>
        <v>2250.0300000000002</v>
      </c>
      <c r="AD64" s="188">
        <f t="shared" ref="AD64:AE64" si="76">+AD63</f>
        <v>51.5</v>
      </c>
      <c r="AE64" s="188">
        <f t="shared" si="76"/>
        <v>145.09666666666666</v>
      </c>
      <c r="AF64" s="188">
        <f t="shared" si="71"/>
        <v>2701.0266666666666</v>
      </c>
      <c r="AG64" s="188">
        <f t="shared" si="72"/>
        <v>8313.3599999999933</v>
      </c>
      <c r="AH64" s="188">
        <f t="shared" si="73"/>
        <v>84350.550000000017</v>
      </c>
      <c r="AI64" s="404">
        <f t="shared" si="57"/>
        <v>0</v>
      </c>
      <c r="AJ64" s="404">
        <f t="shared" si="16"/>
        <v>0</v>
      </c>
      <c r="AK64" s="404">
        <f t="shared" si="58"/>
        <v>0</v>
      </c>
      <c r="AL64" s="188">
        <f t="shared" si="74"/>
        <v>317396.64000000007</v>
      </c>
      <c r="AM64" s="317">
        <f t="shared" si="25"/>
        <v>3</v>
      </c>
      <c r="AN64" s="14">
        <f t="shared" si="59"/>
        <v>1944.5499999999997</v>
      </c>
      <c r="AO64" s="14">
        <f>IF(W64&lt;=0,0,+$AA$6-$C$2+I64-U64)</f>
        <v>200496.14</v>
      </c>
      <c r="AP64" s="14">
        <f t="shared" si="60"/>
        <v>1944.5499999999997</v>
      </c>
      <c r="AS64" s="14">
        <f t="shared" si="20"/>
        <v>1944.5499999999997</v>
      </c>
      <c r="AT64" s="14">
        <f t="shared" si="26"/>
        <v>71467.790000000037</v>
      </c>
      <c r="AU64" s="188">
        <f>IF(W64&lt;=0,0,+($O$5+AV63)*$AQ$2/12)</f>
        <v>917.95502433229228</v>
      </c>
      <c r="AV64" s="188">
        <f t="shared" si="27"/>
        <v>42389.964757249181</v>
      </c>
    </row>
    <row r="65" spans="1:50">
      <c r="A65" s="395">
        <f t="shared" si="62"/>
        <v>47340</v>
      </c>
      <c r="B65" s="188">
        <f t="shared" si="21"/>
        <v>117360.66999999998</v>
      </c>
      <c r="C65" s="14">
        <f t="shared" si="3"/>
        <v>559.88</v>
      </c>
      <c r="D65" s="14">
        <f t="shared" si="29"/>
        <v>119.77999999999997</v>
      </c>
      <c r="E65" s="14">
        <f t="shared" si="4"/>
        <v>440.1</v>
      </c>
      <c r="F65" s="14">
        <f t="shared" si="44"/>
        <v>51.5</v>
      </c>
      <c r="G65" s="14">
        <f t="shared" si="45"/>
        <v>145.09666666666666</v>
      </c>
      <c r="H65" s="14">
        <f t="shared" si="47"/>
        <v>756.47666666666669</v>
      </c>
      <c r="I65" s="188">
        <f t="shared" si="63"/>
        <v>5932.2799999999988</v>
      </c>
      <c r="J65" s="188">
        <f t="shared" si="64"/>
        <v>22521.889999999992</v>
      </c>
      <c r="K65" s="188">
        <f t="shared" si="65"/>
        <v>117240.88999999998</v>
      </c>
      <c r="L65" s="317">
        <f t="shared" si="5"/>
        <v>3</v>
      </c>
      <c r="M65" s="317">
        <f>IF(N65&lt;&gt;"",IF(N65=$O$5,0,+M64+1),0)</f>
        <v>37</v>
      </c>
      <c r="N65" s="188">
        <f t="shared" si="22"/>
        <v>317396.64000000007</v>
      </c>
      <c r="O65" s="188">
        <f>IF($O$11&lt;=A65,IF(+$W64&lt;=0,0,$O$8),0)</f>
        <v>2504.4299999999998</v>
      </c>
      <c r="P65" s="188">
        <f t="shared" si="33"/>
        <v>256.19999999999982</v>
      </c>
      <c r="Q65" s="188">
        <f>IF($O$11&lt;=A65,ROUND(N65*($O$7/12),2),0)</f>
        <v>2248.23</v>
      </c>
      <c r="R65" s="188">
        <f t="shared" si="75"/>
        <v>51.5</v>
      </c>
      <c r="S65" s="188">
        <f t="shared" si="66"/>
        <v>145.09666666666666</v>
      </c>
      <c r="T65" s="188">
        <f t="shared" si="52"/>
        <v>2701.0266666666666</v>
      </c>
      <c r="U65" s="188">
        <f t="shared" si="34"/>
        <v>8569.559999999994</v>
      </c>
      <c r="V65" s="188">
        <f t="shared" si="35"/>
        <v>86598.780000000013</v>
      </c>
      <c r="W65" s="188">
        <f t="shared" si="67"/>
        <v>317140.44000000006</v>
      </c>
      <c r="X65" s="395">
        <f t="shared" si="23"/>
        <v>47340</v>
      </c>
      <c r="Y65" s="188">
        <f t="shared" si="68"/>
        <v>317396.64000000007</v>
      </c>
      <c r="Z65" s="388">
        <f t="shared" si="9"/>
        <v>8.4999999999999992E-2</v>
      </c>
      <c r="AA65" s="188">
        <f t="shared" si="10"/>
        <v>2504.4299999999998</v>
      </c>
      <c r="AB65" s="188">
        <f t="shared" si="69"/>
        <v>256.19999999999982</v>
      </c>
      <c r="AC65" s="188">
        <f t="shared" si="12"/>
        <v>2248.23</v>
      </c>
      <c r="AD65" s="188">
        <f t="shared" ref="AD65:AE65" si="77">+AD64</f>
        <v>51.5</v>
      </c>
      <c r="AE65" s="188">
        <f t="shared" si="77"/>
        <v>145.09666666666666</v>
      </c>
      <c r="AF65" s="188">
        <f t="shared" si="71"/>
        <v>2701.0266666666666</v>
      </c>
      <c r="AG65" s="188">
        <f t="shared" si="72"/>
        <v>8569.559999999994</v>
      </c>
      <c r="AH65" s="188">
        <f t="shared" si="73"/>
        <v>86598.780000000013</v>
      </c>
      <c r="AI65" s="404">
        <f t="shared" si="57"/>
        <v>0</v>
      </c>
      <c r="AJ65" s="404">
        <f t="shared" si="16"/>
        <v>0</v>
      </c>
      <c r="AK65" s="404">
        <f t="shared" si="58"/>
        <v>0</v>
      </c>
      <c r="AL65" s="188">
        <f t="shared" si="74"/>
        <v>317140.44000000006</v>
      </c>
      <c r="AM65" s="317">
        <f t="shared" si="25"/>
        <v>3</v>
      </c>
      <c r="AN65" s="14">
        <f t="shared" si="59"/>
        <v>1944.5499999999997</v>
      </c>
      <c r="AO65" s="14">
        <f>IF(W65&lt;=0,0,+$AA$6-$C$2+I65-U65)</f>
        <v>200359.72</v>
      </c>
      <c r="AP65" s="14">
        <f t="shared" si="60"/>
        <v>1944.5499999999997</v>
      </c>
      <c r="AS65" s="14">
        <f t="shared" si="20"/>
        <v>1944.5499999999997</v>
      </c>
      <c r="AT65" s="14">
        <f t="shared" si="26"/>
        <v>73412.34000000004</v>
      </c>
      <c r="AU65" s="188">
        <f>IF(W65&lt;=0,0,+($O$5+AV64)*$AQ$2/12)</f>
        <v>920.24991189312288</v>
      </c>
      <c r="AV65" s="188">
        <f t="shared" si="27"/>
        <v>43310.214669142304</v>
      </c>
    </row>
    <row r="66" spans="1:50">
      <c r="A66" s="395">
        <f t="shared" si="62"/>
        <v>47370</v>
      </c>
      <c r="B66" s="188">
        <f t="shared" si="21"/>
        <v>117240.88999999998</v>
      </c>
      <c r="C66" s="14">
        <f t="shared" si="3"/>
        <v>559.88</v>
      </c>
      <c r="D66" s="14">
        <f t="shared" si="29"/>
        <v>120.23000000000002</v>
      </c>
      <c r="E66" s="14">
        <f t="shared" si="4"/>
        <v>439.65</v>
      </c>
      <c r="F66" s="14">
        <f t="shared" si="44"/>
        <v>51.5</v>
      </c>
      <c r="G66" s="14">
        <f t="shared" si="45"/>
        <v>145.09666666666666</v>
      </c>
      <c r="H66" s="14">
        <f t="shared" si="47"/>
        <v>756.47666666666669</v>
      </c>
      <c r="I66" s="188">
        <f t="shared" si="63"/>
        <v>6052.5099999999984</v>
      </c>
      <c r="J66" s="188">
        <f t="shared" si="64"/>
        <v>22961.539999999994</v>
      </c>
      <c r="K66" s="188">
        <f t="shared" si="65"/>
        <v>117120.65999999999</v>
      </c>
      <c r="L66" s="317">
        <f t="shared" si="5"/>
        <v>3</v>
      </c>
      <c r="M66" s="317">
        <f>IF(N66&lt;&gt;"",IF(N66=$O$5,0,+M65+1),0)</f>
        <v>38</v>
      </c>
      <c r="N66" s="188">
        <f t="shared" si="22"/>
        <v>317140.44000000006</v>
      </c>
      <c r="O66" s="188">
        <f>IF($O$11&lt;=A66,IF(+$W65&lt;=0,0,$O$8),0)</f>
        <v>2504.4299999999998</v>
      </c>
      <c r="P66" s="188">
        <f t="shared" si="33"/>
        <v>258.02</v>
      </c>
      <c r="Q66" s="188">
        <f>IF($O$11&lt;=A66,ROUND(N66*($O$7/12),2),0)</f>
        <v>2246.41</v>
      </c>
      <c r="R66" s="188">
        <f t="shared" si="75"/>
        <v>51.5</v>
      </c>
      <c r="S66" s="188">
        <f t="shared" si="66"/>
        <v>145.09666666666666</v>
      </c>
      <c r="T66" s="188">
        <f t="shared" si="52"/>
        <v>2701.0266666666666</v>
      </c>
      <c r="U66" s="188">
        <f t="shared" si="34"/>
        <v>8827.5799999999945</v>
      </c>
      <c r="V66" s="188">
        <f t="shared" si="35"/>
        <v>88845.190000000017</v>
      </c>
      <c r="W66" s="188">
        <f t="shared" si="67"/>
        <v>316882.42000000004</v>
      </c>
      <c r="X66" s="395">
        <f t="shared" si="23"/>
        <v>47370</v>
      </c>
      <c r="Y66" s="188">
        <f t="shared" si="68"/>
        <v>317140.44000000006</v>
      </c>
      <c r="Z66" s="388">
        <f t="shared" si="9"/>
        <v>8.4999999999999992E-2</v>
      </c>
      <c r="AA66" s="188">
        <f t="shared" si="10"/>
        <v>2504.4299999999998</v>
      </c>
      <c r="AB66" s="188">
        <f t="shared" si="69"/>
        <v>258.02</v>
      </c>
      <c r="AC66" s="188">
        <f t="shared" si="12"/>
        <v>2246.41</v>
      </c>
      <c r="AD66" s="188">
        <f t="shared" ref="AD66:AE66" si="78">+AD65</f>
        <v>51.5</v>
      </c>
      <c r="AE66" s="188">
        <f t="shared" si="78"/>
        <v>145.09666666666666</v>
      </c>
      <c r="AF66" s="188">
        <f t="shared" si="71"/>
        <v>2701.0266666666666</v>
      </c>
      <c r="AG66" s="188">
        <f t="shared" si="72"/>
        <v>8827.5799999999945</v>
      </c>
      <c r="AH66" s="188">
        <f t="shared" si="73"/>
        <v>88845.190000000017</v>
      </c>
      <c r="AI66" s="404">
        <f t="shared" si="57"/>
        <v>0</v>
      </c>
      <c r="AJ66" s="404">
        <f t="shared" si="16"/>
        <v>0</v>
      </c>
      <c r="AK66" s="404">
        <f t="shared" si="58"/>
        <v>0</v>
      </c>
      <c r="AL66" s="188">
        <f t="shared" si="74"/>
        <v>316882.42000000004</v>
      </c>
      <c r="AM66" s="317">
        <f t="shared" si="25"/>
        <v>3</v>
      </c>
      <c r="AN66" s="14">
        <f t="shared" si="59"/>
        <v>1944.5499999999997</v>
      </c>
      <c r="AO66" s="14">
        <f>IF(W66&lt;=0,0,+$AA$6-$C$2+I66-U66)</f>
        <v>200221.93000000002</v>
      </c>
      <c r="AP66" s="14">
        <f t="shared" si="60"/>
        <v>1944.5499999999997</v>
      </c>
      <c r="AS66" s="14">
        <f t="shared" si="20"/>
        <v>1944.5499999999997</v>
      </c>
      <c r="AT66" s="14">
        <f t="shared" si="26"/>
        <v>75356.890000000043</v>
      </c>
      <c r="AU66" s="188">
        <f>IF(W66&lt;=0,0,+($O$5+AV65)*$AQ$2/12)</f>
        <v>922.55053667285574</v>
      </c>
      <c r="AV66" s="188">
        <f t="shared" si="27"/>
        <v>44232.765205815158</v>
      </c>
    </row>
    <row r="67" spans="1:50">
      <c r="A67" s="395">
        <f t="shared" si="62"/>
        <v>47400</v>
      </c>
      <c r="B67" s="188">
        <f t="shared" si="21"/>
        <v>117120.65999999999</v>
      </c>
      <c r="C67" s="14">
        <f t="shared" si="3"/>
        <v>559.88</v>
      </c>
      <c r="D67" s="14">
        <f t="shared" si="29"/>
        <v>120.68</v>
      </c>
      <c r="E67" s="14">
        <f t="shared" si="4"/>
        <v>439.2</v>
      </c>
      <c r="F67" s="14">
        <f t="shared" si="44"/>
        <v>51.5</v>
      </c>
      <c r="G67" s="14">
        <f t="shared" si="45"/>
        <v>145.09666666666666</v>
      </c>
      <c r="H67" s="14">
        <f t="shared" si="47"/>
        <v>756.47666666666669</v>
      </c>
      <c r="I67" s="188">
        <f t="shared" si="63"/>
        <v>6173.1899999999987</v>
      </c>
      <c r="J67" s="188">
        <f t="shared" si="64"/>
        <v>23400.739999999994</v>
      </c>
      <c r="K67" s="188">
        <f t="shared" si="65"/>
        <v>116999.98</v>
      </c>
      <c r="L67" s="317">
        <f t="shared" si="5"/>
        <v>3</v>
      </c>
      <c r="M67" s="317">
        <f>IF(N67&lt;&gt;"",IF(N67=$O$5,0,+M66+1),0)</f>
        <v>39</v>
      </c>
      <c r="N67" s="188">
        <f t="shared" si="22"/>
        <v>316882.42000000004</v>
      </c>
      <c r="O67" s="188">
        <f>IF($O$11&lt;=A67,IF(+$W66&lt;=0,0,$O$8),0)</f>
        <v>2504.4299999999998</v>
      </c>
      <c r="P67" s="188">
        <f t="shared" si="33"/>
        <v>259.84999999999991</v>
      </c>
      <c r="Q67" s="188">
        <f>IF($O$11&lt;=A67,ROUND(N67*($O$7/12),2),0)</f>
        <v>2244.58</v>
      </c>
      <c r="R67" s="188">
        <f t="shared" si="75"/>
        <v>51.5</v>
      </c>
      <c r="S67" s="188">
        <f t="shared" si="66"/>
        <v>145.09666666666666</v>
      </c>
      <c r="T67" s="188">
        <f t="shared" si="52"/>
        <v>2701.0266666666666</v>
      </c>
      <c r="U67" s="188">
        <f t="shared" si="34"/>
        <v>9087.4299999999948</v>
      </c>
      <c r="V67" s="188">
        <f t="shared" si="35"/>
        <v>91089.770000000019</v>
      </c>
      <c r="W67" s="188">
        <f t="shared" si="67"/>
        <v>316622.57000000007</v>
      </c>
      <c r="X67" s="395">
        <f t="shared" si="23"/>
        <v>47400</v>
      </c>
      <c r="Y67" s="188">
        <f t="shared" si="68"/>
        <v>316882.42000000004</v>
      </c>
      <c r="Z67" s="388">
        <f t="shared" si="9"/>
        <v>8.4999999999999992E-2</v>
      </c>
      <c r="AA67" s="188">
        <f t="shared" si="10"/>
        <v>2504.4299999999998</v>
      </c>
      <c r="AB67" s="188">
        <f t="shared" si="69"/>
        <v>259.84999999999991</v>
      </c>
      <c r="AC67" s="188">
        <f t="shared" si="12"/>
        <v>2244.58</v>
      </c>
      <c r="AD67" s="188">
        <f t="shared" ref="AD67:AE67" si="79">+AD66</f>
        <v>51.5</v>
      </c>
      <c r="AE67" s="188">
        <f t="shared" si="79"/>
        <v>145.09666666666666</v>
      </c>
      <c r="AF67" s="188">
        <f t="shared" si="71"/>
        <v>2701.0266666666666</v>
      </c>
      <c r="AG67" s="188">
        <f t="shared" si="72"/>
        <v>9087.4299999999948</v>
      </c>
      <c r="AH67" s="188">
        <f t="shared" si="73"/>
        <v>91089.770000000019</v>
      </c>
      <c r="AI67" s="404">
        <f t="shared" si="57"/>
        <v>0</v>
      </c>
      <c r="AJ67" s="404">
        <f t="shared" si="16"/>
        <v>0</v>
      </c>
      <c r="AK67" s="404">
        <f t="shared" si="58"/>
        <v>0</v>
      </c>
      <c r="AL67" s="188">
        <f t="shared" si="74"/>
        <v>316622.57000000007</v>
      </c>
      <c r="AM67" s="317">
        <f t="shared" si="25"/>
        <v>3</v>
      </c>
      <c r="AN67" s="14">
        <f t="shared" si="59"/>
        <v>1944.5499999999997</v>
      </c>
      <c r="AO67" s="14">
        <f>IF(W67&lt;=0,0,+$AA$6-$C$2+I67-U67)</f>
        <v>200082.76</v>
      </c>
      <c r="AP67" s="14">
        <f t="shared" si="60"/>
        <v>1944.5499999999997</v>
      </c>
      <c r="AS67" s="14">
        <f t="shared" si="20"/>
        <v>1944.5499999999997</v>
      </c>
      <c r="AT67" s="14">
        <f t="shared" si="26"/>
        <v>77301.440000000046</v>
      </c>
      <c r="AU67" s="188">
        <f>IF(W67&lt;=0,0,+($O$5+AV66)*$AQ$2/12)</f>
        <v>924.85691301453789</v>
      </c>
      <c r="AV67" s="188">
        <f t="shared" si="27"/>
        <v>45157.622118829699</v>
      </c>
    </row>
    <row r="68" spans="1:50">
      <c r="A68" s="395">
        <f t="shared" si="62"/>
        <v>47430</v>
      </c>
      <c r="B68" s="188">
        <f t="shared" si="21"/>
        <v>116999.98</v>
      </c>
      <c r="C68" s="14">
        <f t="shared" si="3"/>
        <v>559.88</v>
      </c>
      <c r="D68" s="14">
        <f t="shared" si="29"/>
        <v>121.13</v>
      </c>
      <c r="E68" s="14">
        <f t="shared" si="4"/>
        <v>438.75</v>
      </c>
      <c r="F68" s="14">
        <f t="shared" si="44"/>
        <v>51.5</v>
      </c>
      <c r="G68" s="14">
        <f t="shared" si="45"/>
        <v>145.09666666666666</v>
      </c>
      <c r="H68" s="14">
        <f t="shared" si="47"/>
        <v>756.47666666666669</v>
      </c>
      <c r="I68" s="188">
        <f t="shared" si="63"/>
        <v>6294.3199999999988</v>
      </c>
      <c r="J68" s="188">
        <f t="shared" si="64"/>
        <v>23839.489999999994</v>
      </c>
      <c r="K68" s="188">
        <f t="shared" si="65"/>
        <v>116878.84999999999</v>
      </c>
      <c r="L68" s="317">
        <f t="shared" si="5"/>
        <v>3</v>
      </c>
      <c r="M68" s="317">
        <f>IF(N68&lt;&gt;"",IF(N68=$O$5,0,+M67+1),0)</f>
        <v>40</v>
      </c>
      <c r="N68" s="188">
        <f t="shared" si="22"/>
        <v>316622.57000000007</v>
      </c>
      <c r="O68" s="188">
        <f>IF($O$11&lt;=A68,IF(+$W67&lt;=0,0,$O$8),0)</f>
        <v>2504.4299999999998</v>
      </c>
      <c r="P68" s="188">
        <f t="shared" si="33"/>
        <v>261.69000000000005</v>
      </c>
      <c r="Q68" s="188">
        <f>IF($O$11&lt;=A68,ROUND(N68*($O$7/12),2),0)</f>
        <v>2242.7399999999998</v>
      </c>
      <c r="R68" s="188">
        <f t="shared" si="75"/>
        <v>51.5</v>
      </c>
      <c r="S68" s="188">
        <f t="shared" si="66"/>
        <v>145.09666666666666</v>
      </c>
      <c r="T68" s="188">
        <f t="shared" si="52"/>
        <v>2701.0266666666666</v>
      </c>
      <c r="U68" s="188">
        <f t="shared" si="34"/>
        <v>9349.1199999999953</v>
      </c>
      <c r="V68" s="188">
        <f t="shared" si="35"/>
        <v>93332.510000000024</v>
      </c>
      <c r="W68" s="188">
        <f t="shared" si="67"/>
        <v>316360.88000000006</v>
      </c>
      <c r="X68" s="395">
        <f t="shared" si="23"/>
        <v>47430</v>
      </c>
      <c r="Y68" s="188">
        <f t="shared" si="68"/>
        <v>316622.57000000007</v>
      </c>
      <c r="Z68" s="388">
        <f t="shared" si="9"/>
        <v>8.4999999999999992E-2</v>
      </c>
      <c r="AA68" s="188">
        <f t="shared" si="10"/>
        <v>2504.4299999999998</v>
      </c>
      <c r="AB68" s="188">
        <f t="shared" si="69"/>
        <v>261.69000000000005</v>
      </c>
      <c r="AC68" s="188">
        <f t="shared" si="12"/>
        <v>2242.7399999999998</v>
      </c>
      <c r="AD68" s="188">
        <f t="shared" ref="AD68:AE68" si="80">+AD67</f>
        <v>51.5</v>
      </c>
      <c r="AE68" s="188">
        <f t="shared" si="80"/>
        <v>145.09666666666666</v>
      </c>
      <c r="AF68" s="188">
        <f t="shared" si="71"/>
        <v>2701.0266666666666</v>
      </c>
      <c r="AG68" s="188">
        <f t="shared" si="72"/>
        <v>9349.1199999999953</v>
      </c>
      <c r="AH68" s="188">
        <f t="shared" si="73"/>
        <v>93332.510000000024</v>
      </c>
      <c r="AI68" s="404">
        <f t="shared" si="57"/>
        <v>0</v>
      </c>
      <c r="AJ68" s="404">
        <f t="shared" si="16"/>
        <v>0</v>
      </c>
      <c r="AK68" s="404">
        <f t="shared" si="58"/>
        <v>0</v>
      </c>
      <c r="AL68" s="188">
        <f t="shared" si="74"/>
        <v>316360.88000000006</v>
      </c>
      <c r="AM68" s="317">
        <f t="shared" si="25"/>
        <v>3</v>
      </c>
      <c r="AN68" s="14">
        <f t="shared" si="59"/>
        <v>1944.5499999999997</v>
      </c>
      <c r="AO68" s="14">
        <f>IF(W68&lt;=0,0,+$AA$6-$C$2+I68-U68)</f>
        <v>199942.2</v>
      </c>
      <c r="AP68" s="14">
        <f t="shared" si="60"/>
        <v>1944.5499999999997</v>
      </c>
      <c r="AS68" s="14">
        <f t="shared" si="20"/>
        <v>1944.5499999999997</v>
      </c>
      <c r="AT68" s="14">
        <f t="shared" si="26"/>
        <v>79245.990000000049</v>
      </c>
      <c r="AU68" s="188">
        <f>IF(W68&lt;=0,0,+($O$5+AV67)*$AQ$2/12)</f>
        <v>927.16905529707412</v>
      </c>
      <c r="AV68" s="188">
        <f t="shared" si="27"/>
        <v>46084.791174126774</v>
      </c>
    </row>
    <row r="69" spans="1:50">
      <c r="A69" s="395">
        <f t="shared" si="62"/>
        <v>47460</v>
      </c>
      <c r="B69" s="188">
        <f t="shared" si="21"/>
        <v>116878.84999999999</v>
      </c>
      <c r="C69" s="14">
        <f t="shared" si="3"/>
        <v>559.88</v>
      </c>
      <c r="D69" s="14">
        <f t="shared" si="29"/>
        <v>121.57999999999998</v>
      </c>
      <c r="E69" s="14">
        <f t="shared" si="4"/>
        <v>438.3</v>
      </c>
      <c r="F69" s="14">
        <f t="shared" si="44"/>
        <v>51.5</v>
      </c>
      <c r="G69" s="14">
        <f t="shared" si="45"/>
        <v>145.09666666666666</v>
      </c>
      <c r="H69" s="14">
        <f t="shared" si="47"/>
        <v>756.47666666666669</v>
      </c>
      <c r="I69" s="188">
        <f t="shared" si="63"/>
        <v>6415.8999999999987</v>
      </c>
      <c r="J69" s="188">
        <f t="shared" si="64"/>
        <v>24277.789999999994</v>
      </c>
      <c r="K69" s="188">
        <f t="shared" si="65"/>
        <v>116757.26999999999</v>
      </c>
      <c r="L69" s="317">
        <f t="shared" si="5"/>
        <v>3</v>
      </c>
      <c r="M69" s="317">
        <f>IF(N69&lt;&gt;"",IF(N69=$O$5,0,+M68+1),0)</f>
        <v>41</v>
      </c>
      <c r="N69" s="188">
        <f t="shared" si="22"/>
        <v>316360.88000000006</v>
      </c>
      <c r="O69" s="188">
        <f>IF($O$11&lt;=A69,IF(+$W68&lt;=0,0,$O$8),0)</f>
        <v>2504.4299999999998</v>
      </c>
      <c r="P69" s="188">
        <f t="shared" si="33"/>
        <v>263.53999999999996</v>
      </c>
      <c r="Q69" s="188">
        <f>IF($O$11&lt;=A69,ROUND(N69*($O$7/12),2),0)</f>
        <v>2240.89</v>
      </c>
      <c r="R69" s="188">
        <f t="shared" si="75"/>
        <v>51.5</v>
      </c>
      <c r="S69" s="188">
        <f t="shared" si="66"/>
        <v>145.09666666666666</v>
      </c>
      <c r="T69" s="188">
        <f t="shared" si="52"/>
        <v>2701.0266666666666</v>
      </c>
      <c r="U69" s="188">
        <f t="shared" si="34"/>
        <v>9612.6599999999962</v>
      </c>
      <c r="V69" s="188">
        <f t="shared" si="35"/>
        <v>95573.400000000023</v>
      </c>
      <c r="W69" s="188">
        <f t="shared" si="67"/>
        <v>316097.34000000008</v>
      </c>
      <c r="X69" s="395">
        <f t="shared" si="23"/>
        <v>47460</v>
      </c>
      <c r="Y69" s="188">
        <f t="shared" si="68"/>
        <v>316360.88000000006</v>
      </c>
      <c r="Z69" s="388">
        <f t="shared" si="9"/>
        <v>8.4999999999999992E-2</v>
      </c>
      <c r="AA69" s="188">
        <f t="shared" si="10"/>
        <v>2504.4299999999998</v>
      </c>
      <c r="AB69" s="188">
        <f t="shared" si="69"/>
        <v>263.53999999999996</v>
      </c>
      <c r="AC69" s="188">
        <f t="shared" si="12"/>
        <v>2240.89</v>
      </c>
      <c r="AD69" s="188">
        <f t="shared" ref="AD69:AE69" si="81">+AD68</f>
        <v>51.5</v>
      </c>
      <c r="AE69" s="188">
        <f t="shared" si="81"/>
        <v>145.09666666666666</v>
      </c>
      <c r="AF69" s="188">
        <f t="shared" si="71"/>
        <v>2701.0266666666666</v>
      </c>
      <c r="AG69" s="188">
        <f t="shared" si="72"/>
        <v>9612.6599999999962</v>
      </c>
      <c r="AH69" s="188">
        <f t="shared" si="73"/>
        <v>95573.400000000023</v>
      </c>
      <c r="AI69" s="404">
        <f t="shared" si="57"/>
        <v>0</v>
      </c>
      <c r="AJ69" s="404">
        <f t="shared" si="16"/>
        <v>0</v>
      </c>
      <c r="AK69" s="404">
        <f t="shared" si="58"/>
        <v>0</v>
      </c>
      <c r="AL69" s="188">
        <f t="shared" si="74"/>
        <v>316097.34000000008</v>
      </c>
      <c r="AM69" s="317">
        <f t="shared" si="25"/>
        <v>3</v>
      </c>
      <c r="AN69" s="14">
        <f t="shared" si="59"/>
        <v>1944.5499999999997</v>
      </c>
      <c r="AO69" s="14">
        <f>IF(W69&lt;=0,0,+$AA$6-$C$2+I69-U69)</f>
        <v>199800.24</v>
      </c>
      <c r="AP69" s="14">
        <f t="shared" si="60"/>
        <v>1944.5499999999997</v>
      </c>
      <c r="AS69" s="14">
        <f t="shared" si="20"/>
        <v>1944.5499999999997</v>
      </c>
      <c r="AT69" s="14">
        <f t="shared" si="26"/>
        <v>81190.540000000052</v>
      </c>
      <c r="AU69" s="188">
        <f>IF(W69&lt;=0,0,+($O$5+AV68)*$AQ$2/12)</f>
        <v>929.48697793531699</v>
      </c>
      <c r="AV69" s="188">
        <f t="shared" si="27"/>
        <v>47014.278152062092</v>
      </c>
    </row>
    <row r="70" spans="1:50">
      <c r="A70" s="395">
        <f t="shared" si="62"/>
        <v>47490</v>
      </c>
      <c r="B70" s="188">
        <f t="shared" si="21"/>
        <v>116757.26999999999</v>
      </c>
      <c r="C70" s="14">
        <f t="shared" si="3"/>
        <v>559.88</v>
      </c>
      <c r="D70" s="14">
        <f t="shared" si="29"/>
        <v>122.04000000000002</v>
      </c>
      <c r="E70" s="14">
        <f t="shared" si="4"/>
        <v>437.84</v>
      </c>
      <c r="F70" s="14">
        <f t="shared" si="44"/>
        <v>51.5</v>
      </c>
      <c r="G70" s="14">
        <f t="shared" si="45"/>
        <v>145.09666666666666</v>
      </c>
      <c r="H70" s="14">
        <f t="shared" si="47"/>
        <v>756.47666666666669</v>
      </c>
      <c r="I70" s="188">
        <f t="shared" si="63"/>
        <v>6537.9399999999987</v>
      </c>
      <c r="J70" s="188">
        <f t="shared" si="64"/>
        <v>24715.629999999994</v>
      </c>
      <c r="K70" s="188">
        <f t="shared" si="65"/>
        <v>116635.23</v>
      </c>
      <c r="L70" s="317">
        <f t="shared" si="5"/>
        <v>3</v>
      </c>
      <c r="M70" s="317">
        <f>IF(N70&lt;&gt;"",IF(N70=$O$5,0,+M69+1),0)</f>
        <v>42</v>
      </c>
      <c r="N70" s="188">
        <f t="shared" si="22"/>
        <v>316097.34000000008</v>
      </c>
      <c r="O70" s="188">
        <f>IF($O$11&lt;=A70,IF(+$W69&lt;=0,0,$O$8),0)</f>
        <v>2504.4299999999998</v>
      </c>
      <c r="P70" s="188">
        <f t="shared" si="33"/>
        <v>265.40999999999985</v>
      </c>
      <c r="Q70" s="188">
        <f>IF($O$11&lt;=A70,ROUND(N70*($O$7/12),2),0)</f>
        <v>2239.02</v>
      </c>
      <c r="R70" s="188">
        <f t="shared" si="75"/>
        <v>51.5</v>
      </c>
      <c r="S70" s="188">
        <f t="shared" si="66"/>
        <v>145.09666666666666</v>
      </c>
      <c r="T70" s="188">
        <f t="shared" si="52"/>
        <v>2701.0266666666666</v>
      </c>
      <c r="U70" s="188">
        <f t="shared" si="34"/>
        <v>9878.0699999999961</v>
      </c>
      <c r="V70" s="188">
        <f t="shared" si="35"/>
        <v>97812.420000000027</v>
      </c>
      <c r="W70" s="188">
        <f t="shared" si="67"/>
        <v>315831.93000000011</v>
      </c>
      <c r="X70" s="395">
        <f t="shared" si="23"/>
        <v>47490</v>
      </c>
      <c r="Y70" s="188">
        <f t="shared" si="68"/>
        <v>316097.34000000008</v>
      </c>
      <c r="Z70" s="388">
        <f t="shared" si="9"/>
        <v>8.4999999999999992E-2</v>
      </c>
      <c r="AA70" s="188">
        <f t="shared" si="10"/>
        <v>2504.4299999999998</v>
      </c>
      <c r="AB70" s="188">
        <f t="shared" si="69"/>
        <v>265.40999999999985</v>
      </c>
      <c r="AC70" s="188">
        <f t="shared" si="12"/>
        <v>2239.02</v>
      </c>
      <c r="AD70" s="188">
        <f t="shared" ref="AD70:AE70" si="82">+AD69</f>
        <v>51.5</v>
      </c>
      <c r="AE70" s="188">
        <f t="shared" si="82"/>
        <v>145.09666666666666</v>
      </c>
      <c r="AF70" s="188">
        <f t="shared" si="71"/>
        <v>2701.0266666666666</v>
      </c>
      <c r="AG70" s="188">
        <f t="shared" si="72"/>
        <v>9878.0699999999961</v>
      </c>
      <c r="AH70" s="188">
        <f t="shared" si="73"/>
        <v>97812.420000000027</v>
      </c>
      <c r="AI70" s="404">
        <f t="shared" si="57"/>
        <v>0</v>
      </c>
      <c r="AJ70" s="404">
        <f t="shared" si="16"/>
        <v>0</v>
      </c>
      <c r="AK70" s="404">
        <f t="shared" si="58"/>
        <v>0</v>
      </c>
      <c r="AL70" s="188">
        <f t="shared" si="74"/>
        <v>315831.93000000011</v>
      </c>
      <c r="AM70" s="317">
        <f t="shared" si="25"/>
        <v>3</v>
      </c>
      <c r="AN70" s="14">
        <f t="shared" si="59"/>
        <v>1944.5499999999997</v>
      </c>
      <c r="AO70" s="14">
        <f>IF(W70&lt;=0,0,+$AA$6-$C$2+I70-U70)</f>
        <v>199656.87</v>
      </c>
      <c r="AP70" s="14">
        <f t="shared" si="60"/>
        <v>1944.5499999999997</v>
      </c>
      <c r="AS70" s="14">
        <f t="shared" si="20"/>
        <v>1944.5499999999997</v>
      </c>
      <c r="AT70" s="14">
        <f t="shared" si="26"/>
        <v>83135.090000000055</v>
      </c>
      <c r="AU70" s="188">
        <f>IF(W70&lt;=0,0,+($O$5+AV69)*$AQ$2/12)</f>
        <v>931.81069538015527</v>
      </c>
      <c r="AV70" s="188">
        <f t="shared" si="27"/>
        <v>47946.088847442246</v>
      </c>
    </row>
    <row r="71" spans="1:50">
      <c r="A71" s="395">
        <f t="shared" si="62"/>
        <v>47520</v>
      </c>
      <c r="B71" s="188">
        <f t="shared" si="21"/>
        <v>116635.23</v>
      </c>
      <c r="C71" s="14">
        <f t="shared" si="3"/>
        <v>559.88</v>
      </c>
      <c r="D71" s="14">
        <f t="shared" si="29"/>
        <v>122.5</v>
      </c>
      <c r="E71" s="14">
        <f t="shared" si="4"/>
        <v>437.38</v>
      </c>
      <c r="F71" s="14">
        <f t="shared" si="44"/>
        <v>51.5</v>
      </c>
      <c r="G71" s="14">
        <f t="shared" si="45"/>
        <v>145.09666666666666</v>
      </c>
      <c r="H71" s="14">
        <f t="shared" si="47"/>
        <v>756.47666666666669</v>
      </c>
      <c r="I71" s="188">
        <f t="shared" si="63"/>
        <v>6660.4399999999987</v>
      </c>
      <c r="J71" s="188">
        <f t="shared" si="64"/>
        <v>25153.009999999995</v>
      </c>
      <c r="K71" s="188">
        <f t="shared" si="65"/>
        <v>116512.73</v>
      </c>
      <c r="L71" s="317">
        <f t="shared" si="5"/>
        <v>3</v>
      </c>
      <c r="M71" s="317">
        <f>IF(N71&lt;&gt;"",IF(N71=$O$5,0,+M70+1),0)</f>
        <v>43</v>
      </c>
      <c r="N71" s="188">
        <f t="shared" si="22"/>
        <v>315831.93000000011</v>
      </c>
      <c r="O71" s="188">
        <f>IF($O$11&lt;=A71,IF(+$W70&lt;=0,0,$O$8),0)</f>
        <v>2504.4299999999998</v>
      </c>
      <c r="P71" s="188">
        <f t="shared" si="33"/>
        <v>267.28999999999996</v>
      </c>
      <c r="Q71" s="188">
        <f>IF($O$11&lt;=A71,ROUND(N71*($O$7/12),2),0)</f>
        <v>2237.14</v>
      </c>
      <c r="R71" s="188">
        <f t="shared" si="75"/>
        <v>51.5</v>
      </c>
      <c r="S71" s="188">
        <f t="shared" si="66"/>
        <v>145.09666666666666</v>
      </c>
      <c r="T71" s="188">
        <f t="shared" si="52"/>
        <v>2701.0266666666666</v>
      </c>
      <c r="U71" s="188">
        <f t="shared" si="34"/>
        <v>10145.359999999997</v>
      </c>
      <c r="V71" s="188">
        <f t="shared" si="35"/>
        <v>100049.56000000003</v>
      </c>
      <c r="W71" s="188">
        <f t="shared" si="67"/>
        <v>315564.64000000013</v>
      </c>
      <c r="X71" s="395">
        <f t="shared" si="23"/>
        <v>47520</v>
      </c>
      <c r="Y71" s="188">
        <f t="shared" si="68"/>
        <v>315831.93000000011</v>
      </c>
      <c r="Z71" s="388">
        <f t="shared" si="9"/>
        <v>8.4999999999999992E-2</v>
      </c>
      <c r="AA71" s="188">
        <f t="shared" si="10"/>
        <v>2504.4299999999998</v>
      </c>
      <c r="AB71" s="188">
        <f t="shared" si="69"/>
        <v>267.28999999999996</v>
      </c>
      <c r="AC71" s="188">
        <f t="shared" si="12"/>
        <v>2237.14</v>
      </c>
      <c r="AD71" s="188">
        <f t="shared" ref="AD71:AE71" si="83">+AD70</f>
        <v>51.5</v>
      </c>
      <c r="AE71" s="188">
        <f t="shared" si="83"/>
        <v>145.09666666666666</v>
      </c>
      <c r="AF71" s="188">
        <f t="shared" si="71"/>
        <v>2701.0266666666666</v>
      </c>
      <c r="AG71" s="188">
        <f t="shared" si="72"/>
        <v>10145.359999999997</v>
      </c>
      <c r="AH71" s="188">
        <f t="shared" si="73"/>
        <v>100049.56000000003</v>
      </c>
      <c r="AI71" s="404">
        <f t="shared" si="57"/>
        <v>0</v>
      </c>
      <c r="AJ71" s="404">
        <f t="shared" si="16"/>
        <v>0</v>
      </c>
      <c r="AK71" s="404">
        <f t="shared" si="58"/>
        <v>0</v>
      </c>
      <c r="AL71" s="188">
        <f t="shared" si="74"/>
        <v>315564.64000000013</v>
      </c>
      <c r="AM71" s="317">
        <f t="shared" si="25"/>
        <v>3</v>
      </c>
      <c r="AN71" s="14">
        <f t="shared" si="59"/>
        <v>1944.5499999999997</v>
      </c>
      <c r="AO71" s="14">
        <f>IF(W71&lt;=0,0,+$AA$6-$C$2+I71-U71)</f>
        <v>199512.08000000002</v>
      </c>
      <c r="AP71" s="14">
        <f t="shared" si="60"/>
        <v>1944.5499999999997</v>
      </c>
      <c r="AS71" s="14">
        <f t="shared" si="20"/>
        <v>1944.5499999999997</v>
      </c>
      <c r="AT71" s="14">
        <f t="shared" si="26"/>
        <v>85079.640000000058</v>
      </c>
      <c r="AU71" s="188">
        <f>IF(W71&lt;=0,0,+($O$5+AV70)*$AQ$2/12)</f>
        <v>934.14022211860549</v>
      </c>
      <c r="AV71" s="188">
        <f t="shared" si="27"/>
        <v>48880.229069560854</v>
      </c>
    </row>
    <row r="72" spans="1:50">
      <c r="A72" s="395">
        <f t="shared" si="62"/>
        <v>47550</v>
      </c>
      <c r="B72" s="188">
        <f t="shared" si="21"/>
        <v>116512.73</v>
      </c>
      <c r="C72" s="14">
        <f t="shared" si="3"/>
        <v>559.88</v>
      </c>
      <c r="D72" s="14">
        <f t="shared" si="29"/>
        <v>122.95999999999998</v>
      </c>
      <c r="E72" s="14">
        <f t="shared" si="4"/>
        <v>436.92</v>
      </c>
      <c r="F72" s="14">
        <f t="shared" si="44"/>
        <v>51.5</v>
      </c>
      <c r="G72" s="14">
        <f t="shared" si="45"/>
        <v>145.09666666666666</v>
      </c>
      <c r="H72" s="14">
        <f t="shared" si="47"/>
        <v>756.47666666666669</v>
      </c>
      <c r="I72" s="188">
        <f t="shared" si="63"/>
        <v>6783.3999999999987</v>
      </c>
      <c r="J72" s="188">
        <f t="shared" si="64"/>
        <v>25589.929999999993</v>
      </c>
      <c r="K72" s="188">
        <f t="shared" si="65"/>
        <v>116389.76999999999</v>
      </c>
      <c r="L72" s="317">
        <f t="shared" si="5"/>
        <v>3</v>
      </c>
      <c r="M72" s="317">
        <f>IF(N72&lt;&gt;"",IF(N72=$O$5,0,+M71+1),0)</f>
        <v>44</v>
      </c>
      <c r="N72" s="188">
        <f t="shared" si="22"/>
        <v>315564.64000000013</v>
      </c>
      <c r="O72" s="188">
        <f>IF($O$11&lt;=A72,IF(+$W71&lt;=0,0,$O$8),0)</f>
        <v>2504.4299999999998</v>
      </c>
      <c r="P72" s="188">
        <f t="shared" si="33"/>
        <v>269.17999999999984</v>
      </c>
      <c r="Q72" s="188">
        <f>IF($O$11&lt;=A72,ROUND(N72*($O$7/12),2),0)</f>
        <v>2235.25</v>
      </c>
      <c r="R72" s="188">
        <f t="shared" si="75"/>
        <v>51.5</v>
      </c>
      <c r="S72" s="188">
        <f t="shared" si="66"/>
        <v>145.09666666666666</v>
      </c>
      <c r="T72" s="188">
        <f t="shared" si="52"/>
        <v>2701.0266666666666</v>
      </c>
      <c r="U72" s="188">
        <f t="shared" si="34"/>
        <v>10414.539999999997</v>
      </c>
      <c r="V72" s="188">
        <f t="shared" si="35"/>
        <v>102284.81000000003</v>
      </c>
      <c r="W72" s="188">
        <f t="shared" si="67"/>
        <v>315295.46000000014</v>
      </c>
      <c r="X72" s="395">
        <f t="shared" si="23"/>
        <v>47550</v>
      </c>
      <c r="Y72" s="188">
        <f t="shared" si="68"/>
        <v>315564.64000000013</v>
      </c>
      <c r="Z72" s="388">
        <f t="shared" si="9"/>
        <v>8.4999999999999992E-2</v>
      </c>
      <c r="AA72" s="188">
        <f t="shared" si="10"/>
        <v>2504.4299999999998</v>
      </c>
      <c r="AB72" s="188">
        <f t="shared" si="69"/>
        <v>269.17999999999984</v>
      </c>
      <c r="AC72" s="188">
        <f t="shared" si="12"/>
        <v>2235.25</v>
      </c>
      <c r="AD72" s="188">
        <f t="shared" ref="AD72:AE72" si="84">+AD71</f>
        <v>51.5</v>
      </c>
      <c r="AE72" s="188">
        <f t="shared" si="84"/>
        <v>145.09666666666666</v>
      </c>
      <c r="AF72" s="188">
        <f t="shared" si="71"/>
        <v>2701.0266666666666</v>
      </c>
      <c r="AG72" s="188">
        <f t="shared" si="72"/>
        <v>10414.539999999997</v>
      </c>
      <c r="AH72" s="188">
        <f t="shared" si="73"/>
        <v>102284.81000000003</v>
      </c>
      <c r="AI72" s="404">
        <f t="shared" si="57"/>
        <v>0</v>
      </c>
      <c r="AJ72" s="404">
        <f t="shared" si="16"/>
        <v>0</v>
      </c>
      <c r="AK72" s="404">
        <f t="shared" si="58"/>
        <v>0</v>
      </c>
      <c r="AL72" s="188">
        <f t="shared" si="74"/>
        <v>315295.46000000014</v>
      </c>
      <c r="AM72" s="317">
        <f t="shared" si="25"/>
        <v>3</v>
      </c>
      <c r="AN72" s="14">
        <f t="shared" si="59"/>
        <v>1944.5499999999997</v>
      </c>
      <c r="AO72" s="14">
        <f>IF(W72&lt;=0,0,+$AA$6-$C$2+I72-U72)</f>
        <v>199365.86</v>
      </c>
      <c r="AP72" s="14">
        <f t="shared" si="60"/>
        <v>1944.5499999999997</v>
      </c>
      <c r="AS72" s="14">
        <f t="shared" si="20"/>
        <v>1944.5499999999997</v>
      </c>
      <c r="AT72" s="14">
        <f t="shared" si="26"/>
        <v>87024.190000000061</v>
      </c>
      <c r="AU72" s="188">
        <f>IF(W72&lt;=0,0,+($O$5+AV71)*$AQ$2/12)</f>
        <v>936.47557267390221</v>
      </c>
      <c r="AV72" s="188">
        <f t="shared" si="27"/>
        <v>49816.704642234756</v>
      </c>
      <c r="AX72" s="371"/>
    </row>
    <row r="73" spans="1:50">
      <c r="A73" s="395">
        <f t="shared" si="62"/>
        <v>47580</v>
      </c>
      <c r="B73" s="188">
        <f t="shared" si="21"/>
        <v>116389.76999999999</v>
      </c>
      <c r="C73" s="14">
        <f t="shared" si="3"/>
        <v>559.88</v>
      </c>
      <c r="D73" s="14">
        <f t="shared" si="29"/>
        <v>123.42000000000002</v>
      </c>
      <c r="E73" s="14">
        <f t="shared" si="4"/>
        <v>436.46</v>
      </c>
      <c r="F73" s="14">
        <f t="shared" si="44"/>
        <v>51.5</v>
      </c>
      <c r="G73" s="14">
        <f t="shared" si="45"/>
        <v>145.09666666666666</v>
      </c>
      <c r="H73" s="14">
        <f t="shared" si="47"/>
        <v>756.47666666666669</v>
      </c>
      <c r="I73" s="188">
        <f t="shared" si="63"/>
        <v>6906.8199999999988</v>
      </c>
      <c r="J73" s="188">
        <f t="shared" si="64"/>
        <v>26026.389999999992</v>
      </c>
      <c r="K73" s="188">
        <f t="shared" si="65"/>
        <v>116266.34999999999</v>
      </c>
      <c r="L73" s="317">
        <f t="shared" si="5"/>
        <v>3</v>
      </c>
      <c r="M73" s="317">
        <f>IF(N73&lt;&gt;"",IF(N73=$O$5,0,+M72+1),0)</f>
        <v>45</v>
      </c>
      <c r="N73" s="188">
        <f t="shared" si="22"/>
        <v>315295.46000000014</v>
      </c>
      <c r="O73" s="188">
        <f>IF($O$11&lt;=A73,IF(+$W72&lt;=0,0,$O$8),0)</f>
        <v>2504.4299999999998</v>
      </c>
      <c r="P73" s="188">
        <f t="shared" si="33"/>
        <v>271.08999999999969</v>
      </c>
      <c r="Q73" s="188">
        <f>IF($O$11&lt;=A73,ROUND(N73*($O$7/12),2),0)</f>
        <v>2233.34</v>
      </c>
      <c r="R73" s="188">
        <f t="shared" si="75"/>
        <v>51.5</v>
      </c>
      <c r="S73" s="188">
        <f t="shared" si="66"/>
        <v>145.09666666666666</v>
      </c>
      <c r="T73" s="188">
        <f t="shared" si="52"/>
        <v>2701.0266666666666</v>
      </c>
      <c r="U73" s="188">
        <f t="shared" si="34"/>
        <v>10685.629999999997</v>
      </c>
      <c r="V73" s="188">
        <f t="shared" si="35"/>
        <v>104518.15000000002</v>
      </c>
      <c r="W73" s="188">
        <f t="shared" si="67"/>
        <v>315024.37000000011</v>
      </c>
      <c r="X73" s="395">
        <f t="shared" si="23"/>
        <v>47580</v>
      </c>
      <c r="Y73" s="188">
        <f t="shared" si="68"/>
        <v>315295.46000000014</v>
      </c>
      <c r="Z73" s="388">
        <f t="shared" si="9"/>
        <v>8.4999999999999992E-2</v>
      </c>
      <c r="AA73" s="188">
        <f t="shared" si="10"/>
        <v>2504.4299999999998</v>
      </c>
      <c r="AB73" s="188">
        <f t="shared" si="69"/>
        <v>271.08999999999969</v>
      </c>
      <c r="AC73" s="188">
        <f t="shared" si="12"/>
        <v>2233.34</v>
      </c>
      <c r="AD73" s="188">
        <f t="shared" ref="AD73:AE73" si="85">+AD72</f>
        <v>51.5</v>
      </c>
      <c r="AE73" s="188">
        <f t="shared" si="85"/>
        <v>145.09666666666666</v>
      </c>
      <c r="AF73" s="188">
        <f t="shared" si="71"/>
        <v>2701.0266666666666</v>
      </c>
      <c r="AG73" s="188">
        <f t="shared" si="72"/>
        <v>10685.629999999997</v>
      </c>
      <c r="AH73" s="188">
        <f t="shared" si="73"/>
        <v>104518.15000000002</v>
      </c>
      <c r="AI73" s="404">
        <f t="shared" si="57"/>
        <v>0</v>
      </c>
      <c r="AJ73" s="404">
        <f t="shared" si="16"/>
        <v>0</v>
      </c>
      <c r="AK73" s="404">
        <f t="shared" si="58"/>
        <v>0</v>
      </c>
      <c r="AL73" s="188">
        <f t="shared" si="74"/>
        <v>315024.37000000011</v>
      </c>
      <c r="AM73" s="317">
        <f t="shared" si="25"/>
        <v>3</v>
      </c>
      <c r="AN73" s="14">
        <f t="shared" si="59"/>
        <v>1944.5499999999997</v>
      </c>
      <c r="AO73" s="14">
        <f>IF(W73&lt;=0,0,+$AA$6-$C$2+I73-U73)</f>
        <v>199218.19</v>
      </c>
      <c r="AP73" s="14">
        <f t="shared" si="60"/>
        <v>1944.5499999999997</v>
      </c>
      <c r="AS73" s="14">
        <f t="shared" si="20"/>
        <v>1944.5499999999997</v>
      </c>
      <c r="AT73" s="14">
        <f t="shared" si="26"/>
        <v>88968.740000000063</v>
      </c>
      <c r="AU73" s="188">
        <f>IF(W73&lt;=0,0,+($O$5+AV72)*$AQ$2/12)</f>
        <v>938.81676160558698</v>
      </c>
      <c r="AV73" s="188">
        <f t="shared" si="27"/>
        <v>50755.521403840343</v>
      </c>
      <c r="AX73" s="371"/>
    </row>
    <row r="74" spans="1:50">
      <c r="A74" s="395">
        <f t="shared" si="62"/>
        <v>47610</v>
      </c>
      <c r="B74" s="188">
        <f t="shared" si="21"/>
        <v>116266.34999999999</v>
      </c>
      <c r="C74" s="14">
        <f t="shared" si="3"/>
        <v>559.88</v>
      </c>
      <c r="D74" s="14">
        <f t="shared" si="29"/>
        <v>123.88</v>
      </c>
      <c r="E74" s="14">
        <f t="shared" si="4"/>
        <v>436</v>
      </c>
      <c r="F74" s="14">
        <f t="shared" si="44"/>
        <v>51.5</v>
      </c>
      <c r="G74" s="14">
        <f t="shared" si="45"/>
        <v>145.09666666666666</v>
      </c>
      <c r="H74" s="14">
        <f t="shared" si="47"/>
        <v>756.47666666666669</v>
      </c>
      <c r="I74" s="188">
        <f t="shared" si="63"/>
        <v>7030.6999999999989</v>
      </c>
      <c r="J74" s="188">
        <f t="shared" si="64"/>
        <v>26462.389999999992</v>
      </c>
      <c r="K74" s="188">
        <f t="shared" si="65"/>
        <v>116142.46999999999</v>
      </c>
      <c r="L74" s="317">
        <f t="shared" si="5"/>
        <v>3</v>
      </c>
      <c r="M74" s="317">
        <f>IF(N74&lt;&gt;"",IF(N74=$O$5,0,+M73+1),0)</f>
        <v>46</v>
      </c>
      <c r="N74" s="188">
        <f t="shared" si="22"/>
        <v>315024.37000000011</v>
      </c>
      <c r="O74" s="188">
        <f>IF($O$11&lt;=A74,IF(+$W73&lt;=0,0,$O$8),0)</f>
        <v>2504.4299999999998</v>
      </c>
      <c r="P74" s="188">
        <f t="shared" si="33"/>
        <v>273.00999999999976</v>
      </c>
      <c r="Q74" s="188">
        <f>IF($O$11&lt;=A74,ROUND(N74*($O$7/12),2),0)</f>
        <v>2231.42</v>
      </c>
      <c r="R74" s="188">
        <f t="shared" si="75"/>
        <v>51.5</v>
      </c>
      <c r="S74" s="188">
        <f t="shared" si="66"/>
        <v>145.09666666666666</v>
      </c>
      <c r="T74" s="188">
        <f t="shared" si="52"/>
        <v>2701.0266666666666</v>
      </c>
      <c r="U74" s="188">
        <f t="shared" si="34"/>
        <v>10958.639999999998</v>
      </c>
      <c r="V74" s="188">
        <f t="shared" si="35"/>
        <v>106749.57000000002</v>
      </c>
      <c r="W74" s="188">
        <f t="shared" si="67"/>
        <v>314751.3600000001</v>
      </c>
      <c r="X74" s="395">
        <f t="shared" si="23"/>
        <v>47610</v>
      </c>
      <c r="Y74" s="188">
        <f t="shared" si="68"/>
        <v>315024.37000000011</v>
      </c>
      <c r="Z74" s="388">
        <f t="shared" si="9"/>
        <v>8.4999999999999992E-2</v>
      </c>
      <c r="AA74" s="188">
        <f t="shared" si="10"/>
        <v>2504.4299999999998</v>
      </c>
      <c r="AB74" s="188">
        <f t="shared" si="69"/>
        <v>273.00999999999976</v>
      </c>
      <c r="AC74" s="188">
        <f t="shared" si="12"/>
        <v>2231.42</v>
      </c>
      <c r="AD74" s="188">
        <f t="shared" ref="AD74:AE74" si="86">+AD73</f>
        <v>51.5</v>
      </c>
      <c r="AE74" s="188">
        <f t="shared" si="86"/>
        <v>145.09666666666666</v>
      </c>
      <c r="AF74" s="188">
        <f t="shared" si="71"/>
        <v>2701.0266666666666</v>
      </c>
      <c r="AG74" s="188">
        <f t="shared" si="72"/>
        <v>10958.639999999998</v>
      </c>
      <c r="AH74" s="188">
        <f t="shared" si="73"/>
        <v>106749.57000000002</v>
      </c>
      <c r="AI74" s="404">
        <f t="shared" si="57"/>
        <v>0</v>
      </c>
      <c r="AJ74" s="404">
        <f t="shared" si="16"/>
        <v>0</v>
      </c>
      <c r="AK74" s="404">
        <f t="shared" si="58"/>
        <v>0</v>
      </c>
      <c r="AL74" s="188">
        <f t="shared" si="74"/>
        <v>314751.3600000001</v>
      </c>
      <c r="AM74" s="317">
        <f t="shared" si="25"/>
        <v>3</v>
      </c>
      <c r="AN74" s="14">
        <f t="shared" si="59"/>
        <v>1944.5499999999997</v>
      </c>
      <c r="AO74" s="14">
        <f>IF(W74&lt;=0,0,+$AA$6-$C$2+I74-U74)</f>
        <v>199069.06000000003</v>
      </c>
      <c r="AP74" s="14">
        <f t="shared" si="60"/>
        <v>1944.5499999999997</v>
      </c>
      <c r="AS74" s="14">
        <f t="shared" si="20"/>
        <v>1944.5499999999997</v>
      </c>
      <c r="AT74" s="14">
        <f t="shared" si="26"/>
        <v>90913.290000000066</v>
      </c>
      <c r="AU74" s="188">
        <f>IF(W74&lt;=0,0,+($O$5+AV73)*$AQ$2/12)</f>
        <v>941.16380350960083</v>
      </c>
      <c r="AV74" s="188">
        <f t="shared" si="27"/>
        <v>51696.685207349947</v>
      </c>
    </row>
    <row r="75" spans="1:50" ht="15.75" thickBot="1">
      <c r="A75" s="398">
        <f t="shared" si="62"/>
        <v>47640</v>
      </c>
      <c r="B75" s="237">
        <f t="shared" si="21"/>
        <v>116142.46999999999</v>
      </c>
      <c r="C75" s="21">
        <f t="shared" si="3"/>
        <v>559.88</v>
      </c>
      <c r="D75" s="21">
        <f t="shared" si="29"/>
        <v>124.35000000000002</v>
      </c>
      <c r="E75" s="21">
        <f t="shared" si="4"/>
        <v>435.53</v>
      </c>
      <c r="F75" s="21">
        <f t="shared" si="44"/>
        <v>51.5</v>
      </c>
      <c r="G75" s="21">
        <f t="shared" si="45"/>
        <v>145.09666666666666</v>
      </c>
      <c r="H75" s="21">
        <f t="shared" si="47"/>
        <v>756.47666666666669</v>
      </c>
      <c r="I75" s="237">
        <f t="shared" si="63"/>
        <v>7155.0499999999993</v>
      </c>
      <c r="J75" s="237">
        <f t="shared" si="64"/>
        <v>26897.919999999991</v>
      </c>
      <c r="K75" s="237">
        <f t="shared" si="65"/>
        <v>116018.11999999998</v>
      </c>
      <c r="L75" s="318">
        <f t="shared" si="5"/>
        <v>3</v>
      </c>
      <c r="M75" s="318">
        <f>IF(N75&lt;&gt;"",IF(N75=$O$5,0,+M74+1),0)</f>
        <v>47</v>
      </c>
      <c r="N75" s="237">
        <f t="shared" si="22"/>
        <v>314751.3600000001</v>
      </c>
      <c r="O75" s="237">
        <f>IF($O$11&lt;=A75,IF(+$W74&lt;=0,0,$O$8),0)</f>
        <v>2504.4299999999998</v>
      </c>
      <c r="P75" s="237">
        <f t="shared" si="33"/>
        <v>274.94000000000005</v>
      </c>
      <c r="Q75" s="237">
        <f>IF($O$11&lt;=A75,ROUND(N75*($O$7/12),2),0)</f>
        <v>2229.4899999999998</v>
      </c>
      <c r="R75" s="237">
        <f t="shared" si="75"/>
        <v>51.5</v>
      </c>
      <c r="S75" s="237">
        <f t="shared" si="66"/>
        <v>145.09666666666666</v>
      </c>
      <c r="T75" s="237">
        <f t="shared" si="52"/>
        <v>2701.0266666666666</v>
      </c>
      <c r="U75" s="237">
        <f t="shared" si="34"/>
        <v>11233.579999999998</v>
      </c>
      <c r="V75" s="237">
        <f t="shared" si="35"/>
        <v>108979.06000000003</v>
      </c>
      <c r="W75" s="237">
        <f t="shared" si="67"/>
        <v>314476.4200000001</v>
      </c>
      <c r="X75" s="398">
        <f t="shared" si="23"/>
        <v>47640</v>
      </c>
      <c r="Y75" s="237">
        <f t="shared" si="68"/>
        <v>314751.3600000001</v>
      </c>
      <c r="Z75" s="389">
        <f t="shared" si="9"/>
        <v>8.4999999999999992E-2</v>
      </c>
      <c r="AA75" s="237">
        <f t="shared" si="10"/>
        <v>2504.4299999999998</v>
      </c>
      <c r="AB75" s="237">
        <f t="shared" si="69"/>
        <v>274.94000000000005</v>
      </c>
      <c r="AC75" s="237">
        <f t="shared" si="12"/>
        <v>2229.4899999999998</v>
      </c>
      <c r="AD75" s="237">
        <f t="shared" ref="AD75:AE75" si="87">+AD74</f>
        <v>51.5</v>
      </c>
      <c r="AE75" s="237">
        <f t="shared" si="87"/>
        <v>145.09666666666666</v>
      </c>
      <c r="AF75" s="237">
        <f t="shared" si="71"/>
        <v>2701.0266666666666</v>
      </c>
      <c r="AG75" s="237">
        <f t="shared" si="72"/>
        <v>11233.579999999998</v>
      </c>
      <c r="AH75" s="237">
        <f t="shared" si="73"/>
        <v>108979.06000000003</v>
      </c>
      <c r="AI75" s="405">
        <f t="shared" si="57"/>
        <v>0</v>
      </c>
      <c r="AJ75" s="405">
        <f t="shared" si="16"/>
        <v>0</v>
      </c>
      <c r="AK75" s="405">
        <f t="shared" si="58"/>
        <v>0</v>
      </c>
      <c r="AL75" s="237">
        <f t="shared" si="74"/>
        <v>314476.4200000001</v>
      </c>
      <c r="AM75" s="318">
        <f t="shared" si="25"/>
        <v>3</v>
      </c>
      <c r="AN75" s="21">
        <f t="shared" si="59"/>
        <v>1944.5499999999997</v>
      </c>
      <c r="AO75" s="21">
        <f>IF(W75&lt;=0,0,+$AA$6-$C$2+I75-U75)</f>
        <v>198918.47</v>
      </c>
      <c r="AP75" s="21">
        <f t="shared" si="60"/>
        <v>1944.5499999999997</v>
      </c>
      <c r="AQ75" s="21"/>
      <c r="AR75" s="23"/>
      <c r="AS75" s="21">
        <f t="shared" si="20"/>
        <v>1944.5499999999997</v>
      </c>
      <c r="AT75" s="21">
        <f t="shared" si="26"/>
        <v>92857.840000000069</v>
      </c>
      <c r="AU75" s="237">
        <f>IF(W75&lt;=0,0,+($O$5+AV74)*$AQ$2/12)</f>
        <v>943.51671301837484</v>
      </c>
      <c r="AV75" s="237">
        <f t="shared" si="27"/>
        <v>52640.201920368323</v>
      </c>
    </row>
    <row r="76" spans="1:50">
      <c r="A76" s="395">
        <f t="shared" si="62"/>
        <v>47670</v>
      </c>
      <c r="B76" s="188">
        <f t="shared" si="21"/>
        <v>116018.11999999998</v>
      </c>
      <c r="C76" s="14">
        <f t="shared" si="3"/>
        <v>559.88</v>
      </c>
      <c r="D76" s="14">
        <f t="shared" si="29"/>
        <v>124.81</v>
      </c>
      <c r="E76" s="14">
        <f t="shared" si="4"/>
        <v>435.07</v>
      </c>
      <c r="F76" s="14">
        <f t="shared" si="44"/>
        <v>51.5</v>
      </c>
      <c r="G76" s="14">
        <f t="shared" si="45"/>
        <v>145.09666666666666</v>
      </c>
      <c r="H76" s="14">
        <f t="shared" si="47"/>
        <v>756.47666666666669</v>
      </c>
      <c r="I76" s="188">
        <f t="shared" si="63"/>
        <v>7279.86</v>
      </c>
      <c r="J76" s="188">
        <f t="shared" si="64"/>
        <v>27332.989999999991</v>
      </c>
      <c r="K76" s="188">
        <f t="shared" si="65"/>
        <v>115893.30999999998</v>
      </c>
      <c r="L76" s="317">
        <f t="shared" si="5"/>
        <v>4</v>
      </c>
      <c r="M76" s="317">
        <f>IF(N76&lt;&gt;"",IF(N76=$O$5,0,+M75+1),0)</f>
        <v>48</v>
      </c>
      <c r="N76" s="188">
        <f t="shared" si="22"/>
        <v>314476.4200000001</v>
      </c>
      <c r="O76" s="188">
        <f>IF($O$11&lt;=A76,IF(+$W75&lt;=0,0,$O$8),0)</f>
        <v>2504.4299999999998</v>
      </c>
      <c r="P76" s="188">
        <f t="shared" si="33"/>
        <v>276.88999999999987</v>
      </c>
      <c r="Q76" s="188">
        <f>IF($O$11&lt;=A76,ROUND(N76*($O$7/12),2),0)</f>
        <v>2227.54</v>
      </c>
      <c r="R76" s="188">
        <f t="shared" si="75"/>
        <v>51.5</v>
      </c>
      <c r="S76" s="188">
        <f t="shared" si="66"/>
        <v>145.09666666666666</v>
      </c>
      <c r="T76" s="188">
        <f t="shared" si="52"/>
        <v>2701.0266666666666</v>
      </c>
      <c r="U76" s="188">
        <f t="shared" si="34"/>
        <v>11510.469999999998</v>
      </c>
      <c r="V76" s="188">
        <f t="shared" si="35"/>
        <v>111206.60000000002</v>
      </c>
      <c r="W76" s="188">
        <f t="shared" si="67"/>
        <v>314199.53000000009</v>
      </c>
      <c r="X76" s="395">
        <f t="shared" si="23"/>
        <v>47670</v>
      </c>
      <c r="Y76" s="188">
        <f t="shared" si="68"/>
        <v>314476.4200000001</v>
      </c>
      <c r="Z76" s="388">
        <f t="shared" si="9"/>
        <v>8.4999999999999992E-2</v>
      </c>
      <c r="AA76" s="188">
        <f t="shared" si="10"/>
        <v>2504.4299999999998</v>
      </c>
      <c r="AB76" s="188">
        <f t="shared" si="69"/>
        <v>276.88999999999987</v>
      </c>
      <c r="AC76" s="188">
        <f t="shared" si="12"/>
        <v>2227.54</v>
      </c>
      <c r="AD76" s="188">
        <f t="shared" ref="AD76:AE76" si="88">+AD75</f>
        <v>51.5</v>
      </c>
      <c r="AE76" s="188">
        <f t="shared" si="88"/>
        <v>145.09666666666666</v>
      </c>
      <c r="AF76" s="188">
        <f t="shared" si="71"/>
        <v>2701.0266666666666</v>
      </c>
      <c r="AG76" s="188">
        <f t="shared" si="72"/>
        <v>11510.469999999998</v>
      </c>
      <c r="AH76" s="188">
        <f t="shared" si="73"/>
        <v>111206.60000000002</v>
      </c>
      <c r="AI76" s="404">
        <f t="shared" si="57"/>
        <v>0</v>
      </c>
      <c r="AJ76" s="404">
        <f t="shared" si="16"/>
        <v>0</v>
      </c>
      <c r="AK76" s="404">
        <f t="shared" si="58"/>
        <v>0</v>
      </c>
      <c r="AL76" s="188">
        <f t="shared" si="74"/>
        <v>314199.53000000009</v>
      </c>
      <c r="AM76" s="317">
        <f t="shared" si="25"/>
        <v>4</v>
      </c>
      <c r="AN76" s="14">
        <f t="shared" si="59"/>
        <v>1944.5499999999997</v>
      </c>
      <c r="AO76" s="14">
        <f>IF(W76&lt;=0,0,+$AA$6-$C$2+I76-U76)</f>
        <v>198766.38999999998</v>
      </c>
      <c r="AP76" s="14">
        <f t="shared" si="60"/>
        <v>1944.5499999999997</v>
      </c>
      <c r="AS76" s="14">
        <f t="shared" si="20"/>
        <v>1944.5499999999997</v>
      </c>
      <c r="AT76" s="14">
        <f t="shared" si="26"/>
        <v>94802.390000000072</v>
      </c>
      <c r="AU76" s="188">
        <f>IF(W76&lt;=0,0,+($O$5+AV75)*$AQ$2/12)</f>
        <v>945.87550480092068</v>
      </c>
      <c r="AV76" s="188">
        <f t="shared" si="27"/>
        <v>53586.077425169242</v>
      </c>
    </row>
    <row r="77" spans="1:50">
      <c r="A77" s="395">
        <f t="shared" si="62"/>
        <v>47700</v>
      </c>
      <c r="B77" s="188">
        <f t="shared" si="21"/>
        <v>115893.30999999998</v>
      </c>
      <c r="C77" s="14">
        <f t="shared" si="3"/>
        <v>559.88</v>
      </c>
      <c r="D77" s="14">
        <f t="shared" si="29"/>
        <v>125.27999999999997</v>
      </c>
      <c r="E77" s="14">
        <f t="shared" si="4"/>
        <v>434.6</v>
      </c>
      <c r="F77" s="14">
        <f t="shared" si="44"/>
        <v>51.5</v>
      </c>
      <c r="G77" s="14">
        <f t="shared" si="45"/>
        <v>145.09666666666666</v>
      </c>
      <c r="H77" s="14">
        <f t="shared" si="47"/>
        <v>756.47666666666669</v>
      </c>
      <c r="I77" s="188">
        <f t="shared" si="63"/>
        <v>7405.1399999999994</v>
      </c>
      <c r="J77" s="188">
        <f t="shared" si="64"/>
        <v>27767.589999999989</v>
      </c>
      <c r="K77" s="188">
        <f t="shared" si="65"/>
        <v>115768.02999999998</v>
      </c>
      <c r="L77" s="317">
        <f t="shared" si="5"/>
        <v>4</v>
      </c>
      <c r="M77" s="317">
        <f>IF(N77&lt;&gt;"",IF(N77=$O$5,0,+M76+1),0)</f>
        <v>49</v>
      </c>
      <c r="N77" s="188">
        <f t="shared" si="22"/>
        <v>314199.53000000009</v>
      </c>
      <c r="O77" s="188">
        <f>IF($O$11&lt;=A77,IF(+$W76&lt;=0,0,$O$8),0)</f>
        <v>2504.4299999999998</v>
      </c>
      <c r="P77" s="188">
        <f t="shared" si="33"/>
        <v>278.84999999999991</v>
      </c>
      <c r="Q77" s="188">
        <f>IF($O$11&lt;=A77,ROUND(N77*($O$7/12),2),0)</f>
        <v>2225.58</v>
      </c>
      <c r="R77" s="188">
        <f t="shared" si="75"/>
        <v>51.5</v>
      </c>
      <c r="S77" s="188">
        <f t="shared" si="66"/>
        <v>145.09666666666666</v>
      </c>
      <c r="T77" s="188">
        <f t="shared" si="52"/>
        <v>2701.0266666666666</v>
      </c>
      <c r="U77" s="188">
        <f t="shared" si="34"/>
        <v>11789.319999999998</v>
      </c>
      <c r="V77" s="188">
        <f t="shared" si="35"/>
        <v>113432.18000000002</v>
      </c>
      <c r="W77" s="188">
        <f t="shared" si="67"/>
        <v>313920.68000000011</v>
      </c>
      <c r="X77" s="395">
        <f t="shared" si="23"/>
        <v>47700</v>
      </c>
      <c r="Y77" s="188">
        <f t="shared" si="68"/>
        <v>314199.53000000009</v>
      </c>
      <c r="Z77" s="388">
        <f t="shared" si="9"/>
        <v>8.4999999999999992E-2</v>
      </c>
      <c r="AA77" s="188">
        <f t="shared" si="10"/>
        <v>2504.4299999999998</v>
      </c>
      <c r="AB77" s="188">
        <f t="shared" si="69"/>
        <v>278.84999999999991</v>
      </c>
      <c r="AC77" s="188">
        <f t="shared" si="12"/>
        <v>2225.58</v>
      </c>
      <c r="AD77" s="188">
        <f t="shared" ref="AD77:AE77" si="89">+AD76</f>
        <v>51.5</v>
      </c>
      <c r="AE77" s="188">
        <f t="shared" si="89"/>
        <v>145.09666666666666</v>
      </c>
      <c r="AF77" s="188">
        <f t="shared" si="71"/>
        <v>2701.0266666666666</v>
      </c>
      <c r="AG77" s="188">
        <f t="shared" si="72"/>
        <v>11789.319999999998</v>
      </c>
      <c r="AH77" s="188">
        <f t="shared" si="73"/>
        <v>113432.18000000002</v>
      </c>
      <c r="AI77" s="404">
        <f t="shared" si="57"/>
        <v>0</v>
      </c>
      <c r="AJ77" s="404">
        <f t="shared" si="16"/>
        <v>0</v>
      </c>
      <c r="AK77" s="404">
        <f t="shared" si="58"/>
        <v>0</v>
      </c>
      <c r="AL77" s="188">
        <f t="shared" si="74"/>
        <v>313920.68000000011</v>
      </c>
      <c r="AM77" s="317">
        <f t="shared" si="25"/>
        <v>4</v>
      </c>
      <c r="AN77" s="14">
        <f t="shared" si="59"/>
        <v>1944.5499999999997</v>
      </c>
      <c r="AO77" s="14">
        <f>IF(W77&lt;=0,0,+$AA$6-$C$2+I77-U77)</f>
        <v>198612.82</v>
      </c>
      <c r="AP77" s="14">
        <f t="shared" si="60"/>
        <v>1944.5499999999997</v>
      </c>
      <c r="AS77" s="14">
        <f t="shared" si="20"/>
        <v>1944.5499999999997</v>
      </c>
      <c r="AT77" s="14">
        <f t="shared" si="26"/>
        <v>96746.940000000075</v>
      </c>
      <c r="AU77" s="188">
        <f>IF(W77&lt;=0,0,+($O$5+AV76)*$AQ$2/12)</f>
        <v>948.24019356292308</v>
      </c>
      <c r="AV77" s="188">
        <f t="shared" si="27"/>
        <v>54534.317618732166</v>
      </c>
    </row>
    <row r="78" spans="1:50">
      <c r="A78" s="395">
        <f t="shared" si="62"/>
        <v>47730</v>
      </c>
      <c r="B78" s="188">
        <f t="shared" si="21"/>
        <v>115768.02999999998</v>
      </c>
      <c r="C78" s="14">
        <f t="shared" si="3"/>
        <v>559.88</v>
      </c>
      <c r="D78" s="14">
        <f t="shared" si="29"/>
        <v>125.75</v>
      </c>
      <c r="E78" s="14">
        <f t="shared" si="4"/>
        <v>434.13</v>
      </c>
      <c r="F78" s="14">
        <f t="shared" si="44"/>
        <v>51.5</v>
      </c>
      <c r="G78" s="14">
        <f t="shared" si="45"/>
        <v>145.09666666666666</v>
      </c>
      <c r="H78" s="14">
        <f t="shared" si="47"/>
        <v>756.47666666666669</v>
      </c>
      <c r="I78" s="188">
        <f t="shared" si="63"/>
        <v>7530.8899999999994</v>
      </c>
      <c r="J78" s="188">
        <f t="shared" si="64"/>
        <v>28201.71999999999</v>
      </c>
      <c r="K78" s="188">
        <f t="shared" si="65"/>
        <v>115642.27999999998</v>
      </c>
      <c r="L78" s="317">
        <f t="shared" si="5"/>
        <v>4</v>
      </c>
      <c r="M78" s="317">
        <f>IF(N78&lt;&gt;"",IF(N78=$O$5,0,+M77+1),0)</f>
        <v>50</v>
      </c>
      <c r="N78" s="188">
        <f t="shared" si="22"/>
        <v>313920.68000000011</v>
      </c>
      <c r="O78" s="188">
        <f>IF($O$11&lt;=A78,IF(+$W77&lt;=0,0,$O$8),0)</f>
        <v>2504.4299999999998</v>
      </c>
      <c r="P78" s="188">
        <f t="shared" si="33"/>
        <v>280.82999999999993</v>
      </c>
      <c r="Q78" s="188">
        <f>IF($O$11&lt;=A78,ROUND(N78*($O$7/12),2),0)</f>
        <v>2223.6</v>
      </c>
      <c r="R78" s="188">
        <f t="shared" si="75"/>
        <v>51.5</v>
      </c>
      <c r="S78" s="188">
        <f t="shared" si="66"/>
        <v>145.09666666666666</v>
      </c>
      <c r="T78" s="188">
        <f t="shared" si="52"/>
        <v>2701.0266666666666</v>
      </c>
      <c r="U78" s="188">
        <f t="shared" si="34"/>
        <v>12070.149999999998</v>
      </c>
      <c r="V78" s="188">
        <f t="shared" si="35"/>
        <v>115655.78000000003</v>
      </c>
      <c r="W78" s="188">
        <f t="shared" si="67"/>
        <v>313639.85000000009</v>
      </c>
      <c r="X78" s="395">
        <f t="shared" si="23"/>
        <v>47730</v>
      </c>
      <c r="Y78" s="188">
        <f t="shared" si="68"/>
        <v>313920.68000000011</v>
      </c>
      <c r="Z78" s="388">
        <f t="shared" si="9"/>
        <v>8.4999999999999992E-2</v>
      </c>
      <c r="AA78" s="188">
        <f t="shared" si="10"/>
        <v>2504.4299999999998</v>
      </c>
      <c r="AB78" s="188">
        <f t="shared" si="69"/>
        <v>280.82999999999993</v>
      </c>
      <c r="AC78" s="188">
        <f t="shared" si="12"/>
        <v>2223.6</v>
      </c>
      <c r="AD78" s="188">
        <f t="shared" ref="AD78:AE78" si="90">+AD77</f>
        <v>51.5</v>
      </c>
      <c r="AE78" s="188">
        <f t="shared" si="90"/>
        <v>145.09666666666666</v>
      </c>
      <c r="AF78" s="188">
        <f t="shared" si="71"/>
        <v>2701.0266666666666</v>
      </c>
      <c r="AG78" s="188">
        <f t="shared" si="72"/>
        <v>12070.149999999998</v>
      </c>
      <c r="AH78" s="188">
        <f t="shared" si="73"/>
        <v>115655.78000000003</v>
      </c>
      <c r="AI78" s="404">
        <f t="shared" si="57"/>
        <v>0</v>
      </c>
      <c r="AJ78" s="404">
        <f t="shared" si="16"/>
        <v>0</v>
      </c>
      <c r="AK78" s="404">
        <f t="shared" si="58"/>
        <v>0</v>
      </c>
      <c r="AL78" s="188">
        <f t="shared" si="74"/>
        <v>313639.85000000009</v>
      </c>
      <c r="AM78" s="317">
        <f t="shared" si="25"/>
        <v>4</v>
      </c>
      <c r="AN78" s="14">
        <f t="shared" si="59"/>
        <v>1944.5499999999997</v>
      </c>
      <c r="AO78" s="14">
        <f>IF(W78&lt;=0,0,+$AA$6-$C$2+I78-U78)</f>
        <v>198457.74000000002</v>
      </c>
      <c r="AP78" s="14">
        <f t="shared" si="60"/>
        <v>1944.5499999999997</v>
      </c>
      <c r="AS78" s="14">
        <f t="shared" si="20"/>
        <v>1944.5499999999997</v>
      </c>
      <c r="AT78" s="14">
        <f t="shared" si="26"/>
        <v>98691.490000000078</v>
      </c>
      <c r="AU78" s="188">
        <f>IF(W78&lt;=0,0,+($O$5+AV77)*$AQ$2/12)</f>
        <v>950.61079404683039</v>
      </c>
      <c r="AV78" s="188">
        <f t="shared" si="27"/>
        <v>55484.928412778994</v>
      </c>
    </row>
    <row r="79" spans="1:50">
      <c r="A79" s="395">
        <f t="shared" si="62"/>
        <v>47760</v>
      </c>
      <c r="B79" s="188">
        <f t="shared" si="21"/>
        <v>115642.27999999998</v>
      </c>
      <c r="C79" s="14">
        <f t="shared" si="3"/>
        <v>559.88</v>
      </c>
      <c r="D79" s="14">
        <f t="shared" si="29"/>
        <v>126.21999999999997</v>
      </c>
      <c r="E79" s="14">
        <f t="shared" si="4"/>
        <v>433.66</v>
      </c>
      <c r="F79" s="14">
        <f t="shared" si="44"/>
        <v>51.5</v>
      </c>
      <c r="G79" s="14">
        <f t="shared" si="45"/>
        <v>145.09666666666666</v>
      </c>
      <c r="H79" s="14">
        <f t="shared" si="47"/>
        <v>756.47666666666669</v>
      </c>
      <c r="I79" s="188">
        <f t="shared" si="63"/>
        <v>7657.11</v>
      </c>
      <c r="J79" s="188">
        <f t="shared" si="64"/>
        <v>28635.37999999999</v>
      </c>
      <c r="K79" s="188">
        <f t="shared" si="65"/>
        <v>115516.05999999998</v>
      </c>
      <c r="L79" s="317">
        <f t="shared" si="5"/>
        <v>4</v>
      </c>
      <c r="M79" s="317">
        <f>IF(N79&lt;&gt;"",IF(N79=$O$5,0,+M78+1),0)</f>
        <v>51</v>
      </c>
      <c r="N79" s="188">
        <f t="shared" si="22"/>
        <v>313639.85000000009</v>
      </c>
      <c r="O79" s="188">
        <f>IF($O$11&lt;=A79,IF(+$W78&lt;=0,0,$O$8),0)</f>
        <v>2504.4299999999998</v>
      </c>
      <c r="P79" s="188">
        <f t="shared" si="33"/>
        <v>282.80999999999995</v>
      </c>
      <c r="Q79" s="188">
        <f>IF($O$11&lt;=A79,ROUND(N79*($O$7/12),2),0)</f>
        <v>2221.62</v>
      </c>
      <c r="R79" s="188">
        <f t="shared" si="75"/>
        <v>51.5</v>
      </c>
      <c r="S79" s="188">
        <f t="shared" si="66"/>
        <v>145.09666666666666</v>
      </c>
      <c r="T79" s="188">
        <f t="shared" si="52"/>
        <v>2701.0266666666666</v>
      </c>
      <c r="U79" s="188">
        <f t="shared" si="34"/>
        <v>12352.959999999997</v>
      </c>
      <c r="V79" s="188">
        <f t="shared" si="35"/>
        <v>117877.40000000002</v>
      </c>
      <c r="W79" s="188">
        <f t="shared" si="67"/>
        <v>313357.0400000001</v>
      </c>
      <c r="X79" s="395">
        <f t="shared" si="23"/>
        <v>47760</v>
      </c>
      <c r="Y79" s="188">
        <f t="shared" si="68"/>
        <v>313639.85000000009</v>
      </c>
      <c r="Z79" s="388">
        <f t="shared" si="9"/>
        <v>8.4999999999999992E-2</v>
      </c>
      <c r="AA79" s="188">
        <f t="shared" si="10"/>
        <v>2504.4299999999998</v>
      </c>
      <c r="AB79" s="188">
        <f t="shared" si="69"/>
        <v>282.80999999999995</v>
      </c>
      <c r="AC79" s="188">
        <f t="shared" si="12"/>
        <v>2221.62</v>
      </c>
      <c r="AD79" s="188">
        <f t="shared" ref="AD79:AE79" si="91">+AD78</f>
        <v>51.5</v>
      </c>
      <c r="AE79" s="188">
        <f t="shared" si="91"/>
        <v>145.09666666666666</v>
      </c>
      <c r="AF79" s="188">
        <f t="shared" si="71"/>
        <v>2701.0266666666666</v>
      </c>
      <c r="AG79" s="188">
        <f t="shared" si="72"/>
        <v>12352.959999999997</v>
      </c>
      <c r="AH79" s="188">
        <f t="shared" si="73"/>
        <v>117877.40000000002</v>
      </c>
      <c r="AI79" s="404">
        <f t="shared" si="57"/>
        <v>0</v>
      </c>
      <c r="AJ79" s="404">
        <f t="shared" si="16"/>
        <v>0</v>
      </c>
      <c r="AK79" s="404">
        <f t="shared" si="58"/>
        <v>0</v>
      </c>
      <c r="AL79" s="188">
        <f t="shared" si="74"/>
        <v>313357.0400000001</v>
      </c>
      <c r="AM79" s="317">
        <f t="shared" si="25"/>
        <v>4</v>
      </c>
      <c r="AN79" s="14">
        <f t="shared" si="59"/>
        <v>1944.5499999999997</v>
      </c>
      <c r="AO79" s="14">
        <f>IF(W79&lt;=0,0,+$AA$6-$C$2+I79-U79)</f>
        <v>198301.15</v>
      </c>
      <c r="AP79" s="14">
        <f t="shared" si="60"/>
        <v>1944.5499999999997</v>
      </c>
      <c r="AS79" s="14">
        <f t="shared" si="20"/>
        <v>1944.5499999999997</v>
      </c>
      <c r="AT79" s="14">
        <f t="shared" si="26"/>
        <v>100636.04000000008</v>
      </c>
      <c r="AU79" s="188">
        <f>IF(W79&lt;=0,0,+($O$5+AV78)*$AQ$2/12)</f>
        <v>952.98732103194743</v>
      </c>
      <c r="AV79" s="188">
        <f t="shared" si="27"/>
        <v>56437.915733810943</v>
      </c>
    </row>
    <row r="80" spans="1:50">
      <c r="A80" s="395">
        <f t="shared" si="62"/>
        <v>47790</v>
      </c>
      <c r="B80" s="188">
        <f t="shared" si="21"/>
        <v>115516.05999999998</v>
      </c>
      <c r="C80" s="14">
        <f t="shared" ref="C80:C143" si="92">IF(+$K79&lt;=0,0,$C$6)</f>
        <v>559.88</v>
      </c>
      <c r="D80" s="14">
        <f t="shared" si="29"/>
        <v>126.69</v>
      </c>
      <c r="E80" s="14">
        <f t="shared" ref="E80:E143" si="93">ROUND($B80*($C$4/12), 2)</f>
        <v>433.19</v>
      </c>
      <c r="F80" s="14">
        <f t="shared" si="44"/>
        <v>51.5</v>
      </c>
      <c r="G80" s="14">
        <f t="shared" si="45"/>
        <v>145.09666666666666</v>
      </c>
      <c r="H80" s="14">
        <f t="shared" si="47"/>
        <v>756.47666666666669</v>
      </c>
      <c r="I80" s="188">
        <f t="shared" si="63"/>
        <v>7783.7999999999993</v>
      </c>
      <c r="J80" s="188">
        <f t="shared" si="64"/>
        <v>29068.569999999989</v>
      </c>
      <c r="K80" s="188">
        <f t="shared" si="65"/>
        <v>115389.36999999998</v>
      </c>
      <c r="L80" s="317">
        <f t="shared" ref="L80:L108" si="94">IF(MOD(M80,12)=0,M80/12,L79)</f>
        <v>4</v>
      </c>
      <c r="M80" s="317">
        <f>IF(N80&lt;&gt;"",IF(N80=$O$5,0,+M79+1),0)</f>
        <v>52</v>
      </c>
      <c r="N80" s="188">
        <f t="shared" si="22"/>
        <v>313357.0400000001</v>
      </c>
      <c r="O80" s="188">
        <f>IF($O$11&lt;=A80,IF(+$W79&lt;=0,0,$O$8),0)</f>
        <v>2504.4299999999998</v>
      </c>
      <c r="P80" s="188">
        <f t="shared" si="33"/>
        <v>284.81999999999971</v>
      </c>
      <c r="Q80" s="188">
        <f>IF($O$11&lt;=A80,ROUND(N80*($O$7/12),2),0)</f>
        <v>2219.61</v>
      </c>
      <c r="R80" s="188">
        <f t="shared" si="75"/>
        <v>51.5</v>
      </c>
      <c r="S80" s="188">
        <f t="shared" si="66"/>
        <v>145.09666666666666</v>
      </c>
      <c r="T80" s="188">
        <f t="shared" si="52"/>
        <v>2701.0266666666666</v>
      </c>
      <c r="U80" s="188">
        <f t="shared" si="34"/>
        <v>12637.779999999997</v>
      </c>
      <c r="V80" s="188">
        <f t="shared" si="35"/>
        <v>120097.01000000002</v>
      </c>
      <c r="W80" s="188">
        <f t="shared" si="67"/>
        <v>313072.22000000009</v>
      </c>
      <c r="X80" s="395">
        <f t="shared" si="23"/>
        <v>47790</v>
      </c>
      <c r="Y80" s="188">
        <f t="shared" si="68"/>
        <v>313357.0400000001</v>
      </c>
      <c r="Z80" s="388">
        <f t="shared" ref="Z80:Z143" si="95">IF(L80&gt;4,$AA$10,$AA$9)</f>
        <v>8.4999999999999992E-2</v>
      </c>
      <c r="AA80" s="188">
        <f t="shared" ref="AA80:AA143" si="96">IF($O$11&lt;=$A80,IF(+AL79&lt;=0,0,IF(Z80=$AA$9,$Z$9,$Z$10)),0)</f>
        <v>2504.4299999999998</v>
      </c>
      <c r="AB80" s="188">
        <f t="shared" si="69"/>
        <v>284.81999999999971</v>
      </c>
      <c r="AC80" s="188">
        <f t="shared" ref="AC80:AC143" si="97">IF($O$11&lt;=$A80,ROUND(Y80*(Z80/12),2),0)</f>
        <v>2219.61</v>
      </c>
      <c r="AD80" s="188">
        <f t="shared" ref="AD80:AE80" si="98">+AD79</f>
        <v>51.5</v>
      </c>
      <c r="AE80" s="188">
        <f t="shared" si="98"/>
        <v>145.09666666666666</v>
      </c>
      <c r="AF80" s="188">
        <f t="shared" si="71"/>
        <v>2701.0266666666666</v>
      </c>
      <c r="AG80" s="188">
        <f t="shared" si="72"/>
        <v>12637.779999999997</v>
      </c>
      <c r="AH80" s="188">
        <f t="shared" si="73"/>
        <v>120097.01000000002</v>
      </c>
      <c r="AI80" s="404">
        <f t="shared" si="57"/>
        <v>0</v>
      </c>
      <c r="AJ80" s="404">
        <f t="shared" ref="AJ80:AJ90" si="99">+W80-AL80</f>
        <v>0</v>
      </c>
      <c r="AK80" s="404">
        <f t="shared" si="58"/>
        <v>0</v>
      </c>
      <c r="AL80" s="188">
        <f t="shared" si="74"/>
        <v>313072.22000000009</v>
      </c>
      <c r="AM80" s="317">
        <f t="shared" si="25"/>
        <v>4</v>
      </c>
      <c r="AN80" s="14">
        <f t="shared" si="59"/>
        <v>1944.5499999999997</v>
      </c>
      <c r="AO80" s="14">
        <f>IF(W80&lt;=0,0,+$AA$6-$C$2+I80-U80)</f>
        <v>198143.02</v>
      </c>
      <c r="AP80" s="14">
        <f t="shared" si="60"/>
        <v>1944.5499999999997</v>
      </c>
      <c r="AS80" s="14">
        <f t="shared" ref="AS80:AS143" si="100">+AN80-AR80</f>
        <v>1944.5499999999997</v>
      </c>
      <c r="AT80" s="14">
        <f t="shared" si="26"/>
        <v>102580.59000000008</v>
      </c>
      <c r="AU80" s="188">
        <f>IF(W80&lt;=0,0,+($O$5+AV79)*$AQ$2/12)</f>
        <v>955.36978933452735</v>
      </c>
      <c r="AV80" s="188">
        <f t="shared" si="27"/>
        <v>57393.285523145474</v>
      </c>
    </row>
    <row r="81" spans="1:50">
      <c r="A81" s="395">
        <f t="shared" si="62"/>
        <v>47820</v>
      </c>
      <c r="B81" s="188">
        <f t="shared" ref="B81:B144" si="101">IF(+K80&lt;0,0,+K80)</f>
        <v>115389.36999999998</v>
      </c>
      <c r="C81" s="14">
        <f t="shared" si="92"/>
        <v>559.88</v>
      </c>
      <c r="D81" s="14">
        <f t="shared" si="29"/>
        <v>127.17000000000002</v>
      </c>
      <c r="E81" s="14">
        <f t="shared" si="93"/>
        <v>432.71</v>
      </c>
      <c r="F81" s="14">
        <f t="shared" si="44"/>
        <v>51.5</v>
      </c>
      <c r="G81" s="14">
        <f t="shared" si="45"/>
        <v>145.09666666666666</v>
      </c>
      <c r="H81" s="14">
        <f t="shared" si="47"/>
        <v>756.47666666666669</v>
      </c>
      <c r="I81" s="188">
        <f t="shared" si="63"/>
        <v>7910.9699999999993</v>
      </c>
      <c r="J81" s="188">
        <f t="shared" si="64"/>
        <v>29501.279999999988</v>
      </c>
      <c r="K81" s="188">
        <f t="shared" si="65"/>
        <v>115262.19999999998</v>
      </c>
      <c r="L81" s="317">
        <f t="shared" si="94"/>
        <v>4</v>
      </c>
      <c r="M81" s="317">
        <f>IF(N81&lt;&gt;"",IF(N81=$O$5,0,+M80+1),0)</f>
        <v>53</v>
      </c>
      <c r="N81" s="188">
        <f t="shared" ref="N81:N144" si="102">IF(+W80&lt;0,0,+W80)</f>
        <v>313072.22000000009</v>
      </c>
      <c r="O81" s="188">
        <f>IF($O$11&lt;=A81,IF(+$W80&lt;=0,0,$O$8),0)</f>
        <v>2504.4299999999998</v>
      </c>
      <c r="P81" s="188">
        <f t="shared" si="33"/>
        <v>286.83999999999969</v>
      </c>
      <c r="Q81" s="188">
        <f>IF($O$11&lt;=A81,ROUND(N81*($O$7/12),2),0)</f>
        <v>2217.59</v>
      </c>
      <c r="R81" s="188">
        <f t="shared" si="75"/>
        <v>51.5</v>
      </c>
      <c r="S81" s="188">
        <f t="shared" si="66"/>
        <v>145.09666666666666</v>
      </c>
      <c r="T81" s="188">
        <f t="shared" si="52"/>
        <v>2701.0266666666666</v>
      </c>
      <c r="U81" s="188">
        <f t="shared" si="34"/>
        <v>12924.619999999997</v>
      </c>
      <c r="V81" s="188">
        <f t="shared" si="35"/>
        <v>122314.60000000002</v>
      </c>
      <c r="W81" s="188">
        <f t="shared" si="67"/>
        <v>312785.38000000006</v>
      </c>
      <c r="X81" s="395">
        <f t="shared" ref="X81:X144" si="103">+A81</f>
        <v>47820</v>
      </c>
      <c r="Y81" s="188">
        <f t="shared" si="68"/>
        <v>313072.22000000009</v>
      </c>
      <c r="Z81" s="388">
        <f t="shared" si="95"/>
        <v>8.4999999999999992E-2</v>
      </c>
      <c r="AA81" s="188">
        <f t="shared" si="96"/>
        <v>2504.4299999999998</v>
      </c>
      <c r="AB81" s="188">
        <f t="shared" si="69"/>
        <v>286.83999999999969</v>
      </c>
      <c r="AC81" s="188">
        <f t="shared" si="97"/>
        <v>2217.59</v>
      </c>
      <c r="AD81" s="188">
        <f t="shared" ref="AD81:AE81" si="104">+AD80</f>
        <v>51.5</v>
      </c>
      <c r="AE81" s="188">
        <f t="shared" si="104"/>
        <v>145.09666666666666</v>
      </c>
      <c r="AF81" s="188">
        <f t="shared" si="71"/>
        <v>2701.0266666666666</v>
      </c>
      <c r="AG81" s="188">
        <f t="shared" si="72"/>
        <v>12924.619999999997</v>
      </c>
      <c r="AH81" s="188">
        <f t="shared" si="73"/>
        <v>122314.60000000002</v>
      </c>
      <c r="AI81" s="404">
        <f t="shared" si="57"/>
        <v>0</v>
      </c>
      <c r="AJ81" s="404">
        <f t="shared" si="99"/>
        <v>0</v>
      </c>
      <c r="AK81" s="404">
        <f t="shared" si="58"/>
        <v>0</v>
      </c>
      <c r="AL81" s="188">
        <f t="shared" si="74"/>
        <v>312785.38000000006</v>
      </c>
      <c r="AM81" s="317">
        <f t="shared" ref="AM81:AM144" si="105">+L81</f>
        <v>4</v>
      </c>
      <c r="AN81" s="14">
        <f t="shared" si="59"/>
        <v>1944.5499999999997</v>
      </c>
      <c r="AO81" s="14">
        <f>IF(W81&lt;=0,0,+$AA$6-$C$2+I81-U81)</f>
        <v>197983.35</v>
      </c>
      <c r="AP81" s="14">
        <f t="shared" si="60"/>
        <v>1944.5499999999997</v>
      </c>
      <c r="AS81" s="14">
        <f t="shared" si="100"/>
        <v>1944.5499999999997</v>
      </c>
      <c r="AT81" s="14">
        <f t="shared" ref="AT81:AT144" si="106">IF(W81&lt;=0,0,+AS81+AT80)</f>
        <v>104525.14000000009</v>
      </c>
      <c r="AU81" s="188">
        <f>IF(W81&lt;=0,0,+($O$5+AV80)*$AQ$2/12)</f>
        <v>957.75821380786363</v>
      </c>
      <c r="AV81" s="188">
        <f t="shared" ref="AV81:AV144" si="107">IF(W81&lt;=0,0,+AV80+AU81)</f>
        <v>58351.043736953339</v>
      </c>
    </row>
    <row r="82" spans="1:50">
      <c r="A82" s="395">
        <f t="shared" si="62"/>
        <v>47850</v>
      </c>
      <c r="B82" s="188">
        <f t="shared" si="101"/>
        <v>115262.19999999998</v>
      </c>
      <c r="C82" s="14">
        <f t="shared" si="92"/>
        <v>559.88</v>
      </c>
      <c r="D82" s="14">
        <f t="shared" ref="D82:D145" si="108">+C82-E82</f>
        <v>127.64999999999998</v>
      </c>
      <c r="E82" s="14">
        <f t="shared" si="93"/>
        <v>432.23</v>
      </c>
      <c r="F82" s="14">
        <f t="shared" si="44"/>
        <v>51.5</v>
      </c>
      <c r="G82" s="14">
        <f t="shared" si="45"/>
        <v>145.09666666666666</v>
      </c>
      <c r="H82" s="14">
        <f t="shared" si="47"/>
        <v>756.47666666666669</v>
      </c>
      <c r="I82" s="188">
        <f t="shared" si="63"/>
        <v>8038.619999999999</v>
      </c>
      <c r="J82" s="188">
        <f t="shared" si="64"/>
        <v>29933.509999999987</v>
      </c>
      <c r="K82" s="188">
        <f t="shared" si="65"/>
        <v>115134.54999999999</v>
      </c>
      <c r="L82" s="317">
        <f t="shared" si="94"/>
        <v>4</v>
      </c>
      <c r="M82" s="317">
        <f>IF(N82&lt;&gt;"",IF(N82=$O$5,0,+M81+1),0)</f>
        <v>54</v>
      </c>
      <c r="N82" s="188">
        <f t="shared" si="102"/>
        <v>312785.38000000006</v>
      </c>
      <c r="O82" s="188">
        <f>IF($O$11&lt;=A82,IF(+$W81&lt;=0,0,$O$8),0)</f>
        <v>2504.4299999999998</v>
      </c>
      <c r="P82" s="188">
        <f t="shared" ref="P82:P145" si="109">+O82-Q82</f>
        <v>288.86999999999989</v>
      </c>
      <c r="Q82" s="188">
        <f>IF($O$11&lt;=A82,ROUND(N82*($O$7/12),2),0)</f>
        <v>2215.56</v>
      </c>
      <c r="R82" s="188">
        <f t="shared" si="75"/>
        <v>51.5</v>
      </c>
      <c r="S82" s="188">
        <f t="shared" si="66"/>
        <v>145.09666666666666</v>
      </c>
      <c r="T82" s="188">
        <f t="shared" si="52"/>
        <v>2701.0266666666666</v>
      </c>
      <c r="U82" s="188">
        <f t="shared" ref="U82:U145" si="110">+P82+U81</f>
        <v>13213.489999999998</v>
      </c>
      <c r="V82" s="188">
        <f t="shared" ref="V82:V145" si="111">+V81+Q82</f>
        <v>124530.16000000002</v>
      </c>
      <c r="W82" s="188">
        <f t="shared" si="67"/>
        <v>312496.51000000007</v>
      </c>
      <c r="X82" s="395">
        <f t="shared" si="103"/>
        <v>47850</v>
      </c>
      <c r="Y82" s="188">
        <f t="shared" si="68"/>
        <v>312785.38000000006</v>
      </c>
      <c r="Z82" s="388">
        <f t="shared" si="95"/>
        <v>8.4999999999999992E-2</v>
      </c>
      <c r="AA82" s="188">
        <f t="shared" si="96"/>
        <v>2504.4299999999998</v>
      </c>
      <c r="AB82" s="188">
        <f t="shared" si="69"/>
        <v>288.86999999999989</v>
      </c>
      <c r="AC82" s="188">
        <f t="shared" si="97"/>
        <v>2215.56</v>
      </c>
      <c r="AD82" s="188">
        <f t="shared" ref="AD82:AE82" si="112">+AD81</f>
        <v>51.5</v>
      </c>
      <c r="AE82" s="188">
        <f t="shared" si="112"/>
        <v>145.09666666666666</v>
      </c>
      <c r="AF82" s="188">
        <f t="shared" si="71"/>
        <v>2701.0266666666666</v>
      </c>
      <c r="AG82" s="188">
        <f t="shared" si="72"/>
        <v>13213.489999999998</v>
      </c>
      <c r="AH82" s="188">
        <f t="shared" si="73"/>
        <v>124530.16000000002</v>
      </c>
      <c r="AI82" s="404">
        <f t="shared" si="57"/>
        <v>0</v>
      </c>
      <c r="AJ82" s="404">
        <f t="shared" si="99"/>
        <v>0</v>
      </c>
      <c r="AK82" s="404">
        <f t="shared" si="58"/>
        <v>0</v>
      </c>
      <c r="AL82" s="188">
        <f t="shared" si="74"/>
        <v>312496.51000000007</v>
      </c>
      <c r="AM82" s="317">
        <f t="shared" si="105"/>
        <v>4</v>
      </c>
      <c r="AN82" s="14">
        <f t="shared" si="59"/>
        <v>1944.5499999999997</v>
      </c>
      <c r="AO82" s="14">
        <f>IF(W82&lt;=0,0,+$AA$6-$C$2+I82-U82)</f>
        <v>197822.13</v>
      </c>
      <c r="AP82" s="14">
        <f t="shared" si="60"/>
        <v>1944.5499999999997</v>
      </c>
      <c r="AS82" s="14">
        <f t="shared" si="100"/>
        <v>1944.5499999999997</v>
      </c>
      <c r="AT82" s="14">
        <f t="shared" si="106"/>
        <v>106469.69000000009</v>
      </c>
      <c r="AU82" s="188">
        <f>IF(W82&lt;=0,0,+($O$5+AV81)*$AQ$2/12)</f>
        <v>960.15260934238324</v>
      </c>
      <c r="AV82" s="188">
        <f t="shared" si="107"/>
        <v>59311.196346295721</v>
      </c>
    </row>
    <row r="83" spans="1:50">
      <c r="A83" s="395">
        <f t="shared" si="62"/>
        <v>47880</v>
      </c>
      <c r="B83" s="188">
        <f t="shared" si="101"/>
        <v>115134.54999999999</v>
      </c>
      <c r="C83" s="14">
        <f t="shared" si="92"/>
        <v>559.88</v>
      </c>
      <c r="D83" s="14">
        <f t="shared" si="108"/>
        <v>128.13</v>
      </c>
      <c r="E83" s="14">
        <f t="shared" si="93"/>
        <v>431.75</v>
      </c>
      <c r="F83" s="14">
        <f t="shared" si="44"/>
        <v>51.5</v>
      </c>
      <c r="G83" s="14">
        <f t="shared" si="45"/>
        <v>145.09666666666666</v>
      </c>
      <c r="H83" s="14">
        <f t="shared" si="47"/>
        <v>756.47666666666669</v>
      </c>
      <c r="I83" s="188">
        <f t="shared" si="63"/>
        <v>8166.7499999999991</v>
      </c>
      <c r="J83" s="188">
        <f t="shared" si="64"/>
        <v>30365.259999999987</v>
      </c>
      <c r="K83" s="188">
        <f t="shared" si="65"/>
        <v>115006.41999999998</v>
      </c>
      <c r="L83" s="317">
        <f t="shared" si="94"/>
        <v>4</v>
      </c>
      <c r="M83" s="317">
        <f>IF(N83&lt;&gt;"",IF(N83=$O$5,0,+M82+1),0)</f>
        <v>55</v>
      </c>
      <c r="N83" s="188">
        <f t="shared" si="102"/>
        <v>312496.51000000007</v>
      </c>
      <c r="O83" s="188">
        <f>IF($O$11&lt;=A83,IF(+$W82&lt;=0,0,$O$8),0)</f>
        <v>2504.4299999999998</v>
      </c>
      <c r="P83" s="188">
        <f t="shared" si="109"/>
        <v>290.90999999999985</v>
      </c>
      <c r="Q83" s="188">
        <f>IF($O$11&lt;=A83,ROUND(N83*($O$7/12),2),0)</f>
        <v>2213.52</v>
      </c>
      <c r="R83" s="188">
        <f t="shared" si="75"/>
        <v>51.5</v>
      </c>
      <c r="S83" s="188">
        <f t="shared" si="66"/>
        <v>145.09666666666666</v>
      </c>
      <c r="T83" s="188">
        <f t="shared" si="52"/>
        <v>2701.0266666666666</v>
      </c>
      <c r="U83" s="188">
        <f t="shared" si="110"/>
        <v>13504.399999999998</v>
      </c>
      <c r="V83" s="188">
        <f t="shared" si="111"/>
        <v>126743.68000000002</v>
      </c>
      <c r="W83" s="188">
        <f t="shared" si="67"/>
        <v>312205.60000000009</v>
      </c>
      <c r="X83" s="395">
        <f t="shared" si="103"/>
        <v>47880</v>
      </c>
      <c r="Y83" s="188">
        <f t="shared" si="68"/>
        <v>312496.51000000007</v>
      </c>
      <c r="Z83" s="388">
        <f t="shared" si="95"/>
        <v>8.4999999999999992E-2</v>
      </c>
      <c r="AA83" s="188">
        <f t="shared" si="96"/>
        <v>2504.4299999999998</v>
      </c>
      <c r="AB83" s="188">
        <f t="shared" si="69"/>
        <v>290.90999999999985</v>
      </c>
      <c r="AC83" s="188">
        <f t="shared" si="97"/>
        <v>2213.52</v>
      </c>
      <c r="AD83" s="188">
        <f t="shared" ref="AD83:AE83" si="113">+AD82</f>
        <v>51.5</v>
      </c>
      <c r="AE83" s="188">
        <f t="shared" si="113"/>
        <v>145.09666666666666</v>
      </c>
      <c r="AF83" s="188">
        <f t="shared" si="71"/>
        <v>2701.0266666666666</v>
      </c>
      <c r="AG83" s="188">
        <f t="shared" si="72"/>
        <v>13504.399999999998</v>
      </c>
      <c r="AH83" s="188">
        <f t="shared" si="73"/>
        <v>126743.68000000002</v>
      </c>
      <c r="AI83" s="404">
        <f t="shared" si="57"/>
        <v>0</v>
      </c>
      <c r="AJ83" s="404">
        <f t="shared" si="99"/>
        <v>0</v>
      </c>
      <c r="AK83" s="404">
        <f t="shared" si="58"/>
        <v>0</v>
      </c>
      <c r="AL83" s="188">
        <f t="shared" si="74"/>
        <v>312205.60000000009</v>
      </c>
      <c r="AM83" s="317">
        <f t="shared" si="105"/>
        <v>4</v>
      </c>
      <c r="AN83" s="14">
        <f t="shared" si="59"/>
        <v>1944.5499999999997</v>
      </c>
      <c r="AO83" s="14">
        <f>IF(W83&lt;=0,0,+$AA$6-$C$2+I83-U83)</f>
        <v>197659.35</v>
      </c>
      <c r="AP83" s="14">
        <f t="shared" si="60"/>
        <v>1944.5499999999997</v>
      </c>
      <c r="AS83" s="14">
        <f t="shared" si="100"/>
        <v>1944.5499999999997</v>
      </c>
      <c r="AT83" s="14">
        <f t="shared" si="106"/>
        <v>108414.24000000009</v>
      </c>
      <c r="AU83" s="188">
        <f>IF(W83&lt;=0,0,+($O$5+AV82)*$AQ$2/12)</f>
        <v>962.55299086573916</v>
      </c>
      <c r="AV83" s="188">
        <f t="shared" si="107"/>
        <v>60273.749337161462</v>
      </c>
    </row>
    <row r="84" spans="1:50">
      <c r="A84" s="395">
        <f t="shared" si="62"/>
        <v>47910</v>
      </c>
      <c r="B84" s="188">
        <f t="shared" si="101"/>
        <v>115006.41999999998</v>
      </c>
      <c r="C84" s="14">
        <f t="shared" si="92"/>
        <v>559.88</v>
      </c>
      <c r="D84" s="14">
        <f t="shared" si="108"/>
        <v>128.61000000000001</v>
      </c>
      <c r="E84" s="14">
        <f t="shared" si="93"/>
        <v>431.27</v>
      </c>
      <c r="F84" s="14">
        <f t="shared" si="44"/>
        <v>51.5</v>
      </c>
      <c r="G84" s="14">
        <f t="shared" si="45"/>
        <v>145.09666666666666</v>
      </c>
      <c r="H84" s="14">
        <f t="shared" si="47"/>
        <v>756.47666666666669</v>
      </c>
      <c r="I84" s="188">
        <f t="shared" si="63"/>
        <v>8295.3599999999988</v>
      </c>
      <c r="J84" s="188">
        <f t="shared" si="64"/>
        <v>30796.529999999988</v>
      </c>
      <c r="K84" s="188">
        <f t="shared" si="65"/>
        <v>114877.80999999998</v>
      </c>
      <c r="L84" s="317">
        <f t="shared" si="94"/>
        <v>4</v>
      </c>
      <c r="M84" s="317">
        <f>IF(N84&lt;&gt;"",IF(N84=$O$5,0,+M83+1),0)</f>
        <v>56</v>
      </c>
      <c r="N84" s="188">
        <f t="shared" si="102"/>
        <v>312205.60000000009</v>
      </c>
      <c r="O84" s="188">
        <f>IF($O$11&lt;=A84,IF(+$W83&lt;=0,0,$O$8),0)</f>
        <v>2504.4299999999998</v>
      </c>
      <c r="P84" s="188">
        <f t="shared" si="109"/>
        <v>292.9699999999998</v>
      </c>
      <c r="Q84" s="188">
        <f>IF($O$11&lt;=A84,ROUND(N84*($O$7/12),2),0)</f>
        <v>2211.46</v>
      </c>
      <c r="R84" s="188">
        <f t="shared" si="75"/>
        <v>51.5</v>
      </c>
      <c r="S84" s="188">
        <f t="shared" si="66"/>
        <v>145.09666666666666</v>
      </c>
      <c r="T84" s="188">
        <f t="shared" si="52"/>
        <v>2701.0266666666666</v>
      </c>
      <c r="U84" s="188">
        <f t="shared" si="110"/>
        <v>13797.369999999997</v>
      </c>
      <c r="V84" s="188">
        <f t="shared" si="111"/>
        <v>128955.14000000003</v>
      </c>
      <c r="W84" s="188">
        <f t="shared" si="67"/>
        <v>311912.63000000012</v>
      </c>
      <c r="X84" s="395">
        <f t="shared" si="103"/>
        <v>47910</v>
      </c>
      <c r="Y84" s="188">
        <f t="shared" si="68"/>
        <v>312205.60000000009</v>
      </c>
      <c r="Z84" s="388">
        <f t="shared" si="95"/>
        <v>8.4999999999999992E-2</v>
      </c>
      <c r="AA84" s="188">
        <f t="shared" si="96"/>
        <v>2504.4299999999998</v>
      </c>
      <c r="AB84" s="188">
        <f t="shared" si="69"/>
        <v>292.9699999999998</v>
      </c>
      <c r="AC84" s="188">
        <f t="shared" si="97"/>
        <v>2211.46</v>
      </c>
      <c r="AD84" s="188">
        <f t="shared" ref="AD84:AE84" si="114">+AD83</f>
        <v>51.5</v>
      </c>
      <c r="AE84" s="188">
        <f t="shared" si="114"/>
        <v>145.09666666666666</v>
      </c>
      <c r="AF84" s="188">
        <f t="shared" si="71"/>
        <v>2701.0266666666666</v>
      </c>
      <c r="AG84" s="188">
        <f t="shared" si="72"/>
        <v>13797.369999999997</v>
      </c>
      <c r="AH84" s="188">
        <f t="shared" si="73"/>
        <v>128955.14000000003</v>
      </c>
      <c r="AI84" s="404">
        <f t="shared" si="57"/>
        <v>0</v>
      </c>
      <c r="AJ84" s="404">
        <f t="shared" si="99"/>
        <v>0</v>
      </c>
      <c r="AK84" s="404">
        <f t="shared" si="58"/>
        <v>0</v>
      </c>
      <c r="AL84" s="188">
        <f t="shared" si="74"/>
        <v>311912.63000000012</v>
      </c>
      <c r="AM84" s="317">
        <f t="shared" si="105"/>
        <v>4</v>
      </c>
      <c r="AN84" s="14">
        <f t="shared" si="59"/>
        <v>1944.5499999999997</v>
      </c>
      <c r="AO84" s="14">
        <f>IF(W84&lt;=0,0,+$AA$6-$C$2+I84-U84)</f>
        <v>197494.99</v>
      </c>
      <c r="AP84" s="14">
        <f t="shared" si="60"/>
        <v>1944.5499999999997</v>
      </c>
      <c r="AS84" s="14">
        <f t="shared" si="100"/>
        <v>1944.5499999999997</v>
      </c>
      <c r="AT84" s="14">
        <f t="shared" si="106"/>
        <v>110358.7900000001</v>
      </c>
      <c r="AU84" s="188">
        <f>IF(W84&lt;=0,0,+($O$5+AV83)*$AQ$2/12)</f>
        <v>964.95937334290375</v>
      </c>
      <c r="AV84" s="188">
        <f t="shared" si="107"/>
        <v>61238.708710504368</v>
      </c>
      <c r="AX84" s="371"/>
    </row>
    <row r="85" spans="1:50">
      <c r="A85" s="395">
        <f t="shared" si="62"/>
        <v>47940</v>
      </c>
      <c r="B85" s="188">
        <f t="shared" si="101"/>
        <v>114877.80999999998</v>
      </c>
      <c r="C85" s="14">
        <f t="shared" si="92"/>
        <v>559.88</v>
      </c>
      <c r="D85" s="14">
        <f t="shared" si="108"/>
        <v>129.08999999999997</v>
      </c>
      <c r="E85" s="14">
        <f t="shared" si="93"/>
        <v>430.79</v>
      </c>
      <c r="F85" s="14">
        <f t="shared" si="44"/>
        <v>51.5</v>
      </c>
      <c r="G85" s="14">
        <f t="shared" si="45"/>
        <v>145.09666666666666</v>
      </c>
      <c r="H85" s="14">
        <f t="shared" si="47"/>
        <v>756.47666666666669</v>
      </c>
      <c r="I85" s="188">
        <f t="shared" si="63"/>
        <v>8424.4499999999989</v>
      </c>
      <c r="J85" s="188">
        <f t="shared" si="64"/>
        <v>31227.319999999989</v>
      </c>
      <c r="K85" s="188">
        <f t="shared" si="65"/>
        <v>114748.71999999999</v>
      </c>
      <c r="L85" s="317">
        <f t="shared" si="94"/>
        <v>4</v>
      </c>
      <c r="M85" s="317">
        <f>IF(N85&lt;&gt;"",IF(N85=$O$5,0,+M84+1),0)</f>
        <v>57</v>
      </c>
      <c r="N85" s="188">
        <f t="shared" si="102"/>
        <v>311912.63000000012</v>
      </c>
      <c r="O85" s="188">
        <f>IF($O$11&lt;=A85,IF(+$W84&lt;=0,0,$O$8),0)</f>
        <v>2504.4299999999998</v>
      </c>
      <c r="P85" s="188">
        <f t="shared" si="109"/>
        <v>295.04999999999973</v>
      </c>
      <c r="Q85" s="188">
        <f>IF($O$11&lt;=A85,ROUND(N85*($O$7/12),2),0)</f>
        <v>2209.38</v>
      </c>
      <c r="R85" s="188">
        <f t="shared" si="75"/>
        <v>51.5</v>
      </c>
      <c r="S85" s="188">
        <f t="shared" si="66"/>
        <v>145.09666666666666</v>
      </c>
      <c r="T85" s="188">
        <f t="shared" si="52"/>
        <v>2701.0266666666666</v>
      </c>
      <c r="U85" s="188">
        <f t="shared" si="110"/>
        <v>14092.419999999996</v>
      </c>
      <c r="V85" s="188">
        <f t="shared" si="111"/>
        <v>131164.52000000002</v>
      </c>
      <c r="W85" s="188">
        <f t="shared" si="67"/>
        <v>311617.58000000013</v>
      </c>
      <c r="X85" s="395">
        <f t="shared" si="103"/>
        <v>47940</v>
      </c>
      <c r="Y85" s="188">
        <f t="shared" si="68"/>
        <v>311912.63000000012</v>
      </c>
      <c r="Z85" s="388">
        <f t="shared" si="95"/>
        <v>8.4999999999999992E-2</v>
      </c>
      <c r="AA85" s="188">
        <f t="shared" si="96"/>
        <v>2504.4299999999998</v>
      </c>
      <c r="AB85" s="188">
        <f t="shared" si="69"/>
        <v>295.04999999999973</v>
      </c>
      <c r="AC85" s="188">
        <f t="shared" si="97"/>
        <v>2209.38</v>
      </c>
      <c r="AD85" s="188">
        <f t="shared" ref="AD85:AE85" si="115">+AD84</f>
        <v>51.5</v>
      </c>
      <c r="AE85" s="188">
        <f t="shared" si="115"/>
        <v>145.09666666666666</v>
      </c>
      <c r="AF85" s="188">
        <f t="shared" si="71"/>
        <v>2701.0266666666666</v>
      </c>
      <c r="AG85" s="188">
        <f t="shared" si="72"/>
        <v>14092.419999999996</v>
      </c>
      <c r="AH85" s="188">
        <f t="shared" si="73"/>
        <v>131164.52000000002</v>
      </c>
      <c r="AI85" s="404">
        <f t="shared" si="57"/>
        <v>0</v>
      </c>
      <c r="AJ85" s="404">
        <f t="shared" si="99"/>
        <v>0</v>
      </c>
      <c r="AK85" s="404">
        <f t="shared" si="58"/>
        <v>0</v>
      </c>
      <c r="AL85" s="188">
        <f t="shared" si="74"/>
        <v>311617.58000000013</v>
      </c>
      <c r="AM85" s="317">
        <f t="shared" si="105"/>
        <v>4</v>
      </c>
      <c r="AN85" s="14">
        <f t="shared" si="59"/>
        <v>1944.5499999999997</v>
      </c>
      <c r="AO85" s="14">
        <f>IF(W85&lt;=0,0,+$AA$6-$C$2+I85-U85)</f>
        <v>197329.03000000003</v>
      </c>
      <c r="AP85" s="14">
        <f t="shared" si="60"/>
        <v>1944.5499999999997</v>
      </c>
      <c r="AS85" s="14">
        <f t="shared" si="100"/>
        <v>1944.5499999999997</v>
      </c>
      <c r="AT85" s="14">
        <f t="shared" si="106"/>
        <v>112303.3400000001</v>
      </c>
      <c r="AU85" s="188">
        <f>IF(W85&lt;=0,0,+($O$5+AV84)*$AQ$2/12)</f>
        <v>967.37177177626074</v>
      </c>
      <c r="AV85" s="188">
        <f t="shared" si="107"/>
        <v>62206.080482280631</v>
      </c>
      <c r="AX85" s="371"/>
    </row>
    <row r="86" spans="1:50">
      <c r="A86" s="395">
        <f t="shared" si="62"/>
        <v>47970</v>
      </c>
      <c r="B86" s="188">
        <f t="shared" si="101"/>
        <v>114748.71999999999</v>
      </c>
      <c r="C86" s="14">
        <f t="shared" si="92"/>
        <v>559.88</v>
      </c>
      <c r="D86" s="14">
        <f t="shared" si="108"/>
        <v>129.57</v>
      </c>
      <c r="E86" s="14">
        <f t="shared" si="93"/>
        <v>430.31</v>
      </c>
      <c r="F86" s="14">
        <f t="shared" si="44"/>
        <v>51.5</v>
      </c>
      <c r="G86" s="14">
        <f t="shared" si="45"/>
        <v>145.09666666666666</v>
      </c>
      <c r="H86" s="14">
        <f t="shared" si="47"/>
        <v>756.47666666666669</v>
      </c>
      <c r="I86" s="188">
        <f t="shared" si="63"/>
        <v>8554.0199999999986</v>
      </c>
      <c r="J86" s="188">
        <f t="shared" si="64"/>
        <v>31657.62999999999</v>
      </c>
      <c r="K86" s="188">
        <f t="shared" si="65"/>
        <v>114619.14999999998</v>
      </c>
      <c r="L86" s="317">
        <f t="shared" si="94"/>
        <v>4</v>
      </c>
      <c r="M86" s="317">
        <f>IF(N86&lt;&gt;"",IF(N86=$O$5,0,+M85+1),0)</f>
        <v>58</v>
      </c>
      <c r="N86" s="188">
        <f t="shared" si="102"/>
        <v>311617.58000000013</v>
      </c>
      <c r="O86" s="188">
        <f>IF($O$11&lt;=A86,IF(+$W85&lt;=0,0,$O$8),0)</f>
        <v>2504.4299999999998</v>
      </c>
      <c r="P86" s="188">
        <f t="shared" si="109"/>
        <v>297.13999999999987</v>
      </c>
      <c r="Q86" s="188">
        <f>IF($O$11&lt;=A86,ROUND(N86*($O$7/12),2),0)</f>
        <v>2207.29</v>
      </c>
      <c r="R86" s="188">
        <f t="shared" si="75"/>
        <v>51.5</v>
      </c>
      <c r="S86" s="188">
        <f t="shared" si="66"/>
        <v>145.09666666666666</v>
      </c>
      <c r="T86" s="188">
        <f t="shared" si="52"/>
        <v>2701.0266666666666</v>
      </c>
      <c r="U86" s="188">
        <f t="shared" si="110"/>
        <v>14389.559999999996</v>
      </c>
      <c r="V86" s="188">
        <f t="shared" si="111"/>
        <v>133371.81000000003</v>
      </c>
      <c r="W86" s="188">
        <f t="shared" si="67"/>
        <v>311320.44000000012</v>
      </c>
      <c r="X86" s="395">
        <f t="shared" si="103"/>
        <v>47970</v>
      </c>
      <c r="Y86" s="188">
        <f t="shared" si="68"/>
        <v>311617.58000000013</v>
      </c>
      <c r="Z86" s="388">
        <f t="shared" si="95"/>
        <v>8.4999999999999992E-2</v>
      </c>
      <c r="AA86" s="188">
        <f t="shared" si="96"/>
        <v>2504.4299999999998</v>
      </c>
      <c r="AB86" s="188">
        <f t="shared" si="69"/>
        <v>297.13999999999987</v>
      </c>
      <c r="AC86" s="188">
        <f t="shared" si="97"/>
        <v>2207.29</v>
      </c>
      <c r="AD86" s="188">
        <f t="shared" ref="AD86:AE86" si="116">+AD85</f>
        <v>51.5</v>
      </c>
      <c r="AE86" s="188">
        <f t="shared" si="116"/>
        <v>145.09666666666666</v>
      </c>
      <c r="AF86" s="188">
        <f t="shared" si="71"/>
        <v>2701.0266666666666</v>
      </c>
      <c r="AG86" s="188">
        <f t="shared" si="72"/>
        <v>14389.559999999996</v>
      </c>
      <c r="AH86" s="188">
        <f t="shared" si="73"/>
        <v>133371.81000000003</v>
      </c>
      <c r="AI86" s="404">
        <f t="shared" si="57"/>
        <v>0</v>
      </c>
      <c r="AJ86" s="404">
        <f t="shared" si="99"/>
        <v>0</v>
      </c>
      <c r="AK86" s="404">
        <f t="shared" si="58"/>
        <v>0</v>
      </c>
      <c r="AL86" s="188">
        <f t="shared" si="74"/>
        <v>311320.44000000012</v>
      </c>
      <c r="AM86" s="317">
        <f t="shared" si="105"/>
        <v>4</v>
      </c>
      <c r="AN86" s="14">
        <f t="shared" si="59"/>
        <v>1944.5499999999997</v>
      </c>
      <c r="AO86" s="14">
        <f>IF(W86&lt;=0,0,+$AA$6-$C$2+I86-U86)</f>
        <v>197161.46</v>
      </c>
      <c r="AP86" s="14">
        <f t="shared" si="60"/>
        <v>1944.5499999999997</v>
      </c>
      <c r="AS86" s="14">
        <f t="shared" si="100"/>
        <v>1944.5499999999997</v>
      </c>
      <c r="AT86" s="14">
        <f t="shared" si="106"/>
        <v>114247.8900000001</v>
      </c>
      <c r="AU86" s="188">
        <f>IF(W86&lt;=0,0,+($O$5+AV85)*$AQ$2/12)</f>
        <v>969.79020120570158</v>
      </c>
      <c r="AV86" s="188">
        <f t="shared" si="107"/>
        <v>63175.870683486333</v>
      </c>
    </row>
    <row r="87" spans="1:50" ht="15.75" thickBot="1">
      <c r="A87" s="398">
        <f t="shared" si="62"/>
        <v>48000</v>
      </c>
      <c r="B87" s="237">
        <f t="shared" si="101"/>
        <v>114619.14999999998</v>
      </c>
      <c r="C87" s="21">
        <f t="shared" si="92"/>
        <v>559.88</v>
      </c>
      <c r="D87" s="21">
        <f t="shared" si="108"/>
        <v>130.06</v>
      </c>
      <c r="E87" s="21">
        <f t="shared" si="93"/>
        <v>429.82</v>
      </c>
      <c r="F87" s="21">
        <f t="shared" si="44"/>
        <v>51.5</v>
      </c>
      <c r="G87" s="21">
        <f t="shared" si="45"/>
        <v>145.09666666666666</v>
      </c>
      <c r="H87" s="21">
        <f t="shared" si="47"/>
        <v>756.47666666666669</v>
      </c>
      <c r="I87" s="237">
        <f t="shared" si="63"/>
        <v>8684.0799999999981</v>
      </c>
      <c r="J87" s="237">
        <f t="shared" si="64"/>
        <v>32087.44999999999</v>
      </c>
      <c r="K87" s="237">
        <f t="shared" si="65"/>
        <v>114489.08999999998</v>
      </c>
      <c r="L87" s="318">
        <f t="shared" si="94"/>
        <v>4</v>
      </c>
      <c r="M87" s="318">
        <f>IF(N87&lt;&gt;"",IF(N87=$O$5,0,+M86+1),0)</f>
        <v>59</v>
      </c>
      <c r="N87" s="237">
        <f t="shared" si="102"/>
        <v>311320.44000000012</v>
      </c>
      <c r="O87" s="237">
        <f>IF($O$11&lt;=A87,IF(+$W86&lt;=0,0,$O$8),0)</f>
        <v>2504.4299999999998</v>
      </c>
      <c r="P87" s="237">
        <f t="shared" si="109"/>
        <v>299.23999999999978</v>
      </c>
      <c r="Q87" s="237">
        <f>IF($O$11&lt;=A87,ROUND(N87*($O$7/12),2),0)</f>
        <v>2205.19</v>
      </c>
      <c r="R87" s="237">
        <f t="shared" si="75"/>
        <v>51.5</v>
      </c>
      <c r="S87" s="237">
        <f t="shared" si="66"/>
        <v>145.09666666666666</v>
      </c>
      <c r="T87" s="237">
        <f t="shared" si="52"/>
        <v>2701.0266666666666</v>
      </c>
      <c r="U87" s="237">
        <f t="shared" si="110"/>
        <v>14688.799999999996</v>
      </c>
      <c r="V87" s="237">
        <f t="shared" si="111"/>
        <v>135577.00000000003</v>
      </c>
      <c r="W87" s="237">
        <f t="shared" si="67"/>
        <v>311021.20000000013</v>
      </c>
      <c r="X87" s="398">
        <f t="shared" si="103"/>
        <v>48000</v>
      </c>
      <c r="Y87" s="237">
        <f t="shared" si="68"/>
        <v>311320.44000000012</v>
      </c>
      <c r="Z87" s="389">
        <f t="shared" si="95"/>
        <v>8.4999999999999992E-2</v>
      </c>
      <c r="AA87" s="237">
        <f t="shared" si="96"/>
        <v>2504.4299999999998</v>
      </c>
      <c r="AB87" s="237">
        <f t="shared" si="69"/>
        <v>299.23999999999978</v>
      </c>
      <c r="AC87" s="237">
        <f t="shared" si="97"/>
        <v>2205.19</v>
      </c>
      <c r="AD87" s="237">
        <f t="shared" ref="AD87:AE87" si="117">+AD86</f>
        <v>51.5</v>
      </c>
      <c r="AE87" s="237">
        <f t="shared" si="117"/>
        <v>145.09666666666666</v>
      </c>
      <c r="AF87" s="237">
        <f t="shared" si="71"/>
        <v>2701.0266666666666</v>
      </c>
      <c r="AG87" s="237">
        <f t="shared" si="72"/>
        <v>14688.799999999996</v>
      </c>
      <c r="AH87" s="237">
        <f t="shared" si="73"/>
        <v>135577.00000000003</v>
      </c>
      <c r="AI87" s="405">
        <f t="shared" si="57"/>
        <v>0</v>
      </c>
      <c r="AJ87" s="405">
        <f t="shared" si="99"/>
        <v>0</v>
      </c>
      <c r="AK87" s="405">
        <f t="shared" si="58"/>
        <v>0</v>
      </c>
      <c r="AL87" s="237">
        <f t="shared" si="74"/>
        <v>311021.20000000013</v>
      </c>
      <c r="AM87" s="318">
        <f t="shared" si="105"/>
        <v>4</v>
      </c>
      <c r="AN87" s="21">
        <f t="shared" si="59"/>
        <v>1944.5499999999997</v>
      </c>
      <c r="AO87" s="21">
        <f>IF(W87&lt;=0,0,+$AA$6-$C$2+I87-U87)</f>
        <v>196992.28</v>
      </c>
      <c r="AP87" s="21">
        <f t="shared" si="60"/>
        <v>1944.5499999999997</v>
      </c>
      <c r="AQ87" s="21"/>
      <c r="AR87" s="23"/>
      <c r="AS87" s="21">
        <f t="shared" si="100"/>
        <v>1944.5499999999997</v>
      </c>
      <c r="AT87" s="21">
        <f t="shared" si="106"/>
        <v>116192.4400000001</v>
      </c>
      <c r="AU87" s="237">
        <f>IF(W87&lt;=0,0,+($O$5+AV86)*$AQ$2/12)</f>
        <v>972.21467670871573</v>
      </c>
      <c r="AV87" s="237">
        <f t="shared" si="107"/>
        <v>64148.085360195051</v>
      </c>
    </row>
    <row r="88" spans="1:50">
      <c r="A88" s="395">
        <f t="shared" si="62"/>
        <v>48030</v>
      </c>
      <c r="B88" s="188">
        <f t="shared" si="101"/>
        <v>114489.08999999998</v>
      </c>
      <c r="C88" s="14">
        <f t="shared" si="92"/>
        <v>559.88</v>
      </c>
      <c r="D88" s="14">
        <f t="shared" si="108"/>
        <v>130.55000000000001</v>
      </c>
      <c r="E88" s="14">
        <f t="shared" si="93"/>
        <v>429.33</v>
      </c>
      <c r="F88" s="14">
        <f t="shared" si="44"/>
        <v>51.5</v>
      </c>
      <c r="G88" s="14">
        <f t="shared" si="45"/>
        <v>145.09666666666666</v>
      </c>
      <c r="H88" s="14">
        <f t="shared" si="47"/>
        <v>756.47666666666669</v>
      </c>
      <c r="I88" s="188">
        <f t="shared" si="63"/>
        <v>8814.6299999999974</v>
      </c>
      <c r="J88" s="188">
        <f t="shared" si="64"/>
        <v>32516.779999999992</v>
      </c>
      <c r="K88" s="188">
        <f t="shared" si="65"/>
        <v>114358.53999999998</v>
      </c>
      <c r="L88" s="317">
        <f t="shared" si="94"/>
        <v>5</v>
      </c>
      <c r="M88" s="317">
        <f>IF(N88&lt;&gt;"",IF(N88=$O$5,0,+M87+1),0)</f>
        <v>60</v>
      </c>
      <c r="N88" s="188">
        <f t="shared" si="102"/>
        <v>311021.20000000013</v>
      </c>
      <c r="O88" s="188">
        <f>IF($O$11&lt;=A88,IF(+$W87&lt;=0,0,$O$8),0)</f>
        <v>2504.4299999999998</v>
      </c>
      <c r="P88" s="188">
        <f t="shared" si="109"/>
        <v>301.35999999999967</v>
      </c>
      <c r="Q88" s="188">
        <f>IF($O$11&lt;=A88,ROUND(N88*($O$7/12),2),0)</f>
        <v>2203.0700000000002</v>
      </c>
      <c r="R88" s="188">
        <f t="shared" si="75"/>
        <v>51.5</v>
      </c>
      <c r="S88" s="188">
        <f t="shared" si="66"/>
        <v>145.09666666666666</v>
      </c>
      <c r="T88" s="188">
        <f t="shared" si="52"/>
        <v>2701.0266666666666</v>
      </c>
      <c r="U88" s="188">
        <f t="shared" si="110"/>
        <v>14990.159999999996</v>
      </c>
      <c r="V88" s="188">
        <f t="shared" si="111"/>
        <v>137780.07000000004</v>
      </c>
      <c r="W88" s="188">
        <f t="shared" si="67"/>
        <v>310719.84000000014</v>
      </c>
      <c r="X88" s="395">
        <f t="shared" si="103"/>
        <v>48030</v>
      </c>
      <c r="Y88" s="188">
        <f t="shared" si="68"/>
        <v>311021.20000000013</v>
      </c>
      <c r="Z88" s="388">
        <f t="shared" si="95"/>
        <v>8.4999999999999992E-2</v>
      </c>
      <c r="AA88" s="188">
        <f t="shared" si="96"/>
        <v>2504.4299999999998</v>
      </c>
      <c r="AB88" s="188">
        <f t="shared" si="69"/>
        <v>301.35999999999967</v>
      </c>
      <c r="AC88" s="188">
        <f t="shared" si="97"/>
        <v>2203.0700000000002</v>
      </c>
      <c r="AD88" s="188">
        <f t="shared" ref="AD88:AE88" si="118">+AD87</f>
        <v>51.5</v>
      </c>
      <c r="AE88" s="188">
        <f t="shared" si="118"/>
        <v>145.09666666666666</v>
      </c>
      <c r="AF88" s="188">
        <f t="shared" si="71"/>
        <v>2701.0266666666666</v>
      </c>
      <c r="AG88" s="188">
        <f t="shared" si="72"/>
        <v>14990.159999999996</v>
      </c>
      <c r="AH88" s="188">
        <f t="shared" si="73"/>
        <v>137780.07000000004</v>
      </c>
      <c r="AI88" s="404">
        <f t="shared" si="57"/>
        <v>0</v>
      </c>
      <c r="AJ88" s="404">
        <f t="shared" si="99"/>
        <v>0</v>
      </c>
      <c r="AK88" s="404">
        <f t="shared" si="58"/>
        <v>0</v>
      </c>
      <c r="AL88" s="188">
        <f t="shared" si="74"/>
        <v>310719.84000000014</v>
      </c>
      <c r="AM88" s="317">
        <f t="shared" si="105"/>
        <v>5</v>
      </c>
      <c r="AN88" s="14">
        <f t="shared" si="59"/>
        <v>1944.5499999999997</v>
      </c>
      <c r="AO88" s="14">
        <f>IF(W88&lt;=0,0,+$AA$6-$C$2+I88-U88)</f>
        <v>196821.47</v>
      </c>
      <c r="AP88" s="14">
        <f t="shared" si="60"/>
        <v>1944.5499999999997</v>
      </c>
      <c r="AS88" s="14">
        <f t="shared" si="100"/>
        <v>1944.5499999999997</v>
      </c>
      <c r="AT88" s="14">
        <f t="shared" si="106"/>
        <v>118136.99000000011</v>
      </c>
      <c r="AU88" s="188">
        <f>IF(W88&lt;=0,0,+($O$5+AV87)*$AQ$2/12)</f>
        <v>974.64521340048759</v>
      </c>
      <c r="AV88" s="188">
        <f t="shared" si="107"/>
        <v>65122.730573595538</v>
      </c>
    </row>
    <row r="89" spans="1:50">
      <c r="A89" s="395">
        <f t="shared" si="62"/>
        <v>48060</v>
      </c>
      <c r="B89" s="188">
        <f t="shared" si="101"/>
        <v>114358.53999999998</v>
      </c>
      <c r="C89" s="14">
        <f t="shared" si="92"/>
        <v>559.88</v>
      </c>
      <c r="D89" s="14">
        <f t="shared" si="108"/>
        <v>131.04000000000002</v>
      </c>
      <c r="E89" s="14">
        <f t="shared" si="93"/>
        <v>428.84</v>
      </c>
      <c r="F89" s="14">
        <f t="shared" si="44"/>
        <v>51.5</v>
      </c>
      <c r="G89" s="14">
        <f t="shared" si="45"/>
        <v>145.09666666666666</v>
      </c>
      <c r="H89" s="14">
        <f t="shared" si="47"/>
        <v>756.47666666666669</v>
      </c>
      <c r="I89" s="188">
        <f t="shared" si="63"/>
        <v>8945.6699999999983</v>
      </c>
      <c r="J89" s="188">
        <f t="shared" si="64"/>
        <v>32945.619999999988</v>
      </c>
      <c r="K89" s="188">
        <f t="shared" si="65"/>
        <v>114227.49999999999</v>
      </c>
      <c r="L89" s="317">
        <f t="shared" si="94"/>
        <v>5</v>
      </c>
      <c r="M89" s="317">
        <f>IF(N89&lt;&gt;"",IF(N89=$O$5,0,+M88+1),0)</f>
        <v>61</v>
      </c>
      <c r="N89" s="188">
        <f t="shared" si="102"/>
        <v>310719.84000000014</v>
      </c>
      <c r="O89" s="188">
        <f>IF($O$11&lt;=A89,IF(+$W88&lt;=0,0,$O$8),0)</f>
        <v>2504.4299999999998</v>
      </c>
      <c r="P89" s="188">
        <f t="shared" si="109"/>
        <v>303.5</v>
      </c>
      <c r="Q89" s="188">
        <f>IF($O$11&lt;=A89,ROUND(N89*($O$7/12),2),0)</f>
        <v>2200.9299999999998</v>
      </c>
      <c r="R89" s="188">
        <f t="shared" si="75"/>
        <v>51.5</v>
      </c>
      <c r="S89" s="188">
        <f t="shared" si="66"/>
        <v>145.09666666666666</v>
      </c>
      <c r="T89" s="188">
        <f t="shared" si="52"/>
        <v>2701.0266666666666</v>
      </c>
      <c r="U89" s="188">
        <f t="shared" si="110"/>
        <v>15293.659999999996</v>
      </c>
      <c r="V89" s="188">
        <f t="shared" si="111"/>
        <v>139981.00000000003</v>
      </c>
      <c r="W89" s="188">
        <f t="shared" si="67"/>
        <v>310416.34000000014</v>
      </c>
      <c r="X89" s="395">
        <f t="shared" si="103"/>
        <v>48060</v>
      </c>
      <c r="Y89" s="188">
        <f t="shared" si="68"/>
        <v>310719.84000000014</v>
      </c>
      <c r="Z89" s="388">
        <f t="shared" si="95"/>
        <v>8.4999999999999992E-2</v>
      </c>
      <c r="AA89" s="188">
        <f t="shared" si="96"/>
        <v>2504.4299999999998</v>
      </c>
      <c r="AB89" s="188">
        <f t="shared" si="69"/>
        <v>303.5</v>
      </c>
      <c r="AC89" s="188">
        <f t="shared" si="97"/>
        <v>2200.9299999999998</v>
      </c>
      <c r="AD89" s="188">
        <f t="shared" ref="AD89:AE89" si="119">+AD88</f>
        <v>51.5</v>
      </c>
      <c r="AE89" s="188">
        <f t="shared" si="119"/>
        <v>145.09666666666666</v>
      </c>
      <c r="AF89" s="188">
        <f t="shared" si="71"/>
        <v>2701.0266666666666</v>
      </c>
      <c r="AG89" s="188">
        <f t="shared" si="72"/>
        <v>15293.659999999996</v>
      </c>
      <c r="AH89" s="188">
        <f t="shared" si="73"/>
        <v>139981.00000000003</v>
      </c>
      <c r="AI89" s="404">
        <f t="shared" si="57"/>
        <v>0</v>
      </c>
      <c r="AJ89" s="404">
        <f t="shared" si="99"/>
        <v>0</v>
      </c>
      <c r="AK89" s="404">
        <f t="shared" si="58"/>
        <v>0</v>
      </c>
      <c r="AL89" s="188">
        <f t="shared" si="74"/>
        <v>310416.34000000014</v>
      </c>
      <c r="AM89" s="317">
        <f t="shared" si="105"/>
        <v>5</v>
      </c>
      <c r="AN89" s="14">
        <f t="shared" si="59"/>
        <v>1944.5499999999997</v>
      </c>
      <c r="AO89" s="14">
        <f>IF(W89&lt;=0,0,+$AA$6-$C$2+I89-U89)</f>
        <v>196649.00999999998</v>
      </c>
      <c r="AP89" s="14">
        <f t="shared" si="60"/>
        <v>1944.5499999999997</v>
      </c>
      <c r="AS89" s="14">
        <f t="shared" si="100"/>
        <v>1944.5499999999997</v>
      </c>
      <c r="AT89" s="14">
        <f t="shared" si="106"/>
        <v>120081.54000000011</v>
      </c>
      <c r="AU89" s="188">
        <f>IF(W89&lt;=0,0,+($O$5+AV88)*$AQ$2/12)</f>
        <v>977.08182643398879</v>
      </c>
      <c r="AV89" s="188">
        <f t="shared" si="107"/>
        <v>66099.812400029521</v>
      </c>
    </row>
    <row r="90" spans="1:50">
      <c r="A90" s="395">
        <f t="shared" si="62"/>
        <v>48090</v>
      </c>
      <c r="B90" s="188">
        <f t="shared" si="101"/>
        <v>114227.49999999999</v>
      </c>
      <c r="C90" s="14">
        <f t="shared" si="92"/>
        <v>559.88</v>
      </c>
      <c r="D90" s="14">
        <f t="shared" si="108"/>
        <v>131.52999999999997</v>
      </c>
      <c r="E90" s="14">
        <f t="shared" si="93"/>
        <v>428.35</v>
      </c>
      <c r="F90" s="14">
        <f t="shared" si="44"/>
        <v>51.5</v>
      </c>
      <c r="G90" s="14">
        <f t="shared" si="45"/>
        <v>145.09666666666666</v>
      </c>
      <c r="H90" s="14">
        <f t="shared" si="47"/>
        <v>756.47666666666669</v>
      </c>
      <c r="I90" s="188">
        <f t="shared" si="63"/>
        <v>9077.1999999999989</v>
      </c>
      <c r="J90" s="188">
        <f t="shared" si="64"/>
        <v>33373.969999999987</v>
      </c>
      <c r="K90" s="188">
        <f t="shared" si="65"/>
        <v>114095.96999999999</v>
      </c>
      <c r="L90" s="317">
        <f t="shared" si="94"/>
        <v>5</v>
      </c>
      <c r="M90" s="317">
        <f>IF(N90&lt;&gt;"",IF(N90=$O$5,0,+M89+1),0)</f>
        <v>62</v>
      </c>
      <c r="N90" s="188">
        <f t="shared" si="102"/>
        <v>310416.34000000014</v>
      </c>
      <c r="O90" s="188">
        <f>IF($O$11&lt;=A90,IF(+$W89&lt;=0,0,$O$8),0)</f>
        <v>2504.4299999999998</v>
      </c>
      <c r="P90" s="188">
        <f t="shared" si="109"/>
        <v>305.64999999999964</v>
      </c>
      <c r="Q90" s="188">
        <f>IF($O$11&lt;=A90,ROUND(N90*($O$7/12),2),0)</f>
        <v>2198.7800000000002</v>
      </c>
      <c r="R90" s="188">
        <f t="shared" si="75"/>
        <v>51.5</v>
      </c>
      <c r="S90" s="188">
        <f t="shared" si="66"/>
        <v>145.09666666666666</v>
      </c>
      <c r="T90" s="188">
        <f t="shared" si="52"/>
        <v>2701.0266666666666</v>
      </c>
      <c r="U90" s="188">
        <f t="shared" si="110"/>
        <v>15599.309999999996</v>
      </c>
      <c r="V90" s="188">
        <f t="shared" si="111"/>
        <v>142179.78000000003</v>
      </c>
      <c r="W90" s="188">
        <f t="shared" si="67"/>
        <v>310110.69000000012</v>
      </c>
      <c r="X90" s="395">
        <f t="shared" si="103"/>
        <v>48090</v>
      </c>
      <c r="Y90" s="188">
        <f t="shared" si="68"/>
        <v>310416.34000000014</v>
      </c>
      <c r="Z90" s="388">
        <f t="shared" si="95"/>
        <v>8.4999999999999992E-2</v>
      </c>
      <c r="AA90" s="188">
        <f t="shared" si="96"/>
        <v>2504.4299999999998</v>
      </c>
      <c r="AB90" s="188">
        <f t="shared" si="69"/>
        <v>305.64999999999964</v>
      </c>
      <c r="AC90" s="188">
        <f t="shared" si="97"/>
        <v>2198.7800000000002</v>
      </c>
      <c r="AD90" s="188">
        <f t="shared" ref="AD90:AE90" si="120">+AD89</f>
        <v>51.5</v>
      </c>
      <c r="AE90" s="188">
        <f t="shared" si="120"/>
        <v>145.09666666666666</v>
      </c>
      <c r="AF90" s="188">
        <f t="shared" si="71"/>
        <v>2701.0266666666666</v>
      </c>
      <c r="AG90" s="188">
        <f t="shared" si="72"/>
        <v>15599.309999999996</v>
      </c>
      <c r="AH90" s="188">
        <f t="shared" si="73"/>
        <v>142179.78000000003</v>
      </c>
      <c r="AI90" s="404">
        <f t="shared" si="57"/>
        <v>0</v>
      </c>
      <c r="AJ90" s="404">
        <f t="shared" si="99"/>
        <v>0</v>
      </c>
      <c r="AK90" s="404">
        <f t="shared" si="58"/>
        <v>0</v>
      </c>
      <c r="AL90" s="188">
        <f t="shared" si="74"/>
        <v>310110.69000000012</v>
      </c>
      <c r="AM90" s="317">
        <f t="shared" si="105"/>
        <v>5</v>
      </c>
      <c r="AN90" s="14">
        <f t="shared" si="59"/>
        <v>1944.5499999999997</v>
      </c>
      <c r="AO90" s="14">
        <f>IF(W90&lt;=0,0,+$AA$6-$C$2+I90-U90)</f>
        <v>196474.89</v>
      </c>
      <c r="AP90" s="14">
        <f t="shared" si="60"/>
        <v>1944.5499999999997</v>
      </c>
      <c r="AS90" s="14">
        <f t="shared" si="100"/>
        <v>1944.5499999999997</v>
      </c>
      <c r="AT90" s="14">
        <f t="shared" si="106"/>
        <v>122026.09000000011</v>
      </c>
      <c r="AU90" s="188">
        <f>IF(W90&lt;=0,0,+($O$5+AV89)*$AQ$2/12)</f>
        <v>979.52453100007369</v>
      </c>
      <c r="AV90" s="188">
        <f t="shared" si="107"/>
        <v>67079.336931029597</v>
      </c>
    </row>
    <row r="91" spans="1:50">
      <c r="A91" s="395">
        <f t="shared" si="62"/>
        <v>48120</v>
      </c>
      <c r="B91" s="188">
        <f t="shared" si="101"/>
        <v>114095.96999999999</v>
      </c>
      <c r="C91" s="14">
        <f t="shared" si="92"/>
        <v>559.88</v>
      </c>
      <c r="D91" s="14">
        <f t="shared" si="108"/>
        <v>132.01999999999998</v>
      </c>
      <c r="E91" s="14">
        <f t="shared" si="93"/>
        <v>427.86</v>
      </c>
      <c r="F91" s="14">
        <f t="shared" si="44"/>
        <v>51.5</v>
      </c>
      <c r="G91" s="14">
        <f t="shared" si="45"/>
        <v>145.09666666666666</v>
      </c>
      <c r="H91" s="14">
        <f t="shared" si="47"/>
        <v>756.47666666666669</v>
      </c>
      <c r="I91" s="188">
        <f t="shared" si="63"/>
        <v>9209.2199999999993</v>
      </c>
      <c r="J91" s="188">
        <f t="shared" si="64"/>
        <v>33801.829999999987</v>
      </c>
      <c r="K91" s="188">
        <f t="shared" si="65"/>
        <v>113963.94999999998</v>
      </c>
      <c r="L91" s="317">
        <f t="shared" si="94"/>
        <v>5</v>
      </c>
      <c r="M91" s="317">
        <f>IF(N91&lt;&gt;"",IF(N91=$O$5,0,+M90+1),0)</f>
        <v>63</v>
      </c>
      <c r="N91" s="188">
        <f t="shared" si="102"/>
        <v>310110.69000000012</v>
      </c>
      <c r="O91" s="188">
        <f>IF($O$11&lt;=A91,IF(+$W90&lt;=0,0,$O$8),0)</f>
        <v>2504.4299999999998</v>
      </c>
      <c r="P91" s="188">
        <f t="shared" si="109"/>
        <v>307.80999999999995</v>
      </c>
      <c r="Q91" s="188">
        <f>IF($O$11&lt;=A91,ROUND(N91*($O$7/12),2),0)</f>
        <v>2196.62</v>
      </c>
      <c r="R91" s="188">
        <f t="shared" si="75"/>
        <v>51.5</v>
      </c>
      <c r="S91" s="188">
        <f t="shared" si="66"/>
        <v>145.09666666666666</v>
      </c>
      <c r="T91" s="188">
        <f t="shared" si="52"/>
        <v>2701.0266666666666</v>
      </c>
      <c r="U91" s="188">
        <f t="shared" si="110"/>
        <v>15907.119999999995</v>
      </c>
      <c r="V91" s="188">
        <f t="shared" si="111"/>
        <v>144376.40000000002</v>
      </c>
      <c r="W91" s="188">
        <f t="shared" si="67"/>
        <v>309802.88000000012</v>
      </c>
      <c r="X91" s="395">
        <f t="shared" si="103"/>
        <v>48120</v>
      </c>
      <c r="Y91" s="188">
        <f t="shared" si="68"/>
        <v>310110.69000000012</v>
      </c>
      <c r="Z91" s="388">
        <f t="shared" si="95"/>
        <v>8.4999999999999992E-2</v>
      </c>
      <c r="AA91" s="188">
        <f t="shared" si="96"/>
        <v>2504.4299999999998</v>
      </c>
      <c r="AB91" s="188">
        <f t="shared" si="69"/>
        <v>307.80999999999995</v>
      </c>
      <c r="AC91" s="188">
        <f t="shared" si="97"/>
        <v>2196.62</v>
      </c>
      <c r="AD91" s="188">
        <f t="shared" ref="AD91:AE91" si="121">+AD90</f>
        <v>51.5</v>
      </c>
      <c r="AE91" s="188">
        <f t="shared" si="121"/>
        <v>145.09666666666666</v>
      </c>
      <c r="AF91" s="188">
        <f t="shared" si="71"/>
        <v>2701.0266666666666</v>
      </c>
      <c r="AG91" s="188">
        <f t="shared" si="72"/>
        <v>15907.119999999995</v>
      </c>
      <c r="AH91" s="188">
        <f t="shared" si="73"/>
        <v>144376.40000000002</v>
      </c>
      <c r="AI91" s="404">
        <f t="shared" si="57"/>
        <v>0</v>
      </c>
      <c r="AJ91" s="404">
        <f>+W91-AL91</f>
        <v>0</v>
      </c>
      <c r="AK91" s="404">
        <f t="shared" si="58"/>
        <v>0</v>
      </c>
      <c r="AL91" s="188">
        <f t="shared" si="74"/>
        <v>309802.88000000012</v>
      </c>
      <c r="AM91" s="317">
        <f t="shared" si="105"/>
        <v>5</v>
      </c>
      <c r="AN91" s="14">
        <f t="shared" si="59"/>
        <v>1944.5499999999997</v>
      </c>
      <c r="AO91" s="14">
        <f>IF(W91&lt;=0,0,+$AA$6-$C$2+I91-U91)</f>
        <v>196299.1</v>
      </c>
      <c r="AP91" s="14">
        <f t="shared" si="60"/>
        <v>1944.5499999999997</v>
      </c>
      <c r="AS91" s="14">
        <f t="shared" si="100"/>
        <v>1944.5499999999997</v>
      </c>
      <c r="AT91" s="14">
        <f t="shared" si="106"/>
        <v>123970.64000000012</v>
      </c>
      <c r="AU91" s="188">
        <f>IF(W91&lt;=0,0,+($O$5+AV90)*$AQ$2/12)</f>
        <v>981.97334232757385</v>
      </c>
      <c r="AV91" s="188">
        <f t="shared" si="107"/>
        <v>68061.310273357172</v>
      </c>
    </row>
    <row r="92" spans="1:50">
      <c r="A92" s="395">
        <f t="shared" si="62"/>
        <v>48150</v>
      </c>
      <c r="B92" s="188">
        <f t="shared" si="101"/>
        <v>113963.94999999998</v>
      </c>
      <c r="C92" s="14">
        <f t="shared" si="92"/>
        <v>559.88</v>
      </c>
      <c r="D92" s="14">
        <f t="shared" si="108"/>
        <v>132.51999999999998</v>
      </c>
      <c r="E92" s="14">
        <f t="shared" si="93"/>
        <v>427.36</v>
      </c>
      <c r="F92" s="14">
        <f t="shared" si="44"/>
        <v>51.5</v>
      </c>
      <c r="G92" s="14">
        <f t="shared" si="45"/>
        <v>145.09666666666666</v>
      </c>
      <c r="H92" s="14">
        <f t="shared" si="47"/>
        <v>756.47666666666669</v>
      </c>
      <c r="I92" s="188">
        <f t="shared" si="63"/>
        <v>9341.74</v>
      </c>
      <c r="J92" s="188">
        <f t="shared" si="64"/>
        <v>34229.189999999988</v>
      </c>
      <c r="K92" s="188">
        <f t="shared" si="65"/>
        <v>113831.42999999998</v>
      </c>
      <c r="L92" s="317">
        <f t="shared" si="94"/>
        <v>5</v>
      </c>
      <c r="M92" s="317">
        <f>IF(N92&lt;&gt;"",IF(N92=$O$5,0,+M91+1),0)</f>
        <v>64</v>
      </c>
      <c r="N92" s="188">
        <f t="shared" si="102"/>
        <v>309802.88000000012</v>
      </c>
      <c r="O92" s="188">
        <f>IF($O$11&lt;=A92,IF(+$W91&lt;=0,0,$O$8),0)</f>
        <v>2504.4299999999998</v>
      </c>
      <c r="P92" s="188">
        <f t="shared" si="109"/>
        <v>309.98999999999978</v>
      </c>
      <c r="Q92" s="188">
        <f>IF($O$11&lt;=A92,ROUND(N92*($O$7/12),2),0)</f>
        <v>2194.44</v>
      </c>
      <c r="R92" s="188">
        <f t="shared" si="75"/>
        <v>51.5</v>
      </c>
      <c r="S92" s="188">
        <f t="shared" si="66"/>
        <v>145.09666666666666</v>
      </c>
      <c r="T92" s="188">
        <f t="shared" si="52"/>
        <v>2701.0266666666666</v>
      </c>
      <c r="U92" s="188">
        <f t="shared" si="110"/>
        <v>16217.109999999995</v>
      </c>
      <c r="V92" s="188">
        <f t="shared" si="111"/>
        <v>146570.84000000003</v>
      </c>
      <c r="W92" s="188">
        <f t="shared" si="67"/>
        <v>309492.89000000013</v>
      </c>
      <c r="X92" s="395">
        <f t="shared" si="103"/>
        <v>48150</v>
      </c>
      <c r="Y92" s="188">
        <f t="shared" si="68"/>
        <v>309802.88000000012</v>
      </c>
      <c r="Z92" s="388">
        <f t="shared" si="95"/>
        <v>8.4999999999999992E-2</v>
      </c>
      <c r="AA92" s="188">
        <f t="shared" si="96"/>
        <v>2504.4299999999998</v>
      </c>
      <c r="AB92" s="188">
        <f t="shared" si="69"/>
        <v>309.98999999999978</v>
      </c>
      <c r="AC92" s="188">
        <f t="shared" si="97"/>
        <v>2194.44</v>
      </c>
      <c r="AD92" s="188">
        <f t="shared" ref="AD92:AE92" si="122">+AD91</f>
        <v>51.5</v>
      </c>
      <c r="AE92" s="188">
        <f t="shared" si="122"/>
        <v>145.09666666666666</v>
      </c>
      <c r="AF92" s="188">
        <f t="shared" si="71"/>
        <v>2701.0266666666666</v>
      </c>
      <c r="AG92" s="188">
        <f t="shared" si="72"/>
        <v>16217.109999999995</v>
      </c>
      <c r="AH92" s="188">
        <f t="shared" si="73"/>
        <v>146570.84000000003</v>
      </c>
      <c r="AI92" s="404">
        <f t="shared" si="57"/>
        <v>0</v>
      </c>
      <c r="AJ92" s="404">
        <f t="shared" ref="AJ92:AJ155" si="123">+W92-AL92</f>
        <v>0</v>
      </c>
      <c r="AK92" s="404">
        <f t="shared" si="58"/>
        <v>0</v>
      </c>
      <c r="AL92" s="188">
        <f t="shared" si="74"/>
        <v>309492.89000000013</v>
      </c>
      <c r="AM92" s="317">
        <f t="shared" si="105"/>
        <v>5</v>
      </c>
      <c r="AN92" s="14">
        <f t="shared" si="59"/>
        <v>1944.5499999999997</v>
      </c>
      <c r="AO92" s="14">
        <f>IF(W92&lt;=0,0,+$AA$6-$C$2+I92-U92)</f>
        <v>196121.63</v>
      </c>
      <c r="AP92" s="14">
        <f t="shared" si="60"/>
        <v>1944.5499999999997</v>
      </c>
      <c r="AS92" s="14">
        <f t="shared" si="100"/>
        <v>1944.5499999999997</v>
      </c>
      <c r="AT92" s="14">
        <f t="shared" si="106"/>
        <v>125915.19000000012</v>
      </c>
      <c r="AU92" s="188">
        <f>IF(W92&lt;=0,0,+($O$5+AV91)*$AQ$2/12)</f>
        <v>984.42827568339305</v>
      </c>
      <c r="AV92" s="188">
        <f t="shared" si="107"/>
        <v>69045.738549040572</v>
      </c>
    </row>
    <row r="93" spans="1:50">
      <c r="A93" s="395">
        <f t="shared" si="62"/>
        <v>48180</v>
      </c>
      <c r="B93" s="188">
        <f t="shared" si="101"/>
        <v>113831.42999999998</v>
      </c>
      <c r="C93" s="14">
        <f t="shared" si="92"/>
        <v>559.88</v>
      </c>
      <c r="D93" s="14">
        <f t="shared" si="108"/>
        <v>133.01</v>
      </c>
      <c r="E93" s="14">
        <f t="shared" si="93"/>
        <v>426.87</v>
      </c>
      <c r="F93" s="14">
        <f t="shared" si="44"/>
        <v>51.5</v>
      </c>
      <c r="G93" s="14">
        <f t="shared" si="45"/>
        <v>145.09666666666666</v>
      </c>
      <c r="H93" s="14">
        <f t="shared" si="47"/>
        <v>756.47666666666669</v>
      </c>
      <c r="I93" s="188">
        <f t="shared" si="63"/>
        <v>9474.75</v>
      </c>
      <c r="J93" s="188">
        <f t="shared" si="64"/>
        <v>34656.05999999999</v>
      </c>
      <c r="K93" s="188">
        <f t="shared" si="65"/>
        <v>113698.41999999998</v>
      </c>
      <c r="L93" s="317">
        <f t="shared" si="94"/>
        <v>5</v>
      </c>
      <c r="M93" s="317">
        <f>IF(N93&lt;&gt;"",IF(N93=$O$5,0,+M92+1),0)</f>
        <v>65</v>
      </c>
      <c r="N93" s="188">
        <f t="shared" si="102"/>
        <v>309492.89000000013</v>
      </c>
      <c r="O93" s="188">
        <f>IF($O$11&lt;=A93,IF(+$W92&lt;=0,0,$O$8),0)</f>
        <v>2504.4299999999998</v>
      </c>
      <c r="P93" s="188">
        <f t="shared" si="109"/>
        <v>312.19000000000005</v>
      </c>
      <c r="Q93" s="188">
        <f>IF($O$11&lt;=A93,ROUND(N93*($O$7/12),2),0)</f>
        <v>2192.2399999999998</v>
      </c>
      <c r="R93" s="188">
        <f t="shared" si="75"/>
        <v>51.5</v>
      </c>
      <c r="S93" s="188">
        <f t="shared" si="66"/>
        <v>145.09666666666666</v>
      </c>
      <c r="T93" s="188">
        <f t="shared" si="52"/>
        <v>2701.0266666666666</v>
      </c>
      <c r="U93" s="188">
        <f t="shared" si="110"/>
        <v>16529.299999999996</v>
      </c>
      <c r="V93" s="188">
        <f t="shared" si="111"/>
        <v>148763.08000000002</v>
      </c>
      <c r="W93" s="188">
        <f t="shared" si="67"/>
        <v>309180.70000000013</v>
      </c>
      <c r="X93" s="395">
        <f t="shared" si="103"/>
        <v>48180</v>
      </c>
      <c r="Y93" s="188">
        <f t="shared" si="68"/>
        <v>309492.89000000013</v>
      </c>
      <c r="Z93" s="388">
        <f t="shared" si="95"/>
        <v>8.4999999999999992E-2</v>
      </c>
      <c r="AA93" s="188">
        <f t="shared" si="96"/>
        <v>2504.4299999999998</v>
      </c>
      <c r="AB93" s="188">
        <f t="shared" si="69"/>
        <v>312.19000000000005</v>
      </c>
      <c r="AC93" s="188">
        <f t="shared" si="97"/>
        <v>2192.2399999999998</v>
      </c>
      <c r="AD93" s="188">
        <f t="shared" ref="AD93:AE93" si="124">+AD92</f>
        <v>51.5</v>
      </c>
      <c r="AE93" s="188">
        <f t="shared" si="124"/>
        <v>145.09666666666666</v>
      </c>
      <c r="AF93" s="188">
        <f t="shared" si="71"/>
        <v>2701.0266666666666</v>
      </c>
      <c r="AG93" s="188">
        <f t="shared" si="72"/>
        <v>16529.299999999996</v>
      </c>
      <c r="AH93" s="188">
        <f t="shared" si="73"/>
        <v>148763.08000000002</v>
      </c>
      <c r="AI93" s="404">
        <f t="shared" si="57"/>
        <v>0</v>
      </c>
      <c r="AJ93" s="404">
        <f t="shared" si="123"/>
        <v>0</v>
      </c>
      <c r="AK93" s="404">
        <f t="shared" si="58"/>
        <v>0</v>
      </c>
      <c r="AL93" s="188">
        <f t="shared" si="74"/>
        <v>309180.70000000013</v>
      </c>
      <c r="AM93" s="317">
        <f t="shared" si="105"/>
        <v>5</v>
      </c>
      <c r="AN93" s="14">
        <f t="shared" si="59"/>
        <v>1944.5499999999997</v>
      </c>
      <c r="AO93" s="14">
        <f>IF(W93&lt;=0,0,+$AA$6-$C$2+I93-U93)</f>
        <v>195942.45</v>
      </c>
      <c r="AP93" s="14">
        <f t="shared" si="60"/>
        <v>1944.5499999999997</v>
      </c>
      <c r="AS93" s="14">
        <f t="shared" si="100"/>
        <v>1944.5499999999997</v>
      </c>
      <c r="AT93" s="14">
        <f t="shared" si="106"/>
        <v>127859.74000000012</v>
      </c>
      <c r="AU93" s="188">
        <f>IF(W93&lt;=0,0,+($O$5+AV92)*$AQ$2/12)</f>
        <v>986.88934637260138</v>
      </c>
      <c r="AV93" s="188">
        <f t="shared" si="107"/>
        <v>70032.62789541317</v>
      </c>
    </row>
    <row r="94" spans="1:50">
      <c r="A94" s="395">
        <f t="shared" si="62"/>
        <v>48210</v>
      </c>
      <c r="B94" s="188">
        <f t="shared" si="101"/>
        <v>113698.41999999998</v>
      </c>
      <c r="C94" s="14">
        <f t="shared" si="92"/>
        <v>559.88</v>
      </c>
      <c r="D94" s="14">
        <f t="shared" si="108"/>
        <v>133.51</v>
      </c>
      <c r="E94" s="14">
        <f t="shared" si="93"/>
        <v>426.37</v>
      </c>
      <c r="F94" s="14">
        <f t="shared" si="44"/>
        <v>51.5</v>
      </c>
      <c r="G94" s="14">
        <f t="shared" si="45"/>
        <v>145.09666666666666</v>
      </c>
      <c r="H94" s="14">
        <f t="shared" si="47"/>
        <v>756.47666666666669</v>
      </c>
      <c r="I94" s="188">
        <f t="shared" si="63"/>
        <v>9608.26</v>
      </c>
      <c r="J94" s="188">
        <f t="shared" si="64"/>
        <v>35082.429999999993</v>
      </c>
      <c r="K94" s="188">
        <f t="shared" si="65"/>
        <v>113564.90999999999</v>
      </c>
      <c r="L94" s="317">
        <f t="shared" si="94"/>
        <v>5</v>
      </c>
      <c r="M94" s="317">
        <f>IF(N94&lt;&gt;"",IF(N94=$O$5,0,+M93+1),0)</f>
        <v>66</v>
      </c>
      <c r="N94" s="188">
        <f t="shared" si="102"/>
        <v>309180.70000000013</v>
      </c>
      <c r="O94" s="188">
        <f>IF($O$11&lt;=A94,IF(+$W93&lt;=0,0,$O$8),0)</f>
        <v>2504.4299999999998</v>
      </c>
      <c r="P94" s="188">
        <f t="shared" si="109"/>
        <v>314.39999999999964</v>
      </c>
      <c r="Q94" s="188">
        <f>IF($O$11&lt;=A94,ROUND(N94*($O$7/12),2),0)</f>
        <v>2190.0300000000002</v>
      </c>
      <c r="R94" s="188">
        <f t="shared" si="75"/>
        <v>51.5</v>
      </c>
      <c r="S94" s="188">
        <f t="shared" si="66"/>
        <v>145.09666666666666</v>
      </c>
      <c r="T94" s="188">
        <f t="shared" si="52"/>
        <v>2701.0266666666666</v>
      </c>
      <c r="U94" s="188">
        <f t="shared" si="110"/>
        <v>16843.699999999997</v>
      </c>
      <c r="V94" s="188">
        <f t="shared" si="111"/>
        <v>150953.11000000002</v>
      </c>
      <c r="W94" s="188">
        <f t="shared" si="67"/>
        <v>308866.3000000001</v>
      </c>
      <c r="X94" s="395">
        <f t="shared" si="103"/>
        <v>48210</v>
      </c>
      <c r="Y94" s="188">
        <f t="shared" si="68"/>
        <v>309180.70000000013</v>
      </c>
      <c r="Z94" s="388">
        <f t="shared" si="95"/>
        <v>8.4999999999999992E-2</v>
      </c>
      <c r="AA94" s="188">
        <f t="shared" si="96"/>
        <v>2504.4299999999998</v>
      </c>
      <c r="AB94" s="188">
        <f t="shared" si="69"/>
        <v>314.39999999999964</v>
      </c>
      <c r="AC94" s="188">
        <f t="shared" si="97"/>
        <v>2190.0300000000002</v>
      </c>
      <c r="AD94" s="188">
        <f t="shared" ref="AD94:AE94" si="125">+AD93</f>
        <v>51.5</v>
      </c>
      <c r="AE94" s="188">
        <f t="shared" si="125"/>
        <v>145.09666666666666</v>
      </c>
      <c r="AF94" s="188">
        <f t="shared" si="71"/>
        <v>2701.0266666666666</v>
      </c>
      <c r="AG94" s="188">
        <f t="shared" si="72"/>
        <v>16843.699999999997</v>
      </c>
      <c r="AH94" s="188">
        <f t="shared" si="73"/>
        <v>150953.11000000002</v>
      </c>
      <c r="AI94" s="404">
        <f t="shared" si="57"/>
        <v>0</v>
      </c>
      <c r="AJ94" s="404">
        <f t="shared" si="123"/>
        <v>0</v>
      </c>
      <c r="AK94" s="404">
        <f t="shared" si="58"/>
        <v>0</v>
      </c>
      <c r="AL94" s="188">
        <f t="shared" si="74"/>
        <v>308866.3000000001</v>
      </c>
      <c r="AM94" s="317">
        <f t="shared" si="105"/>
        <v>5</v>
      </c>
      <c r="AN94" s="14">
        <f t="shared" si="59"/>
        <v>1944.5499999999997</v>
      </c>
      <c r="AO94" s="14">
        <f>IF(W94&lt;=0,0,+$AA$6-$C$2+I94-U94)</f>
        <v>195761.56</v>
      </c>
      <c r="AP94" s="14">
        <f t="shared" si="60"/>
        <v>1944.5499999999997</v>
      </c>
      <c r="AS94" s="14">
        <f t="shared" si="100"/>
        <v>1944.5499999999997</v>
      </c>
      <c r="AT94" s="14">
        <f t="shared" si="106"/>
        <v>129804.29000000012</v>
      </c>
      <c r="AU94" s="188">
        <f>IF(W94&lt;=0,0,+($O$5+AV93)*$AQ$2/12)</f>
        <v>989.35656973853293</v>
      </c>
      <c r="AV94" s="188">
        <f t="shared" si="107"/>
        <v>71021.984465151705</v>
      </c>
    </row>
    <row r="95" spans="1:50">
      <c r="A95" s="395">
        <f t="shared" si="62"/>
        <v>48240</v>
      </c>
      <c r="B95" s="188">
        <f t="shared" si="101"/>
        <v>113564.90999999999</v>
      </c>
      <c r="C95" s="14">
        <f t="shared" si="92"/>
        <v>559.88</v>
      </c>
      <c r="D95" s="14">
        <f t="shared" si="108"/>
        <v>134.01</v>
      </c>
      <c r="E95" s="14">
        <f t="shared" si="93"/>
        <v>425.87</v>
      </c>
      <c r="F95" s="14">
        <f t="shared" si="44"/>
        <v>51.5</v>
      </c>
      <c r="G95" s="14">
        <f t="shared" si="45"/>
        <v>145.09666666666666</v>
      </c>
      <c r="H95" s="14">
        <f t="shared" si="47"/>
        <v>756.47666666666669</v>
      </c>
      <c r="I95" s="188">
        <f t="shared" si="63"/>
        <v>9742.27</v>
      </c>
      <c r="J95" s="188">
        <f t="shared" si="64"/>
        <v>35508.299999999996</v>
      </c>
      <c r="K95" s="188">
        <f t="shared" si="65"/>
        <v>113430.9</v>
      </c>
      <c r="L95" s="317">
        <f t="shared" si="94"/>
        <v>5</v>
      </c>
      <c r="M95" s="317">
        <f>IF(N95&lt;&gt;"",IF(N95=$O$5,0,+M94+1),0)</f>
        <v>67</v>
      </c>
      <c r="N95" s="188">
        <f t="shared" si="102"/>
        <v>308866.3000000001</v>
      </c>
      <c r="O95" s="188">
        <f>IF($O$11&lt;=A95,IF(+$W94&lt;=0,0,$O$8),0)</f>
        <v>2504.4299999999998</v>
      </c>
      <c r="P95" s="188">
        <f t="shared" si="109"/>
        <v>316.62999999999965</v>
      </c>
      <c r="Q95" s="188">
        <f>IF($O$11&lt;=A95,ROUND(N95*($O$7/12),2),0)</f>
        <v>2187.8000000000002</v>
      </c>
      <c r="R95" s="188">
        <f t="shared" si="75"/>
        <v>51.5</v>
      </c>
      <c r="S95" s="188">
        <f t="shared" si="66"/>
        <v>145.09666666666666</v>
      </c>
      <c r="T95" s="188">
        <f t="shared" si="52"/>
        <v>2701.0266666666666</v>
      </c>
      <c r="U95" s="188">
        <f t="shared" si="110"/>
        <v>17160.329999999998</v>
      </c>
      <c r="V95" s="188">
        <f t="shared" si="111"/>
        <v>153140.91</v>
      </c>
      <c r="W95" s="188">
        <f t="shared" si="67"/>
        <v>308549.6700000001</v>
      </c>
      <c r="X95" s="395">
        <f t="shared" si="103"/>
        <v>48240</v>
      </c>
      <c r="Y95" s="188">
        <f t="shared" si="68"/>
        <v>308866.3000000001</v>
      </c>
      <c r="Z95" s="388">
        <f t="shared" si="95"/>
        <v>8.4999999999999992E-2</v>
      </c>
      <c r="AA95" s="188">
        <f t="shared" si="96"/>
        <v>2504.4299999999998</v>
      </c>
      <c r="AB95" s="188">
        <f t="shared" si="69"/>
        <v>316.62999999999965</v>
      </c>
      <c r="AC95" s="188">
        <f t="shared" si="97"/>
        <v>2187.8000000000002</v>
      </c>
      <c r="AD95" s="188">
        <f t="shared" ref="AD95:AE95" si="126">+AD94</f>
        <v>51.5</v>
      </c>
      <c r="AE95" s="188">
        <f t="shared" si="126"/>
        <v>145.09666666666666</v>
      </c>
      <c r="AF95" s="188">
        <f t="shared" si="71"/>
        <v>2701.0266666666666</v>
      </c>
      <c r="AG95" s="188">
        <f t="shared" si="72"/>
        <v>17160.329999999998</v>
      </c>
      <c r="AH95" s="188">
        <f t="shared" si="73"/>
        <v>153140.91</v>
      </c>
      <c r="AI95" s="404">
        <f t="shared" si="57"/>
        <v>0</v>
      </c>
      <c r="AJ95" s="404">
        <f t="shared" si="123"/>
        <v>0</v>
      </c>
      <c r="AK95" s="404">
        <f t="shared" si="58"/>
        <v>0</v>
      </c>
      <c r="AL95" s="188">
        <f t="shared" si="74"/>
        <v>308549.6700000001</v>
      </c>
      <c r="AM95" s="317">
        <f t="shared" si="105"/>
        <v>5</v>
      </c>
      <c r="AN95" s="14">
        <f t="shared" si="59"/>
        <v>1944.5499999999997</v>
      </c>
      <c r="AO95" s="14">
        <f>IF(W95&lt;=0,0,+$AA$6-$C$2+I95-U95)</f>
        <v>195578.94</v>
      </c>
      <c r="AP95" s="14">
        <f t="shared" si="60"/>
        <v>1944.5499999999997</v>
      </c>
      <c r="AS95" s="14">
        <f t="shared" si="100"/>
        <v>1944.5499999999997</v>
      </c>
      <c r="AT95" s="14">
        <f t="shared" si="106"/>
        <v>131748.84000000011</v>
      </c>
      <c r="AU95" s="188">
        <f>IF(W95&lt;=0,0,+($O$5+AV94)*$AQ$2/12)</f>
        <v>991.82996116287916</v>
      </c>
      <c r="AV95" s="188">
        <f t="shared" si="107"/>
        <v>72013.81442631458</v>
      </c>
    </row>
    <row r="96" spans="1:50">
      <c r="A96" s="395">
        <f t="shared" si="62"/>
        <v>48270</v>
      </c>
      <c r="B96" s="188">
        <f t="shared" si="101"/>
        <v>113430.9</v>
      </c>
      <c r="C96" s="14">
        <f t="shared" si="92"/>
        <v>559.88</v>
      </c>
      <c r="D96" s="14">
        <f t="shared" si="108"/>
        <v>134.51</v>
      </c>
      <c r="E96" s="14">
        <f t="shared" si="93"/>
        <v>425.37</v>
      </c>
      <c r="F96" s="14">
        <f t="shared" si="44"/>
        <v>51.5</v>
      </c>
      <c r="G96" s="14">
        <f t="shared" si="45"/>
        <v>145.09666666666666</v>
      </c>
      <c r="H96" s="14">
        <f t="shared" si="47"/>
        <v>756.47666666666669</v>
      </c>
      <c r="I96" s="188">
        <f t="shared" si="63"/>
        <v>9876.7800000000007</v>
      </c>
      <c r="J96" s="188">
        <f t="shared" si="64"/>
        <v>35933.67</v>
      </c>
      <c r="K96" s="188">
        <f t="shared" si="65"/>
        <v>113296.39</v>
      </c>
      <c r="L96" s="317">
        <f t="shared" si="94"/>
        <v>5</v>
      </c>
      <c r="M96" s="317">
        <f>IF(N96&lt;&gt;"",IF(N96=$O$5,0,+M95+1),0)</f>
        <v>68</v>
      </c>
      <c r="N96" s="188">
        <f t="shared" si="102"/>
        <v>308549.6700000001</v>
      </c>
      <c r="O96" s="188">
        <f>IF($O$11&lt;=A96,IF(+$W95&lt;=0,0,$O$8),0)</f>
        <v>2504.4299999999998</v>
      </c>
      <c r="P96" s="188">
        <f t="shared" si="109"/>
        <v>318.86999999999989</v>
      </c>
      <c r="Q96" s="188">
        <f>IF($O$11&lt;=A96,ROUND(N96*($O$7/12),2),0)</f>
        <v>2185.56</v>
      </c>
      <c r="R96" s="188">
        <f t="shared" si="75"/>
        <v>51.5</v>
      </c>
      <c r="S96" s="188">
        <f t="shared" si="66"/>
        <v>145.09666666666666</v>
      </c>
      <c r="T96" s="188">
        <f t="shared" si="52"/>
        <v>2701.0266666666666</v>
      </c>
      <c r="U96" s="188">
        <f t="shared" si="110"/>
        <v>17479.199999999997</v>
      </c>
      <c r="V96" s="188">
        <f t="shared" si="111"/>
        <v>155326.47</v>
      </c>
      <c r="W96" s="188">
        <f t="shared" si="67"/>
        <v>308230.8000000001</v>
      </c>
      <c r="X96" s="395">
        <f t="shared" si="103"/>
        <v>48270</v>
      </c>
      <c r="Y96" s="188">
        <f t="shared" si="68"/>
        <v>308549.6700000001</v>
      </c>
      <c r="Z96" s="388">
        <f t="shared" si="95"/>
        <v>8.4999999999999992E-2</v>
      </c>
      <c r="AA96" s="188">
        <f t="shared" si="96"/>
        <v>2504.4299999999998</v>
      </c>
      <c r="AB96" s="188">
        <f t="shared" si="69"/>
        <v>318.86999999999989</v>
      </c>
      <c r="AC96" s="188">
        <f t="shared" si="97"/>
        <v>2185.56</v>
      </c>
      <c r="AD96" s="188">
        <f t="shared" ref="AD96:AE96" si="127">+AD95</f>
        <v>51.5</v>
      </c>
      <c r="AE96" s="188">
        <f t="shared" si="127"/>
        <v>145.09666666666666</v>
      </c>
      <c r="AF96" s="188">
        <f t="shared" si="71"/>
        <v>2701.0266666666666</v>
      </c>
      <c r="AG96" s="188">
        <f t="shared" si="72"/>
        <v>17479.199999999997</v>
      </c>
      <c r="AH96" s="188">
        <f t="shared" si="73"/>
        <v>155326.47</v>
      </c>
      <c r="AI96" s="404">
        <f t="shared" si="57"/>
        <v>0</v>
      </c>
      <c r="AJ96" s="404">
        <f t="shared" si="123"/>
        <v>0</v>
      </c>
      <c r="AK96" s="404">
        <f t="shared" si="58"/>
        <v>0</v>
      </c>
      <c r="AL96" s="188">
        <f t="shared" si="74"/>
        <v>308230.8000000001</v>
      </c>
      <c r="AM96" s="317">
        <f t="shared" si="105"/>
        <v>5</v>
      </c>
      <c r="AN96" s="14">
        <f t="shared" si="59"/>
        <v>1944.5499999999997</v>
      </c>
      <c r="AO96" s="14">
        <f>IF(W96&lt;=0,0,+$AA$6-$C$2+I96-U96)</f>
        <v>195394.58000000002</v>
      </c>
      <c r="AP96" s="14">
        <f t="shared" si="60"/>
        <v>1944.5499999999997</v>
      </c>
      <c r="AS96" s="14">
        <f t="shared" si="100"/>
        <v>1944.5499999999997</v>
      </c>
      <c r="AT96" s="14">
        <f t="shared" si="106"/>
        <v>133693.3900000001</v>
      </c>
      <c r="AU96" s="188">
        <f>IF(W96&lt;=0,0,+($O$5+AV95)*$AQ$2/12)</f>
        <v>994.30953606578635</v>
      </c>
      <c r="AV96" s="188">
        <f t="shared" si="107"/>
        <v>73008.12396238037</v>
      </c>
      <c r="AX96" s="371"/>
    </row>
    <row r="97" spans="1:50">
      <c r="A97" s="395">
        <f t="shared" si="62"/>
        <v>48300</v>
      </c>
      <c r="B97" s="188">
        <f t="shared" si="101"/>
        <v>113296.39</v>
      </c>
      <c r="C97" s="14">
        <f t="shared" si="92"/>
        <v>559.88</v>
      </c>
      <c r="D97" s="14">
        <f t="shared" si="108"/>
        <v>135.01999999999998</v>
      </c>
      <c r="E97" s="14">
        <f t="shared" si="93"/>
        <v>424.86</v>
      </c>
      <c r="F97" s="14">
        <f t="shared" si="44"/>
        <v>51.5</v>
      </c>
      <c r="G97" s="14">
        <f t="shared" si="45"/>
        <v>145.09666666666666</v>
      </c>
      <c r="H97" s="14">
        <f t="shared" si="47"/>
        <v>756.47666666666669</v>
      </c>
      <c r="I97" s="188">
        <f t="shared" si="63"/>
        <v>10011.800000000001</v>
      </c>
      <c r="J97" s="188">
        <f t="shared" si="64"/>
        <v>36358.53</v>
      </c>
      <c r="K97" s="188">
        <f t="shared" si="65"/>
        <v>113161.37</v>
      </c>
      <c r="L97" s="317">
        <f t="shared" si="94"/>
        <v>5</v>
      </c>
      <c r="M97" s="317">
        <f>IF(N97&lt;&gt;"",IF(N97=$O$5,0,+M96+1),0)</f>
        <v>69</v>
      </c>
      <c r="N97" s="188">
        <f t="shared" si="102"/>
        <v>308230.8000000001</v>
      </c>
      <c r="O97" s="188">
        <f>IF($O$11&lt;=A97,IF(+$W96&lt;=0,0,$O$8),0)</f>
        <v>2504.4299999999998</v>
      </c>
      <c r="P97" s="188">
        <f t="shared" si="109"/>
        <v>321.12999999999965</v>
      </c>
      <c r="Q97" s="188">
        <f>IF($O$11&lt;=A97,ROUND(N97*($O$7/12),2),0)</f>
        <v>2183.3000000000002</v>
      </c>
      <c r="R97" s="188">
        <f t="shared" si="75"/>
        <v>51.5</v>
      </c>
      <c r="S97" s="188">
        <f t="shared" si="66"/>
        <v>145.09666666666666</v>
      </c>
      <c r="T97" s="188">
        <f t="shared" si="52"/>
        <v>2701.0266666666666</v>
      </c>
      <c r="U97" s="188">
        <f t="shared" si="110"/>
        <v>17800.329999999998</v>
      </c>
      <c r="V97" s="188">
        <f t="shared" si="111"/>
        <v>157509.76999999999</v>
      </c>
      <c r="W97" s="188">
        <f t="shared" si="67"/>
        <v>307909.6700000001</v>
      </c>
      <c r="X97" s="395">
        <f t="shared" si="103"/>
        <v>48300</v>
      </c>
      <c r="Y97" s="188">
        <f t="shared" si="68"/>
        <v>308230.8000000001</v>
      </c>
      <c r="Z97" s="388">
        <f t="shared" si="95"/>
        <v>8.4999999999999992E-2</v>
      </c>
      <c r="AA97" s="188">
        <f t="shared" si="96"/>
        <v>2504.4299999999998</v>
      </c>
      <c r="AB97" s="188">
        <f t="shared" si="69"/>
        <v>321.12999999999965</v>
      </c>
      <c r="AC97" s="188">
        <f t="shared" si="97"/>
        <v>2183.3000000000002</v>
      </c>
      <c r="AD97" s="188">
        <f t="shared" ref="AD97:AE97" si="128">+AD96</f>
        <v>51.5</v>
      </c>
      <c r="AE97" s="188">
        <f t="shared" si="128"/>
        <v>145.09666666666666</v>
      </c>
      <c r="AF97" s="188">
        <f t="shared" si="71"/>
        <v>2701.0266666666666</v>
      </c>
      <c r="AG97" s="188">
        <f t="shared" si="72"/>
        <v>17800.329999999998</v>
      </c>
      <c r="AH97" s="188">
        <f t="shared" si="73"/>
        <v>157509.76999999999</v>
      </c>
      <c r="AI97" s="404">
        <f t="shared" si="57"/>
        <v>0</v>
      </c>
      <c r="AJ97" s="404">
        <f t="shared" si="123"/>
        <v>0</v>
      </c>
      <c r="AK97" s="404">
        <f t="shared" si="58"/>
        <v>0</v>
      </c>
      <c r="AL97" s="188">
        <f t="shared" si="74"/>
        <v>307909.6700000001</v>
      </c>
      <c r="AM97" s="317">
        <f t="shared" si="105"/>
        <v>5</v>
      </c>
      <c r="AN97" s="14">
        <f t="shared" si="59"/>
        <v>1944.5499999999997</v>
      </c>
      <c r="AO97" s="14">
        <f>IF(W97&lt;=0,0,+$AA$6-$C$2+I97-U97)</f>
        <v>195208.47</v>
      </c>
      <c r="AP97" s="14">
        <f t="shared" si="60"/>
        <v>1944.5499999999997</v>
      </c>
      <c r="AS97" s="14">
        <f t="shared" si="100"/>
        <v>1944.5499999999997</v>
      </c>
      <c r="AT97" s="14">
        <f t="shared" si="106"/>
        <v>135637.94000000009</v>
      </c>
      <c r="AU97" s="188">
        <f>IF(W97&lt;=0,0,+($O$5+AV96)*$AQ$2/12)</f>
        <v>996.79530990595083</v>
      </c>
      <c r="AV97" s="188">
        <f t="shared" si="107"/>
        <v>74004.919272286323</v>
      </c>
      <c r="AX97" s="371"/>
    </row>
    <row r="98" spans="1:50">
      <c r="A98" s="395">
        <f t="shared" si="62"/>
        <v>48330</v>
      </c>
      <c r="B98" s="188">
        <f t="shared" si="101"/>
        <v>113161.37</v>
      </c>
      <c r="C98" s="14">
        <f t="shared" si="92"/>
        <v>559.88</v>
      </c>
      <c r="D98" s="14">
        <f t="shared" si="108"/>
        <v>135.51999999999998</v>
      </c>
      <c r="E98" s="14">
        <f t="shared" si="93"/>
        <v>424.36</v>
      </c>
      <c r="F98" s="14">
        <f t="shared" si="44"/>
        <v>51.5</v>
      </c>
      <c r="G98" s="14">
        <f t="shared" si="45"/>
        <v>145.09666666666666</v>
      </c>
      <c r="H98" s="14">
        <f t="shared" si="47"/>
        <v>756.47666666666669</v>
      </c>
      <c r="I98" s="188">
        <f t="shared" si="63"/>
        <v>10147.320000000002</v>
      </c>
      <c r="J98" s="188">
        <f t="shared" si="64"/>
        <v>36782.89</v>
      </c>
      <c r="K98" s="188">
        <f t="shared" si="65"/>
        <v>113025.84999999999</v>
      </c>
      <c r="L98" s="317">
        <f t="shared" si="94"/>
        <v>5</v>
      </c>
      <c r="M98" s="317">
        <f>IF(N98&lt;&gt;"",IF(N98=$O$5,0,+M97+1),0)</f>
        <v>70</v>
      </c>
      <c r="N98" s="188">
        <f t="shared" si="102"/>
        <v>307909.6700000001</v>
      </c>
      <c r="O98" s="188">
        <f>IF($O$11&lt;=A98,IF(+$W97&lt;=0,0,$O$8),0)</f>
        <v>2504.4299999999998</v>
      </c>
      <c r="P98" s="188">
        <f t="shared" si="109"/>
        <v>323.39999999999964</v>
      </c>
      <c r="Q98" s="188">
        <f>IF($O$11&lt;=A98,ROUND(N98*($O$7/12),2),0)</f>
        <v>2181.0300000000002</v>
      </c>
      <c r="R98" s="188">
        <f t="shared" si="75"/>
        <v>51.5</v>
      </c>
      <c r="S98" s="188">
        <f t="shared" si="66"/>
        <v>145.09666666666666</v>
      </c>
      <c r="T98" s="188">
        <f t="shared" si="52"/>
        <v>2701.0266666666666</v>
      </c>
      <c r="U98" s="188">
        <f t="shared" si="110"/>
        <v>18123.729999999996</v>
      </c>
      <c r="V98" s="188">
        <f t="shared" si="111"/>
        <v>159690.79999999999</v>
      </c>
      <c r="W98" s="188">
        <f t="shared" si="67"/>
        <v>307586.27000000008</v>
      </c>
      <c r="X98" s="395">
        <f t="shared" si="103"/>
        <v>48330</v>
      </c>
      <c r="Y98" s="188">
        <f t="shared" si="68"/>
        <v>307909.6700000001</v>
      </c>
      <c r="Z98" s="388">
        <f t="shared" si="95"/>
        <v>8.4999999999999992E-2</v>
      </c>
      <c r="AA98" s="188">
        <f t="shared" si="96"/>
        <v>2504.4299999999998</v>
      </c>
      <c r="AB98" s="188">
        <f t="shared" si="69"/>
        <v>323.39999999999964</v>
      </c>
      <c r="AC98" s="188">
        <f t="shared" si="97"/>
        <v>2181.0300000000002</v>
      </c>
      <c r="AD98" s="188">
        <f t="shared" ref="AD98:AE98" si="129">+AD97</f>
        <v>51.5</v>
      </c>
      <c r="AE98" s="188">
        <f t="shared" si="129"/>
        <v>145.09666666666666</v>
      </c>
      <c r="AF98" s="188">
        <f t="shared" si="71"/>
        <v>2701.0266666666666</v>
      </c>
      <c r="AG98" s="188">
        <f t="shared" si="72"/>
        <v>18123.729999999996</v>
      </c>
      <c r="AH98" s="188">
        <f t="shared" si="73"/>
        <v>159690.79999999999</v>
      </c>
      <c r="AI98" s="404">
        <f t="shared" si="57"/>
        <v>0</v>
      </c>
      <c r="AJ98" s="404">
        <f t="shared" si="123"/>
        <v>0</v>
      </c>
      <c r="AK98" s="404">
        <f t="shared" si="58"/>
        <v>0</v>
      </c>
      <c r="AL98" s="188">
        <f t="shared" si="74"/>
        <v>307586.27000000008</v>
      </c>
      <c r="AM98" s="317">
        <f t="shared" si="105"/>
        <v>5</v>
      </c>
      <c r="AN98" s="14">
        <f t="shared" si="59"/>
        <v>1944.5499999999997</v>
      </c>
      <c r="AO98" s="14">
        <f>IF(W98&lt;=0,0,+$AA$6-$C$2+I98-U98)</f>
        <v>195020.59000000003</v>
      </c>
      <c r="AP98" s="14">
        <f t="shared" si="60"/>
        <v>1944.5499999999997</v>
      </c>
      <c r="AS98" s="14">
        <f t="shared" si="100"/>
        <v>1944.5499999999997</v>
      </c>
      <c r="AT98" s="14">
        <f t="shared" si="106"/>
        <v>137582.49000000008</v>
      </c>
      <c r="AU98" s="188">
        <f>IF(W98&lt;=0,0,+($O$5+AV97)*$AQ$2/12)</f>
        <v>999.28729818071588</v>
      </c>
      <c r="AV98" s="188">
        <f t="shared" si="107"/>
        <v>75004.206570467039</v>
      </c>
    </row>
    <row r="99" spans="1:50" ht="15.75" thickBot="1">
      <c r="A99" s="398">
        <f t="shared" si="62"/>
        <v>48360</v>
      </c>
      <c r="B99" s="237">
        <f t="shared" si="101"/>
        <v>113025.84999999999</v>
      </c>
      <c r="C99" s="21">
        <f t="shared" si="92"/>
        <v>559.88</v>
      </c>
      <c r="D99" s="21">
        <f t="shared" si="108"/>
        <v>136.02999999999997</v>
      </c>
      <c r="E99" s="21">
        <f t="shared" si="93"/>
        <v>423.85</v>
      </c>
      <c r="F99" s="21">
        <f t="shared" si="44"/>
        <v>51.5</v>
      </c>
      <c r="G99" s="21">
        <f t="shared" si="45"/>
        <v>145.09666666666666</v>
      </c>
      <c r="H99" s="21">
        <f t="shared" si="47"/>
        <v>756.47666666666669</v>
      </c>
      <c r="I99" s="237">
        <f t="shared" si="63"/>
        <v>10283.350000000002</v>
      </c>
      <c r="J99" s="237">
        <f t="shared" si="64"/>
        <v>37206.74</v>
      </c>
      <c r="K99" s="237">
        <f t="shared" si="65"/>
        <v>112889.81999999999</v>
      </c>
      <c r="L99" s="318">
        <f t="shared" si="94"/>
        <v>5</v>
      </c>
      <c r="M99" s="318">
        <f>IF(N99&lt;&gt;"",IF(N99=$O$5,0,+M98+1),0)</f>
        <v>71</v>
      </c>
      <c r="N99" s="237">
        <f t="shared" si="102"/>
        <v>307586.27000000008</v>
      </c>
      <c r="O99" s="237">
        <f>IF($O$11&lt;=A99,IF(+$W98&lt;=0,0,$O$8),0)</f>
        <v>2504.4299999999998</v>
      </c>
      <c r="P99" s="237">
        <f t="shared" si="109"/>
        <v>325.69000000000005</v>
      </c>
      <c r="Q99" s="237">
        <f>IF($O$11&lt;=A99,ROUND(N99*($O$7/12),2),0)</f>
        <v>2178.7399999999998</v>
      </c>
      <c r="R99" s="237">
        <f t="shared" si="75"/>
        <v>51.5</v>
      </c>
      <c r="S99" s="237">
        <f t="shared" si="66"/>
        <v>145.09666666666666</v>
      </c>
      <c r="T99" s="237">
        <f t="shared" si="52"/>
        <v>2701.0266666666666</v>
      </c>
      <c r="U99" s="237">
        <f t="shared" si="110"/>
        <v>18449.419999999995</v>
      </c>
      <c r="V99" s="237">
        <f t="shared" si="111"/>
        <v>161869.53999999998</v>
      </c>
      <c r="W99" s="237">
        <f t="shared" si="67"/>
        <v>307260.58000000007</v>
      </c>
      <c r="X99" s="398">
        <f t="shared" si="103"/>
        <v>48360</v>
      </c>
      <c r="Y99" s="237">
        <f t="shared" si="68"/>
        <v>307586.27000000008</v>
      </c>
      <c r="Z99" s="389">
        <f t="shared" si="95"/>
        <v>8.4999999999999992E-2</v>
      </c>
      <c r="AA99" s="237">
        <f t="shared" si="96"/>
        <v>2504.4299999999998</v>
      </c>
      <c r="AB99" s="237">
        <f t="shared" si="69"/>
        <v>325.69000000000005</v>
      </c>
      <c r="AC99" s="237">
        <f t="shared" si="97"/>
        <v>2178.7399999999998</v>
      </c>
      <c r="AD99" s="237">
        <f t="shared" ref="AD99:AE99" si="130">+AD98</f>
        <v>51.5</v>
      </c>
      <c r="AE99" s="237">
        <f t="shared" si="130"/>
        <v>145.09666666666666</v>
      </c>
      <c r="AF99" s="237">
        <f t="shared" si="71"/>
        <v>2701.0266666666666</v>
      </c>
      <c r="AG99" s="237">
        <f t="shared" si="72"/>
        <v>18449.419999999995</v>
      </c>
      <c r="AH99" s="237">
        <f t="shared" si="73"/>
        <v>161869.53999999998</v>
      </c>
      <c r="AI99" s="405">
        <f t="shared" si="57"/>
        <v>0</v>
      </c>
      <c r="AJ99" s="405">
        <f t="shared" si="123"/>
        <v>0</v>
      </c>
      <c r="AK99" s="405">
        <f t="shared" si="58"/>
        <v>0</v>
      </c>
      <c r="AL99" s="237">
        <f t="shared" si="74"/>
        <v>307260.58000000007</v>
      </c>
      <c r="AM99" s="318">
        <f t="shared" si="105"/>
        <v>5</v>
      </c>
      <c r="AN99" s="21">
        <f t="shared" si="59"/>
        <v>1944.5499999999997</v>
      </c>
      <c r="AO99" s="21">
        <f>IF(W99&lt;=0,0,+$AA$6-$C$2+I99-U99)</f>
        <v>194830.93000000002</v>
      </c>
      <c r="AP99" s="21">
        <f t="shared" si="60"/>
        <v>1944.5499999999997</v>
      </c>
      <c r="AQ99" s="21"/>
      <c r="AR99" s="23"/>
      <c r="AS99" s="21">
        <f t="shared" si="100"/>
        <v>1944.5499999999997</v>
      </c>
      <c r="AT99" s="21">
        <f t="shared" si="106"/>
        <v>139527.04000000007</v>
      </c>
      <c r="AU99" s="237">
        <f>IF(W99&lt;=0,0,+($O$5+AV98)*$AQ$2/12)</f>
        <v>1001.7855164261676</v>
      </c>
      <c r="AV99" s="237">
        <f t="shared" si="107"/>
        <v>76005.992086893209</v>
      </c>
    </row>
    <row r="100" spans="1:50">
      <c r="A100" s="395">
        <f t="shared" si="62"/>
        <v>48390</v>
      </c>
      <c r="B100" s="188">
        <f t="shared" si="101"/>
        <v>112889.81999999999</v>
      </c>
      <c r="C100" s="14">
        <f t="shared" si="92"/>
        <v>559.88</v>
      </c>
      <c r="D100" s="14">
        <f t="shared" si="108"/>
        <v>136.54000000000002</v>
      </c>
      <c r="E100" s="14">
        <f t="shared" si="93"/>
        <v>423.34</v>
      </c>
      <c r="F100" s="14">
        <f t="shared" si="44"/>
        <v>51.5</v>
      </c>
      <c r="G100" s="14">
        <f t="shared" si="45"/>
        <v>145.09666666666666</v>
      </c>
      <c r="H100" s="14">
        <f t="shared" si="47"/>
        <v>756.47666666666669</v>
      </c>
      <c r="I100" s="188">
        <f t="shared" si="63"/>
        <v>10419.890000000003</v>
      </c>
      <c r="J100" s="188">
        <f t="shared" si="64"/>
        <v>37630.079999999994</v>
      </c>
      <c r="K100" s="188">
        <f t="shared" si="65"/>
        <v>112753.28</v>
      </c>
      <c r="L100" s="317">
        <f t="shared" si="94"/>
        <v>6</v>
      </c>
      <c r="M100" s="317">
        <f>IF(N100&lt;&gt;"",IF(N100=$O$5,0,+M99+1),0)</f>
        <v>72</v>
      </c>
      <c r="N100" s="188">
        <f t="shared" si="102"/>
        <v>307260.58000000007</v>
      </c>
      <c r="O100" s="188">
        <f>IF($O$11&lt;=A100,IF(+$W99&lt;=0,0,$O$8),0)</f>
        <v>2504.4299999999998</v>
      </c>
      <c r="P100" s="188">
        <f t="shared" si="109"/>
        <v>328</v>
      </c>
      <c r="Q100" s="188">
        <f>IF($O$11&lt;=A100,ROUND(N100*($O$7/12),2),0)</f>
        <v>2176.4299999999998</v>
      </c>
      <c r="R100" s="188">
        <f t="shared" si="75"/>
        <v>51.5</v>
      </c>
      <c r="S100" s="188">
        <f t="shared" si="66"/>
        <v>145.09666666666666</v>
      </c>
      <c r="T100" s="188">
        <f t="shared" si="52"/>
        <v>2701.0266666666666</v>
      </c>
      <c r="U100" s="188">
        <f t="shared" si="110"/>
        <v>18777.419999999995</v>
      </c>
      <c r="V100" s="188">
        <f t="shared" si="111"/>
        <v>164045.96999999997</v>
      </c>
      <c r="W100" s="188">
        <f t="shared" si="67"/>
        <v>306932.58000000007</v>
      </c>
      <c r="X100" s="395">
        <f t="shared" si="103"/>
        <v>48390</v>
      </c>
      <c r="Y100" s="188">
        <f t="shared" si="68"/>
        <v>307260.58000000007</v>
      </c>
      <c r="Z100" s="388">
        <f t="shared" si="95"/>
        <v>8.4999999999999992E-2</v>
      </c>
      <c r="AA100" s="188">
        <f t="shared" si="96"/>
        <v>2504.4299999999998</v>
      </c>
      <c r="AB100" s="188">
        <f t="shared" si="69"/>
        <v>328</v>
      </c>
      <c r="AC100" s="188">
        <f t="shared" si="97"/>
        <v>2176.4299999999998</v>
      </c>
      <c r="AD100" s="188">
        <f t="shared" ref="AD100:AE100" si="131">+AD99</f>
        <v>51.5</v>
      </c>
      <c r="AE100" s="188">
        <f t="shared" si="131"/>
        <v>145.09666666666666</v>
      </c>
      <c r="AF100" s="188">
        <f t="shared" si="71"/>
        <v>2701.0266666666666</v>
      </c>
      <c r="AG100" s="188">
        <f t="shared" si="72"/>
        <v>18777.419999999995</v>
      </c>
      <c r="AH100" s="188">
        <f t="shared" si="73"/>
        <v>164045.96999999997</v>
      </c>
      <c r="AI100" s="404">
        <f t="shared" si="57"/>
        <v>0</v>
      </c>
      <c r="AJ100" s="404">
        <f t="shared" si="123"/>
        <v>0</v>
      </c>
      <c r="AK100" s="404">
        <f t="shared" si="58"/>
        <v>0</v>
      </c>
      <c r="AL100" s="188">
        <f t="shared" si="74"/>
        <v>306932.58000000007</v>
      </c>
      <c r="AM100" s="317">
        <f t="shared" si="105"/>
        <v>6</v>
      </c>
      <c r="AN100" s="14">
        <f t="shared" si="59"/>
        <v>1944.5499999999997</v>
      </c>
      <c r="AO100" s="14">
        <f>IF(W100&lt;=0,0,+$AA$6-$C$2+I100-U100)</f>
        <v>194639.47000000003</v>
      </c>
      <c r="AP100" s="14">
        <f t="shared" si="60"/>
        <v>1944.5499999999997</v>
      </c>
      <c r="AS100" s="14">
        <f t="shared" si="100"/>
        <v>1944.5499999999997</v>
      </c>
      <c r="AT100" s="14">
        <f t="shared" si="106"/>
        <v>141471.59000000005</v>
      </c>
      <c r="AU100" s="188">
        <f>IF(W100&lt;=0,0,+($O$5+AV99)*$AQ$2/12)</f>
        <v>1004.2899802172329</v>
      </c>
      <c r="AV100" s="188">
        <f t="shared" si="107"/>
        <v>77010.282067110442</v>
      </c>
    </row>
    <row r="101" spans="1:50">
      <c r="A101" s="395">
        <f t="shared" si="62"/>
        <v>48420</v>
      </c>
      <c r="B101" s="188">
        <f t="shared" si="101"/>
        <v>112753.28</v>
      </c>
      <c r="C101" s="14">
        <f t="shared" si="92"/>
        <v>559.88</v>
      </c>
      <c r="D101" s="14">
        <f t="shared" si="108"/>
        <v>137.06</v>
      </c>
      <c r="E101" s="14">
        <f t="shared" si="93"/>
        <v>422.82</v>
      </c>
      <c r="F101" s="14">
        <f t="shared" si="44"/>
        <v>51.5</v>
      </c>
      <c r="G101" s="14">
        <f t="shared" si="45"/>
        <v>145.09666666666666</v>
      </c>
      <c r="H101" s="14">
        <f t="shared" si="47"/>
        <v>756.47666666666669</v>
      </c>
      <c r="I101" s="188">
        <f t="shared" si="63"/>
        <v>10556.950000000003</v>
      </c>
      <c r="J101" s="188">
        <f t="shared" si="64"/>
        <v>38052.899999999994</v>
      </c>
      <c r="K101" s="188">
        <f t="shared" si="65"/>
        <v>112616.22</v>
      </c>
      <c r="L101" s="317">
        <f t="shared" si="94"/>
        <v>6</v>
      </c>
      <c r="M101" s="317">
        <f>IF(N101&lt;&gt;"",IF(N101=$O$5,0,+M100+1),0)</f>
        <v>73</v>
      </c>
      <c r="N101" s="188">
        <f t="shared" si="102"/>
        <v>306932.58000000007</v>
      </c>
      <c r="O101" s="188">
        <f>IF($O$11&lt;=A101,IF(+$W100&lt;=0,0,$O$8),0)</f>
        <v>2504.4299999999998</v>
      </c>
      <c r="P101" s="188">
        <f t="shared" si="109"/>
        <v>330.31999999999971</v>
      </c>
      <c r="Q101" s="188">
        <f>IF($O$11&lt;=A101,ROUND(N101*($O$7/12),2),0)</f>
        <v>2174.11</v>
      </c>
      <c r="R101" s="188">
        <f t="shared" si="75"/>
        <v>51.5</v>
      </c>
      <c r="S101" s="188">
        <f t="shared" si="66"/>
        <v>145.09666666666666</v>
      </c>
      <c r="T101" s="188">
        <f t="shared" si="52"/>
        <v>2701.0266666666666</v>
      </c>
      <c r="U101" s="188">
        <f t="shared" si="110"/>
        <v>19107.739999999994</v>
      </c>
      <c r="V101" s="188">
        <f t="shared" si="111"/>
        <v>166220.07999999996</v>
      </c>
      <c r="W101" s="188">
        <f t="shared" si="67"/>
        <v>306602.26000000007</v>
      </c>
      <c r="X101" s="395">
        <f t="shared" si="103"/>
        <v>48420</v>
      </c>
      <c r="Y101" s="188">
        <f t="shared" si="68"/>
        <v>306932.58000000007</v>
      </c>
      <c r="Z101" s="388">
        <f t="shared" si="95"/>
        <v>8.4999999999999992E-2</v>
      </c>
      <c r="AA101" s="188">
        <f t="shared" si="96"/>
        <v>2504.4299999999998</v>
      </c>
      <c r="AB101" s="188">
        <f t="shared" si="69"/>
        <v>330.31999999999971</v>
      </c>
      <c r="AC101" s="188">
        <f t="shared" si="97"/>
        <v>2174.11</v>
      </c>
      <c r="AD101" s="188">
        <f t="shared" ref="AD101:AE101" si="132">+AD100</f>
        <v>51.5</v>
      </c>
      <c r="AE101" s="188">
        <f t="shared" si="132"/>
        <v>145.09666666666666</v>
      </c>
      <c r="AF101" s="188">
        <f t="shared" si="71"/>
        <v>2701.0266666666666</v>
      </c>
      <c r="AG101" s="188">
        <f t="shared" si="72"/>
        <v>19107.739999999994</v>
      </c>
      <c r="AH101" s="188">
        <f t="shared" si="73"/>
        <v>166220.07999999996</v>
      </c>
      <c r="AI101" s="404">
        <f t="shared" si="57"/>
        <v>0</v>
      </c>
      <c r="AJ101" s="404">
        <f t="shared" si="123"/>
        <v>0</v>
      </c>
      <c r="AK101" s="404">
        <f t="shared" si="58"/>
        <v>0</v>
      </c>
      <c r="AL101" s="188">
        <f t="shared" si="74"/>
        <v>306602.26000000007</v>
      </c>
      <c r="AM101" s="317">
        <f t="shared" si="105"/>
        <v>6</v>
      </c>
      <c r="AN101" s="14">
        <f t="shared" si="59"/>
        <v>1944.5499999999997</v>
      </c>
      <c r="AO101" s="14">
        <f>IF(W101&lt;=0,0,+$AA$6-$C$2+I101-U101)</f>
        <v>194446.21000000002</v>
      </c>
      <c r="AP101" s="14">
        <f t="shared" si="60"/>
        <v>1944.5499999999997</v>
      </c>
      <c r="AS101" s="14">
        <f t="shared" si="100"/>
        <v>1944.5499999999997</v>
      </c>
      <c r="AT101" s="14">
        <f t="shared" si="106"/>
        <v>143416.14000000004</v>
      </c>
      <c r="AU101" s="188">
        <f>IF(W101&lt;=0,0,+($O$5+AV100)*$AQ$2/12)</f>
        <v>1006.800705167776</v>
      </c>
      <c r="AV101" s="188">
        <f t="shared" si="107"/>
        <v>78017.082772278212</v>
      </c>
    </row>
    <row r="102" spans="1:50">
      <c r="A102" s="395">
        <f t="shared" si="62"/>
        <v>48450</v>
      </c>
      <c r="B102" s="188">
        <f t="shared" si="101"/>
        <v>112616.22</v>
      </c>
      <c r="C102" s="14">
        <f t="shared" si="92"/>
        <v>559.88</v>
      </c>
      <c r="D102" s="14">
        <f t="shared" si="108"/>
        <v>137.57</v>
      </c>
      <c r="E102" s="14">
        <f t="shared" si="93"/>
        <v>422.31</v>
      </c>
      <c r="F102" s="14">
        <f t="shared" si="44"/>
        <v>51.5</v>
      </c>
      <c r="G102" s="14">
        <f t="shared" si="45"/>
        <v>145.09666666666666</v>
      </c>
      <c r="H102" s="14">
        <f t="shared" si="47"/>
        <v>756.47666666666669</v>
      </c>
      <c r="I102" s="188">
        <f t="shared" si="63"/>
        <v>10694.520000000002</v>
      </c>
      <c r="J102" s="188">
        <f t="shared" si="64"/>
        <v>38475.209999999992</v>
      </c>
      <c r="K102" s="188">
        <f t="shared" si="65"/>
        <v>112478.65</v>
      </c>
      <c r="L102" s="317">
        <f t="shared" si="94"/>
        <v>6</v>
      </c>
      <c r="M102" s="317">
        <f>IF(N102&lt;&gt;"",IF(N102=$O$5,0,+M101+1),0)</f>
        <v>74</v>
      </c>
      <c r="N102" s="188">
        <f t="shared" si="102"/>
        <v>306602.26000000007</v>
      </c>
      <c r="O102" s="188">
        <f>IF($O$11&lt;=A102,IF(+$W101&lt;=0,0,$O$8),0)</f>
        <v>2504.4299999999998</v>
      </c>
      <c r="P102" s="188">
        <f t="shared" si="109"/>
        <v>332.65999999999985</v>
      </c>
      <c r="Q102" s="188">
        <f>IF($O$11&lt;=A102,ROUND(N102*($O$7/12),2),0)</f>
        <v>2171.77</v>
      </c>
      <c r="R102" s="188">
        <f t="shared" si="75"/>
        <v>51.5</v>
      </c>
      <c r="S102" s="188">
        <f t="shared" si="66"/>
        <v>145.09666666666666</v>
      </c>
      <c r="T102" s="188">
        <f t="shared" si="52"/>
        <v>2701.0266666666666</v>
      </c>
      <c r="U102" s="188">
        <f t="shared" si="110"/>
        <v>19440.399999999994</v>
      </c>
      <c r="V102" s="188">
        <f t="shared" si="111"/>
        <v>168391.84999999995</v>
      </c>
      <c r="W102" s="188">
        <f t="shared" si="67"/>
        <v>306269.60000000009</v>
      </c>
      <c r="X102" s="395">
        <f t="shared" si="103"/>
        <v>48450</v>
      </c>
      <c r="Y102" s="188">
        <f t="shared" si="68"/>
        <v>306602.26000000007</v>
      </c>
      <c r="Z102" s="388">
        <f t="shared" si="95"/>
        <v>8.4999999999999992E-2</v>
      </c>
      <c r="AA102" s="188">
        <f t="shared" si="96"/>
        <v>2504.4299999999998</v>
      </c>
      <c r="AB102" s="188">
        <f t="shared" si="69"/>
        <v>332.65999999999985</v>
      </c>
      <c r="AC102" s="188">
        <f t="shared" si="97"/>
        <v>2171.77</v>
      </c>
      <c r="AD102" s="188">
        <f t="shared" ref="AD102:AE102" si="133">+AD101</f>
        <v>51.5</v>
      </c>
      <c r="AE102" s="188">
        <f t="shared" si="133"/>
        <v>145.09666666666666</v>
      </c>
      <c r="AF102" s="188">
        <f t="shared" si="71"/>
        <v>2701.0266666666666</v>
      </c>
      <c r="AG102" s="188">
        <f t="shared" si="72"/>
        <v>19440.399999999994</v>
      </c>
      <c r="AH102" s="188">
        <f t="shared" si="73"/>
        <v>168391.84999999995</v>
      </c>
      <c r="AI102" s="404">
        <f t="shared" si="57"/>
        <v>0</v>
      </c>
      <c r="AJ102" s="404">
        <f t="shared" si="123"/>
        <v>0</v>
      </c>
      <c r="AK102" s="404">
        <f t="shared" si="58"/>
        <v>0</v>
      </c>
      <c r="AL102" s="188">
        <f t="shared" si="74"/>
        <v>306269.60000000009</v>
      </c>
      <c r="AM102" s="317">
        <f t="shared" si="105"/>
        <v>6</v>
      </c>
      <c r="AN102" s="14">
        <f t="shared" si="59"/>
        <v>1944.5499999999997</v>
      </c>
      <c r="AO102" s="14">
        <f>IF(W102&lt;=0,0,+$AA$6-$C$2+I102-U102)</f>
        <v>194251.12</v>
      </c>
      <c r="AP102" s="14">
        <f t="shared" si="60"/>
        <v>1944.5499999999997</v>
      </c>
      <c r="AS102" s="14">
        <f t="shared" si="100"/>
        <v>1944.5499999999997</v>
      </c>
      <c r="AT102" s="14">
        <f t="shared" si="106"/>
        <v>145360.69000000003</v>
      </c>
      <c r="AU102" s="188">
        <f>IF(W102&lt;=0,0,+($O$5+AV101)*$AQ$2/12)</f>
        <v>1009.3177069306956</v>
      </c>
      <c r="AV102" s="188">
        <f t="shared" si="107"/>
        <v>79026.400479208911</v>
      </c>
    </row>
    <row r="103" spans="1:50">
      <c r="A103" s="395">
        <f t="shared" si="62"/>
        <v>48480</v>
      </c>
      <c r="B103" s="188">
        <f t="shared" si="101"/>
        <v>112478.65</v>
      </c>
      <c r="C103" s="14">
        <f t="shared" si="92"/>
        <v>559.88</v>
      </c>
      <c r="D103" s="14">
        <f t="shared" si="108"/>
        <v>138.08999999999997</v>
      </c>
      <c r="E103" s="14">
        <f t="shared" si="93"/>
        <v>421.79</v>
      </c>
      <c r="F103" s="14">
        <f t="shared" si="44"/>
        <v>51.5</v>
      </c>
      <c r="G103" s="14">
        <f t="shared" si="45"/>
        <v>145.09666666666666</v>
      </c>
      <c r="H103" s="14">
        <f t="shared" si="47"/>
        <v>756.47666666666669</v>
      </c>
      <c r="I103" s="188">
        <f t="shared" si="63"/>
        <v>10832.610000000002</v>
      </c>
      <c r="J103" s="188">
        <f t="shared" si="64"/>
        <v>38896.999999999993</v>
      </c>
      <c r="K103" s="188">
        <f t="shared" si="65"/>
        <v>112340.56</v>
      </c>
      <c r="L103" s="317">
        <f t="shared" si="94"/>
        <v>6</v>
      </c>
      <c r="M103" s="317">
        <f>IF(N103&lt;&gt;"",IF(N103=$O$5,0,+M102+1),0)</f>
        <v>75</v>
      </c>
      <c r="N103" s="188">
        <f t="shared" si="102"/>
        <v>306269.60000000009</v>
      </c>
      <c r="O103" s="188">
        <f>IF($O$11&lt;=A103,IF(+$W102&lt;=0,0,$O$8),0)</f>
        <v>2504.4299999999998</v>
      </c>
      <c r="P103" s="188">
        <f t="shared" si="109"/>
        <v>335.02</v>
      </c>
      <c r="Q103" s="188">
        <f>IF($O$11&lt;=A103,ROUND(N103*($O$7/12),2),0)</f>
        <v>2169.41</v>
      </c>
      <c r="R103" s="188">
        <f t="shared" si="75"/>
        <v>51.5</v>
      </c>
      <c r="S103" s="188">
        <f t="shared" si="66"/>
        <v>145.09666666666666</v>
      </c>
      <c r="T103" s="188">
        <f t="shared" si="52"/>
        <v>2701.0266666666666</v>
      </c>
      <c r="U103" s="188">
        <f t="shared" si="110"/>
        <v>19775.419999999995</v>
      </c>
      <c r="V103" s="188">
        <f t="shared" si="111"/>
        <v>170561.25999999995</v>
      </c>
      <c r="W103" s="188">
        <f t="shared" si="67"/>
        <v>305934.58000000007</v>
      </c>
      <c r="X103" s="395">
        <f t="shared" si="103"/>
        <v>48480</v>
      </c>
      <c r="Y103" s="188">
        <f t="shared" si="68"/>
        <v>306269.60000000009</v>
      </c>
      <c r="Z103" s="388">
        <f t="shared" si="95"/>
        <v>8.4999999999999992E-2</v>
      </c>
      <c r="AA103" s="188">
        <f t="shared" si="96"/>
        <v>2504.4299999999998</v>
      </c>
      <c r="AB103" s="188">
        <f t="shared" si="69"/>
        <v>335.02</v>
      </c>
      <c r="AC103" s="188">
        <f t="shared" si="97"/>
        <v>2169.41</v>
      </c>
      <c r="AD103" s="188">
        <f t="shared" ref="AD103:AE103" si="134">+AD102</f>
        <v>51.5</v>
      </c>
      <c r="AE103" s="188">
        <f t="shared" si="134"/>
        <v>145.09666666666666</v>
      </c>
      <c r="AF103" s="188">
        <f t="shared" si="71"/>
        <v>2701.0266666666666</v>
      </c>
      <c r="AG103" s="188">
        <f t="shared" si="72"/>
        <v>19775.419999999995</v>
      </c>
      <c r="AH103" s="188">
        <f t="shared" si="73"/>
        <v>170561.25999999995</v>
      </c>
      <c r="AI103" s="404">
        <f t="shared" si="57"/>
        <v>0</v>
      </c>
      <c r="AJ103" s="404">
        <f t="shared" si="123"/>
        <v>0</v>
      </c>
      <c r="AK103" s="404">
        <f t="shared" si="58"/>
        <v>0</v>
      </c>
      <c r="AL103" s="188">
        <f t="shared" si="74"/>
        <v>305934.58000000007</v>
      </c>
      <c r="AM103" s="317">
        <f t="shared" si="105"/>
        <v>6</v>
      </c>
      <c r="AN103" s="14">
        <f t="shared" si="59"/>
        <v>1944.5499999999997</v>
      </c>
      <c r="AO103" s="14">
        <f>IF(W103&lt;=0,0,+$AA$6-$C$2+I103-U103)</f>
        <v>194054.19000000003</v>
      </c>
      <c r="AP103" s="14">
        <f t="shared" si="60"/>
        <v>1944.5499999999997</v>
      </c>
      <c r="AS103" s="14">
        <f t="shared" si="100"/>
        <v>1944.5499999999997</v>
      </c>
      <c r="AT103" s="14">
        <f t="shared" si="106"/>
        <v>147305.24000000002</v>
      </c>
      <c r="AU103" s="188">
        <f>IF(W103&lt;=0,0,+($O$5+AV102)*$AQ$2/12)</f>
        <v>1011.8410011980222</v>
      </c>
      <c r="AV103" s="188">
        <f t="shared" si="107"/>
        <v>80038.241480406927</v>
      </c>
    </row>
    <row r="104" spans="1:50">
      <c r="A104" s="395">
        <f t="shared" si="62"/>
        <v>48510</v>
      </c>
      <c r="B104" s="188">
        <f t="shared" si="101"/>
        <v>112340.56</v>
      </c>
      <c r="C104" s="14">
        <f t="shared" si="92"/>
        <v>559.88</v>
      </c>
      <c r="D104" s="14">
        <f t="shared" si="108"/>
        <v>138.60000000000002</v>
      </c>
      <c r="E104" s="14">
        <f t="shared" si="93"/>
        <v>421.28</v>
      </c>
      <c r="F104" s="14">
        <f t="shared" si="44"/>
        <v>51.5</v>
      </c>
      <c r="G104" s="14">
        <f t="shared" si="45"/>
        <v>145.09666666666666</v>
      </c>
      <c r="H104" s="14">
        <f t="shared" si="47"/>
        <v>756.47666666666669</v>
      </c>
      <c r="I104" s="188">
        <f t="shared" si="63"/>
        <v>10971.210000000003</v>
      </c>
      <c r="J104" s="188">
        <f t="shared" si="64"/>
        <v>39318.279999999992</v>
      </c>
      <c r="K104" s="188">
        <f t="shared" si="65"/>
        <v>112201.95999999999</v>
      </c>
      <c r="L104" s="317">
        <f t="shared" si="94"/>
        <v>6</v>
      </c>
      <c r="M104" s="317">
        <f>IF(N104&lt;&gt;"",IF(N104=$O$5,0,+M103+1),0)</f>
        <v>76</v>
      </c>
      <c r="N104" s="188">
        <f t="shared" si="102"/>
        <v>305934.58000000007</v>
      </c>
      <c r="O104" s="188">
        <f>IF($O$11&lt;=A104,IF(+$W103&lt;=0,0,$O$8),0)</f>
        <v>2504.4299999999998</v>
      </c>
      <c r="P104" s="188">
        <f t="shared" si="109"/>
        <v>337.38999999999987</v>
      </c>
      <c r="Q104" s="188">
        <f>IF($O$11&lt;=A104,ROUND(N104*($O$7/12),2),0)</f>
        <v>2167.04</v>
      </c>
      <c r="R104" s="188">
        <f t="shared" si="75"/>
        <v>51.5</v>
      </c>
      <c r="S104" s="188">
        <f t="shared" si="66"/>
        <v>145.09666666666666</v>
      </c>
      <c r="T104" s="188">
        <f t="shared" si="52"/>
        <v>2701.0266666666666</v>
      </c>
      <c r="U104" s="188">
        <f t="shared" si="110"/>
        <v>20112.809999999994</v>
      </c>
      <c r="V104" s="188">
        <f t="shared" si="111"/>
        <v>172728.29999999996</v>
      </c>
      <c r="W104" s="188">
        <f t="shared" si="67"/>
        <v>305597.19000000006</v>
      </c>
      <c r="X104" s="395">
        <f t="shared" si="103"/>
        <v>48510</v>
      </c>
      <c r="Y104" s="188">
        <f t="shared" si="68"/>
        <v>305934.58000000007</v>
      </c>
      <c r="Z104" s="388">
        <f t="shared" si="95"/>
        <v>8.4999999999999992E-2</v>
      </c>
      <c r="AA104" s="188">
        <f t="shared" si="96"/>
        <v>2504.4299999999998</v>
      </c>
      <c r="AB104" s="188">
        <f t="shared" si="69"/>
        <v>337.38999999999987</v>
      </c>
      <c r="AC104" s="188">
        <f t="shared" si="97"/>
        <v>2167.04</v>
      </c>
      <c r="AD104" s="188">
        <f t="shared" ref="AD104:AE104" si="135">+AD103</f>
        <v>51.5</v>
      </c>
      <c r="AE104" s="188">
        <f t="shared" si="135"/>
        <v>145.09666666666666</v>
      </c>
      <c r="AF104" s="188">
        <f t="shared" si="71"/>
        <v>2701.0266666666666</v>
      </c>
      <c r="AG104" s="188">
        <f t="shared" si="72"/>
        <v>20112.809999999994</v>
      </c>
      <c r="AH104" s="188">
        <f t="shared" si="73"/>
        <v>172728.29999999996</v>
      </c>
      <c r="AI104" s="404">
        <f t="shared" si="57"/>
        <v>0</v>
      </c>
      <c r="AJ104" s="404">
        <f t="shared" si="123"/>
        <v>0</v>
      </c>
      <c r="AK104" s="404">
        <f t="shared" si="58"/>
        <v>0</v>
      </c>
      <c r="AL104" s="188">
        <f t="shared" si="74"/>
        <v>305597.19000000006</v>
      </c>
      <c r="AM104" s="317">
        <f t="shared" si="105"/>
        <v>6</v>
      </c>
      <c r="AN104" s="14">
        <f t="shared" si="59"/>
        <v>1944.5499999999997</v>
      </c>
      <c r="AO104" s="14">
        <f>IF(W104&lt;=0,0,+$AA$6-$C$2+I104-U104)</f>
        <v>193855.4</v>
      </c>
      <c r="AP104" s="14">
        <f t="shared" si="60"/>
        <v>1944.5499999999997</v>
      </c>
      <c r="AS104" s="14">
        <f t="shared" si="100"/>
        <v>1944.5499999999997</v>
      </c>
      <c r="AT104" s="14">
        <f t="shared" si="106"/>
        <v>149249.79</v>
      </c>
      <c r="AU104" s="188">
        <f>IF(W104&lt;=0,0,+($O$5+AV103)*$AQ$2/12)</f>
        <v>1014.3706037010173</v>
      </c>
      <c r="AV104" s="188">
        <f t="shared" si="107"/>
        <v>81052.612084107939</v>
      </c>
    </row>
    <row r="105" spans="1:50">
      <c r="A105" s="395">
        <f t="shared" si="62"/>
        <v>48540</v>
      </c>
      <c r="B105" s="188">
        <f t="shared" si="101"/>
        <v>112201.95999999999</v>
      </c>
      <c r="C105" s="14">
        <f t="shared" si="92"/>
        <v>559.88</v>
      </c>
      <c r="D105" s="14">
        <f t="shared" si="108"/>
        <v>139.12</v>
      </c>
      <c r="E105" s="14">
        <f t="shared" si="93"/>
        <v>420.76</v>
      </c>
      <c r="F105" s="14">
        <f t="shared" si="44"/>
        <v>51.5</v>
      </c>
      <c r="G105" s="14">
        <f t="shared" si="45"/>
        <v>145.09666666666666</v>
      </c>
      <c r="H105" s="14">
        <f t="shared" si="47"/>
        <v>756.47666666666669</v>
      </c>
      <c r="I105" s="188">
        <f t="shared" si="63"/>
        <v>11110.330000000004</v>
      </c>
      <c r="J105" s="188">
        <f t="shared" si="64"/>
        <v>39739.039999999994</v>
      </c>
      <c r="K105" s="188">
        <f t="shared" si="65"/>
        <v>112062.84</v>
      </c>
      <c r="L105" s="317">
        <f t="shared" si="94"/>
        <v>6</v>
      </c>
      <c r="M105" s="317">
        <f>IF(N105&lt;&gt;"",IF(N105=$O$5,0,+M104+1),0)</f>
        <v>77</v>
      </c>
      <c r="N105" s="188">
        <f t="shared" si="102"/>
        <v>305597.19000000006</v>
      </c>
      <c r="O105" s="188">
        <f>IF($O$11&lt;=A105,IF(+$W104&lt;=0,0,$O$8),0)</f>
        <v>2504.4299999999998</v>
      </c>
      <c r="P105" s="188">
        <f t="shared" si="109"/>
        <v>339.77999999999975</v>
      </c>
      <c r="Q105" s="188">
        <f>IF($O$11&lt;=A105,ROUND(N105*($O$7/12),2),0)</f>
        <v>2164.65</v>
      </c>
      <c r="R105" s="188">
        <f t="shared" si="75"/>
        <v>51.5</v>
      </c>
      <c r="S105" s="188">
        <f t="shared" si="66"/>
        <v>145.09666666666666</v>
      </c>
      <c r="T105" s="188">
        <f t="shared" si="52"/>
        <v>2701.0266666666666</v>
      </c>
      <c r="U105" s="188">
        <f t="shared" si="110"/>
        <v>20452.589999999993</v>
      </c>
      <c r="V105" s="188">
        <f t="shared" si="111"/>
        <v>174892.94999999995</v>
      </c>
      <c r="W105" s="188">
        <f t="shared" si="67"/>
        <v>305257.41000000003</v>
      </c>
      <c r="X105" s="395">
        <f t="shared" si="103"/>
        <v>48540</v>
      </c>
      <c r="Y105" s="188">
        <f t="shared" si="68"/>
        <v>305597.19000000006</v>
      </c>
      <c r="Z105" s="388">
        <f t="shared" si="95"/>
        <v>8.4999999999999992E-2</v>
      </c>
      <c r="AA105" s="188">
        <f t="shared" si="96"/>
        <v>2504.4299999999998</v>
      </c>
      <c r="AB105" s="188">
        <f t="shared" si="69"/>
        <v>339.77999999999975</v>
      </c>
      <c r="AC105" s="188">
        <f t="shared" si="97"/>
        <v>2164.65</v>
      </c>
      <c r="AD105" s="188">
        <f t="shared" ref="AD105:AE105" si="136">+AD104</f>
        <v>51.5</v>
      </c>
      <c r="AE105" s="188">
        <f t="shared" si="136"/>
        <v>145.09666666666666</v>
      </c>
      <c r="AF105" s="188">
        <f t="shared" si="71"/>
        <v>2701.0266666666666</v>
      </c>
      <c r="AG105" s="188">
        <f t="shared" si="72"/>
        <v>20452.589999999993</v>
      </c>
      <c r="AH105" s="188">
        <f t="shared" si="73"/>
        <v>174892.94999999995</v>
      </c>
      <c r="AI105" s="404">
        <f t="shared" si="57"/>
        <v>0</v>
      </c>
      <c r="AJ105" s="404">
        <f t="shared" si="123"/>
        <v>0</v>
      </c>
      <c r="AK105" s="404">
        <f t="shared" si="58"/>
        <v>0</v>
      </c>
      <c r="AL105" s="188">
        <f t="shared" si="74"/>
        <v>305257.41000000003</v>
      </c>
      <c r="AM105" s="317">
        <f t="shared" si="105"/>
        <v>6</v>
      </c>
      <c r="AN105" s="14">
        <f t="shared" si="59"/>
        <v>1944.5499999999997</v>
      </c>
      <c r="AO105" s="14">
        <f>IF(W105&lt;=0,0,+$AA$6-$C$2+I105-U105)</f>
        <v>193654.74000000002</v>
      </c>
      <c r="AP105" s="14">
        <f t="shared" si="60"/>
        <v>1944.5499999999997</v>
      </c>
      <c r="AS105" s="14">
        <f t="shared" si="100"/>
        <v>1944.5499999999997</v>
      </c>
      <c r="AT105" s="14">
        <f t="shared" si="106"/>
        <v>151194.34</v>
      </c>
      <c r="AU105" s="188">
        <f>IF(W105&lt;=0,0,+($O$5+AV104)*$AQ$2/12)</f>
        <v>1016.9065302102698</v>
      </c>
      <c r="AV105" s="188">
        <f t="shared" si="107"/>
        <v>82069.518614318207</v>
      </c>
    </row>
    <row r="106" spans="1:50">
      <c r="A106" s="395">
        <f t="shared" si="62"/>
        <v>48570</v>
      </c>
      <c r="B106" s="188">
        <f t="shared" si="101"/>
        <v>112062.84</v>
      </c>
      <c r="C106" s="14">
        <f t="shared" si="92"/>
        <v>559.88</v>
      </c>
      <c r="D106" s="14">
        <f t="shared" si="108"/>
        <v>139.63999999999999</v>
      </c>
      <c r="E106" s="14">
        <f t="shared" si="93"/>
        <v>420.24</v>
      </c>
      <c r="F106" s="14">
        <f t="shared" si="44"/>
        <v>51.5</v>
      </c>
      <c r="G106" s="14">
        <f t="shared" si="45"/>
        <v>145.09666666666666</v>
      </c>
      <c r="H106" s="14">
        <f t="shared" si="47"/>
        <v>756.47666666666669</v>
      </c>
      <c r="I106" s="188">
        <f t="shared" si="63"/>
        <v>11249.970000000003</v>
      </c>
      <c r="J106" s="188">
        <f t="shared" si="64"/>
        <v>40159.279999999992</v>
      </c>
      <c r="K106" s="188">
        <f t="shared" si="65"/>
        <v>111923.2</v>
      </c>
      <c r="L106" s="317">
        <f t="shared" si="94"/>
        <v>6</v>
      </c>
      <c r="M106" s="317">
        <f>IF(N106&lt;&gt;"",IF(N106=$O$5,0,+M105+1),0)</f>
        <v>78</v>
      </c>
      <c r="N106" s="188">
        <f t="shared" si="102"/>
        <v>305257.41000000003</v>
      </c>
      <c r="O106" s="188">
        <f>IF($O$11&lt;=A106,IF(+$W105&lt;=0,0,$O$8),0)</f>
        <v>2504.4299999999998</v>
      </c>
      <c r="P106" s="188">
        <f t="shared" si="109"/>
        <v>342.19000000000005</v>
      </c>
      <c r="Q106" s="188">
        <f>IF($O$11&lt;=A106,ROUND(N106*($O$7/12),2),0)</f>
        <v>2162.2399999999998</v>
      </c>
      <c r="R106" s="188">
        <f t="shared" si="75"/>
        <v>51.5</v>
      </c>
      <c r="S106" s="188">
        <f t="shared" si="66"/>
        <v>145.09666666666666</v>
      </c>
      <c r="T106" s="188">
        <f t="shared" si="52"/>
        <v>2701.0266666666666</v>
      </c>
      <c r="U106" s="188">
        <f t="shared" si="110"/>
        <v>20794.779999999992</v>
      </c>
      <c r="V106" s="188">
        <f t="shared" si="111"/>
        <v>177055.18999999994</v>
      </c>
      <c r="W106" s="188">
        <f t="shared" si="67"/>
        <v>304915.22000000003</v>
      </c>
      <c r="X106" s="395">
        <f t="shared" si="103"/>
        <v>48570</v>
      </c>
      <c r="Y106" s="188">
        <f t="shared" si="68"/>
        <v>305257.41000000003</v>
      </c>
      <c r="Z106" s="388">
        <f t="shared" si="95"/>
        <v>8.4999999999999992E-2</v>
      </c>
      <c r="AA106" s="188">
        <f t="shared" si="96"/>
        <v>2504.4299999999998</v>
      </c>
      <c r="AB106" s="188">
        <f t="shared" si="69"/>
        <v>342.19000000000005</v>
      </c>
      <c r="AC106" s="188">
        <f t="shared" si="97"/>
        <v>2162.2399999999998</v>
      </c>
      <c r="AD106" s="188">
        <f t="shared" ref="AD106:AE106" si="137">+AD105</f>
        <v>51.5</v>
      </c>
      <c r="AE106" s="188">
        <f t="shared" si="137"/>
        <v>145.09666666666666</v>
      </c>
      <c r="AF106" s="188">
        <f t="shared" si="71"/>
        <v>2701.0266666666666</v>
      </c>
      <c r="AG106" s="188">
        <f t="shared" si="72"/>
        <v>20794.779999999992</v>
      </c>
      <c r="AH106" s="188">
        <f t="shared" si="73"/>
        <v>177055.18999999994</v>
      </c>
      <c r="AI106" s="404">
        <f t="shared" si="57"/>
        <v>0</v>
      </c>
      <c r="AJ106" s="404">
        <f t="shared" si="123"/>
        <v>0</v>
      </c>
      <c r="AK106" s="404">
        <f t="shared" si="58"/>
        <v>0</v>
      </c>
      <c r="AL106" s="188">
        <f t="shared" si="74"/>
        <v>304915.22000000003</v>
      </c>
      <c r="AM106" s="317">
        <f t="shared" si="105"/>
        <v>6</v>
      </c>
      <c r="AN106" s="14">
        <f t="shared" si="59"/>
        <v>1944.5499999999997</v>
      </c>
      <c r="AO106" s="14">
        <f>IF(W106&lt;=0,0,+$AA$6-$C$2+I106-U106)</f>
        <v>193452.19</v>
      </c>
      <c r="AP106" s="14">
        <f t="shared" si="60"/>
        <v>1944.5499999999997</v>
      </c>
      <c r="AS106" s="14">
        <f t="shared" si="100"/>
        <v>1944.5499999999997</v>
      </c>
      <c r="AT106" s="14">
        <f t="shared" si="106"/>
        <v>153138.88999999998</v>
      </c>
      <c r="AU106" s="188">
        <f>IF(W106&lt;=0,0,+($O$5+AV105)*$AQ$2/12)</f>
        <v>1019.4487965357956</v>
      </c>
      <c r="AV106" s="188">
        <f t="shared" si="107"/>
        <v>83088.967410854006</v>
      </c>
    </row>
    <row r="107" spans="1:50">
      <c r="A107" s="395">
        <f t="shared" si="62"/>
        <v>48600</v>
      </c>
      <c r="B107" s="188">
        <f t="shared" si="101"/>
        <v>111923.2</v>
      </c>
      <c r="C107" s="14">
        <f t="shared" si="92"/>
        <v>559.88</v>
      </c>
      <c r="D107" s="14">
        <f t="shared" si="108"/>
        <v>140.17000000000002</v>
      </c>
      <c r="E107" s="14">
        <f t="shared" si="93"/>
        <v>419.71</v>
      </c>
      <c r="F107" s="14">
        <f t="shared" si="44"/>
        <v>51.5</v>
      </c>
      <c r="G107" s="14">
        <f t="shared" si="45"/>
        <v>145.09666666666666</v>
      </c>
      <c r="H107" s="14">
        <f t="shared" si="47"/>
        <v>756.47666666666669</v>
      </c>
      <c r="I107" s="188">
        <f t="shared" si="63"/>
        <v>11390.140000000003</v>
      </c>
      <c r="J107" s="188">
        <f t="shared" si="64"/>
        <v>40578.989999999991</v>
      </c>
      <c r="K107" s="188">
        <f t="shared" si="65"/>
        <v>111783.03</v>
      </c>
      <c r="L107" s="317">
        <f t="shared" si="94"/>
        <v>6</v>
      </c>
      <c r="M107" s="317">
        <f>IF(N107&lt;&gt;"",IF(N107=$O$5,0,+M106+1),0)</f>
        <v>79</v>
      </c>
      <c r="N107" s="188">
        <f t="shared" si="102"/>
        <v>304915.22000000003</v>
      </c>
      <c r="O107" s="188">
        <f>IF($O$11&lt;=A107,IF(+$W106&lt;=0,0,$O$8),0)</f>
        <v>2504.4299999999998</v>
      </c>
      <c r="P107" s="188">
        <f t="shared" si="109"/>
        <v>344.60999999999967</v>
      </c>
      <c r="Q107" s="188">
        <f>IF($O$11&lt;=A107,ROUND(N107*($O$7/12),2),0)</f>
        <v>2159.8200000000002</v>
      </c>
      <c r="R107" s="188">
        <f t="shared" si="75"/>
        <v>51.5</v>
      </c>
      <c r="S107" s="188">
        <f t="shared" si="66"/>
        <v>145.09666666666666</v>
      </c>
      <c r="T107" s="188">
        <f t="shared" si="52"/>
        <v>2701.0266666666666</v>
      </c>
      <c r="U107" s="188">
        <f t="shared" si="110"/>
        <v>21139.389999999992</v>
      </c>
      <c r="V107" s="188">
        <f t="shared" si="111"/>
        <v>179215.00999999995</v>
      </c>
      <c r="W107" s="188">
        <f t="shared" si="67"/>
        <v>304570.61000000004</v>
      </c>
      <c r="X107" s="395">
        <f t="shared" si="103"/>
        <v>48600</v>
      </c>
      <c r="Y107" s="188">
        <f t="shared" si="68"/>
        <v>304915.22000000003</v>
      </c>
      <c r="Z107" s="388">
        <f t="shared" si="95"/>
        <v>8.4999999999999992E-2</v>
      </c>
      <c r="AA107" s="188">
        <f t="shared" si="96"/>
        <v>2504.4299999999998</v>
      </c>
      <c r="AB107" s="188">
        <f t="shared" si="69"/>
        <v>344.60999999999967</v>
      </c>
      <c r="AC107" s="188">
        <f t="shared" si="97"/>
        <v>2159.8200000000002</v>
      </c>
      <c r="AD107" s="188">
        <f t="shared" ref="AD107:AE107" si="138">+AD106</f>
        <v>51.5</v>
      </c>
      <c r="AE107" s="188">
        <f t="shared" si="138"/>
        <v>145.09666666666666</v>
      </c>
      <c r="AF107" s="188">
        <f t="shared" si="71"/>
        <v>2701.0266666666666</v>
      </c>
      <c r="AG107" s="188">
        <f t="shared" si="72"/>
        <v>21139.389999999992</v>
      </c>
      <c r="AH107" s="188">
        <f t="shared" si="73"/>
        <v>179215.00999999995</v>
      </c>
      <c r="AI107" s="404">
        <f t="shared" si="57"/>
        <v>0</v>
      </c>
      <c r="AJ107" s="404">
        <f t="shared" si="123"/>
        <v>0</v>
      </c>
      <c r="AK107" s="404">
        <f t="shared" si="58"/>
        <v>0</v>
      </c>
      <c r="AL107" s="188">
        <f t="shared" si="74"/>
        <v>304570.61000000004</v>
      </c>
      <c r="AM107" s="317">
        <f t="shared" si="105"/>
        <v>6</v>
      </c>
      <c r="AN107" s="14">
        <f t="shared" si="59"/>
        <v>1944.5499999999997</v>
      </c>
      <c r="AO107" s="14">
        <f>IF(W107&lt;=0,0,+$AA$6-$C$2+I107-U107)</f>
        <v>193247.75000000003</v>
      </c>
      <c r="AP107" s="14">
        <f t="shared" si="60"/>
        <v>1944.5499999999997</v>
      </c>
      <c r="AS107" s="14">
        <f t="shared" si="100"/>
        <v>1944.5499999999997</v>
      </c>
      <c r="AT107" s="14">
        <f t="shared" si="106"/>
        <v>155083.43999999997</v>
      </c>
      <c r="AU107" s="188">
        <f>IF(W107&lt;=0,0,+($O$5+AV106)*$AQ$2/12)</f>
        <v>1021.997418527135</v>
      </c>
      <c r="AV107" s="188">
        <f t="shared" si="107"/>
        <v>84110.964829381148</v>
      </c>
    </row>
    <row r="108" spans="1:50">
      <c r="A108" s="395">
        <f t="shared" si="62"/>
        <v>48630</v>
      </c>
      <c r="B108" s="188">
        <f t="shared" si="101"/>
        <v>111783.03</v>
      </c>
      <c r="C108" s="14">
        <f t="shared" si="92"/>
        <v>559.88</v>
      </c>
      <c r="D108" s="14">
        <f t="shared" si="108"/>
        <v>140.69</v>
      </c>
      <c r="E108" s="14">
        <f t="shared" si="93"/>
        <v>419.19</v>
      </c>
      <c r="F108" s="14">
        <f t="shared" si="44"/>
        <v>51.5</v>
      </c>
      <c r="G108" s="14">
        <f t="shared" si="45"/>
        <v>145.09666666666666</v>
      </c>
      <c r="H108" s="14">
        <f t="shared" si="47"/>
        <v>756.47666666666669</v>
      </c>
      <c r="I108" s="188">
        <f t="shared" si="63"/>
        <v>11530.830000000004</v>
      </c>
      <c r="J108" s="188">
        <f t="shared" si="64"/>
        <v>40998.179999999993</v>
      </c>
      <c r="K108" s="188">
        <f t="shared" si="65"/>
        <v>111642.34</v>
      </c>
      <c r="L108" s="317">
        <f t="shared" si="94"/>
        <v>6</v>
      </c>
      <c r="M108" s="317">
        <f>IF(N108&lt;&gt;"",IF(N108=$O$5,0,+M107+1),0)</f>
        <v>80</v>
      </c>
      <c r="N108" s="188">
        <f t="shared" si="102"/>
        <v>304570.61000000004</v>
      </c>
      <c r="O108" s="188">
        <f>IF($O$11&lt;=A108,IF(+$W107&lt;=0,0,$O$8),0)</f>
        <v>2504.4299999999998</v>
      </c>
      <c r="P108" s="188">
        <f t="shared" si="109"/>
        <v>347.04999999999973</v>
      </c>
      <c r="Q108" s="188">
        <f>IF($O$11&lt;=A108,ROUND(N108*($O$7/12),2),0)</f>
        <v>2157.38</v>
      </c>
      <c r="R108" s="188">
        <f t="shared" si="75"/>
        <v>51.5</v>
      </c>
      <c r="S108" s="188">
        <f t="shared" si="66"/>
        <v>145.09666666666666</v>
      </c>
      <c r="T108" s="188">
        <f t="shared" si="52"/>
        <v>2701.0266666666666</v>
      </c>
      <c r="U108" s="188">
        <f t="shared" si="110"/>
        <v>21486.439999999991</v>
      </c>
      <c r="V108" s="188">
        <f t="shared" si="111"/>
        <v>181372.38999999996</v>
      </c>
      <c r="W108" s="188">
        <f t="shared" si="67"/>
        <v>304223.56000000006</v>
      </c>
      <c r="X108" s="395">
        <f t="shared" si="103"/>
        <v>48630</v>
      </c>
      <c r="Y108" s="188">
        <f t="shared" si="68"/>
        <v>304570.61000000004</v>
      </c>
      <c r="Z108" s="388">
        <f t="shared" si="95"/>
        <v>8.4999999999999992E-2</v>
      </c>
      <c r="AA108" s="188">
        <f t="shared" si="96"/>
        <v>2504.4299999999998</v>
      </c>
      <c r="AB108" s="188">
        <f t="shared" si="69"/>
        <v>347.04999999999973</v>
      </c>
      <c r="AC108" s="188">
        <f t="shared" si="97"/>
        <v>2157.38</v>
      </c>
      <c r="AD108" s="188">
        <f t="shared" ref="AD108:AE108" si="139">+AD107</f>
        <v>51.5</v>
      </c>
      <c r="AE108" s="188">
        <f t="shared" si="139"/>
        <v>145.09666666666666</v>
      </c>
      <c r="AF108" s="188">
        <f t="shared" si="71"/>
        <v>2701.0266666666666</v>
      </c>
      <c r="AG108" s="188">
        <f t="shared" si="72"/>
        <v>21486.439999999991</v>
      </c>
      <c r="AH108" s="188">
        <f t="shared" si="73"/>
        <v>181372.38999999996</v>
      </c>
      <c r="AI108" s="404">
        <f t="shared" si="57"/>
        <v>0</v>
      </c>
      <c r="AJ108" s="404">
        <f t="shared" si="123"/>
        <v>0</v>
      </c>
      <c r="AK108" s="404">
        <f t="shared" si="58"/>
        <v>0</v>
      </c>
      <c r="AL108" s="188">
        <f t="shared" si="74"/>
        <v>304223.56000000006</v>
      </c>
      <c r="AM108" s="317">
        <f t="shared" si="105"/>
        <v>6</v>
      </c>
      <c r="AN108" s="14">
        <f t="shared" si="59"/>
        <v>1944.5499999999997</v>
      </c>
      <c r="AO108" s="14">
        <f>IF(W108&lt;=0,0,+$AA$6-$C$2+I108-U108)</f>
        <v>193041.39</v>
      </c>
      <c r="AP108" s="14">
        <f t="shared" si="60"/>
        <v>1944.5499999999997</v>
      </c>
      <c r="AS108" s="14">
        <f t="shared" si="100"/>
        <v>1944.5499999999997</v>
      </c>
      <c r="AT108" s="14">
        <f t="shared" si="106"/>
        <v>157027.98999999996</v>
      </c>
      <c r="AU108" s="188">
        <f>IF(W108&lt;=0,0,+($O$5+AV107)*$AQ$2/12)</f>
        <v>1024.5524120734528</v>
      </c>
      <c r="AV108" s="188">
        <f t="shared" si="107"/>
        <v>85135.517241454596</v>
      </c>
      <c r="AX108" s="371"/>
    </row>
    <row r="109" spans="1:50">
      <c r="A109" s="395">
        <f t="shared" si="62"/>
        <v>48660</v>
      </c>
      <c r="B109" s="188">
        <f t="shared" si="101"/>
        <v>111642.34</v>
      </c>
      <c r="C109" s="14">
        <f t="shared" si="92"/>
        <v>559.88</v>
      </c>
      <c r="D109" s="14">
        <f t="shared" si="108"/>
        <v>141.21999999999997</v>
      </c>
      <c r="E109" s="14">
        <f t="shared" si="93"/>
        <v>418.66</v>
      </c>
      <c r="F109" s="14">
        <f t="shared" si="44"/>
        <v>51.5</v>
      </c>
      <c r="G109" s="14">
        <f t="shared" si="45"/>
        <v>145.09666666666666</v>
      </c>
      <c r="H109" s="14">
        <f t="shared" si="47"/>
        <v>756.47666666666669</v>
      </c>
      <c r="I109" s="188">
        <f t="shared" si="63"/>
        <v>11672.050000000003</v>
      </c>
      <c r="J109" s="188">
        <f t="shared" si="64"/>
        <v>41416.839999999997</v>
      </c>
      <c r="K109" s="188">
        <f t="shared" si="65"/>
        <v>111501.12</v>
      </c>
      <c r="L109" s="317">
        <f>IF(MOD(M109,12)=0,M109/12,L108)</f>
        <v>6</v>
      </c>
      <c r="M109" s="317">
        <f>IF(N109&lt;&gt;"",IF(N109=$O$5,0,+M108+1),0)</f>
        <v>81</v>
      </c>
      <c r="N109" s="188">
        <f t="shared" si="102"/>
        <v>304223.56000000006</v>
      </c>
      <c r="O109" s="188">
        <f>IF($O$11&lt;=A109,IF(+$W108&lt;=0,0,$O$8),0)</f>
        <v>2504.4299999999998</v>
      </c>
      <c r="P109" s="188">
        <f t="shared" si="109"/>
        <v>349.50999999999976</v>
      </c>
      <c r="Q109" s="188">
        <f>IF($O$11&lt;=A109,ROUND(N109*($O$7/12),2),0)</f>
        <v>2154.92</v>
      </c>
      <c r="R109" s="188">
        <f t="shared" si="75"/>
        <v>51.5</v>
      </c>
      <c r="S109" s="188">
        <f t="shared" si="66"/>
        <v>145.09666666666666</v>
      </c>
      <c r="T109" s="188">
        <f t="shared" si="52"/>
        <v>2701.0266666666666</v>
      </c>
      <c r="U109" s="188">
        <f t="shared" si="110"/>
        <v>21835.94999999999</v>
      </c>
      <c r="V109" s="188">
        <f t="shared" si="111"/>
        <v>183527.30999999997</v>
      </c>
      <c r="W109" s="188">
        <f t="shared" si="67"/>
        <v>303874.05000000005</v>
      </c>
      <c r="X109" s="395">
        <f t="shared" si="103"/>
        <v>48660</v>
      </c>
      <c r="Y109" s="188">
        <f t="shared" si="68"/>
        <v>304223.56000000006</v>
      </c>
      <c r="Z109" s="388">
        <f t="shared" si="95"/>
        <v>8.4999999999999992E-2</v>
      </c>
      <c r="AA109" s="188">
        <f t="shared" si="96"/>
        <v>2504.4299999999998</v>
      </c>
      <c r="AB109" s="188">
        <f t="shared" si="69"/>
        <v>349.50999999999976</v>
      </c>
      <c r="AC109" s="188">
        <f t="shared" si="97"/>
        <v>2154.92</v>
      </c>
      <c r="AD109" s="188">
        <f t="shared" ref="AD109:AE109" si="140">+AD108</f>
        <v>51.5</v>
      </c>
      <c r="AE109" s="188">
        <f t="shared" si="140"/>
        <v>145.09666666666666</v>
      </c>
      <c r="AF109" s="188">
        <f t="shared" si="71"/>
        <v>2701.0266666666666</v>
      </c>
      <c r="AG109" s="188">
        <f t="shared" si="72"/>
        <v>21835.94999999999</v>
      </c>
      <c r="AH109" s="188">
        <f t="shared" si="73"/>
        <v>183527.30999999997</v>
      </c>
      <c r="AI109" s="404">
        <f t="shared" si="57"/>
        <v>0</v>
      </c>
      <c r="AJ109" s="404">
        <f t="shared" si="123"/>
        <v>0</v>
      </c>
      <c r="AK109" s="404">
        <f t="shared" si="58"/>
        <v>0</v>
      </c>
      <c r="AL109" s="188">
        <f t="shared" si="74"/>
        <v>303874.05000000005</v>
      </c>
      <c r="AM109" s="317">
        <f t="shared" si="105"/>
        <v>6</v>
      </c>
      <c r="AN109" s="14">
        <f t="shared" si="59"/>
        <v>1944.5499999999997</v>
      </c>
      <c r="AO109" s="14">
        <f>IF(W109&lt;=0,0,+$AA$6-$C$2+I109-U109)</f>
        <v>192833.1</v>
      </c>
      <c r="AP109" s="14">
        <f t="shared" si="60"/>
        <v>1944.5499999999997</v>
      </c>
      <c r="AS109" s="14">
        <f t="shared" si="100"/>
        <v>1944.5499999999997</v>
      </c>
      <c r="AT109" s="14">
        <f t="shared" si="106"/>
        <v>158972.53999999995</v>
      </c>
      <c r="AU109" s="188">
        <f>IF(W109&lt;=0,0,+($O$5+AV108)*$AQ$2/12)</f>
        <v>1027.1137931036365</v>
      </c>
      <c r="AV109" s="188">
        <f t="shared" si="107"/>
        <v>86162.631034558231</v>
      </c>
      <c r="AX109" s="371"/>
    </row>
    <row r="110" spans="1:50">
      <c r="A110" s="395">
        <f t="shared" si="62"/>
        <v>48690</v>
      </c>
      <c r="B110" s="188">
        <f t="shared" si="101"/>
        <v>111501.12</v>
      </c>
      <c r="C110" s="14">
        <f t="shared" si="92"/>
        <v>559.88</v>
      </c>
      <c r="D110" s="14">
        <f t="shared" si="108"/>
        <v>141.75</v>
      </c>
      <c r="E110" s="14">
        <f t="shared" si="93"/>
        <v>418.13</v>
      </c>
      <c r="F110" s="14">
        <f t="shared" si="44"/>
        <v>51.5</v>
      </c>
      <c r="G110" s="14">
        <f t="shared" si="45"/>
        <v>145.09666666666666</v>
      </c>
      <c r="H110" s="14">
        <f t="shared" si="47"/>
        <v>756.47666666666669</v>
      </c>
      <c r="I110" s="188">
        <f t="shared" si="63"/>
        <v>11813.800000000003</v>
      </c>
      <c r="J110" s="188">
        <f t="shared" si="64"/>
        <v>41834.969999999994</v>
      </c>
      <c r="K110" s="188">
        <f t="shared" si="65"/>
        <v>111359.37</v>
      </c>
      <c r="L110" s="317">
        <f>IF(MOD(M110,12)=0,M110/12,L109)</f>
        <v>6</v>
      </c>
      <c r="M110" s="317">
        <f>IF(N110&lt;&gt;"",IF(N110=$O$5,0,+M109+1),0)</f>
        <v>82</v>
      </c>
      <c r="N110" s="188">
        <f t="shared" si="102"/>
        <v>303874.05000000005</v>
      </c>
      <c r="O110" s="188">
        <f>IF($O$11&lt;=A110,IF(+$W109&lt;=0,0,$O$8),0)</f>
        <v>2504.4299999999998</v>
      </c>
      <c r="P110" s="188">
        <f t="shared" si="109"/>
        <v>351.98999999999978</v>
      </c>
      <c r="Q110" s="188">
        <f>IF($O$11&lt;=A110,ROUND(N110*($O$7/12),2),0)</f>
        <v>2152.44</v>
      </c>
      <c r="R110" s="188">
        <f t="shared" si="75"/>
        <v>51.5</v>
      </c>
      <c r="S110" s="188">
        <f t="shared" si="66"/>
        <v>145.09666666666666</v>
      </c>
      <c r="T110" s="188">
        <f t="shared" si="52"/>
        <v>2701.0266666666666</v>
      </c>
      <c r="U110" s="188">
        <f t="shared" si="110"/>
        <v>22187.939999999988</v>
      </c>
      <c r="V110" s="188">
        <f t="shared" si="111"/>
        <v>185679.74999999997</v>
      </c>
      <c r="W110" s="188">
        <f t="shared" si="67"/>
        <v>303522.06000000006</v>
      </c>
      <c r="X110" s="395">
        <f t="shared" si="103"/>
        <v>48690</v>
      </c>
      <c r="Y110" s="188">
        <f t="shared" si="68"/>
        <v>303874.05000000005</v>
      </c>
      <c r="Z110" s="388">
        <f t="shared" si="95"/>
        <v>8.4999999999999992E-2</v>
      </c>
      <c r="AA110" s="188">
        <f t="shared" si="96"/>
        <v>2504.4299999999998</v>
      </c>
      <c r="AB110" s="188">
        <f t="shared" si="69"/>
        <v>351.98999999999978</v>
      </c>
      <c r="AC110" s="188">
        <f t="shared" si="97"/>
        <v>2152.44</v>
      </c>
      <c r="AD110" s="188">
        <f t="shared" ref="AD110:AE110" si="141">+AD109</f>
        <v>51.5</v>
      </c>
      <c r="AE110" s="188">
        <f t="shared" si="141"/>
        <v>145.09666666666666</v>
      </c>
      <c r="AF110" s="188">
        <f t="shared" si="71"/>
        <v>2701.0266666666666</v>
      </c>
      <c r="AG110" s="188">
        <f t="shared" si="72"/>
        <v>22187.939999999988</v>
      </c>
      <c r="AH110" s="188">
        <f t="shared" si="73"/>
        <v>185679.74999999997</v>
      </c>
      <c r="AI110" s="404">
        <f t="shared" si="57"/>
        <v>0</v>
      </c>
      <c r="AJ110" s="404">
        <f t="shared" si="123"/>
        <v>0</v>
      </c>
      <c r="AK110" s="404">
        <f t="shared" si="58"/>
        <v>0</v>
      </c>
      <c r="AL110" s="188">
        <f t="shared" si="74"/>
        <v>303522.06000000006</v>
      </c>
      <c r="AM110" s="317">
        <f t="shared" si="105"/>
        <v>6</v>
      </c>
      <c r="AN110" s="14">
        <f t="shared" si="59"/>
        <v>1944.5499999999997</v>
      </c>
      <c r="AO110" s="14">
        <f>IF(W110&lt;=0,0,+$AA$6-$C$2+I110-U110)</f>
        <v>192622.86</v>
      </c>
      <c r="AP110" s="14">
        <f t="shared" si="60"/>
        <v>1944.5499999999997</v>
      </c>
      <c r="AS110" s="14">
        <f t="shared" si="100"/>
        <v>1944.5499999999997</v>
      </c>
      <c r="AT110" s="14">
        <f t="shared" si="106"/>
        <v>160917.08999999994</v>
      </c>
      <c r="AU110" s="188">
        <f>IF(W110&lt;=0,0,+($O$5+AV109)*$AQ$2/12)</f>
        <v>1029.6815775863954</v>
      </c>
      <c r="AV110" s="188">
        <f t="shared" si="107"/>
        <v>87192.312612144626</v>
      </c>
    </row>
    <row r="111" spans="1:50" ht="15.75" thickBot="1">
      <c r="A111" s="398">
        <f t="shared" si="62"/>
        <v>48720</v>
      </c>
      <c r="B111" s="237">
        <f t="shared" si="101"/>
        <v>111359.37</v>
      </c>
      <c r="C111" s="21">
        <f t="shared" si="92"/>
        <v>559.88</v>
      </c>
      <c r="D111" s="21">
        <f t="shared" si="108"/>
        <v>142.27999999999997</v>
      </c>
      <c r="E111" s="21">
        <f t="shared" si="93"/>
        <v>417.6</v>
      </c>
      <c r="F111" s="21">
        <f t="shared" si="44"/>
        <v>51.5</v>
      </c>
      <c r="G111" s="21">
        <f t="shared" si="45"/>
        <v>145.09666666666666</v>
      </c>
      <c r="H111" s="21">
        <f t="shared" si="47"/>
        <v>756.47666666666669</v>
      </c>
      <c r="I111" s="237">
        <f t="shared" si="63"/>
        <v>11956.080000000004</v>
      </c>
      <c r="J111" s="237">
        <f t="shared" si="64"/>
        <v>42252.569999999992</v>
      </c>
      <c r="K111" s="237">
        <f t="shared" si="65"/>
        <v>111217.09</v>
      </c>
      <c r="L111" s="318">
        <f>IF(MOD(M111,12)=0,M111/12,L110)</f>
        <v>6</v>
      </c>
      <c r="M111" s="318">
        <f>IF(N111&lt;&gt;"",IF(N111=$O$5,0,+M110+1),0)</f>
        <v>83</v>
      </c>
      <c r="N111" s="237">
        <f t="shared" si="102"/>
        <v>303522.06000000006</v>
      </c>
      <c r="O111" s="237">
        <f>IF($O$11&lt;=A111,IF(+$W110&lt;=0,0,$O$8),0)</f>
        <v>2504.4299999999998</v>
      </c>
      <c r="P111" s="237">
        <f t="shared" si="109"/>
        <v>354.48</v>
      </c>
      <c r="Q111" s="237">
        <f>IF($O$11&lt;=A111,ROUND(N111*($O$7/12),2),0)</f>
        <v>2149.9499999999998</v>
      </c>
      <c r="R111" s="237">
        <f t="shared" si="75"/>
        <v>51.5</v>
      </c>
      <c r="S111" s="237">
        <f t="shared" si="66"/>
        <v>145.09666666666666</v>
      </c>
      <c r="T111" s="237">
        <f t="shared" si="52"/>
        <v>2701.0266666666666</v>
      </c>
      <c r="U111" s="237">
        <f t="shared" si="110"/>
        <v>22542.419999999987</v>
      </c>
      <c r="V111" s="237">
        <f t="shared" si="111"/>
        <v>187829.69999999998</v>
      </c>
      <c r="W111" s="237">
        <f t="shared" si="67"/>
        <v>303167.58000000007</v>
      </c>
      <c r="X111" s="398">
        <f t="shared" si="103"/>
        <v>48720</v>
      </c>
      <c r="Y111" s="237">
        <f t="shared" si="68"/>
        <v>303522.06000000006</v>
      </c>
      <c r="Z111" s="389">
        <f t="shared" si="95"/>
        <v>8.4999999999999992E-2</v>
      </c>
      <c r="AA111" s="237">
        <f t="shared" si="96"/>
        <v>2504.4299999999998</v>
      </c>
      <c r="AB111" s="237">
        <f t="shared" si="69"/>
        <v>354.48</v>
      </c>
      <c r="AC111" s="237">
        <f t="shared" si="97"/>
        <v>2149.9499999999998</v>
      </c>
      <c r="AD111" s="237">
        <f t="shared" ref="AD111:AE111" si="142">+AD110</f>
        <v>51.5</v>
      </c>
      <c r="AE111" s="237">
        <f t="shared" si="142"/>
        <v>145.09666666666666</v>
      </c>
      <c r="AF111" s="237">
        <f t="shared" si="71"/>
        <v>2701.0266666666666</v>
      </c>
      <c r="AG111" s="237">
        <f t="shared" si="72"/>
        <v>22542.419999999987</v>
      </c>
      <c r="AH111" s="237">
        <f t="shared" si="73"/>
        <v>187829.69999999998</v>
      </c>
      <c r="AI111" s="405">
        <f t="shared" si="57"/>
        <v>0</v>
      </c>
      <c r="AJ111" s="405">
        <f t="shared" si="123"/>
        <v>0</v>
      </c>
      <c r="AK111" s="405">
        <f t="shared" si="58"/>
        <v>0</v>
      </c>
      <c r="AL111" s="237">
        <f t="shared" si="74"/>
        <v>303167.58000000007</v>
      </c>
      <c r="AM111" s="318">
        <f t="shared" si="105"/>
        <v>6</v>
      </c>
      <c r="AN111" s="21">
        <f t="shared" si="59"/>
        <v>1944.5499999999997</v>
      </c>
      <c r="AO111" s="21">
        <f>IF(W111&lt;=0,0,+$AA$6-$C$2+I111-U111)</f>
        <v>192410.66000000003</v>
      </c>
      <c r="AP111" s="21">
        <f t="shared" si="60"/>
        <v>1944.5499999999997</v>
      </c>
      <c r="AQ111" s="21"/>
      <c r="AR111" s="23"/>
      <c r="AS111" s="21">
        <f t="shared" si="100"/>
        <v>1944.5499999999997</v>
      </c>
      <c r="AT111" s="21">
        <f t="shared" si="106"/>
        <v>162861.63999999993</v>
      </c>
      <c r="AU111" s="237">
        <f>IF(W111&lt;=0,0,+($O$5+AV110)*$AQ$2/12)</f>
        <v>1032.2557815303614</v>
      </c>
      <c r="AV111" s="237">
        <f t="shared" si="107"/>
        <v>88224.568393674985</v>
      </c>
      <c r="AX111" s="371"/>
    </row>
    <row r="112" spans="1:50">
      <c r="A112" s="395">
        <f t="shared" si="62"/>
        <v>48750</v>
      </c>
      <c r="B112" s="188">
        <f t="shared" si="101"/>
        <v>111217.09</v>
      </c>
      <c r="C112" s="14">
        <f t="shared" si="92"/>
        <v>559.88</v>
      </c>
      <c r="D112" s="14">
        <f t="shared" si="108"/>
        <v>142.82</v>
      </c>
      <c r="E112" s="14">
        <f t="shared" si="93"/>
        <v>417.06</v>
      </c>
      <c r="F112" s="14">
        <f t="shared" si="44"/>
        <v>51.5</v>
      </c>
      <c r="G112" s="14">
        <f t="shared" si="45"/>
        <v>145.09666666666666</v>
      </c>
      <c r="H112" s="14">
        <f t="shared" si="47"/>
        <v>756.47666666666669</v>
      </c>
      <c r="I112" s="188">
        <f t="shared" si="63"/>
        <v>12098.900000000003</v>
      </c>
      <c r="J112" s="188">
        <f t="shared" si="64"/>
        <v>42669.62999999999</v>
      </c>
      <c r="K112" s="188">
        <f t="shared" si="65"/>
        <v>111074.26999999999</v>
      </c>
      <c r="L112" s="317">
        <f t="shared" ref="L112:L175" si="143">IF(MOD(M112,12)=0,M112/12,L111)</f>
        <v>7</v>
      </c>
      <c r="M112" s="317">
        <f>IF(N112&lt;&gt;"",IF(N112=$O$5,0,+M111+1),0)</f>
        <v>84</v>
      </c>
      <c r="N112" s="188">
        <f t="shared" si="102"/>
        <v>303167.58000000007</v>
      </c>
      <c r="O112" s="188">
        <f>IF($O$11&lt;=A112,IF(+$W111&lt;=0,0,$O$8),0)</f>
        <v>2504.4299999999998</v>
      </c>
      <c r="P112" s="188">
        <f t="shared" si="109"/>
        <v>356.98999999999978</v>
      </c>
      <c r="Q112" s="188">
        <f>IF($O$11&lt;=A112,ROUND(N112*($O$7/12),2),0)</f>
        <v>2147.44</v>
      </c>
      <c r="R112" s="188">
        <f t="shared" si="75"/>
        <v>51.5</v>
      </c>
      <c r="S112" s="188">
        <f t="shared" si="66"/>
        <v>145.09666666666666</v>
      </c>
      <c r="T112" s="188">
        <f t="shared" si="52"/>
        <v>2701.0266666666666</v>
      </c>
      <c r="U112" s="188">
        <f t="shared" si="110"/>
        <v>22899.409999999989</v>
      </c>
      <c r="V112" s="188">
        <f t="shared" si="111"/>
        <v>189977.13999999998</v>
      </c>
      <c r="W112" s="188">
        <f t="shared" si="67"/>
        <v>302810.59000000008</v>
      </c>
      <c r="X112" s="395">
        <f t="shared" si="103"/>
        <v>48750</v>
      </c>
      <c r="Y112" s="188">
        <f t="shared" si="68"/>
        <v>303167.58000000007</v>
      </c>
      <c r="Z112" s="388">
        <f t="shared" si="95"/>
        <v>8.4999999999999992E-2</v>
      </c>
      <c r="AA112" s="188">
        <f t="shared" si="96"/>
        <v>2504.4299999999998</v>
      </c>
      <c r="AB112" s="188">
        <f t="shared" si="69"/>
        <v>356.98999999999978</v>
      </c>
      <c r="AC112" s="188">
        <f t="shared" si="97"/>
        <v>2147.44</v>
      </c>
      <c r="AD112" s="188">
        <f t="shared" ref="AD112:AE112" si="144">+AD111</f>
        <v>51.5</v>
      </c>
      <c r="AE112" s="188">
        <f t="shared" si="144"/>
        <v>145.09666666666666</v>
      </c>
      <c r="AF112" s="188">
        <f t="shared" si="71"/>
        <v>2701.0266666666666</v>
      </c>
      <c r="AG112" s="188">
        <f t="shared" si="72"/>
        <v>22899.409999999989</v>
      </c>
      <c r="AH112" s="188">
        <f t="shared" si="73"/>
        <v>189977.13999999998</v>
      </c>
      <c r="AI112" s="404">
        <f t="shared" si="57"/>
        <v>0</v>
      </c>
      <c r="AJ112" s="404">
        <f t="shared" si="123"/>
        <v>0</v>
      </c>
      <c r="AK112" s="404">
        <f t="shared" si="58"/>
        <v>0</v>
      </c>
      <c r="AL112" s="188">
        <f t="shared" si="74"/>
        <v>302810.59000000008</v>
      </c>
      <c r="AM112" s="317">
        <f t="shared" si="105"/>
        <v>7</v>
      </c>
      <c r="AN112" s="14">
        <f t="shared" si="59"/>
        <v>1944.5499999999997</v>
      </c>
      <c r="AO112" s="14">
        <f>IF(W112&lt;=0,0,+$AA$6-$C$2+I112-U112)</f>
        <v>192196.49</v>
      </c>
      <c r="AP112" s="14">
        <f t="shared" si="60"/>
        <v>1944.5499999999997</v>
      </c>
      <c r="AS112" s="14">
        <f t="shared" si="100"/>
        <v>1944.5499999999997</v>
      </c>
      <c r="AT112" s="14">
        <f t="shared" si="106"/>
        <v>164806.18999999992</v>
      </c>
      <c r="AU112" s="188">
        <f>IF(W112&lt;=0,0,+($O$5+AV111)*$AQ$2/12)</f>
        <v>1034.8364209841873</v>
      </c>
      <c r="AV112" s="188">
        <f t="shared" si="107"/>
        <v>89259.404814659167</v>
      </c>
    </row>
    <row r="113" spans="1:50">
      <c r="A113" s="395">
        <f t="shared" si="62"/>
        <v>48780</v>
      </c>
      <c r="B113" s="188">
        <f t="shared" si="101"/>
        <v>111074.26999999999</v>
      </c>
      <c r="C113" s="14">
        <f t="shared" si="92"/>
        <v>559.88</v>
      </c>
      <c r="D113" s="14">
        <f t="shared" si="108"/>
        <v>143.35000000000002</v>
      </c>
      <c r="E113" s="14">
        <f t="shared" si="93"/>
        <v>416.53</v>
      </c>
      <c r="F113" s="14">
        <f t="shared" si="44"/>
        <v>51.5</v>
      </c>
      <c r="G113" s="14">
        <f t="shared" si="45"/>
        <v>145.09666666666666</v>
      </c>
      <c r="H113" s="14">
        <f t="shared" si="47"/>
        <v>756.47666666666669</v>
      </c>
      <c r="I113" s="188">
        <f t="shared" si="63"/>
        <v>12242.250000000004</v>
      </c>
      <c r="J113" s="188">
        <f t="shared" si="64"/>
        <v>43086.159999999989</v>
      </c>
      <c r="K113" s="188">
        <f t="shared" si="65"/>
        <v>110930.91999999998</v>
      </c>
      <c r="L113" s="317">
        <f t="shared" si="143"/>
        <v>7</v>
      </c>
      <c r="M113" s="317">
        <f>IF(N113&lt;&gt;"",IF(N113=$O$5,0,+M112+1),0)</f>
        <v>85</v>
      </c>
      <c r="N113" s="188">
        <f t="shared" si="102"/>
        <v>302810.59000000008</v>
      </c>
      <c r="O113" s="188">
        <f>IF($O$11&lt;=A113,IF(+$W112&lt;=0,0,$O$8),0)</f>
        <v>2504.4299999999998</v>
      </c>
      <c r="P113" s="188">
        <f t="shared" si="109"/>
        <v>359.52</v>
      </c>
      <c r="Q113" s="188">
        <f>IF($O$11&lt;=A113,ROUND(N113*($O$7/12),2),0)</f>
        <v>2144.91</v>
      </c>
      <c r="R113" s="188">
        <f t="shared" si="75"/>
        <v>51.5</v>
      </c>
      <c r="S113" s="188">
        <f t="shared" si="66"/>
        <v>145.09666666666666</v>
      </c>
      <c r="T113" s="188">
        <f t="shared" si="52"/>
        <v>2701.0266666666666</v>
      </c>
      <c r="U113" s="188">
        <f t="shared" si="110"/>
        <v>23258.929999999989</v>
      </c>
      <c r="V113" s="188">
        <f t="shared" si="111"/>
        <v>192122.05</v>
      </c>
      <c r="W113" s="188">
        <f t="shared" si="67"/>
        <v>302451.07000000007</v>
      </c>
      <c r="X113" s="395">
        <f t="shared" si="103"/>
        <v>48780</v>
      </c>
      <c r="Y113" s="188">
        <f t="shared" si="68"/>
        <v>302810.59000000008</v>
      </c>
      <c r="Z113" s="388">
        <f t="shared" si="95"/>
        <v>8.4999999999999992E-2</v>
      </c>
      <c r="AA113" s="188">
        <f t="shared" si="96"/>
        <v>2504.4299999999998</v>
      </c>
      <c r="AB113" s="188">
        <f t="shared" si="69"/>
        <v>359.52</v>
      </c>
      <c r="AC113" s="188">
        <f t="shared" si="97"/>
        <v>2144.91</v>
      </c>
      <c r="AD113" s="188">
        <f t="shared" ref="AD113:AE113" si="145">+AD112</f>
        <v>51.5</v>
      </c>
      <c r="AE113" s="188">
        <f t="shared" si="145"/>
        <v>145.09666666666666</v>
      </c>
      <c r="AF113" s="188">
        <f t="shared" si="71"/>
        <v>2701.0266666666666</v>
      </c>
      <c r="AG113" s="188">
        <f t="shared" si="72"/>
        <v>23258.929999999989</v>
      </c>
      <c r="AH113" s="188">
        <f t="shared" si="73"/>
        <v>192122.05</v>
      </c>
      <c r="AI113" s="404">
        <f t="shared" si="57"/>
        <v>0</v>
      </c>
      <c r="AJ113" s="404">
        <f t="shared" si="123"/>
        <v>0</v>
      </c>
      <c r="AK113" s="404">
        <f t="shared" si="58"/>
        <v>0</v>
      </c>
      <c r="AL113" s="188">
        <f t="shared" si="74"/>
        <v>302451.07000000007</v>
      </c>
      <c r="AM113" s="317">
        <f t="shared" si="105"/>
        <v>7</v>
      </c>
      <c r="AN113" s="14">
        <f t="shared" si="59"/>
        <v>1944.5499999999997</v>
      </c>
      <c r="AO113" s="14">
        <f>IF(W113&lt;=0,0,+$AA$6-$C$2+I113-U113)</f>
        <v>191980.32</v>
      </c>
      <c r="AP113" s="14">
        <f t="shared" si="60"/>
        <v>1944.5499999999997</v>
      </c>
      <c r="AS113" s="14">
        <f t="shared" si="100"/>
        <v>1944.5499999999997</v>
      </c>
      <c r="AT113" s="14">
        <f t="shared" si="106"/>
        <v>166750.7399999999</v>
      </c>
      <c r="AU113" s="188">
        <f>IF(W113&lt;=0,0,+($O$5+AV112)*$AQ$2/12)</f>
        <v>1037.4235120366477</v>
      </c>
      <c r="AV113" s="188">
        <f t="shared" si="107"/>
        <v>90296.828326695817</v>
      </c>
    </row>
    <row r="114" spans="1:50">
      <c r="A114" s="395">
        <f t="shared" si="62"/>
        <v>48810</v>
      </c>
      <c r="B114" s="188">
        <f t="shared" si="101"/>
        <v>110930.91999999998</v>
      </c>
      <c r="C114" s="14">
        <f t="shared" si="92"/>
        <v>559.88</v>
      </c>
      <c r="D114" s="14">
        <f t="shared" si="108"/>
        <v>143.88999999999999</v>
      </c>
      <c r="E114" s="14">
        <f t="shared" si="93"/>
        <v>415.99</v>
      </c>
      <c r="F114" s="14">
        <f t="shared" si="44"/>
        <v>51.5</v>
      </c>
      <c r="G114" s="14">
        <f t="shared" si="45"/>
        <v>145.09666666666666</v>
      </c>
      <c r="H114" s="14">
        <f t="shared" si="47"/>
        <v>756.47666666666669</v>
      </c>
      <c r="I114" s="188">
        <f t="shared" si="63"/>
        <v>12386.140000000003</v>
      </c>
      <c r="J114" s="188">
        <f t="shared" si="64"/>
        <v>43502.149999999987</v>
      </c>
      <c r="K114" s="188">
        <f t="shared" si="65"/>
        <v>110787.02999999998</v>
      </c>
      <c r="L114" s="317">
        <f t="shared" si="143"/>
        <v>7</v>
      </c>
      <c r="M114" s="317">
        <f>IF(N114&lt;&gt;"",IF(N114=$O$5,0,+M113+1),0)</f>
        <v>86</v>
      </c>
      <c r="N114" s="188">
        <f t="shared" si="102"/>
        <v>302451.07000000007</v>
      </c>
      <c r="O114" s="188">
        <f>IF($O$11&lt;=A114,IF(+$W113&lt;=0,0,$O$8),0)</f>
        <v>2504.4299999999998</v>
      </c>
      <c r="P114" s="188">
        <f t="shared" si="109"/>
        <v>362.06999999999971</v>
      </c>
      <c r="Q114" s="188">
        <f>IF($O$11&lt;=A114,ROUND(N114*($O$7/12),2),0)</f>
        <v>2142.36</v>
      </c>
      <c r="R114" s="188">
        <f t="shared" si="75"/>
        <v>51.5</v>
      </c>
      <c r="S114" s="188">
        <f t="shared" si="66"/>
        <v>145.09666666666666</v>
      </c>
      <c r="T114" s="188">
        <f t="shared" si="52"/>
        <v>2701.0266666666666</v>
      </c>
      <c r="U114" s="188">
        <f t="shared" si="110"/>
        <v>23620.999999999989</v>
      </c>
      <c r="V114" s="188">
        <f t="shared" si="111"/>
        <v>194264.40999999997</v>
      </c>
      <c r="W114" s="188">
        <f t="shared" si="67"/>
        <v>302089.00000000006</v>
      </c>
      <c r="X114" s="395">
        <f t="shared" si="103"/>
        <v>48810</v>
      </c>
      <c r="Y114" s="188">
        <f t="shared" si="68"/>
        <v>302451.07000000007</v>
      </c>
      <c r="Z114" s="388">
        <f t="shared" si="95"/>
        <v>8.4999999999999992E-2</v>
      </c>
      <c r="AA114" s="188">
        <f t="shared" si="96"/>
        <v>2504.4299999999998</v>
      </c>
      <c r="AB114" s="188">
        <f t="shared" si="69"/>
        <v>362.06999999999971</v>
      </c>
      <c r="AC114" s="188">
        <f t="shared" si="97"/>
        <v>2142.36</v>
      </c>
      <c r="AD114" s="188">
        <f t="shared" ref="AD114:AE114" si="146">+AD113</f>
        <v>51.5</v>
      </c>
      <c r="AE114" s="188">
        <f t="shared" si="146"/>
        <v>145.09666666666666</v>
      </c>
      <c r="AF114" s="188">
        <f t="shared" si="71"/>
        <v>2701.0266666666666</v>
      </c>
      <c r="AG114" s="188">
        <f t="shared" si="72"/>
        <v>23620.999999999989</v>
      </c>
      <c r="AH114" s="188">
        <f t="shared" si="73"/>
        <v>194264.40999999997</v>
      </c>
      <c r="AI114" s="404">
        <f t="shared" si="57"/>
        <v>0</v>
      </c>
      <c r="AJ114" s="404">
        <f t="shared" si="123"/>
        <v>0</v>
      </c>
      <c r="AK114" s="404">
        <f t="shared" si="58"/>
        <v>0</v>
      </c>
      <c r="AL114" s="188">
        <f t="shared" si="74"/>
        <v>302089.00000000006</v>
      </c>
      <c r="AM114" s="317">
        <f t="shared" si="105"/>
        <v>7</v>
      </c>
      <c r="AN114" s="14">
        <f t="shared" si="59"/>
        <v>1944.5499999999997</v>
      </c>
      <c r="AO114" s="14">
        <f>IF(W114&lt;=0,0,+$AA$6-$C$2+I114-U114)</f>
        <v>191762.14</v>
      </c>
      <c r="AP114" s="14">
        <f t="shared" si="60"/>
        <v>1944.5499999999997</v>
      </c>
      <c r="AS114" s="14">
        <f t="shared" si="100"/>
        <v>1944.5499999999997</v>
      </c>
      <c r="AT114" s="14">
        <f t="shared" si="106"/>
        <v>168695.28999999989</v>
      </c>
      <c r="AU114" s="188">
        <f>IF(W114&lt;=0,0,+($O$5+AV113)*$AQ$2/12)</f>
        <v>1040.0170708167395</v>
      </c>
      <c r="AV114" s="188">
        <f t="shared" si="107"/>
        <v>91336.845397512559</v>
      </c>
    </row>
    <row r="115" spans="1:50">
      <c r="A115" s="395">
        <f t="shared" si="62"/>
        <v>48840</v>
      </c>
      <c r="B115" s="188">
        <f t="shared" si="101"/>
        <v>110787.02999999998</v>
      </c>
      <c r="C115" s="14">
        <f t="shared" si="92"/>
        <v>559.88</v>
      </c>
      <c r="D115" s="14">
        <f t="shared" si="108"/>
        <v>144.43</v>
      </c>
      <c r="E115" s="14">
        <f t="shared" si="93"/>
        <v>415.45</v>
      </c>
      <c r="F115" s="14">
        <f t="shared" si="44"/>
        <v>51.5</v>
      </c>
      <c r="G115" s="14">
        <f t="shared" si="45"/>
        <v>145.09666666666666</v>
      </c>
      <c r="H115" s="14">
        <f t="shared" si="47"/>
        <v>756.47666666666669</v>
      </c>
      <c r="I115" s="188">
        <f t="shared" si="63"/>
        <v>12530.570000000003</v>
      </c>
      <c r="J115" s="188">
        <f t="shared" si="64"/>
        <v>43917.599999999984</v>
      </c>
      <c r="K115" s="188">
        <f t="shared" si="65"/>
        <v>110642.59999999999</v>
      </c>
      <c r="L115" s="317">
        <f t="shared" si="143"/>
        <v>7</v>
      </c>
      <c r="M115" s="317">
        <f>IF(N115&lt;&gt;"",IF(N115=$O$5,0,+M114+1),0)</f>
        <v>87</v>
      </c>
      <c r="N115" s="188">
        <f t="shared" si="102"/>
        <v>302089.00000000006</v>
      </c>
      <c r="O115" s="188">
        <f>IF($O$11&lt;=A115,IF(+$W114&lt;=0,0,$O$8),0)</f>
        <v>2504.4299999999998</v>
      </c>
      <c r="P115" s="188">
        <f t="shared" si="109"/>
        <v>364.62999999999965</v>
      </c>
      <c r="Q115" s="188">
        <f>IF($O$11&lt;=A115,ROUND(N115*($O$7/12),2),0)</f>
        <v>2139.8000000000002</v>
      </c>
      <c r="R115" s="188">
        <f t="shared" si="75"/>
        <v>51.5</v>
      </c>
      <c r="S115" s="188">
        <f t="shared" si="66"/>
        <v>145.09666666666666</v>
      </c>
      <c r="T115" s="188">
        <f t="shared" si="52"/>
        <v>2701.0266666666666</v>
      </c>
      <c r="U115" s="188">
        <f t="shared" si="110"/>
        <v>23985.62999999999</v>
      </c>
      <c r="V115" s="188">
        <f t="shared" si="111"/>
        <v>196404.20999999996</v>
      </c>
      <c r="W115" s="188">
        <f t="shared" si="67"/>
        <v>301724.37000000005</v>
      </c>
      <c r="X115" s="395">
        <f t="shared" si="103"/>
        <v>48840</v>
      </c>
      <c r="Y115" s="188">
        <f t="shared" si="68"/>
        <v>302089.00000000006</v>
      </c>
      <c r="Z115" s="388">
        <f t="shared" si="95"/>
        <v>8.4999999999999992E-2</v>
      </c>
      <c r="AA115" s="188">
        <f t="shared" si="96"/>
        <v>2504.4299999999998</v>
      </c>
      <c r="AB115" s="188">
        <f t="shared" si="69"/>
        <v>364.62999999999965</v>
      </c>
      <c r="AC115" s="188">
        <f t="shared" si="97"/>
        <v>2139.8000000000002</v>
      </c>
      <c r="AD115" s="188">
        <f t="shared" ref="AD115:AE115" si="147">+AD114</f>
        <v>51.5</v>
      </c>
      <c r="AE115" s="188">
        <f t="shared" si="147"/>
        <v>145.09666666666666</v>
      </c>
      <c r="AF115" s="188">
        <f t="shared" si="71"/>
        <v>2701.0266666666666</v>
      </c>
      <c r="AG115" s="188">
        <f t="shared" si="72"/>
        <v>23985.62999999999</v>
      </c>
      <c r="AH115" s="188">
        <f t="shared" si="73"/>
        <v>196404.20999999996</v>
      </c>
      <c r="AI115" s="404">
        <f t="shared" si="57"/>
        <v>0</v>
      </c>
      <c r="AJ115" s="404">
        <f t="shared" si="123"/>
        <v>0</v>
      </c>
      <c r="AK115" s="404">
        <f t="shared" si="58"/>
        <v>0</v>
      </c>
      <c r="AL115" s="188">
        <f t="shared" si="74"/>
        <v>301724.37000000005</v>
      </c>
      <c r="AM115" s="317">
        <f t="shared" si="105"/>
        <v>7</v>
      </c>
      <c r="AN115" s="14">
        <f t="shared" si="59"/>
        <v>1944.5499999999997</v>
      </c>
      <c r="AO115" s="14">
        <f>IF(W115&lt;=0,0,+$AA$6-$C$2+I115-U115)</f>
        <v>191541.94</v>
      </c>
      <c r="AP115" s="14">
        <f t="shared" si="60"/>
        <v>1944.5499999999997</v>
      </c>
      <c r="AS115" s="14">
        <f t="shared" si="100"/>
        <v>1944.5499999999997</v>
      </c>
      <c r="AT115" s="14">
        <f t="shared" si="106"/>
        <v>170639.83999999988</v>
      </c>
      <c r="AU115" s="188">
        <f>IF(W115&lt;=0,0,+($O$5+AV114)*$AQ$2/12)</f>
        <v>1042.6171134937813</v>
      </c>
      <c r="AV115" s="188">
        <f t="shared" si="107"/>
        <v>92379.462511006335</v>
      </c>
    </row>
    <row r="116" spans="1:50">
      <c r="A116" s="395">
        <f t="shared" si="62"/>
        <v>48870</v>
      </c>
      <c r="B116" s="188">
        <f t="shared" si="101"/>
        <v>110642.59999999999</v>
      </c>
      <c r="C116" s="14">
        <f t="shared" si="92"/>
        <v>559.88</v>
      </c>
      <c r="D116" s="14">
        <f t="shared" si="108"/>
        <v>144.96999999999997</v>
      </c>
      <c r="E116" s="14">
        <f t="shared" si="93"/>
        <v>414.91</v>
      </c>
      <c r="F116" s="14">
        <f t="shared" si="44"/>
        <v>51.5</v>
      </c>
      <c r="G116" s="14">
        <f t="shared" si="45"/>
        <v>145.09666666666666</v>
      </c>
      <c r="H116" s="14">
        <f t="shared" si="47"/>
        <v>756.47666666666669</v>
      </c>
      <c r="I116" s="188">
        <f t="shared" si="63"/>
        <v>12675.540000000003</v>
      </c>
      <c r="J116" s="188">
        <f t="shared" si="64"/>
        <v>44332.509999999987</v>
      </c>
      <c r="K116" s="188">
        <f t="shared" si="65"/>
        <v>110497.62999999999</v>
      </c>
      <c r="L116" s="317">
        <f t="shared" si="143"/>
        <v>7</v>
      </c>
      <c r="M116" s="317">
        <f>IF(N116&lt;&gt;"",IF(N116=$O$5,0,+M115+1),0)</f>
        <v>88</v>
      </c>
      <c r="N116" s="188">
        <f t="shared" si="102"/>
        <v>301724.37000000005</v>
      </c>
      <c r="O116" s="188">
        <f>IF($O$11&lt;=A116,IF(+$W115&lt;=0,0,$O$8),0)</f>
        <v>2504.4299999999998</v>
      </c>
      <c r="P116" s="188">
        <f t="shared" si="109"/>
        <v>367.2199999999998</v>
      </c>
      <c r="Q116" s="188">
        <f>IF($O$11&lt;=A116,ROUND(N116*($O$7/12),2),0)</f>
        <v>2137.21</v>
      </c>
      <c r="R116" s="188">
        <f t="shared" si="75"/>
        <v>51.5</v>
      </c>
      <c r="S116" s="188">
        <f t="shared" si="66"/>
        <v>145.09666666666666</v>
      </c>
      <c r="T116" s="188">
        <f t="shared" si="52"/>
        <v>2701.0266666666666</v>
      </c>
      <c r="U116" s="188">
        <f t="shared" si="110"/>
        <v>24352.849999999991</v>
      </c>
      <c r="V116" s="188">
        <f t="shared" si="111"/>
        <v>198541.41999999995</v>
      </c>
      <c r="W116" s="188">
        <f t="shared" si="67"/>
        <v>301357.15000000008</v>
      </c>
      <c r="X116" s="395">
        <f t="shared" si="103"/>
        <v>48870</v>
      </c>
      <c r="Y116" s="188">
        <f t="shared" si="68"/>
        <v>301724.37000000005</v>
      </c>
      <c r="Z116" s="388">
        <f t="shared" si="95"/>
        <v>8.4999999999999992E-2</v>
      </c>
      <c r="AA116" s="188">
        <f t="shared" si="96"/>
        <v>2504.4299999999998</v>
      </c>
      <c r="AB116" s="188">
        <f t="shared" si="69"/>
        <v>367.2199999999998</v>
      </c>
      <c r="AC116" s="188">
        <f t="shared" si="97"/>
        <v>2137.21</v>
      </c>
      <c r="AD116" s="188">
        <f t="shared" ref="AD116:AE116" si="148">+AD115</f>
        <v>51.5</v>
      </c>
      <c r="AE116" s="188">
        <f t="shared" si="148"/>
        <v>145.09666666666666</v>
      </c>
      <c r="AF116" s="188">
        <f t="shared" si="71"/>
        <v>2701.0266666666666</v>
      </c>
      <c r="AG116" s="188">
        <f t="shared" si="72"/>
        <v>24352.849999999991</v>
      </c>
      <c r="AH116" s="188">
        <f t="shared" si="73"/>
        <v>198541.41999999995</v>
      </c>
      <c r="AI116" s="404">
        <f t="shared" si="57"/>
        <v>0</v>
      </c>
      <c r="AJ116" s="404">
        <f t="shared" si="123"/>
        <v>0</v>
      </c>
      <c r="AK116" s="404">
        <f t="shared" si="58"/>
        <v>0</v>
      </c>
      <c r="AL116" s="188">
        <f t="shared" si="74"/>
        <v>301357.15000000008</v>
      </c>
      <c r="AM116" s="317">
        <f t="shared" si="105"/>
        <v>7</v>
      </c>
      <c r="AN116" s="14">
        <f t="shared" si="59"/>
        <v>1944.5499999999997</v>
      </c>
      <c r="AO116" s="14">
        <f>IF(W116&lt;=0,0,+$AA$6-$C$2+I116-U116)</f>
        <v>191319.69</v>
      </c>
      <c r="AP116" s="14">
        <f t="shared" si="60"/>
        <v>1944.5499999999997</v>
      </c>
      <c r="AS116" s="14">
        <f t="shared" si="100"/>
        <v>1944.5499999999997</v>
      </c>
      <c r="AT116" s="14">
        <f t="shared" si="106"/>
        <v>172584.38999999987</v>
      </c>
      <c r="AU116" s="188">
        <f>IF(W116&lt;=0,0,+($O$5+AV115)*$AQ$2/12)</f>
        <v>1045.2236562775158</v>
      </c>
      <c r="AV116" s="188">
        <f t="shared" si="107"/>
        <v>93424.686167283857</v>
      </c>
    </row>
    <row r="117" spans="1:50">
      <c r="A117" s="395">
        <f t="shared" si="62"/>
        <v>48900</v>
      </c>
      <c r="B117" s="188">
        <f t="shared" si="101"/>
        <v>110497.62999999999</v>
      </c>
      <c r="C117" s="14">
        <f t="shared" si="92"/>
        <v>559.88</v>
      </c>
      <c r="D117" s="14">
        <f t="shared" si="108"/>
        <v>145.51</v>
      </c>
      <c r="E117" s="14">
        <f t="shared" si="93"/>
        <v>414.37</v>
      </c>
      <c r="F117" s="14">
        <f t="shared" si="44"/>
        <v>51.5</v>
      </c>
      <c r="G117" s="14">
        <f t="shared" si="45"/>
        <v>145.09666666666666</v>
      </c>
      <c r="H117" s="14">
        <f t="shared" si="47"/>
        <v>756.47666666666669</v>
      </c>
      <c r="I117" s="188">
        <f t="shared" si="63"/>
        <v>12821.050000000003</v>
      </c>
      <c r="J117" s="188">
        <f t="shared" si="64"/>
        <v>44746.87999999999</v>
      </c>
      <c r="K117" s="188">
        <f t="shared" si="65"/>
        <v>110352.12</v>
      </c>
      <c r="L117" s="317">
        <f t="shared" si="143"/>
        <v>7</v>
      </c>
      <c r="M117" s="317">
        <f>IF(N117&lt;&gt;"",IF(N117=$O$5,0,+M116+1),0)</f>
        <v>89</v>
      </c>
      <c r="N117" s="188">
        <f t="shared" si="102"/>
        <v>301357.15000000008</v>
      </c>
      <c r="O117" s="188">
        <f>IF($O$11&lt;=A117,IF(+$W116&lt;=0,0,$O$8),0)</f>
        <v>2504.4299999999998</v>
      </c>
      <c r="P117" s="188">
        <f t="shared" si="109"/>
        <v>369.81999999999971</v>
      </c>
      <c r="Q117" s="188">
        <f>IF($O$11&lt;=A117,ROUND(N117*($O$7/12),2),0)</f>
        <v>2134.61</v>
      </c>
      <c r="R117" s="188">
        <f t="shared" si="75"/>
        <v>51.5</v>
      </c>
      <c r="S117" s="188">
        <f t="shared" si="66"/>
        <v>145.09666666666666</v>
      </c>
      <c r="T117" s="188">
        <f t="shared" si="52"/>
        <v>2701.0266666666666</v>
      </c>
      <c r="U117" s="188">
        <f t="shared" si="110"/>
        <v>24722.669999999991</v>
      </c>
      <c r="V117" s="188">
        <f t="shared" si="111"/>
        <v>200676.02999999994</v>
      </c>
      <c r="W117" s="188">
        <f t="shared" si="67"/>
        <v>300987.33000000007</v>
      </c>
      <c r="X117" s="395">
        <f t="shared" si="103"/>
        <v>48900</v>
      </c>
      <c r="Y117" s="188">
        <f t="shared" si="68"/>
        <v>301357.15000000008</v>
      </c>
      <c r="Z117" s="388">
        <f t="shared" si="95"/>
        <v>8.4999999999999992E-2</v>
      </c>
      <c r="AA117" s="188">
        <f t="shared" si="96"/>
        <v>2504.4299999999998</v>
      </c>
      <c r="AB117" s="188">
        <f t="shared" si="69"/>
        <v>369.81999999999971</v>
      </c>
      <c r="AC117" s="188">
        <f t="shared" si="97"/>
        <v>2134.61</v>
      </c>
      <c r="AD117" s="188">
        <f t="shared" ref="AD117:AE117" si="149">+AD116</f>
        <v>51.5</v>
      </c>
      <c r="AE117" s="188">
        <f t="shared" si="149"/>
        <v>145.09666666666666</v>
      </c>
      <c r="AF117" s="188">
        <f t="shared" si="71"/>
        <v>2701.0266666666666</v>
      </c>
      <c r="AG117" s="188">
        <f t="shared" si="72"/>
        <v>24722.669999999991</v>
      </c>
      <c r="AH117" s="188">
        <f t="shared" si="73"/>
        <v>200676.02999999994</v>
      </c>
      <c r="AI117" s="404">
        <f t="shared" si="57"/>
        <v>0</v>
      </c>
      <c r="AJ117" s="404">
        <f t="shared" si="123"/>
        <v>0</v>
      </c>
      <c r="AK117" s="404">
        <f t="shared" si="58"/>
        <v>0</v>
      </c>
      <c r="AL117" s="188">
        <f t="shared" si="74"/>
        <v>300987.33000000007</v>
      </c>
      <c r="AM117" s="317">
        <f t="shared" si="105"/>
        <v>7</v>
      </c>
      <c r="AN117" s="14">
        <f t="shared" si="59"/>
        <v>1944.5499999999997</v>
      </c>
      <c r="AO117" s="14">
        <f>IF(W117&lt;=0,0,+$AA$6-$C$2+I117-U117)</f>
        <v>191095.38</v>
      </c>
      <c r="AP117" s="14">
        <f t="shared" si="60"/>
        <v>1944.5499999999997</v>
      </c>
      <c r="AS117" s="14">
        <f t="shared" si="100"/>
        <v>1944.5499999999997</v>
      </c>
      <c r="AT117" s="14">
        <f t="shared" si="106"/>
        <v>174528.93999999986</v>
      </c>
      <c r="AU117" s="188">
        <f>IF(W117&lt;=0,0,+($O$5+AV116)*$AQ$2/12)</f>
        <v>1047.8367154182097</v>
      </c>
      <c r="AV117" s="188">
        <f t="shared" si="107"/>
        <v>94472.522882702062</v>
      </c>
    </row>
    <row r="118" spans="1:50">
      <c r="A118" s="395">
        <f t="shared" si="62"/>
        <v>48930</v>
      </c>
      <c r="B118" s="188">
        <f t="shared" si="101"/>
        <v>110352.12</v>
      </c>
      <c r="C118" s="14">
        <f t="shared" si="92"/>
        <v>559.88</v>
      </c>
      <c r="D118" s="14">
        <f t="shared" si="108"/>
        <v>146.06</v>
      </c>
      <c r="E118" s="14">
        <f t="shared" si="93"/>
        <v>413.82</v>
      </c>
      <c r="F118" s="14">
        <f t="shared" si="44"/>
        <v>51.5</v>
      </c>
      <c r="G118" s="14">
        <f t="shared" si="45"/>
        <v>145.09666666666666</v>
      </c>
      <c r="H118" s="14">
        <f t="shared" si="47"/>
        <v>756.47666666666669</v>
      </c>
      <c r="I118" s="188">
        <f t="shared" si="63"/>
        <v>12967.110000000002</v>
      </c>
      <c r="J118" s="188">
        <f t="shared" si="64"/>
        <v>45160.69999999999</v>
      </c>
      <c r="K118" s="188">
        <f t="shared" si="65"/>
        <v>110206.06</v>
      </c>
      <c r="L118" s="317">
        <f t="shared" si="143"/>
        <v>7</v>
      </c>
      <c r="M118" s="317">
        <f>IF(N118&lt;&gt;"",IF(N118=$O$5,0,+M117+1),0)</f>
        <v>90</v>
      </c>
      <c r="N118" s="188">
        <f t="shared" si="102"/>
        <v>300987.33000000007</v>
      </c>
      <c r="O118" s="188">
        <f>IF($O$11&lt;=A118,IF(+$W117&lt;=0,0,$O$8),0)</f>
        <v>2504.4299999999998</v>
      </c>
      <c r="P118" s="188">
        <f t="shared" si="109"/>
        <v>372.44000000000005</v>
      </c>
      <c r="Q118" s="188">
        <f>IF($O$11&lt;=A118,ROUND(N118*($O$7/12),2),0)</f>
        <v>2131.9899999999998</v>
      </c>
      <c r="R118" s="188">
        <f t="shared" si="75"/>
        <v>51.5</v>
      </c>
      <c r="S118" s="188">
        <f t="shared" si="66"/>
        <v>145.09666666666666</v>
      </c>
      <c r="T118" s="188">
        <f t="shared" si="52"/>
        <v>2701.0266666666666</v>
      </c>
      <c r="U118" s="188">
        <f t="shared" si="110"/>
        <v>25095.10999999999</v>
      </c>
      <c r="V118" s="188">
        <f t="shared" si="111"/>
        <v>202808.01999999993</v>
      </c>
      <c r="W118" s="188">
        <f t="shared" si="67"/>
        <v>300614.89000000007</v>
      </c>
      <c r="X118" s="395">
        <f t="shared" si="103"/>
        <v>48930</v>
      </c>
      <c r="Y118" s="188">
        <f t="shared" si="68"/>
        <v>300987.33000000007</v>
      </c>
      <c r="Z118" s="388">
        <f t="shared" si="95"/>
        <v>8.4999999999999992E-2</v>
      </c>
      <c r="AA118" s="188">
        <f t="shared" si="96"/>
        <v>2504.4299999999998</v>
      </c>
      <c r="AB118" s="188">
        <f t="shared" si="69"/>
        <v>372.44000000000005</v>
      </c>
      <c r="AC118" s="188">
        <f t="shared" si="97"/>
        <v>2131.9899999999998</v>
      </c>
      <c r="AD118" s="188">
        <f t="shared" ref="AD118:AE118" si="150">+AD117</f>
        <v>51.5</v>
      </c>
      <c r="AE118" s="188">
        <f t="shared" si="150"/>
        <v>145.09666666666666</v>
      </c>
      <c r="AF118" s="188">
        <f t="shared" si="71"/>
        <v>2701.0266666666666</v>
      </c>
      <c r="AG118" s="188">
        <f t="shared" si="72"/>
        <v>25095.10999999999</v>
      </c>
      <c r="AH118" s="188">
        <f t="shared" si="73"/>
        <v>202808.01999999993</v>
      </c>
      <c r="AI118" s="404">
        <f t="shared" si="57"/>
        <v>0</v>
      </c>
      <c r="AJ118" s="404">
        <f t="shared" si="123"/>
        <v>0</v>
      </c>
      <c r="AK118" s="404">
        <f t="shared" si="58"/>
        <v>0</v>
      </c>
      <c r="AL118" s="188">
        <f t="shared" si="74"/>
        <v>300614.89000000007</v>
      </c>
      <c r="AM118" s="317">
        <f t="shared" si="105"/>
        <v>7</v>
      </c>
      <c r="AN118" s="14">
        <f t="shared" si="59"/>
        <v>1944.5499999999997</v>
      </c>
      <c r="AO118" s="14">
        <f>IF(W118&lt;=0,0,+$AA$6-$C$2+I118-U118)</f>
        <v>190869.00000000003</v>
      </c>
      <c r="AP118" s="14">
        <f t="shared" si="60"/>
        <v>1944.5499999999997</v>
      </c>
      <c r="AS118" s="14">
        <f t="shared" si="100"/>
        <v>1944.5499999999997</v>
      </c>
      <c r="AT118" s="14">
        <f t="shared" si="106"/>
        <v>176473.48999999985</v>
      </c>
      <c r="AU118" s="188">
        <f>IF(W118&lt;=0,0,+($O$5+AV117)*$AQ$2/12)</f>
        <v>1050.4563072067551</v>
      </c>
      <c r="AV118" s="188">
        <f t="shared" si="107"/>
        <v>95522.979189908816</v>
      </c>
      <c r="AX118" s="371"/>
    </row>
    <row r="119" spans="1:50">
      <c r="A119" s="395">
        <f t="shared" si="62"/>
        <v>48960</v>
      </c>
      <c r="B119" s="188">
        <f t="shared" si="101"/>
        <v>110206.06</v>
      </c>
      <c r="C119" s="14">
        <f t="shared" si="92"/>
        <v>559.88</v>
      </c>
      <c r="D119" s="14">
        <f t="shared" si="108"/>
        <v>146.61000000000001</v>
      </c>
      <c r="E119" s="14">
        <f t="shared" si="93"/>
        <v>413.27</v>
      </c>
      <c r="F119" s="14">
        <f t="shared" si="44"/>
        <v>51.5</v>
      </c>
      <c r="G119" s="14">
        <f t="shared" si="45"/>
        <v>145.09666666666666</v>
      </c>
      <c r="H119" s="14">
        <f t="shared" si="47"/>
        <v>756.47666666666669</v>
      </c>
      <c r="I119" s="188">
        <f t="shared" si="63"/>
        <v>13113.720000000003</v>
      </c>
      <c r="J119" s="188">
        <f t="shared" si="64"/>
        <v>45573.969999999987</v>
      </c>
      <c r="K119" s="188">
        <f t="shared" si="65"/>
        <v>110059.45</v>
      </c>
      <c r="L119" s="317">
        <f t="shared" si="143"/>
        <v>7</v>
      </c>
      <c r="M119" s="317">
        <f>IF(N119&lt;&gt;"",IF(N119=$O$5,0,+M118+1),0)</f>
        <v>91</v>
      </c>
      <c r="N119" s="188">
        <f t="shared" si="102"/>
        <v>300614.89000000007</v>
      </c>
      <c r="O119" s="188">
        <f>IF($O$11&lt;=A119,IF(+$W118&lt;=0,0,$O$8),0)</f>
        <v>2504.4299999999998</v>
      </c>
      <c r="P119" s="188">
        <f t="shared" si="109"/>
        <v>375.06999999999971</v>
      </c>
      <c r="Q119" s="188">
        <f>IF($O$11&lt;=A119,ROUND(N119*($O$7/12),2),0)</f>
        <v>2129.36</v>
      </c>
      <c r="R119" s="188">
        <f t="shared" si="75"/>
        <v>51.5</v>
      </c>
      <c r="S119" s="188">
        <f t="shared" si="66"/>
        <v>145.09666666666666</v>
      </c>
      <c r="T119" s="188">
        <f t="shared" si="52"/>
        <v>2701.0266666666666</v>
      </c>
      <c r="U119" s="188">
        <f t="shared" si="110"/>
        <v>25470.179999999989</v>
      </c>
      <c r="V119" s="188">
        <f t="shared" si="111"/>
        <v>204937.37999999992</v>
      </c>
      <c r="W119" s="188">
        <f t="shared" si="67"/>
        <v>300239.82000000007</v>
      </c>
      <c r="X119" s="395">
        <f t="shared" si="103"/>
        <v>48960</v>
      </c>
      <c r="Y119" s="188">
        <f t="shared" si="68"/>
        <v>300614.89000000007</v>
      </c>
      <c r="Z119" s="388">
        <f t="shared" si="95"/>
        <v>8.4999999999999992E-2</v>
      </c>
      <c r="AA119" s="188">
        <f t="shared" si="96"/>
        <v>2504.4299999999998</v>
      </c>
      <c r="AB119" s="188">
        <f t="shared" si="69"/>
        <v>375.06999999999971</v>
      </c>
      <c r="AC119" s="188">
        <f t="shared" si="97"/>
        <v>2129.36</v>
      </c>
      <c r="AD119" s="188">
        <f t="shared" ref="AD119:AE119" si="151">+AD118</f>
        <v>51.5</v>
      </c>
      <c r="AE119" s="188">
        <f t="shared" si="151"/>
        <v>145.09666666666666</v>
      </c>
      <c r="AF119" s="188">
        <f t="shared" si="71"/>
        <v>2701.0266666666666</v>
      </c>
      <c r="AG119" s="188">
        <f t="shared" si="72"/>
        <v>25470.179999999989</v>
      </c>
      <c r="AH119" s="188">
        <f t="shared" si="73"/>
        <v>204937.37999999992</v>
      </c>
      <c r="AI119" s="404">
        <f t="shared" si="57"/>
        <v>0</v>
      </c>
      <c r="AJ119" s="404">
        <f t="shared" si="123"/>
        <v>0</v>
      </c>
      <c r="AK119" s="404">
        <f t="shared" si="58"/>
        <v>0</v>
      </c>
      <c r="AL119" s="188">
        <f t="shared" si="74"/>
        <v>300239.82000000007</v>
      </c>
      <c r="AM119" s="317">
        <f t="shared" si="105"/>
        <v>7</v>
      </c>
      <c r="AN119" s="14">
        <f t="shared" si="59"/>
        <v>1944.5499999999997</v>
      </c>
      <c r="AO119" s="14">
        <f>IF(W119&lt;=0,0,+$AA$6-$C$2+I119-U119)</f>
        <v>190640.54</v>
      </c>
      <c r="AP119" s="14">
        <f t="shared" si="60"/>
        <v>1944.5499999999997</v>
      </c>
      <c r="AS119" s="14">
        <f t="shared" si="100"/>
        <v>1944.5499999999997</v>
      </c>
      <c r="AT119" s="14">
        <f t="shared" si="106"/>
        <v>178418.03999999983</v>
      </c>
      <c r="AU119" s="188">
        <f>IF(W119&lt;=0,0,+($O$5+AV118)*$AQ$2/12)</f>
        <v>1053.0824479747721</v>
      </c>
      <c r="AV119" s="188">
        <f t="shared" si="107"/>
        <v>96576.061637883584</v>
      </c>
      <c r="AX119" s="371"/>
    </row>
    <row r="120" spans="1:50">
      <c r="A120" s="395">
        <f t="shared" si="62"/>
        <v>48990</v>
      </c>
      <c r="B120" s="188">
        <f t="shared" si="101"/>
        <v>110059.45</v>
      </c>
      <c r="C120" s="14">
        <f t="shared" si="92"/>
        <v>559.88</v>
      </c>
      <c r="D120" s="14">
        <f t="shared" si="108"/>
        <v>147.15999999999997</v>
      </c>
      <c r="E120" s="14">
        <f t="shared" si="93"/>
        <v>412.72</v>
      </c>
      <c r="F120" s="14">
        <f t="shared" si="44"/>
        <v>51.5</v>
      </c>
      <c r="G120" s="14">
        <f t="shared" si="45"/>
        <v>145.09666666666666</v>
      </c>
      <c r="H120" s="14">
        <f t="shared" si="47"/>
        <v>756.47666666666669</v>
      </c>
      <c r="I120" s="188">
        <f t="shared" si="63"/>
        <v>13260.880000000003</v>
      </c>
      <c r="J120" s="188">
        <f t="shared" si="64"/>
        <v>45986.689999999988</v>
      </c>
      <c r="K120" s="188">
        <f t="shared" si="65"/>
        <v>109912.29</v>
      </c>
      <c r="L120" s="317">
        <f t="shared" si="143"/>
        <v>7</v>
      </c>
      <c r="M120" s="317">
        <f>IF(N120&lt;&gt;"",IF(N120=$O$5,0,+M119+1),0)</f>
        <v>92</v>
      </c>
      <c r="N120" s="188">
        <f t="shared" si="102"/>
        <v>300239.82000000007</v>
      </c>
      <c r="O120" s="188">
        <f>IF($O$11&lt;=A120,IF(+$W119&lt;=0,0,$O$8),0)</f>
        <v>2504.4299999999998</v>
      </c>
      <c r="P120" s="188">
        <f t="shared" si="109"/>
        <v>377.73</v>
      </c>
      <c r="Q120" s="188">
        <f>IF($O$11&lt;=A120,ROUND(N120*($O$7/12),2),0)</f>
        <v>2126.6999999999998</v>
      </c>
      <c r="R120" s="188">
        <f t="shared" si="75"/>
        <v>51.5</v>
      </c>
      <c r="S120" s="188">
        <f t="shared" si="66"/>
        <v>145.09666666666666</v>
      </c>
      <c r="T120" s="188">
        <f t="shared" si="52"/>
        <v>2701.0266666666666</v>
      </c>
      <c r="U120" s="188">
        <f t="shared" si="110"/>
        <v>25847.909999999989</v>
      </c>
      <c r="V120" s="188">
        <f t="shared" si="111"/>
        <v>207064.07999999993</v>
      </c>
      <c r="W120" s="188">
        <f t="shared" si="67"/>
        <v>299862.09000000008</v>
      </c>
      <c r="X120" s="395">
        <f t="shared" si="103"/>
        <v>48990</v>
      </c>
      <c r="Y120" s="188">
        <f t="shared" si="68"/>
        <v>300239.82000000007</v>
      </c>
      <c r="Z120" s="388">
        <f t="shared" si="95"/>
        <v>8.4999999999999992E-2</v>
      </c>
      <c r="AA120" s="188">
        <f t="shared" si="96"/>
        <v>2504.4299999999998</v>
      </c>
      <c r="AB120" s="188">
        <f t="shared" si="69"/>
        <v>377.73</v>
      </c>
      <c r="AC120" s="188">
        <f t="shared" si="97"/>
        <v>2126.6999999999998</v>
      </c>
      <c r="AD120" s="188">
        <f t="shared" ref="AD120:AE120" si="152">+AD119</f>
        <v>51.5</v>
      </c>
      <c r="AE120" s="188">
        <f t="shared" si="152"/>
        <v>145.09666666666666</v>
      </c>
      <c r="AF120" s="188">
        <f t="shared" si="71"/>
        <v>2701.0266666666666</v>
      </c>
      <c r="AG120" s="188">
        <f t="shared" si="72"/>
        <v>25847.909999999989</v>
      </c>
      <c r="AH120" s="188">
        <f t="shared" si="73"/>
        <v>207064.07999999993</v>
      </c>
      <c r="AI120" s="404">
        <f t="shared" si="57"/>
        <v>0</v>
      </c>
      <c r="AJ120" s="404">
        <f t="shared" si="123"/>
        <v>0</v>
      </c>
      <c r="AK120" s="404">
        <f t="shared" si="58"/>
        <v>0</v>
      </c>
      <c r="AL120" s="188">
        <f t="shared" si="74"/>
        <v>299862.09000000008</v>
      </c>
      <c r="AM120" s="317">
        <f t="shared" si="105"/>
        <v>7</v>
      </c>
      <c r="AN120" s="14">
        <f t="shared" si="59"/>
        <v>1944.5499999999997</v>
      </c>
      <c r="AO120" s="14">
        <f>IF(W120&lt;=0,0,+$AA$6-$C$2+I120-U120)</f>
        <v>190409.97000000003</v>
      </c>
      <c r="AP120" s="14">
        <f t="shared" si="60"/>
        <v>1944.5499999999997</v>
      </c>
      <c r="AS120" s="14">
        <f t="shared" si="100"/>
        <v>1944.5499999999997</v>
      </c>
      <c r="AT120" s="14">
        <f t="shared" si="106"/>
        <v>180362.58999999982</v>
      </c>
      <c r="AU120" s="188">
        <f>IF(W120&lt;=0,0,+($O$5+AV119)*$AQ$2/12)</f>
        <v>1055.7151540947091</v>
      </c>
      <c r="AV120" s="188">
        <f t="shared" si="107"/>
        <v>97631.776791978293</v>
      </c>
      <c r="AX120" s="371"/>
    </row>
    <row r="121" spans="1:50">
      <c r="A121" s="395">
        <f t="shared" si="62"/>
        <v>49020</v>
      </c>
      <c r="B121" s="188">
        <f t="shared" si="101"/>
        <v>109912.29</v>
      </c>
      <c r="C121" s="14">
        <f t="shared" si="92"/>
        <v>559.88</v>
      </c>
      <c r="D121" s="14">
        <f t="shared" si="108"/>
        <v>147.70999999999998</v>
      </c>
      <c r="E121" s="14">
        <f t="shared" si="93"/>
        <v>412.17</v>
      </c>
      <c r="F121" s="14">
        <f t="shared" si="44"/>
        <v>51.5</v>
      </c>
      <c r="G121" s="14">
        <f t="shared" si="45"/>
        <v>145.09666666666666</v>
      </c>
      <c r="H121" s="14">
        <f t="shared" si="47"/>
        <v>756.47666666666669</v>
      </c>
      <c r="I121" s="188">
        <f t="shared" si="63"/>
        <v>13408.590000000002</v>
      </c>
      <c r="J121" s="188">
        <f t="shared" si="64"/>
        <v>46398.859999999986</v>
      </c>
      <c r="K121" s="188">
        <f t="shared" si="65"/>
        <v>109764.57999999999</v>
      </c>
      <c r="L121" s="317">
        <f t="shared" si="143"/>
        <v>7</v>
      </c>
      <c r="M121" s="317">
        <f>IF(N121&lt;&gt;"",IF(N121=$O$5,0,+M120+1),0)</f>
        <v>93</v>
      </c>
      <c r="N121" s="188">
        <f t="shared" si="102"/>
        <v>299862.09000000008</v>
      </c>
      <c r="O121" s="188">
        <f>IF($O$11&lt;=A121,IF(+$W120&lt;=0,0,$O$8),0)</f>
        <v>2504.4299999999998</v>
      </c>
      <c r="P121" s="188">
        <f t="shared" si="109"/>
        <v>380.40999999999985</v>
      </c>
      <c r="Q121" s="188">
        <f>IF($O$11&lt;=A121,ROUND(N121*($O$7/12),2),0)</f>
        <v>2124.02</v>
      </c>
      <c r="R121" s="188">
        <f t="shared" si="75"/>
        <v>51.5</v>
      </c>
      <c r="S121" s="188">
        <f t="shared" si="66"/>
        <v>145.09666666666666</v>
      </c>
      <c r="T121" s="188">
        <f t="shared" si="52"/>
        <v>2701.0266666666666</v>
      </c>
      <c r="U121" s="188">
        <f t="shared" si="110"/>
        <v>26228.319999999989</v>
      </c>
      <c r="V121" s="188">
        <f t="shared" si="111"/>
        <v>209188.09999999992</v>
      </c>
      <c r="W121" s="188">
        <f t="shared" si="67"/>
        <v>299481.68000000011</v>
      </c>
      <c r="X121" s="395">
        <f t="shared" si="103"/>
        <v>49020</v>
      </c>
      <c r="Y121" s="188">
        <f t="shared" si="68"/>
        <v>299862.09000000008</v>
      </c>
      <c r="Z121" s="388">
        <f t="shared" si="95"/>
        <v>8.4999999999999992E-2</v>
      </c>
      <c r="AA121" s="188">
        <f t="shared" si="96"/>
        <v>2504.4299999999998</v>
      </c>
      <c r="AB121" s="188">
        <f t="shared" si="69"/>
        <v>380.40999999999985</v>
      </c>
      <c r="AC121" s="188">
        <f t="shared" si="97"/>
        <v>2124.02</v>
      </c>
      <c r="AD121" s="188">
        <f t="shared" ref="AD121:AE121" si="153">+AD120</f>
        <v>51.5</v>
      </c>
      <c r="AE121" s="188">
        <f t="shared" si="153"/>
        <v>145.09666666666666</v>
      </c>
      <c r="AF121" s="188">
        <f t="shared" si="71"/>
        <v>2701.0266666666666</v>
      </c>
      <c r="AG121" s="188">
        <f t="shared" si="72"/>
        <v>26228.319999999989</v>
      </c>
      <c r="AH121" s="188">
        <f t="shared" si="73"/>
        <v>209188.09999999992</v>
      </c>
      <c r="AI121" s="404">
        <f t="shared" si="57"/>
        <v>0</v>
      </c>
      <c r="AJ121" s="404">
        <f t="shared" si="123"/>
        <v>0</v>
      </c>
      <c r="AK121" s="404">
        <f t="shared" si="58"/>
        <v>0</v>
      </c>
      <c r="AL121" s="188">
        <f t="shared" si="74"/>
        <v>299481.68000000011</v>
      </c>
      <c r="AM121" s="317">
        <f t="shared" si="105"/>
        <v>7</v>
      </c>
      <c r="AN121" s="14">
        <f t="shared" si="59"/>
        <v>1944.5499999999997</v>
      </c>
      <c r="AO121" s="14">
        <f>IF(W121&lt;=0,0,+$AA$6-$C$2+I121-U121)</f>
        <v>190177.27000000002</v>
      </c>
      <c r="AP121" s="14">
        <f t="shared" si="60"/>
        <v>1944.5499999999997</v>
      </c>
      <c r="AS121" s="14">
        <f t="shared" si="100"/>
        <v>1944.5499999999997</v>
      </c>
      <c r="AT121" s="14">
        <f t="shared" si="106"/>
        <v>182307.13999999981</v>
      </c>
      <c r="AU121" s="188">
        <f>IF(W121&lt;=0,0,+($O$5+AV120)*$AQ$2/12)</f>
        <v>1058.3544419799457</v>
      </c>
      <c r="AV121" s="188">
        <f t="shared" si="107"/>
        <v>98690.131233958236</v>
      </c>
    </row>
    <row r="122" spans="1:50">
      <c r="A122" s="395">
        <f t="shared" si="62"/>
        <v>49050</v>
      </c>
      <c r="B122" s="188">
        <f t="shared" si="101"/>
        <v>109764.57999999999</v>
      </c>
      <c r="C122" s="14">
        <f t="shared" si="92"/>
        <v>559.88</v>
      </c>
      <c r="D122" s="14">
        <f t="shared" si="108"/>
        <v>148.26</v>
      </c>
      <c r="E122" s="14">
        <f t="shared" si="93"/>
        <v>411.62</v>
      </c>
      <c r="F122" s="14">
        <f t="shared" si="44"/>
        <v>51.5</v>
      </c>
      <c r="G122" s="14">
        <f t="shared" si="45"/>
        <v>145.09666666666666</v>
      </c>
      <c r="H122" s="14">
        <f t="shared" si="47"/>
        <v>756.47666666666669</v>
      </c>
      <c r="I122" s="188">
        <f t="shared" si="63"/>
        <v>13556.850000000002</v>
      </c>
      <c r="J122" s="188">
        <f t="shared" si="64"/>
        <v>46810.479999999989</v>
      </c>
      <c r="K122" s="188">
        <f t="shared" si="65"/>
        <v>109616.31999999999</v>
      </c>
      <c r="L122" s="317">
        <f t="shared" si="143"/>
        <v>7</v>
      </c>
      <c r="M122" s="317">
        <f>IF(N122&lt;&gt;"",IF(N122=$O$5,0,+M121+1),0)</f>
        <v>94</v>
      </c>
      <c r="N122" s="188">
        <f t="shared" si="102"/>
        <v>299481.68000000011</v>
      </c>
      <c r="O122" s="188">
        <f>IF($O$11&lt;=A122,IF(+$W121&lt;=0,0,$O$8),0)</f>
        <v>2504.4299999999998</v>
      </c>
      <c r="P122" s="188">
        <f>+O122-Q122</f>
        <v>383.09999999999991</v>
      </c>
      <c r="Q122" s="188">
        <f>IF($O$11&lt;=A122,ROUND(N122*($O$7/12),2),0)</f>
        <v>2121.33</v>
      </c>
      <c r="R122" s="188">
        <f t="shared" si="75"/>
        <v>51.5</v>
      </c>
      <c r="S122" s="188">
        <f t="shared" si="66"/>
        <v>145.09666666666666</v>
      </c>
      <c r="T122" s="188">
        <f t="shared" si="52"/>
        <v>2701.0266666666666</v>
      </c>
      <c r="U122" s="188">
        <f t="shared" si="110"/>
        <v>26611.419999999987</v>
      </c>
      <c r="V122" s="188">
        <f t="shared" si="111"/>
        <v>211309.42999999991</v>
      </c>
      <c r="W122" s="188">
        <f t="shared" si="67"/>
        <v>299098.58000000013</v>
      </c>
      <c r="X122" s="395">
        <f t="shared" si="103"/>
        <v>49050</v>
      </c>
      <c r="Y122" s="188">
        <f t="shared" si="68"/>
        <v>299481.68000000011</v>
      </c>
      <c r="Z122" s="388">
        <f t="shared" si="95"/>
        <v>8.4999999999999992E-2</v>
      </c>
      <c r="AA122" s="188">
        <f t="shared" si="96"/>
        <v>2504.4299999999998</v>
      </c>
      <c r="AB122" s="188">
        <f t="shared" si="69"/>
        <v>383.09999999999991</v>
      </c>
      <c r="AC122" s="188">
        <f t="shared" si="97"/>
        <v>2121.33</v>
      </c>
      <c r="AD122" s="188">
        <f t="shared" ref="AD122:AE122" si="154">+AD121</f>
        <v>51.5</v>
      </c>
      <c r="AE122" s="188">
        <f t="shared" si="154"/>
        <v>145.09666666666666</v>
      </c>
      <c r="AF122" s="188">
        <f t="shared" si="71"/>
        <v>2701.0266666666666</v>
      </c>
      <c r="AG122" s="188">
        <f t="shared" si="72"/>
        <v>26611.419999999987</v>
      </c>
      <c r="AH122" s="188">
        <f t="shared" si="73"/>
        <v>211309.42999999991</v>
      </c>
      <c r="AI122" s="404">
        <f t="shared" si="57"/>
        <v>0</v>
      </c>
      <c r="AJ122" s="404">
        <f t="shared" si="123"/>
        <v>0</v>
      </c>
      <c r="AK122" s="404">
        <f t="shared" si="58"/>
        <v>0</v>
      </c>
      <c r="AL122" s="188">
        <f t="shared" si="74"/>
        <v>299098.58000000013</v>
      </c>
      <c r="AM122" s="317">
        <f t="shared" si="105"/>
        <v>7</v>
      </c>
      <c r="AN122" s="14">
        <f t="shared" si="59"/>
        <v>1944.5499999999997</v>
      </c>
      <c r="AO122" s="14">
        <f>IF(W122&lt;=0,0,+$AA$6-$C$2+I122-U122)</f>
        <v>189942.43000000002</v>
      </c>
      <c r="AP122" s="14">
        <f t="shared" si="60"/>
        <v>1944.5499999999997</v>
      </c>
      <c r="AS122" s="14">
        <f t="shared" si="100"/>
        <v>1944.5499999999997</v>
      </c>
      <c r="AT122" s="14">
        <f t="shared" si="106"/>
        <v>184251.6899999998</v>
      </c>
      <c r="AU122" s="188">
        <f>IF(W122&lt;=0,0,+($O$5+AV121)*$AQ$2/12)</f>
        <v>1061.0003280848955</v>
      </c>
      <c r="AV122" s="188">
        <f t="shared" si="107"/>
        <v>99751.131562043127</v>
      </c>
    </row>
    <row r="123" spans="1:50" ht="15.75" thickBot="1">
      <c r="A123" s="398">
        <f t="shared" si="62"/>
        <v>49080</v>
      </c>
      <c r="B123" s="237">
        <f t="shared" si="101"/>
        <v>109616.31999999999</v>
      </c>
      <c r="C123" s="21">
        <f t="shared" si="92"/>
        <v>559.88</v>
      </c>
      <c r="D123" s="21">
        <f t="shared" si="108"/>
        <v>148.82</v>
      </c>
      <c r="E123" s="21">
        <f t="shared" si="93"/>
        <v>411.06</v>
      </c>
      <c r="F123" s="21">
        <f t="shared" si="44"/>
        <v>51.5</v>
      </c>
      <c r="G123" s="21">
        <f t="shared" ref="G123:G186" si="155">+G122</f>
        <v>145.09666666666666</v>
      </c>
      <c r="H123" s="21">
        <f t="shared" ref="H123:H186" si="156">SUM(D123:G123)</f>
        <v>756.47666666666669</v>
      </c>
      <c r="I123" s="237">
        <f t="shared" si="63"/>
        <v>13705.670000000002</v>
      </c>
      <c r="J123" s="237">
        <f t="shared" si="64"/>
        <v>47221.539999999986</v>
      </c>
      <c r="K123" s="237">
        <f t="shared" si="65"/>
        <v>109467.49999999999</v>
      </c>
      <c r="L123" s="318">
        <f t="shared" si="143"/>
        <v>7</v>
      </c>
      <c r="M123" s="318">
        <f>IF(N123&lt;&gt;"",IF(N123=$O$5,0,+M122+1),0)</f>
        <v>95</v>
      </c>
      <c r="N123" s="237">
        <f t="shared" si="102"/>
        <v>299098.58000000013</v>
      </c>
      <c r="O123" s="237">
        <f>IF($O$11&lt;=A123,IF(+$W122&lt;=0,0,$O$8),0)</f>
        <v>2504.4299999999998</v>
      </c>
      <c r="P123" s="237">
        <f t="shared" si="109"/>
        <v>385.81999999999971</v>
      </c>
      <c r="Q123" s="237">
        <f>IF($O$11&lt;=A123,ROUND(N123*($O$7/12),2),0)</f>
        <v>2118.61</v>
      </c>
      <c r="R123" s="237">
        <f t="shared" si="75"/>
        <v>51.5</v>
      </c>
      <c r="S123" s="237">
        <f t="shared" si="66"/>
        <v>145.09666666666666</v>
      </c>
      <c r="T123" s="237">
        <f t="shared" si="52"/>
        <v>2701.0266666666666</v>
      </c>
      <c r="U123" s="237">
        <f t="shared" si="110"/>
        <v>26997.239999999987</v>
      </c>
      <c r="V123" s="237">
        <f t="shared" si="111"/>
        <v>213428.03999999989</v>
      </c>
      <c r="W123" s="237">
        <f t="shared" si="67"/>
        <v>298712.76000000013</v>
      </c>
      <c r="X123" s="398">
        <f t="shared" si="103"/>
        <v>49080</v>
      </c>
      <c r="Y123" s="237">
        <f t="shared" si="68"/>
        <v>299098.58000000013</v>
      </c>
      <c r="Z123" s="389">
        <f t="shared" si="95"/>
        <v>8.4999999999999992E-2</v>
      </c>
      <c r="AA123" s="237">
        <f t="shared" si="96"/>
        <v>2504.4299999999998</v>
      </c>
      <c r="AB123" s="237">
        <f t="shared" si="69"/>
        <v>385.81999999999971</v>
      </c>
      <c r="AC123" s="237">
        <f t="shared" si="97"/>
        <v>2118.61</v>
      </c>
      <c r="AD123" s="237">
        <f t="shared" ref="AD123:AE123" si="157">+AD122</f>
        <v>51.5</v>
      </c>
      <c r="AE123" s="237">
        <f t="shared" si="157"/>
        <v>145.09666666666666</v>
      </c>
      <c r="AF123" s="237">
        <f t="shared" si="71"/>
        <v>2701.0266666666666</v>
      </c>
      <c r="AG123" s="237">
        <f t="shared" si="72"/>
        <v>26997.239999999987</v>
      </c>
      <c r="AH123" s="237">
        <f t="shared" si="73"/>
        <v>213428.03999999989</v>
      </c>
      <c r="AI123" s="405">
        <f t="shared" si="57"/>
        <v>0</v>
      </c>
      <c r="AJ123" s="405">
        <f t="shared" si="123"/>
        <v>0</v>
      </c>
      <c r="AK123" s="405">
        <f t="shared" si="58"/>
        <v>0</v>
      </c>
      <c r="AL123" s="237">
        <f t="shared" si="74"/>
        <v>298712.76000000013</v>
      </c>
      <c r="AM123" s="318">
        <f t="shared" si="105"/>
        <v>7</v>
      </c>
      <c r="AN123" s="21">
        <f t="shared" si="59"/>
        <v>1944.5499999999997</v>
      </c>
      <c r="AO123" s="21">
        <f>IF(W123&lt;=0,0,+$AA$6-$C$2+I123-U123)</f>
        <v>189705.43000000002</v>
      </c>
      <c r="AP123" s="21">
        <f t="shared" si="60"/>
        <v>1944.5499999999997</v>
      </c>
      <c r="AQ123" s="21"/>
      <c r="AR123" s="23"/>
      <c r="AS123" s="21">
        <f t="shared" si="100"/>
        <v>1944.5499999999997</v>
      </c>
      <c r="AT123" s="21">
        <f t="shared" si="106"/>
        <v>186196.23999999979</v>
      </c>
      <c r="AU123" s="237">
        <f>IF(W123&lt;=0,0,+($O$5+AV122)*$AQ$2/12)</f>
        <v>1063.6528289051078</v>
      </c>
      <c r="AV123" s="237">
        <f t="shared" si="107"/>
        <v>100814.78439094823</v>
      </c>
    </row>
    <row r="124" spans="1:50">
      <c r="A124" s="395">
        <f t="shared" si="62"/>
        <v>49110</v>
      </c>
      <c r="B124" s="188">
        <f t="shared" si="101"/>
        <v>109467.49999999999</v>
      </c>
      <c r="C124" s="14">
        <f t="shared" si="92"/>
        <v>559.88</v>
      </c>
      <c r="D124" s="14">
        <f t="shared" si="108"/>
        <v>149.38</v>
      </c>
      <c r="E124" s="14">
        <f t="shared" si="93"/>
        <v>410.5</v>
      </c>
      <c r="F124" s="14">
        <f t="shared" ref="F124:F187" si="158">+F123</f>
        <v>51.5</v>
      </c>
      <c r="G124" s="14">
        <f t="shared" si="155"/>
        <v>145.09666666666666</v>
      </c>
      <c r="H124" s="14">
        <f t="shared" si="156"/>
        <v>756.47666666666669</v>
      </c>
      <c r="I124" s="188">
        <f t="shared" si="63"/>
        <v>13855.050000000001</v>
      </c>
      <c r="J124" s="188">
        <f t="shared" si="64"/>
        <v>47632.039999999986</v>
      </c>
      <c r="K124" s="188">
        <f t="shared" si="65"/>
        <v>109318.11999999998</v>
      </c>
      <c r="L124" s="317">
        <f t="shared" si="143"/>
        <v>8</v>
      </c>
      <c r="M124" s="317">
        <f>IF(N124&lt;&gt;"",IF(N124=$O$5,0,+M123+1),0)</f>
        <v>96</v>
      </c>
      <c r="N124" s="188">
        <f t="shared" si="102"/>
        <v>298712.76000000013</v>
      </c>
      <c r="O124" s="188">
        <f>IF($O$11&lt;=A124,IF(+$W123&lt;=0,0,$O$8),0)</f>
        <v>2504.4299999999998</v>
      </c>
      <c r="P124" s="188">
        <f t="shared" si="109"/>
        <v>388.54999999999973</v>
      </c>
      <c r="Q124" s="188">
        <f>IF($O$11&lt;=A124,ROUND(N124*($O$7/12),2),0)</f>
        <v>2115.88</v>
      </c>
      <c r="R124" s="188">
        <f t="shared" si="75"/>
        <v>51.5</v>
      </c>
      <c r="S124" s="188">
        <f t="shared" si="66"/>
        <v>145.09666666666666</v>
      </c>
      <c r="T124" s="188">
        <f t="shared" ref="T124:T187" si="159">SUM(P124:S124)</f>
        <v>2701.0266666666666</v>
      </c>
      <c r="U124" s="188">
        <f t="shared" si="110"/>
        <v>27385.789999999986</v>
      </c>
      <c r="V124" s="188">
        <f t="shared" si="111"/>
        <v>215543.9199999999</v>
      </c>
      <c r="W124" s="188">
        <f t="shared" si="67"/>
        <v>298324.21000000014</v>
      </c>
      <c r="X124" s="395">
        <f t="shared" si="103"/>
        <v>49110</v>
      </c>
      <c r="Y124" s="188">
        <f t="shared" si="68"/>
        <v>298712.76000000013</v>
      </c>
      <c r="Z124" s="388">
        <f t="shared" si="95"/>
        <v>8.4999999999999992E-2</v>
      </c>
      <c r="AA124" s="188">
        <f t="shared" si="96"/>
        <v>2504.4299999999998</v>
      </c>
      <c r="AB124" s="188">
        <f t="shared" si="69"/>
        <v>388.54999999999973</v>
      </c>
      <c r="AC124" s="188">
        <f t="shared" si="97"/>
        <v>2115.88</v>
      </c>
      <c r="AD124" s="188">
        <f t="shared" ref="AD124:AE124" si="160">+AD123</f>
        <v>51.5</v>
      </c>
      <c r="AE124" s="188">
        <f t="shared" si="160"/>
        <v>145.09666666666666</v>
      </c>
      <c r="AF124" s="188">
        <f t="shared" si="71"/>
        <v>2701.0266666666666</v>
      </c>
      <c r="AG124" s="188">
        <f t="shared" si="72"/>
        <v>27385.789999999986</v>
      </c>
      <c r="AH124" s="188">
        <f t="shared" si="73"/>
        <v>215543.9199999999</v>
      </c>
      <c r="AI124" s="404">
        <f t="shared" si="57"/>
        <v>0</v>
      </c>
      <c r="AJ124" s="404">
        <f t="shared" si="123"/>
        <v>0</v>
      </c>
      <c r="AK124" s="404">
        <f t="shared" si="58"/>
        <v>0</v>
      </c>
      <c r="AL124" s="188">
        <f t="shared" si="74"/>
        <v>298324.21000000014</v>
      </c>
      <c r="AM124" s="317">
        <f t="shared" si="105"/>
        <v>8</v>
      </c>
      <c r="AN124" s="14">
        <f t="shared" si="59"/>
        <v>1944.5499999999997</v>
      </c>
      <c r="AO124" s="14">
        <f>IF(W124&lt;=0,0,+$AA$6-$C$2+I124-U124)</f>
        <v>189466.26</v>
      </c>
      <c r="AP124" s="14">
        <f t="shared" si="60"/>
        <v>1944.5499999999997</v>
      </c>
      <c r="AS124" s="14">
        <f t="shared" si="100"/>
        <v>1944.5499999999997</v>
      </c>
      <c r="AT124" s="14">
        <f t="shared" si="106"/>
        <v>188140.78999999978</v>
      </c>
      <c r="AU124" s="188">
        <f>IF(W124&lt;=0,0,+($O$5+AV123)*$AQ$2/12)</f>
        <v>1066.3119609773705</v>
      </c>
      <c r="AV124" s="188">
        <f t="shared" si="107"/>
        <v>101881.0963519256</v>
      </c>
    </row>
    <row r="125" spans="1:50">
      <c r="A125" s="395">
        <f t="shared" si="62"/>
        <v>49140</v>
      </c>
      <c r="B125" s="188">
        <f t="shared" si="101"/>
        <v>109318.11999999998</v>
      </c>
      <c r="C125" s="14">
        <f t="shared" si="92"/>
        <v>559.88</v>
      </c>
      <c r="D125" s="14">
        <f t="shared" si="108"/>
        <v>149.94</v>
      </c>
      <c r="E125" s="14">
        <f t="shared" si="93"/>
        <v>409.94</v>
      </c>
      <c r="F125" s="14">
        <f t="shared" si="158"/>
        <v>51.5</v>
      </c>
      <c r="G125" s="14">
        <f t="shared" si="155"/>
        <v>145.09666666666666</v>
      </c>
      <c r="H125" s="14">
        <f t="shared" si="156"/>
        <v>756.47666666666669</v>
      </c>
      <c r="I125" s="188">
        <f t="shared" si="63"/>
        <v>14004.990000000002</v>
      </c>
      <c r="J125" s="188">
        <f t="shared" si="64"/>
        <v>48041.979999999989</v>
      </c>
      <c r="K125" s="188">
        <f t="shared" si="65"/>
        <v>109168.17999999998</v>
      </c>
      <c r="L125" s="317">
        <f t="shared" si="143"/>
        <v>8</v>
      </c>
      <c r="M125" s="317">
        <f>IF(N125&lt;&gt;"",IF(N125=$O$5,0,+M124+1),0)</f>
        <v>97</v>
      </c>
      <c r="N125" s="188">
        <f t="shared" si="102"/>
        <v>298324.21000000014</v>
      </c>
      <c r="O125" s="188">
        <f>IF($O$11&lt;=A125,IF(+$W124&lt;=0,0,$O$8),0)</f>
        <v>2504.4299999999998</v>
      </c>
      <c r="P125" s="188">
        <f t="shared" si="109"/>
        <v>391.29999999999973</v>
      </c>
      <c r="Q125" s="188">
        <f>IF($O$11&lt;=A125,ROUND(N125*($O$7/12),2),0)</f>
        <v>2113.13</v>
      </c>
      <c r="R125" s="188">
        <f t="shared" ref="R125:R188" si="161">+R124</f>
        <v>51.5</v>
      </c>
      <c r="S125" s="188">
        <f t="shared" ref="S125:S188" si="162">+S124</f>
        <v>145.09666666666666</v>
      </c>
      <c r="T125" s="188">
        <f t="shared" si="159"/>
        <v>2701.0266666666666</v>
      </c>
      <c r="U125" s="188">
        <f t="shared" si="110"/>
        <v>27777.089999999986</v>
      </c>
      <c r="V125" s="188">
        <f t="shared" si="111"/>
        <v>217657.0499999999</v>
      </c>
      <c r="W125" s="188">
        <f t="shared" si="67"/>
        <v>297932.91000000015</v>
      </c>
      <c r="X125" s="395">
        <f t="shared" si="103"/>
        <v>49140</v>
      </c>
      <c r="Y125" s="188">
        <f t="shared" si="68"/>
        <v>298324.21000000014</v>
      </c>
      <c r="Z125" s="388">
        <f t="shared" si="95"/>
        <v>8.4999999999999992E-2</v>
      </c>
      <c r="AA125" s="188">
        <f t="shared" si="96"/>
        <v>2504.4299999999998</v>
      </c>
      <c r="AB125" s="188">
        <f t="shared" si="69"/>
        <v>391.29999999999973</v>
      </c>
      <c r="AC125" s="188">
        <f t="shared" si="97"/>
        <v>2113.13</v>
      </c>
      <c r="AD125" s="188">
        <f t="shared" ref="AD125:AE125" si="163">+AD124</f>
        <v>51.5</v>
      </c>
      <c r="AE125" s="188">
        <f t="shared" si="163"/>
        <v>145.09666666666666</v>
      </c>
      <c r="AF125" s="188">
        <f t="shared" si="71"/>
        <v>2701.0266666666666</v>
      </c>
      <c r="AG125" s="188">
        <f t="shared" si="72"/>
        <v>27777.089999999986</v>
      </c>
      <c r="AH125" s="188">
        <f t="shared" si="73"/>
        <v>217657.0499999999</v>
      </c>
      <c r="AI125" s="404">
        <f t="shared" ref="AI125:AI188" si="164">O125-AA125+AI124</f>
        <v>0</v>
      </c>
      <c r="AJ125" s="404">
        <f t="shared" si="123"/>
        <v>0</v>
      </c>
      <c r="AK125" s="404">
        <f t="shared" ref="AK125:AK188" si="165">SUM(AI125:AJ125)</f>
        <v>0</v>
      </c>
      <c r="AL125" s="188">
        <f t="shared" si="74"/>
        <v>297932.91000000015</v>
      </c>
      <c r="AM125" s="317">
        <f t="shared" si="105"/>
        <v>8</v>
      </c>
      <c r="AN125" s="14">
        <f t="shared" ref="AN125:AN188" si="166">IF(O125=0,0,+O125-C125)</f>
        <v>1944.5499999999997</v>
      </c>
      <c r="AO125" s="14">
        <f>IF(W125&lt;=0,0,+$AA$6-$C$2+I125-U125)</f>
        <v>189224.9</v>
      </c>
      <c r="AP125" s="14">
        <f t="shared" ref="AP125:AP188" si="167">IF($O125=0,0,+AA125-$C125)</f>
        <v>1944.5499999999997</v>
      </c>
      <c r="AS125" s="14">
        <f t="shared" si="100"/>
        <v>1944.5499999999997</v>
      </c>
      <c r="AT125" s="14">
        <f t="shared" si="106"/>
        <v>190085.33999999976</v>
      </c>
      <c r="AU125" s="188">
        <f>IF(W125&lt;=0,0,+($O$5+AV124)*$AQ$2/12)</f>
        <v>1068.9777408798141</v>
      </c>
      <c r="AV125" s="188">
        <f t="shared" si="107"/>
        <v>102950.07409280541</v>
      </c>
    </row>
    <row r="126" spans="1:50">
      <c r="A126" s="395">
        <f t="shared" si="62"/>
        <v>49170</v>
      </c>
      <c r="B126" s="188">
        <f t="shared" si="101"/>
        <v>109168.17999999998</v>
      </c>
      <c r="C126" s="14">
        <f t="shared" si="92"/>
        <v>559.88</v>
      </c>
      <c r="D126" s="14">
        <f t="shared" si="108"/>
        <v>150.5</v>
      </c>
      <c r="E126" s="14">
        <f t="shared" si="93"/>
        <v>409.38</v>
      </c>
      <c r="F126" s="14">
        <f t="shared" si="158"/>
        <v>51.5</v>
      </c>
      <c r="G126" s="14">
        <f t="shared" si="155"/>
        <v>145.09666666666666</v>
      </c>
      <c r="H126" s="14">
        <f t="shared" si="156"/>
        <v>756.47666666666669</v>
      </c>
      <c r="I126" s="188">
        <f t="shared" si="63"/>
        <v>14155.490000000002</v>
      </c>
      <c r="J126" s="188">
        <f t="shared" si="64"/>
        <v>48451.359999999986</v>
      </c>
      <c r="K126" s="188">
        <f t="shared" si="65"/>
        <v>109017.67999999998</v>
      </c>
      <c r="L126" s="317">
        <f t="shared" si="143"/>
        <v>8</v>
      </c>
      <c r="M126" s="317">
        <f>IF(N126&lt;&gt;"",IF(N126=$O$5,0,+M125+1),0)</f>
        <v>98</v>
      </c>
      <c r="N126" s="188">
        <f t="shared" si="102"/>
        <v>297932.91000000015</v>
      </c>
      <c r="O126" s="188">
        <f>IF($O$11&lt;=A126,IF(+$W125&lt;=0,0,$O$8),0)</f>
        <v>2504.4299999999998</v>
      </c>
      <c r="P126" s="188">
        <f t="shared" si="109"/>
        <v>394.06999999999971</v>
      </c>
      <c r="Q126" s="188">
        <f>IF($O$11&lt;=A126,ROUND(N126*($O$7/12),2),0)</f>
        <v>2110.36</v>
      </c>
      <c r="R126" s="188">
        <f t="shared" si="161"/>
        <v>51.5</v>
      </c>
      <c r="S126" s="188">
        <f t="shared" si="162"/>
        <v>145.09666666666666</v>
      </c>
      <c r="T126" s="188">
        <f t="shared" si="159"/>
        <v>2701.0266666666666</v>
      </c>
      <c r="U126" s="188">
        <f t="shared" si="110"/>
        <v>28171.159999999985</v>
      </c>
      <c r="V126" s="188">
        <f t="shared" si="111"/>
        <v>219767.40999999989</v>
      </c>
      <c r="W126" s="188">
        <f t="shared" si="67"/>
        <v>297538.84000000014</v>
      </c>
      <c r="X126" s="395">
        <f t="shared" si="103"/>
        <v>49170</v>
      </c>
      <c r="Y126" s="188">
        <f t="shared" si="68"/>
        <v>297932.91000000015</v>
      </c>
      <c r="Z126" s="388">
        <f t="shared" si="95"/>
        <v>8.4999999999999992E-2</v>
      </c>
      <c r="AA126" s="188">
        <f t="shared" si="96"/>
        <v>2504.4299999999998</v>
      </c>
      <c r="AB126" s="188">
        <f t="shared" si="69"/>
        <v>394.06999999999971</v>
      </c>
      <c r="AC126" s="188">
        <f t="shared" si="97"/>
        <v>2110.36</v>
      </c>
      <c r="AD126" s="188">
        <f t="shared" ref="AD126:AE126" si="168">+AD125</f>
        <v>51.5</v>
      </c>
      <c r="AE126" s="188">
        <f t="shared" si="168"/>
        <v>145.09666666666666</v>
      </c>
      <c r="AF126" s="188">
        <f t="shared" si="71"/>
        <v>2701.0266666666666</v>
      </c>
      <c r="AG126" s="188">
        <f t="shared" si="72"/>
        <v>28171.159999999985</v>
      </c>
      <c r="AH126" s="188">
        <f t="shared" si="73"/>
        <v>219767.40999999989</v>
      </c>
      <c r="AI126" s="404">
        <f t="shared" si="164"/>
        <v>0</v>
      </c>
      <c r="AJ126" s="404">
        <f t="shared" si="123"/>
        <v>0</v>
      </c>
      <c r="AK126" s="404">
        <f t="shared" si="165"/>
        <v>0</v>
      </c>
      <c r="AL126" s="188">
        <f t="shared" si="74"/>
        <v>297538.84000000014</v>
      </c>
      <c r="AM126" s="317">
        <f t="shared" si="105"/>
        <v>8</v>
      </c>
      <c r="AN126" s="14">
        <f t="shared" si="166"/>
        <v>1944.5499999999997</v>
      </c>
      <c r="AO126" s="14">
        <f>IF(W126&lt;=0,0,+$AA$6-$C$2+I126-U126)</f>
        <v>188981.33000000002</v>
      </c>
      <c r="AP126" s="14">
        <f t="shared" si="167"/>
        <v>1944.5499999999997</v>
      </c>
      <c r="AS126" s="14">
        <f t="shared" si="100"/>
        <v>1944.5499999999997</v>
      </c>
      <c r="AT126" s="14">
        <f t="shared" si="106"/>
        <v>192029.88999999975</v>
      </c>
      <c r="AU126" s="188">
        <f>IF(W126&lt;=0,0,+($O$5+AV125)*$AQ$2/12)</f>
        <v>1071.6501852320134</v>
      </c>
      <c r="AV126" s="188">
        <f t="shared" si="107"/>
        <v>104021.72427803742</v>
      </c>
    </row>
    <row r="127" spans="1:50">
      <c r="A127" s="395">
        <f t="shared" ref="A127:A190" si="169">IF(K127&lt;=0," ",+A126+30)</f>
        <v>49200</v>
      </c>
      <c r="B127" s="188">
        <f t="shared" si="101"/>
        <v>109017.67999999998</v>
      </c>
      <c r="C127" s="14">
        <f t="shared" si="92"/>
        <v>559.88</v>
      </c>
      <c r="D127" s="14">
        <f t="shared" si="108"/>
        <v>151.06</v>
      </c>
      <c r="E127" s="14">
        <f t="shared" si="93"/>
        <v>408.82</v>
      </c>
      <c r="F127" s="14">
        <f t="shared" si="158"/>
        <v>51.5</v>
      </c>
      <c r="G127" s="14">
        <f t="shared" si="155"/>
        <v>145.09666666666666</v>
      </c>
      <c r="H127" s="14">
        <f t="shared" si="156"/>
        <v>756.47666666666669</v>
      </c>
      <c r="I127" s="188">
        <f t="shared" ref="I127:I190" si="170">$D127+$I126</f>
        <v>14306.550000000001</v>
      </c>
      <c r="J127" s="188">
        <f t="shared" ref="J127:J190" si="171">$E127+$J126</f>
        <v>48860.179999999986</v>
      </c>
      <c r="K127" s="188">
        <f t="shared" ref="K127:K190" si="172">+B127-D127</f>
        <v>108866.61999999998</v>
      </c>
      <c r="L127" s="317">
        <f t="shared" si="143"/>
        <v>8</v>
      </c>
      <c r="M127" s="317">
        <f>IF(N127&lt;&gt;"",IF(N127=$O$5,0,+M126+1),0)</f>
        <v>99</v>
      </c>
      <c r="N127" s="188">
        <f t="shared" si="102"/>
        <v>297538.84000000014</v>
      </c>
      <c r="O127" s="188">
        <f>IF($O$11&lt;=A127,IF(+$W126&lt;=0,0,$O$8),0)</f>
        <v>2504.4299999999998</v>
      </c>
      <c r="P127" s="188">
        <f t="shared" si="109"/>
        <v>396.85999999999967</v>
      </c>
      <c r="Q127" s="188">
        <f>IF($O$11&lt;=A127,ROUND(N127*($O$7/12),2),0)</f>
        <v>2107.5700000000002</v>
      </c>
      <c r="R127" s="188">
        <f t="shared" si="161"/>
        <v>51.5</v>
      </c>
      <c r="S127" s="188">
        <f t="shared" si="162"/>
        <v>145.09666666666666</v>
      </c>
      <c r="T127" s="188">
        <f t="shared" si="159"/>
        <v>2701.0266666666666</v>
      </c>
      <c r="U127" s="188">
        <f t="shared" si="110"/>
        <v>28568.019999999986</v>
      </c>
      <c r="V127" s="188">
        <f t="shared" si="111"/>
        <v>221874.97999999989</v>
      </c>
      <c r="W127" s="188">
        <f t="shared" ref="W127:W190" si="173">+N127-P127</f>
        <v>297141.98000000016</v>
      </c>
      <c r="X127" s="395">
        <f t="shared" si="103"/>
        <v>49200</v>
      </c>
      <c r="Y127" s="188">
        <f t="shared" ref="Y127:Y190" si="174">IF(+AL126&lt;0,0,+AL126)</f>
        <v>297538.84000000014</v>
      </c>
      <c r="Z127" s="388">
        <f t="shared" si="95"/>
        <v>8.4999999999999992E-2</v>
      </c>
      <c r="AA127" s="188">
        <f t="shared" si="96"/>
        <v>2504.4299999999998</v>
      </c>
      <c r="AB127" s="188">
        <f t="shared" ref="AB127:AB190" si="175">+AA127-AC127</f>
        <v>396.85999999999967</v>
      </c>
      <c r="AC127" s="188">
        <f t="shared" si="97"/>
        <v>2107.5700000000002</v>
      </c>
      <c r="AD127" s="188">
        <f t="shared" ref="AD127:AE127" si="176">+AD126</f>
        <v>51.5</v>
      </c>
      <c r="AE127" s="188">
        <f t="shared" si="176"/>
        <v>145.09666666666666</v>
      </c>
      <c r="AF127" s="188">
        <f t="shared" ref="AF127:AF190" si="177">SUM(AB127:AE127)</f>
        <v>2701.0266666666666</v>
      </c>
      <c r="AG127" s="188">
        <f t="shared" ref="AG127:AG190" si="178">+AB127+AG126</f>
        <v>28568.019999999986</v>
      </c>
      <c r="AH127" s="188">
        <f t="shared" ref="AH127:AH190" si="179">+AH126+AC127</f>
        <v>221874.97999999989</v>
      </c>
      <c r="AI127" s="404">
        <f t="shared" si="164"/>
        <v>0</v>
      </c>
      <c r="AJ127" s="404">
        <f t="shared" si="123"/>
        <v>0</v>
      </c>
      <c r="AK127" s="404">
        <f t="shared" si="165"/>
        <v>0</v>
      </c>
      <c r="AL127" s="188">
        <f t="shared" ref="AL127:AL190" si="180">+Y127-AB127</f>
        <v>297141.98000000016</v>
      </c>
      <c r="AM127" s="317">
        <f t="shared" si="105"/>
        <v>8</v>
      </c>
      <c r="AN127" s="14">
        <f t="shared" si="166"/>
        <v>1944.5499999999997</v>
      </c>
      <c r="AO127" s="14">
        <f>IF(W127&lt;=0,0,+$AA$6-$C$2+I127-U127)</f>
        <v>188735.53</v>
      </c>
      <c r="AP127" s="14">
        <f t="shared" si="167"/>
        <v>1944.5499999999997</v>
      </c>
      <c r="AS127" s="14">
        <f t="shared" si="100"/>
        <v>1944.5499999999997</v>
      </c>
      <c r="AT127" s="14">
        <f t="shared" si="106"/>
        <v>193974.43999999974</v>
      </c>
      <c r="AU127" s="188">
        <f>IF(W127&lt;=0,0,+($O$5+AV126)*$AQ$2/12)</f>
        <v>1074.3293106950935</v>
      </c>
      <c r="AV127" s="188">
        <f t="shared" si="107"/>
        <v>105096.05358873251</v>
      </c>
    </row>
    <row r="128" spans="1:50">
      <c r="A128" s="395">
        <f t="shared" si="169"/>
        <v>49230</v>
      </c>
      <c r="B128" s="188">
        <f t="shared" si="101"/>
        <v>108866.61999999998</v>
      </c>
      <c r="C128" s="14">
        <f t="shared" si="92"/>
        <v>559.88</v>
      </c>
      <c r="D128" s="14">
        <f t="shared" si="108"/>
        <v>151.63</v>
      </c>
      <c r="E128" s="14">
        <f t="shared" si="93"/>
        <v>408.25</v>
      </c>
      <c r="F128" s="14">
        <f t="shared" si="158"/>
        <v>51.5</v>
      </c>
      <c r="G128" s="14">
        <f t="shared" si="155"/>
        <v>145.09666666666666</v>
      </c>
      <c r="H128" s="14">
        <f t="shared" si="156"/>
        <v>756.47666666666669</v>
      </c>
      <c r="I128" s="188">
        <f t="shared" si="170"/>
        <v>14458.18</v>
      </c>
      <c r="J128" s="188">
        <f t="shared" si="171"/>
        <v>49268.429999999986</v>
      </c>
      <c r="K128" s="188">
        <f t="shared" si="172"/>
        <v>108714.98999999998</v>
      </c>
      <c r="L128" s="317">
        <f t="shared" si="143"/>
        <v>8</v>
      </c>
      <c r="M128" s="317">
        <f>IF(N128&lt;&gt;"",IF(N128=$O$5,0,+M127+1),0)</f>
        <v>100</v>
      </c>
      <c r="N128" s="188">
        <f t="shared" si="102"/>
        <v>297141.98000000016</v>
      </c>
      <c r="O128" s="188">
        <f>IF($O$11&lt;=A128,IF(+$W127&lt;=0,0,$O$8),0)</f>
        <v>2504.4299999999998</v>
      </c>
      <c r="P128" s="188">
        <f t="shared" si="109"/>
        <v>399.66999999999962</v>
      </c>
      <c r="Q128" s="188">
        <f>IF($O$11&lt;=A128,ROUND(N128*($O$7/12),2),0)</f>
        <v>2104.7600000000002</v>
      </c>
      <c r="R128" s="188">
        <f t="shared" si="161"/>
        <v>51.5</v>
      </c>
      <c r="S128" s="188">
        <f t="shared" si="162"/>
        <v>145.09666666666666</v>
      </c>
      <c r="T128" s="188">
        <f t="shared" si="159"/>
        <v>2701.0266666666666</v>
      </c>
      <c r="U128" s="188">
        <f t="shared" si="110"/>
        <v>28967.689999999984</v>
      </c>
      <c r="V128" s="188">
        <f t="shared" si="111"/>
        <v>223979.7399999999</v>
      </c>
      <c r="W128" s="188">
        <f t="shared" si="173"/>
        <v>296742.31000000017</v>
      </c>
      <c r="X128" s="395">
        <f t="shared" si="103"/>
        <v>49230</v>
      </c>
      <c r="Y128" s="188">
        <f t="shared" si="174"/>
        <v>297141.98000000016</v>
      </c>
      <c r="Z128" s="388">
        <f t="shared" si="95"/>
        <v>8.4999999999999992E-2</v>
      </c>
      <c r="AA128" s="188">
        <f t="shared" si="96"/>
        <v>2504.4299999999998</v>
      </c>
      <c r="AB128" s="188">
        <f t="shared" si="175"/>
        <v>399.66999999999962</v>
      </c>
      <c r="AC128" s="188">
        <f t="shared" si="97"/>
        <v>2104.7600000000002</v>
      </c>
      <c r="AD128" s="188">
        <f t="shared" ref="AD128:AE128" si="181">+AD127</f>
        <v>51.5</v>
      </c>
      <c r="AE128" s="188">
        <f t="shared" si="181"/>
        <v>145.09666666666666</v>
      </c>
      <c r="AF128" s="188">
        <f t="shared" si="177"/>
        <v>2701.0266666666666</v>
      </c>
      <c r="AG128" s="188">
        <f t="shared" si="178"/>
        <v>28967.689999999984</v>
      </c>
      <c r="AH128" s="188">
        <f t="shared" si="179"/>
        <v>223979.7399999999</v>
      </c>
      <c r="AI128" s="404">
        <f t="shared" si="164"/>
        <v>0</v>
      </c>
      <c r="AJ128" s="404">
        <f t="shared" si="123"/>
        <v>0</v>
      </c>
      <c r="AK128" s="404">
        <f t="shared" si="165"/>
        <v>0</v>
      </c>
      <c r="AL128" s="188">
        <f t="shared" si="180"/>
        <v>296742.31000000017</v>
      </c>
      <c r="AM128" s="317">
        <f t="shared" si="105"/>
        <v>8</v>
      </c>
      <c r="AN128" s="14">
        <f t="shared" si="166"/>
        <v>1944.5499999999997</v>
      </c>
      <c r="AO128" s="14">
        <f>IF(W128&lt;=0,0,+$AA$6-$C$2+I128-U128)</f>
        <v>188487.49000000002</v>
      </c>
      <c r="AP128" s="14">
        <f t="shared" si="167"/>
        <v>1944.5499999999997</v>
      </c>
      <c r="AS128" s="14">
        <f t="shared" si="100"/>
        <v>1944.5499999999997</v>
      </c>
      <c r="AT128" s="14">
        <f t="shared" si="106"/>
        <v>195918.98999999973</v>
      </c>
      <c r="AU128" s="188">
        <f>IF(W128&lt;=0,0,+($O$5+AV127)*$AQ$2/12)</f>
        <v>1077.0151339718311</v>
      </c>
      <c r="AV128" s="188">
        <f t="shared" si="107"/>
        <v>106173.06872270434</v>
      </c>
    </row>
    <row r="129" spans="1:48">
      <c r="A129" s="395">
        <f t="shared" si="169"/>
        <v>49260</v>
      </c>
      <c r="B129" s="188">
        <f t="shared" si="101"/>
        <v>108714.98999999998</v>
      </c>
      <c r="C129" s="14">
        <f t="shared" si="92"/>
        <v>559.88</v>
      </c>
      <c r="D129" s="14">
        <f t="shared" si="108"/>
        <v>152.19999999999999</v>
      </c>
      <c r="E129" s="14">
        <f t="shared" si="93"/>
        <v>407.68</v>
      </c>
      <c r="F129" s="14">
        <f t="shared" si="158"/>
        <v>51.5</v>
      </c>
      <c r="G129" s="14">
        <f t="shared" si="155"/>
        <v>145.09666666666666</v>
      </c>
      <c r="H129" s="14">
        <f t="shared" si="156"/>
        <v>756.47666666666669</v>
      </c>
      <c r="I129" s="188">
        <f t="shared" si="170"/>
        <v>14610.380000000001</v>
      </c>
      <c r="J129" s="188">
        <f t="shared" si="171"/>
        <v>49676.109999999986</v>
      </c>
      <c r="K129" s="188">
        <f t="shared" si="172"/>
        <v>108562.78999999998</v>
      </c>
      <c r="L129" s="317">
        <f t="shared" si="143"/>
        <v>8</v>
      </c>
      <c r="M129" s="317">
        <f>IF(N129&lt;&gt;"",IF(N129=$O$5,0,+M128+1),0)</f>
        <v>101</v>
      </c>
      <c r="N129" s="188">
        <f t="shared" si="102"/>
        <v>296742.31000000017</v>
      </c>
      <c r="O129" s="188">
        <f>IF($O$11&lt;=A129,IF(+$W128&lt;=0,0,$O$8),0)</f>
        <v>2504.4299999999998</v>
      </c>
      <c r="P129" s="188">
        <f t="shared" si="109"/>
        <v>402.50999999999976</v>
      </c>
      <c r="Q129" s="188">
        <f>IF($O$11&lt;=A129,ROUND(N129*($O$7/12),2),0)</f>
        <v>2101.92</v>
      </c>
      <c r="R129" s="188">
        <f t="shared" si="161"/>
        <v>51.5</v>
      </c>
      <c r="S129" s="188">
        <f t="shared" si="162"/>
        <v>145.09666666666666</v>
      </c>
      <c r="T129" s="188">
        <f t="shared" si="159"/>
        <v>2701.0266666666666</v>
      </c>
      <c r="U129" s="188">
        <f t="shared" si="110"/>
        <v>29370.199999999983</v>
      </c>
      <c r="V129" s="188">
        <f t="shared" si="111"/>
        <v>226081.65999999992</v>
      </c>
      <c r="W129" s="188">
        <f t="shared" si="173"/>
        <v>296339.80000000016</v>
      </c>
      <c r="X129" s="395">
        <f t="shared" si="103"/>
        <v>49260</v>
      </c>
      <c r="Y129" s="188">
        <f t="shared" si="174"/>
        <v>296742.31000000017</v>
      </c>
      <c r="Z129" s="388">
        <f t="shared" si="95"/>
        <v>8.4999999999999992E-2</v>
      </c>
      <c r="AA129" s="188">
        <f t="shared" si="96"/>
        <v>2504.4299999999998</v>
      </c>
      <c r="AB129" s="188">
        <f t="shared" si="175"/>
        <v>402.50999999999976</v>
      </c>
      <c r="AC129" s="188">
        <f t="shared" si="97"/>
        <v>2101.92</v>
      </c>
      <c r="AD129" s="188">
        <f t="shared" ref="AD129:AE129" si="182">+AD128</f>
        <v>51.5</v>
      </c>
      <c r="AE129" s="188">
        <f t="shared" si="182"/>
        <v>145.09666666666666</v>
      </c>
      <c r="AF129" s="188">
        <f t="shared" si="177"/>
        <v>2701.0266666666666</v>
      </c>
      <c r="AG129" s="188">
        <f t="shared" si="178"/>
        <v>29370.199999999983</v>
      </c>
      <c r="AH129" s="188">
        <f t="shared" si="179"/>
        <v>226081.65999999992</v>
      </c>
      <c r="AI129" s="404">
        <f t="shared" si="164"/>
        <v>0</v>
      </c>
      <c r="AJ129" s="404">
        <f t="shared" si="123"/>
        <v>0</v>
      </c>
      <c r="AK129" s="404">
        <f t="shared" si="165"/>
        <v>0</v>
      </c>
      <c r="AL129" s="188">
        <f t="shared" si="180"/>
        <v>296339.80000000016</v>
      </c>
      <c r="AM129" s="317">
        <f t="shared" si="105"/>
        <v>8</v>
      </c>
      <c r="AN129" s="14">
        <f t="shared" si="166"/>
        <v>1944.5499999999997</v>
      </c>
      <c r="AO129" s="14">
        <f>IF(W129&lt;=0,0,+$AA$6-$C$2+I129-U129)</f>
        <v>188237.18000000002</v>
      </c>
      <c r="AP129" s="14">
        <f t="shared" si="167"/>
        <v>1944.5499999999997</v>
      </c>
      <c r="AS129" s="14">
        <f t="shared" si="100"/>
        <v>1944.5499999999997</v>
      </c>
      <c r="AT129" s="14">
        <f t="shared" si="106"/>
        <v>197863.53999999972</v>
      </c>
      <c r="AU129" s="188">
        <f>IF(W129&lt;=0,0,+($O$5+AV128)*$AQ$2/12)</f>
        <v>1079.7076718067608</v>
      </c>
      <c r="AV129" s="188">
        <f t="shared" si="107"/>
        <v>107252.77639451109</v>
      </c>
    </row>
    <row r="130" spans="1:48">
      <c r="A130" s="395">
        <f t="shared" si="169"/>
        <v>49290</v>
      </c>
      <c r="B130" s="188">
        <f t="shared" si="101"/>
        <v>108562.78999999998</v>
      </c>
      <c r="C130" s="14">
        <f t="shared" si="92"/>
        <v>559.88</v>
      </c>
      <c r="D130" s="14">
        <f t="shared" si="108"/>
        <v>152.76999999999998</v>
      </c>
      <c r="E130" s="14">
        <f t="shared" si="93"/>
        <v>407.11</v>
      </c>
      <c r="F130" s="14">
        <f t="shared" si="158"/>
        <v>51.5</v>
      </c>
      <c r="G130" s="14">
        <f t="shared" si="155"/>
        <v>145.09666666666666</v>
      </c>
      <c r="H130" s="14">
        <f t="shared" si="156"/>
        <v>756.47666666666669</v>
      </c>
      <c r="I130" s="188">
        <f t="shared" si="170"/>
        <v>14763.150000000001</v>
      </c>
      <c r="J130" s="188">
        <f t="shared" si="171"/>
        <v>50083.219999999987</v>
      </c>
      <c r="K130" s="188">
        <f t="shared" si="172"/>
        <v>108410.01999999997</v>
      </c>
      <c r="L130" s="317">
        <f t="shared" si="143"/>
        <v>8</v>
      </c>
      <c r="M130" s="317">
        <f>IF(N130&lt;&gt;"",IF(N130=$O$5,0,+M129+1),0)</f>
        <v>102</v>
      </c>
      <c r="N130" s="188">
        <f t="shared" si="102"/>
        <v>296339.80000000016</v>
      </c>
      <c r="O130" s="188">
        <f>IF($O$11&lt;=A130,IF(+$W129&lt;=0,0,$O$8),0)</f>
        <v>2504.4299999999998</v>
      </c>
      <c r="P130" s="188">
        <f t="shared" si="109"/>
        <v>405.35999999999967</v>
      </c>
      <c r="Q130" s="188">
        <f>IF($O$11&lt;=A130,ROUND(N130*($O$7/12),2),0)</f>
        <v>2099.0700000000002</v>
      </c>
      <c r="R130" s="188">
        <f t="shared" si="161"/>
        <v>51.5</v>
      </c>
      <c r="S130" s="188">
        <f t="shared" si="162"/>
        <v>145.09666666666666</v>
      </c>
      <c r="T130" s="188">
        <f t="shared" si="159"/>
        <v>2701.0266666666666</v>
      </c>
      <c r="U130" s="188">
        <f t="shared" si="110"/>
        <v>29775.559999999983</v>
      </c>
      <c r="V130" s="188">
        <f t="shared" si="111"/>
        <v>228180.72999999992</v>
      </c>
      <c r="W130" s="188">
        <f t="shared" si="173"/>
        <v>295934.44000000018</v>
      </c>
      <c r="X130" s="395">
        <f t="shared" si="103"/>
        <v>49290</v>
      </c>
      <c r="Y130" s="188">
        <f t="shared" si="174"/>
        <v>296339.80000000016</v>
      </c>
      <c r="Z130" s="388">
        <f t="shared" si="95"/>
        <v>8.4999999999999992E-2</v>
      </c>
      <c r="AA130" s="188">
        <f t="shared" si="96"/>
        <v>2504.4299999999998</v>
      </c>
      <c r="AB130" s="188">
        <f t="shared" si="175"/>
        <v>405.35999999999967</v>
      </c>
      <c r="AC130" s="188">
        <f t="shared" si="97"/>
        <v>2099.0700000000002</v>
      </c>
      <c r="AD130" s="188">
        <f t="shared" ref="AD130:AE130" si="183">+AD129</f>
        <v>51.5</v>
      </c>
      <c r="AE130" s="188">
        <f t="shared" si="183"/>
        <v>145.09666666666666</v>
      </c>
      <c r="AF130" s="188">
        <f t="shared" si="177"/>
        <v>2701.0266666666666</v>
      </c>
      <c r="AG130" s="188">
        <f t="shared" si="178"/>
        <v>29775.559999999983</v>
      </c>
      <c r="AH130" s="188">
        <f t="shared" si="179"/>
        <v>228180.72999999992</v>
      </c>
      <c r="AI130" s="404">
        <f t="shared" si="164"/>
        <v>0</v>
      </c>
      <c r="AJ130" s="404">
        <f t="shared" si="123"/>
        <v>0</v>
      </c>
      <c r="AK130" s="404">
        <f t="shared" si="165"/>
        <v>0</v>
      </c>
      <c r="AL130" s="188">
        <f t="shared" si="180"/>
        <v>295934.44000000018</v>
      </c>
      <c r="AM130" s="317">
        <f t="shared" si="105"/>
        <v>8</v>
      </c>
      <c r="AN130" s="14">
        <f t="shared" si="166"/>
        <v>1944.5499999999997</v>
      </c>
      <c r="AO130" s="14">
        <f>IF(W130&lt;=0,0,+$AA$6-$C$2+I130-U130)</f>
        <v>187984.59000000003</v>
      </c>
      <c r="AP130" s="14">
        <f t="shared" si="167"/>
        <v>1944.5499999999997</v>
      </c>
      <c r="AS130" s="14">
        <f t="shared" si="100"/>
        <v>1944.5499999999997</v>
      </c>
      <c r="AT130" s="14">
        <f t="shared" si="106"/>
        <v>199808.08999999971</v>
      </c>
      <c r="AU130" s="188">
        <f>IF(W130&lt;=0,0,+($O$5+AV129)*$AQ$2/12)</f>
        <v>1082.4069409862777</v>
      </c>
      <c r="AV130" s="188">
        <f t="shared" si="107"/>
        <v>108335.18333549736</v>
      </c>
    </row>
    <row r="131" spans="1:48">
      <c r="A131" s="395">
        <f t="shared" si="169"/>
        <v>49320</v>
      </c>
      <c r="B131" s="188">
        <f t="shared" si="101"/>
        <v>108410.01999999997</v>
      </c>
      <c r="C131" s="14">
        <f t="shared" si="92"/>
        <v>559.88</v>
      </c>
      <c r="D131" s="14">
        <f t="shared" si="108"/>
        <v>153.33999999999997</v>
      </c>
      <c r="E131" s="14">
        <f t="shared" si="93"/>
        <v>406.54</v>
      </c>
      <c r="F131" s="14">
        <f t="shared" si="158"/>
        <v>51.5</v>
      </c>
      <c r="G131" s="14">
        <f t="shared" si="155"/>
        <v>145.09666666666666</v>
      </c>
      <c r="H131" s="14">
        <f t="shared" si="156"/>
        <v>756.47666666666669</v>
      </c>
      <c r="I131" s="188">
        <f t="shared" si="170"/>
        <v>14916.490000000002</v>
      </c>
      <c r="J131" s="188">
        <f t="shared" si="171"/>
        <v>50489.759999999987</v>
      </c>
      <c r="K131" s="188">
        <f t="shared" si="172"/>
        <v>108256.67999999998</v>
      </c>
      <c r="L131" s="317">
        <f t="shared" si="143"/>
        <v>8</v>
      </c>
      <c r="M131" s="317">
        <f>IF(N131&lt;&gt;"",IF(N131=$O$5,0,+M130+1),0)</f>
        <v>103</v>
      </c>
      <c r="N131" s="188">
        <f t="shared" si="102"/>
        <v>295934.44000000018</v>
      </c>
      <c r="O131" s="188">
        <f>IF($O$11&lt;=A131,IF(+$W130&lt;=0,0,$O$8),0)</f>
        <v>2504.4299999999998</v>
      </c>
      <c r="P131" s="188">
        <f t="shared" si="109"/>
        <v>408.23</v>
      </c>
      <c r="Q131" s="188">
        <f>IF($O$11&lt;=A131,ROUND(N131*($O$7/12),2),0)</f>
        <v>2096.1999999999998</v>
      </c>
      <c r="R131" s="188">
        <f t="shared" si="161"/>
        <v>51.5</v>
      </c>
      <c r="S131" s="188">
        <f t="shared" si="162"/>
        <v>145.09666666666666</v>
      </c>
      <c r="T131" s="188">
        <f t="shared" si="159"/>
        <v>2701.0266666666666</v>
      </c>
      <c r="U131" s="188">
        <f t="shared" si="110"/>
        <v>30183.789999999983</v>
      </c>
      <c r="V131" s="188">
        <f t="shared" si="111"/>
        <v>230276.92999999993</v>
      </c>
      <c r="W131" s="188">
        <f t="shared" si="173"/>
        <v>295526.2100000002</v>
      </c>
      <c r="X131" s="395">
        <f t="shared" si="103"/>
        <v>49320</v>
      </c>
      <c r="Y131" s="188">
        <f t="shared" si="174"/>
        <v>295934.44000000018</v>
      </c>
      <c r="Z131" s="388">
        <f t="shared" si="95"/>
        <v>8.4999999999999992E-2</v>
      </c>
      <c r="AA131" s="188">
        <f t="shared" si="96"/>
        <v>2504.4299999999998</v>
      </c>
      <c r="AB131" s="188">
        <f t="shared" si="175"/>
        <v>408.23</v>
      </c>
      <c r="AC131" s="188">
        <f t="shared" si="97"/>
        <v>2096.1999999999998</v>
      </c>
      <c r="AD131" s="188">
        <f t="shared" ref="AD131:AE131" si="184">+AD130</f>
        <v>51.5</v>
      </c>
      <c r="AE131" s="188">
        <f t="shared" si="184"/>
        <v>145.09666666666666</v>
      </c>
      <c r="AF131" s="188">
        <f t="shared" si="177"/>
        <v>2701.0266666666666</v>
      </c>
      <c r="AG131" s="188">
        <f t="shared" si="178"/>
        <v>30183.789999999983</v>
      </c>
      <c r="AH131" s="188">
        <f t="shared" si="179"/>
        <v>230276.92999999993</v>
      </c>
      <c r="AI131" s="404">
        <f t="shared" si="164"/>
        <v>0</v>
      </c>
      <c r="AJ131" s="404">
        <f t="shared" si="123"/>
        <v>0</v>
      </c>
      <c r="AK131" s="404">
        <f t="shared" si="165"/>
        <v>0</v>
      </c>
      <c r="AL131" s="188">
        <f t="shared" si="180"/>
        <v>295526.2100000002</v>
      </c>
      <c r="AM131" s="317">
        <f t="shared" si="105"/>
        <v>8</v>
      </c>
      <c r="AN131" s="14">
        <f t="shared" si="166"/>
        <v>1944.5499999999997</v>
      </c>
      <c r="AO131" s="14">
        <f>IF(W131&lt;=0,0,+$AA$6-$C$2+I131-U131)</f>
        <v>187729.7</v>
      </c>
      <c r="AP131" s="14">
        <f t="shared" si="167"/>
        <v>1944.5499999999997</v>
      </c>
      <c r="AS131" s="14">
        <f t="shared" si="100"/>
        <v>1944.5499999999997</v>
      </c>
      <c r="AT131" s="14">
        <f t="shared" si="106"/>
        <v>201752.63999999969</v>
      </c>
      <c r="AU131" s="188">
        <f>IF(W131&lt;=0,0,+($O$5+AV130)*$AQ$2/12)</f>
        <v>1085.1129583387435</v>
      </c>
      <c r="AV131" s="188">
        <f t="shared" si="107"/>
        <v>109420.2962938361</v>
      </c>
    </row>
    <row r="132" spans="1:48">
      <c r="A132" s="395">
        <f t="shared" si="169"/>
        <v>49350</v>
      </c>
      <c r="B132" s="188">
        <f t="shared" si="101"/>
        <v>108256.67999999998</v>
      </c>
      <c r="C132" s="14">
        <f t="shared" si="92"/>
        <v>559.88</v>
      </c>
      <c r="D132" s="14">
        <f t="shared" si="108"/>
        <v>153.92000000000002</v>
      </c>
      <c r="E132" s="14">
        <f t="shared" si="93"/>
        <v>405.96</v>
      </c>
      <c r="F132" s="14">
        <f t="shared" si="158"/>
        <v>51.5</v>
      </c>
      <c r="G132" s="14">
        <f t="shared" si="155"/>
        <v>145.09666666666666</v>
      </c>
      <c r="H132" s="14">
        <f t="shared" si="156"/>
        <v>756.47666666666669</v>
      </c>
      <c r="I132" s="188">
        <f t="shared" si="170"/>
        <v>15070.410000000002</v>
      </c>
      <c r="J132" s="188">
        <f t="shared" si="171"/>
        <v>50895.719999999987</v>
      </c>
      <c r="K132" s="188">
        <f t="shared" si="172"/>
        <v>108102.75999999998</v>
      </c>
      <c r="L132" s="317">
        <f t="shared" si="143"/>
        <v>8</v>
      </c>
      <c r="M132" s="317">
        <f>IF(N132&lt;&gt;"",IF(N132=$O$5,0,+M131+1),0)</f>
        <v>104</v>
      </c>
      <c r="N132" s="188">
        <f t="shared" si="102"/>
        <v>295526.2100000002</v>
      </c>
      <c r="O132" s="188">
        <f>IF($O$11&lt;=A132,IF(+$W131&lt;=0,0,$O$8),0)</f>
        <v>2504.4299999999998</v>
      </c>
      <c r="P132" s="188">
        <f t="shared" si="109"/>
        <v>411.11999999999989</v>
      </c>
      <c r="Q132" s="188">
        <f>IF($O$11&lt;=A132,ROUND(N132*($O$7/12),2),0)</f>
        <v>2093.31</v>
      </c>
      <c r="R132" s="188">
        <f t="shared" si="161"/>
        <v>51.5</v>
      </c>
      <c r="S132" s="188">
        <f t="shared" si="162"/>
        <v>145.09666666666666</v>
      </c>
      <c r="T132" s="188">
        <f t="shared" si="159"/>
        <v>2701.0266666666666</v>
      </c>
      <c r="U132" s="188">
        <f t="shared" si="110"/>
        <v>30594.909999999982</v>
      </c>
      <c r="V132" s="188">
        <f t="shared" si="111"/>
        <v>232370.23999999993</v>
      </c>
      <c r="W132" s="188">
        <f t="shared" si="173"/>
        <v>295115.0900000002</v>
      </c>
      <c r="X132" s="395">
        <f t="shared" si="103"/>
        <v>49350</v>
      </c>
      <c r="Y132" s="188">
        <f t="shared" si="174"/>
        <v>295526.2100000002</v>
      </c>
      <c r="Z132" s="388">
        <f t="shared" si="95"/>
        <v>8.4999999999999992E-2</v>
      </c>
      <c r="AA132" s="188">
        <f t="shared" si="96"/>
        <v>2504.4299999999998</v>
      </c>
      <c r="AB132" s="188">
        <f t="shared" si="175"/>
        <v>411.11999999999989</v>
      </c>
      <c r="AC132" s="188">
        <f t="shared" si="97"/>
        <v>2093.31</v>
      </c>
      <c r="AD132" s="188">
        <f t="shared" ref="AD132:AE132" si="185">+AD131</f>
        <v>51.5</v>
      </c>
      <c r="AE132" s="188">
        <f t="shared" si="185"/>
        <v>145.09666666666666</v>
      </c>
      <c r="AF132" s="188">
        <f t="shared" si="177"/>
        <v>2701.0266666666666</v>
      </c>
      <c r="AG132" s="188">
        <f t="shared" si="178"/>
        <v>30594.909999999982</v>
      </c>
      <c r="AH132" s="188">
        <f t="shared" si="179"/>
        <v>232370.23999999993</v>
      </c>
      <c r="AI132" s="404">
        <f t="shared" si="164"/>
        <v>0</v>
      </c>
      <c r="AJ132" s="404">
        <f t="shared" si="123"/>
        <v>0</v>
      </c>
      <c r="AK132" s="404">
        <f t="shared" si="165"/>
        <v>0</v>
      </c>
      <c r="AL132" s="188">
        <f t="shared" si="180"/>
        <v>295115.0900000002</v>
      </c>
      <c r="AM132" s="317">
        <f t="shared" si="105"/>
        <v>8</v>
      </c>
      <c r="AN132" s="14">
        <f t="shared" si="166"/>
        <v>1944.5499999999997</v>
      </c>
      <c r="AO132" s="14">
        <f>IF(W132&lt;=0,0,+$AA$6-$C$2+I132-U132)</f>
        <v>187472.50000000003</v>
      </c>
      <c r="AP132" s="14">
        <f t="shared" si="167"/>
        <v>1944.5499999999997</v>
      </c>
      <c r="AS132" s="14">
        <f t="shared" si="100"/>
        <v>1944.5499999999997</v>
      </c>
      <c r="AT132" s="14">
        <f t="shared" si="106"/>
        <v>203697.18999999968</v>
      </c>
      <c r="AU132" s="188">
        <f>IF(W132&lt;=0,0,+($O$5+AV131)*$AQ$2/12)</f>
        <v>1087.8257407345902</v>
      </c>
      <c r="AV132" s="188">
        <f t="shared" si="107"/>
        <v>110508.1220345707</v>
      </c>
    </row>
    <row r="133" spans="1:48">
      <c r="A133" s="395">
        <f t="shared" si="169"/>
        <v>49380</v>
      </c>
      <c r="B133" s="188">
        <f t="shared" si="101"/>
        <v>108102.75999999998</v>
      </c>
      <c r="C133" s="14">
        <f t="shared" si="92"/>
        <v>559.88</v>
      </c>
      <c r="D133" s="14">
        <f t="shared" si="108"/>
        <v>154.49</v>
      </c>
      <c r="E133" s="14">
        <f t="shared" si="93"/>
        <v>405.39</v>
      </c>
      <c r="F133" s="14">
        <f t="shared" si="158"/>
        <v>51.5</v>
      </c>
      <c r="G133" s="14">
        <f t="shared" si="155"/>
        <v>145.09666666666666</v>
      </c>
      <c r="H133" s="14">
        <f t="shared" si="156"/>
        <v>756.47666666666669</v>
      </c>
      <c r="I133" s="188">
        <f t="shared" si="170"/>
        <v>15224.900000000001</v>
      </c>
      <c r="J133" s="188">
        <f t="shared" si="171"/>
        <v>51301.109999999986</v>
      </c>
      <c r="K133" s="188">
        <f t="shared" si="172"/>
        <v>107948.26999999997</v>
      </c>
      <c r="L133" s="317">
        <f t="shared" si="143"/>
        <v>8</v>
      </c>
      <c r="M133" s="317">
        <f>IF(N133&lt;&gt;"",IF(N133=$O$5,0,+M132+1),0)</f>
        <v>105</v>
      </c>
      <c r="N133" s="188">
        <f t="shared" si="102"/>
        <v>295115.0900000002</v>
      </c>
      <c r="O133" s="188">
        <f>IF($O$11&lt;=A133,IF(+$W132&lt;=0,0,$O$8),0)</f>
        <v>2504.4299999999998</v>
      </c>
      <c r="P133" s="188">
        <f t="shared" si="109"/>
        <v>414.02999999999975</v>
      </c>
      <c r="Q133" s="188">
        <f>IF($O$11&lt;=A133,ROUND(N133*($O$7/12),2),0)</f>
        <v>2090.4</v>
      </c>
      <c r="R133" s="188">
        <f t="shared" si="161"/>
        <v>51.5</v>
      </c>
      <c r="S133" s="188">
        <f t="shared" si="162"/>
        <v>145.09666666666666</v>
      </c>
      <c r="T133" s="188">
        <f t="shared" si="159"/>
        <v>2701.0266666666666</v>
      </c>
      <c r="U133" s="188">
        <f t="shared" si="110"/>
        <v>31008.939999999981</v>
      </c>
      <c r="V133" s="188">
        <f t="shared" si="111"/>
        <v>234460.63999999993</v>
      </c>
      <c r="W133" s="188">
        <f t="shared" si="173"/>
        <v>294701.06000000017</v>
      </c>
      <c r="X133" s="395">
        <f t="shared" si="103"/>
        <v>49380</v>
      </c>
      <c r="Y133" s="188">
        <f t="shared" si="174"/>
        <v>295115.0900000002</v>
      </c>
      <c r="Z133" s="388">
        <f t="shared" si="95"/>
        <v>8.4999999999999992E-2</v>
      </c>
      <c r="AA133" s="188">
        <f t="shared" si="96"/>
        <v>2504.4299999999998</v>
      </c>
      <c r="AB133" s="188">
        <f t="shared" si="175"/>
        <v>414.02999999999975</v>
      </c>
      <c r="AC133" s="188">
        <f t="shared" si="97"/>
        <v>2090.4</v>
      </c>
      <c r="AD133" s="188">
        <f t="shared" ref="AD133:AE133" si="186">+AD132</f>
        <v>51.5</v>
      </c>
      <c r="AE133" s="188">
        <f t="shared" si="186"/>
        <v>145.09666666666666</v>
      </c>
      <c r="AF133" s="188">
        <f t="shared" si="177"/>
        <v>2701.0266666666666</v>
      </c>
      <c r="AG133" s="188">
        <f t="shared" si="178"/>
        <v>31008.939999999981</v>
      </c>
      <c r="AH133" s="188">
        <f t="shared" si="179"/>
        <v>234460.63999999993</v>
      </c>
      <c r="AI133" s="404">
        <f t="shared" si="164"/>
        <v>0</v>
      </c>
      <c r="AJ133" s="404">
        <f t="shared" si="123"/>
        <v>0</v>
      </c>
      <c r="AK133" s="404">
        <f t="shared" si="165"/>
        <v>0</v>
      </c>
      <c r="AL133" s="188">
        <f t="shared" si="180"/>
        <v>294701.06000000017</v>
      </c>
      <c r="AM133" s="317">
        <f t="shared" si="105"/>
        <v>8</v>
      </c>
      <c r="AN133" s="14">
        <f t="shared" si="166"/>
        <v>1944.5499999999997</v>
      </c>
      <c r="AO133" s="14">
        <f>IF(W133&lt;=0,0,+$AA$6-$C$2+I133-U133)</f>
        <v>187212.96000000002</v>
      </c>
      <c r="AP133" s="14">
        <f t="shared" si="167"/>
        <v>1944.5499999999997</v>
      </c>
      <c r="AS133" s="14">
        <f t="shared" si="100"/>
        <v>1944.5499999999997</v>
      </c>
      <c r="AT133" s="14">
        <f t="shared" si="106"/>
        <v>205641.73999999967</v>
      </c>
      <c r="AU133" s="188">
        <f>IF(W133&lt;=0,0,+($O$5+AV132)*$AQ$2/12)</f>
        <v>1090.5453050864267</v>
      </c>
      <c r="AV133" s="188">
        <f t="shared" si="107"/>
        <v>111598.66733965713</v>
      </c>
    </row>
    <row r="134" spans="1:48">
      <c r="A134" s="395">
        <f t="shared" si="169"/>
        <v>49410</v>
      </c>
      <c r="B134" s="188">
        <f t="shared" si="101"/>
        <v>107948.26999999997</v>
      </c>
      <c r="C134" s="14">
        <f t="shared" si="92"/>
        <v>559.88</v>
      </c>
      <c r="D134" s="14">
        <f t="shared" si="108"/>
        <v>155.07</v>
      </c>
      <c r="E134" s="14">
        <f t="shared" si="93"/>
        <v>404.81</v>
      </c>
      <c r="F134" s="14">
        <f t="shared" si="158"/>
        <v>51.5</v>
      </c>
      <c r="G134" s="14">
        <f t="shared" si="155"/>
        <v>145.09666666666666</v>
      </c>
      <c r="H134" s="14">
        <f t="shared" si="156"/>
        <v>756.47666666666669</v>
      </c>
      <c r="I134" s="188">
        <f t="shared" si="170"/>
        <v>15379.970000000001</v>
      </c>
      <c r="J134" s="188">
        <f t="shared" si="171"/>
        <v>51705.919999999984</v>
      </c>
      <c r="K134" s="188">
        <f t="shared" si="172"/>
        <v>107793.19999999997</v>
      </c>
      <c r="L134" s="317">
        <f t="shared" si="143"/>
        <v>8</v>
      </c>
      <c r="M134" s="317">
        <f>IF(N134&lt;&gt;"",IF(N134=$O$5,0,+M133+1),0)</f>
        <v>106</v>
      </c>
      <c r="N134" s="188">
        <f t="shared" si="102"/>
        <v>294701.06000000017</v>
      </c>
      <c r="O134" s="188">
        <f>IF($O$11&lt;=A134,IF(+$W133&lt;=0,0,$O$8),0)</f>
        <v>2504.4299999999998</v>
      </c>
      <c r="P134" s="188">
        <f t="shared" si="109"/>
        <v>416.96000000000004</v>
      </c>
      <c r="Q134" s="188">
        <f>IF($O$11&lt;=A134,ROUND(N134*($O$7/12),2),0)</f>
        <v>2087.4699999999998</v>
      </c>
      <c r="R134" s="188">
        <f t="shared" si="161"/>
        <v>51.5</v>
      </c>
      <c r="S134" s="188">
        <f t="shared" si="162"/>
        <v>145.09666666666666</v>
      </c>
      <c r="T134" s="188">
        <f t="shared" si="159"/>
        <v>2701.0266666666666</v>
      </c>
      <c r="U134" s="188">
        <f t="shared" si="110"/>
        <v>31425.89999999998</v>
      </c>
      <c r="V134" s="188">
        <f t="shared" si="111"/>
        <v>236548.10999999993</v>
      </c>
      <c r="W134" s="188">
        <f t="shared" si="173"/>
        <v>294284.10000000015</v>
      </c>
      <c r="X134" s="395">
        <f t="shared" si="103"/>
        <v>49410</v>
      </c>
      <c r="Y134" s="188">
        <f t="shared" si="174"/>
        <v>294701.06000000017</v>
      </c>
      <c r="Z134" s="388">
        <f t="shared" si="95"/>
        <v>8.4999999999999992E-2</v>
      </c>
      <c r="AA134" s="188">
        <f t="shared" si="96"/>
        <v>2504.4299999999998</v>
      </c>
      <c r="AB134" s="188">
        <f t="shared" si="175"/>
        <v>416.96000000000004</v>
      </c>
      <c r="AC134" s="188">
        <f t="shared" si="97"/>
        <v>2087.4699999999998</v>
      </c>
      <c r="AD134" s="188">
        <f t="shared" ref="AD134:AE134" si="187">+AD133</f>
        <v>51.5</v>
      </c>
      <c r="AE134" s="188">
        <f t="shared" si="187"/>
        <v>145.09666666666666</v>
      </c>
      <c r="AF134" s="188">
        <f t="shared" si="177"/>
        <v>2701.0266666666666</v>
      </c>
      <c r="AG134" s="188">
        <f t="shared" si="178"/>
        <v>31425.89999999998</v>
      </c>
      <c r="AH134" s="188">
        <f t="shared" si="179"/>
        <v>236548.10999999993</v>
      </c>
      <c r="AI134" s="404">
        <f t="shared" si="164"/>
        <v>0</v>
      </c>
      <c r="AJ134" s="404">
        <f t="shared" si="123"/>
        <v>0</v>
      </c>
      <c r="AK134" s="404">
        <f t="shared" si="165"/>
        <v>0</v>
      </c>
      <c r="AL134" s="188">
        <f t="shared" si="180"/>
        <v>294284.10000000015</v>
      </c>
      <c r="AM134" s="317">
        <f t="shared" si="105"/>
        <v>8</v>
      </c>
      <c r="AN134" s="14">
        <f t="shared" si="166"/>
        <v>1944.5499999999997</v>
      </c>
      <c r="AO134" s="14">
        <f>IF(W134&lt;=0,0,+$AA$6-$C$2+I134-U134)</f>
        <v>186951.07</v>
      </c>
      <c r="AP134" s="14">
        <f t="shared" si="167"/>
        <v>1944.5499999999997</v>
      </c>
      <c r="AS134" s="14">
        <f t="shared" si="100"/>
        <v>1944.5499999999997</v>
      </c>
      <c r="AT134" s="14">
        <f t="shared" si="106"/>
        <v>207586.28999999966</v>
      </c>
      <c r="AU134" s="188">
        <f>IF(W134&lt;=0,0,+($O$5+AV133)*$AQ$2/12)</f>
        <v>1093.2716683491428</v>
      </c>
      <c r="AV134" s="188">
        <f t="shared" si="107"/>
        <v>112691.93900800627</v>
      </c>
    </row>
    <row r="135" spans="1:48" ht="15.75" thickBot="1">
      <c r="A135" s="398">
        <f t="shared" si="169"/>
        <v>49440</v>
      </c>
      <c r="B135" s="237">
        <f t="shared" si="101"/>
        <v>107793.19999999997</v>
      </c>
      <c r="C135" s="21">
        <f t="shared" si="92"/>
        <v>559.88</v>
      </c>
      <c r="D135" s="21">
        <f t="shared" si="108"/>
        <v>155.65999999999997</v>
      </c>
      <c r="E135" s="21">
        <f t="shared" si="93"/>
        <v>404.22</v>
      </c>
      <c r="F135" s="21">
        <f t="shared" si="158"/>
        <v>51.5</v>
      </c>
      <c r="G135" s="21">
        <f t="shared" si="155"/>
        <v>145.09666666666666</v>
      </c>
      <c r="H135" s="21">
        <f t="shared" si="156"/>
        <v>756.47666666666669</v>
      </c>
      <c r="I135" s="237">
        <f t="shared" si="170"/>
        <v>15535.630000000001</v>
      </c>
      <c r="J135" s="237">
        <f t="shared" si="171"/>
        <v>52110.139999999985</v>
      </c>
      <c r="K135" s="237">
        <f t="shared" si="172"/>
        <v>107637.53999999996</v>
      </c>
      <c r="L135" s="318">
        <f t="shared" si="143"/>
        <v>8</v>
      </c>
      <c r="M135" s="318">
        <f>IF(N135&lt;&gt;"",IF(N135=$O$5,0,+M134+1),0)</f>
        <v>107</v>
      </c>
      <c r="N135" s="237">
        <f t="shared" si="102"/>
        <v>294284.10000000015</v>
      </c>
      <c r="O135" s="237">
        <f>IF($O$11&lt;=A135,IF(+$W134&lt;=0,0,$O$8),0)</f>
        <v>2504.4299999999998</v>
      </c>
      <c r="P135" s="237">
        <f t="shared" si="109"/>
        <v>419.91999999999962</v>
      </c>
      <c r="Q135" s="237">
        <f>IF($O$11&lt;=A135,ROUND(N135*($O$7/12),2),0)</f>
        <v>2084.5100000000002</v>
      </c>
      <c r="R135" s="237">
        <f t="shared" si="161"/>
        <v>51.5</v>
      </c>
      <c r="S135" s="237">
        <f t="shared" si="162"/>
        <v>145.09666666666666</v>
      </c>
      <c r="T135" s="237">
        <f t="shared" si="159"/>
        <v>2701.0266666666666</v>
      </c>
      <c r="U135" s="237">
        <f t="shared" si="110"/>
        <v>31845.819999999978</v>
      </c>
      <c r="V135" s="237">
        <f t="shared" si="111"/>
        <v>238632.61999999994</v>
      </c>
      <c r="W135" s="237">
        <f t="shared" si="173"/>
        <v>293864.18000000017</v>
      </c>
      <c r="X135" s="398">
        <f t="shared" si="103"/>
        <v>49440</v>
      </c>
      <c r="Y135" s="237">
        <f t="shared" si="174"/>
        <v>294284.10000000015</v>
      </c>
      <c r="Z135" s="389">
        <f t="shared" si="95"/>
        <v>8.4999999999999992E-2</v>
      </c>
      <c r="AA135" s="237">
        <f t="shared" si="96"/>
        <v>2504.4299999999998</v>
      </c>
      <c r="AB135" s="237">
        <f t="shared" si="175"/>
        <v>419.91999999999962</v>
      </c>
      <c r="AC135" s="237">
        <f t="shared" si="97"/>
        <v>2084.5100000000002</v>
      </c>
      <c r="AD135" s="237">
        <f t="shared" ref="AD135:AE135" si="188">+AD134</f>
        <v>51.5</v>
      </c>
      <c r="AE135" s="237">
        <f t="shared" si="188"/>
        <v>145.09666666666666</v>
      </c>
      <c r="AF135" s="237">
        <f t="shared" si="177"/>
        <v>2701.0266666666666</v>
      </c>
      <c r="AG135" s="237">
        <f t="shared" si="178"/>
        <v>31845.819999999978</v>
      </c>
      <c r="AH135" s="237">
        <f t="shared" si="179"/>
        <v>238632.61999999994</v>
      </c>
      <c r="AI135" s="405">
        <f t="shared" si="164"/>
        <v>0</v>
      </c>
      <c r="AJ135" s="405">
        <f t="shared" si="123"/>
        <v>0</v>
      </c>
      <c r="AK135" s="405">
        <f t="shared" si="165"/>
        <v>0</v>
      </c>
      <c r="AL135" s="237">
        <f t="shared" si="180"/>
        <v>293864.18000000017</v>
      </c>
      <c r="AM135" s="318">
        <f t="shared" si="105"/>
        <v>8</v>
      </c>
      <c r="AN135" s="21">
        <f t="shared" si="166"/>
        <v>1944.5499999999997</v>
      </c>
      <c r="AO135" s="21">
        <f>IF(W135&lt;=0,0,+$AA$6-$C$2+I135-U135)</f>
        <v>186686.81000000003</v>
      </c>
      <c r="AP135" s="21">
        <f t="shared" si="167"/>
        <v>1944.5499999999997</v>
      </c>
      <c r="AQ135" s="21"/>
      <c r="AR135" s="23"/>
      <c r="AS135" s="21">
        <f t="shared" si="100"/>
        <v>1944.5499999999997</v>
      </c>
      <c r="AT135" s="21">
        <f t="shared" si="106"/>
        <v>209530.83999999965</v>
      </c>
      <c r="AU135" s="237">
        <f>IF(W135&lt;=0,0,+($O$5+AV134)*$AQ$2/12)</f>
        <v>1096.0048475200156</v>
      </c>
      <c r="AV135" s="237">
        <f t="shared" si="107"/>
        <v>113787.94385552629</v>
      </c>
    </row>
    <row r="136" spans="1:48">
      <c r="A136" s="395">
        <f t="shared" si="169"/>
        <v>49470</v>
      </c>
      <c r="B136" s="188">
        <f t="shared" si="101"/>
        <v>107637.53999999996</v>
      </c>
      <c r="C136" s="14">
        <f t="shared" si="92"/>
        <v>559.88</v>
      </c>
      <c r="D136" s="14">
        <f t="shared" si="108"/>
        <v>156.24</v>
      </c>
      <c r="E136" s="14">
        <f t="shared" si="93"/>
        <v>403.64</v>
      </c>
      <c r="F136" s="14">
        <f t="shared" si="158"/>
        <v>51.5</v>
      </c>
      <c r="G136" s="14">
        <f t="shared" si="155"/>
        <v>145.09666666666666</v>
      </c>
      <c r="H136" s="14">
        <f t="shared" si="156"/>
        <v>756.47666666666669</v>
      </c>
      <c r="I136" s="188">
        <f t="shared" si="170"/>
        <v>15691.87</v>
      </c>
      <c r="J136" s="188">
        <f t="shared" si="171"/>
        <v>52513.779999999984</v>
      </c>
      <c r="K136" s="188">
        <f t="shared" si="172"/>
        <v>107481.29999999996</v>
      </c>
      <c r="L136" s="317">
        <f t="shared" si="143"/>
        <v>9</v>
      </c>
      <c r="M136" s="317">
        <f>IF(N136&lt;&gt;"",IF(N136=$O$5,0,+M135+1),0)</f>
        <v>108</v>
      </c>
      <c r="N136" s="188">
        <f t="shared" si="102"/>
        <v>293864.18000000017</v>
      </c>
      <c r="O136" s="188">
        <f>IF($O$11&lt;=A136,IF(+$W135&lt;=0,0,$O$8),0)</f>
        <v>2504.4299999999998</v>
      </c>
      <c r="P136" s="188">
        <f t="shared" si="109"/>
        <v>422.88999999999987</v>
      </c>
      <c r="Q136" s="188">
        <f>IF($O$11&lt;=A136,ROUND(N136*($O$7/12),2),0)</f>
        <v>2081.54</v>
      </c>
      <c r="R136" s="188">
        <f t="shared" si="161"/>
        <v>51.5</v>
      </c>
      <c r="S136" s="188">
        <f t="shared" si="162"/>
        <v>145.09666666666666</v>
      </c>
      <c r="T136" s="188">
        <f t="shared" si="159"/>
        <v>2701.0266666666666</v>
      </c>
      <c r="U136" s="188">
        <f t="shared" si="110"/>
        <v>32268.709999999977</v>
      </c>
      <c r="V136" s="188">
        <f t="shared" si="111"/>
        <v>240714.15999999995</v>
      </c>
      <c r="W136" s="188">
        <f t="shared" si="173"/>
        <v>293441.29000000015</v>
      </c>
      <c r="X136" s="395">
        <f t="shared" si="103"/>
        <v>49470</v>
      </c>
      <c r="Y136" s="188">
        <f t="shared" si="174"/>
        <v>293864.18000000017</v>
      </c>
      <c r="Z136" s="388">
        <f t="shared" si="95"/>
        <v>8.4999999999999992E-2</v>
      </c>
      <c r="AA136" s="188">
        <f t="shared" si="96"/>
        <v>2504.4299999999998</v>
      </c>
      <c r="AB136" s="188">
        <f t="shared" si="175"/>
        <v>422.88999999999987</v>
      </c>
      <c r="AC136" s="188">
        <f t="shared" si="97"/>
        <v>2081.54</v>
      </c>
      <c r="AD136" s="188">
        <f t="shared" ref="AD136:AE136" si="189">+AD135</f>
        <v>51.5</v>
      </c>
      <c r="AE136" s="188">
        <f t="shared" si="189"/>
        <v>145.09666666666666</v>
      </c>
      <c r="AF136" s="188">
        <f t="shared" si="177"/>
        <v>2701.0266666666666</v>
      </c>
      <c r="AG136" s="188">
        <f t="shared" si="178"/>
        <v>32268.709999999977</v>
      </c>
      <c r="AH136" s="188">
        <f t="shared" si="179"/>
        <v>240714.15999999995</v>
      </c>
      <c r="AI136" s="404">
        <f t="shared" si="164"/>
        <v>0</v>
      </c>
      <c r="AJ136" s="404">
        <f t="shared" si="123"/>
        <v>0</v>
      </c>
      <c r="AK136" s="404">
        <f t="shared" si="165"/>
        <v>0</v>
      </c>
      <c r="AL136" s="188">
        <f t="shared" si="180"/>
        <v>293441.29000000015</v>
      </c>
      <c r="AM136" s="317">
        <f t="shared" si="105"/>
        <v>9</v>
      </c>
      <c r="AN136" s="14">
        <f t="shared" si="166"/>
        <v>1944.5499999999997</v>
      </c>
      <c r="AO136" s="14">
        <f>IF(W136&lt;=0,0,+$AA$6-$C$2+I136-U136)</f>
        <v>186420.16000000003</v>
      </c>
      <c r="AP136" s="14">
        <f t="shared" si="167"/>
        <v>1944.5499999999997</v>
      </c>
      <c r="AS136" s="14">
        <f t="shared" si="100"/>
        <v>1944.5499999999997</v>
      </c>
      <c r="AT136" s="14">
        <f t="shared" si="106"/>
        <v>211475.38999999964</v>
      </c>
      <c r="AU136" s="188">
        <f>IF(W136&lt;=0,0,+($O$5+AV135)*$AQ$2/12)</f>
        <v>1098.7448596388156</v>
      </c>
      <c r="AV136" s="188">
        <f t="shared" si="107"/>
        <v>114886.6887151651</v>
      </c>
    </row>
    <row r="137" spans="1:48">
      <c r="A137" s="395">
        <f t="shared" si="169"/>
        <v>49500</v>
      </c>
      <c r="B137" s="188">
        <f t="shared" si="101"/>
        <v>107481.29999999996</v>
      </c>
      <c r="C137" s="14">
        <f t="shared" si="92"/>
        <v>559.88</v>
      </c>
      <c r="D137" s="14">
        <f t="shared" si="108"/>
        <v>156.82999999999998</v>
      </c>
      <c r="E137" s="14">
        <f t="shared" si="93"/>
        <v>403.05</v>
      </c>
      <c r="F137" s="14">
        <f t="shared" si="158"/>
        <v>51.5</v>
      </c>
      <c r="G137" s="14">
        <f t="shared" si="155"/>
        <v>145.09666666666666</v>
      </c>
      <c r="H137" s="14">
        <f t="shared" si="156"/>
        <v>756.47666666666669</v>
      </c>
      <c r="I137" s="188">
        <f t="shared" si="170"/>
        <v>15848.7</v>
      </c>
      <c r="J137" s="188">
        <f t="shared" si="171"/>
        <v>52916.829999999987</v>
      </c>
      <c r="K137" s="188">
        <f t="shared" si="172"/>
        <v>107324.46999999996</v>
      </c>
      <c r="L137" s="317">
        <f t="shared" si="143"/>
        <v>9</v>
      </c>
      <c r="M137" s="317">
        <f>IF(N137&lt;&gt;"",IF(N137=$O$5,0,+M136+1),0)</f>
        <v>109</v>
      </c>
      <c r="N137" s="188">
        <f t="shared" si="102"/>
        <v>293441.29000000015</v>
      </c>
      <c r="O137" s="188">
        <f>IF($O$11&lt;=A137,IF(+$W136&lt;=0,0,$O$8),0)</f>
        <v>2504.4299999999998</v>
      </c>
      <c r="P137" s="188">
        <f t="shared" si="109"/>
        <v>425.88999999999987</v>
      </c>
      <c r="Q137" s="188">
        <f>IF($O$11&lt;=A137,ROUND(N137*($O$7/12),2),0)</f>
        <v>2078.54</v>
      </c>
      <c r="R137" s="188">
        <f t="shared" si="161"/>
        <v>51.5</v>
      </c>
      <c r="S137" s="188">
        <f t="shared" si="162"/>
        <v>145.09666666666666</v>
      </c>
      <c r="T137" s="188">
        <f t="shared" si="159"/>
        <v>2701.0266666666666</v>
      </c>
      <c r="U137" s="188">
        <f t="shared" si="110"/>
        <v>32694.599999999977</v>
      </c>
      <c r="V137" s="188">
        <f t="shared" si="111"/>
        <v>242792.69999999995</v>
      </c>
      <c r="W137" s="188">
        <f t="shared" si="173"/>
        <v>293015.40000000014</v>
      </c>
      <c r="X137" s="395">
        <f t="shared" si="103"/>
        <v>49500</v>
      </c>
      <c r="Y137" s="188">
        <f t="shared" si="174"/>
        <v>293441.29000000015</v>
      </c>
      <c r="Z137" s="388">
        <f t="shared" si="95"/>
        <v>8.4999999999999992E-2</v>
      </c>
      <c r="AA137" s="188">
        <f t="shared" si="96"/>
        <v>2504.4299999999998</v>
      </c>
      <c r="AB137" s="188">
        <f t="shared" si="175"/>
        <v>425.88999999999987</v>
      </c>
      <c r="AC137" s="188">
        <f t="shared" si="97"/>
        <v>2078.54</v>
      </c>
      <c r="AD137" s="188">
        <f t="shared" ref="AD137:AE137" si="190">+AD136</f>
        <v>51.5</v>
      </c>
      <c r="AE137" s="188">
        <f t="shared" si="190"/>
        <v>145.09666666666666</v>
      </c>
      <c r="AF137" s="188">
        <f t="shared" si="177"/>
        <v>2701.0266666666666</v>
      </c>
      <c r="AG137" s="188">
        <f t="shared" si="178"/>
        <v>32694.599999999977</v>
      </c>
      <c r="AH137" s="188">
        <f t="shared" si="179"/>
        <v>242792.69999999995</v>
      </c>
      <c r="AI137" s="404">
        <f t="shared" si="164"/>
        <v>0</v>
      </c>
      <c r="AJ137" s="404">
        <f t="shared" si="123"/>
        <v>0</v>
      </c>
      <c r="AK137" s="404">
        <f t="shared" si="165"/>
        <v>0</v>
      </c>
      <c r="AL137" s="188">
        <f t="shared" si="180"/>
        <v>293015.40000000014</v>
      </c>
      <c r="AM137" s="317">
        <f t="shared" si="105"/>
        <v>9</v>
      </c>
      <c r="AN137" s="14">
        <f t="shared" si="166"/>
        <v>1944.5499999999997</v>
      </c>
      <c r="AO137" s="14">
        <f>IF(W137&lt;=0,0,+$AA$6-$C$2+I137-U137)</f>
        <v>186151.10000000003</v>
      </c>
      <c r="AP137" s="14">
        <f t="shared" si="167"/>
        <v>1944.5499999999997</v>
      </c>
      <c r="AS137" s="14">
        <f t="shared" si="100"/>
        <v>1944.5499999999997</v>
      </c>
      <c r="AT137" s="14">
        <f t="shared" si="106"/>
        <v>213419.93999999962</v>
      </c>
      <c r="AU137" s="188">
        <f>IF(W137&lt;=0,0,+($O$5+AV136)*$AQ$2/12)</f>
        <v>1101.4917217879126</v>
      </c>
      <c r="AV137" s="188">
        <f t="shared" si="107"/>
        <v>115988.18043695301</v>
      </c>
    </row>
    <row r="138" spans="1:48">
      <c r="A138" s="395">
        <f t="shared" si="169"/>
        <v>49530</v>
      </c>
      <c r="B138" s="188">
        <f t="shared" si="101"/>
        <v>107324.46999999996</v>
      </c>
      <c r="C138" s="14">
        <f t="shared" si="92"/>
        <v>559.88</v>
      </c>
      <c r="D138" s="14">
        <f t="shared" si="108"/>
        <v>157.40999999999997</v>
      </c>
      <c r="E138" s="14">
        <f t="shared" si="93"/>
        <v>402.47</v>
      </c>
      <c r="F138" s="14">
        <f t="shared" si="158"/>
        <v>51.5</v>
      </c>
      <c r="G138" s="14">
        <f t="shared" si="155"/>
        <v>145.09666666666666</v>
      </c>
      <c r="H138" s="14">
        <f t="shared" si="156"/>
        <v>756.47666666666669</v>
      </c>
      <c r="I138" s="188">
        <f t="shared" si="170"/>
        <v>16006.11</v>
      </c>
      <c r="J138" s="188">
        <f t="shared" si="171"/>
        <v>53319.299999999988</v>
      </c>
      <c r="K138" s="188">
        <f t="shared" si="172"/>
        <v>107167.05999999995</v>
      </c>
      <c r="L138" s="317">
        <f t="shared" si="143"/>
        <v>9</v>
      </c>
      <c r="M138" s="317">
        <f>IF(N138&lt;&gt;"",IF(N138=$O$5,0,+M137+1),0)</f>
        <v>110</v>
      </c>
      <c r="N138" s="188">
        <f t="shared" si="102"/>
        <v>293015.40000000014</v>
      </c>
      <c r="O138" s="188">
        <f>IF($O$11&lt;=A138,IF(+$W137&lt;=0,0,$O$8),0)</f>
        <v>2504.4299999999998</v>
      </c>
      <c r="P138" s="188">
        <f t="shared" si="109"/>
        <v>428.89999999999964</v>
      </c>
      <c r="Q138" s="188">
        <f>IF($O$11&lt;=A138,ROUND(N138*($O$7/12),2),0)</f>
        <v>2075.5300000000002</v>
      </c>
      <c r="R138" s="188">
        <f t="shared" si="161"/>
        <v>51.5</v>
      </c>
      <c r="S138" s="188">
        <f t="shared" si="162"/>
        <v>145.09666666666666</v>
      </c>
      <c r="T138" s="188">
        <f t="shared" si="159"/>
        <v>2701.0266666666666</v>
      </c>
      <c r="U138" s="188">
        <f t="shared" si="110"/>
        <v>33123.499999999978</v>
      </c>
      <c r="V138" s="188">
        <f t="shared" si="111"/>
        <v>244868.22999999995</v>
      </c>
      <c r="W138" s="188">
        <f t="shared" si="173"/>
        <v>292586.50000000012</v>
      </c>
      <c r="X138" s="395">
        <f t="shared" si="103"/>
        <v>49530</v>
      </c>
      <c r="Y138" s="188">
        <f t="shared" si="174"/>
        <v>293015.40000000014</v>
      </c>
      <c r="Z138" s="388">
        <f t="shared" si="95"/>
        <v>8.4999999999999992E-2</v>
      </c>
      <c r="AA138" s="188">
        <f t="shared" si="96"/>
        <v>2504.4299999999998</v>
      </c>
      <c r="AB138" s="188">
        <f t="shared" si="175"/>
        <v>428.89999999999964</v>
      </c>
      <c r="AC138" s="188">
        <f t="shared" si="97"/>
        <v>2075.5300000000002</v>
      </c>
      <c r="AD138" s="188">
        <f t="shared" ref="AD138:AE138" si="191">+AD137</f>
        <v>51.5</v>
      </c>
      <c r="AE138" s="188">
        <f t="shared" si="191"/>
        <v>145.09666666666666</v>
      </c>
      <c r="AF138" s="188">
        <f t="shared" si="177"/>
        <v>2701.0266666666666</v>
      </c>
      <c r="AG138" s="188">
        <f t="shared" si="178"/>
        <v>33123.499999999978</v>
      </c>
      <c r="AH138" s="188">
        <f t="shared" si="179"/>
        <v>244868.22999999995</v>
      </c>
      <c r="AI138" s="404">
        <f t="shared" si="164"/>
        <v>0</v>
      </c>
      <c r="AJ138" s="404">
        <f t="shared" si="123"/>
        <v>0</v>
      </c>
      <c r="AK138" s="404">
        <f t="shared" si="165"/>
        <v>0</v>
      </c>
      <c r="AL138" s="188">
        <f t="shared" si="180"/>
        <v>292586.50000000012</v>
      </c>
      <c r="AM138" s="317">
        <f t="shared" si="105"/>
        <v>9</v>
      </c>
      <c r="AN138" s="14">
        <f t="shared" si="166"/>
        <v>1944.5499999999997</v>
      </c>
      <c r="AO138" s="14">
        <f>IF(W138&lt;=0,0,+$AA$6-$C$2+I138-U138)</f>
        <v>185879.61000000002</v>
      </c>
      <c r="AP138" s="14">
        <f t="shared" si="167"/>
        <v>1944.5499999999997</v>
      </c>
      <c r="AS138" s="14">
        <f t="shared" si="100"/>
        <v>1944.5499999999997</v>
      </c>
      <c r="AT138" s="14">
        <f t="shared" si="106"/>
        <v>215364.48999999961</v>
      </c>
      <c r="AU138" s="188">
        <f>IF(W138&lt;=0,0,+($O$5+AV137)*$AQ$2/12)</f>
        <v>1104.2454510923824</v>
      </c>
      <c r="AV138" s="188">
        <f t="shared" si="107"/>
        <v>117092.4258880454</v>
      </c>
    </row>
    <row r="139" spans="1:48">
      <c r="A139" s="395">
        <f t="shared" si="169"/>
        <v>49560</v>
      </c>
      <c r="B139" s="188">
        <f t="shared" si="101"/>
        <v>107167.05999999995</v>
      </c>
      <c r="C139" s="14">
        <f t="shared" si="92"/>
        <v>559.88</v>
      </c>
      <c r="D139" s="14">
        <f t="shared" si="108"/>
        <v>158</v>
      </c>
      <c r="E139" s="14">
        <f t="shared" si="93"/>
        <v>401.88</v>
      </c>
      <c r="F139" s="14">
        <f t="shared" si="158"/>
        <v>51.5</v>
      </c>
      <c r="G139" s="14">
        <f t="shared" si="155"/>
        <v>145.09666666666666</v>
      </c>
      <c r="H139" s="14">
        <f t="shared" si="156"/>
        <v>756.47666666666669</v>
      </c>
      <c r="I139" s="188">
        <f t="shared" si="170"/>
        <v>16164.11</v>
      </c>
      <c r="J139" s="188">
        <f t="shared" si="171"/>
        <v>53721.179999999986</v>
      </c>
      <c r="K139" s="188">
        <f t="shared" si="172"/>
        <v>107009.05999999995</v>
      </c>
      <c r="L139" s="317">
        <f t="shared" si="143"/>
        <v>9</v>
      </c>
      <c r="M139" s="317">
        <f>IF(N139&lt;&gt;"",IF(N139=$O$5,0,+M138+1),0)</f>
        <v>111</v>
      </c>
      <c r="N139" s="188">
        <f t="shared" si="102"/>
        <v>292586.50000000012</v>
      </c>
      <c r="O139" s="188">
        <f>IF($O$11&lt;=A139,IF(+$W138&lt;=0,0,$O$8),0)</f>
        <v>2504.4299999999998</v>
      </c>
      <c r="P139" s="188">
        <f t="shared" si="109"/>
        <v>431.94000000000005</v>
      </c>
      <c r="Q139" s="188">
        <f>IF($O$11&lt;=A139,ROUND(N139*($O$7/12),2),0)</f>
        <v>2072.4899999999998</v>
      </c>
      <c r="R139" s="188">
        <f t="shared" si="161"/>
        <v>51.5</v>
      </c>
      <c r="S139" s="188">
        <f t="shared" si="162"/>
        <v>145.09666666666666</v>
      </c>
      <c r="T139" s="188">
        <f t="shared" si="159"/>
        <v>2701.0266666666666</v>
      </c>
      <c r="U139" s="188">
        <f t="shared" si="110"/>
        <v>33555.439999999981</v>
      </c>
      <c r="V139" s="188">
        <f t="shared" si="111"/>
        <v>246940.71999999994</v>
      </c>
      <c r="W139" s="188">
        <f t="shared" si="173"/>
        <v>292154.56000000011</v>
      </c>
      <c r="X139" s="395">
        <f t="shared" si="103"/>
        <v>49560</v>
      </c>
      <c r="Y139" s="188">
        <f t="shared" si="174"/>
        <v>292586.50000000012</v>
      </c>
      <c r="Z139" s="388">
        <f t="shared" si="95"/>
        <v>8.4999999999999992E-2</v>
      </c>
      <c r="AA139" s="188">
        <f t="shared" si="96"/>
        <v>2504.4299999999998</v>
      </c>
      <c r="AB139" s="188">
        <f t="shared" si="175"/>
        <v>431.94000000000005</v>
      </c>
      <c r="AC139" s="188">
        <f t="shared" si="97"/>
        <v>2072.4899999999998</v>
      </c>
      <c r="AD139" s="188">
        <f t="shared" ref="AD139:AE139" si="192">+AD138</f>
        <v>51.5</v>
      </c>
      <c r="AE139" s="188">
        <f t="shared" si="192"/>
        <v>145.09666666666666</v>
      </c>
      <c r="AF139" s="188">
        <f t="shared" si="177"/>
        <v>2701.0266666666666</v>
      </c>
      <c r="AG139" s="188">
        <f t="shared" si="178"/>
        <v>33555.439999999981</v>
      </c>
      <c r="AH139" s="188">
        <f t="shared" si="179"/>
        <v>246940.71999999994</v>
      </c>
      <c r="AI139" s="404">
        <f t="shared" si="164"/>
        <v>0</v>
      </c>
      <c r="AJ139" s="404">
        <f t="shared" si="123"/>
        <v>0</v>
      </c>
      <c r="AK139" s="404">
        <f t="shared" si="165"/>
        <v>0</v>
      </c>
      <c r="AL139" s="188">
        <f t="shared" si="180"/>
        <v>292154.56000000011</v>
      </c>
      <c r="AM139" s="317">
        <f t="shared" si="105"/>
        <v>9</v>
      </c>
      <c r="AN139" s="14">
        <f t="shared" si="166"/>
        <v>1944.5499999999997</v>
      </c>
      <c r="AO139" s="14">
        <f>IF(W139&lt;=0,0,+$AA$6-$C$2+I139-U139)</f>
        <v>185605.67</v>
      </c>
      <c r="AP139" s="14">
        <f t="shared" si="167"/>
        <v>1944.5499999999997</v>
      </c>
      <c r="AS139" s="14">
        <f t="shared" si="100"/>
        <v>1944.5499999999997</v>
      </c>
      <c r="AT139" s="14">
        <f t="shared" si="106"/>
        <v>217309.0399999996</v>
      </c>
      <c r="AU139" s="188">
        <f>IF(W139&lt;=0,0,+($O$5+AV138)*$AQ$2/12)</f>
        <v>1107.0060647201135</v>
      </c>
      <c r="AV139" s="188">
        <f t="shared" si="107"/>
        <v>118199.43195276552</v>
      </c>
    </row>
    <row r="140" spans="1:48">
      <c r="A140" s="395">
        <f t="shared" si="169"/>
        <v>49590</v>
      </c>
      <c r="B140" s="188">
        <f t="shared" si="101"/>
        <v>107009.05999999995</v>
      </c>
      <c r="C140" s="14">
        <f t="shared" si="92"/>
        <v>559.88</v>
      </c>
      <c r="D140" s="14">
        <f t="shared" si="108"/>
        <v>158.60000000000002</v>
      </c>
      <c r="E140" s="14">
        <f t="shared" si="93"/>
        <v>401.28</v>
      </c>
      <c r="F140" s="14">
        <f t="shared" si="158"/>
        <v>51.5</v>
      </c>
      <c r="G140" s="14">
        <f t="shared" si="155"/>
        <v>145.09666666666666</v>
      </c>
      <c r="H140" s="14">
        <f t="shared" si="156"/>
        <v>756.47666666666669</v>
      </c>
      <c r="I140" s="188">
        <f t="shared" si="170"/>
        <v>16322.710000000001</v>
      </c>
      <c r="J140" s="188">
        <f t="shared" si="171"/>
        <v>54122.459999999985</v>
      </c>
      <c r="K140" s="188">
        <f t="shared" si="172"/>
        <v>106850.45999999995</v>
      </c>
      <c r="L140" s="317">
        <f t="shared" si="143"/>
        <v>9</v>
      </c>
      <c r="M140" s="317">
        <f>IF(N140&lt;&gt;"",IF(N140=$O$5,0,+M139+1),0)</f>
        <v>112</v>
      </c>
      <c r="N140" s="188">
        <f t="shared" si="102"/>
        <v>292154.56000000011</v>
      </c>
      <c r="O140" s="188">
        <f>IF($O$11&lt;=A140,IF(+$W139&lt;=0,0,$O$8),0)</f>
        <v>2504.4299999999998</v>
      </c>
      <c r="P140" s="188">
        <f t="shared" si="109"/>
        <v>435</v>
      </c>
      <c r="Q140" s="188">
        <f>IF($O$11&lt;=A140,ROUND(N140*($O$7/12),2),0)</f>
        <v>2069.4299999999998</v>
      </c>
      <c r="R140" s="188">
        <f t="shared" si="161"/>
        <v>51.5</v>
      </c>
      <c r="S140" s="188">
        <f t="shared" si="162"/>
        <v>145.09666666666666</v>
      </c>
      <c r="T140" s="188">
        <f t="shared" si="159"/>
        <v>2701.0266666666666</v>
      </c>
      <c r="U140" s="188">
        <f t="shared" si="110"/>
        <v>33990.439999999981</v>
      </c>
      <c r="V140" s="188">
        <f t="shared" si="111"/>
        <v>249010.14999999994</v>
      </c>
      <c r="W140" s="188">
        <f t="shared" si="173"/>
        <v>291719.56000000011</v>
      </c>
      <c r="X140" s="395">
        <f t="shared" si="103"/>
        <v>49590</v>
      </c>
      <c r="Y140" s="188">
        <f t="shared" si="174"/>
        <v>292154.56000000011</v>
      </c>
      <c r="Z140" s="388">
        <f t="shared" si="95"/>
        <v>8.4999999999999992E-2</v>
      </c>
      <c r="AA140" s="188">
        <f t="shared" si="96"/>
        <v>2504.4299999999998</v>
      </c>
      <c r="AB140" s="188">
        <f t="shared" si="175"/>
        <v>435</v>
      </c>
      <c r="AC140" s="188">
        <f t="shared" si="97"/>
        <v>2069.4299999999998</v>
      </c>
      <c r="AD140" s="188">
        <f t="shared" ref="AD140:AE140" si="193">+AD139</f>
        <v>51.5</v>
      </c>
      <c r="AE140" s="188">
        <f t="shared" si="193"/>
        <v>145.09666666666666</v>
      </c>
      <c r="AF140" s="188">
        <f t="shared" si="177"/>
        <v>2701.0266666666666</v>
      </c>
      <c r="AG140" s="188">
        <f t="shared" si="178"/>
        <v>33990.439999999981</v>
      </c>
      <c r="AH140" s="188">
        <f t="shared" si="179"/>
        <v>249010.14999999994</v>
      </c>
      <c r="AI140" s="404">
        <f t="shared" si="164"/>
        <v>0</v>
      </c>
      <c r="AJ140" s="404">
        <f t="shared" si="123"/>
        <v>0</v>
      </c>
      <c r="AK140" s="404">
        <f t="shared" si="165"/>
        <v>0</v>
      </c>
      <c r="AL140" s="188">
        <f t="shared" si="180"/>
        <v>291719.56000000011</v>
      </c>
      <c r="AM140" s="317">
        <f t="shared" si="105"/>
        <v>9</v>
      </c>
      <c r="AN140" s="14">
        <f t="shared" si="166"/>
        <v>1944.5499999999997</v>
      </c>
      <c r="AO140" s="14">
        <f>IF(W140&lt;=0,0,+$AA$6-$C$2+I140-U140)</f>
        <v>185329.27000000002</v>
      </c>
      <c r="AP140" s="14">
        <f t="shared" si="167"/>
        <v>1944.5499999999997</v>
      </c>
      <c r="AS140" s="14">
        <f t="shared" si="100"/>
        <v>1944.5499999999997</v>
      </c>
      <c r="AT140" s="14">
        <f t="shared" si="106"/>
        <v>219253.58999999959</v>
      </c>
      <c r="AU140" s="188">
        <f>IF(W140&lt;=0,0,+($O$5+AV139)*$AQ$2/12)</f>
        <v>1109.7735798819137</v>
      </c>
      <c r="AV140" s="188">
        <f t="shared" si="107"/>
        <v>119309.20553264744</v>
      </c>
    </row>
    <row r="141" spans="1:48">
      <c r="A141" s="395">
        <f t="shared" si="169"/>
        <v>49620</v>
      </c>
      <c r="B141" s="188">
        <f t="shared" si="101"/>
        <v>106850.45999999995</v>
      </c>
      <c r="C141" s="14">
        <f t="shared" si="92"/>
        <v>559.88</v>
      </c>
      <c r="D141" s="14">
        <f t="shared" si="108"/>
        <v>159.19</v>
      </c>
      <c r="E141" s="14">
        <f t="shared" si="93"/>
        <v>400.69</v>
      </c>
      <c r="F141" s="14">
        <f t="shared" si="158"/>
        <v>51.5</v>
      </c>
      <c r="G141" s="14">
        <f t="shared" si="155"/>
        <v>145.09666666666666</v>
      </c>
      <c r="H141" s="14">
        <f t="shared" si="156"/>
        <v>756.47666666666669</v>
      </c>
      <c r="I141" s="188">
        <f t="shared" si="170"/>
        <v>16481.900000000001</v>
      </c>
      <c r="J141" s="188">
        <f t="shared" si="171"/>
        <v>54523.149999999987</v>
      </c>
      <c r="K141" s="188">
        <f t="shared" si="172"/>
        <v>106691.26999999995</v>
      </c>
      <c r="L141" s="317">
        <f t="shared" si="143"/>
        <v>9</v>
      </c>
      <c r="M141" s="317">
        <f>IF(N141&lt;&gt;"",IF(N141=$O$5,0,+M140+1),0)</f>
        <v>113</v>
      </c>
      <c r="N141" s="188">
        <f t="shared" si="102"/>
        <v>291719.56000000011</v>
      </c>
      <c r="O141" s="188">
        <f>IF($O$11&lt;=A141,IF(+$W140&lt;=0,0,$O$8),0)</f>
        <v>2504.4299999999998</v>
      </c>
      <c r="P141" s="188">
        <f t="shared" si="109"/>
        <v>438.07999999999993</v>
      </c>
      <c r="Q141" s="188">
        <f>IF($O$11&lt;=A141,ROUND(N141*($O$7/12),2),0)</f>
        <v>2066.35</v>
      </c>
      <c r="R141" s="188">
        <f t="shared" si="161"/>
        <v>51.5</v>
      </c>
      <c r="S141" s="188">
        <f t="shared" si="162"/>
        <v>145.09666666666666</v>
      </c>
      <c r="T141" s="188">
        <f t="shared" si="159"/>
        <v>2701.0266666666666</v>
      </c>
      <c r="U141" s="188">
        <f t="shared" si="110"/>
        <v>34428.519999999982</v>
      </c>
      <c r="V141" s="188">
        <f t="shared" si="111"/>
        <v>251076.49999999994</v>
      </c>
      <c r="W141" s="188">
        <f t="shared" si="173"/>
        <v>291281.4800000001</v>
      </c>
      <c r="X141" s="395">
        <f t="shared" si="103"/>
        <v>49620</v>
      </c>
      <c r="Y141" s="188">
        <f t="shared" si="174"/>
        <v>291719.56000000011</v>
      </c>
      <c r="Z141" s="388">
        <f t="shared" si="95"/>
        <v>8.4999999999999992E-2</v>
      </c>
      <c r="AA141" s="188">
        <f t="shared" si="96"/>
        <v>2504.4299999999998</v>
      </c>
      <c r="AB141" s="188">
        <f t="shared" si="175"/>
        <v>438.07999999999993</v>
      </c>
      <c r="AC141" s="188">
        <f t="shared" si="97"/>
        <v>2066.35</v>
      </c>
      <c r="AD141" s="188">
        <f t="shared" ref="AD141:AE141" si="194">+AD140</f>
        <v>51.5</v>
      </c>
      <c r="AE141" s="188">
        <f t="shared" si="194"/>
        <v>145.09666666666666</v>
      </c>
      <c r="AF141" s="188">
        <f t="shared" si="177"/>
        <v>2701.0266666666666</v>
      </c>
      <c r="AG141" s="188">
        <f t="shared" si="178"/>
        <v>34428.519999999982</v>
      </c>
      <c r="AH141" s="188">
        <f t="shared" si="179"/>
        <v>251076.49999999994</v>
      </c>
      <c r="AI141" s="404">
        <f t="shared" si="164"/>
        <v>0</v>
      </c>
      <c r="AJ141" s="404">
        <f t="shared" si="123"/>
        <v>0</v>
      </c>
      <c r="AK141" s="404">
        <f t="shared" si="165"/>
        <v>0</v>
      </c>
      <c r="AL141" s="188">
        <f t="shared" si="180"/>
        <v>291281.4800000001</v>
      </c>
      <c r="AM141" s="317">
        <f t="shared" si="105"/>
        <v>9</v>
      </c>
      <c r="AN141" s="14">
        <f t="shared" si="166"/>
        <v>1944.5499999999997</v>
      </c>
      <c r="AO141" s="14">
        <f>IF(W141&lt;=0,0,+$AA$6-$C$2+I141-U141)</f>
        <v>185050.38</v>
      </c>
      <c r="AP141" s="14">
        <f t="shared" si="167"/>
        <v>1944.5499999999997</v>
      </c>
      <c r="AS141" s="14">
        <f t="shared" si="100"/>
        <v>1944.5499999999997</v>
      </c>
      <c r="AT141" s="14">
        <f t="shared" si="106"/>
        <v>221198.13999999958</v>
      </c>
      <c r="AU141" s="188">
        <f>IF(W141&lt;=0,0,+($O$5+AV140)*$AQ$2/12)</f>
        <v>1112.5480138316186</v>
      </c>
      <c r="AV141" s="188">
        <f t="shared" si="107"/>
        <v>120421.75354647906</v>
      </c>
    </row>
    <row r="142" spans="1:48">
      <c r="A142" s="395">
        <f t="shared" si="169"/>
        <v>49650</v>
      </c>
      <c r="B142" s="188">
        <f t="shared" si="101"/>
        <v>106691.26999999995</v>
      </c>
      <c r="C142" s="14">
        <f t="shared" si="92"/>
        <v>559.88</v>
      </c>
      <c r="D142" s="14">
        <f t="shared" si="108"/>
        <v>159.79000000000002</v>
      </c>
      <c r="E142" s="14">
        <f t="shared" si="93"/>
        <v>400.09</v>
      </c>
      <c r="F142" s="14">
        <f t="shared" si="158"/>
        <v>51.5</v>
      </c>
      <c r="G142" s="14">
        <f t="shared" si="155"/>
        <v>145.09666666666666</v>
      </c>
      <c r="H142" s="14">
        <f t="shared" si="156"/>
        <v>756.47666666666669</v>
      </c>
      <c r="I142" s="188">
        <f t="shared" si="170"/>
        <v>16641.690000000002</v>
      </c>
      <c r="J142" s="188">
        <f t="shared" si="171"/>
        <v>54923.239999999983</v>
      </c>
      <c r="K142" s="188">
        <f t="shared" si="172"/>
        <v>106531.47999999995</v>
      </c>
      <c r="L142" s="317">
        <f t="shared" si="143"/>
        <v>9</v>
      </c>
      <c r="M142" s="317">
        <f>IF(N142&lt;&gt;"",IF(N142=$O$5,0,+M141+1),0)</f>
        <v>114</v>
      </c>
      <c r="N142" s="188">
        <f t="shared" si="102"/>
        <v>291281.4800000001</v>
      </c>
      <c r="O142" s="188">
        <f>IF($O$11&lt;=A142,IF(+$W141&lt;=0,0,$O$8),0)</f>
        <v>2504.4299999999998</v>
      </c>
      <c r="P142" s="188">
        <f t="shared" si="109"/>
        <v>441.19000000000005</v>
      </c>
      <c r="Q142" s="188">
        <f>IF($O$11&lt;=A142,ROUND(N142*($O$7/12),2),0)</f>
        <v>2063.2399999999998</v>
      </c>
      <c r="R142" s="188">
        <f t="shared" si="161"/>
        <v>51.5</v>
      </c>
      <c r="S142" s="188">
        <f t="shared" si="162"/>
        <v>145.09666666666666</v>
      </c>
      <c r="T142" s="188">
        <f t="shared" si="159"/>
        <v>2701.0266666666666</v>
      </c>
      <c r="U142" s="188">
        <f t="shared" si="110"/>
        <v>34869.709999999985</v>
      </c>
      <c r="V142" s="188">
        <f t="shared" si="111"/>
        <v>253139.73999999993</v>
      </c>
      <c r="W142" s="188">
        <f t="shared" si="173"/>
        <v>290840.2900000001</v>
      </c>
      <c r="X142" s="395">
        <f t="shared" si="103"/>
        <v>49650</v>
      </c>
      <c r="Y142" s="188">
        <f t="shared" si="174"/>
        <v>291281.4800000001</v>
      </c>
      <c r="Z142" s="388">
        <f t="shared" si="95"/>
        <v>8.4999999999999992E-2</v>
      </c>
      <c r="AA142" s="188">
        <f t="shared" si="96"/>
        <v>2504.4299999999998</v>
      </c>
      <c r="AB142" s="188">
        <f t="shared" si="175"/>
        <v>441.19000000000005</v>
      </c>
      <c r="AC142" s="188">
        <f t="shared" si="97"/>
        <v>2063.2399999999998</v>
      </c>
      <c r="AD142" s="188">
        <f t="shared" ref="AD142:AE142" si="195">+AD141</f>
        <v>51.5</v>
      </c>
      <c r="AE142" s="188">
        <f t="shared" si="195"/>
        <v>145.09666666666666</v>
      </c>
      <c r="AF142" s="188">
        <f t="shared" si="177"/>
        <v>2701.0266666666666</v>
      </c>
      <c r="AG142" s="188">
        <f t="shared" si="178"/>
        <v>34869.709999999985</v>
      </c>
      <c r="AH142" s="188">
        <f t="shared" si="179"/>
        <v>253139.73999999993</v>
      </c>
      <c r="AI142" s="404">
        <f t="shared" si="164"/>
        <v>0</v>
      </c>
      <c r="AJ142" s="404">
        <f t="shared" si="123"/>
        <v>0</v>
      </c>
      <c r="AK142" s="404">
        <f t="shared" si="165"/>
        <v>0</v>
      </c>
      <c r="AL142" s="188">
        <f t="shared" si="180"/>
        <v>290840.2900000001</v>
      </c>
      <c r="AM142" s="317">
        <f t="shared" si="105"/>
        <v>9</v>
      </c>
      <c r="AN142" s="14">
        <f t="shared" si="166"/>
        <v>1944.5499999999997</v>
      </c>
      <c r="AO142" s="14">
        <f>IF(W142&lt;=0,0,+$AA$6-$C$2+I142-U142)</f>
        <v>184768.98</v>
      </c>
      <c r="AP142" s="14">
        <f t="shared" si="167"/>
        <v>1944.5499999999997</v>
      </c>
      <c r="AS142" s="14">
        <f t="shared" si="100"/>
        <v>1944.5499999999997</v>
      </c>
      <c r="AT142" s="14">
        <f t="shared" si="106"/>
        <v>223142.68999999957</v>
      </c>
      <c r="AU142" s="188">
        <f>IF(W142&lt;=0,0,+($O$5+AV141)*$AQ$2/12)</f>
        <v>1115.3293838661975</v>
      </c>
      <c r="AV142" s="188">
        <f t="shared" si="107"/>
        <v>121537.08293034525</v>
      </c>
    </row>
    <row r="143" spans="1:48">
      <c r="A143" s="395">
        <f t="shared" si="169"/>
        <v>49680</v>
      </c>
      <c r="B143" s="188">
        <f t="shared" si="101"/>
        <v>106531.47999999995</v>
      </c>
      <c r="C143" s="14">
        <f t="shared" si="92"/>
        <v>559.88</v>
      </c>
      <c r="D143" s="14">
        <f t="shared" si="108"/>
        <v>160.38999999999999</v>
      </c>
      <c r="E143" s="14">
        <f t="shared" si="93"/>
        <v>399.49</v>
      </c>
      <c r="F143" s="14">
        <f t="shared" si="158"/>
        <v>51.5</v>
      </c>
      <c r="G143" s="14">
        <f t="shared" si="155"/>
        <v>145.09666666666666</v>
      </c>
      <c r="H143" s="14">
        <f t="shared" si="156"/>
        <v>756.47666666666669</v>
      </c>
      <c r="I143" s="188">
        <f t="shared" si="170"/>
        <v>16802.080000000002</v>
      </c>
      <c r="J143" s="188">
        <f t="shared" si="171"/>
        <v>55322.729999999981</v>
      </c>
      <c r="K143" s="188">
        <f t="shared" si="172"/>
        <v>106371.08999999995</v>
      </c>
      <c r="L143" s="317">
        <f t="shared" si="143"/>
        <v>9</v>
      </c>
      <c r="M143" s="317">
        <f>IF(N143&lt;&gt;"",IF(N143=$O$5,0,+M142+1),0)</f>
        <v>115</v>
      </c>
      <c r="N143" s="188">
        <f t="shared" si="102"/>
        <v>290840.2900000001</v>
      </c>
      <c r="O143" s="188">
        <f>IF($O$11&lt;=A143,IF(+$W142&lt;=0,0,$O$8),0)</f>
        <v>2504.4299999999998</v>
      </c>
      <c r="P143" s="188">
        <f t="shared" si="109"/>
        <v>444.30999999999995</v>
      </c>
      <c r="Q143" s="188">
        <f>IF($O$11&lt;=A143,ROUND(N143*($O$7/12),2),0)</f>
        <v>2060.12</v>
      </c>
      <c r="R143" s="188">
        <f t="shared" si="161"/>
        <v>51.5</v>
      </c>
      <c r="S143" s="188">
        <f t="shared" si="162"/>
        <v>145.09666666666666</v>
      </c>
      <c r="T143" s="188">
        <f t="shared" si="159"/>
        <v>2701.0266666666666</v>
      </c>
      <c r="U143" s="188">
        <f t="shared" si="110"/>
        <v>35314.019999999982</v>
      </c>
      <c r="V143" s="188">
        <f t="shared" si="111"/>
        <v>255199.85999999993</v>
      </c>
      <c r="W143" s="188">
        <f t="shared" si="173"/>
        <v>290395.9800000001</v>
      </c>
      <c r="X143" s="395">
        <f t="shared" si="103"/>
        <v>49680</v>
      </c>
      <c r="Y143" s="188">
        <f t="shared" si="174"/>
        <v>290840.2900000001</v>
      </c>
      <c r="Z143" s="388">
        <f t="shared" si="95"/>
        <v>8.4999999999999992E-2</v>
      </c>
      <c r="AA143" s="188">
        <f t="shared" si="96"/>
        <v>2504.4299999999998</v>
      </c>
      <c r="AB143" s="188">
        <f t="shared" si="175"/>
        <v>444.30999999999995</v>
      </c>
      <c r="AC143" s="188">
        <f t="shared" si="97"/>
        <v>2060.12</v>
      </c>
      <c r="AD143" s="188">
        <f t="shared" ref="AD143:AE143" si="196">+AD142</f>
        <v>51.5</v>
      </c>
      <c r="AE143" s="188">
        <f t="shared" si="196"/>
        <v>145.09666666666666</v>
      </c>
      <c r="AF143" s="188">
        <f t="shared" si="177"/>
        <v>2701.0266666666666</v>
      </c>
      <c r="AG143" s="188">
        <f t="shared" si="178"/>
        <v>35314.019999999982</v>
      </c>
      <c r="AH143" s="188">
        <f t="shared" si="179"/>
        <v>255199.85999999993</v>
      </c>
      <c r="AI143" s="404">
        <f t="shared" si="164"/>
        <v>0</v>
      </c>
      <c r="AJ143" s="404">
        <f t="shared" si="123"/>
        <v>0</v>
      </c>
      <c r="AK143" s="404">
        <f t="shared" si="165"/>
        <v>0</v>
      </c>
      <c r="AL143" s="188">
        <f t="shared" si="180"/>
        <v>290395.9800000001</v>
      </c>
      <c r="AM143" s="317">
        <f t="shared" si="105"/>
        <v>9</v>
      </c>
      <c r="AN143" s="14">
        <f t="shared" si="166"/>
        <v>1944.5499999999997</v>
      </c>
      <c r="AO143" s="14">
        <f>IF(W143&lt;=0,0,+$AA$6-$C$2+I143-U143)</f>
        <v>184485.06000000003</v>
      </c>
      <c r="AP143" s="14">
        <f t="shared" si="167"/>
        <v>1944.5499999999997</v>
      </c>
      <c r="AS143" s="14">
        <f t="shared" si="100"/>
        <v>1944.5499999999997</v>
      </c>
      <c r="AT143" s="14">
        <f t="shared" si="106"/>
        <v>225087.23999999955</v>
      </c>
      <c r="AU143" s="188">
        <f>IF(W143&lt;=0,0,+($O$5+AV142)*$AQ$2/12)</f>
        <v>1118.117707325863</v>
      </c>
      <c r="AV143" s="188">
        <f t="shared" si="107"/>
        <v>122655.20063767111</v>
      </c>
    </row>
    <row r="144" spans="1:48">
      <c r="A144" s="395">
        <f t="shared" si="169"/>
        <v>49710</v>
      </c>
      <c r="B144" s="188">
        <f t="shared" si="101"/>
        <v>106371.08999999995</v>
      </c>
      <c r="C144" s="14">
        <f t="shared" ref="C144:C207" si="197">IF(+$K143&lt;=0,0,$C$6)</f>
        <v>559.88</v>
      </c>
      <c r="D144" s="14">
        <f t="shared" si="108"/>
        <v>160.99</v>
      </c>
      <c r="E144" s="14">
        <f t="shared" ref="E144:E207" si="198">ROUND($B144*($C$4/12), 2)</f>
        <v>398.89</v>
      </c>
      <c r="F144" s="14">
        <f t="shared" si="158"/>
        <v>51.5</v>
      </c>
      <c r="G144" s="14">
        <f t="shared" si="155"/>
        <v>145.09666666666666</v>
      </c>
      <c r="H144" s="14">
        <f t="shared" si="156"/>
        <v>756.47666666666669</v>
      </c>
      <c r="I144" s="188">
        <f t="shared" si="170"/>
        <v>16963.070000000003</v>
      </c>
      <c r="J144" s="188">
        <f t="shared" si="171"/>
        <v>55721.619999999981</v>
      </c>
      <c r="K144" s="188">
        <f t="shared" si="172"/>
        <v>106210.09999999995</v>
      </c>
      <c r="L144" s="317">
        <f t="shared" si="143"/>
        <v>9</v>
      </c>
      <c r="M144" s="317">
        <f>IF(N144&lt;&gt;"",IF(N144=$O$5,0,+M143+1),0)</f>
        <v>116</v>
      </c>
      <c r="N144" s="188">
        <f t="shared" si="102"/>
        <v>290395.9800000001</v>
      </c>
      <c r="O144" s="188">
        <f>IF($O$11&lt;=A144,IF(+$W143&lt;=0,0,$O$8),0)</f>
        <v>2504.4299999999998</v>
      </c>
      <c r="P144" s="188">
        <f t="shared" si="109"/>
        <v>447.46000000000004</v>
      </c>
      <c r="Q144" s="188">
        <f>IF($O$11&lt;=A144,ROUND(N144*($O$7/12),2),0)</f>
        <v>2056.9699999999998</v>
      </c>
      <c r="R144" s="188">
        <f t="shared" si="161"/>
        <v>51.5</v>
      </c>
      <c r="S144" s="188">
        <f t="shared" si="162"/>
        <v>145.09666666666666</v>
      </c>
      <c r="T144" s="188">
        <f t="shared" si="159"/>
        <v>2701.0266666666666</v>
      </c>
      <c r="U144" s="188">
        <f t="shared" si="110"/>
        <v>35761.479999999981</v>
      </c>
      <c r="V144" s="188">
        <f t="shared" si="111"/>
        <v>257256.82999999993</v>
      </c>
      <c r="W144" s="188">
        <f t="shared" si="173"/>
        <v>289948.52000000008</v>
      </c>
      <c r="X144" s="395">
        <f t="shared" si="103"/>
        <v>49710</v>
      </c>
      <c r="Y144" s="188">
        <f t="shared" si="174"/>
        <v>290395.9800000001</v>
      </c>
      <c r="Z144" s="388">
        <f t="shared" ref="Z144:Z207" si="199">IF(L144&gt;4,$AA$10,$AA$9)</f>
        <v>8.4999999999999992E-2</v>
      </c>
      <c r="AA144" s="188">
        <f t="shared" ref="AA144:AA207" si="200">IF($O$11&lt;=$A144,IF(+AL143&lt;=0,0,IF(Z144=$AA$9,$Z$9,$Z$10)),0)</f>
        <v>2504.4299999999998</v>
      </c>
      <c r="AB144" s="188">
        <f t="shared" si="175"/>
        <v>447.46000000000004</v>
      </c>
      <c r="AC144" s="188">
        <f t="shared" ref="AC144:AC207" si="201">IF($O$11&lt;=$A144,ROUND(Y144*(Z144/12),2),0)</f>
        <v>2056.9699999999998</v>
      </c>
      <c r="AD144" s="188">
        <f t="shared" ref="AD144:AE144" si="202">+AD143</f>
        <v>51.5</v>
      </c>
      <c r="AE144" s="188">
        <f t="shared" si="202"/>
        <v>145.09666666666666</v>
      </c>
      <c r="AF144" s="188">
        <f t="shared" si="177"/>
        <v>2701.0266666666666</v>
      </c>
      <c r="AG144" s="188">
        <f t="shared" si="178"/>
        <v>35761.479999999981</v>
      </c>
      <c r="AH144" s="188">
        <f t="shared" si="179"/>
        <v>257256.82999999993</v>
      </c>
      <c r="AI144" s="404">
        <f t="shared" si="164"/>
        <v>0</v>
      </c>
      <c r="AJ144" s="404">
        <f t="shared" si="123"/>
        <v>0</v>
      </c>
      <c r="AK144" s="404">
        <f t="shared" si="165"/>
        <v>0</v>
      </c>
      <c r="AL144" s="188">
        <f t="shared" si="180"/>
        <v>289948.52000000008</v>
      </c>
      <c r="AM144" s="317">
        <f t="shared" si="105"/>
        <v>9</v>
      </c>
      <c r="AN144" s="14">
        <f t="shared" si="166"/>
        <v>1944.5499999999997</v>
      </c>
      <c r="AO144" s="14">
        <f>IF(W144&lt;=0,0,+$AA$6-$C$2+I144-U144)</f>
        <v>184198.59000000003</v>
      </c>
      <c r="AP144" s="14">
        <f t="shared" si="167"/>
        <v>1944.5499999999997</v>
      </c>
      <c r="AS144" s="14">
        <f t="shared" ref="AS144:AS207" si="203">+AN144-AR144</f>
        <v>1944.5499999999997</v>
      </c>
      <c r="AT144" s="14">
        <f t="shared" si="106"/>
        <v>227031.78999999954</v>
      </c>
      <c r="AU144" s="188">
        <f>IF(W144&lt;=0,0,+($O$5+AV143)*$AQ$2/12)</f>
        <v>1120.9130015941778</v>
      </c>
      <c r="AV144" s="188">
        <f t="shared" si="107"/>
        <v>123776.11363926528</v>
      </c>
    </row>
    <row r="145" spans="1:48">
      <c r="A145" s="395">
        <f t="shared" si="169"/>
        <v>49740</v>
      </c>
      <c r="B145" s="188">
        <f t="shared" ref="B145:B208" si="204">IF(+K144&lt;0,0,+K144)</f>
        <v>106210.09999999995</v>
      </c>
      <c r="C145" s="14">
        <f t="shared" si="197"/>
        <v>559.88</v>
      </c>
      <c r="D145" s="14">
        <f t="shared" si="108"/>
        <v>161.58999999999997</v>
      </c>
      <c r="E145" s="14">
        <f t="shared" si="198"/>
        <v>398.29</v>
      </c>
      <c r="F145" s="14">
        <f t="shared" si="158"/>
        <v>51.5</v>
      </c>
      <c r="G145" s="14">
        <f t="shared" si="155"/>
        <v>145.09666666666666</v>
      </c>
      <c r="H145" s="14">
        <f t="shared" si="156"/>
        <v>756.47666666666669</v>
      </c>
      <c r="I145" s="188">
        <f t="shared" si="170"/>
        <v>17124.660000000003</v>
      </c>
      <c r="J145" s="188">
        <f t="shared" si="171"/>
        <v>56119.909999999982</v>
      </c>
      <c r="K145" s="188">
        <f t="shared" si="172"/>
        <v>106048.50999999995</v>
      </c>
      <c r="L145" s="317">
        <f t="shared" si="143"/>
        <v>9</v>
      </c>
      <c r="M145" s="317">
        <f>IF(N145&lt;&gt;"",IF(N145=$O$5,0,+M144+1),0)</f>
        <v>117</v>
      </c>
      <c r="N145" s="188">
        <f t="shared" ref="N145:N208" si="205">IF(+W144&lt;0,0,+W144)</f>
        <v>289948.52000000008</v>
      </c>
      <c r="O145" s="188">
        <f>IF($O$11&lt;=A145,IF(+$W144&lt;=0,0,$O$8),0)</f>
        <v>2504.4299999999998</v>
      </c>
      <c r="P145" s="188">
        <f t="shared" si="109"/>
        <v>450.62999999999965</v>
      </c>
      <c r="Q145" s="188">
        <f>IF($O$11&lt;=A145,ROUND(N145*($O$7/12),2),0)</f>
        <v>2053.8000000000002</v>
      </c>
      <c r="R145" s="188">
        <f t="shared" si="161"/>
        <v>51.5</v>
      </c>
      <c r="S145" s="188">
        <f t="shared" si="162"/>
        <v>145.09666666666666</v>
      </c>
      <c r="T145" s="188">
        <f t="shared" si="159"/>
        <v>2701.0266666666666</v>
      </c>
      <c r="U145" s="188">
        <f t="shared" si="110"/>
        <v>36212.109999999979</v>
      </c>
      <c r="V145" s="188">
        <f t="shared" si="111"/>
        <v>259310.62999999992</v>
      </c>
      <c r="W145" s="188">
        <f t="shared" si="173"/>
        <v>289497.89000000007</v>
      </c>
      <c r="X145" s="395">
        <f t="shared" ref="X145:X208" si="206">+A145</f>
        <v>49740</v>
      </c>
      <c r="Y145" s="188">
        <f t="shared" si="174"/>
        <v>289948.52000000008</v>
      </c>
      <c r="Z145" s="388">
        <f t="shared" si="199"/>
        <v>8.4999999999999992E-2</v>
      </c>
      <c r="AA145" s="188">
        <f t="shared" si="200"/>
        <v>2504.4299999999998</v>
      </c>
      <c r="AB145" s="188">
        <f t="shared" si="175"/>
        <v>450.62999999999965</v>
      </c>
      <c r="AC145" s="188">
        <f t="shared" si="201"/>
        <v>2053.8000000000002</v>
      </c>
      <c r="AD145" s="188">
        <f t="shared" ref="AD145:AE145" si="207">+AD144</f>
        <v>51.5</v>
      </c>
      <c r="AE145" s="188">
        <f t="shared" si="207"/>
        <v>145.09666666666666</v>
      </c>
      <c r="AF145" s="188">
        <f t="shared" si="177"/>
        <v>2701.0266666666666</v>
      </c>
      <c r="AG145" s="188">
        <f t="shared" si="178"/>
        <v>36212.109999999979</v>
      </c>
      <c r="AH145" s="188">
        <f t="shared" si="179"/>
        <v>259310.62999999992</v>
      </c>
      <c r="AI145" s="404">
        <f t="shared" si="164"/>
        <v>0</v>
      </c>
      <c r="AJ145" s="404">
        <f t="shared" si="123"/>
        <v>0</v>
      </c>
      <c r="AK145" s="404">
        <f t="shared" si="165"/>
        <v>0</v>
      </c>
      <c r="AL145" s="188">
        <f t="shared" si="180"/>
        <v>289497.89000000007</v>
      </c>
      <c r="AM145" s="317">
        <f t="shared" ref="AM145:AM208" si="208">+L145</f>
        <v>9</v>
      </c>
      <c r="AN145" s="14">
        <f t="shared" si="166"/>
        <v>1944.5499999999997</v>
      </c>
      <c r="AO145" s="14">
        <f>IF(W145&lt;=0,0,+$AA$6-$C$2+I145-U145)</f>
        <v>183909.55000000002</v>
      </c>
      <c r="AP145" s="14">
        <f t="shared" si="167"/>
        <v>1944.5499999999997</v>
      </c>
      <c r="AS145" s="14">
        <f t="shared" si="203"/>
        <v>1944.5499999999997</v>
      </c>
      <c r="AT145" s="14">
        <f t="shared" ref="AT145:AT208" si="209">IF(W145&lt;=0,0,+AS145+AT144)</f>
        <v>228976.33999999953</v>
      </c>
      <c r="AU145" s="188">
        <f>IF(W145&lt;=0,0,+($O$5+AV144)*$AQ$2/12)</f>
        <v>1123.7152840981632</v>
      </c>
      <c r="AV145" s="188">
        <f t="shared" ref="AV145:AV208" si="210">IF(W145&lt;=0,0,+AV144+AU145)</f>
        <v>124899.82892336344</v>
      </c>
    </row>
    <row r="146" spans="1:48">
      <c r="A146" s="395">
        <f t="shared" si="169"/>
        <v>49770</v>
      </c>
      <c r="B146" s="188">
        <f t="shared" si="204"/>
        <v>106048.50999999995</v>
      </c>
      <c r="C146" s="14">
        <f t="shared" si="197"/>
        <v>559.88</v>
      </c>
      <c r="D146" s="14">
        <f t="shared" ref="D146:D209" si="211">+C146-E146</f>
        <v>162.19999999999999</v>
      </c>
      <c r="E146" s="14">
        <f t="shared" si="198"/>
        <v>397.68</v>
      </c>
      <c r="F146" s="14">
        <f t="shared" si="158"/>
        <v>51.5</v>
      </c>
      <c r="G146" s="14">
        <f t="shared" si="155"/>
        <v>145.09666666666666</v>
      </c>
      <c r="H146" s="14">
        <f t="shared" si="156"/>
        <v>756.47666666666669</v>
      </c>
      <c r="I146" s="188">
        <f t="shared" si="170"/>
        <v>17286.860000000004</v>
      </c>
      <c r="J146" s="188">
        <f t="shared" si="171"/>
        <v>56517.589999999982</v>
      </c>
      <c r="K146" s="188">
        <f t="shared" si="172"/>
        <v>105886.30999999995</v>
      </c>
      <c r="L146" s="317">
        <f t="shared" si="143"/>
        <v>9</v>
      </c>
      <c r="M146" s="317">
        <f>IF(N146&lt;&gt;"",IF(N146=$O$5,0,+M145+1),0)</f>
        <v>118</v>
      </c>
      <c r="N146" s="188">
        <f t="shared" si="205"/>
        <v>289497.89000000007</v>
      </c>
      <c r="O146" s="188">
        <f>IF($O$11&lt;=A146,IF(+$W145&lt;=0,0,$O$8),0)</f>
        <v>2504.4299999999998</v>
      </c>
      <c r="P146" s="188">
        <f t="shared" ref="P146:P209" si="212">+O146-Q146</f>
        <v>453.81999999999971</v>
      </c>
      <c r="Q146" s="188">
        <f>IF($O$11&lt;=A146,ROUND(N146*($O$7/12),2),0)</f>
        <v>2050.61</v>
      </c>
      <c r="R146" s="188">
        <f t="shared" si="161"/>
        <v>51.5</v>
      </c>
      <c r="S146" s="188">
        <f t="shared" si="162"/>
        <v>145.09666666666666</v>
      </c>
      <c r="T146" s="188">
        <f t="shared" si="159"/>
        <v>2701.0266666666666</v>
      </c>
      <c r="U146" s="188">
        <f t="shared" ref="U146:U209" si="213">+P146+U145</f>
        <v>36665.929999999978</v>
      </c>
      <c r="V146" s="188">
        <f t="shared" ref="V146:V209" si="214">+V145+Q146</f>
        <v>261361.2399999999</v>
      </c>
      <c r="W146" s="188">
        <f t="shared" si="173"/>
        <v>289044.07000000007</v>
      </c>
      <c r="X146" s="395">
        <f t="shared" si="206"/>
        <v>49770</v>
      </c>
      <c r="Y146" s="188">
        <f t="shared" si="174"/>
        <v>289497.89000000007</v>
      </c>
      <c r="Z146" s="388">
        <f t="shared" si="199"/>
        <v>8.4999999999999992E-2</v>
      </c>
      <c r="AA146" s="188">
        <f t="shared" si="200"/>
        <v>2504.4299999999998</v>
      </c>
      <c r="AB146" s="188">
        <f t="shared" si="175"/>
        <v>453.81999999999971</v>
      </c>
      <c r="AC146" s="188">
        <f t="shared" si="201"/>
        <v>2050.61</v>
      </c>
      <c r="AD146" s="188">
        <f t="shared" ref="AD146:AE146" si="215">+AD145</f>
        <v>51.5</v>
      </c>
      <c r="AE146" s="188">
        <f t="shared" si="215"/>
        <v>145.09666666666666</v>
      </c>
      <c r="AF146" s="188">
        <f t="shared" si="177"/>
        <v>2701.0266666666666</v>
      </c>
      <c r="AG146" s="188">
        <f t="shared" si="178"/>
        <v>36665.929999999978</v>
      </c>
      <c r="AH146" s="188">
        <f t="shared" si="179"/>
        <v>261361.2399999999</v>
      </c>
      <c r="AI146" s="404">
        <f t="shared" si="164"/>
        <v>0</v>
      </c>
      <c r="AJ146" s="404">
        <f t="shared" si="123"/>
        <v>0</v>
      </c>
      <c r="AK146" s="404">
        <f t="shared" si="165"/>
        <v>0</v>
      </c>
      <c r="AL146" s="188">
        <f t="shared" si="180"/>
        <v>289044.07000000007</v>
      </c>
      <c r="AM146" s="317">
        <f t="shared" si="208"/>
        <v>9</v>
      </c>
      <c r="AN146" s="14">
        <f t="shared" si="166"/>
        <v>1944.5499999999997</v>
      </c>
      <c r="AO146" s="14">
        <f>IF(W146&lt;=0,0,+$AA$6-$C$2+I146-U146)</f>
        <v>183617.93000000005</v>
      </c>
      <c r="AP146" s="14">
        <f t="shared" si="167"/>
        <v>1944.5499999999997</v>
      </c>
      <c r="AS146" s="14">
        <f t="shared" si="203"/>
        <v>1944.5499999999997</v>
      </c>
      <c r="AT146" s="14">
        <f t="shared" si="209"/>
        <v>230920.88999999952</v>
      </c>
      <c r="AU146" s="188">
        <f>IF(W146&lt;=0,0,+($O$5+AV145)*$AQ$2/12)</f>
        <v>1126.5245723084088</v>
      </c>
      <c r="AV146" s="188">
        <f t="shared" si="210"/>
        <v>126026.35349567185</v>
      </c>
    </row>
    <row r="147" spans="1:48" ht="15.75" thickBot="1">
      <c r="A147" s="398">
        <f t="shared" si="169"/>
        <v>49800</v>
      </c>
      <c r="B147" s="237">
        <f t="shared" si="204"/>
        <v>105886.30999999995</v>
      </c>
      <c r="C147" s="21">
        <f t="shared" si="197"/>
        <v>559.88</v>
      </c>
      <c r="D147" s="21">
        <f t="shared" si="211"/>
        <v>162.81</v>
      </c>
      <c r="E147" s="21">
        <f t="shared" si="198"/>
        <v>397.07</v>
      </c>
      <c r="F147" s="21">
        <f t="shared" si="158"/>
        <v>51.5</v>
      </c>
      <c r="G147" s="21">
        <f t="shared" si="155"/>
        <v>145.09666666666666</v>
      </c>
      <c r="H147" s="21">
        <f t="shared" si="156"/>
        <v>756.47666666666669</v>
      </c>
      <c r="I147" s="237">
        <f t="shared" si="170"/>
        <v>17449.670000000006</v>
      </c>
      <c r="J147" s="237">
        <f t="shared" si="171"/>
        <v>56914.659999999982</v>
      </c>
      <c r="K147" s="237">
        <f t="shared" si="172"/>
        <v>105723.49999999996</v>
      </c>
      <c r="L147" s="318">
        <f t="shared" si="143"/>
        <v>9</v>
      </c>
      <c r="M147" s="318">
        <f>IF(N147&lt;&gt;"",IF(N147=$O$5,0,+M146+1),0)</f>
        <v>119</v>
      </c>
      <c r="N147" s="237">
        <f t="shared" si="205"/>
        <v>289044.07000000007</v>
      </c>
      <c r="O147" s="237">
        <f>IF($O$11&lt;=A147,IF(+$W146&lt;=0,0,$O$8),0)</f>
        <v>2504.4299999999998</v>
      </c>
      <c r="P147" s="237">
        <f t="shared" si="212"/>
        <v>457.02999999999975</v>
      </c>
      <c r="Q147" s="237">
        <f>IF($O$11&lt;=A147,ROUND(N147*($O$7/12),2),0)</f>
        <v>2047.4</v>
      </c>
      <c r="R147" s="237">
        <f t="shared" si="161"/>
        <v>51.5</v>
      </c>
      <c r="S147" s="237">
        <f t="shared" si="162"/>
        <v>145.09666666666666</v>
      </c>
      <c r="T147" s="237">
        <f t="shared" si="159"/>
        <v>2701.0266666666666</v>
      </c>
      <c r="U147" s="237">
        <f t="shared" si="213"/>
        <v>37122.959999999977</v>
      </c>
      <c r="V147" s="237">
        <f t="shared" si="214"/>
        <v>263408.6399999999</v>
      </c>
      <c r="W147" s="237">
        <f t="shared" si="173"/>
        <v>288587.04000000004</v>
      </c>
      <c r="X147" s="398">
        <f t="shared" si="206"/>
        <v>49800</v>
      </c>
      <c r="Y147" s="237">
        <f t="shared" si="174"/>
        <v>289044.07000000007</v>
      </c>
      <c r="Z147" s="389">
        <f t="shared" si="199"/>
        <v>8.4999999999999992E-2</v>
      </c>
      <c r="AA147" s="237">
        <f t="shared" si="200"/>
        <v>2504.4299999999998</v>
      </c>
      <c r="AB147" s="237">
        <f t="shared" si="175"/>
        <v>457.02999999999975</v>
      </c>
      <c r="AC147" s="237">
        <f t="shared" si="201"/>
        <v>2047.4</v>
      </c>
      <c r="AD147" s="237">
        <f t="shared" ref="AD147:AE147" si="216">+AD146</f>
        <v>51.5</v>
      </c>
      <c r="AE147" s="237">
        <f t="shared" si="216"/>
        <v>145.09666666666666</v>
      </c>
      <c r="AF147" s="237">
        <f t="shared" si="177"/>
        <v>2701.0266666666666</v>
      </c>
      <c r="AG147" s="237">
        <f t="shared" si="178"/>
        <v>37122.959999999977</v>
      </c>
      <c r="AH147" s="237">
        <f t="shared" si="179"/>
        <v>263408.6399999999</v>
      </c>
      <c r="AI147" s="405">
        <f t="shared" si="164"/>
        <v>0</v>
      </c>
      <c r="AJ147" s="405">
        <f t="shared" si="123"/>
        <v>0</v>
      </c>
      <c r="AK147" s="405">
        <f t="shared" si="165"/>
        <v>0</v>
      </c>
      <c r="AL147" s="237">
        <f t="shared" si="180"/>
        <v>288587.04000000004</v>
      </c>
      <c r="AM147" s="318">
        <f t="shared" si="208"/>
        <v>9</v>
      </c>
      <c r="AN147" s="21">
        <f t="shared" si="166"/>
        <v>1944.5499999999997</v>
      </c>
      <c r="AO147" s="21">
        <f>IF(W147&lt;=0,0,+$AA$6-$C$2+I147-U147)</f>
        <v>183323.71000000002</v>
      </c>
      <c r="AP147" s="21">
        <f t="shared" si="167"/>
        <v>1944.5499999999997</v>
      </c>
      <c r="AQ147" s="21"/>
      <c r="AR147" s="23"/>
      <c r="AS147" s="21">
        <f t="shared" si="203"/>
        <v>1944.5499999999997</v>
      </c>
      <c r="AT147" s="21">
        <f t="shared" si="209"/>
        <v>232865.43999999951</v>
      </c>
      <c r="AU147" s="237">
        <f>IF(W147&lt;=0,0,+($O$5+AV146)*$AQ$2/12)</f>
        <v>1129.3408837391796</v>
      </c>
      <c r="AV147" s="237">
        <f t="shared" si="210"/>
        <v>127155.69437941103</v>
      </c>
    </row>
    <row r="148" spans="1:48">
      <c r="A148" s="395">
        <f t="shared" si="169"/>
        <v>49830</v>
      </c>
      <c r="B148" s="188">
        <f t="shared" si="204"/>
        <v>105723.49999999996</v>
      </c>
      <c r="C148" s="14">
        <f t="shared" si="197"/>
        <v>559.88</v>
      </c>
      <c r="D148" s="14">
        <f t="shared" si="211"/>
        <v>163.42000000000002</v>
      </c>
      <c r="E148" s="14">
        <f t="shared" si="198"/>
        <v>396.46</v>
      </c>
      <c r="F148" s="14">
        <f t="shared" si="158"/>
        <v>51.5</v>
      </c>
      <c r="G148" s="14">
        <f t="shared" si="155"/>
        <v>145.09666666666666</v>
      </c>
      <c r="H148" s="14">
        <f t="shared" si="156"/>
        <v>756.47666666666669</v>
      </c>
      <c r="I148" s="188">
        <f t="shared" si="170"/>
        <v>17613.090000000004</v>
      </c>
      <c r="J148" s="188">
        <f t="shared" si="171"/>
        <v>57311.119999999981</v>
      </c>
      <c r="K148" s="188">
        <f t="shared" si="172"/>
        <v>105560.07999999996</v>
      </c>
      <c r="L148" s="317">
        <f t="shared" si="143"/>
        <v>10</v>
      </c>
      <c r="M148" s="317">
        <f>IF(N148&lt;&gt;"",IF(N148=$O$5,0,+M147+1),0)</f>
        <v>120</v>
      </c>
      <c r="N148" s="188">
        <f t="shared" si="205"/>
        <v>288587.04000000004</v>
      </c>
      <c r="O148" s="188">
        <f>IF($O$11&lt;=A148,IF(+$W147&lt;=0,0,$O$8),0)</f>
        <v>2504.4299999999998</v>
      </c>
      <c r="P148" s="188">
        <f t="shared" si="212"/>
        <v>460.26999999999975</v>
      </c>
      <c r="Q148" s="188">
        <f>IF($O$11&lt;=A148,ROUND(N148*($O$7/12),2),0)</f>
        <v>2044.16</v>
      </c>
      <c r="R148" s="188">
        <f t="shared" si="161"/>
        <v>51.5</v>
      </c>
      <c r="S148" s="188">
        <f t="shared" si="162"/>
        <v>145.09666666666666</v>
      </c>
      <c r="T148" s="188">
        <f t="shared" si="159"/>
        <v>2701.0266666666666</v>
      </c>
      <c r="U148" s="188">
        <f t="shared" si="213"/>
        <v>37583.229999999974</v>
      </c>
      <c r="V148" s="188">
        <f t="shared" si="214"/>
        <v>265452.79999999987</v>
      </c>
      <c r="W148" s="188">
        <f t="shared" si="173"/>
        <v>288126.77</v>
      </c>
      <c r="X148" s="395">
        <f t="shared" si="206"/>
        <v>49830</v>
      </c>
      <c r="Y148" s="188">
        <f t="shared" si="174"/>
        <v>288587.04000000004</v>
      </c>
      <c r="Z148" s="388">
        <f t="shared" si="199"/>
        <v>8.4999999999999992E-2</v>
      </c>
      <c r="AA148" s="188">
        <f t="shared" si="200"/>
        <v>2504.4299999999998</v>
      </c>
      <c r="AB148" s="188">
        <f t="shared" si="175"/>
        <v>460.26999999999975</v>
      </c>
      <c r="AC148" s="188">
        <f t="shared" si="201"/>
        <v>2044.16</v>
      </c>
      <c r="AD148" s="188">
        <f t="shared" ref="AD148:AE148" si="217">+AD147</f>
        <v>51.5</v>
      </c>
      <c r="AE148" s="188">
        <f t="shared" si="217"/>
        <v>145.09666666666666</v>
      </c>
      <c r="AF148" s="188">
        <f t="shared" si="177"/>
        <v>2701.0266666666666</v>
      </c>
      <c r="AG148" s="188">
        <f t="shared" si="178"/>
        <v>37583.229999999974</v>
      </c>
      <c r="AH148" s="188">
        <f t="shared" si="179"/>
        <v>265452.79999999987</v>
      </c>
      <c r="AI148" s="404">
        <f t="shared" si="164"/>
        <v>0</v>
      </c>
      <c r="AJ148" s="404">
        <f t="shared" si="123"/>
        <v>0</v>
      </c>
      <c r="AK148" s="404">
        <f t="shared" si="165"/>
        <v>0</v>
      </c>
      <c r="AL148" s="188">
        <f t="shared" si="180"/>
        <v>288126.77</v>
      </c>
      <c r="AM148" s="317">
        <f t="shared" si="208"/>
        <v>10</v>
      </c>
      <c r="AN148" s="14">
        <f t="shared" si="166"/>
        <v>1944.5499999999997</v>
      </c>
      <c r="AO148" s="14">
        <f>IF(W148&lt;=0,0,+$AA$6-$C$2+I148-U148)</f>
        <v>183026.86000000002</v>
      </c>
      <c r="AP148" s="14">
        <f t="shared" si="167"/>
        <v>1944.5499999999997</v>
      </c>
      <c r="AS148" s="14">
        <f t="shared" si="203"/>
        <v>1944.5499999999997</v>
      </c>
      <c r="AT148" s="14">
        <f t="shared" si="209"/>
        <v>234809.9899999995</v>
      </c>
      <c r="AU148" s="188">
        <f>IF(W148&lt;=0,0,+($O$5+AV147)*$AQ$2/12)</f>
        <v>1132.1642359485274</v>
      </c>
      <c r="AV148" s="188">
        <f t="shared" si="210"/>
        <v>128287.85861535955</v>
      </c>
    </row>
    <row r="149" spans="1:48">
      <c r="A149" s="395">
        <f t="shared" si="169"/>
        <v>49860</v>
      </c>
      <c r="B149" s="188">
        <f t="shared" si="204"/>
        <v>105560.07999999996</v>
      </c>
      <c r="C149" s="14">
        <f t="shared" si="197"/>
        <v>559.88</v>
      </c>
      <c r="D149" s="14">
        <f t="shared" si="211"/>
        <v>164.02999999999997</v>
      </c>
      <c r="E149" s="14">
        <f t="shared" si="198"/>
        <v>395.85</v>
      </c>
      <c r="F149" s="14">
        <f t="shared" si="158"/>
        <v>51.5</v>
      </c>
      <c r="G149" s="14">
        <f t="shared" si="155"/>
        <v>145.09666666666666</v>
      </c>
      <c r="H149" s="14">
        <f t="shared" si="156"/>
        <v>756.47666666666669</v>
      </c>
      <c r="I149" s="188">
        <f t="shared" si="170"/>
        <v>17777.120000000003</v>
      </c>
      <c r="J149" s="188">
        <f t="shared" si="171"/>
        <v>57706.969999999979</v>
      </c>
      <c r="K149" s="188">
        <f t="shared" si="172"/>
        <v>105396.04999999996</v>
      </c>
      <c r="L149" s="317">
        <f t="shared" si="143"/>
        <v>10</v>
      </c>
      <c r="M149" s="317">
        <f>IF(N149&lt;&gt;"",IF(N149=$O$5,0,+M148+1),0)</f>
        <v>121</v>
      </c>
      <c r="N149" s="188">
        <f t="shared" si="205"/>
        <v>288126.77</v>
      </c>
      <c r="O149" s="188">
        <f>IF($O$11&lt;=A149,IF(+$W148&lt;=0,0,$O$8),0)</f>
        <v>2504.4299999999998</v>
      </c>
      <c r="P149" s="188">
        <f t="shared" si="212"/>
        <v>463.52999999999975</v>
      </c>
      <c r="Q149" s="188">
        <f>IF($O$11&lt;=A149,ROUND(N149*($O$7/12),2),0)</f>
        <v>2040.9</v>
      </c>
      <c r="R149" s="188">
        <f t="shared" si="161"/>
        <v>51.5</v>
      </c>
      <c r="S149" s="188">
        <f t="shared" si="162"/>
        <v>145.09666666666666</v>
      </c>
      <c r="T149" s="188">
        <f t="shared" si="159"/>
        <v>2701.0266666666666</v>
      </c>
      <c r="U149" s="188">
        <f t="shared" si="213"/>
        <v>38046.759999999973</v>
      </c>
      <c r="V149" s="188">
        <f t="shared" si="214"/>
        <v>267493.6999999999</v>
      </c>
      <c r="W149" s="188">
        <f t="shared" si="173"/>
        <v>287663.24</v>
      </c>
      <c r="X149" s="395">
        <f t="shared" si="206"/>
        <v>49860</v>
      </c>
      <c r="Y149" s="188">
        <f t="shared" si="174"/>
        <v>288126.77</v>
      </c>
      <c r="Z149" s="388">
        <f t="shared" si="199"/>
        <v>8.4999999999999992E-2</v>
      </c>
      <c r="AA149" s="188">
        <f t="shared" si="200"/>
        <v>2504.4299999999998</v>
      </c>
      <c r="AB149" s="188">
        <f t="shared" si="175"/>
        <v>463.52999999999975</v>
      </c>
      <c r="AC149" s="188">
        <f t="shared" si="201"/>
        <v>2040.9</v>
      </c>
      <c r="AD149" s="188">
        <f t="shared" ref="AD149:AE149" si="218">+AD148</f>
        <v>51.5</v>
      </c>
      <c r="AE149" s="188">
        <f t="shared" si="218"/>
        <v>145.09666666666666</v>
      </c>
      <c r="AF149" s="188">
        <f t="shared" si="177"/>
        <v>2701.0266666666666</v>
      </c>
      <c r="AG149" s="188">
        <f t="shared" si="178"/>
        <v>38046.759999999973</v>
      </c>
      <c r="AH149" s="188">
        <f t="shared" si="179"/>
        <v>267493.6999999999</v>
      </c>
      <c r="AI149" s="404">
        <f t="shared" si="164"/>
        <v>0</v>
      </c>
      <c r="AJ149" s="404">
        <f t="shared" si="123"/>
        <v>0</v>
      </c>
      <c r="AK149" s="404">
        <f t="shared" si="165"/>
        <v>0</v>
      </c>
      <c r="AL149" s="188">
        <f t="shared" si="180"/>
        <v>287663.24</v>
      </c>
      <c r="AM149" s="317">
        <f t="shared" si="208"/>
        <v>10</v>
      </c>
      <c r="AN149" s="14">
        <f t="shared" si="166"/>
        <v>1944.5499999999997</v>
      </c>
      <c r="AO149" s="14">
        <f>IF(W149&lt;=0,0,+$AA$6-$C$2+I149-U149)</f>
        <v>182727.36000000002</v>
      </c>
      <c r="AP149" s="14">
        <f t="shared" si="167"/>
        <v>1944.5499999999997</v>
      </c>
      <c r="AS149" s="14">
        <f t="shared" si="203"/>
        <v>1944.5499999999997</v>
      </c>
      <c r="AT149" s="14">
        <f t="shared" si="209"/>
        <v>236754.53999999948</v>
      </c>
      <c r="AU149" s="188">
        <f>IF(W149&lt;=0,0,+($O$5+AV148)*$AQ$2/12)</f>
        <v>1134.9946465383989</v>
      </c>
      <c r="AV149" s="188">
        <f t="shared" si="210"/>
        <v>129422.85326189795</v>
      </c>
    </row>
    <row r="150" spans="1:48">
      <c r="A150" s="395">
        <f t="shared" si="169"/>
        <v>49890</v>
      </c>
      <c r="B150" s="188">
        <f t="shared" si="204"/>
        <v>105396.04999999996</v>
      </c>
      <c r="C150" s="14">
        <f t="shared" si="197"/>
        <v>559.88</v>
      </c>
      <c r="D150" s="14">
        <f t="shared" si="211"/>
        <v>164.64</v>
      </c>
      <c r="E150" s="14">
        <f t="shared" si="198"/>
        <v>395.24</v>
      </c>
      <c r="F150" s="14">
        <f t="shared" si="158"/>
        <v>51.5</v>
      </c>
      <c r="G150" s="14">
        <f t="shared" si="155"/>
        <v>145.09666666666666</v>
      </c>
      <c r="H150" s="14">
        <f t="shared" si="156"/>
        <v>756.47666666666669</v>
      </c>
      <c r="I150" s="188">
        <f t="shared" si="170"/>
        <v>17941.760000000002</v>
      </c>
      <c r="J150" s="188">
        <f t="shared" si="171"/>
        <v>58102.209999999977</v>
      </c>
      <c r="K150" s="188">
        <f t="shared" si="172"/>
        <v>105231.40999999996</v>
      </c>
      <c r="L150" s="317">
        <f t="shared" si="143"/>
        <v>10</v>
      </c>
      <c r="M150" s="317">
        <f>IF(N150&lt;&gt;"",IF(N150=$O$5,0,+M149+1),0)</f>
        <v>122</v>
      </c>
      <c r="N150" s="188">
        <f t="shared" si="205"/>
        <v>287663.24</v>
      </c>
      <c r="O150" s="188">
        <f>IF($O$11&lt;=A150,IF(+$W149&lt;=0,0,$O$8),0)</f>
        <v>2504.4299999999998</v>
      </c>
      <c r="P150" s="188">
        <f t="shared" si="212"/>
        <v>466.81999999999994</v>
      </c>
      <c r="Q150" s="188">
        <f>IF($O$11&lt;=A150,ROUND(N150*($O$7/12),2),0)</f>
        <v>2037.61</v>
      </c>
      <c r="R150" s="188">
        <f t="shared" si="161"/>
        <v>51.5</v>
      </c>
      <c r="S150" s="188">
        <f t="shared" si="162"/>
        <v>145.09666666666666</v>
      </c>
      <c r="T150" s="188">
        <f t="shared" si="159"/>
        <v>2701.0266666666666</v>
      </c>
      <c r="U150" s="188">
        <f t="shared" si="213"/>
        <v>38513.579999999973</v>
      </c>
      <c r="V150" s="188">
        <f t="shared" si="214"/>
        <v>269531.30999999988</v>
      </c>
      <c r="W150" s="188">
        <f t="shared" si="173"/>
        <v>287196.42</v>
      </c>
      <c r="X150" s="395">
        <f t="shared" si="206"/>
        <v>49890</v>
      </c>
      <c r="Y150" s="188">
        <f t="shared" si="174"/>
        <v>287663.24</v>
      </c>
      <c r="Z150" s="388">
        <f t="shared" si="199"/>
        <v>8.4999999999999992E-2</v>
      </c>
      <c r="AA150" s="188">
        <f t="shared" si="200"/>
        <v>2504.4299999999998</v>
      </c>
      <c r="AB150" s="188">
        <f t="shared" si="175"/>
        <v>466.81999999999994</v>
      </c>
      <c r="AC150" s="188">
        <f t="shared" si="201"/>
        <v>2037.61</v>
      </c>
      <c r="AD150" s="188">
        <f t="shared" ref="AD150:AE150" si="219">+AD149</f>
        <v>51.5</v>
      </c>
      <c r="AE150" s="188">
        <f t="shared" si="219"/>
        <v>145.09666666666666</v>
      </c>
      <c r="AF150" s="188">
        <f t="shared" si="177"/>
        <v>2701.0266666666666</v>
      </c>
      <c r="AG150" s="188">
        <f t="shared" si="178"/>
        <v>38513.579999999973</v>
      </c>
      <c r="AH150" s="188">
        <f t="shared" si="179"/>
        <v>269531.30999999988</v>
      </c>
      <c r="AI150" s="404">
        <f t="shared" si="164"/>
        <v>0</v>
      </c>
      <c r="AJ150" s="404">
        <f t="shared" si="123"/>
        <v>0</v>
      </c>
      <c r="AK150" s="404">
        <f t="shared" si="165"/>
        <v>0</v>
      </c>
      <c r="AL150" s="188">
        <f t="shared" si="180"/>
        <v>287196.42</v>
      </c>
      <c r="AM150" s="317">
        <f t="shared" si="208"/>
        <v>10</v>
      </c>
      <c r="AN150" s="14">
        <f t="shared" si="166"/>
        <v>1944.5499999999997</v>
      </c>
      <c r="AO150" s="14">
        <f>IF(W150&lt;=0,0,+$AA$6-$C$2+I150-U150)</f>
        <v>182425.18000000005</v>
      </c>
      <c r="AP150" s="14">
        <f t="shared" si="167"/>
        <v>1944.5499999999997</v>
      </c>
      <c r="AS150" s="14">
        <f t="shared" si="203"/>
        <v>1944.5499999999997</v>
      </c>
      <c r="AT150" s="14">
        <f t="shared" si="209"/>
        <v>238699.08999999947</v>
      </c>
      <c r="AU150" s="188">
        <f>IF(W150&lt;=0,0,+($O$5+AV149)*$AQ$2/12)</f>
        <v>1137.8321331547447</v>
      </c>
      <c r="AV150" s="188">
        <f t="shared" si="210"/>
        <v>130560.6853950527</v>
      </c>
    </row>
    <row r="151" spans="1:48">
      <c r="A151" s="395">
        <f t="shared" si="169"/>
        <v>49920</v>
      </c>
      <c r="B151" s="188">
        <f t="shared" si="204"/>
        <v>105231.40999999996</v>
      </c>
      <c r="C151" s="14">
        <f t="shared" si="197"/>
        <v>559.88</v>
      </c>
      <c r="D151" s="14">
        <f t="shared" si="211"/>
        <v>165.26</v>
      </c>
      <c r="E151" s="14">
        <f t="shared" si="198"/>
        <v>394.62</v>
      </c>
      <c r="F151" s="14">
        <f t="shared" si="158"/>
        <v>51.5</v>
      </c>
      <c r="G151" s="14">
        <f t="shared" si="155"/>
        <v>145.09666666666666</v>
      </c>
      <c r="H151" s="14">
        <f t="shared" si="156"/>
        <v>756.47666666666669</v>
      </c>
      <c r="I151" s="188">
        <f t="shared" si="170"/>
        <v>18107.02</v>
      </c>
      <c r="J151" s="188">
        <f t="shared" si="171"/>
        <v>58496.82999999998</v>
      </c>
      <c r="K151" s="188">
        <f t="shared" si="172"/>
        <v>105066.14999999997</v>
      </c>
      <c r="L151" s="317">
        <f t="shared" si="143"/>
        <v>10</v>
      </c>
      <c r="M151" s="317">
        <f>IF(N151&lt;&gt;"",IF(N151=$O$5,0,+M150+1),0)</f>
        <v>123</v>
      </c>
      <c r="N151" s="188">
        <f t="shared" si="205"/>
        <v>287196.42</v>
      </c>
      <c r="O151" s="188">
        <f>IF($O$11&lt;=A151,IF(+$W150&lt;=0,0,$O$8),0)</f>
        <v>2504.4299999999998</v>
      </c>
      <c r="P151" s="188">
        <f t="shared" si="212"/>
        <v>470.11999999999989</v>
      </c>
      <c r="Q151" s="188">
        <f>IF($O$11&lt;=A151,ROUND(N151*($O$7/12),2),0)</f>
        <v>2034.31</v>
      </c>
      <c r="R151" s="188">
        <f t="shared" si="161"/>
        <v>51.5</v>
      </c>
      <c r="S151" s="188">
        <f t="shared" si="162"/>
        <v>145.09666666666666</v>
      </c>
      <c r="T151" s="188">
        <f t="shared" si="159"/>
        <v>2701.0266666666666</v>
      </c>
      <c r="U151" s="188">
        <f t="shared" si="213"/>
        <v>38983.699999999975</v>
      </c>
      <c r="V151" s="188">
        <f t="shared" si="214"/>
        <v>271565.61999999988</v>
      </c>
      <c r="W151" s="188">
        <f t="shared" si="173"/>
        <v>286726.3</v>
      </c>
      <c r="X151" s="395">
        <f t="shared" si="206"/>
        <v>49920</v>
      </c>
      <c r="Y151" s="188">
        <f t="shared" si="174"/>
        <v>287196.42</v>
      </c>
      <c r="Z151" s="388">
        <f t="shared" si="199"/>
        <v>8.4999999999999992E-2</v>
      </c>
      <c r="AA151" s="188">
        <f t="shared" si="200"/>
        <v>2504.4299999999998</v>
      </c>
      <c r="AB151" s="188">
        <f t="shared" si="175"/>
        <v>470.11999999999989</v>
      </c>
      <c r="AC151" s="188">
        <f t="shared" si="201"/>
        <v>2034.31</v>
      </c>
      <c r="AD151" s="188">
        <f t="shared" ref="AD151:AE151" si="220">+AD150</f>
        <v>51.5</v>
      </c>
      <c r="AE151" s="188">
        <f t="shared" si="220"/>
        <v>145.09666666666666</v>
      </c>
      <c r="AF151" s="188">
        <f t="shared" si="177"/>
        <v>2701.0266666666666</v>
      </c>
      <c r="AG151" s="188">
        <f t="shared" si="178"/>
        <v>38983.699999999975</v>
      </c>
      <c r="AH151" s="188">
        <f t="shared" si="179"/>
        <v>271565.61999999988</v>
      </c>
      <c r="AI151" s="404">
        <f t="shared" si="164"/>
        <v>0</v>
      </c>
      <c r="AJ151" s="404">
        <f t="shared" si="123"/>
        <v>0</v>
      </c>
      <c r="AK151" s="404">
        <f t="shared" si="165"/>
        <v>0</v>
      </c>
      <c r="AL151" s="188">
        <f t="shared" si="180"/>
        <v>286726.3</v>
      </c>
      <c r="AM151" s="317">
        <f t="shared" si="208"/>
        <v>10</v>
      </c>
      <c r="AN151" s="14">
        <f t="shared" si="166"/>
        <v>1944.5499999999997</v>
      </c>
      <c r="AO151" s="14">
        <f>IF(W151&lt;=0,0,+$AA$6-$C$2+I151-U151)</f>
        <v>182120.32000000001</v>
      </c>
      <c r="AP151" s="14">
        <f t="shared" si="167"/>
        <v>1944.5499999999997</v>
      </c>
      <c r="AS151" s="14">
        <f t="shared" si="203"/>
        <v>1944.5499999999997</v>
      </c>
      <c r="AT151" s="14">
        <f t="shared" si="209"/>
        <v>240643.63999999946</v>
      </c>
      <c r="AU151" s="188">
        <f>IF(W151&lt;=0,0,+($O$5+AV150)*$AQ$2/12)</f>
        <v>1140.6767134876318</v>
      </c>
      <c r="AV151" s="188">
        <f t="shared" si="210"/>
        <v>131701.36210854034</v>
      </c>
    </row>
    <row r="152" spans="1:48">
      <c r="A152" s="395">
        <f t="shared" si="169"/>
        <v>49950</v>
      </c>
      <c r="B152" s="188">
        <f t="shared" si="204"/>
        <v>105066.14999999997</v>
      </c>
      <c r="C152" s="14">
        <f t="shared" si="197"/>
        <v>559.88</v>
      </c>
      <c r="D152" s="14">
        <f t="shared" si="211"/>
        <v>165.88</v>
      </c>
      <c r="E152" s="14">
        <f t="shared" si="198"/>
        <v>394</v>
      </c>
      <c r="F152" s="14">
        <f t="shared" si="158"/>
        <v>51.5</v>
      </c>
      <c r="G152" s="14">
        <f t="shared" si="155"/>
        <v>145.09666666666666</v>
      </c>
      <c r="H152" s="14">
        <f t="shared" si="156"/>
        <v>756.47666666666669</v>
      </c>
      <c r="I152" s="188">
        <f t="shared" si="170"/>
        <v>18272.900000000001</v>
      </c>
      <c r="J152" s="188">
        <f t="shared" si="171"/>
        <v>58890.82999999998</v>
      </c>
      <c r="K152" s="188">
        <f t="shared" si="172"/>
        <v>104900.26999999996</v>
      </c>
      <c r="L152" s="317">
        <f t="shared" si="143"/>
        <v>10</v>
      </c>
      <c r="M152" s="317">
        <f>IF(N152&lt;&gt;"",IF(N152=$O$5,0,+M151+1),0)</f>
        <v>124</v>
      </c>
      <c r="N152" s="188">
        <f t="shared" si="205"/>
        <v>286726.3</v>
      </c>
      <c r="O152" s="188">
        <f>IF($O$11&lt;=A152,IF(+$W151&lt;=0,0,$O$8),0)</f>
        <v>2504.4299999999998</v>
      </c>
      <c r="P152" s="188">
        <f t="shared" si="212"/>
        <v>473.44999999999982</v>
      </c>
      <c r="Q152" s="188">
        <f>IF($O$11&lt;=A152,ROUND(N152*($O$7/12),2),0)</f>
        <v>2030.98</v>
      </c>
      <c r="R152" s="188">
        <f t="shared" si="161"/>
        <v>51.5</v>
      </c>
      <c r="S152" s="188">
        <f t="shared" si="162"/>
        <v>145.09666666666666</v>
      </c>
      <c r="T152" s="188">
        <f t="shared" si="159"/>
        <v>2701.0266666666666</v>
      </c>
      <c r="U152" s="188">
        <f t="shared" si="213"/>
        <v>39457.149999999972</v>
      </c>
      <c r="V152" s="188">
        <f t="shared" si="214"/>
        <v>273596.59999999986</v>
      </c>
      <c r="W152" s="188">
        <f t="shared" si="173"/>
        <v>286252.84999999998</v>
      </c>
      <c r="X152" s="395">
        <f t="shared" si="206"/>
        <v>49950</v>
      </c>
      <c r="Y152" s="188">
        <f t="shared" si="174"/>
        <v>286726.3</v>
      </c>
      <c r="Z152" s="388">
        <f t="shared" si="199"/>
        <v>8.4999999999999992E-2</v>
      </c>
      <c r="AA152" s="188">
        <f t="shared" si="200"/>
        <v>2504.4299999999998</v>
      </c>
      <c r="AB152" s="188">
        <f t="shared" si="175"/>
        <v>473.44999999999982</v>
      </c>
      <c r="AC152" s="188">
        <f t="shared" si="201"/>
        <v>2030.98</v>
      </c>
      <c r="AD152" s="188">
        <f t="shared" ref="AD152:AE152" si="221">+AD151</f>
        <v>51.5</v>
      </c>
      <c r="AE152" s="188">
        <f t="shared" si="221"/>
        <v>145.09666666666666</v>
      </c>
      <c r="AF152" s="188">
        <f t="shared" si="177"/>
        <v>2701.0266666666666</v>
      </c>
      <c r="AG152" s="188">
        <f t="shared" si="178"/>
        <v>39457.149999999972</v>
      </c>
      <c r="AH152" s="188">
        <f t="shared" si="179"/>
        <v>273596.59999999986</v>
      </c>
      <c r="AI152" s="404">
        <f t="shared" si="164"/>
        <v>0</v>
      </c>
      <c r="AJ152" s="404">
        <f t="shared" si="123"/>
        <v>0</v>
      </c>
      <c r="AK152" s="404">
        <f t="shared" si="165"/>
        <v>0</v>
      </c>
      <c r="AL152" s="188">
        <f t="shared" si="180"/>
        <v>286252.84999999998</v>
      </c>
      <c r="AM152" s="317">
        <f t="shared" si="208"/>
        <v>10</v>
      </c>
      <c r="AN152" s="14">
        <f t="shared" si="166"/>
        <v>1944.5499999999997</v>
      </c>
      <c r="AO152" s="14">
        <f>IF(W152&lt;=0,0,+$AA$6-$C$2+I152-U152)</f>
        <v>181812.75000000003</v>
      </c>
      <c r="AP152" s="14">
        <f t="shared" si="167"/>
        <v>1944.5499999999997</v>
      </c>
      <c r="AS152" s="14">
        <f t="shared" si="203"/>
        <v>1944.5499999999997</v>
      </c>
      <c r="AT152" s="14">
        <f t="shared" si="209"/>
        <v>242588.18999999945</v>
      </c>
      <c r="AU152" s="188">
        <f>IF(W152&lt;=0,0,+($O$5+AV151)*$AQ$2/12)</f>
        <v>1143.5284052713509</v>
      </c>
      <c r="AV152" s="188">
        <f t="shared" si="210"/>
        <v>132844.8905138117</v>
      </c>
    </row>
    <row r="153" spans="1:48">
      <c r="A153" s="395">
        <f t="shared" si="169"/>
        <v>49980</v>
      </c>
      <c r="B153" s="188">
        <f t="shared" si="204"/>
        <v>104900.26999999996</v>
      </c>
      <c r="C153" s="14">
        <f t="shared" si="197"/>
        <v>559.88</v>
      </c>
      <c r="D153" s="14">
        <f t="shared" si="211"/>
        <v>166.5</v>
      </c>
      <c r="E153" s="14">
        <f t="shared" si="198"/>
        <v>393.38</v>
      </c>
      <c r="F153" s="14">
        <f t="shared" si="158"/>
        <v>51.5</v>
      </c>
      <c r="G153" s="14">
        <f t="shared" si="155"/>
        <v>145.09666666666666</v>
      </c>
      <c r="H153" s="14">
        <f t="shared" si="156"/>
        <v>756.47666666666669</v>
      </c>
      <c r="I153" s="188">
        <f t="shared" si="170"/>
        <v>18439.400000000001</v>
      </c>
      <c r="J153" s="188">
        <f t="shared" si="171"/>
        <v>59284.209999999977</v>
      </c>
      <c r="K153" s="188">
        <f t="shared" si="172"/>
        <v>104733.76999999996</v>
      </c>
      <c r="L153" s="317">
        <f t="shared" si="143"/>
        <v>10</v>
      </c>
      <c r="M153" s="317">
        <f>IF(N153&lt;&gt;"",IF(N153=$O$5,0,+M152+1),0)</f>
        <v>125</v>
      </c>
      <c r="N153" s="188">
        <f t="shared" si="205"/>
        <v>286252.84999999998</v>
      </c>
      <c r="O153" s="188">
        <f>IF($O$11&lt;=A153,IF(+$W152&lt;=0,0,$O$8),0)</f>
        <v>2504.4299999999998</v>
      </c>
      <c r="P153" s="188">
        <f t="shared" si="212"/>
        <v>476.80999999999995</v>
      </c>
      <c r="Q153" s="188">
        <f>IF($O$11&lt;=A153,ROUND(N153*($O$7/12),2),0)</f>
        <v>2027.62</v>
      </c>
      <c r="R153" s="188">
        <f t="shared" si="161"/>
        <v>51.5</v>
      </c>
      <c r="S153" s="188">
        <f t="shared" si="162"/>
        <v>145.09666666666666</v>
      </c>
      <c r="T153" s="188">
        <f t="shared" si="159"/>
        <v>2701.0266666666666</v>
      </c>
      <c r="U153" s="188">
        <f t="shared" si="213"/>
        <v>39933.95999999997</v>
      </c>
      <c r="V153" s="188">
        <f t="shared" si="214"/>
        <v>275624.21999999986</v>
      </c>
      <c r="W153" s="188">
        <f t="shared" si="173"/>
        <v>285776.03999999998</v>
      </c>
      <c r="X153" s="395">
        <f t="shared" si="206"/>
        <v>49980</v>
      </c>
      <c r="Y153" s="188">
        <f t="shared" si="174"/>
        <v>286252.84999999998</v>
      </c>
      <c r="Z153" s="388">
        <f t="shared" si="199"/>
        <v>8.4999999999999992E-2</v>
      </c>
      <c r="AA153" s="188">
        <f t="shared" si="200"/>
        <v>2504.4299999999998</v>
      </c>
      <c r="AB153" s="188">
        <f t="shared" si="175"/>
        <v>476.80999999999995</v>
      </c>
      <c r="AC153" s="188">
        <f t="shared" si="201"/>
        <v>2027.62</v>
      </c>
      <c r="AD153" s="188">
        <f t="shared" ref="AD153:AE153" si="222">+AD152</f>
        <v>51.5</v>
      </c>
      <c r="AE153" s="188">
        <f t="shared" si="222"/>
        <v>145.09666666666666</v>
      </c>
      <c r="AF153" s="188">
        <f t="shared" si="177"/>
        <v>2701.0266666666666</v>
      </c>
      <c r="AG153" s="188">
        <f t="shared" si="178"/>
        <v>39933.95999999997</v>
      </c>
      <c r="AH153" s="188">
        <f t="shared" si="179"/>
        <v>275624.21999999986</v>
      </c>
      <c r="AI153" s="404">
        <f t="shared" si="164"/>
        <v>0</v>
      </c>
      <c r="AJ153" s="404">
        <f t="shared" si="123"/>
        <v>0</v>
      </c>
      <c r="AK153" s="404">
        <f t="shared" si="165"/>
        <v>0</v>
      </c>
      <c r="AL153" s="188">
        <f t="shared" si="180"/>
        <v>285776.03999999998</v>
      </c>
      <c r="AM153" s="317">
        <f t="shared" si="208"/>
        <v>10</v>
      </c>
      <c r="AN153" s="14">
        <f t="shared" si="166"/>
        <v>1944.5499999999997</v>
      </c>
      <c r="AO153" s="14">
        <f>IF(W153&lt;=0,0,+$AA$6-$C$2+I153-U153)</f>
        <v>181502.44000000003</v>
      </c>
      <c r="AP153" s="14">
        <f t="shared" si="167"/>
        <v>1944.5499999999997</v>
      </c>
      <c r="AS153" s="14">
        <f t="shared" si="203"/>
        <v>1944.5499999999997</v>
      </c>
      <c r="AT153" s="14">
        <f t="shared" si="209"/>
        <v>244532.73999999944</v>
      </c>
      <c r="AU153" s="188">
        <f>IF(W153&lt;=0,0,+($O$5+AV152)*$AQ$2/12)</f>
        <v>1146.3872262845293</v>
      </c>
      <c r="AV153" s="188">
        <f t="shared" si="210"/>
        <v>133991.27774009624</v>
      </c>
    </row>
    <row r="154" spans="1:48">
      <c r="A154" s="395">
        <f t="shared" si="169"/>
        <v>50010</v>
      </c>
      <c r="B154" s="188">
        <f t="shared" si="204"/>
        <v>104733.76999999996</v>
      </c>
      <c r="C154" s="14">
        <f t="shared" si="197"/>
        <v>559.88</v>
      </c>
      <c r="D154" s="14">
        <f t="shared" si="211"/>
        <v>167.13</v>
      </c>
      <c r="E154" s="14">
        <f t="shared" si="198"/>
        <v>392.75</v>
      </c>
      <c r="F154" s="14">
        <f t="shared" si="158"/>
        <v>51.5</v>
      </c>
      <c r="G154" s="14">
        <f t="shared" si="155"/>
        <v>145.09666666666666</v>
      </c>
      <c r="H154" s="14">
        <f t="shared" si="156"/>
        <v>756.47666666666669</v>
      </c>
      <c r="I154" s="188">
        <f t="shared" si="170"/>
        <v>18606.530000000002</v>
      </c>
      <c r="J154" s="188">
        <f t="shared" si="171"/>
        <v>59676.959999999977</v>
      </c>
      <c r="K154" s="188">
        <f t="shared" si="172"/>
        <v>104566.63999999996</v>
      </c>
      <c r="L154" s="317">
        <f t="shared" si="143"/>
        <v>10</v>
      </c>
      <c r="M154" s="317">
        <f>IF(N154&lt;&gt;"",IF(N154=$O$5,0,+M153+1),0)</f>
        <v>126</v>
      </c>
      <c r="N154" s="188">
        <f t="shared" si="205"/>
        <v>285776.03999999998</v>
      </c>
      <c r="O154" s="188">
        <f>IF($O$11&lt;=A154,IF(+$W153&lt;=0,0,$O$8),0)</f>
        <v>2504.4299999999998</v>
      </c>
      <c r="P154" s="188">
        <f t="shared" si="212"/>
        <v>480.17999999999984</v>
      </c>
      <c r="Q154" s="188">
        <f>IF($O$11&lt;=A154,ROUND(N154*($O$7/12),2),0)</f>
        <v>2024.25</v>
      </c>
      <c r="R154" s="188">
        <f t="shared" si="161"/>
        <v>51.5</v>
      </c>
      <c r="S154" s="188">
        <f t="shared" si="162"/>
        <v>145.09666666666666</v>
      </c>
      <c r="T154" s="188">
        <f t="shared" si="159"/>
        <v>2701.0266666666666</v>
      </c>
      <c r="U154" s="188">
        <f t="shared" si="213"/>
        <v>40414.13999999997</v>
      </c>
      <c r="V154" s="188">
        <f t="shared" si="214"/>
        <v>277648.46999999986</v>
      </c>
      <c r="W154" s="188">
        <f t="shared" si="173"/>
        <v>285295.86</v>
      </c>
      <c r="X154" s="395">
        <f t="shared" si="206"/>
        <v>50010</v>
      </c>
      <c r="Y154" s="188">
        <f t="shared" si="174"/>
        <v>285776.03999999998</v>
      </c>
      <c r="Z154" s="388">
        <f t="shared" si="199"/>
        <v>8.4999999999999992E-2</v>
      </c>
      <c r="AA154" s="188">
        <f t="shared" si="200"/>
        <v>2504.4299999999998</v>
      </c>
      <c r="AB154" s="188">
        <f t="shared" si="175"/>
        <v>480.17999999999984</v>
      </c>
      <c r="AC154" s="188">
        <f t="shared" si="201"/>
        <v>2024.25</v>
      </c>
      <c r="AD154" s="188">
        <f t="shared" ref="AD154:AE154" si="223">+AD153</f>
        <v>51.5</v>
      </c>
      <c r="AE154" s="188">
        <f t="shared" si="223"/>
        <v>145.09666666666666</v>
      </c>
      <c r="AF154" s="188">
        <f t="shared" si="177"/>
        <v>2701.0266666666666</v>
      </c>
      <c r="AG154" s="188">
        <f t="shared" si="178"/>
        <v>40414.13999999997</v>
      </c>
      <c r="AH154" s="188">
        <f t="shared" si="179"/>
        <v>277648.46999999986</v>
      </c>
      <c r="AI154" s="404">
        <f t="shared" si="164"/>
        <v>0</v>
      </c>
      <c r="AJ154" s="404">
        <f t="shared" si="123"/>
        <v>0</v>
      </c>
      <c r="AK154" s="404">
        <f t="shared" si="165"/>
        <v>0</v>
      </c>
      <c r="AL154" s="188">
        <f t="shared" si="180"/>
        <v>285295.86</v>
      </c>
      <c r="AM154" s="317">
        <f t="shared" si="208"/>
        <v>10</v>
      </c>
      <c r="AN154" s="14">
        <f t="shared" si="166"/>
        <v>1944.5499999999997</v>
      </c>
      <c r="AO154" s="14">
        <f>IF(W154&lt;=0,0,+$AA$6-$C$2+I154-U154)</f>
        <v>181189.39</v>
      </c>
      <c r="AP154" s="14">
        <f t="shared" si="167"/>
        <v>1944.5499999999997</v>
      </c>
      <c r="AS154" s="14">
        <f t="shared" si="203"/>
        <v>1944.5499999999997</v>
      </c>
      <c r="AT154" s="14">
        <f t="shared" si="209"/>
        <v>246477.28999999943</v>
      </c>
      <c r="AU154" s="188">
        <f>IF(W154&lt;=0,0,+($O$5+AV153)*$AQ$2/12)</f>
        <v>1149.2531943502406</v>
      </c>
      <c r="AV154" s="188">
        <f t="shared" si="210"/>
        <v>135140.53093444649</v>
      </c>
    </row>
    <row r="155" spans="1:48">
      <c r="A155" s="395">
        <f t="shared" si="169"/>
        <v>50040</v>
      </c>
      <c r="B155" s="188">
        <f t="shared" si="204"/>
        <v>104566.63999999996</v>
      </c>
      <c r="C155" s="14">
        <f t="shared" si="197"/>
        <v>559.88</v>
      </c>
      <c r="D155" s="14">
        <f t="shared" si="211"/>
        <v>167.76</v>
      </c>
      <c r="E155" s="14">
        <f t="shared" si="198"/>
        <v>392.12</v>
      </c>
      <c r="F155" s="14">
        <f t="shared" si="158"/>
        <v>51.5</v>
      </c>
      <c r="G155" s="14">
        <f t="shared" si="155"/>
        <v>145.09666666666666</v>
      </c>
      <c r="H155" s="14">
        <f t="shared" si="156"/>
        <v>756.47666666666669</v>
      </c>
      <c r="I155" s="188">
        <f t="shared" si="170"/>
        <v>18774.29</v>
      </c>
      <c r="J155" s="188">
        <f t="shared" si="171"/>
        <v>60069.07999999998</v>
      </c>
      <c r="K155" s="188">
        <f t="shared" si="172"/>
        <v>104398.87999999996</v>
      </c>
      <c r="L155" s="317">
        <f t="shared" si="143"/>
        <v>10</v>
      </c>
      <c r="M155" s="317">
        <f>IF(N155&lt;&gt;"",IF(N155=$O$5,0,+M154+1),0)</f>
        <v>127</v>
      </c>
      <c r="N155" s="188">
        <f t="shared" si="205"/>
        <v>285295.86</v>
      </c>
      <c r="O155" s="188">
        <f>IF($O$11&lt;=A155,IF(+$W154&lt;=0,0,$O$8),0)</f>
        <v>2504.4299999999998</v>
      </c>
      <c r="P155" s="188">
        <f t="shared" si="212"/>
        <v>483.57999999999993</v>
      </c>
      <c r="Q155" s="188">
        <f>IF($O$11&lt;=A155,ROUND(N155*($O$7/12),2),0)</f>
        <v>2020.85</v>
      </c>
      <c r="R155" s="188">
        <f t="shared" si="161"/>
        <v>51.5</v>
      </c>
      <c r="S155" s="188">
        <f t="shared" si="162"/>
        <v>145.09666666666666</v>
      </c>
      <c r="T155" s="188">
        <f t="shared" si="159"/>
        <v>2701.0266666666666</v>
      </c>
      <c r="U155" s="188">
        <f t="shared" si="213"/>
        <v>40897.719999999972</v>
      </c>
      <c r="V155" s="188">
        <f t="shared" si="214"/>
        <v>279669.31999999983</v>
      </c>
      <c r="W155" s="188">
        <f t="shared" si="173"/>
        <v>284812.27999999997</v>
      </c>
      <c r="X155" s="395">
        <f t="shared" si="206"/>
        <v>50040</v>
      </c>
      <c r="Y155" s="188">
        <f t="shared" si="174"/>
        <v>285295.86</v>
      </c>
      <c r="Z155" s="388">
        <f t="shared" si="199"/>
        <v>8.4999999999999992E-2</v>
      </c>
      <c r="AA155" s="188">
        <f t="shared" si="200"/>
        <v>2504.4299999999998</v>
      </c>
      <c r="AB155" s="188">
        <f t="shared" si="175"/>
        <v>483.57999999999993</v>
      </c>
      <c r="AC155" s="188">
        <f t="shared" si="201"/>
        <v>2020.85</v>
      </c>
      <c r="AD155" s="188">
        <f t="shared" ref="AD155:AE155" si="224">+AD154</f>
        <v>51.5</v>
      </c>
      <c r="AE155" s="188">
        <f t="shared" si="224"/>
        <v>145.09666666666666</v>
      </c>
      <c r="AF155" s="188">
        <f t="shared" si="177"/>
        <v>2701.0266666666666</v>
      </c>
      <c r="AG155" s="188">
        <f t="shared" si="178"/>
        <v>40897.719999999972</v>
      </c>
      <c r="AH155" s="188">
        <f t="shared" si="179"/>
        <v>279669.31999999983</v>
      </c>
      <c r="AI155" s="404">
        <f t="shared" si="164"/>
        <v>0</v>
      </c>
      <c r="AJ155" s="404">
        <f t="shared" si="123"/>
        <v>0</v>
      </c>
      <c r="AK155" s="404">
        <f t="shared" si="165"/>
        <v>0</v>
      </c>
      <c r="AL155" s="188">
        <f t="shared" si="180"/>
        <v>284812.27999999997</v>
      </c>
      <c r="AM155" s="317">
        <f t="shared" si="208"/>
        <v>10</v>
      </c>
      <c r="AN155" s="14">
        <f t="shared" si="166"/>
        <v>1944.5499999999997</v>
      </c>
      <c r="AO155" s="14">
        <f>IF(W155&lt;=0,0,+$AA$6-$C$2+I155-U155)</f>
        <v>180873.57000000004</v>
      </c>
      <c r="AP155" s="14">
        <f t="shared" si="167"/>
        <v>1944.5499999999997</v>
      </c>
      <c r="AS155" s="14">
        <f t="shared" si="203"/>
        <v>1944.5499999999997</v>
      </c>
      <c r="AT155" s="14">
        <f t="shared" si="209"/>
        <v>248421.83999999941</v>
      </c>
      <c r="AU155" s="188">
        <f>IF(W155&lt;=0,0,+($O$5+AV154)*$AQ$2/12)</f>
        <v>1152.1263273361162</v>
      </c>
      <c r="AV155" s="188">
        <f t="shared" si="210"/>
        <v>136292.65726178262</v>
      </c>
    </row>
    <row r="156" spans="1:48">
      <c r="A156" s="395">
        <f t="shared" si="169"/>
        <v>50070</v>
      </c>
      <c r="B156" s="188">
        <f t="shared" si="204"/>
        <v>104398.87999999996</v>
      </c>
      <c r="C156" s="14">
        <f t="shared" si="197"/>
        <v>559.88</v>
      </c>
      <c r="D156" s="14">
        <f t="shared" si="211"/>
        <v>168.38</v>
      </c>
      <c r="E156" s="14">
        <f t="shared" si="198"/>
        <v>391.5</v>
      </c>
      <c r="F156" s="14">
        <f t="shared" si="158"/>
        <v>51.5</v>
      </c>
      <c r="G156" s="14">
        <f t="shared" si="155"/>
        <v>145.09666666666666</v>
      </c>
      <c r="H156" s="14">
        <f t="shared" si="156"/>
        <v>756.47666666666669</v>
      </c>
      <c r="I156" s="188">
        <f t="shared" si="170"/>
        <v>18942.670000000002</v>
      </c>
      <c r="J156" s="188">
        <f t="shared" si="171"/>
        <v>60460.57999999998</v>
      </c>
      <c r="K156" s="188">
        <f t="shared" si="172"/>
        <v>104230.49999999996</v>
      </c>
      <c r="L156" s="317">
        <f t="shared" si="143"/>
        <v>10</v>
      </c>
      <c r="M156" s="317">
        <f>IF(N156&lt;&gt;"",IF(N156=$O$5,0,+M155+1),0)</f>
        <v>128</v>
      </c>
      <c r="N156" s="188">
        <f t="shared" si="205"/>
        <v>284812.27999999997</v>
      </c>
      <c r="O156" s="188">
        <f>IF($O$11&lt;=A156,IF(+$W155&lt;=0,0,$O$8),0)</f>
        <v>2504.4299999999998</v>
      </c>
      <c r="P156" s="188">
        <f t="shared" si="212"/>
        <v>487.00999999999976</v>
      </c>
      <c r="Q156" s="188">
        <f>IF($O$11&lt;=A156,ROUND(N156*($O$7/12),2),0)</f>
        <v>2017.42</v>
      </c>
      <c r="R156" s="188">
        <f t="shared" si="161"/>
        <v>51.5</v>
      </c>
      <c r="S156" s="188">
        <f t="shared" si="162"/>
        <v>145.09666666666666</v>
      </c>
      <c r="T156" s="188">
        <f t="shared" si="159"/>
        <v>2701.0266666666666</v>
      </c>
      <c r="U156" s="188">
        <f t="shared" si="213"/>
        <v>41384.729999999974</v>
      </c>
      <c r="V156" s="188">
        <f t="shared" si="214"/>
        <v>281686.73999999982</v>
      </c>
      <c r="W156" s="188">
        <f t="shared" si="173"/>
        <v>284325.26999999996</v>
      </c>
      <c r="X156" s="395">
        <f t="shared" si="206"/>
        <v>50070</v>
      </c>
      <c r="Y156" s="188">
        <f t="shared" si="174"/>
        <v>284812.27999999997</v>
      </c>
      <c r="Z156" s="388">
        <f t="shared" si="199"/>
        <v>8.4999999999999992E-2</v>
      </c>
      <c r="AA156" s="188">
        <f t="shared" si="200"/>
        <v>2504.4299999999998</v>
      </c>
      <c r="AB156" s="188">
        <f t="shared" si="175"/>
        <v>487.00999999999976</v>
      </c>
      <c r="AC156" s="188">
        <f t="shared" si="201"/>
        <v>2017.42</v>
      </c>
      <c r="AD156" s="188">
        <f t="shared" ref="AD156:AE156" si="225">+AD155</f>
        <v>51.5</v>
      </c>
      <c r="AE156" s="188">
        <f t="shared" si="225"/>
        <v>145.09666666666666</v>
      </c>
      <c r="AF156" s="188">
        <f t="shared" si="177"/>
        <v>2701.0266666666666</v>
      </c>
      <c r="AG156" s="188">
        <f t="shared" si="178"/>
        <v>41384.729999999974</v>
      </c>
      <c r="AH156" s="188">
        <f t="shared" si="179"/>
        <v>281686.73999999982</v>
      </c>
      <c r="AI156" s="404">
        <f t="shared" si="164"/>
        <v>0</v>
      </c>
      <c r="AJ156" s="404">
        <f t="shared" ref="AJ156:AJ219" si="226">+W156-AL156</f>
        <v>0</v>
      </c>
      <c r="AK156" s="404">
        <f t="shared" si="165"/>
        <v>0</v>
      </c>
      <c r="AL156" s="188">
        <f t="shared" si="180"/>
        <v>284325.26999999996</v>
      </c>
      <c r="AM156" s="317">
        <f t="shared" si="208"/>
        <v>10</v>
      </c>
      <c r="AN156" s="14">
        <f t="shared" si="166"/>
        <v>1944.5499999999997</v>
      </c>
      <c r="AO156" s="14">
        <f>IF(W156&lt;=0,0,+$AA$6-$C$2+I156-U156)</f>
        <v>180554.94000000003</v>
      </c>
      <c r="AP156" s="14">
        <f t="shared" si="167"/>
        <v>1944.5499999999997</v>
      </c>
      <c r="AS156" s="14">
        <f t="shared" si="203"/>
        <v>1944.5499999999997</v>
      </c>
      <c r="AT156" s="14">
        <f t="shared" si="209"/>
        <v>250366.3899999994</v>
      </c>
      <c r="AU156" s="188">
        <f>IF(W156&lt;=0,0,+($O$5+AV155)*$AQ$2/12)</f>
        <v>1155.0066431544565</v>
      </c>
      <c r="AV156" s="188">
        <f t="shared" si="210"/>
        <v>137447.66390493707</v>
      </c>
    </row>
    <row r="157" spans="1:48">
      <c r="A157" s="395">
        <f t="shared" si="169"/>
        <v>50100</v>
      </c>
      <c r="B157" s="188">
        <f t="shared" si="204"/>
        <v>104230.49999999996</v>
      </c>
      <c r="C157" s="14">
        <f t="shared" si="197"/>
        <v>559.88</v>
      </c>
      <c r="D157" s="14">
        <f t="shared" si="211"/>
        <v>169.01999999999998</v>
      </c>
      <c r="E157" s="14">
        <f t="shared" si="198"/>
        <v>390.86</v>
      </c>
      <c r="F157" s="14">
        <f t="shared" si="158"/>
        <v>51.5</v>
      </c>
      <c r="G157" s="14">
        <f t="shared" si="155"/>
        <v>145.09666666666666</v>
      </c>
      <c r="H157" s="14">
        <f t="shared" si="156"/>
        <v>756.47666666666669</v>
      </c>
      <c r="I157" s="188">
        <f t="shared" si="170"/>
        <v>19111.690000000002</v>
      </c>
      <c r="J157" s="188">
        <f t="shared" si="171"/>
        <v>60851.439999999981</v>
      </c>
      <c r="K157" s="188">
        <f t="shared" si="172"/>
        <v>104061.47999999995</v>
      </c>
      <c r="L157" s="317">
        <f t="shared" si="143"/>
        <v>10</v>
      </c>
      <c r="M157" s="317">
        <f>IF(N157&lt;&gt;"",IF(N157=$O$5,0,+M156+1),0)</f>
        <v>129</v>
      </c>
      <c r="N157" s="188">
        <f t="shared" si="205"/>
        <v>284325.26999999996</v>
      </c>
      <c r="O157" s="188">
        <f>IF($O$11&lt;=A157,IF(+$W156&lt;=0,0,$O$8),0)</f>
        <v>2504.4299999999998</v>
      </c>
      <c r="P157" s="188">
        <f t="shared" si="212"/>
        <v>490.45999999999981</v>
      </c>
      <c r="Q157" s="188">
        <f>IF($O$11&lt;=A157,ROUND(N157*($O$7/12),2),0)</f>
        <v>2013.97</v>
      </c>
      <c r="R157" s="188">
        <f t="shared" si="161"/>
        <v>51.5</v>
      </c>
      <c r="S157" s="188">
        <f t="shared" si="162"/>
        <v>145.09666666666666</v>
      </c>
      <c r="T157" s="188">
        <f t="shared" si="159"/>
        <v>2701.0266666666666</v>
      </c>
      <c r="U157" s="188">
        <f t="shared" si="213"/>
        <v>41875.189999999973</v>
      </c>
      <c r="V157" s="188">
        <f t="shared" si="214"/>
        <v>283700.70999999979</v>
      </c>
      <c r="W157" s="188">
        <f t="shared" si="173"/>
        <v>283834.80999999994</v>
      </c>
      <c r="X157" s="395">
        <f t="shared" si="206"/>
        <v>50100</v>
      </c>
      <c r="Y157" s="188">
        <f t="shared" si="174"/>
        <v>284325.26999999996</v>
      </c>
      <c r="Z157" s="388">
        <f t="shared" si="199"/>
        <v>8.4999999999999992E-2</v>
      </c>
      <c r="AA157" s="188">
        <f t="shared" si="200"/>
        <v>2504.4299999999998</v>
      </c>
      <c r="AB157" s="188">
        <f t="shared" si="175"/>
        <v>490.45999999999981</v>
      </c>
      <c r="AC157" s="188">
        <f t="shared" si="201"/>
        <v>2013.97</v>
      </c>
      <c r="AD157" s="188">
        <f t="shared" ref="AD157:AE157" si="227">+AD156</f>
        <v>51.5</v>
      </c>
      <c r="AE157" s="188">
        <f t="shared" si="227"/>
        <v>145.09666666666666</v>
      </c>
      <c r="AF157" s="188">
        <f t="shared" si="177"/>
        <v>2701.0266666666666</v>
      </c>
      <c r="AG157" s="188">
        <f t="shared" si="178"/>
        <v>41875.189999999973</v>
      </c>
      <c r="AH157" s="188">
        <f t="shared" si="179"/>
        <v>283700.70999999979</v>
      </c>
      <c r="AI157" s="404">
        <f t="shared" si="164"/>
        <v>0</v>
      </c>
      <c r="AJ157" s="404">
        <f t="shared" si="226"/>
        <v>0</v>
      </c>
      <c r="AK157" s="404">
        <f t="shared" si="165"/>
        <v>0</v>
      </c>
      <c r="AL157" s="188">
        <f t="shared" si="180"/>
        <v>283834.80999999994</v>
      </c>
      <c r="AM157" s="317">
        <f t="shared" si="208"/>
        <v>10</v>
      </c>
      <c r="AN157" s="14">
        <f t="shared" si="166"/>
        <v>1944.5499999999997</v>
      </c>
      <c r="AO157" s="14">
        <f>IF(W157&lt;=0,0,+$AA$6-$C$2+I157-U157)</f>
        <v>180233.50000000003</v>
      </c>
      <c r="AP157" s="14">
        <f t="shared" si="167"/>
        <v>1944.5499999999997</v>
      </c>
      <c r="AS157" s="14">
        <f t="shared" si="203"/>
        <v>1944.5499999999997</v>
      </c>
      <c r="AT157" s="14">
        <f t="shared" si="209"/>
        <v>252310.93999999939</v>
      </c>
      <c r="AU157" s="188">
        <f>IF(W157&lt;=0,0,+($O$5+AV156)*$AQ$2/12)</f>
        <v>1157.8941597623427</v>
      </c>
      <c r="AV157" s="188">
        <f t="shared" si="210"/>
        <v>138605.55806469941</v>
      </c>
    </row>
    <row r="158" spans="1:48">
      <c r="A158" s="395">
        <f t="shared" si="169"/>
        <v>50130</v>
      </c>
      <c r="B158" s="188">
        <f t="shared" si="204"/>
        <v>104061.47999999995</v>
      </c>
      <c r="C158" s="14">
        <f t="shared" si="197"/>
        <v>559.88</v>
      </c>
      <c r="D158" s="14">
        <f t="shared" si="211"/>
        <v>169.64999999999998</v>
      </c>
      <c r="E158" s="14">
        <f t="shared" si="198"/>
        <v>390.23</v>
      </c>
      <c r="F158" s="14">
        <f t="shared" si="158"/>
        <v>51.5</v>
      </c>
      <c r="G158" s="14">
        <f t="shared" si="155"/>
        <v>145.09666666666666</v>
      </c>
      <c r="H158" s="14">
        <f t="shared" si="156"/>
        <v>756.47666666666669</v>
      </c>
      <c r="I158" s="188">
        <f t="shared" si="170"/>
        <v>19281.340000000004</v>
      </c>
      <c r="J158" s="188">
        <f t="shared" si="171"/>
        <v>61241.669999999984</v>
      </c>
      <c r="K158" s="188">
        <f t="shared" si="172"/>
        <v>103891.82999999996</v>
      </c>
      <c r="L158" s="317">
        <f t="shared" si="143"/>
        <v>10</v>
      </c>
      <c r="M158" s="317">
        <f>IF(N158&lt;&gt;"",IF(N158=$O$5,0,+M157+1),0)</f>
        <v>130</v>
      </c>
      <c r="N158" s="188">
        <f t="shared" si="205"/>
        <v>283834.80999999994</v>
      </c>
      <c r="O158" s="188">
        <f>IF($O$11&lt;=A158,IF(+$W157&lt;=0,0,$O$8),0)</f>
        <v>2504.4299999999998</v>
      </c>
      <c r="P158" s="188">
        <f t="shared" si="212"/>
        <v>493.92999999999984</v>
      </c>
      <c r="Q158" s="188">
        <f>IF($O$11&lt;=A158,ROUND(N158*($O$7/12),2),0)</f>
        <v>2010.5</v>
      </c>
      <c r="R158" s="188">
        <f t="shared" si="161"/>
        <v>51.5</v>
      </c>
      <c r="S158" s="188">
        <f t="shared" si="162"/>
        <v>145.09666666666666</v>
      </c>
      <c r="T158" s="188">
        <f t="shared" si="159"/>
        <v>2701.0266666666666</v>
      </c>
      <c r="U158" s="188">
        <f t="shared" si="213"/>
        <v>42369.119999999974</v>
      </c>
      <c r="V158" s="188">
        <f t="shared" si="214"/>
        <v>285711.20999999979</v>
      </c>
      <c r="W158" s="188">
        <f t="shared" si="173"/>
        <v>283340.87999999995</v>
      </c>
      <c r="X158" s="395">
        <f t="shared" si="206"/>
        <v>50130</v>
      </c>
      <c r="Y158" s="188">
        <f t="shared" si="174"/>
        <v>283834.80999999994</v>
      </c>
      <c r="Z158" s="388">
        <f t="shared" si="199"/>
        <v>8.4999999999999992E-2</v>
      </c>
      <c r="AA158" s="188">
        <f t="shared" si="200"/>
        <v>2504.4299999999998</v>
      </c>
      <c r="AB158" s="188">
        <f t="shared" si="175"/>
        <v>493.92999999999984</v>
      </c>
      <c r="AC158" s="188">
        <f t="shared" si="201"/>
        <v>2010.5</v>
      </c>
      <c r="AD158" s="188">
        <f t="shared" ref="AD158:AE158" si="228">+AD157</f>
        <v>51.5</v>
      </c>
      <c r="AE158" s="188">
        <f t="shared" si="228"/>
        <v>145.09666666666666</v>
      </c>
      <c r="AF158" s="188">
        <f t="shared" si="177"/>
        <v>2701.0266666666666</v>
      </c>
      <c r="AG158" s="188">
        <f t="shared" si="178"/>
        <v>42369.119999999974</v>
      </c>
      <c r="AH158" s="188">
        <f t="shared" si="179"/>
        <v>285711.20999999979</v>
      </c>
      <c r="AI158" s="404">
        <f t="shared" si="164"/>
        <v>0</v>
      </c>
      <c r="AJ158" s="404">
        <f t="shared" si="226"/>
        <v>0</v>
      </c>
      <c r="AK158" s="404">
        <f t="shared" si="165"/>
        <v>0</v>
      </c>
      <c r="AL158" s="188">
        <f t="shared" si="180"/>
        <v>283340.87999999995</v>
      </c>
      <c r="AM158" s="317">
        <f t="shared" si="208"/>
        <v>10</v>
      </c>
      <c r="AN158" s="14">
        <f t="shared" si="166"/>
        <v>1944.5499999999997</v>
      </c>
      <c r="AO158" s="14">
        <f>IF(W158&lt;=0,0,+$AA$6-$C$2+I158-U158)</f>
        <v>179909.22000000003</v>
      </c>
      <c r="AP158" s="14">
        <f t="shared" si="167"/>
        <v>1944.5499999999997</v>
      </c>
      <c r="AS158" s="14">
        <f t="shared" si="203"/>
        <v>1944.5499999999997</v>
      </c>
      <c r="AT158" s="14">
        <f t="shared" si="209"/>
        <v>254255.48999999938</v>
      </c>
      <c r="AU158" s="188">
        <f>IF(W158&lt;=0,0,+($O$5+AV157)*$AQ$2/12)</f>
        <v>1160.7888951617485</v>
      </c>
      <c r="AV158" s="188">
        <f t="shared" si="210"/>
        <v>139766.34695986114</v>
      </c>
    </row>
    <row r="159" spans="1:48" ht="15.75" thickBot="1">
      <c r="A159" s="398">
        <f t="shared" si="169"/>
        <v>50160</v>
      </c>
      <c r="B159" s="237">
        <f t="shared" si="204"/>
        <v>103891.82999999996</v>
      </c>
      <c r="C159" s="21">
        <f t="shared" si="197"/>
        <v>559.88</v>
      </c>
      <c r="D159" s="21">
        <f t="shared" si="211"/>
        <v>170.29000000000002</v>
      </c>
      <c r="E159" s="21">
        <f t="shared" si="198"/>
        <v>389.59</v>
      </c>
      <c r="F159" s="21">
        <f t="shared" si="158"/>
        <v>51.5</v>
      </c>
      <c r="G159" s="21">
        <f t="shared" si="155"/>
        <v>145.09666666666666</v>
      </c>
      <c r="H159" s="21">
        <f t="shared" si="156"/>
        <v>756.47666666666669</v>
      </c>
      <c r="I159" s="237">
        <f t="shared" si="170"/>
        <v>19451.630000000005</v>
      </c>
      <c r="J159" s="237">
        <f t="shared" si="171"/>
        <v>61631.25999999998</v>
      </c>
      <c r="K159" s="237">
        <f t="shared" si="172"/>
        <v>103721.53999999996</v>
      </c>
      <c r="L159" s="318">
        <f t="shared" si="143"/>
        <v>10</v>
      </c>
      <c r="M159" s="318">
        <f>IF(N159&lt;&gt;"",IF(N159=$O$5,0,+M158+1),0)</f>
        <v>131</v>
      </c>
      <c r="N159" s="237">
        <f t="shared" si="205"/>
        <v>283340.87999999995</v>
      </c>
      <c r="O159" s="237">
        <f>IF($O$11&lt;=A159,IF(+$W158&lt;=0,0,$O$8),0)</f>
        <v>2504.4299999999998</v>
      </c>
      <c r="P159" s="237">
        <f t="shared" si="212"/>
        <v>497.42999999999984</v>
      </c>
      <c r="Q159" s="237">
        <f>IF($O$11&lt;=A159,ROUND(N159*($O$7/12),2),0)</f>
        <v>2007</v>
      </c>
      <c r="R159" s="237">
        <f t="shared" si="161"/>
        <v>51.5</v>
      </c>
      <c r="S159" s="237">
        <f t="shared" si="162"/>
        <v>145.09666666666666</v>
      </c>
      <c r="T159" s="237">
        <f t="shared" si="159"/>
        <v>2701.0266666666666</v>
      </c>
      <c r="U159" s="237">
        <f t="shared" si="213"/>
        <v>42866.549999999974</v>
      </c>
      <c r="V159" s="237">
        <f t="shared" si="214"/>
        <v>287718.20999999979</v>
      </c>
      <c r="W159" s="237">
        <f t="shared" si="173"/>
        <v>282843.44999999995</v>
      </c>
      <c r="X159" s="398">
        <f t="shared" si="206"/>
        <v>50160</v>
      </c>
      <c r="Y159" s="237">
        <f t="shared" si="174"/>
        <v>283340.87999999995</v>
      </c>
      <c r="Z159" s="389">
        <f t="shared" si="199"/>
        <v>8.4999999999999992E-2</v>
      </c>
      <c r="AA159" s="237">
        <f t="shared" si="200"/>
        <v>2504.4299999999998</v>
      </c>
      <c r="AB159" s="237">
        <f t="shared" si="175"/>
        <v>497.42999999999984</v>
      </c>
      <c r="AC159" s="237">
        <f t="shared" si="201"/>
        <v>2007</v>
      </c>
      <c r="AD159" s="237">
        <f t="shared" ref="AD159:AE159" si="229">+AD158</f>
        <v>51.5</v>
      </c>
      <c r="AE159" s="237">
        <f t="shared" si="229"/>
        <v>145.09666666666666</v>
      </c>
      <c r="AF159" s="237">
        <f t="shared" si="177"/>
        <v>2701.0266666666666</v>
      </c>
      <c r="AG159" s="237">
        <f t="shared" si="178"/>
        <v>42866.549999999974</v>
      </c>
      <c r="AH159" s="237">
        <f t="shared" si="179"/>
        <v>287718.20999999979</v>
      </c>
      <c r="AI159" s="405">
        <f t="shared" si="164"/>
        <v>0</v>
      </c>
      <c r="AJ159" s="405">
        <f t="shared" si="226"/>
        <v>0</v>
      </c>
      <c r="AK159" s="405">
        <f t="shared" si="165"/>
        <v>0</v>
      </c>
      <c r="AL159" s="237">
        <f t="shared" si="180"/>
        <v>282843.44999999995</v>
      </c>
      <c r="AM159" s="318">
        <f t="shared" si="208"/>
        <v>10</v>
      </c>
      <c r="AN159" s="21">
        <f t="shared" si="166"/>
        <v>1944.5499999999997</v>
      </c>
      <c r="AO159" s="21">
        <f>IF(W159&lt;=0,0,+$AA$6-$C$2+I159-U159)</f>
        <v>179582.08000000002</v>
      </c>
      <c r="AP159" s="21">
        <f t="shared" si="167"/>
        <v>1944.5499999999997</v>
      </c>
      <c r="AQ159" s="21"/>
      <c r="AR159" s="23"/>
      <c r="AS159" s="21">
        <f t="shared" si="203"/>
        <v>1944.5499999999997</v>
      </c>
      <c r="AT159" s="21">
        <f t="shared" si="209"/>
        <v>256200.03999999937</v>
      </c>
      <c r="AU159" s="237">
        <f>IF(W159&lt;=0,0,+($O$5+AV158)*$AQ$2/12)</f>
        <v>1163.6908673996527</v>
      </c>
      <c r="AV159" s="237">
        <f t="shared" si="210"/>
        <v>140930.03782726079</v>
      </c>
    </row>
    <row r="160" spans="1:48">
      <c r="A160" s="395">
        <f t="shared" si="169"/>
        <v>50190</v>
      </c>
      <c r="B160" s="188">
        <f t="shared" si="204"/>
        <v>103721.53999999996</v>
      </c>
      <c r="C160" s="14">
        <f t="shared" si="197"/>
        <v>559.88</v>
      </c>
      <c r="D160" s="14">
        <f t="shared" si="211"/>
        <v>170.92000000000002</v>
      </c>
      <c r="E160" s="14">
        <f t="shared" si="198"/>
        <v>388.96</v>
      </c>
      <c r="F160" s="14">
        <f t="shared" si="158"/>
        <v>51.5</v>
      </c>
      <c r="G160" s="14">
        <f t="shared" si="155"/>
        <v>145.09666666666666</v>
      </c>
      <c r="H160" s="14">
        <f t="shared" si="156"/>
        <v>756.47666666666669</v>
      </c>
      <c r="I160" s="188">
        <f t="shared" si="170"/>
        <v>19622.550000000003</v>
      </c>
      <c r="J160" s="188">
        <f t="shared" si="171"/>
        <v>62020.219999999979</v>
      </c>
      <c r="K160" s="188">
        <f t="shared" si="172"/>
        <v>103550.61999999997</v>
      </c>
      <c r="L160" s="317">
        <f t="shared" si="143"/>
        <v>11</v>
      </c>
      <c r="M160" s="317">
        <f>IF(N160&lt;&gt;"",IF(N160=$O$5,0,+M159+1),0)</f>
        <v>132</v>
      </c>
      <c r="N160" s="188">
        <f t="shared" si="205"/>
        <v>282843.44999999995</v>
      </c>
      <c r="O160" s="188">
        <f>IF($O$11&lt;=A160,IF(+$W159&lt;=0,0,$O$8),0)</f>
        <v>2504.4299999999998</v>
      </c>
      <c r="P160" s="188">
        <f t="shared" si="212"/>
        <v>500.95999999999981</v>
      </c>
      <c r="Q160" s="188">
        <f>IF($O$11&lt;=A160,ROUND(N160*($O$7/12),2),0)</f>
        <v>2003.47</v>
      </c>
      <c r="R160" s="188">
        <f t="shared" si="161"/>
        <v>51.5</v>
      </c>
      <c r="S160" s="188">
        <f t="shared" si="162"/>
        <v>145.09666666666666</v>
      </c>
      <c r="T160" s="188">
        <f t="shared" si="159"/>
        <v>2701.0266666666666</v>
      </c>
      <c r="U160" s="188">
        <f t="shared" si="213"/>
        <v>43367.509999999973</v>
      </c>
      <c r="V160" s="188">
        <f t="shared" si="214"/>
        <v>289721.67999999976</v>
      </c>
      <c r="W160" s="188">
        <f t="shared" si="173"/>
        <v>282342.48999999993</v>
      </c>
      <c r="X160" s="395">
        <f t="shared" si="206"/>
        <v>50190</v>
      </c>
      <c r="Y160" s="188">
        <f t="shared" si="174"/>
        <v>282843.44999999995</v>
      </c>
      <c r="Z160" s="388">
        <f t="shared" si="199"/>
        <v>8.4999999999999992E-2</v>
      </c>
      <c r="AA160" s="188">
        <f t="shared" si="200"/>
        <v>2504.4299999999998</v>
      </c>
      <c r="AB160" s="188">
        <f t="shared" si="175"/>
        <v>500.95999999999981</v>
      </c>
      <c r="AC160" s="188">
        <f t="shared" si="201"/>
        <v>2003.47</v>
      </c>
      <c r="AD160" s="188">
        <f t="shared" ref="AD160:AE160" si="230">+AD159</f>
        <v>51.5</v>
      </c>
      <c r="AE160" s="188">
        <f t="shared" si="230"/>
        <v>145.09666666666666</v>
      </c>
      <c r="AF160" s="188">
        <f t="shared" si="177"/>
        <v>2701.0266666666666</v>
      </c>
      <c r="AG160" s="188">
        <f t="shared" si="178"/>
        <v>43367.509999999973</v>
      </c>
      <c r="AH160" s="188">
        <f t="shared" si="179"/>
        <v>289721.67999999976</v>
      </c>
      <c r="AI160" s="404">
        <f t="shared" si="164"/>
        <v>0</v>
      </c>
      <c r="AJ160" s="404">
        <f t="shared" si="226"/>
        <v>0</v>
      </c>
      <c r="AK160" s="404">
        <f t="shared" si="165"/>
        <v>0</v>
      </c>
      <c r="AL160" s="188">
        <f t="shared" si="180"/>
        <v>282342.48999999993</v>
      </c>
      <c r="AM160" s="317">
        <f t="shared" si="208"/>
        <v>11</v>
      </c>
      <c r="AN160" s="14">
        <f t="shared" si="166"/>
        <v>1944.5499999999997</v>
      </c>
      <c r="AO160" s="14">
        <f>IF(W160&lt;=0,0,+$AA$6-$C$2+I160-U160)</f>
        <v>179252.04</v>
      </c>
      <c r="AP160" s="14">
        <f t="shared" si="167"/>
        <v>1944.5499999999997</v>
      </c>
      <c r="AS160" s="14">
        <f t="shared" si="203"/>
        <v>1944.5499999999997</v>
      </c>
      <c r="AT160" s="14">
        <f t="shared" si="209"/>
        <v>258144.58999999936</v>
      </c>
      <c r="AU160" s="188">
        <f>IF(W160&lt;=0,0,+($O$5+AV159)*$AQ$2/12)</f>
        <v>1166.6000945681519</v>
      </c>
      <c r="AV160" s="188">
        <f t="shared" si="210"/>
        <v>142096.63792182895</v>
      </c>
    </row>
    <row r="161" spans="1:48">
      <c r="A161" s="395">
        <f t="shared" si="169"/>
        <v>50220</v>
      </c>
      <c r="B161" s="188">
        <f t="shared" si="204"/>
        <v>103550.61999999997</v>
      </c>
      <c r="C161" s="14">
        <f t="shared" si="197"/>
        <v>559.88</v>
      </c>
      <c r="D161" s="14">
        <f t="shared" si="211"/>
        <v>171.57</v>
      </c>
      <c r="E161" s="14">
        <f t="shared" si="198"/>
        <v>388.31</v>
      </c>
      <c r="F161" s="14">
        <f t="shared" si="158"/>
        <v>51.5</v>
      </c>
      <c r="G161" s="14">
        <f t="shared" si="155"/>
        <v>145.09666666666666</v>
      </c>
      <c r="H161" s="14">
        <f t="shared" si="156"/>
        <v>756.47666666666669</v>
      </c>
      <c r="I161" s="188">
        <f t="shared" si="170"/>
        <v>19794.120000000003</v>
      </c>
      <c r="J161" s="188">
        <f t="shared" si="171"/>
        <v>62408.529999999977</v>
      </c>
      <c r="K161" s="188">
        <f t="shared" si="172"/>
        <v>103379.04999999996</v>
      </c>
      <c r="L161" s="317">
        <f t="shared" si="143"/>
        <v>11</v>
      </c>
      <c r="M161" s="317">
        <f>IF(N161&lt;&gt;"",IF(N161=$O$5,0,+M160+1),0)</f>
        <v>133</v>
      </c>
      <c r="N161" s="188">
        <f t="shared" si="205"/>
        <v>282342.48999999993</v>
      </c>
      <c r="O161" s="188">
        <f>IF($O$11&lt;=A161,IF(+$W160&lt;=0,0,$O$8),0)</f>
        <v>2504.4299999999998</v>
      </c>
      <c r="P161" s="188">
        <f t="shared" si="212"/>
        <v>504.49999999999977</v>
      </c>
      <c r="Q161" s="188">
        <f>IF($O$11&lt;=A161,ROUND(N161*($O$7/12),2),0)</f>
        <v>1999.93</v>
      </c>
      <c r="R161" s="188">
        <f t="shared" si="161"/>
        <v>51.5</v>
      </c>
      <c r="S161" s="188">
        <f t="shared" si="162"/>
        <v>145.09666666666666</v>
      </c>
      <c r="T161" s="188">
        <f t="shared" si="159"/>
        <v>2701.0266666666666</v>
      </c>
      <c r="U161" s="188">
        <f t="shared" si="213"/>
        <v>43872.009999999973</v>
      </c>
      <c r="V161" s="188">
        <f t="shared" si="214"/>
        <v>291721.60999999975</v>
      </c>
      <c r="W161" s="188">
        <f t="shared" si="173"/>
        <v>281837.98999999993</v>
      </c>
      <c r="X161" s="395">
        <f t="shared" si="206"/>
        <v>50220</v>
      </c>
      <c r="Y161" s="188">
        <f t="shared" si="174"/>
        <v>282342.48999999993</v>
      </c>
      <c r="Z161" s="388">
        <f t="shared" si="199"/>
        <v>8.4999999999999992E-2</v>
      </c>
      <c r="AA161" s="188">
        <f t="shared" si="200"/>
        <v>2504.4299999999998</v>
      </c>
      <c r="AB161" s="188">
        <f t="shared" si="175"/>
        <v>504.49999999999977</v>
      </c>
      <c r="AC161" s="188">
        <f t="shared" si="201"/>
        <v>1999.93</v>
      </c>
      <c r="AD161" s="188">
        <f t="shared" ref="AD161:AE161" si="231">+AD160</f>
        <v>51.5</v>
      </c>
      <c r="AE161" s="188">
        <f t="shared" si="231"/>
        <v>145.09666666666666</v>
      </c>
      <c r="AF161" s="188">
        <f t="shared" si="177"/>
        <v>2701.0266666666666</v>
      </c>
      <c r="AG161" s="188">
        <f t="shared" si="178"/>
        <v>43872.009999999973</v>
      </c>
      <c r="AH161" s="188">
        <f t="shared" si="179"/>
        <v>291721.60999999975</v>
      </c>
      <c r="AI161" s="404">
        <f t="shared" si="164"/>
        <v>0</v>
      </c>
      <c r="AJ161" s="404">
        <f t="shared" si="226"/>
        <v>0</v>
      </c>
      <c r="AK161" s="404">
        <f t="shared" si="165"/>
        <v>0</v>
      </c>
      <c r="AL161" s="188">
        <f t="shared" si="180"/>
        <v>281837.98999999993</v>
      </c>
      <c r="AM161" s="317">
        <f t="shared" si="208"/>
        <v>11</v>
      </c>
      <c r="AN161" s="14">
        <f t="shared" si="166"/>
        <v>1944.5499999999997</v>
      </c>
      <c r="AO161" s="14">
        <f>IF(W161&lt;=0,0,+$AA$6-$C$2+I161-U161)</f>
        <v>178919.11000000002</v>
      </c>
      <c r="AP161" s="14">
        <f t="shared" si="167"/>
        <v>1944.5499999999997</v>
      </c>
      <c r="AS161" s="14">
        <f t="shared" si="203"/>
        <v>1944.5499999999997</v>
      </c>
      <c r="AT161" s="14">
        <f t="shared" si="209"/>
        <v>260089.13999999934</v>
      </c>
      <c r="AU161" s="188">
        <f>IF(W161&lt;=0,0,+($O$5+AV160)*$AQ$2/12)</f>
        <v>1169.5165948045724</v>
      </c>
      <c r="AV161" s="188">
        <f t="shared" si="210"/>
        <v>143266.15451663351</v>
      </c>
    </row>
    <row r="162" spans="1:48">
      <c r="A162" s="395">
        <f t="shared" si="169"/>
        <v>50250</v>
      </c>
      <c r="B162" s="188">
        <f t="shared" si="204"/>
        <v>103379.04999999996</v>
      </c>
      <c r="C162" s="14">
        <f t="shared" si="197"/>
        <v>559.88</v>
      </c>
      <c r="D162" s="14">
        <f t="shared" si="211"/>
        <v>172.20999999999998</v>
      </c>
      <c r="E162" s="14">
        <f t="shared" si="198"/>
        <v>387.67</v>
      </c>
      <c r="F162" s="14">
        <f t="shared" si="158"/>
        <v>51.5</v>
      </c>
      <c r="G162" s="14">
        <f t="shared" si="155"/>
        <v>145.09666666666666</v>
      </c>
      <c r="H162" s="14">
        <f t="shared" si="156"/>
        <v>756.47666666666669</v>
      </c>
      <c r="I162" s="188">
        <f t="shared" si="170"/>
        <v>19966.330000000002</v>
      </c>
      <c r="J162" s="188">
        <f t="shared" si="171"/>
        <v>62796.199999999975</v>
      </c>
      <c r="K162" s="188">
        <f t="shared" si="172"/>
        <v>103206.83999999995</v>
      </c>
      <c r="L162" s="317">
        <f t="shared" si="143"/>
        <v>11</v>
      </c>
      <c r="M162" s="317">
        <f>IF(N162&lt;&gt;"",IF(N162=$O$5,0,+M161+1),0)</f>
        <v>134</v>
      </c>
      <c r="N162" s="188">
        <f t="shared" si="205"/>
        <v>281837.98999999993</v>
      </c>
      <c r="O162" s="188">
        <f>IF($O$11&lt;=A162,IF(+$W161&lt;=0,0,$O$8),0)</f>
        <v>2504.4299999999998</v>
      </c>
      <c r="P162" s="188">
        <f t="shared" si="212"/>
        <v>508.07999999999993</v>
      </c>
      <c r="Q162" s="188">
        <f>IF($O$11&lt;=A162,ROUND(N162*($O$7/12),2),0)</f>
        <v>1996.35</v>
      </c>
      <c r="R162" s="188">
        <f t="shared" si="161"/>
        <v>51.5</v>
      </c>
      <c r="S162" s="188">
        <f t="shared" si="162"/>
        <v>145.09666666666666</v>
      </c>
      <c r="T162" s="188">
        <f t="shared" si="159"/>
        <v>2701.0266666666666</v>
      </c>
      <c r="U162" s="188">
        <f t="shared" si="213"/>
        <v>44380.089999999975</v>
      </c>
      <c r="V162" s="188">
        <f t="shared" si="214"/>
        <v>293717.95999999973</v>
      </c>
      <c r="W162" s="188">
        <f t="shared" si="173"/>
        <v>281329.90999999992</v>
      </c>
      <c r="X162" s="395">
        <f t="shared" si="206"/>
        <v>50250</v>
      </c>
      <c r="Y162" s="188">
        <f t="shared" si="174"/>
        <v>281837.98999999993</v>
      </c>
      <c r="Z162" s="388">
        <f t="shared" si="199"/>
        <v>8.4999999999999992E-2</v>
      </c>
      <c r="AA162" s="188">
        <f t="shared" si="200"/>
        <v>2504.4299999999998</v>
      </c>
      <c r="AB162" s="188">
        <f t="shared" si="175"/>
        <v>508.07999999999993</v>
      </c>
      <c r="AC162" s="188">
        <f t="shared" si="201"/>
        <v>1996.35</v>
      </c>
      <c r="AD162" s="188">
        <f t="shared" ref="AD162:AE162" si="232">+AD161</f>
        <v>51.5</v>
      </c>
      <c r="AE162" s="188">
        <f t="shared" si="232"/>
        <v>145.09666666666666</v>
      </c>
      <c r="AF162" s="188">
        <f t="shared" si="177"/>
        <v>2701.0266666666666</v>
      </c>
      <c r="AG162" s="188">
        <f t="shared" si="178"/>
        <v>44380.089999999975</v>
      </c>
      <c r="AH162" s="188">
        <f t="shared" si="179"/>
        <v>293717.95999999973</v>
      </c>
      <c r="AI162" s="404">
        <f t="shared" si="164"/>
        <v>0</v>
      </c>
      <c r="AJ162" s="404">
        <f t="shared" si="226"/>
        <v>0</v>
      </c>
      <c r="AK162" s="404">
        <f t="shared" si="165"/>
        <v>0</v>
      </c>
      <c r="AL162" s="188">
        <f t="shared" si="180"/>
        <v>281329.90999999992</v>
      </c>
      <c r="AM162" s="317">
        <f t="shared" si="208"/>
        <v>11</v>
      </c>
      <c r="AN162" s="14">
        <f t="shared" si="166"/>
        <v>1944.5499999999997</v>
      </c>
      <c r="AO162" s="14">
        <f>IF(W162&lt;=0,0,+$AA$6-$C$2+I162-U162)</f>
        <v>178583.24000000005</v>
      </c>
      <c r="AP162" s="14">
        <f t="shared" si="167"/>
        <v>1944.5499999999997</v>
      </c>
      <c r="AS162" s="14">
        <f t="shared" si="203"/>
        <v>1944.5499999999997</v>
      </c>
      <c r="AT162" s="14">
        <f t="shared" si="209"/>
        <v>262033.68999999933</v>
      </c>
      <c r="AU162" s="188">
        <f>IF(W162&lt;=0,0,+($O$5+AV161)*$AQ$2/12)</f>
        <v>1172.4403862915835</v>
      </c>
      <c r="AV162" s="188">
        <f t="shared" si="210"/>
        <v>144438.59490292511</v>
      </c>
    </row>
    <row r="163" spans="1:48">
      <c r="A163" s="395">
        <f t="shared" si="169"/>
        <v>50280</v>
      </c>
      <c r="B163" s="188">
        <f t="shared" si="204"/>
        <v>103206.83999999995</v>
      </c>
      <c r="C163" s="14">
        <f t="shared" si="197"/>
        <v>559.88</v>
      </c>
      <c r="D163" s="14">
        <f t="shared" si="211"/>
        <v>172.85000000000002</v>
      </c>
      <c r="E163" s="14">
        <f t="shared" si="198"/>
        <v>387.03</v>
      </c>
      <c r="F163" s="14">
        <f t="shared" si="158"/>
        <v>51.5</v>
      </c>
      <c r="G163" s="14">
        <f t="shared" si="155"/>
        <v>145.09666666666666</v>
      </c>
      <c r="H163" s="14">
        <f t="shared" si="156"/>
        <v>756.47666666666669</v>
      </c>
      <c r="I163" s="188">
        <f t="shared" si="170"/>
        <v>20139.18</v>
      </c>
      <c r="J163" s="188">
        <f t="shared" si="171"/>
        <v>63183.229999999974</v>
      </c>
      <c r="K163" s="188">
        <f t="shared" si="172"/>
        <v>103033.98999999995</v>
      </c>
      <c r="L163" s="317">
        <f t="shared" si="143"/>
        <v>11</v>
      </c>
      <c r="M163" s="317">
        <f>IF(N163&lt;&gt;"",IF(N163=$O$5,0,+M162+1),0)</f>
        <v>135</v>
      </c>
      <c r="N163" s="188">
        <f t="shared" si="205"/>
        <v>281329.90999999992</v>
      </c>
      <c r="O163" s="188">
        <f>IF($O$11&lt;=A163,IF(+$W162&lt;=0,0,$O$8),0)</f>
        <v>2504.4299999999998</v>
      </c>
      <c r="P163" s="188">
        <f t="shared" si="212"/>
        <v>511.67999999999984</v>
      </c>
      <c r="Q163" s="188">
        <f>IF($O$11&lt;=A163,ROUND(N163*($O$7/12),2),0)</f>
        <v>1992.75</v>
      </c>
      <c r="R163" s="188">
        <f t="shared" si="161"/>
        <v>51.5</v>
      </c>
      <c r="S163" s="188">
        <f t="shared" si="162"/>
        <v>145.09666666666666</v>
      </c>
      <c r="T163" s="188">
        <f t="shared" si="159"/>
        <v>2701.0266666666666</v>
      </c>
      <c r="U163" s="188">
        <f t="shared" si="213"/>
        <v>44891.769999999975</v>
      </c>
      <c r="V163" s="188">
        <f t="shared" si="214"/>
        <v>295710.70999999973</v>
      </c>
      <c r="W163" s="188">
        <f t="shared" si="173"/>
        <v>280818.22999999992</v>
      </c>
      <c r="X163" s="395">
        <f t="shared" si="206"/>
        <v>50280</v>
      </c>
      <c r="Y163" s="188">
        <f t="shared" si="174"/>
        <v>281329.90999999992</v>
      </c>
      <c r="Z163" s="388">
        <f t="shared" si="199"/>
        <v>8.4999999999999992E-2</v>
      </c>
      <c r="AA163" s="188">
        <f t="shared" si="200"/>
        <v>2504.4299999999998</v>
      </c>
      <c r="AB163" s="188">
        <f t="shared" si="175"/>
        <v>511.67999999999984</v>
      </c>
      <c r="AC163" s="188">
        <f t="shared" si="201"/>
        <v>1992.75</v>
      </c>
      <c r="AD163" s="188">
        <f t="shared" ref="AD163:AE163" si="233">+AD162</f>
        <v>51.5</v>
      </c>
      <c r="AE163" s="188">
        <f t="shared" si="233"/>
        <v>145.09666666666666</v>
      </c>
      <c r="AF163" s="188">
        <f t="shared" si="177"/>
        <v>2701.0266666666666</v>
      </c>
      <c r="AG163" s="188">
        <f t="shared" si="178"/>
        <v>44891.769999999975</v>
      </c>
      <c r="AH163" s="188">
        <f t="shared" si="179"/>
        <v>295710.70999999973</v>
      </c>
      <c r="AI163" s="404">
        <f t="shared" si="164"/>
        <v>0</v>
      </c>
      <c r="AJ163" s="404">
        <f t="shared" si="226"/>
        <v>0</v>
      </c>
      <c r="AK163" s="404">
        <f t="shared" si="165"/>
        <v>0</v>
      </c>
      <c r="AL163" s="188">
        <f t="shared" si="180"/>
        <v>280818.22999999992</v>
      </c>
      <c r="AM163" s="317">
        <f t="shared" si="208"/>
        <v>11</v>
      </c>
      <c r="AN163" s="14">
        <f t="shared" si="166"/>
        <v>1944.5499999999997</v>
      </c>
      <c r="AO163" s="14">
        <f>IF(W163&lt;=0,0,+$AA$6-$C$2+I163-U163)</f>
        <v>178244.41000000003</v>
      </c>
      <c r="AP163" s="14">
        <f t="shared" si="167"/>
        <v>1944.5499999999997</v>
      </c>
      <c r="AS163" s="14">
        <f t="shared" si="203"/>
        <v>1944.5499999999997</v>
      </c>
      <c r="AT163" s="14">
        <f t="shared" si="209"/>
        <v>263978.23999999935</v>
      </c>
      <c r="AU163" s="188">
        <f>IF(W163&lt;=0,0,+($O$5+AV162)*$AQ$2/12)</f>
        <v>1175.3714872573125</v>
      </c>
      <c r="AV163" s="188">
        <f t="shared" si="210"/>
        <v>145613.96639018241</v>
      </c>
    </row>
    <row r="164" spans="1:48">
      <c r="A164" s="395">
        <f t="shared" si="169"/>
        <v>50310</v>
      </c>
      <c r="B164" s="188">
        <f t="shared" si="204"/>
        <v>103033.98999999995</v>
      </c>
      <c r="C164" s="14">
        <f t="shared" si="197"/>
        <v>559.88</v>
      </c>
      <c r="D164" s="14">
        <f t="shared" si="211"/>
        <v>173.5</v>
      </c>
      <c r="E164" s="14">
        <f t="shared" si="198"/>
        <v>386.38</v>
      </c>
      <c r="F164" s="14">
        <f t="shared" si="158"/>
        <v>51.5</v>
      </c>
      <c r="G164" s="14">
        <f t="shared" si="155"/>
        <v>145.09666666666666</v>
      </c>
      <c r="H164" s="14">
        <f t="shared" si="156"/>
        <v>756.47666666666669</v>
      </c>
      <c r="I164" s="188">
        <f t="shared" si="170"/>
        <v>20312.68</v>
      </c>
      <c r="J164" s="188">
        <f t="shared" si="171"/>
        <v>63569.609999999971</v>
      </c>
      <c r="K164" s="188">
        <f t="shared" si="172"/>
        <v>102860.48999999995</v>
      </c>
      <c r="L164" s="317">
        <f t="shared" si="143"/>
        <v>11</v>
      </c>
      <c r="M164" s="317">
        <f>IF(N164&lt;&gt;"",IF(N164=$O$5,0,+M163+1),0)</f>
        <v>136</v>
      </c>
      <c r="N164" s="188">
        <f t="shared" si="205"/>
        <v>280818.22999999992</v>
      </c>
      <c r="O164" s="188">
        <f>IF($O$11&lt;=A164,IF(+$W163&lt;=0,0,$O$8),0)</f>
        <v>2504.4299999999998</v>
      </c>
      <c r="P164" s="188">
        <f t="shared" si="212"/>
        <v>515.29999999999973</v>
      </c>
      <c r="Q164" s="188">
        <f>IF($O$11&lt;=A164,ROUND(N164*($O$7/12),2),0)</f>
        <v>1989.13</v>
      </c>
      <c r="R164" s="188">
        <f t="shared" si="161"/>
        <v>51.5</v>
      </c>
      <c r="S164" s="188">
        <f t="shared" si="162"/>
        <v>145.09666666666666</v>
      </c>
      <c r="T164" s="188">
        <f t="shared" si="159"/>
        <v>2701.0266666666666</v>
      </c>
      <c r="U164" s="188">
        <f t="shared" si="213"/>
        <v>45407.069999999978</v>
      </c>
      <c r="V164" s="188">
        <f t="shared" si="214"/>
        <v>297699.83999999973</v>
      </c>
      <c r="W164" s="188">
        <f t="shared" si="173"/>
        <v>280302.92999999993</v>
      </c>
      <c r="X164" s="395">
        <f t="shared" si="206"/>
        <v>50310</v>
      </c>
      <c r="Y164" s="188">
        <f t="shared" si="174"/>
        <v>280818.22999999992</v>
      </c>
      <c r="Z164" s="388">
        <f t="shared" si="199"/>
        <v>8.4999999999999992E-2</v>
      </c>
      <c r="AA164" s="188">
        <f t="shared" si="200"/>
        <v>2504.4299999999998</v>
      </c>
      <c r="AB164" s="188">
        <f t="shared" si="175"/>
        <v>515.29999999999973</v>
      </c>
      <c r="AC164" s="188">
        <f t="shared" si="201"/>
        <v>1989.13</v>
      </c>
      <c r="AD164" s="188">
        <f t="shared" ref="AD164:AE164" si="234">+AD163</f>
        <v>51.5</v>
      </c>
      <c r="AE164" s="188">
        <f t="shared" si="234"/>
        <v>145.09666666666666</v>
      </c>
      <c r="AF164" s="188">
        <f t="shared" si="177"/>
        <v>2701.0266666666666</v>
      </c>
      <c r="AG164" s="188">
        <f t="shared" si="178"/>
        <v>45407.069999999978</v>
      </c>
      <c r="AH164" s="188">
        <f t="shared" si="179"/>
        <v>297699.83999999973</v>
      </c>
      <c r="AI164" s="404">
        <f t="shared" si="164"/>
        <v>0</v>
      </c>
      <c r="AJ164" s="404">
        <f t="shared" si="226"/>
        <v>0</v>
      </c>
      <c r="AK164" s="404">
        <f t="shared" si="165"/>
        <v>0</v>
      </c>
      <c r="AL164" s="188">
        <f t="shared" si="180"/>
        <v>280302.92999999993</v>
      </c>
      <c r="AM164" s="317">
        <f t="shared" si="208"/>
        <v>11</v>
      </c>
      <c r="AN164" s="14">
        <f t="shared" si="166"/>
        <v>1944.5499999999997</v>
      </c>
      <c r="AO164" s="14">
        <f>IF(W164&lt;=0,0,+$AA$6-$C$2+I164-U164)</f>
        <v>177902.61000000002</v>
      </c>
      <c r="AP164" s="14">
        <f t="shared" si="167"/>
        <v>1944.5499999999997</v>
      </c>
      <c r="AS164" s="14">
        <f t="shared" si="203"/>
        <v>1944.5499999999997</v>
      </c>
      <c r="AT164" s="14">
        <f t="shared" si="209"/>
        <v>265922.78999999934</v>
      </c>
      <c r="AU164" s="188">
        <f>IF(W164&lt;=0,0,+($O$5+AV163)*$AQ$2/12)</f>
        <v>1178.3099159754559</v>
      </c>
      <c r="AV164" s="188">
        <f t="shared" si="210"/>
        <v>146792.27630615787</v>
      </c>
    </row>
    <row r="165" spans="1:48">
      <c r="A165" s="395">
        <f t="shared" si="169"/>
        <v>50340</v>
      </c>
      <c r="B165" s="188">
        <f t="shared" si="204"/>
        <v>102860.48999999995</v>
      </c>
      <c r="C165" s="14">
        <f t="shared" si="197"/>
        <v>559.88</v>
      </c>
      <c r="D165" s="14">
        <f t="shared" si="211"/>
        <v>174.14999999999998</v>
      </c>
      <c r="E165" s="14">
        <f t="shared" si="198"/>
        <v>385.73</v>
      </c>
      <c r="F165" s="14">
        <f t="shared" si="158"/>
        <v>51.5</v>
      </c>
      <c r="G165" s="14">
        <f t="shared" si="155"/>
        <v>145.09666666666666</v>
      </c>
      <c r="H165" s="14">
        <f t="shared" si="156"/>
        <v>756.47666666666669</v>
      </c>
      <c r="I165" s="188">
        <f t="shared" si="170"/>
        <v>20486.830000000002</v>
      </c>
      <c r="J165" s="188">
        <f t="shared" si="171"/>
        <v>63955.339999999975</v>
      </c>
      <c r="K165" s="188">
        <f t="shared" si="172"/>
        <v>102686.33999999995</v>
      </c>
      <c r="L165" s="317">
        <f t="shared" si="143"/>
        <v>11</v>
      </c>
      <c r="M165" s="317">
        <f>IF(N165&lt;&gt;"",IF(N165=$O$5,0,+M164+1),0)</f>
        <v>137</v>
      </c>
      <c r="N165" s="188">
        <f t="shared" si="205"/>
        <v>280302.92999999993</v>
      </c>
      <c r="O165" s="188">
        <f>IF($O$11&lt;=A165,IF(+$W164&lt;=0,0,$O$8),0)</f>
        <v>2504.4299999999998</v>
      </c>
      <c r="P165" s="188">
        <f t="shared" si="212"/>
        <v>518.94999999999982</v>
      </c>
      <c r="Q165" s="188">
        <f>IF($O$11&lt;=A165,ROUND(N165*($O$7/12),2),0)</f>
        <v>1985.48</v>
      </c>
      <c r="R165" s="188">
        <f t="shared" si="161"/>
        <v>51.5</v>
      </c>
      <c r="S165" s="188">
        <f t="shared" si="162"/>
        <v>145.09666666666666</v>
      </c>
      <c r="T165" s="188">
        <f t="shared" si="159"/>
        <v>2701.0266666666666</v>
      </c>
      <c r="U165" s="188">
        <f t="shared" si="213"/>
        <v>45926.019999999975</v>
      </c>
      <c r="V165" s="188">
        <f t="shared" si="214"/>
        <v>299685.31999999972</v>
      </c>
      <c r="W165" s="188">
        <f t="shared" si="173"/>
        <v>279783.97999999992</v>
      </c>
      <c r="X165" s="395">
        <f t="shared" si="206"/>
        <v>50340</v>
      </c>
      <c r="Y165" s="188">
        <f t="shared" si="174"/>
        <v>280302.92999999993</v>
      </c>
      <c r="Z165" s="388">
        <f t="shared" si="199"/>
        <v>8.4999999999999992E-2</v>
      </c>
      <c r="AA165" s="188">
        <f t="shared" si="200"/>
        <v>2504.4299999999998</v>
      </c>
      <c r="AB165" s="188">
        <f t="shared" si="175"/>
        <v>518.94999999999982</v>
      </c>
      <c r="AC165" s="188">
        <f t="shared" si="201"/>
        <v>1985.48</v>
      </c>
      <c r="AD165" s="188">
        <f t="shared" ref="AD165:AE165" si="235">+AD164</f>
        <v>51.5</v>
      </c>
      <c r="AE165" s="188">
        <f t="shared" si="235"/>
        <v>145.09666666666666</v>
      </c>
      <c r="AF165" s="188">
        <f t="shared" si="177"/>
        <v>2701.0266666666666</v>
      </c>
      <c r="AG165" s="188">
        <f t="shared" si="178"/>
        <v>45926.019999999975</v>
      </c>
      <c r="AH165" s="188">
        <f t="shared" si="179"/>
        <v>299685.31999999972</v>
      </c>
      <c r="AI165" s="404">
        <f t="shared" si="164"/>
        <v>0</v>
      </c>
      <c r="AJ165" s="404">
        <f t="shared" si="226"/>
        <v>0</v>
      </c>
      <c r="AK165" s="404">
        <f t="shared" si="165"/>
        <v>0</v>
      </c>
      <c r="AL165" s="188">
        <f t="shared" si="180"/>
        <v>279783.97999999992</v>
      </c>
      <c r="AM165" s="317">
        <f t="shared" si="208"/>
        <v>11</v>
      </c>
      <c r="AN165" s="14">
        <f t="shared" si="166"/>
        <v>1944.5499999999997</v>
      </c>
      <c r="AO165" s="14">
        <f>IF(W165&lt;=0,0,+$AA$6-$C$2+I165-U165)</f>
        <v>177557.81000000006</v>
      </c>
      <c r="AP165" s="14">
        <f t="shared" si="167"/>
        <v>1944.5499999999997</v>
      </c>
      <c r="AS165" s="14">
        <f t="shared" si="203"/>
        <v>1944.5499999999997</v>
      </c>
      <c r="AT165" s="14">
        <f t="shared" si="209"/>
        <v>267867.33999999933</v>
      </c>
      <c r="AU165" s="188">
        <f>IF(W165&lt;=0,0,+($O$5+AV164)*$AQ$2/12)</f>
        <v>1181.2556907653945</v>
      </c>
      <c r="AV165" s="188">
        <f t="shared" si="210"/>
        <v>147973.53199692327</v>
      </c>
    </row>
    <row r="166" spans="1:48">
      <c r="A166" s="395">
        <f t="shared" si="169"/>
        <v>50370</v>
      </c>
      <c r="B166" s="188">
        <f t="shared" si="204"/>
        <v>102686.33999999995</v>
      </c>
      <c r="C166" s="14">
        <f t="shared" si="197"/>
        <v>559.88</v>
      </c>
      <c r="D166" s="14">
        <f t="shared" si="211"/>
        <v>174.81</v>
      </c>
      <c r="E166" s="14">
        <f t="shared" si="198"/>
        <v>385.07</v>
      </c>
      <c r="F166" s="14">
        <f t="shared" si="158"/>
        <v>51.5</v>
      </c>
      <c r="G166" s="14">
        <f t="shared" si="155"/>
        <v>145.09666666666666</v>
      </c>
      <c r="H166" s="14">
        <f t="shared" si="156"/>
        <v>756.47666666666669</v>
      </c>
      <c r="I166" s="188">
        <f t="shared" si="170"/>
        <v>20661.640000000003</v>
      </c>
      <c r="J166" s="188">
        <f t="shared" si="171"/>
        <v>64340.409999999974</v>
      </c>
      <c r="K166" s="188">
        <f t="shared" si="172"/>
        <v>102511.52999999996</v>
      </c>
      <c r="L166" s="317">
        <f t="shared" si="143"/>
        <v>11</v>
      </c>
      <c r="M166" s="317">
        <f>IF(N166&lt;&gt;"",IF(N166=$O$5,0,+M165+1),0)</f>
        <v>138</v>
      </c>
      <c r="N166" s="188">
        <f t="shared" si="205"/>
        <v>279783.97999999992</v>
      </c>
      <c r="O166" s="188">
        <f>IF($O$11&lt;=A166,IF(+$W165&lt;=0,0,$O$8),0)</f>
        <v>2504.4299999999998</v>
      </c>
      <c r="P166" s="188">
        <f t="shared" si="212"/>
        <v>522.62999999999988</v>
      </c>
      <c r="Q166" s="188">
        <f>IF($O$11&lt;=A166,ROUND(N166*($O$7/12),2),0)</f>
        <v>1981.8</v>
      </c>
      <c r="R166" s="188">
        <f t="shared" si="161"/>
        <v>51.5</v>
      </c>
      <c r="S166" s="188">
        <f t="shared" si="162"/>
        <v>145.09666666666666</v>
      </c>
      <c r="T166" s="188">
        <f t="shared" si="159"/>
        <v>2701.0266666666666</v>
      </c>
      <c r="U166" s="188">
        <f t="shared" si="213"/>
        <v>46448.649999999972</v>
      </c>
      <c r="V166" s="188">
        <f t="shared" si="214"/>
        <v>301667.1199999997</v>
      </c>
      <c r="W166" s="188">
        <f t="shared" si="173"/>
        <v>279261.34999999992</v>
      </c>
      <c r="X166" s="395">
        <f t="shared" si="206"/>
        <v>50370</v>
      </c>
      <c r="Y166" s="188">
        <f t="shared" si="174"/>
        <v>279783.97999999992</v>
      </c>
      <c r="Z166" s="388">
        <f t="shared" si="199"/>
        <v>8.4999999999999992E-2</v>
      </c>
      <c r="AA166" s="188">
        <f t="shared" si="200"/>
        <v>2504.4299999999998</v>
      </c>
      <c r="AB166" s="188">
        <f t="shared" si="175"/>
        <v>522.62999999999988</v>
      </c>
      <c r="AC166" s="188">
        <f t="shared" si="201"/>
        <v>1981.8</v>
      </c>
      <c r="AD166" s="188">
        <f t="shared" ref="AD166:AE166" si="236">+AD165</f>
        <v>51.5</v>
      </c>
      <c r="AE166" s="188">
        <f t="shared" si="236"/>
        <v>145.09666666666666</v>
      </c>
      <c r="AF166" s="188">
        <f t="shared" si="177"/>
        <v>2701.0266666666666</v>
      </c>
      <c r="AG166" s="188">
        <f t="shared" si="178"/>
        <v>46448.649999999972</v>
      </c>
      <c r="AH166" s="188">
        <f t="shared" si="179"/>
        <v>301667.1199999997</v>
      </c>
      <c r="AI166" s="404">
        <f t="shared" si="164"/>
        <v>0</v>
      </c>
      <c r="AJ166" s="404">
        <f t="shared" si="226"/>
        <v>0</v>
      </c>
      <c r="AK166" s="404">
        <f t="shared" si="165"/>
        <v>0</v>
      </c>
      <c r="AL166" s="188">
        <f t="shared" si="180"/>
        <v>279261.34999999992</v>
      </c>
      <c r="AM166" s="317">
        <f t="shared" si="208"/>
        <v>11</v>
      </c>
      <c r="AN166" s="14">
        <f t="shared" si="166"/>
        <v>1944.5499999999997</v>
      </c>
      <c r="AO166" s="14">
        <f>IF(W166&lt;=0,0,+$AA$6-$C$2+I166-U166)</f>
        <v>177209.99000000005</v>
      </c>
      <c r="AP166" s="14">
        <f t="shared" si="167"/>
        <v>1944.5499999999997</v>
      </c>
      <c r="AS166" s="14">
        <f t="shared" si="203"/>
        <v>1944.5499999999997</v>
      </c>
      <c r="AT166" s="14">
        <f t="shared" si="209"/>
        <v>269811.88999999932</v>
      </c>
      <c r="AU166" s="188">
        <f>IF(W166&lt;=0,0,+($O$5+AV165)*$AQ$2/12)</f>
        <v>1184.2088299923082</v>
      </c>
      <c r="AV166" s="188">
        <f t="shared" si="210"/>
        <v>149157.74082691557</v>
      </c>
    </row>
    <row r="167" spans="1:48">
      <c r="A167" s="395">
        <f t="shared" si="169"/>
        <v>50400</v>
      </c>
      <c r="B167" s="188">
        <f t="shared" si="204"/>
        <v>102511.52999999996</v>
      </c>
      <c r="C167" s="14">
        <f t="shared" si="197"/>
        <v>559.88</v>
      </c>
      <c r="D167" s="14">
        <f t="shared" si="211"/>
        <v>175.45999999999998</v>
      </c>
      <c r="E167" s="14">
        <f t="shared" si="198"/>
        <v>384.42</v>
      </c>
      <c r="F167" s="14">
        <f t="shared" si="158"/>
        <v>51.5</v>
      </c>
      <c r="G167" s="14">
        <f t="shared" si="155"/>
        <v>145.09666666666666</v>
      </c>
      <c r="H167" s="14">
        <f t="shared" si="156"/>
        <v>756.47666666666669</v>
      </c>
      <c r="I167" s="188">
        <f t="shared" si="170"/>
        <v>20837.100000000002</v>
      </c>
      <c r="J167" s="188">
        <f t="shared" si="171"/>
        <v>64724.829999999973</v>
      </c>
      <c r="K167" s="188">
        <f t="shared" si="172"/>
        <v>102336.06999999995</v>
      </c>
      <c r="L167" s="317">
        <f t="shared" si="143"/>
        <v>11</v>
      </c>
      <c r="M167" s="317">
        <f>IF(N167&lt;&gt;"",IF(N167=$O$5,0,+M166+1),0)</f>
        <v>139</v>
      </c>
      <c r="N167" s="188">
        <f t="shared" si="205"/>
        <v>279261.34999999992</v>
      </c>
      <c r="O167" s="188">
        <f>IF($O$11&lt;=A167,IF(+$W166&lt;=0,0,$O$8),0)</f>
        <v>2504.4299999999998</v>
      </c>
      <c r="P167" s="188">
        <f t="shared" si="212"/>
        <v>526.32999999999993</v>
      </c>
      <c r="Q167" s="188">
        <f>IF($O$11&lt;=A167,ROUND(N167*($O$7/12),2),0)</f>
        <v>1978.1</v>
      </c>
      <c r="R167" s="188">
        <f t="shared" si="161"/>
        <v>51.5</v>
      </c>
      <c r="S167" s="188">
        <f t="shared" si="162"/>
        <v>145.09666666666666</v>
      </c>
      <c r="T167" s="188">
        <f t="shared" si="159"/>
        <v>2701.0266666666666</v>
      </c>
      <c r="U167" s="188">
        <f t="shared" si="213"/>
        <v>46974.979999999974</v>
      </c>
      <c r="V167" s="188">
        <f t="shared" si="214"/>
        <v>303645.21999999968</v>
      </c>
      <c r="W167" s="188">
        <f t="shared" si="173"/>
        <v>278735.0199999999</v>
      </c>
      <c r="X167" s="395">
        <f t="shared" si="206"/>
        <v>50400</v>
      </c>
      <c r="Y167" s="188">
        <f t="shared" si="174"/>
        <v>279261.34999999992</v>
      </c>
      <c r="Z167" s="388">
        <f t="shared" si="199"/>
        <v>8.4999999999999992E-2</v>
      </c>
      <c r="AA167" s="188">
        <f t="shared" si="200"/>
        <v>2504.4299999999998</v>
      </c>
      <c r="AB167" s="188">
        <f t="shared" si="175"/>
        <v>526.32999999999993</v>
      </c>
      <c r="AC167" s="188">
        <f t="shared" si="201"/>
        <v>1978.1</v>
      </c>
      <c r="AD167" s="188">
        <f t="shared" ref="AD167:AE167" si="237">+AD166</f>
        <v>51.5</v>
      </c>
      <c r="AE167" s="188">
        <f t="shared" si="237"/>
        <v>145.09666666666666</v>
      </c>
      <c r="AF167" s="188">
        <f t="shared" si="177"/>
        <v>2701.0266666666666</v>
      </c>
      <c r="AG167" s="188">
        <f t="shared" si="178"/>
        <v>46974.979999999974</v>
      </c>
      <c r="AH167" s="188">
        <f t="shared" si="179"/>
        <v>303645.21999999968</v>
      </c>
      <c r="AI167" s="404">
        <f t="shared" si="164"/>
        <v>0</v>
      </c>
      <c r="AJ167" s="404">
        <f t="shared" si="226"/>
        <v>0</v>
      </c>
      <c r="AK167" s="404">
        <f t="shared" si="165"/>
        <v>0</v>
      </c>
      <c r="AL167" s="188">
        <f t="shared" si="180"/>
        <v>278735.0199999999</v>
      </c>
      <c r="AM167" s="317">
        <f t="shared" si="208"/>
        <v>11</v>
      </c>
      <c r="AN167" s="14">
        <f t="shared" si="166"/>
        <v>1944.5499999999997</v>
      </c>
      <c r="AO167" s="14">
        <f>IF(W167&lt;=0,0,+$AA$6-$C$2+I167-U167)</f>
        <v>176859.12000000002</v>
      </c>
      <c r="AP167" s="14">
        <f t="shared" si="167"/>
        <v>1944.5499999999997</v>
      </c>
      <c r="AS167" s="14">
        <f t="shared" si="203"/>
        <v>1944.5499999999997</v>
      </c>
      <c r="AT167" s="14">
        <f t="shared" si="209"/>
        <v>271756.4399999993</v>
      </c>
      <c r="AU167" s="188">
        <f>IF(W167&lt;=0,0,+($O$5+AV166)*$AQ$2/12)</f>
        <v>1187.1693520672891</v>
      </c>
      <c r="AV167" s="188">
        <f t="shared" si="210"/>
        <v>150344.91017898286</v>
      </c>
    </row>
    <row r="168" spans="1:48">
      <c r="A168" s="395">
        <f t="shared" si="169"/>
        <v>50430</v>
      </c>
      <c r="B168" s="188">
        <f t="shared" si="204"/>
        <v>102336.06999999995</v>
      </c>
      <c r="C168" s="14">
        <f t="shared" si="197"/>
        <v>559.88</v>
      </c>
      <c r="D168" s="14">
        <f t="shared" si="211"/>
        <v>176.12</v>
      </c>
      <c r="E168" s="14">
        <f t="shared" si="198"/>
        <v>383.76</v>
      </c>
      <c r="F168" s="14">
        <f t="shared" si="158"/>
        <v>51.5</v>
      </c>
      <c r="G168" s="14">
        <f t="shared" si="155"/>
        <v>145.09666666666666</v>
      </c>
      <c r="H168" s="14">
        <f t="shared" si="156"/>
        <v>756.47666666666669</v>
      </c>
      <c r="I168" s="188">
        <f t="shared" si="170"/>
        <v>21013.22</v>
      </c>
      <c r="J168" s="188">
        <f t="shared" si="171"/>
        <v>65108.589999999975</v>
      </c>
      <c r="K168" s="188">
        <f t="shared" si="172"/>
        <v>102159.94999999995</v>
      </c>
      <c r="L168" s="317">
        <f t="shared" si="143"/>
        <v>11</v>
      </c>
      <c r="M168" s="317">
        <f>IF(N168&lt;&gt;"",IF(N168=$O$5,0,+M167+1),0)</f>
        <v>140</v>
      </c>
      <c r="N168" s="188">
        <f t="shared" si="205"/>
        <v>278735.0199999999</v>
      </c>
      <c r="O168" s="188">
        <f>IF($O$11&lt;=A168,IF(+$W167&lt;=0,0,$O$8),0)</f>
        <v>2504.4299999999998</v>
      </c>
      <c r="P168" s="188">
        <f t="shared" si="212"/>
        <v>530.05999999999995</v>
      </c>
      <c r="Q168" s="188">
        <f>IF($O$11&lt;=A168,ROUND(N168*($O$7/12),2),0)</f>
        <v>1974.37</v>
      </c>
      <c r="R168" s="188">
        <f t="shared" si="161"/>
        <v>51.5</v>
      </c>
      <c r="S168" s="188">
        <f t="shared" si="162"/>
        <v>145.09666666666666</v>
      </c>
      <c r="T168" s="188">
        <f t="shared" si="159"/>
        <v>2701.0266666666666</v>
      </c>
      <c r="U168" s="188">
        <f t="shared" si="213"/>
        <v>47505.039999999972</v>
      </c>
      <c r="V168" s="188">
        <f t="shared" si="214"/>
        <v>305619.58999999968</v>
      </c>
      <c r="W168" s="188">
        <f t="shared" si="173"/>
        <v>278204.9599999999</v>
      </c>
      <c r="X168" s="395">
        <f t="shared" si="206"/>
        <v>50430</v>
      </c>
      <c r="Y168" s="188">
        <f t="shared" si="174"/>
        <v>278735.0199999999</v>
      </c>
      <c r="Z168" s="388">
        <f t="shared" si="199"/>
        <v>8.4999999999999992E-2</v>
      </c>
      <c r="AA168" s="188">
        <f t="shared" si="200"/>
        <v>2504.4299999999998</v>
      </c>
      <c r="AB168" s="188">
        <f t="shared" si="175"/>
        <v>530.05999999999995</v>
      </c>
      <c r="AC168" s="188">
        <f t="shared" si="201"/>
        <v>1974.37</v>
      </c>
      <c r="AD168" s="188">
        <f t="shared" ref="AD168:AE168" si="238">+AD167</f>
        <v>51.5</v>
      </c>
      <c r="AE168" s="188">
        <f t="shared" si="238"/>
        <v>145.09666666666666</v>
      </c>
      <c r="AF168" s="188">
        <f t="shared" si="177"/>
        <v>2701.0266666666666</v>
      </c>
      <c r="AG168" s="188">
        <f t="shared" si="178"/>
        <v>47505.039999999972</v>
      </c>
      <c r="AH168" s="188">
        <f t="shared" si="179"/>
        <v>305619.58999999968</v>
      </c>
      <c r="AI168" s="404">
        <f t="shared" si="164"/>
        <v>0</v>
      </c>
      <c r="AJ168" s="404">
        <f t="shared" si="226"/>
        <v>0</v>
      </c>
      <c r="AK168" s="404">
        <f t="shared" si="165"/>
        <v>0</v>
      </c>
      <c r="AL168" s="188">
        <f t="shared" si="180"/>
        <v>278204.9599999999</v>
      </c>
      <c r="AM168" s="317">
        <f t="shared" si="208"/>
        <v>11</v>
      </c>
      <c r="AN168" s="14">
        <f t="shared" si="166"/>
        <v>1944.5499999999997</v>
      </c>
      <c r="AO168" s="14">
        <f>IF(W168&lt;=0,0,+$AA$6-$C$2+I168-U168)</f>
        <v>176505.18000000002</v>
      </c>
      <c r="AP168" s="14">
        <f t="shared" si="167"/>
        <v>1944.5499999999997</v>
      </c>
      <c r="AS168" s="14">
        <f t="shared" si="203"/>
        <v>1944.5499999999997</v>
      </c>
      <c r="AT168" s="14">
        <f t="shared" si="209"/>
        <v>273700.98999999929</v>
      </c>
      <c r="AU168" s="188">
        <f>IF(W168&lt;=0,0,+($O$5+AV167)*$AQ$2/12)</f>
        <v>1190.1372754474571</v>
      </c>
      <c r="AV168" s="188">
        <f t="shared" si="210"/>
        <v>151535.04745443031</v>
      </c>
    </row>
    <row r="169" spans="1:48">
      <c r="A169" s="395">
        <f t="shared" si="169"/>
        <v>50460</v>
      </c>
      <c r="B169" s="188">
        <f t="shared" si="204"/>
        <v>102159.94999999995</v>
      </c>
      <c r="C169" s="14">
        <f t="shared" si="197"/>
        <v>559.88</v>
      </c>
      <c r="D169" s="14">
        <f t="shared" si="211"/>
        <v>176.77999999999997</v>
      </c>
      <c r="E169" s="14">
        <f t="shared" si="198"/>
        <v>383.1</v>
      </c>
      <c r="F169" s="14">
        <f t="shared" si="158"/>
        <v>51.5</v>
      </c>
      <c r="G169" s="14">
        <f t="shared" si="155"/>
        <v>145.09666666666666</v>
      </c>
      <c r="H169" s="14">
        <f t="shared" si="156"/>
        <v>756.47666666666669</v>
      </c>
      <c r="I169" s="188">
        <f t="shared" si="170"/>
        <v>21190</v>
      </c>
      <c r="J169" s="188">
        <f t="shared" si="171"/>
        <v>65491.689999999973</v>
      </c>
      <c r="K169" s="188">
        <f t="shared" si="172"/>
        <v>101983.16999999995</v>
      </c>
      <c r="L169" s="317">
        <f t="shared" si="143"/>
        <v>11</v>
      </c>
      <c r="M169" s="317">
        <f>IF(N169&lt;&gt;"",IF(N169=$O$5,0,+M168+1),0)</f>
        <v>141</v>
      </c>
      <c r="N169" s="188">
        <f t="shared" si="205"/>
        <v>278204.9599999999</v>
      </c>
      <c r="O169" s="188">
        <f>IF($O$11&lt;=A169,IF(+$W168&lt;=0,0,$O$8),0)</f>
        <v>2504.4299999999998</v>
      </c>
      <c r="P169" s="188">
        <f t="shared" si="212"/>
        <v>533.80999999999995</v>
      </c>
      <c r="Q169" s="188">
        <f>IF($O$11&lt;=A169,ROUND(N169*($O$7/12),2),0)</f>
        <v>1970.62</v>
      </c>
      <c r="R169" s="188">
        <f t="shared" si="161"/>
        <v>51.5</v>
      </c>
      <c r="S169" s="188">
        <f t="shared" si="162"/>
        <v>145.09666666666666</v>
      </c>
      <c r="T169" s="188">
        <f t="shared" si="159"/>
        <v>2701.0266666666666</v>
      </c>
      <c r="U169" s="188">
        <f t="shared" si="213"/>
        <v>48038.849999999969</v>
      </c>
      <c r="V169" s="188">
        <f t="shared" si="214"/>
        <v>307590.20999999967</v>
      </c>
      <c r="W169" s="188">
        <f t="shared" si="173"/>
        <v>277671.14999999991</v>
      </c>
      <c r="X169" s="395">
        <f t="shared" si="206"/>
        <v>50460</v>
      </c>
      <c r="Y169" s="188">
        <f t="shared" si="174"/>
        <v>278204.9599999999</v>
      </c>
      <c r="Z169" s="388">
        <f t="shared" si="199"/>
        <v>8.4999999999999992E-2</v>
      </c>
      <c r="AA169" s="188">
        <f t="shared" si="200"/>
        <v>2504.4299999999998</v>
      </c>
      <c r="AB169" s="188">
        <f t="shared" si="175"/>
        <v>533.80999999999995</v>
      </c>
      <c r="AC169" s="188">
        <f t="shared" si="201"/>
        <v>1970.62</v>
      </c>
      <c r="AD169" s="188">
        <f t="shared" ref="AD169:AE169" si="239">+AD168</f>
        <v>51.5</v>
      </c>
      <c r="AE169" s="188">
        <f t="shared" si="239"/>
        <v>145.09666666666666</v>
      </c>
      <c r="AF169" s="188">
        <f t="shared" si="177"/>
        <v>2701.0266666666666</v>
      </c>
      <c r="AG169" s="188">
        <f t="shared" si="178"/>
        <v>48038.849999999969</v>
      </c>
      <c r="AH169" s="188">
        <f t="shared" si="179"/>
        <v>307590.20999999967</v>
      </c>
      <c r="AI169" s="404">
        <f t="shared" si="164"/>
        <v>0</v>
      </c>
      <c r="AJ169" s="404">
        <f t="shared" si="226"/>
        <v>0</v>
      </c>
      <c r="AK169" s="404">
        <f t="shared" si="165"/>
        <v>0</v>
      </c>
      <c r="AL169" s="188">
        <f t="shared" si="180"/>
        <v>277671.14999999991</v>
      </c>
      <c r="AM169" s="317">
        <f t="shared" si="208"/>
        <v>11</v>
      </c>
      <c r="AN169" s="14">
        <f t="shared" si="166"/>
        <v>1944.5499999999997</v>
      </c>
      <c r="AO169" s="14">
        <f>IF(W169&lt;=0,0,+$AA$6-$C$2+I169-U169)</f>
        <v>176148.15000000002</v>
      </c>
      <c r="AP169" s="14">
        <f t="shared" si="167"/>
        <v>1944.5499999999997</v>
      </c>
      <c r="AS169" s="14">
        <f t="shared" si="203"/>
        <v>1944.5499999999997</v>
      </c>
      <c r="AT169" s="14">
        <f t="shared" si="209"/>
        <v>275645.53999999928</v>
      </c>
      <c r="AU169" s="188">
        <f>IF(W169&lt;=0,0,+($O$5+AV168)*$AQ$2/12)</f>
        <v>1193.1126186360757</v>
      </c>
      <c r="AV169" s="188">
        <f t="shared" si="210"/>
        <v>152728.16007306639</v>
      </c>
    </row>
    <row r="170" spans="1:48">
      <c r="A170" s="395">
        <f t="shared" si="169"/>
        <v>50490</v>
      </c>
      <c r="B170" s="188">
        <f t="shared" si="204"/>
        <v>101983.16999999995</v>
      </c>
      <c r="C170" s="14">
        <f t="shared" si="197"/>
        <v>559.88</v>
      </c>
      <c r="D170" s="14">
        <f t="shared" si="211"/>
        <v>177.44</v>
      </c>
      <c r="E170" s="14">
        <f t="shared" si="198"/>
        <v>382.44</v>
      </c>
      <c r="F170" s="14">
        <f t="shared" si="158"/>
        <v>51.5</v>
      </c>
      <c r="G170" s="14">
        <f t="shared" si="155"/>
        <v>145.09666666666666</v>
      </c>
      <c r="H170" s="14">
        <f t="shared" si="156"/>
        <v>756.47666666666669</v>
      </c>
      <c r="I170" s="188">
        <f t="shared" si="170"/>
        <v>21367.439999999999</v>
      </c>
      <c r="J170" s="188">
        <f t="shared" si="171"/>
        <v>65874.129999999976</v>
      </c>
      <c r="K170" s="188">
        <f t="shared" si="172"/>
        <v>101805.72999999995</v>
      </c>
      <c r="L170" s="317">
        <f t="shared" si="143"/>
        <v>11</v>
      </c>
      <c r="M170" s="317">
        <f>IF(N170&lt;&gt;"",IF(N170=$O$5,0,+M169+1),0)</f>
        <v>142</v>
      </c>
      <c r="N170" s="188">
        <f t="shared" si="205"/>
        <v>277671.14999999991</v>
      </c>
      <c r="O170" s="188">
        <f>IF($O$11&lt;=A170,IF(+$W169&lt;=0,0,$O$8),0)</f>
        <v>2504.4299999999998</v>
      </c>
      <c r="P170" s="188">
        <f t="shared" si="212"/>
        <v>537.58999999999992</v>
      </c>
      <c r="Q170" s="188">
        <f>IF($O$11&lt;=A170,ROUND(N170*($O$7/12),2),0)</f>
        <v>1966.84</v>
      </c>
      <c r="R170" s="188">
        <f t="shared" si="161"/>
        <v>51.5</v>
      </c>
      <c r="S170" s="188">
        <f t="shared" si="162"/>
        <v>145.09666666666666</v>
      </c>
      <c r="T170" s="188">
        <f t="shared" si="159"/>
        <v>2701.0266666666666</v>
      </c>
      <c r="U170" s="188">
        <f t="shared" si="213"/>
        <v>48576.439999999966</v>
      </c>
      <c r="V170" s="188">
        <f t="shared" si="214"/>
        <v>309557.0499999997</v>
      </c>
      <c r="W170" s="188">
        <f t="shared" si="173"/>
        <v>277133.55999999988</v>
      </c>
      <c r="X170" s="395">
        <f t="shared" si="206"/>
        <v>50490</v>
      </c>
      <c r="Y170" s="188">
        <f t="shared" si="174"/>
        <v>277671.14999999991</v>
      </c>
      <c r="Z170" s="388">
        <f t="shared" si="199"/>
        <v>8.4999999999999992E-2</v>
      </c>
      <c r="AA170" s="188">
        <f t="shared" si="200"/>
        <v>2504.4299999999998</v>
      </c>
      <c r="AB170" s="188">
        <f t="shared" si="175"/>
        <v>537.58999999999992</v>
      </c>
      <c r="AC170" s="188">
        <f t="shared" si="201"/>
        <v>1966.84</v>
      </c>
      <c r="AD170" s="188">
        <f t="shared" ref="AD170:AE170" si="240">+AD169</f>
        <v>51.5</v>
      </c>
      <c r="AE170" s="188">
        <f t="shared" si="240"/>
        <v>145.09666666666666</v>
      </c>
      <c r="AF170" s="188">
        <f t="shared" si="177"/>
        <v>2701.0266666666666</v>
      </c>
      <c r="AG170" s="188">
        <f t="shared" si="178"/>
        <v>48576.439999999966</v>
      </c>
      <c r="AH170" s="188">
        <f t="shared" si="179"/>
        <v>309557.0499999997</v>
      </c>
      <c r="AI170" s="404">
        <f t="shared" si="164"/>
        <v>0</v>
      </c>
      <c r="AJ170" s="404">
        <f t="shared" si="226"/>
        <v>0</v>
      </c>
      <c r="AK170" s="404">
        <f t="shared" si="165"/>
        <v>0</v>
      </c>
      <c r="AL170" s="188">
        <f t="shared" si="180"/>
        <v>277133.55999999988</v>
      </c>
      <c r="AM170" s="317">
        <f t="shared" si="208"/>
        <v>11</v>
      </c>
      <c r="AN170" s="14">
        <f t="shared" si="166"/>
        <v>1944.5499999999997</v>
      </c>
      <c r="AO170" s="14">
        <f>IF(W170&lt;=0,0,+$AA$6-$C$2+I170-U170)</f>
        <v>175788.00000000003</v>
      </c>
      <c r="AP170" s="14">
        <f t="shared" si="167"/>
        <v>1944.5499999999997</v>
      </c>
      <c r="AS170" s="14">
        <f t="shared" si="203"/>
        <v>1944.5499999999997</v>
      </c>
      <c r="AT170" s="14">
        <f t="shared" si="209"/>
        <v>277590.08999999927</v>
      </c>
      <c r="AU170" s="188">
        <f>IF(W170&lt;=0,0,+($O$5+AV169)*$AQ$2/12)</f>
        <v>1196.0954001826658</v>
      </c>
      <c r="AV170" s="188">
        <f t="shared" si="210"/>
        <v>153924.25547324907</v>
      </c>
    </row>
    <row r="171" spans="1:48" ht="15.75" thickBot="1">
      <c r="A171" s="398">
        <f t="shared" si="169"/>
        <v>50520</v>
      </c>
      <c r="B171" s="237">
        <f t="shared" si="204"/>
        <v>101805.72999999995</v>
      </c>
      <c r="C171" s="21">
        <f t="shared" si="197"/>
        <v>559.88</v>
      </c>
      <c r="D171" s="21">
        <f t="shared" si="211"/>
        <v>178.11</v>
      </c>
      <c r="E171" s="21">
        <f t="shared" si="198"/>
        <v>381.77</v>
      </c>
      <c r="F171" s="21">
        <f t="shared" si="158"/>
        <v>51.5</v>
      </c>
      <c r="G171" s="21">
        <f t="shared" si="155"/>
        <v>145.09666666666666</v>
      </c>
      <c r="H171" s="21">
        <f t="shared" si="156"/>
        <v>756.47666666666669</v>
      </c>
      <c r="I171" s="237">
        <f t="shared" si="170"/>
        <v>21545.55</v>
      </c>
      <c r="J171" s="237">
        <f t="shared" si="171"/>
        <v>66255.89999999998</v>
      </c>
      <c r="K171" s="237">
        <f t="shared" si="172"/>
        <v>101627.61999999995</v>
      </c>
      <c r="L171" s="318">
        <f t="shared" si="143"/>
        <v>11</v>
      </c>
      <c r="M171" s="318">
        <f>IF(N171&lt;&gt;"",IF(N171=$O$5,0,+M170+1),0)</f>
        <v>143</v>
      </c>
      <c r="N171" s="237">
        <f t="shared" si="205"/>
        <v>277133.55999999988</v>
      </c>
      <c r="O171" s="237">
        <f>IF($O$11&lt;=A171,IF(+$W170&lt;=0,0,$O$8),0)</f>
        <v>2504.4299999999998</v>
      </c>
      <c r="P171" s="237">
        <f t="shared" si="212"/>
        <v>541.39999999999986</v>
      </c>
      <c r="Q171" s="237">
        <f>IF($O$11&lt;=A171,ROUND(N171*($O$7/12),2),0)</f>
        <v>1963.03</v>
      </c>
      <c r="R171" s="237">
        <f t="shared" si="161"/>
        <v>51.5</v>
      </c>
      <c r="S171" s="237">
        <f t="shared" si="162"/>
        <v>145.09666666666666</v>
      </c>
      <c r="T171" s="237">
        <f t="shared" si="159"/>
        <v>2701.0266666666666</v>
      </c>
      <c r="U171" s="237">
        <f t="shared" si="213"/>
        <v>49117.839999999967</v>
      </c>
      <c r="V171" s="237">
        <f t="shared" si="214"/>
        <v>311520.07999999973</v>
      </c>
      <c r="W171" s="237">
        <f t="shared" si="173"/>
        <v>276592.15999999986</v>
      </c>
      <c r="X171" s="398">
        <f t="shared" si="206"/>
        <v>50520</v>
      </c>
      <c r="Y171" s="237">
        <f t="shared" si="174"/>
        <v>277133.55999999988</v>
      </c>
      <c r="Z171" s="389">
        <f t="shared" si="199"/>
        <v>8.4999999999999992E-2</v>
      </c>
      <c r="AA171" s="237">
        <f t="shared" si="200"/>
        <v>2504.4299999999998</v>
      </c>
      <c r="AB171" s="237">
        <f t="shared" si="175"/>
        <v>541.39999999999986</v>
      </c>
      <c r="AC171" s="237">
        <f t="shared" si="201"/>
        <v>1963.03</v>
      </c>
      <c r="AD171" s="237">
        <f t="shared" ref="AD171:AE171" si="241">+AD170</f>
        <v>51.5</v>
      </c>
      <c r="AE171" s="237">
        <f t="shared" si="241"/>
        <v>145.09666666666666</v>
      </c>
      <c r="AF171" s="237">
        <f t="shared" si="177"/>
        <v>2701.0266666666666</v>
      </c>
      <c r="AG171" s="237">
        <f t="shared" si="178"/>
        <v>49117.839999999967</v>
      </c>
      <c r="AH171" s="237">
        <f t="shared" si="179"/>
        <v>311520.07999999973</v>
      </c>
      <c r="AI171" s="405">
        <f t="shared" si="164"/>
        <v>0</v>
      </c>
      <c r="AJ171" s="405">
        <f t="shared" si="226"/>
        <v>0</v>
      </c>
      <c r="AK171" s="404">
        <f t="shared" si="165"/>
        <v>0</v>
      </c>
      <c r="AL171" s="237">
        <f t="shared" si="180"/>
        <v>276592.15999999986</v>
      </c>
      <c r="AM171" s="318">
        <f t="shared" si="208"/>
        <v>11</v>
      </c>
      <c r="AN171" s="21">
        <f t="shared" si="166"/>
        <v>1944.5499999999997</v>
      </c>
      <c r="AO171" s="21">
        <f>IF(W171&lt;=0,0,+$AA$6-$C$2+I171-U171)</f>
        <v>175424.71000000002</v>
      </c>
      <c r="AP171" s="21">
        <f t="shared" si="167"/>
        <v>1944.5499999999997</v>
      </c>
      <c r="AQ171" s="21"/>
      <c r="AR171" s="23"/>
      <c r="AS171" s="21">
        <f t="shared" si="203"/>
        <v>1944.5499999999997</v>
      </c>
      <c r="AT171" s="21">
        <f t="shared" si="209"/>
        <v>279534.63999999926</v>
      </c>
      <c r="AU171" s="237">
        <f>IF(W171&lt;=0,0,+($O$5+AV170)*$AQ$2/12)</f>
        <v>1199.0856386831226</v>
      </c>
      <c r="AV171" s="237">
        <f t="shared" si="210"/>
        <v>155123.34111193218</v>
      </c>
    </row>
    <row r="172" spans="1:48">
      <c r="A172" s="395">
        <f t="shared" si="169"/>
        <v>50550</v>
      </c>
      <c r="B172" s="188">
        <f t="shared" si="204"/>
        <v>101627.61999999995</v>
      </c>
      <c r="C172" s="14">
        <f t="shared" si="197"/>
        <v>559.88</v>
      </c>
      <c r="D172" s="14">
        <f t="shared" si="211"/>
        <v>178.77999999999997</v>
      </c>
      <c r="E172" s="14">
        <f t="shared" si="198"/>
        <v>381.1</v>
      </c>
      <c r="F172" s="14">
        <f t="shared" si="158"/>
        <v>51.5</v>
      </c>
      <c r="G172" s="14">
        <f t="shared" si="155"/>
        <v>145.09666666666666</v>
      </c>
      <c r="H172" s="14">
        <f t="shared" si="156"/>
        <v>756.47666666666669</v>
      </c>
      <c r="I172" s="188">
        <f t="shared" si="170"/>
        <v>21724.329999999998</v>
      </c>
      <c r="J172" s="188">
        <f t="shared" si="171"/>
        <v>66636.999999999985</v>
      </c>
      <c r="K172" s="188">
        <f t="shared" si="172"/>
        <v>101448.83999999995</v>
      </c>
      <c r="L172" s="317">
        <f t="shared" si="143"/>
        <v>12</v>
      </c>
      <c r="M172" s="317">
        <f>IF(N172&lt;&gt;"",IF(N172=$O$5,0,+M171+1),0)</f>
        <v>144</v>
      </c>
      <c r="N172" s="188">
        <f t="shared" si="205"/>
        <v>276592.15999999986</v>
      </c>
      <c r="O172" s="188">
        <f>IF($O$11&lt;=A172,IF(+$W171&lt;=0,0,$O$8),0)</f>
        <v>2504.4299999999998</v>
      </c>
      <c r="P172" s="188">
        <f t="shared" si="212"/>
        <v>545.23999999999978</v>
      </c>
      <c r="Q172" s="188">
        <f>IF($O$11&lt;=A172,ROUND(N172*($O$7/12),2),0)</f>
        <v>1959.19</v>
      </c>
      <c r="R172" s="188">
        <f t="shared" si="161"/>
        <v>51.5</v>
      </c>
      <c r="S172" s="188">
        <f t="shared" si="162"/>
        <v>145.09666666666666</v>
      </c>
      <c r="T172" s="188">
        <f t="shared" si="159"/>
        <v>2701.0266666666666</v>
      </c>
      <c r="U172" s="188">
        <f t="shared" si="213"/>
        <v>49663.079999999965</v>
      </c>
      <c r="V172" s="188">
        <f t="shared" si="214"/>
        <v>313479.26999999973</v>
      </c>
      <c r="W172" s="188">
        <f t="shared" si="173"/>
        <v>276046.91999999987</v>
      </c>
      <c r="X172" s="395">
        <f t="shared" si="206"/>
        <v>50550</v>
      </c>
      <c r="Y172" s="188">
        <f t="shared" si="174"/>
        <v>276592.15999999986</v>
      </c>
      <c r="Z172" s="388">
        <f t="shared" si="199"/>
        <v>8.4999999999999992E-2</v>
      </c>
      <c r="AA172" s="188">
        <f t="shared" si="200"/>
        <v>2504.4299999999998</v>
      </c>
      <c r="AB172" s="188">
        <f t="shared" si="175"/>
        <v>545.23999999999978</v>
      </c>
      <c r="AC172" s="188">
        <f t="shared" si="201"/>
        <v>1959.19</v>
      </c>
      <c r="AD172" s="188">
        <f t="shared" ref="AD172:AE172" si="242">+AD171</f>
        <v>51.5</v>
      </c>
      <c r="AE172" s="188">
        <f t="shared" si="242"/>
        <v>145.09666666666666</v>
      </c>
      <c r="AF172" s="188">
        <f t="shared" si="177"/>
        <v>2701.0266666666666</v>
      </c>
      <c r="AG172" s="188">
        <f t="shared" si="178"/>
        <v>49663.079999999965</v>
      </c>
      <c r="AH172" s="188">
        <f t="shared" si="179"/>
        <v>313479.26999999973</v>
      </c>
      <c r="AI172" s="404">
        <f t="shared" si="164"/>
        <v>0</v>
      </c>
      <c r="AJ172" s="404">
        <f t="shared" si="226"/>
        <v>0</v>
      </c>
      <c r="AK172" s="404">
        <f t="shared" si="165"/>
        <v>0</v>
      </c>
      <c r="AL172" s="188">
        <f t="shared" si="180"/>
        <v>276046.91999999987</v>
      </c>
      <c r="AM172" s="317">
        <f t="shared" si="208"/>
        <v>12</v>
      </c>
      <c r="AN172" s="14">
        <f t="shared" si="166"/>
        <v>1944.5499999999997</v>
      </c>
      <c r="AO172" s="14">
        <f>IF(W172&lt;=0,0,+$AA$6-$C$2+I172-U172)</f>
        <v>175058.25000000003</v>
      </c>
      <c r="AP172" s="14">
        <f t="shared" si="167"/>
        <v>1944.5499999999997</v>
      </c>
      <c r="AS172" s="14">
        <f t="shared" si="203"/>
        <v>1944.5499999999997</v>
      </c>
      <c r="AT172" s="14">
        <f t="shared" si="209"/>
        <v>281479.18999999925</v>
      </c>
      <c r="AU172" s="188">
        <f>IF(W172&lt;=0,0,+($O$5+AV171)*$AQ$2/12)</f>
        <v>1202.0833527798304</v>
      </c>
      <c r="AV172" s="188">
        <f t="shared" si="210"/>
        <v>156325.42446471201</v>
      </c>
    </row>
    <row r="173" spans="1:48">
      <c r="A173" s="395">
        <f t="shared" si="169"/>
        <v>50580</v>
      </c>
      <c r="B173" s="188">
        <f t="shared" si="204"/>
        <v>101448.83999999995</v>
      </c>
      <c r="C173" s="14">
        <f t="shared" si="197"/>
        <v>559.88</v>
      </c>
      <c r="D173" s="14">
        <f t="shared" si="211"/>
        <v>179.45</v>
      </c>
      <c r="E173" s="14">
        <f t="shared" si="198"/>
        <v>380.43</v>
      </c>
      <c r="F173" s="14">
        <f t="shared" si="158"/>
        <v>51.5</v>
      </c>
      <c r="G173" s="14">
        <f t="shared" si="155"/>
        <v>145.09666666666666</v>
      </c>
      <c r="H173" s="14">
        <f t="shared" si="156"/>
        <v>756.47666666666669</v>
      </c>
      <c r="I173" s="188">
        <f t="shared" si="170"/>
        <v>21903.78</v>
      </c>
      <c r="J173" s="188">
        <f t="shared" si="171"/>
        <v>67017.429999999978</v>
      </c>
      <c r="K173" s="188">
        <f t="shared" si="172"/>
        <v>101269.38999999996</v>
      </c>
      <c r="L173" s="317">
        <f t="shared" si="143"/>
        <v>12</v>
      </c>
      <c r="M173" s="317">
        <f>IF(N173&lt;&gt;"",IF(N173=$O$5,0,+M172+1),0)</f>
        <v>145</v>
      </c>
      <c r="N173" s="188">
        <f t="shared" si="205"/>
        <v>276046.91999999987</v>
      </c>
      <c r="O173" s="188">
        <f>IF($O$11&lt;=A173,IF(+$W172&lt;=0,0,$O$8),0)</f>
        <v>2504.4299999999998</v>
      </c>
      <c r="P173" s="188">
        <f t="shared" si="212"/>
        <v>549.09999999999991</v>
      </c>
      <c r="Q173" s="188">
        <f>IF($O$11&lt;=A173,ROUND(N173*($O$7/12),2),0)</f>
        <v>1955.33</v>
      </c>
      <c r="R173" s="188">
        <f t="shared" si="161"/>
        <v>51.5</v>
      </c>
      <c r="S173" s="188">
        <f t="shared" si="162"/>
        <v>145.09666666666666</v>
      </c>
      <c r="T173" s="188">
        <f t="shared" si="159"/>
        <v>2701.0266666666666</v>
      </c>
      <c r="U173" s="188">
        <f t="shared" si="213"/>
        <v>50212.179999999964</v>
      </c>
      <c r="V173" s="188">
        <f t="shared" si="214"/>
        <v>315434.59999999974</v>
      </c>
      <c r="W173" s="188">
        <f t="shared" si="173"/>
        <v>275497.81999999989</v>
      </c>
      <c r="X173" s="395">
        <f t="shared" si="206"/>
        <v>50580</v>
      </c>
      <c r="Y173" s="188">
        <f t="shared" si="174"/>
        <v>276046.91999999987</v>
      </c>
      <c r="Z173" s="388">
        <f t="shared" si="199"/>
        <v>8.4999999999999992E-2</v>
      </c>
      <c r="AA173" s="188">
        <f t="shared" si="200"/>
        <v>2504.4299999999998</v>
      </c>
      <c r="AB173" s="188">
        <f t="shared" si="175"/>
        <v>549.09999999999991</v>
      </c>
      <c r="AC173" s="188">
        <f t="shared" si="201"/>
        <v>1955.33</v>
      </c>
      <c r="AD173" s="188">
        <f t="shared" ref="AD173:AE173" si="243">+AD172</f>
        <v>51.5</v>
      </c>
      <c r="AE173" s="188">
        <f t="shared" si="243"/>
        <v>145.09666666666666</v>
      </c>
      <c r="AF173" s="188">
        <f t="shared" si="177"/>
        <v>2701.0266666666666</v>
      </c>
      <c r="AG173" s="188">
        <f t="shared" si="178"/>
        <v>50212.179999999964</v>
      </c>
      <c r="AH173" s="188">
        <f t="shared" si="179"/>
        <v>315434.59999999974</v>
      </c>
      <c r="AI173" s="404">
        <f t="shared" si="164"/>
        <v>0</v>
      </c>
      <c r="AJ173" s="404">
        <f t="shared" si="226"/>
        <v>0</v>
      </c>
      <c r="AK173" s="404">
        <f t="shared" si="165"/>
        <v>0</v>
      </c>
      <c r="AL173" s="188">
        <f t="shared" si="180"/>
        <v>275497.81999999989</v>
      </c>
      <c r="AM173" s="317">
        <f t="shared" si="208"/>
        <v>12</v>
      </c>
      <c r="AN173" s="14">
        <f t="shared" si="166"/>
        <v>1944.5499999999997</v>
      </c>
      <c r="AO173" s="14">
        <f>IF(W173&lt;=0,0,+$AA$6-$C$2+I173-U173)</f>
        <v>174688.60000000003</v>
      </c>
      <c r="AP173" s="14">
        <f t="shared" si="167"/>
        <v>1944.5499999999997</v>
      </c>
      <c r="AS173" s="14">
        <f t="shared" si="203"/>
        <v>1944.5499999999997</v>
      </c>
      <c r="AT173" s="14">
        <f t="shared" si="209"/>
        <v>283423.73999999923</v>
      </c>
      <c r="AU173" s="188">
        <f>IF(W173&lt;=0,0,+($O$5+AV172)*$AQ$2/12)</f>
        <v>1205.08856116178</v>
      </c>
      <c r="AV173" s="188">
        <f t="shared" si="210"/>
        <v>157530.51302587378</v>
      </c>
    </row>
    <row r="174" spans="1:48">
      <c r="A174" s="395">
        <f t="shared" si="169"/>
        <v>50610</v>
      </c>
      <c r="B174" s="188">
        <f t="shared" si="204"/>
        <v>101269.38999999996</v>
      </c>
      <c r="C174" s="14">
        <f t="shared" si="197"/>
        <v>559.88</v>
      </c>
      <c r="D174" s="14">
        <f t="shared" si="211"/>
        <v>180.12</v>
      </c>
      <c r="E174" s="14">
        <f t="shared" si="198"/>
        <v>379.76</v>
      </c>
      <c r="F174" s="14">
        <f t="shared" si="158"/>
        <v>51.5</v>
      </c>
      <c r="G174" s="14">
        <f t="shared" si="155"/>
        <v>145.09666666666666</v>
      </c>
      <c r="H174" s="14">
        <f t="shared" si="156"/>
        <v>756.47666666666669</v>
      </c>
      <c r="I174" s="188">
        <f t="shared" si="170"/>
        <v>22083.899999999998</v>
      </c>
      <c r="J174" s="188">
        <f t="shared" si="171"/>
        <v>67397.189999999973</v>
      </c>
      <c r="K174" s="188">
        <f t="shared" si="172"/>
        <v>101089.26999999996</v>
      </c>
      <c r="L174" s="317">
        <f t="shared" si="143"/>
        <v>12</v>
      </c>
      <c r="M174" s="317">
        <f>IF(N174&lt;&gt;"",IF(N174=$O$5,0,+M173+1),0)</f>
        <v>146</v>
      </c>
      <c r="N174" s="188">
        <f t="shared" si="205"/>
        <v>275497.81999999989</v>
      </c>
      <c r="O174" s="188">
        <f>IF($O$11&lt;=A174,IF(+$W173&lt;=0,0,$O$8),0)</f>
        <v>2504.4299999999998</v>
      </c>
      <c r="P174" s="188">
        <f t="shared" si="212"/>
        <v>552.98999999999978</v>
      </c>
      <c r="Q174" s="188">
        <f>IF($O$11&lt;=A174,ROUND(N174*($O$7/12),2),0)</f>
        <v>1951.44</v>
      </c>
      <c r="R174" s="188">
        <f t="shared" si="161"/>
        <v>51.5</v>
      </c>
      <c r="S174" s="188">
        <f t="shared" si="162"/>
        <v>145.09666666666666</v>
      </c>
      <c r="T174" s="188">
        <f t="shared" si="159"/>
        <v>2701.0266666666666</v>
      </c>
      <c r="U174" s="188">
        <f t="shared" si="213"/>
        <v>50765.169999999962</v>
      </c>
      <c r="V174" s="188">
        <f t="shared" si="214"/>
        <v>317386.03999999975</v>
      </c>
      <c r="W174" s="188">
        <f t="shared" si="173"/>
        <v>274944.8299999999</v>
      </c>
      <c r="X174" s="395">
        <f t="shared" si="206"/>
        <v>50610</v>
      </c>
      <c r="Y174" s="188">
        <f t="shared" si="174"/>
        <v>275497.81999999989</v>
      </c>
      <c r="Z174" s="388">
        <f t="shared" si="199"/>
        <v>8.4999999999999992E-2</v>
      </c>
      <c r="AA174" s="188">
        <f t="shared" si="200"/>
        <v>2504.4299999999998</v>
      </c>
      <c r="AB174" s="188">
        <f t="shared" si="175"/>
        <v>552.98999999999978</v>
      </c>
      <c r="AC174" s="188">
        <f t="shared" si="201"/>
        <v>1951.44</v>
      </c>
      <c r="AD174" s="188">
        <f t="shared" ref="AD174:AE174" si="244">+AD173</f>
        <v>51.5</v>
      </c>
      <c r="AE174" s="188">
        <f t="shared" si="244"/>
        <v>145.09666666666666</v>
      </c>
      <c r="AF174" s="188">
        <f t="shared" si="177"/>
        <v>2701.0266666666666</v>
      </c>
      <c r="AG174" s="188">
        <f t="shared" si="178"/>
        <v>50765.169999999962</v>
      </c>
      <c r="AH174" s="188">
        <f t="shared" si="179"/>
        <v>317386.03999999975</v>
      </c>
      <c r="AI174" s="404">
        <f t="shared" si="164"/>
        <v>0</v>
      </c>
      <c r="AJ174" s="404">
        <f t="shared" si="226"/>
        <v>0</v>
      </c>
      <c r="AK174" s="404">
        <f t="shared" si="165"/>
        <v>0</v>
      </c>
      <c r="AL174" s="188">
        <f t="shared" si="180"/>
        <v>274944.8299999999</v>
      </c>
      <c r="AM174" s="317">
        <f t="shared" si="208"/>
        <v>12</v>
      </c>
      <c r="AN174" s="14">
        <f t="shared" si="166"/>
        <v>1944.5499999999997</v>
      </c>
      <c r="AO174" s="14">
        <f>IF(W174&lt;=0,0,+$AA$6-$C$2+I174-U174)</f>
        <v>174315.73000000004</v>
      </c>
      <c r="AP174" s="14">
        <f t="shared" si="167"/>
        <v>1944.5499999999997</v>
      </c>
      <c r="AS174" s="14">
        <f t="shared" si="203"/>
        <v>1944.5499999999997</v>
      </c>
      <c r="AT174" s="14">
        <f t="shared" si="209"/>
        <v>285368.28999999922</v>
      </c>
      <c r="AU174" s="188">
        <f>IF(W174&lt;=0,0,+($O$5+AV173)*$AQ$2/12)</f>
        <v>1208.1012825646844</v>
      </c>
      <c r="AV174" s="188">
        <f t="shared" si="210"/>
        <v>158738.61430843847</v>
      </c>
    </row>
    <row r="175" spans="1:48">
      <c r="A175" s="395">
        <f t="shared" si="169"/>
        <v>50640</v>
      </c>
      <c r="B175" s="188">
        <f t="shared" si="204"/>
        <v>101089.26999999996</v>
      </c>
      <c r="C175" s="14">
        <f t="shared" si="197"/>
        <v>559.88</v>
      </c>
      <c r="D175" s="14">
        <f t="shared" si="211"/>
        <v>180.8</v>
      </c>
      <c r="E175" s="14">
        <f t="shared" si="198"/>
        <v>379.08</v>
      </c>
      <c r="F175" s="14">
        <f t="shared" si="158"/>
        <v>51.5</v>
      </c>
      <c r="G175" s="14">
        <f t="shared" si="155"/>
        <v>145.09666666666666</v>
      </c>
      <c r="H175" s="14">
        <f t="shared" si="156"/>
        <v>756.47666666666669</v>
      </c>
      <c r="I175" s="188">
        <f t="shared" si="170"/>
        <v>22264.699999999997</v>
      </c>
      <c r="J175" s="188">
        <f t="shared" si="171"/>
        <v>67776.269999999975</v>
      </c>
      <c r="K175" s="188">
        <f t="shared" si="172"/>
        <v>100908.46999999996</v>
      </c>
      <c r="L175" s="317">
        <f t="shared" si="143"/>
        <v>12</v>
      </c>
      <c r="M175" s="317">
        <f>IF(N175&lt;&gt;"",IF(N175=$O$5,0,+M174+1),0)</f>
        <v>147</v>
      </c>
      <c r="N175" s="188">
        <f t="shared" si="205"/>
        <v>274944.8299999999</v>
      </c>
      <c r="O175" s="188">
        <f>IF($O$11&lt;=A175,IF(+$W174&lt;=0,0,$O$8),0)</f>
        <v>2504.4299999999998</v>
      </c>
      <c r="P175" s="188">
        <f t="shared" si="212"/>
        <v>556.89999999999986</v>
      </c>
      <c r="Q175" s="188">
        <f>IF($O$11&lt;=A175,ROUND(N175*($O$7/12),2),0)</f>
        <v>1947.53</v>
      </c>
      <c r="R175" s="188">
        <f t="shared" si="161"/>
        <v>51.5</v>
      </c>
      <c r="S175" s="188">
        <f t="shared" si="162"/>
        <v>145.09666666666666</v>
      </c>
      <c r="T175" s="188">
        <f t="shared" si="159"/>
        <v>2701.0266666666666</v>
      </c>
      <c r="U175" s="188">
        <f t="shared" si="213"/>
        <v>51322.069999999963</v>
      </c>
      <c r="V175" s="188">
        <f t="shared" si="214"/>
        <v>319333.56999999977</v>
      </c>
      <c r="W175" s="188">
        <f t="shared" si="173"/>
        <v>274387.92999999988</v>
      </c>
      <c r="X175" s="395">
        <f t="shared" si="206"/>
        <v>50640</v>
      </c>
      <c r="Y175" s="188">
        <f t="shared" si="174"/>
        <v>274944.8299999999</v>
      </c>
      <c r="Z175" s="388">
        <f t="shared" si="199"/>
        <v>8.4999999999999992E-2</v>
      </c>
      <c r="AA175" s="188">
        <f t="shared" si="200"/>
        <v>2504.4299999999998</v>
      </c>
      <c r="AB175" s="188">
        <f t="shared" si="175"/>
        <v>556.89999999999986</v>
      </c>
      <c r="AC175" s="188">
        <f t="shared" si="201"/>
        <v>1947.53</v>
      </c>
      <c r="AD175" s="188">
        <f t="shared" ref="AD175:AE175" si="245">+AD174</f>
        <v>51.5</v>
      </c>
      <c r="AE175" s="188">
        <f t="shared" si="245"/>
        <v>145.09666666666666</v>
      </c>
      <c r="AF175" s="188">
        <f t="shared" si="177"/>
        <v>2701.0266666666666</v>
      </c>
      <c r="AG175" s="188">
        <f t="shared" si="178"/>
        <v>51322.069999999963</v>
      </c>
      <c r="AH175" s="188">
        <f t="shared" si="179"/>
        <v>319333.56999999977</v>
      </c>
      <c r="AI175" s="404">
        <f t="shared" si="164"/>
        <v>0</v>
      </c>
      <c r="AJ175" s="404">
        <f t="shared" si="226"/>
        <v>0</v>
      </c>
      <c r="AK175" s="404">
        <f t="shared" si="165"/>
        <v>0</v>
      </c>
      <c r="AL175" s="188">
        <f t="shared" si="180"/>
        <v>274387.92999999988</v>
      </c>
      <c r="AM175" s="317">
        <f t="shared" si="208"/>
        <v>12</v>
      </c>
      <c r="AN175" s="14">
        <f t="shared" si="166"/>
        <v>1944.5499999999997</v>
      </c>
      <c r="AO175" s="14">
        <f>IF(W175&lt;=0,0,+$AA$6-$C$2+I175-U175)</f>
        <v>173939.63000000006</v>
      </c>
      <c r="AP175" s="14">
        <f t="shared" si="167"/>
        <v>1944.5499999999997</v>
      </c>
      <c r="AS175" s="14">
        <f t="shared" si="203"/>
        <v>1944.5499999999997</v>
      </c>
      <c r="AT175" s="14">
        <f t="shared" si="209"/>
        <v>287312.83999999921</v>
      </c>
      <c r="AU175" s="188">
        <f>IF(W175&lt;=0,0,+($O$5+AV174)*$AQ$2/12)</f>
        <v>1211.1215357710962</v>
      </c>
      <c r="AV175" s="188">
        <f t="shared" si="210"/>
        <v>159949.73584420956</v>
      </c>
    </row>
    <row r="176" spans="1:48">
      <c r="A176" s="395">
        <f t="shared" si="169"/>
        <v>50670</v>
      </c>
      <c r="B176" s="188">
        <f t="shared" si="204"/>
        <v>100908.46999999996</v>
      </c>
      <c r="C176" s="14">
        <f t="shared" si="197"/>
        <v>559.88</v>
      </c>
      <c r="D176" s="14">
        <f t="shared" si="211"/>
        <v>181.46999999999997</v>
      </c>
      <c r="E176" s="14">
        <f t="shared" si="198"/>
        <v>378.41</v>
      </c>
      <c r="F176" s="14">
        <f t="shared" si="158"/>
        <v>51.5</v>
      </c>
      <c r="G176" s="14">
        <f t="shared" si="155"/>
        <v>145.09666666666666</v>
      </c>
      <c r="H176" s="14">
        <f t="shared" si="156"/>
        <v>756.47666666666669</v>
      </c>
      <c r="I176" s="188">
        <f t="shared" si="170"/>
        <v>22446.17</v>
      </c>
      <c r="J176" s="188">
        <f t="shared" si="171"/>
        <v>68154.679999999978</v>
      </c>
      <c r="K176" s="188">
        <f t="shared" si="172"/>
        <v>100726.99999999996</v>
      </c>
      <c r="L176" s="317">
        <f t="shared" ref="L176:L239" si="246">IF(MOD(M176,12)=0,M176/12,L175)</f>
        <v>12</v>
      </c>
      <c r="M176" s="317">
        <f>IF(N176&lt;&gt;"",IF(N176=$O$5,0,+M175+1),0)</f>
        <v>148</v>
      </c>
      <c r="N176" s="188">
        <f t="shared" si="205"/>
        <v>274387.92999999988</v>
      </c>
      <c r="O176" s="188">
        <f>IF($O$11&lt;=A176,IF(+$W175&lt;=0,0,$O$8),0)</f>
        <v>2504.4299999999998</v>
      </c>
      <c r="P176" s="188">
        <f t="shared" si="212"/>
        <v>560.84999999999991</v>
      </c>
      <c r="Q176" s="188">
        <f>IF($O$11&lt;=A176,ROUND(N176*($O$7/12),2),0)</f>
        <v>1943.58</v>
      </c>
      <c r="R176" s="188">
        <f t="shared" si="161"/>
        <v>51.5</v>
      </c>
      <c r="S176" s="188">
        <f t="shared" si="162"/>
        <v>145.09666666666666</v>
      </c>
      <c r="T176" s="188">
        <f t="shared" si="159"/>
        <v>2701.0266666666666</v>
      </c>
      <c r="U176" s="188">
        <f t="shared" si="213"/>
        <v>51882.919999999962</v>
      </c>
      <c r="V176" s="188">
        <f t="shared" si="214"/>
        <v>321277.14999999979</v>
      </c>
      <c r="W176" s="188">
        <f t="shared" si="173"/>
        <v>273827.0799999999</v>
      </c>
      <c r="X176" s="395">
        <f t="shared" si="206"/>
        <v>50670</v>
      </c>
      <c r="Y176" s="188">
        <f t="shared" si="174"/>
        <v>274387.92999999988</v>
      </c>
      <c r="Z176" s="388">
        <f t="shared" si="199"/>
        <v>8.4999999999999992E-2</v>
      </c>
      <c r="AA176" s="188">
        <f t="shared" si="200"/>
        <v>2504.4299999999998</v>
      </c>
      <c r="AB176" s="188">
        <f t="shared" si="175"/>
        <v>560.84999999999991</v>
      </c>
      <c r="AC176" s="188">
        <f t="shared" si="201"/>
        <v>1943.58</v>
      </c>
      <c r="AD176" s="188">
        <f t="shared" ref="AD176:AE176" si="247">+AD175</f>
        <v>51.5</v>
      </c>
      <c r="AE176" s="188">
        <f t="shared" si="247"/>
        <v>145.09666666666666</v>
      </c>
      <c r="AF176" s="188">
        <f t="shared" si="177"/>
        <v>2701.0266666666666</v>
      </c>
      <c r="AG176" s="188">
        <f t="shared" si="178"/>
        <v>51882.919999999962</v>
      </c>
      <c r="AH176" s="188">
        <f t="shared" si="179"/>
        <v>321277.14999999979</v>
      </c>
      <c r="AI176" s="404">
        <f t="shared" si="164"/>
        <v>0</v>
      </c>
      <c r="AJ176" s="404">
        <f t="shared" si="226"/>
        <v>0</v>
      </c>
      <c r="AK176" s="404">
        <f t="shared" si="165"/>
        <v>0</v>
      </c>
      <c r="AL176" s="188">
        <f t="shared" si="180"/>
        <v>273827.0799999999</v>
      </c>
      <c r="AM176" s="317">
        <f t="shared" si="208"/>
        <v>12</v>
      </c>
      <c r="AN176" s="14">
        <f t="shared" si="166"/>
        <v>1944.5499999999997</v>
      </c>
      <c r="AO176" s="14">
        <f>IF(W176&lt;=0,0,+$AA$6-$C$2+I176-U176)</f>
        <v>173560.25000000003</v>
      </c>
      <c r="AP176" s="14">
        <f t="shared" si="167"/>
        <v>1944.5499999999997</v>
      </c>
      <c r="AS176" s="14">
        <f t="shared" si="203"/>
        <v>1944.5499999999997</v>
      </c>
      <c r="AT176" s="14">
        <f t="shared" si="209"/>
        <v>289257.3899999992</v>
      </c>
      <c r="AU176" s="188">
        <f>IF(W176&lt;=0,0,+($O$5+AV175)*$AQ$2/12)</f>
        <v>1214.1493396105238</v>
      </c>
      <c r="AV176" s="188">
        <f t="shared" si="210"/>
        <v>161163.88518382009</v>
      </c>
    </row>
    <row r="177" spans="1:48">
      <c r="A177" s="395">
        <f t="shared" si="169"/>
        <v>50700</v>
      </c>
      <c r="B177" s="188">
        <f t="shared" si="204"/>
        <v>100726.99999999996</v>
      </c>
      <c r="C177" s="14">
        <f t="shared" si="197"/>
        <v>559.88</v>
      </c>
      <c r="D177" s="14">
        <f t="shared" si="211"/>
        <v>182.14999999999998</v>
      </c>
      <c r="E177" s="14">
        <f t="shared" si="198"/>
        <v>377.73</v>
      </c>
      <c r="F177" s="14">
        <f t="shared" si="158"/>
        <v>51.5</v>
      </c>
      <c r="G177" s="14">
        <f t="shared" si="155"/>
        <v>145.09666666666666</v>
      </c>
      <c r="H177" s="14">
        <f t="shared" si="156"/>
        <v>756.47666666666669</v>
      </c>
      <c r="I177" s="188">
        <f t="shared" si="170"/>
        <v>22628.32</v>
      </c>
      <c r="J177" s="188">
        <f t="shared" si="171"/>
        <v>68532.409999999974</v>
      </c>
      <c r="K177" s="188">
        <f t="shared" si="172"/>
        <v>100544.84999999996</v>
      </c>
      <c r="L177" s="317">
        <f t="shared" si="246"/>
        <v>12</v>
      </c>
      <c r="M177" s="317">
        <f>IF(N177&lt;&gt;"",IF(N177=$O$5,0,+M176+1),0)</f>
        <v>149</v>
      </c>
      <c r="N177" s="188">
        <f t="shared" si="205"/>
        <v>273827.0799999999</v>
      </c>
      <c r="O177" s="188">
        <f>IF($O$11&lt;=A177,IF(+$W176&lt;=0,0,$O$8),0)</f>
        <v>2504.4299999999998</v>
      </c>
      <c r="P177" s="188">
        <f t="shared" si="212"/>
        <v>564.81999999999994</v>
      </c>
      <c r="Q177" s="188">
        <f>IF($O$11&lt;=A177,ROUND(N177*($O$7/12),2),0)</f>
        <v>1939.61</v>
      </c>
      <c r="R177" s="188">
        <f t="shared" si="161"/>
        <v>51.5</v>
      </c>
      <c r="S177" s="188">
        <f t="shared" si="162"/>
        <v>145.09666666666666</v>
      </c>
      <c r="T177" s="188">
        <f t="shared" si="159"/>
        <v>2701.0266666666666</v>
      </c>
      <c r="U177" s="188">
        <f t="shared" si="213"/>
        <v>52447.739999999962</v>
      </c>
      <c r="V177" s="188">
        <f t="shared" si="214"/>
        <v>323216.75999999978</v>
      </c>
      <c r="W177" s="188">
        <f t="shared" si="173"/>
        <v>273262.25999999989</v>
      </c>
      <c r="X177" s="395">
        <f t="shared" si="206"/>
        <v>50700</v>
      </c>
      <c r="Y177" s="188">
        <f t="shared" si="174"/>
        <v>273827.0799999999</v>
      </c>
      <c r="Z177" s="388">
        <f t="shared" si="199"/>
        <v>8.4999999999999992E-2</v>
      </c>
      <c r="AA177" s="188">
        <f t="shared" si="200"/>
        <v>2504.4299999999998</v>
      </c>
      <c r="AB177" s="188">
        <f t="shared" si="175"/>
        <v>564.81999999999994</v>
      </c>
      <c r="AC177" s="188">
        <f t="shared" si="201"/>
        <v>1939.61</v>
      </c>
      <c r="AD177" s="188">
        <f t="shared" ref="AD177:AE177" si="248">+AD176</f>
        <v>51.5</v>
      </c>
      <c r="AE177" s="188">
        <f t="shared" si="248"/>
        <v>145.09666666666666</v>
      </c>
      <c r="AF177" s="188">
        <f t="shared" si="177"/>
        <v>2701.0266666666666</v>
      </c>
      <c r="AG177" s="188">
        <f t="shared" si="178"/>
        <v>52447.739999999962</v>
      </c>
      <c r="AH177" s="188">
        <f t="shared" si="179"/>
        <v>323216.75999999978</v>
      </c>
      <c r="AI177" s="404">
        <f t="shared" si="164"/>
        <v>0</v>
      </c>
      <c r="AJ177" s="404">
        <f t="shared" si="226"/>
        <v>0</v>
      </c>
      <c r="AK177" s="404">
        <f t="shared" si="165"/>
        <v>0</v>
      </c>
      <c r="AL177" s="188">
        <f t="shared" si="180"/>
        <v>273262.25999999989</v>
      </c>
      <c r="AM177" s="317">
        <f t="shared" si="208"/>
        <v>12</v>
      </c>
      <c r="AN177" s="14">
        <f t="shared" si="166"/>
        <v>1944.5499999999997</v>
      </c>
      <c r="AO177" s="14">
        <f>IF(W177&lt;=0,0,+$AA$6-$C$2+I177-U177)</f>
        <v>173177.58000000005</v>
      </c>
      <c r="AP177" s="14">
        <f t="shared" si="167"/>
        <v>1944.5499999999997</v>
      </c>
      <c r="AS177" s="14">
        <f t="shared" si="203"/>
        <v>1944.5499999999997</v>
      </c>
      <c r="AT177" s="14">
        <f t="shared" si="209"/>
        <v>291201.93999999919</v>
      </c>
      <c r="AU177" s="188">
        <f>IF(W177&lt;=0,0,+($O$5+AV176)*$AQ$2/12)</f>
        <v>1217.1847129595501</v>
      </c>
      <c r="AV177" s="188">
        <f t="shared" si="210"/>
        <v>162381.06989677963</v>
      </c>
    </row>
    <row r="178" spans="1:48">
      <c r="A178" s="395">
        <f t="shared" si="169"/>
        <v>50730</v>
      </c>
      <c r="B178" s="188">
        <f t="shared" si="204"/>
        <v>100544.84999999996</v>
      </c>
      <c r="C178" s="14">
        <f t="shared" si="197"/>
        <v>559.88</v>
      </c>
      <c r="D178" s="14">
        <f t="shared" si="211"/>
        <v>182.83999999999997</v>
      </c>
      <c r="E178" s="14">
        <f t="shared" si="198"/>
        <v>377.04</v>
      </c>
      <c r="F178" s="14">
        <f t="shared" si="158"/>
        <v>51.5</v>
      </c>
      <c r="G178" s="14">
        <f t="shared" si="155"/>
        <v>145.09666666666666</v>
      </c>
      <c r="H178" s="14">
        <f t="shared" si="156"/>
        <v>756.47666666666669</v>
      </c>
      <c r="I178" s="188">
        <f t="shared" si="170"/>
        <v>22811.16</v>
      </c>
      <c r="J178" s="188">
        <f t="shared" si="171"/>
        <v>68909.449999999968</v>
      </c>
      <c r="K178" s="188">
        <f t="shared" si="172"/>
        <v>100362.00999999997</v>
      </c>
      <c r="L178" s="317">
        <f t="shared" si="246"/>
        <v>12</v>
      </c>
      <c r="M178" s="317">
        <f>IF(N178&lt;&gt;"",IF(N178=$O$5,0,+M177+1),0)</f>
        <v>150</v>
      </c>
      <c r="N178" s="188">
        <f t="shared" si="205"/>
        <v>273262.25999999989</v>
      </c>
      <c r="O178" s="188">
        <f>IF($O$11&lt;=A178,IF(+$W177&lt;=0,0,$O$8),0)</f>
        <v>2504.4299999999998</v>
      </c>
      <c r="P178" s="188">
        <f t="shared" si="212"/>
        <v>568.81999999999994</v>
      </c>
      <c r="Q178" s="188">
        <f>IF($O$11&lt;=A178,ROUND(N178*($O$7/12),2),0)</f>
        <v>1935.61</v>
      </c>
      <c r="R178" s="188">
        <f t="shared" si="161"/>
        <v>51.5</v>
      </c>
      <c r="S178" s="188">
        <f t="shared" si="162"/>
        <v>145.09666666666666</v>
      </c>
      <c r="T178" s="188">
        <f t="shared" si="159"/>
        <v>2701.0266666666666</v>
      </c>
      <c r="U178" s="188">
        <f t="shared" si="213"/>
        <v>53016.559999999961</v>
      </c>
      <c r="V178" s="188">
        <f t="shared" si="214"/>
        <v>325152.36999999976</v>
      </c>
      <c r="W178" s="188">
        <f t="shared" si="173"/>
        <v>272693.43999999989</v>
      </c>
      <c r="X178" s="395">
        <f t="shared" si="206"/>
        <v>50730</v>
      </c>
      <c r="Y178" s="188">
        <f t="shared" si="174"/>
        <v>273262.25999999989</v>
      </c>
      <c r="Z178" s="388">
        <f t="shared" si="199"/>
        <v>8.4999999999999992E-2</v>
      </c>
      <c r="AA178" s="188">
        <f t="shared" si="200"/>
        <v>2504.4299999999998</v>
      </c>
      <c r="AB178" s="188">
        <f t="shared" si="175"/>
        <v>568.81999999999994</v>
      </c>
      <c r="AC178" s="188">
        <f t="shared" si="201"/>
        <v>1935.61</v>
      </c>
      <c r="AD178" s="188">
        <f t="shared" ref="AD178:AE178" si="249">+AD177</f>
        <v>51.5</v>
      </c>
      <c r="AE178" s="188">
        <f t="shared" si="249"/>
        <v>145.09666666666666</v>
      </c>
      <c r="AF178" s="188">
        <f t="shared" si="177"/>
        <v>2701.0266666666666</v>
      </c>
      <c r="AG178" s="188">
        <f t="shared" si="178"/>
        <v>53016.559999999961</v>
      </c>
      <c r="AH178" s="188">
        <f t="shared" si="179"/>
        <v>325152.36999999976</v>
      </c>
      <c r="AI178" s="404">
        <f t="shared" si="164"/>
        <v>0</v>
      </c>
      <c r="AJ178" s="404">
        <f t="shared" si="226"/>
        <v>0</v>
      </c>
      <c r="AK178" s="404">
        <f t="shared" si="165"/>
        <v>0</v>
      </c>
      <c r="AL178" s="188">
        <f t="shared" si="180"/>
        <v>272693.43999999989</v>
      </c>
      <c r="AM178" s="317">
        <f t="shared" si="208"/>
        <v>12</v>
      </c>
      <c r="AN178" s="14">
        <f t="shared" si="166"/>
        <v>1944.5499999999997</v>
      </c>
      <c r="AO178" s="14">
        <f>IF(W178&lt;=0,0,+$AA$6-$C$2+I178-U178)</f>
        <v>172791.60000000003</v>
      </c>
      <c r="AP178" s="14">
        <f t="shared" si="167"/>
        <v>1944.5499999999997</v>
      </c>
      <c r="AS178" s="14">
        <f t="shared" si="203"/>
        <v>1944.5499999999997</v>
      </c>
      <c r="AT178" s="14">
        <f t="shared" si="209"/>
        <v>293146.48999999918</v>
      </c>
      <c r="AU178" s="188">
        <f>IF(W178&lt;=0,0,+($O$5+AV177)*$AQ$2/12)</f>
        <v>1220.2276747419489</v>
      </c>
      <c r="AV178" s="188">
        <f t="shared" si="210"/>
        <v>163601.29757152157</v>
      </c>
    </row>
    <row r="179" spans="1:48">
      <c r="A179" s="395">
        <f t="shared" si="169"/>
        <v>50760</v>
      </c>
      <c r="B179" s="188">
        <f t="shared" si="204"/>
        <v>100362.00999999997</v>
      </c>
      <c r="C179" s="14">
        <f t="shared" si="197"/>
        <v>559.88</v>
      </c>
      <c r="D179" s="14">
        <f t="shared" si="211"/>
        <v>183.51999999999998</v>
      </c>
      <c r="E179" s="14">
        <f t="shared" si="198"/>
        <v>376.36</v>
      </c>
      <c r="F179" s="14">
        <f t="shared" si="158"/>
        <v>51.5</v>
      </c>
      <c r="G179" s="14">
        <f t="shared" si="155"/>
        <v>145.09666666666666</v>
      </c>
      <c r="H179" s="14">
        <f t="shared" si="156"/>
        <v>756.47666666666669</v>
      </c>
      <c r="I179" s="188">
        <f t="shared" si="170"/>
        <v>22994.68</v>
      </c>
      <c r="J179" s="188">
        <f t="shared" si="171"/>
        <v>69285.809999999969</v>
      </c>
      <c r="K179" s="188">
        <f t="shared" si="172"/>
        <v>100178.48999999996</v>
      </c>
      <c r="L179" s="317">
        <f t="shared" si="246"/>
        <v>12</v>
      </c>
      <c r="M179" s="317">
        <f>IF(N179&lt;&gt;"",IF(N179=$O$5,0,+M178+1),0)</f>
        <v>151</v>
      </c>
      <c r="N179" s="188">
        <f t="shared" si="205"/>
        <v>272693.43999999989</v>
      </c>
      <c r="O179" s="188">
        <f>IF($O$11&lt;=A179,IF(+$W178&lt;=0,0,$O$8),0)</f>
        <v>2504.4299999999998</v>
      </c>
      <c r="P179" s="188">
        <f t="shared" si="212"/>
        <v>572.84999999999991</v>
      </c>
      <c r="Q179" s="188">
        <f>IF($O$11&lt;=A179,ROUND(N179*($O$7/12),2),0)</f>
        <v>1931.58</v>
      </c>
      <c r="R179" s="188">
        <f t="shared" si="161"/>
        <v>51.5</v>
      </c>
      <c r="S179" s="188">
        <f t="shared" si="162"/>
        <v>145.09666666666666</v>
      </c>
      <c r="T179" s="188">
        <f t="shared" si="159"/>
        <v>2701.0266666666666</v>
      </c>
      <c r="U179" s="188">
        <f t="shared" si="213"/>
        <v>53589.40999999996</v>
      </c>
      <c r="V179" s="188">
        <f t="shared" si="214"/>
        <v>327083.94999999978</v>
      </c>
      <c r="W179" s="188">
        <f t="shared" si="173"/>
        <v>272120.58999999991</v>
      </c>
      <c r="X179" s="395">
        <f t="shared" si="206"/>
        <v>50760</v>
      </c>
      <c r="Y179" s="188">
        <f t="shared" si="174"/>
        <v>272693.43999999989</v>
      </c>
      <c r="Z179" s="388">
        <f t="shared" si="199"/>
        <v>8.4999999999999992E-2</v>
      </c>
      <c r="AA179" s="188">
        <f t="shared" si="200"/>
        <v>2504.4299999999998</v>
      </c>
      <c r="AB179" s="188">
        <f t="shared" si="175"/>
        <v>572.84999999999991</v>
      </c>
      <c r="AC179" s="188">
        <f t="shared" si="201"/>
        <v>1931.58</v>
      </c>
      <c r="AD179" s="188">
        <f t="shared" ref="AD179:AE179" si="250">+AD178</f>
        <v>51.5</v>
      </c>
      <c r="AE179" s="188">
        <f t="shared" si="250"/>
        <v>145.09666666666666</v>
      </c>
      <c r="AF179" s="188">
        <f t="shared" si="177"/>
        <v>2701.0266666666666</v>
      </c>
      <c r="AG179" s="188">
        <f t="shared" si="178"/>
        <v>53589.40999999996</v>
      </c>
      <c r="AH179" s="188">
        <f t="shared" si="179"/>
        <v>327083.94999999978</v>
      </c>
      <c r="AI179" s="404">
        <f t="shared" si="164"/>
        <v>0</v>
      </c>
      <c r="AJ179" s="404">
        <f t="shared" si="226"/>
        <v>0</v>
      </c>
      <c r="AK179" s="404">
        <f t="shared" si="165"/>
        <v>0</v>
      </c>
      <c r="AL179" s="188">
        <f t="shared" si="180"/>
        <v>272120.58999999991</v>
      </c>
      <c r="AM179" s="317">
        <f t="shared" si="208"/>
        <v>12</v>
      </c>
      <c r="AN179" s="14">
        <f t="shared" si="166"/>
        <v>1944.5499999999997</v>
      </c>
      <c r="AO179" s="14">
        <f>IF(W179&lt;=0,0,+$AA$6-$C$2+I179-U179)</f>
        <v>172402.27000000002</v>
      </c>
      <c r="AP179" s="14">
        <f t="shared" si="167"/>
        <v>1944.5499999999997</v>
      </c>
      <c r="AS179" s="14">
        <f t="shared" si="203"/>
        <v>1944.5499999999997</v>
      </c>
      <c r="AT179" s="14">
        <f t="shared" si="209"/>
        <v>295091.03999999916</v>
      </c>
      <c r="AU179" s="188">
        <f>IF(W179&lt;=0,0,+($O$5+AV178)*$AQ$2/12)</f>
        <v>1223.2782439288039</v>
      </c>
      <c r="AV179" s="188">
        <f t="shared" si="210"/>
        <v>164824.57581545037</v>
      </c>
    </row>
    <row r="180" spans="1:48">
      <c r="A180" s="395">
        <f t="shared" si="169"/>
        <v>50790</v>
      </c>
      <c r="B180" s="188">
        <f t="shared" si="204"/>
        <v>100178.48999999996</v>
      </c>
      <c r="C180" s="14">
        <f t="shared" si="197"/>
        <v>559.88</v>
      </c>
      <c r="D180" s="14">
        <f t="shared" si="211"/>
        <v>184.20999999999998</v>
      </c>
      <c r="E180" s="14">
        <f t="shared" si="198"/>
        <v>375.67</v>
      </c>
      <c r="F180" s="14">
        <f t="shared" si="158"/>
        <v>51.5</v>
      </c>
      <c r="G180" s="14">
        <f t="shared" si="155"/>
        <v>145.09666666666666</v>
      </c>
      <c r="H180" s="14">
        <f t="shared" si="156"/>
        <v>756.47666666666669</v>
      </c>
      <c r="I180" s="188">
        <f t="shared" si="170"/>
        <v>23178.89</v>
      </c>
      <c r="J180" s="188">
        <f t="shared" si="171"/>
        <v>69661.479999999967</v>
      </c>
      <c r="K180" s="188">
        <f t="shared" si="172"/>
        <v>99994.279999999955</v>
      </c>
      <c r="L180" s="317">
        <f t="shared" si="246"/>
        <v>12</v>
      </c>
      <c r="M180" s="317">
        <f>IF(N180&lt;&gt;"",IF(N180=$O$5,0,+M179+1),0)</f>
        <v>152</v>
      </c>
      <c r="N180" s="188">
        <f t="shared" si="205"/>
        <v>272120.58999999991</v>
      </c>
      <c r="O180" s="188">
        <f>IF($O$11&lt;=A180,IF(+$W179&lt;=0,0,$O$8),0)</f>
        <v>2504.4299999999998</v>
      </c>
      <c r="P180" s="188">
        <f t="shared" si="212"/>
        <v>576.90999999999985</v>
      </c>
      <c r="Q180" s="188">
        <f>IF($O$11&lt;=A180,ROUND(N180*($O$7/12),2),0)</f>
        <v>1927.52</v>
      </c>
      <c r="R180" s="188">
        <f t="shared" si="161"/>
        <v>51.5</v>
      </c>
      <c r="S180" s="188">
        <f t="shared" si="162"/>
        <v>145.09666666666666</v>
      </c>
      <c r="T180" s="188">
        <f t="shared" si="159"/>
        <v>2701.0266666666666</v>
      </c>
      <c r="U180" s="188">
        <f t="shared" si="213"/>
        <v>54166.319999999963</v>
      </c>
      <c r="V180" s="188">
        <f t="shared" si="214"/>
        <v>329011.4699999998</v>
      </c>
      <c r="W180" s="188">
        <f t="shared" si="173"/>
        <v>271543.67999999993</v>
      </c>
      <c r="X180" s="395">
        <f t="shared" si="206"/>
        <v>50790</v>
      </c>
      <c r="Y180" s="188">
        <f t="shared" si="174"/>
        <v>272120.58999999991</v>
      </c>
      <c r="Z180" s="388">
        <f t="shared" si="199"/>
        <v>8.4999999999999992E-2</v>
      </c>
      <c r="AA180" s="188">
        <f t="shared" si="200"/>
        <v>2504.4299999999998</v>
      </c>
      <c r="AB180" s="188">
        <f t="shared" si="175"/>
        <v>576.90999999999985</v>
      </c>
      <c r="AC180" s="188">
        <f t="shared" si="201"/>
        <v>1927.52</v>
      </c>
      <c r="AD180" s="188">
        <f t="shared" ref="AD180:AE180" si="251">+AD179</f>
        <v>51.5</v>
      </c>
      <c r="AE180" s="188">
        <f t="shared" si="251"/>
        <v>145.09666666666666</v>
      </c>
      <c r="AF180" s="188">
        <f t="shared" si="177"/>
        <v>2701.0266666666666</v>
      </c>
      <c r="AG180" s="188">
        <f t="shared" si="178"/>
        <v>54166.319999999963</v>
      </c>
      <c r="AH180" s="188">
        <f t="shared" si="179"/>
        <v>329011.4699999998</v>
      </c>
      <c r="AI180" s="404">
        <f t="shared" si="164"/>
        <v>0</v>
      </c>
      <c r="AJ180" s="404">
        <f t="shared" si="226"/>
        <v>0</v>
      </c>
      <c r="AK180" s="404">
        <f t="shared" si="165"/>
        <v>0</v>
      </c>
      <c r="AL180" s="188">
        <f t="shared" si="180"/>
        <v>271543.67999999993</v>
      </c>
      <c r="AM180" s="317">
        <f t="shared" si="208"/>
        <v>12</v>
      </c>
      <c r="AN180" s="14">
        <f t="shared" si="166"/>
        <v>1944.5499999999997</v>
      </c>
      <c r="AO180" s="14">
        <f>IF(W180&lt;=0,0,+$AA$6-$C$2+I180-U180)</f>
        <v>172009.57000000007</v>
      </c>
      <c r="AP180" s="14">
        <f t="shared" si="167"/>
        <v>1944.5499999999997</v>
      </c>
      <c r="AS180" s="14">
        <f t="shared" si="203"/>
        <v>1944.5499999999997</v>
      </c>
      <c r="AT180" s="14">
        <f t="shared" si="209"/>
        <v>297035.58999999915</v>
      </c>
      <c r="AU180" s="188">
        <f>IF(W180&lt;=0,0,+($O$5+AV179)*$AQ$2/12)</f>
        <v>1226.3364395386259</v>
      </c>
      <c r="AV180" s="188">
        <f t="shared" si="210"/>
        <v>166050.912254989</v>
      </c>
    </row>
    <row r="181" spans="1:48">
      <c r="A181" s="395">
        <f t="shared" si="169"/>
        <v>50820</v>
      </c>
      <c r="B181" s="188">
        <f t="shared" si="204"/>
        <v>99994.279999999955</v>
      </c>
      <c r="C181" s="14">
        <f t="shared" si="197"/>
        <v>559.88</v>
      </c>
      <c r="D181" s="14">
        <f t="shared" si="211"/>
        <v>184.89999999999998</v>
      </c>
      <c r="E181" s="14">
        <f t="shared" si="198"/>
        <v>374.98</v>
      </c>
      <c r="F181" s="14">
        <f t="shared" si="158"/>
        <v>51.5</v>
      </c>
      <c r="G181" s="14">
        <f t="shared" si="155"/>
        <v>145.09666666666666</v>
      </c>
      <c r="H181" s="14">
        <f t="shared" si="156"/>
        <v>756.47666666666669</v>
      </c>
      <c r="I181" s="188">
        <f t="shared" si="170"/>
        <v>23363.79</v>
      </c>
      <c r="J181" s="188">
        <f t="shared" si="171"/>
        <v>70036.459999999963</v>
      </c>
      <c r="K181" s="188">
        <f t="shared" si="172"/>
        <v>99809.379999999961</v>
      </c>
      <c r="L181" s="317">
        <f t="shared" si="246"/>
        <v>12</v>
      </c>
      <c r="M181" s="317">
        <f>IF(N181&lt;&gt;"",IF(N181=$O$5,0,+M180+1),0)</f>
        <v>153</v>
      </c>
      <c r="N181" s="188">
        <f t="shared" si="205"/>
        <v>271543.67999999993</v>
      </c>
      <c r="O181" s="188">
        <f>IF($O$11&lt;=A181,IF(+$W180&lt;=0,0,$O$8),0)</f>
        <v>2504.4299999999998</v>
      </c>
      <c r="P181" s="188">
        <f t="shared" si="212"/>
        <v>580.99999999999977</v>
      </c>
      <c r="Q181" s="188">
        <f>IF($O$11&lt;=A181,ROUND(N181*($O$7/12),2),0)</f>
        <v>1923.43</v>
      </c>
      <c r="R181" s="188">
        <f t="shared" si="161"/>
        <v>51.5</v>
      </c>
      <c r="S181" s="188">
        <f t="shared" si="162"/>
        <v>145.09666666666666</v>
      </c>
      <c r="T181" s="188">
        <f t="shared" si="159"/>
        <v>2701.0266666666666</v>
      </c>
      <c r="U181" s="188">
        <f t="shared" si="213"/>
        <v>54747.319999999963</v>
      </c>
      <c r="V181" s="188">
        <f t="shared" si="214"/>
        <v>330934.89999999979</v>
      </c>
      <c r="W181" s="188">
        <f t="shared" si="173"/>
        <v>270962.67999999993</v>
      </c>
      <c r="X181" s="395">
        <f t="shared" si="206"/>
        <v>50820</v>
      </c>
      <c r="Y181" s="188">
        <f t="shared" si="174"/>
        <v>271543.67999999993</v>
      </c>
      <c r="Z181" s="388">
        <f t="shared" si="199"/>
        <v>8.4999999999999992E-2</v>
      </c>
      <c r="AA181" s="188">
        <f t="shared" si="200"/>
        <v>2504.4299999999998</v>
      </c>
      <c r="AB181" s="188">
        <f t="shared" si="175"/>
        <v>580.99999999999977</v>
      </c>
      <c r="AC181" s="188">
        <f t="shared" si="201"/>
        <v>1923.43</v>
      </c>
      <c r="AD181" s="188">
        <f t="shared" ref="AD181:AE181" si="252">+AD180</f>
        <v>51.5</v>
      </c>
      <c r="AE181" s="188">
        <f t="shared" si="252"/>
        <v>145.09666666666666</v>
      </c>
      <c r="AF181" s="188">
        <f t="shared" si="177"/>
        <v>2701.0266666666666</v>
      </c>
      <c r="AG181" s="188">
        <f t="shared" si="178"/>
        <v>54747.319999999963</v>
      </c>
      <c r="AH181" s="188">
        <f t="shared" si="179"/>
        <v>330934.89999999979</v>
      </c>
      <c r="AI181" s="404">
        <f t="shared" si="164"/>
        <v>0</v>
      </c>
      <c r="AJ181" s="404">
        <f t="shared" si="226"/>
        <v>0</v>
      </c>
      <c r="AK181" s="404">
        <f t="shared" si="165"/>
        <v>0</v>
      </c>
      <c r="AL181" s="188">
        <f t="shared" si="180"/>
        <v>270962.67999999993</v>
      </c>
      <c r="AM181" s="317">
        <f t="shared" si="208"/>
        <v>12</v>
      </c>
      <c r="AN181" s="14">
        <f t="shared" si="166"/>
        <v>1944.5499999999997</v>
      </c>
      <c r="AO181" s="14">
        <f>IF(W181&lt;=0,0,+$AA$6-$C$2+I181-U181)</f>
        <v>171613.47000000003</v>
      </c>
      <c r="AP181" s="14">
        <f t="shared" si="167"/>
        <v>1944.5499999999997</v>
      </c>
      <c r="AS181" s="14">
        <f t="shared" si="203"/>
        <v>1944.5499999999997</v>
      </c>
      <c r="AT181" s="14">
        <f t="shared" si="209"/>
        <v>298980.13999999914</v>
      </c>
      <c r="AU181" s="188">
        <f>IF(W181&lt;=0,0,+($O$5+AV180)*$AQ$2/12)</f>
        <v>1229.4022806374726</v>
      </c>
      <c r="AV181" s="188">
        <f t="shared" si="210"/>
        <v>167280.31453562647</v>
      </c>
    </row>
    <row r="182" spans="1:48">
      <c r="A182" s="395">
        <f t="shared" si="169"/>
        <v>50850</v>
      </c>
      <c r="B182" s="188">
        <f t="shared" si="204"/>
        <v>99809.379999999961</v>
      </c>
      <c r="C182" s="14">
        <f t="shared" si="197"/>
        <v>559.88</v>
      </c>
      <c r="D182" s="14">
        <f t="shared" si="211"/>
        <v>185.58999999999997</v>
      </c>
      <c r="E182" s="14">
        <f t="shared" si="198"/>
        <v>374.29</v>
      </c>
      <c r="F182" s="14">
        <f t="shared" si="158"/>
        <v>51.5</v>
      </c>
      <c r="G182" s="14">
        <f t="shared" si="155"/>
        <v>145.09666666666666</v>
      </c>
      <c r="H182" s="14">
        <f t="shared" si="156"/>
        <v>756.47666666666669</v>
      </c>
      <c r="I182" s="188">
        <f t="shared" si="170"/>
        <v>23549.38</v>
      </c>
      <c r="J182" s="188">
        <f t="shared" si="171"/>
        <v>70410.749999999956</v>
      </c>
      <c r="K182" s="188">
        <f t="shared" si="172"/>
        <v>99623.789999999964</v>
      </c>
      <c r="L182" s="317">
        <f t="shared" si="246"/>
        <v>12</v>
      </c>
      <c r="M182" s="317">
        <f>IF(N182&lt;&gt;"",IF(N182=$O$5,0,+M181+1),0)</f>
        <v>154</v>
      </c>
      <c r="N182" s="188">
        <f t="shared" si="205"/>
        <v>270962.67999999993</v>
      </c>
      <c r="O182" s="188">
        <f>IF($O$11&lt;=A182,IF(+$W181&lt;=0,0,$O$8),0)</f>
        <v>2504.4299999999998</v>
      </c>
      <c r="P182" s="188">
        <f t="shared" si="212"/>
        <v>585.1099999999999</v>
      </c>
      <c r="Q182" s="188">
        <f>IF($O$11&lt;=A182,ROUND(N182*($O$7/12),2),0)</f>
        <v>1919.32</v>
      </c>
      <c r="R182" s="188">
        <f t="shared" si="161"/>
        <v>51.5</v>
      </c>
      <c r="S182" s="188">
        <f t="shared" si="162"/>
        <v>145.09666666666666</v>
      </c>
      <c r="T182" s="188">
        <f t="shared" si="159"/>
        <v>2701.0266666666666</v>
      </c>
      <c r="U182" s="188">
        <f t="shared" si="213"/>
        <v>55332.429999999964</v>
      </c>
      <c r="V182" s="188">
        <f t="shared" si="214"/>
        <v>332854.2199999998</v>
      </c>
      <c r="W182" s="188">
        <f t="shared" si="173"/>
        <v>270377.56999999995</v>
      </c>
      <c r="X182" s="395">
        <f t="shared" si="206"/>
        <v>50850</v>
      </c>
      <c r="Y182" s="188">
        <f t="shared" si="174"/>
        <v>270962.67999999993</v>
      </c>
      <c r="Z182" s="388">
        <f t="shared" si="199"/>
        <v>8.4999999999999992E-2</v>
      </c>
      <c r="AA182" s="188">
        <f t="shared" si="200"/>
        <v>2504.4299999999998</v>
      </c>
      <c r="AB182" s="188">
        <f t="shared" si="175"/>
        <v>585.1099999999999</v>
      </c>
      <c r="AC182" s="188">
        <f t="shared" si="201"/>
        <v>1919.32</v>
      </c>
      <c r="AD182" s="188">
        <f t="shared" ref="AD182:AE182" si="253">+AD181</f>
        <v>51.5</v>
      </c>
      <c r="AE182" s="188">
        <f t="shared" si="253"/>
        <v>145.09666666666666</v>
      </c>
      <c r="AF182" s="188">
        <f t="shared" si="177"/>
        <v>2701.0266666666666</v>
      </c>
      <c r="AG182" s="188">
        <f t="shared" si="178"/>
        <v>55332.429999999964</v>
      </c>
      <c r="AH182" s="188">
        <f t="shared" si="179"/>
        <v>332854.2199999998</v>
      </c>
      <c r="AI182" s="404">
        <f t="shared" si="164"/>
        <v>0</v>
      </c>
      <c r="AJ182" s="404">
        <f t="shared" si="226"/>
        <v>0</v>
      </c>
      <c r="AK182" s="404">
        <f t="shared" si="165"/>
        <v>0</v>
      </c>
      <c r="AL182" s="188">
        <f t="shared" si="180"/>
        <v>270377.56999999995</v>
      </c>
      <c r="AM182" s="317">
        <f t="shared" si="208"/>
        <v>12</v>
      </c>
      <c r="AN182" s="14">
        <f t="shared" si="166"/>
        <v>1944.5499999999997</v>
      </c>
      <c r="AO182" s="14">
        <f>IF(W182&lt;=0,0,+$AA$6-$C$2+I182-U182)</f>
        <v>171213.95000000004</v>
      </c>
      <c r="AP182" s="14">
        <f t="shared" si="167"/>
        <v>1944.5499999999997</v>
      </c>
      <c r="AS182" s="14">
        <f t="shared" si="203"/>
        <v>1944.5499999999997</v>
      </c>
      <c r="AT182" s="14">
        <f t="shared" si="209"/>
        <v>300924.68999999913</v>
      </c>
      <c r="AU182" s="188">
        <f>IF(W182&lt;=0,0,+($O$5+AV181)*$AQ$2/12)</f>
        <v>1232.4757863390662</v>
      </c>
      <c r="AV182" s="188">
        <f t="shared" si="210"/>
        <v>168512.79032196553</v>
      </c>
    </row>
    <row r="183" spans="1:48" ht="15.75" thickBot="1">
      <c r="A183" s="398">
        <f t="shared" si="169"/>
        <v>50880</v>
      </c>
      <c r="B183" s="237">
        <f t="shared" si="204"/>
        <v>99623.789999999964</v>
      </c>
      <c r="C183" s="21">
        <f t="shared" si="197"/>
        <v>559.88</v>
      </c>
      <c r="D183" s="21">
        <f t="shared" si="211"/>
        <v>186.29000000000002</v>
      </c>
      <c r="E183" s="21">
        <f t="shared" si="198"/>
        <v>373.59</v>
      </c>
      <c r="F183" s="21">
        <f t="shared" si="158"/>
        <v>51.5</v>
      </c>
      <c r="G183" s="21">
        <f t="shared" si="155"/>
        <v>145.09666666666666</v>
      </c>
      <c r="H183" s="21">
        <f t="shared" si="156"/>
        <v>756.47666666666669</v>
      </c>
      <c r="I183" s="237">
        <f t="shared" si="170"/>
        <v>23735.670000000002</v>
      </c>
      <c r="J183" s="237">
        <f t="shared" si="171"/>
        <v>70784.339999999953</v>
      </c>
      <c r="K183" s="237">
        <f t="shared" si="172"/>
        <v>99437.499999999971</v>
      </c>
      <c r="L183" s="318">
        <f t="shared" si="246"/>
        <v>12</v>
      </c>
      <c r="M183" s="318">
        <f>IF(N183&lt;&gt;"",IF(N183=$O$5,0,+M182+1),0)</f>
        <v>155</v>
      </c>
      <c r="N183" s="237">
        <f t="shared" si="205"/>
        <v>270377.56999999995</v>
      </c>
      <c r="O183" s="237">
        <f>IF($O$11&lt;=A183,IF(+$W182&lt;=0,0,$O$8),0)</f>
        <v>2504.4299999999998</v>
      </c>
      <c r="P183" s="237">
        <f t="shared" si="212"/>
        <v>589.25999999999976</v>
      </c>
      <c r="Q183" s="237">
        <f>IF($O$11&lt;=A183,ROUND(N183*($O$7/12),2),0)</f>
        <v>1915.17</v>
      </c>
      <c r="R183" s="237">
        <f t="shared" si="161"/>
        <v>51.5</v>
      </c>
      <c r="S183" s="237">
        <f t="shared" si="162"/>
        <v>145.09666666666666</v>
      </c>
      <c r="T183" s="237">
        <f t="shared" si="159"/>
        <v>2701.0266666666666</v>
      </c>
      <c r="U183" s="237">
        <f t="shared" si="213"/>
        <v>55921.689999999966</v>
      </c>
      <c r="V183" s="237">
        <f t="shared" si="214"/>
        <v>334769.38999999978</v>
      </c>
      <c r="W183" s="237">
        <f t="shared" si="173"/>
        <v>269788.30999999994</v>
      </c>
      <c r="X183" s="398">
        <f t="shared" si="206"/>
        <v>50880</v>
      </c>
      <c r="Y183" s="237">
        <f t="shared" si="174"/>
        <v>270377.56999999995</v>
      </c>
      <c r="Z183" s="389">
        <f t="shared" si="199"/>
        <v>8.4999999999999992E-2</v>
      </c>
      <c r="AA183" s="237">
        <f t="shared" si="200"/>
        <v>2504.4299999999998</v>
      </c>
      <c r="AB183" s="237">
        <f t="shared" si="175"/>
        <v>589.25999999999976</v>
      </c>
      <c r="AC183" s="237">
        <f t="shared" si="201"/>
        <v>1915.17</v>
      </c>
      <c r="AD183" s="237">
        <f t="shared" ref="AD183:AE183" si="254">+AD182</f>
        <v>51.5</v>
      </c>
      <c r="AE183" s="237">
        <f t="shared" si="254"/>
        <v>145.09666666666666</v>
      </c>
      <c r="AF183" s="237">
        <f t="shared" si="177"/>
        <v>2701.0266666666666</v>
      </c>
      <c r="AG183" s="237">
        <f t="shared" si="178"/>
        <v>55921.689999999966</v>
      </c>
      <c r="AH183" s="237">
        <f t="shared" si="179"/>
        <v>334769.38999999978</v>
      </c>
      <c r="AI183" s="405">
        <f t="shared" si="164"/>
        <v>0</v>
      </c>
      <c r="AJ183" s="405">
        <f t="shared" si="226"/>
        <v>0</v>
      </c>
      <c r="AK183" s="404">
        <f t="shared" si="165"/>
        <v>0</v>
      </c>
      <c r="AL183" s="237">
        <f t="shared" si="180"/>
        <v>269788.30999999994</v>
      </c>
      <c r="AM183" s="318">
        <f t="shared" si="208"/>
        <v>12</v>
      </c>
      <c r="AN183" s="21">
        <f t="shared" si="166"/>
        <v>1944.5499999999997</v>
      </c>
      <c r="AO183" s="21">
        <f>IF(W183&lt;=0,0,+$AA$6-$C$2+I183-U183)</f>
        <v>170810.98000000004</v>
      </c>
      <c r="AP183" s="21">
        <f t="shared" si="167"/>
        <v>1944.5499999999997</v>
      </c>
      <c r="AQ183" s="21"/>
      <c r="AR183" s="23"/>
      <c r="AS183" s="21">
        <f t="shared" si="203"/>
        <v>1944.5499999999997</v>
      </c>
      <c r="AT183" s="21">
        <f t="shared" si="209"/>
        <v>302869.23999999912</v>
      </c>
      <c r="AU183" s="237">
        <f>IF(W183&lt;=0,0,+($O$5+AV182)*$AQ$2/12)</f>
        <v>1235.5569758049139</v>
      </c>
      <c r="AV183" s="237">
        <f t="shared" si="210"/>
        <v>169748.34729777044</v>
      </c>
    </row>
    <row r="184" spans="1:48">
      <c r="A184" s="395">
        <f t="shared" si="169"/>
        <v>50910</v>
      </c>
      <c r="B184" s="188">
        <f t="shared" si="204"/>
        <v>99437.499999999971</v>
      </c>
      <c r="C184" s="14">
        <f t="shared" si="197"/>
        <v>559.88</v>
      </c>
      <c r="D184" s="14">
        <f t="shared" si="211"/>
        <v>186.99</v>
      </c>
      <c r="E184" s="14">
        <f t="shared" si="198"/>
        <v>372.89</v>
      </c>
      <c r="F184" s="14">
        <f t="shared" si="158"/>
        <v>51.5</v>
      </c>
      <c r="G184" s="14">
        <f t="shared" si="155"/>
        <v>145.09666666666666</v>
      </c>
      <c r="H184" s="14">
        <f t="shared" si="156"/>
        <v>756.47666666666669</v>
      </c>
      <c r="I184" s="188">
        <f t="shared" si="170"/>
        <v>23922.660000000003</v>
      </c>
      <c r="J184" s="188">
        <f t="shared" si="171"/>
        <v>71157.229999999952</v>
      </c>
      <c r="K184" s="188">
        <f t="shared" si="172"/>
        <v>99250.509999999966</v>
      </c>
      <c r="L184" s="317">
        <f t="shared" si="246"/>
        <v>13</v>
      </c>
      <c r="M184" s="317">
        <f>IF(N184&lt;&gt;"",IF(N184=$O$5,0,+M183+1),0)</f>
        <v>156</v>
      </c>
      <c r="N184" s="188">
        <f t="shared" si="205"/>
        <v>269788.30999999994</v>
      </c>
      <c r="O184" s="188">
        <f>IF($O$11&lt;=A184,IF(+$W183&lt;=0,0,$O$8),0)</f>
        <v>2504.4299999999998</v>
      </c>
      <c r="P184" s="188">
        <f t="shared" si="212"/>
        <v>593.42999999999984</v>
      </c>
      <c r="Q184" s="188">
        <f>IF($O$11&lt;=A184,ROUND(N184*($O$7/12),2),0)</f>
        <v>1911</v>
      </c>
      <c r="R184" s="188">
        <f t="shared" si="161"/>
        <v>51.5</v>
      </c>
      <c r="S184" s="188">
        <f t="shared" si="162"/>
        <v>145.09666666666666</v>
      </c>
      <c r="T184" s="188">
        <f t="shared" si="159"/>
        <v>2701.0266666666666</v>
      </c>
      <c r="U184" s="188">
        <f t="shared" si="213"/>
        <v>56515.119999999966</v>
      </c>
      <c r="V184" s="188">
        <f t="shared" si="214"/>
        <v>336680.38999999978</v>
      </c>
      <c r="W184" s="188">
        <f t="shared" si="173"/>
        <v>269194.87999999995</v>
      </c>
      <c r="X184" s="395">
        <f t="shared" si="206"/>
        <v>50910</v>
      </c>
      <c r="Y184" s="188">
        <f t="shared" si="174"/>
        <v>269788.30999999994</v>
      </c>
      <c r="Z184" s="388">
        <f t="shared" si="199"/>
        <v>8.4999999999999992E-2</v>
      </c>
      <c r="AA184" s="188">
        <f t="shared" si="200"/>
        <v>2504.4299999999998</v>
      </c>
      <c r="AB184" s="188">
        <f t="shared" si="175"/>
        <v>593.42999999999984</v>
      </c>
      <c r="AC184" s="188">
        <f t="shared" si="201"/>
        <v>1911</v>
      </c>
      <c r="AD184" s="188">
        <f t="shared" ref="AD184:AE184" si="255">+AD183</f>
        <v>51.5</v>
      </c>
      <c r="AE184" s="188">
        <f t="shared" si="255"/>
        <v>145.09666666666666</v>
      </c>
      <c r="AF184" s="188">
        <f t="shared" si="177"/>
        <v>2701.0266666666666</v>
      </c>
      <c r="AG184" s="188">
        <f t="shared" si="178"/>
        <v>56515.119999999966</v>
      </c>
      <c r="AH184" s="188">
        <f t="shared" si="179"/>
        <v>336680.38999999978</v>
      </c>
      <c r="AI184" s="404">
        <f t="shared" si="164"/>
        <v>0</v>
      </c>
      <c r="AJ184" s="404">
        <f t="shared" si="226"/>
        <v>0</v>
      </c>
      <c r="AK184" s="404">
        <f t="shared" si="165"/>
        <v>0</v>
      </c>
      <c r="AL184" s="188">
        <f t="shared" si="180"/>
        <v>269194.87999999995</v>
      </c>
      <c r="AM184" s="317">
        <f t="shared" si="208"/>
        <v>13</v>
      </c>
      <c r="AN184" s="14">
        <f t="shared" si="166"/>
        <v>1944.5499999999997</v>
      </c>
      <c r="AO184" s="14">
        <f>IF(W184&lt;=0,0,+$AA$6-$C$2+I184-U184)</f>
        <v>170404.54000000004</v>
      </c>
      <c r="AP184" s="14">
        <f t="shared" si="167"/>
        <v>1944.5499999999997</v>
      </c>
      <c r="AS184" s="14">
        <f t="shared" si="203"/>
        <v>1944.5499999999997</v>
      </c>
      <c r="AT184" s="14">
        <f t="shared" si="209"/>
        <v>304813.78999999911</v>
      </c>
      <c r="AU184" s="188">
        <f>IF(W184&lt;=0,0,+($O$5+AV183)*$AQ$2/12)</f>
        <v>1238.6458682444261</v>
      </c>
      <c r="AV184" s="188">
        <f t="shared" si="210"/>
        <v>170986.99316601487</v>
      </c>
    </row>
    <row r="185" spans="1:48">
      <c r="A185" s="395">
        <f t="shared" si="169"/>
        <v>50940</v>
      </c>
      <c r="B185" s="188">
        <f t="shared" si="204"/>
        <v>99250.509999999966</v>
      </c>
      <c r="C185" s="14">
        <f t="shared" si="197"/>
        <v>559.88</v>
      </c>
      <c r="D185" s="14">
        <f t="shared" si="211"/>
        <v>187.69</v>
      </c>
      <c r="E185" s="14">
        <f t="shared" si="198"/>
        <v>372.19</v>
      </c>
      <c r="F185" s="14">
        <f t="shared" si="158"/>
        <v>51.5</v>
      </c>
      <c r="G185" s="14">
        <f t="shared" si="155"/>
        <v>145.09666666666666</v>
      </c>
      <c r="H185" s="14">
        <f t="shared" si="156"/>
        <v>756.47666666666669</v>
      </c>
      <c r="I185" s="188">
        <f t="shared" si="170"/>
        <v>24110.350000000002</v>
      </c>
      <c r="J185" s="188">
        <f t="shared" si="171"/>
        <v>71529.419999999955</v>
      </c>
      <c r="K185" s="188">
        <f t="shared" si="172"/>
        <v>99062.819999999963</v>
      </c>
      <c r="L185" s="317">
        <f t="shared" si="246"/>
        <v>13</v>
      </c>
      <c r="M185" s="317">
        <f>IF(N185&lt;&gt;"",IF(N185=$O$5,0,+M184+1),0)</f>
        <v>157</v>
      </c>
      <c r="N185" s="188">
        <f t="shared" si="205"/>
        <v>269194.87999999995</v>
      </c>
      <c r="O185" s="188">
        <f>IF($O$11&lt;=A185,IF(+$W184&lt;=0,0,$O$8),0)</f>
        <v>2504.4299999999998</v>
      </c>
      <c r="P185" s="188">
        <f t="shared" si="212"/>
        <v>597.62999999999988</v>
      </c>
      <c r="Q185" s="188">
        <f>IF($O$11&lt;=A185,ROUND(N185*($O$7/12),2),0)</f>
        <v>1906.8</v>
      </c>
      <c r="R185" s="188">
        <f t="shared" si="161"/>
        <v>51.5</v>
      </c>
      <c r="S185" s="188">
        <f t="shared" si="162"/>
        <v>145.09666666666666</v>
      </c>
      <c r="T185" s="188">
        <f t="shared" si="159"/>
        <v>2701.0266666666666</v>
      </c>
      <c r="U185" s="188">
        <f t="shared" si="213"/>
        <v>57112.749999999964</v>
      </c>
      <c r="V185" s="188">
        <f t="shared" si="214"/>
        <v>338587.18999999977</v>
      </c>
      <c r="W185" s="188">
        <f t="shared" si="173"/>
        <v>268597.24999999994</v>
      </c>
      <c r="X185" s="395">
        <f t="shared" si="206"/>
        <v>50940</v>
      </c>
      <c r="Y185" s="188">
        <f t="shared" si="174"/>
        <v>269194.87999999995</v>
      </c>
      <c r="Z185" s="388">
        <f t="shared" si="199"/>
        <v>8.4999999999999992E-2</v>
      </c>
      <c r="AA185" s="188">
        <f t="shared" si="200"/>
        <v>2504.4299999999998</v>
      </c>
      <c r="AB185" s="188">
        <f t="shared" si="175"/>
        <v>597.62999999999988</v>
      </c>
      <c r="AC185" s="188">
        <f t="shared" si="201"/>
        <v>1906.8</v>
      </c>
      <c r="AD185" s="188">
        <f t="shared" ref="AD185:AE185" si="256">+AD184</f>
        <v>51.5</v>
      </c>
      <c r="AE185" s="188">
        <f t="shared" si="256"/>
        <v>145.09666666666666</v>
      </c>
      <c r="AF185" s="188">
        <f t="shared" si="177"/>
        <v>2701.0266666666666</v>
      </c>
      <c r="AG185" s="188">
        <f t="shared" si="178"/>
        <v>57112.749999999964</v>
      </c>
      <c r="AH185" s="188">
        <f t="shared" si="179"/>
        <v>338587.18999999977</v>
      </c>
      <c r="AI185" s="404">
        <f t="shared" si="164"/>
        <v>0</v>
      </c>
      <c r="AJ185" s="404">
        <f t="shared" si="226"/>
        <v>0</v>
      </c>
      <c r="AK185" s="404">
        <f t="shared" si="165"/>
        <v>0</v>
      </c>
      <c r="AL185" s="188">
        <f t="shared" si="180"/>
        <v>268597.24999999994</v>
      </c>
      <c r="AM185" s="317">
        <f t="shared" si="208"/>
        <v>13</v>
      </c>
      <c r="AN185" s="14">
        <f t="shared" si="166"/>
        <v>1944.5499999999997</v>
      </c>
      <c r="AO185" s="14">
        <f>IF(W185&lt;=0,0,+$AA$6-$C$2+I185-U185)</f>
        <v>169994.60000000003</v>
      </c>
      <c r="AP185" s="14">
        <f t="shared" si="167"/>
        <v>1944.5499999999997</v>
      </c>
      <c r="AS185" s="14">
        <f t="shared" si="203"/>
        <v>1944.5499999999997</v>
      </c>
      <c r="AT185" s="14">
        <f t="shared" si="209"/>
        <v>306758.33999999909</v>
      </c>
      <c r="AU185" s="188">
        <f>IF(W185&lt;=0,0,+($O$5+AV184)*$AQ$2/12)</f>
        <v>1241.7424829150373</v>
      </c>
      <c r="AV185" s="188">
        <f t="shared" si="210"/>
        <v>172228.7356489299</v>
      </c>
    </row>
    <row r="186" spans="1:48">
      <c r="A186" s="395">
        <f t="shared" si="169"/>
        <v>50970</v>
      </c>
      <c r="B186" s="188">
        <f t="shared" si="204"/>
        <v>99062.819999999963</v>
      </c>
      <c r="C186" s="14">
        <f t="shared" si="197"/>
        <v>559.88</v>
      </c>
      <c r="D186" s="14">
        <f t="shared" si="211"/>
        <v>188.39</v>
      </c>
      <c r="E186" s="14">
        <f t="shared" si="198"/>
        <v>371.49</v>
      </c>
      <c r="F186" s="14">
        <f t="shared" si="158"/>
        <v>51.5</v>
      </c>
      <c r="G186" s="14">
        <f t="shared" si="155"/>
        <v>145.09666666666666</v>
      </c>
      <c r="H186" s="14">
        <f t="shared" si="156"/>
        <v>756.47666666666669</v>
      </c>
      <c r="I186" s="188">
        <f t="shared" si="170"/>
        <v>24298.74</v>
      </c>
      <c r="J186" s="188">
        <f t="shared" si="171"/>
        <v>71900.90999999996</v>
      </c>
      <c r="K186" s="188">
        <f t="shared" si="172"/>
        <v>98874.429999999964</v>
      </c>
      <c r="L186" s="317">
        <f t="shared" si="246"/>
        <v>13</v>
      </c>
      <c r="M186" s="317">
        <f>IF(N186&lt;&gt;"",IF(N186=$O$5,0,+M185+1),0)</f>
        <v>158</v>
      </c>
      <c r="N186" s="188">
        <f t="shared" si="205"/>
        <v>268597.24999999994</v>
      </c>
      <c r="O186" s="188">
        <f>IF($O$11&lt;=A186,IF(+$W185&lt;=0,0,$O$8),0)</f>
        <v>2504.4299999999998</v>
      </c>
      <c r="P186" s="188">
        <f t="shared" si="212"/>
        <v>601.86999999999989</v>
      </c>
      <c r="Q186" s="188">
        <f>IF($O$11&lt;=A186,ROUND(N186*($O$7/12),2),0)</f>
        <v>1902.56</v>
      </c>
      <c r="R186" s="188">
        <f t="shared" si="161"/>
        <v>51.5</v>
      </c>
      <c r="S186" s="188">
        <f t="shared" si="162"/>
        <v>145.09666666666666</v>
      </c>
      <c r="T186" s="188">
        <f t="shared" si="159"/>
        <v>2701.0266666666666</v>
      </c>
      <c r="U186" s="188">
        <f t="shared" si="213"/>
        <v>57714.619999999966</v>
      </c>
      <c r="V186" s="188">
        <f t="shared" si="214"/>
        <v>340489.74999999977</v>
      </c>
      <c r="W186" s="188">
        <f t="shared" si="173"/>
        <v>267995.37999999995</v>
      </c>
      <c r="X186" s="395">
        <f t="shared" si="206"/>
        <v>50970</v>
      </c>
      <c r="Y186" s="188">
        <f t="shared" si="174"/>
        <v>268597.24999999994</v>
      </c>
      <c r="Z186" s="388">
        <f t="shared" si="199"/>
        <v>8.4999999999999992E-2</v>
      </c>
      <c r="AA186" s="188">
        <f t="shared" si="200"/>
        <v>2504.4299999999998</v>
      </c>
      <c r="AB186" s="188">
        <f t="shared" si="175"/>
        <v>601.86999999999989</v>
      </c>
      <c r="AC186" s="188">
        <f t="shared" si="201"/>
        <v>1902.56</v>
      </c>
      <c r="AD186" s="188">
        <f t="shared" ref="AD186:AE186" si="257">+AD185</f>
        <v>51.5</v>
      </c>
      <c r="AE186" s="188">
        <f t="shared" si="257"/>
        <v>145.09666666666666</v>
      </c>
      <c r="AF186" s="188">
        <f t="shared" si="177"/>
        <v>2701.0266666666666</v>
      </c>
      <c r="AG186" s="188">
        <f t="shared" si="178"/>
        <v>57714.619999999966</v>
      </c>
      <c r="AH186" s="188">
        <f t="shared" si="179"/>
        <v>340489.74999999977</v>
      </c>
      <c r="AI186" s="404">
        <f t="shared" si="164"/>
        <v>0</v>
      </c>
      <c r="AJ186" s="404">
        <f t="shared" si="226"/>
        <v>0</v>
      </c>
      <c r="AK186" s="404">
        <f t="shared" si="165"/>
        <v>0</v>
      </c>
      <c r="AL186" s="188">
        <f t="shared" si="180"/>
        <v>267995.37999999995</v>
      </c>
      <c r="AM186" s="317">
        <f t="shared" si="208"/>
        <v>13</v>
      </c>
      <c r="AN186" s="14">
        <f t="shared" si="166"/>
        <v>1944.5499999999997</v>
      </c>
      <c r="AO186" s="14">
        <f>IF(W186&lt;=0,0,+$AA$6-$C$2+I186-U186)</f>
        <v>169581.12000000002</v>
      </c>
      <c r="AP186" s="14">
        <f t="shared" si="167"/>
        <v>1944.5499999999997</v>
      </c>
      <c r="AS186" s="14">
        <f t="shared" si="203"/>
        <v>1944.5499999999997</v>
      </c>
      <c r="AT186" s="14">
        <f t="shared" si="209"/>
        <v>308702.88999999908</v>
      </c>
      <c r="AU186" s="188">
        <f>IF(W186&lt;=0,0,+($O$5+AV185)*$AQ$2/12)</f>
        <v>1244.8468391223248</v>
      </c>
      <c r="AV186" s="188">
        <f t="shared" si="210"/>
        <v>173473.58248805223</v>
      </c>
    </row>
    <row r="187" spans="1:48">
      <c r="A187" s="395">
        <f t="shared" si="169"/>
        <v>51000</v>
      </c>
      <c r="B187" s="188">
        <f t="shared" si="204"/>
        <v>98874.429999999964</v>
      </c>
      <c r="C187" s="14">
        <f t="shared" si="197"/>
        <v>559.88</v>
      </c>
      <c r="D187" s="14">
        <f t="shared" si="211"/>
        <v>189.10000000000002</v>
      </c>
      <c r="E187" s="14">
        <f t="shared" si="198"/>
        <v>370.78</v>
      </c>
      <c r="F187" s="14">
        <f t="shared" si="158"/>
        <v>51.5</v>
      </c>
      <c r="G187" s="14">
        <f t="shared" ref="G187:G250" si="258">+G186</f>
        <v>145.09666666666666</v>
      </c>
      <c r="H187" s="14">
        <f t="shared" ref="H187:H250" si="259">SUM(D187:G187)</f>
        <v>756.47666666666669</v>
      </c>
      <c r="I187" s="188">
        <f t="shared" si="170"/>
        <v>24487.84</v>
      </c>
      <c r="J187" s="188">
        <f t="shared" si="171"/>
        <v>72271.689999999959</v>
      </c>
      <c r="K187" s="188">
        <f t="shared" si="172"/>
        <v>98685.329999999958</v>
      </c>
      <c r="L187" s="317">
        <f t="shared" si="246"/>
        <v>13</v>
      </c>
      <c r="M187" s="317">
        <f>IF(N187&lt;&gt;"",IF(N187=$O$5,0,+M186+1),0)</f>
        <v>159</v>
      </c>
      <c r="N187" s="188">
        <f t="shared" si="205"/>
        <v>267995.37999999995</v>
      </c>
      <c r="O187" s="188">
        <f>IF($O$11&lt;=A187,IF(+$W186&lt;=0,0,$O$8),0)</f>
        <v>2504.4299999999998</v>
      </c>
      <c r="P187" s="188">
        <f t="shared" si="212"/>
        <v>606.12999999999988</v>
      </c>
      <c r="Q187" s="188">
        <f>IF($O$11&lt;=A187,ROUND(N187*($O$7/12),2),0)</f>
        <v>1898.3</v>
      </c>
      <c r="R187" s="188">
        <f t="shared" si="161"/>
        <v>51.5</v>
      </c>
      <c r="S187" s="188">
        <f t="shared" si="162"/>
        <v>145.09666666666666</v>
      </c>
      <c r="T187" s="188">
        <f t="shared" si="159"/>
        <v>2701.0266666666666</v>
      </c>
      <c r="U187" s="188">
        <f t="shared" si="213"/>
        <v>58320.749999999964</v>
      </c>
      <c r="V187" s="188">
        <f t="shared" si="214"/>
        <v>342388.04999999976</v>
      </c>
      <c r="W187" s="188">
        <f t="shared" si="173"/>
        <v>267389.24999999994</v>
      </c>
      <c r="X187" s="395">
        <f t="shared" si="206"/>
        <v>51000</v>
      </c>
      <c r="Y187" s="188">
        <f t="shared" si="174"/>
        <v>267995.37999999995</v>
      </c>
      <c r="Z187" s="388">
        <f t="shared" si="199"/>
        <v>8.4999999999999992E-2</v>
      </c>
      <c r="AA187" s="188">
        <f t="shared" si="200"/>
        <v>2504.4299999999998</v>
      </c>
      <c r="AB187" s="188">
        <f t="shared" si="175"/>
        <v>606.12999999999988</v>
      </c>
      <c r="AC187" s="188">
        <f t="shared" si="201"/>
        <v>1898.3</v>
      </c>
      <c r="AD187" s="188">
        <f t="shared" ref="AD187:AE187" si="260">+AD186</f>
        <v>51.5</v>
      </c>
      <c r="AE187" s="188">
        <f t="shared" si="260"/>
        <v>145.09666666666666</v>
      </c>
      <c r="AF187" s="188">
        <f t="shared" si="177"/>
        <v>2701.0266666666666</v>
      </c>
      <c r="AG187" s="188">
        <f t="shared" si="178"/>
        <v>58320.749999999964</v>
      </c>
      <c r="AH187" s="188">
        <f t="shared" si="179"/>
        <v>342388.04999999976</v>
      </c>
      <c r="AI187" s="404">
        <f t="shared" si="164"/>
        <v>0</v>
      </c>
      <c r="AJ187" s="404">
        <f t="shared" si="226"/>
        <v>0</v>
      </c>
      <c r="AK187" s="404">
        <f t="shared" si="165"/>
        <v>0</v>
      </c>
      <c r="AL187" s="188">
        <f t="shared" si="180"/>
        <v>267389.24999999994</v>
      </c>
      <c r="AM187" s="317">
        <f t="shared" si="208"/>
        <v>13</v>
      </c>
      <c r="AN187" s="14">
        <f t="shared" si="166"/>
        <v>1944.5499999999997</v>
      </c>
      <c r="AO187" s="14">
        <f>IF(W187&lt;=0,0,+$AA$6-$C$2+I187-U187)</f>
        <v>169164.09000000003</v>
      </c>
      <c r="AP187" s="14">
        <f t="shared" si="167"/>
        <v>1944.5499999999997</v>
      </c>
      <c r="AS187" s="14">
        <f t="shared" si="203"/>
        <v>1944.5499999999997</v>
      </c>
      <c r="AT187" s="14">
        <f t="shared" si="209"/>
        <v>310647.43999999907</v>
      </c>
      <c r="AU187" s="188">
        <f>IF(W187&lt;=0,0,+($O$5+AV186)*$AQ$2/12)</f>
        <v>1247.9589562201304</v>
      </c>
      <c r="AV187" s="188">
        <f t="shared" si="210"/>
        <v>174721.54144427236</v>
      </c>
    </row>
    <row r="188" spans="1:48">
      <c r="A188" s="395">
        <f t="shared" si="169"/>
        <v>51030</v>
      </c>
      <c r="B188" s="188">
        <f t="shared" si="204"/>
        <v>98685.329999999958</v>
      </c>
      <c r="C188" s="14">
        <f t="shared" si="197"/>
        <v>559.88</v>
      </c>
      <c r="D188" s="14">
        <f t="shared" si="211"/>
        <v>189.81</v>
      </c>
      <c r="E188" s="14">
        <f t="shared" si="198"/>
        <v>370.07</v>
      </c>
      <c r="F188" s="14">
        <f t="shared" ref="F188:F251" si="261">+F187</f>
        <v>51.5</v>
      </c>
      <c r="G188" s="14">
        <f t="shared" si="258"/>
        <v>145.09666666666666</v>
      </c>
      <c r="H188" s="14">
        <f t="shared" si="259"/>
        <v>756.47666666666669</v>
      </c>
      <c r="I188" s="188">
        <f t="shared" si="170"/>
        <v>24677.65</v>
      </c>
      <c r="J188" s="188">
        <f t="shared" si="171"/>
        <v>72641.759999999966</v>
      </c>
      <c r="K188" s="188">
        <f t="shared" si="172"/>
        <v>98495.51999999996</v>
      </c>
      <c r="L188" s="317">
        <f t="shared" si="246"/>
        <v>13</v>
      </c>
      <c r="M188" s="317">
        <f>IF(N188&lt;&gt;"",IF(N188=$O$5,0,+M187+1),0)</f>
        <v>160</v>
      </c>
      <c r="N188" s="188">
        <f t="shared" si="205"/>
        <v>267389.24999999994</v>
      </c>
      <c r="O188" s="188">
        <f>IF($O$11&lt;=A188,IF(+$W187&lt;=0,0,$O$8),0)</f>
        <v>2504.4299999999998</v>
      </c>
      <c r="P188" s="188">
        <f t="shared" si="212"/>
        <v>610.41999999999985</v>
      </c>
      <c r="Q188" s="188">
        <f>IF($O$11&lt;=A188,ROUND(N188*($O$7/12),2),0)</f>
        <v>1894.01</v>
      </c>
      <c r="R188" s="188">
        <f t="shared" si="161"/>
        <v>51.5</v>
      </c>
      <c r="S188" s="188">
        <f t="shared" si="162"/>
        <v>145.09666666666666</v>
      </c>
      <c r="T188" s="188">
        <f t="shared" ref="T188:T251" si="262">SUM(P188:S188)</f>
        <v>2701.0266666666666</v>
      </c>
      <c r="U188" s="188">
        <f t="shared" si="213"/>
        <v>58931.169999999962</v>
      </c>
      <c r="V188" s="188">
        <f t="shared" si="214"/>
        <v>344282.05999999976</v>
      </c>
      <c r="W188" s="188">
        <f t="shared" si="173"/>
        <v>266778.82999999996</v>
      </c>
      <c r="X188" s="395">
        <f t="shared" si="206"/>
        <v>51030</v>
      </c>
      <c r="Y188" s="188">
        <f t="shared" si="174"/>
        <v>267389.24999999994</v>
      </c>
      <c r="Z188" s="388">
        <f t="shared" si="199"/>
        <v>8.4999999999999992E-2</v>
      </c>
      <c r="AA188" s="188">
        <f t="shared" si="200"/>
        <v>2504.4299999999998</v>
      </c>
      <c r="AB188" s="188">
        <f t="shared" si="175"/>
        <v>610.41999999999985</v>
      </c>
      <c r="AC188" s="188">
        <f t="shared" si="201"/>
        <v>1894.01</v>
      </c>
      <c r="AD188" s="188">
        <f t="shared" ref="AD188:AE188" si="263">+AD187</f>
        <v>51.5</v>
      </c>
      <c r="AE188" s="188">
        <f t="shared" si="263"/>
        <v>145.09666666666666</v>
      </c>
      <c r="AF188" s="188">
        <f t="shared" si="177"/>
        <v>2701.0266666666666</v>
      </c>
      <c r="AG188" s="188">
        <f t="shared" si="178"/>
        <v>58931.169999999962</v>
      </c>
      <c r="AH188" s="188">
        <f t="shared" si="179"/>
        <v>344282.05999999976</v>
      </c>
      <c r="AI188" s="404">
        <f t="shared" si="164"/>
        <v>0</v>
      </c>
      <c r="AJ188" s="404">
        <f t="shared" si="226"/>
        <v>0</v>
      </c>
      <c r="AK188" s="404">
        <f t="shared" si="165"/>
        <v>0</v>
      </c>
      <c r="AL188" s="188">
        <f t="shared" si="180"/>
        <v>266778.82999999996</v>
      </c>
      <c r="AM188" s="317">
        <f t="shared" si="208"/>
        <v>13</v>
      </c>
      <c r="AN188" s="14">
        <f t="shared" si="166"/>
        <v>1944.5499999999997</v>
      </c>
      <c r="AO188" s="14">
        <f>IF(W188&lt;=0,0,+$AA$6-$C$2+I188-U188)</f>
        <v>168743.48000000004</v>
      </c>
      <c r="AP188" s="14">
        <f t="shared" si="167"/>
        <v>1944.5499999999997</v>
      </c>
      <c r="AS188" s="14">
        <f t="shared" si="203"/>
        <v>1944.5499999999997</v>
      </c>
      <c r="AT188" s="14">
        <f t="shared" si="209"/>
        <v>312591.98999999906</v>
      </c>
      <c r="AU188" s="188">
        <f>IF(W188&lt;=0,0,+($O$5+AV187)*$AQ$2/12)</f>
        <v>1251.0788536106809</v>
      </c>
      <c r="AV188" s="188">
        <f t="shared" si="210"/>
        <v>175972.62029788303</v>
      </c>
    </row>
    <row r="189" spans="1:48">
      <c r="A189" s="395">
        <f t="shared" si="169"/>
        <v>51060</v>
      </c>
      <c r="B189" s="188">
        <f t="shared" si="204"/>
        <v>98495.51999999996</v>
      </c>
      <c r="C189" s="14">
        <f t="shared" si="197"/>
        <v>559.88</v>
      </c>
      <c r="D189" s="14">
        <f t="shared" si="211"/>
        <v>190.51999999999998</v>
      </c>
      <c r="E189" s="14">
        <f t="shared" si="198"/>
        <v>369.36</v>
      </c>
      <c r="F189" s="14">
        <f t="shared" si="261"/>
        <v>51.5</v>
      </c>
      <c r="G189" s="14">
        <f t="shared" si="258"/>
        <v>145.09666666666666</v>
      </c>
      <c r="H189" s="14">
        <f t="shared" si="259"/>
        <v>756.47666666666669</v>
      </c>
      <c r="I189" s="188">
        <f t="shared" si="170"/>
        <v>24868.170000000002</v>
      </c>
      <c r="J189" s="188">
        <f t="shared" si="171"/>
        <v>73011.119999999966</v>
      </c>
      <c r="K189" s="188">
        <f t="shared" si="172"/>
        <v>98304.999999999956</v>
      </c>
      <c r="L189" s="317">
        <f t="shared" si="246"/>
        <v>13</v>
      </c>
      <c r="M189" s="317">
        <f>IF(N189&lt;&gt;"",IF(N189=$O$5,0,+M188+1),0)</f>
        <v>161</v>
      </c>
      <c r="N189" s="188">
        <f t="shared" si="205"/>
        <v>266778.82999999996</v>
      </c>
      <c r="O189" s="188">
        <f>IF($O$11&lt;=A189,IF(+$W188&lt;=0,0,$O$8),0)</f>
        <v>2504.4299999999998</v>
      </c>
      <c r="P189" s="188">
        <f t="shared" si="212"/>
        <v>614.74999999999977</v>
      </c>
      <c r="Q189" s="188">
        <f>IF($O$11&lt;=A189,ROUND(N189*($O$7/12),2),0)</f>
        <v>1889.68</v>
      </c>
      <c r="R189" s="188">
        <f t="shared" ref="R189:R252" si="264">+R188</f>
        <v>51.5</v>
      </c>
      <c r="S189" s="188">
        <f t="shared" ref="S189:S252" si="265">+S188</f>
        <v>145.09666666666666</v>
      </c>
      <c r="T189" s="188">
        <f t="shared" si="262"/>
        <v>2701.0266666666666</v>
      </c>
      <c r="U189" s="188">
        <f t="shared" si="213"/>
        <v>59545.919999999962</v>
      </c>
      <c r="V189" s="188">
        <f t="shared" si="214"/>
        <v>346171.73999999976</v>
      </c>
      <c r="W189" s="188">
        <f t="shared" si="173"/>
        <v>266164.07999999996</v>
      </c>
      <c r="X189" s="395">
        <f t="shared" si="206"/>
        <v>51060</v>
      </c>
      <c r="Y189" s="188">
        <f t="shared" si="174"/>
        <v>266778.82999999996</v>
      </c>
      <c r="Z189" s="388">
        <f t="shared" si="199"/>
        <v>8.4999999999999992E-2</v>
      </c>
      <c r="AA189" s="188">
        <f t="shared" si="200"/>
        <v>2504.4299999999998</v>
      </c>
      <c r="AB189" s="188">
        <f t="shared" si="175"/>
        <v>614.74999999999977</v>
      </c>
      <c r="AC189" s="188">
        <f t="shared" si="201"/>
        <v>1889.68</v>
      </c>
      <c r="AD189" s="188">
        <f t="shared" ref="AD189:AE189" si="266">+AD188</f>
        <v>51.5</v>
      </c>
      <c r="AE189" s="188">
        <f t="shared" si="266"/>
        <v>145.09666666666666</v>
      </c>
      <c r="AF189" s="188">
        <f t="shared" si="177"/>
        <v>2701.0266666666666</v>
      </c>
      <c r="AG189" s="188">
        <f t="shared" si="178"/>
        <v>59545.919999999962</v>
      </c>
      <c r="AH189" s="188">
        <f t="shared" si="179"/>
        <v>346171.73999999976</v>
      </c>
      <c r="AI189" s="404">
        <f t="shared" ref="AI189:AI252" si="267">O189-AA189+AI188</f>
        <v>0</v>
      </c>
      <c r="AJ189" s="404">
        <f t="shared" si="226"/>
        <v>0</v>
      </c>
      <c r="AK189" s="404">
        <f t="shared" ref="AK189:AK252" si="268">SUM(AI189:AJ189)</f>
        <v>0</v>
      </c>
      <c r="AL189" s="188">
        <f t="shared" si="180"/>
        <v>266164.07999999996</v>
      </c>
      <c r="AM189" s="317">
        <f t="shared" si="208"/>
        <v>13</v>
      </c>
      <c r="AN189" s="14">
        <f t="shared" ref="AN189:AN252" si="269">IF(O189=0,0,+O189-C189)</f>
        <v>1944.5499999999997</v>
      </c>
      <c r="AO189" s="14">
        <f>IF(W189&lt;=0,0,+$AA$6-$C$2+I189-U189)</f>
        <v>168319.25000000006</v>
      </c>
      <c r="AP189" s="14">
        <f t="shared" ref="AP189:AP252" si="270">IF($O189=0,0,+AA189-$C189)</f>
        <v>1944.5499999999997</v>
      </c>
      <c r="AS189" s="14">
        <f t="shared" si="203"/>
        <v>1944.5499999999997</v>
      </c>
      <c r="AT189" s="14">
        <f t="shared" si="209"/>
        <v>314536.53999999905</v>
      </c>
      <c r="AU189" s="188">
        <f>IF(W189&lt;=0,0,+($O$5+AV188)*$AQ$2/12)</f>
        <v>1254.2065507447076</v>
      </c>
      <c r="AV189" s="188">
        <f t="shared" si="210"/>
        <v>177226.82684862774</v>
      </c>
    </row>
    <row r="190" spans="1:48">
      <c r="A190" s="395">
        <f t="shared" si="169"/>
        <v>51090</v>
      </c>
      <c r="B190" s="188">
        <f t="shared" si="204"/>
        <v>98304.999999999956</v>
      </c>
      <c r="C190" s="14">
        <f t="shared" si="197"/>
        <v>559.88</v>
      </c>
      <c r="D190" s="14">
        <f t="shared" si="211"/>
        <v>191.24</v>
      </c>
      <c r="E190" s="14">
        <f t="shared" si="198"/>
        <v>368.64</v>
      </c>
      <c r="F190" s="14">
        <f t="shared" si="261"/>
        <v>51.5</v>
      </c>
      <c r="G190" s="14">
        <f t="shared" si="258"/>
        <v>145.09666666666666</v>
      </c>
      <c r="H190" s="14">
        <f t="shared" si="259"/>
        <v>756.47666666666669</v>
      </c>
      <c r="I190" s="188">
        <f t="shared" si="170"/>
        <v>25059.410000000003</v>
      </c>
      <c r="J190" s="188">
        <f t="shared" si="171"/>
        <v>73379.759999999966</v>
      </c>
      <c r="K190" s="188">
        <f t="shared" si="172"/>
        <v>98113.759999999951</v>
      </c>
      <c r="L190" s="317">
        <f t="shared" si="246"/>
        <v>13</v>
      </c>
      <c r="M190" s="317">
        <f>IF(N190&lt;&gt;"",IF(N190=$O$5,0,+M189+1),0)</f>
        <v>162</v>
      </c>
      <c r="N190" s="188">
        <f t="shared" si="205"/>
        <v>266164.07999999996</v>
      </c>
      <c r="O190" s="188">
        <f>IF($O$11&lt;=A190,IF(+$W189&lt;=0,0,$O$8),0)</f>
        <v>2504.4299999999998</v>
      </c>
      <c r="P190" s="188">
        <f t="shared" si="212"/>
        <v>619.09999999999991</v>
      </c>
      <c r="Q190" s="188">
        <f>IF($O$11&lt;=A190,ROUND(N190*($O$7/12),2),0)</f>
        <v>1885.33</v>
      </c>
      <c r="R190" s="188">
        <f t="shared" si="264"/>
        <v>51.5</v>
      </c>
      <c r="S190" s="188">
        <f t="shared" si="265"/>
        <v>145.09666666666666</v>
      </c>
      <c r="T190" s="188">
        <f t="shared" si="262"/>
        <v>2701.0266666666666</v>
      </c>
      <c r="U190" s="188">
        <f t="shared" si="213"/>
        <v>60165.01999999996</v>
      </c>
      <c r="V190" s="188">
        <f t="shared" si="214"/>
        <v>348057.06999999977</v>
      </c>
      <c r="W190" s="188">
        <f t="shared" si="173"/>
        <v>265544.98</v>
      </c>
      <c r="X190" s="395">
        <f t="shared" si="206"/>
        <v>51090</v>
      </c>
      <c r="Y190" s="188">
        <f t="shared" si="174"/>
        <v>266164.07999999996</v>
      </c>
      <c r="Z190" s="388">
        <f t="shared" si="199"/>
        <v>8.4999999999999992E-2</v>
      </c>
      <c r="AA190" s="188">
        <f t="shared" si="200"/>
        <v>2504.4299999999998</v>
      </c>
      <c r="AB190" s="188">
        <f t="shared" si="175"/>
        <v>619.09999999999991</v>
      </c>
      <c r="AC190" s="188">
        <f t="shared" si="201"/>
        <v>1885.33</v>
      </c>
      <c r="AD190" s="188">
        <f t="shared" ref="AD190:AE190" si="271">+AD189</f>
        <v>51.5</v>
      </c>
      <c r="AE190" s="188">
        <f t="shared" si="271"/>
        <v>145.09666666666666</v>
      </c>
      <c r="AF190" s="188">
        <f t="shared" si="177"/>
        <v>2701.0266666666666</v>
      </c>
      <c r="AG190" s="188">
        <f t="shared" si="178"/>
        <v>60165.01999999996</v>
      </c>
      <c r="AH190" s="188">
        <f t="shared" si="179"/>
        <v>348057.06999999977</v>
      </c>
      <c r="AI190" s="404">
        <f t="shared" si="267"/>
        <v>0</v>
      </c>
      <c r="AJ190" s="404">
        <f t="shared" si="226"/>
        <v>0</v>
      </c>
      <c r="AK190" s="404">
        <f t="shared" si="268"/>
        <v>0</v>
      </c>
      <c r="AL190" s="188">
        <f t="shared" si="180"/>
        <v>265544.98</v>
      </c>
      <c r="AM190" s="317">
        <f t="shared" si="208"/>
        <v>13</v>
      </c>
      <c r="AN190" s="14">
        <f t="shared" si="269"/>
        <v>1944.5499999999997</v>
      </c>
      <c r="AO190" s="14">
        <f>IF(W190&lt;=0,0,+$AA$6-$C$2+I190-U190)</f>
        <v>167891.39000000004</v>
      </c>
      <c r="AP190" s="14">
        <f t="shared" si="270"/>
        <v>1944.5499999999997</v>
      </c>
      <c r="AS190" s="14">
        <f t="shared" si="203"/>
        <v>1944.5499999999997</v>
      </c>
      <c r="AT190" s="14">
        <f t="shared" si="209"/>
        <v>316481.08999999904</v>
      </c>
      <c r="AU190" s="188">
        <f>IF(W190&lt;=0,0,+($O$5+AV189)*$AQ$2/12)</f>
        <v>1257.3420671215692</v>
      </c>
      <c r="AV190" s="188">
        <f t="shared" si="210"/>
        <v>178484.16891574929</v>
      </c>
    </row>
    <row r="191" spans="1:48">
      <c r="A191" s="395">
        <f t="shared" ref="A191:A254" si="272">IF(K191&lt;=0," ",+A190+30)</f>
        <v>51120</v>
      </c>
      <c r="B191" s="188">
        <f t="shared" si="204"/>
        <v>98113.759999999951</v>
      </c>
      <c r="C191" s="14">
        <f t="shared" si="197"/>
        <v>559.88</v>
      </c>
      <c r="D191" s="14">
        <f t="shared" si="211"/>
        <v>191.95</v>
      </c>
      <c r="E191" s="14">
        <f t="shared" si="198"/>
        <v>367.93</v>
      </c>
      <c r="F191" s="14">
        <f t="shared" si="261"/>
        <v>51.5</v>
      </c>
      <c r="G191" s="14">
        <f t="shared" si="258"/>
        <v>145.09666666666666</v>
      </c>
      <c r="H191" s="14">
        <f t="shared" si="259"/>
        <v>756.47666666666669</v>
      </c>
      <c r="I191" s="188">
        <f t="shared" ref="I191:I254" si="273">$D191+$I190</f>
        <v>25251.360000000004</v>
      </c>
      <c r="J191" s="188">
        <f t="shared" ref="J191:J254" si="274">$E191+$J190</f>
        <v>73747.689999999959</v>
      </c>
      <c r="K191" s="188">
        <f t="shared" ref="K191:K254" si="275">+B191-D191</f>
        <v>97921.809999999954</v>
      </c>
      <c r="L191" s="317">
        <f t="shared" si="246"/>
        <v>13</v>
      </c>
      <c r="M191" s="317">
        <f>IF(N191&lt;&gt;"",IF(N191=$O$5,0,+M190+1),0)</f>
        <v>163</v>
      </c>
      <c r="N191" s="188">
        <f t="shared" si="205"/>
        <v>265544.98</v>
      </c>
      <c r="O191" s="188">
        <f>IF($O$11&lt;=A191,IF(+$W190&lt;=0,0,$O$8),0)</f>
        <v>2504.4299999999998</v>
      </c>
      <c r="P191" s="188">
        <f t="shared" si="212"/>
        <v>623.48999999999978</v>
      </c>
      <c r="Q191" s="188">
        <f>IF($O$11&lt;=A191,ROUND(N191*($O$7/12),2),0)</f>
        <v>1880.94</v>
      </c>
      <c r="R191" s="188">
        <f t="shared" si="264"/>
        <v>51.5</v>
      </c>
      <c r="S191" s="188">
        <f t="shared" si="265"/>
        <v>145.09666666666666</v>
      </c>
      <c r="T191" s="188">
        <f t="shared" si="262"/>
        <v>2701.0266666666666</v>
      </c>
      <c r="U191" s="188">
        <f t="shared" si="213"/>
        <v>60788.509999999958</v>
      </c>
      <c r="V191" s="188">
        <f t="shared" si="214"/>
        <v>349938.00999999978</v>
      </c>
      <c r="W191" s="188">
        <f t="shared" ref="W191:W254" si="276">+N191-P191</f>
        <v>264921.49</v>
      </c>
      <c r="X191" s="395">
        <f t="shared" si="206"/>
        <v>51120</v>
      </c>
      <c r="Y191" s="188">
        <f t="shared" ref="Y191:Y254" si="277">IF(+AL190&lt;0,0,+AL190)</f>
        <v>265544.98</v>
      </c>
      <c r="Z191" s="388">
        <f t="shared" si="199"/>
        <v>8.4999999999999992E-2</v>
      </c>
      <c r="AA191" s="188">
        <f t="shared" si="200"/>
        <v>2504.4299999999998</v>
      </c>
      <c r="AB191" s="188">
        <f t="shared" ref="AB191:AB254" si="278">+AA191-AC191</f>
        <v>623.48999999999978</v>
      </c>
      <c r="AC191" s="188">
        <f t="shared" si="201"/>
        <v>1880.94</v>
      </c>
      <c r="AD191" s="188">
        <f t="shared" ref="AD191:AE191" si="279">+AD190</f>
        <v>51.5</v>
      </c>
      <c r="AE191" s="188">
        <f t="shared" si="279"/>
        <v>145.09666666666666</v>
      </c>
      <c r="AF191" s="188">
        <f t="shared" ref="AF191:AF254" si="280">SUM(AB191:AE191)</f>
        <v>2701.0266666666666</v>
      </c>
      <c r="AG191" s="188">
        <f t="shared" ref="AG191:AG254" si="281">+AB191+AG190</f>
        <v>60788.509999999958</v>
      </c>
      <c r="AH191" s="188">
        <f t="shared" ref="AH191:AH254" si="282">+AH190+AC191</f>
        <v>349938.00999999978</v>
      </c>
      <c r="AI191" s="404">
        <f t="shared" si="267"/>
        <v>0</v>
      </c>
      <c r="AJ191" s="404">
        <f t="shared" si="226"/>
        <v>0</v>
      </c>
      <c r="AK191" s="404">
        <f t="shared" si="268"/>
        <v>0</v>
      </c>
      <c r="AL191" s="188">
        <f t="shared" ref="AL191:AL254" si="283">+Y191-AB191</f>
        <v>264921.49</v>
      </c>
      <c r="AM191" s="317">
        <f t="shared" si="208"/>
        <v>13</v>
      </c>
      <c r="AN191" s="14">
        <f t="shared" si="269"/>
        <v>1944.5499999999997</v>
      </c>
      <c r="AO191" s="14">
        <f>IF(W191&lt;=0,0,+$AA$6-$C$2+I191-U191)</f>
        <v>167459.85000000006</v>
      </c>
      <c r="AP191" s="14">
        <f t="shared" si="270"/>
        <v>1944.5499999999997</v>
      </c>
      <c r="AS191" s="14">
        <f t="shared" si="203"/>
        <v>1944.5499999999997</v>
      </c>
      <c r="AT191" s="14">
        <f t="shared" si="209"/>
        <v>318425.63999999902</v>
      </c>
      <c r="AU191" s="188">
        <f>IF(W191&lt;=0,0,+($O$5+AV190)*$AQ$2/12)</f>
        <v>1260.4854222893732</v>
      </c>
      <c r="AV191" s="188">
        <f t="shared" si="210"/>
        <v>179744.65433803867</v>
      </c>
    </row>
    <row r="192" spans="1:48">
      <c r="A192" s="395">
        <f t="shared" si="272"/>
        <v>51150</v>
      </c>
      <c r="B192" s="188">
        <f t="shared" si="204"/>
        <v>97921.809999999954</v>
      </c>
      <c r="C192" s="14">
        <f t="shared" si="197"/>
        <v>559.88</v>
      </c>
      <c r="D192" s="14">
        <f t="shared" si="211"/>
        <v>192.67000000000002</v>
      </c>
      <c r="E192" s="14">
        <f t="shared" si="198"/>
        <v>367.21</v>
      </c>
      <c r="F192" s="14">
        <f t="shared" si="261"/>
        <v>51.5</v>
      </c>
      <c r="G192" s="14">
        <f t="shared" si="258"/>
        <v>145.09666666666666</v>
      </c>
      <c r="H192" s="14">
        <f t="shared" si="259"/>
        <v>756.47666666666669</v>
      </c>
      <c r="I192" s="188">
        <f t="shared" si="273"/>
        <v>25444.030000000002</v>
      </c>
      <c r="J192" s="188">
        <f t="shared" si="274"/>
        <v>74114.899999999965</v>
      </c>
      <c r="K192" s="188">
        <f t="shared" si="275"/>
        <v>97729.139999999956</v>
      </c>
      <c r="L192" s="317">
        <f t="shared" si="246"/>
        <v>13</v>
      </c>
      <c r="M192" s="317">
        <f>IF(N192&lt;&gt;"",IF(N192=$O$5,0,+M191+1),0)</f>
        <v>164</v>
      </c>
      <c r="N192" s="188">
        <f t="shared" si="205"/>
        <v>264921.49</v>
      </c>
      <c r="O192" s="188">
        <f>IF($O$11&lt;=A192,IF(+$W191&lt;=0,0,$O$8),0)</f>
        <v>2504.4299999999998</v>
      </c>
      <c r="P192" s="188">
        <f t="shared" si="212"/>
        <v>627.89999999999986</v>
      </c>
      <c r="Q192" s="188">
        <f>IF($O$11&lt;=A192,ROUND(N192*($O$7/12),2),0)</f>
        <v>1876.53</v>
      </c>
      <c r="R192" s="188">
        <f t="shared" si="264"/>
        <v>51.5</v>
      </c>
      <c r="S192" s="188">
        <f t="shared" si="265"/>
        <v>145.09666666666666</v>
      </c>
      <c r="T192" s="188">
        <f t="shared" si="262"/>
        <v>2701.0266666666666</v>
      </c>
      <c r="U192" s="188">
        <f t="shared" si="213"/>
        <v>61416.40999999996</v>
      </c>
      <c r="V192" s="188">
        <f t="shared" si="214"/>
        <v>351814.5399999998</v>
      </c>
      <c r="W192" s="188">
        <f t="shared" si="276"/>
        <v>264293.58999999997</v>
      </c>
      <c r="X192" s="395">
        <f t="shared" si="206"/>
        <v>51150</v>
      </c>
      <c r="Y192" s="188">
        <f t="shared" si="277"/>
        <v>264921.49</v>
      </c>
      <c r="Z192" s="388">
        <f t="shared" si="199"/>
        <v>8.4999999999999992E-2</v>
      </c>
      <c r="AA192" s="188">
        <f t="shared" si="200"/>
        <v>2504.4299999999998</v>
      </c>
      <c r="AB192" s="188">
        <f t="shared" si="278"/>
        <v>627.89999999999986</v>
      </c>
      <c r="AC192" s="188">
        <f t="shared" si="201"/>
        <v>1876.53</v>
      </c>
      <c r="AD192" s="188">
        <f t="shared" ref="AD192:AE192" si="284">+AD191</f>
        <v>51.5</v>
      </c>
      <c r="AE192" s="188">
        <f t="shared" si="284"/>
        <v>145.09666666666666</v>
      </c>
      <c r="AF192" s="188">
        <f t="shared" si="280"/>
        <v>2701.0266666666666</v>
      </c>
      <c r="AG192" s="188">
        <f t="shared" si="281"/>
        <v>61416.40999999996</v>
      </c>
      <c r="AH192" s="188">
        <f t="shared" si="282"/>
        <v>351814.5399999998</v>
      </c>
      <c r="AI192" s="404">
        <f t="shared" si="267"/>
        <v>0</v>
      </c>
      <c r="AJ192" s="404">
        <f t="shared" si="226"/>
        <v>0</v>
      </c>
      <c r="AK192" s="404">
        <f t="shared" si="268"/>
        <v>0</v>
      </c>
      <c r="AL192" s="188">
        <f t="shared" si="283"/>
        <v>264293.58999999997</v>
      </c>
      <c r="AM192" s="317">
        <f t="shared" si="208"/>
        <v>13</v>
      </c>
      <c r="AN192" s="14">
        <f t="shared" si="269"/>
        <v>1944.5499999999997</v>
      </c>
      <c r="AO192" s="14">
        <f>IF(W192&lt;=0,0,+$AA$6-$C$2+I192-U192)</f>
        <v>167024.62000000005</v>
      </c>
      <c r="AP192" s="14">
        <f t="shared" si="270"/>
        <v>1944.5499999999997</v>
      </c>
      <c r="AS192" s="14">
        <f t="shared" si="203"/>
        <v>1944.5499999999997</v>
      </c>
      <c r="AT192" s="14">
        <f t="shared" si="209"/>
        <v>320370.18999999901</v>
      </c>
      <c r="AU192" s="188">
        <f>IF(W192&lt;=0,0,+($O$5+AV191)*$AQ$2/12)</f>
        <v>1263.6366358450966</v>
      </c>
      <c r="AV192" s="188">
        <f t="shared" si="210"/>
        <v>181008.29097388376</v>
      </c>
    </row>
    <row r="193" spans="1:48">
      <c r="A193" s="395">
        <f t="shared" si="272"/>
        <v>51180</v>
      </c>
      <c r="B193" s="188">
        <f t="shared" si="204"/>
        <v>97729.139999999956</v>
      </c>
      <c r="C193" s="14">
        <f t="shared" si="197"/>
        <v>559.88</v>
      </c>
      <c r="D193" s="14">
        <f t="shared" si="211"/>
        <v>193.39999999999998</v>
      </c>
      <c r="E193" s="14">
        <f t="shared" si="198"/>
        <v>366.48</v>
      </c>
      <c r="F193" s="14">
        <f t="shared" si="261"/>
        <v>51.5</v>
      </c>
      <c r="G193" s="14">
        <f t="shared" si="258"/>
        <v>145.09666666666666</v>
      </c>
      <c r="H193" s="14">
        <f t="shared" si="259"/>
        <v>756.47666666666669</v>
      </c>
      <c r="I193" s="188">
        <f t="shared" si="273"/>
        <v>25637.430000000004</v>
      </c>
      <c r="J193" s="188">
        <f t="shared" si="274"/>
        <v>74481.379999999961</v>
      </c>
      <c r="K193" s="188">
        <f t="shared" si="275"/>
        <v>97535.739999999962</v>
      </c>
      <c r="L193" s="317">
        <f t="shared" si="246"/>
        <v>13</v>
      </c>
      <c r="M193" s="317">
        <f>IF(N193&lt;&gt;"",IF(N193=$O$5,0,+M192+1),0)</f>
        <v>165</v>
      </c>
      <c r="N193" s="188">
        <f t="shared" si="205"/>
        <v>264293.58999999997</v>
      </c>
      <c r="O193" s="188">
        <f>IF($O$11&lt;=A193,IF(+$W192&lt;=0,0,$O$8),0)</f>
        <v>2504.4299999999998</v>
      </c>
      <c r="P193" s="188">
        <f t="shared" si="212"/>
        <v>632.34999999999991</v>
      </c>
      <c r="Q193" s="188">
        <f>IF($O$11&lt;=A193,ROUND(N193*($O$7/12),2),0)</f>
        <v>1872.08</v>
      </c>
      <c r="R193" s="188">
        <f t="shared" si="264"/>
        <v>51.5</v>
      </c>
      <c r="S193" s="188">
        <f t="shared" si="265"/>
        <v>145.09666666666666</v>
      </c>
      <c r="T193" s="188">
        <f t="shared" si="262"/>
        <v>2701.0266666666666</v>
      </c>
      <c r="U193" s="188">
        <f t="shared" si="213"/>
        <v>62048.759999999958</v>
      </c>
      <c r="V193" s="188">
        <f t="shared" si="214"/>
        <v>353686.61999999982</v>
      </c>
      <c r="W193" s="188">
        <f t="shared" si="276"/>
        <v>263661.24</v>
      </c>
      <c r="X193" s="395">
        <f t="shared" si="206"/>
        <v>51180</v>
      </c>
      <c r="Y193" s="188">
        <f t="shared" si="277"/>
        <v>264293.58999999997</v>
      </c>
      <c r="Z193" s="388">
        <f t="shared" si="199"/>
        <v>8.4999999999999992E-2</v>
      </c>
      <c r="AA193" s="188">
        <f t="shared" si="200"/>
        <v>2504.4299999999998</v>
      </c>
      <c r="AB193" s="188">
        <f t="shared" si="278"/>
        <v>632.34999999999991</v>
      </c>
      <c r="AC193" s="188">
        <f t="shared" si="201"/>
        <v>1872.08</v>
      </c>
      <c r="AD193" s="188">
        <f t="shared" ref="AD193:AE193" si="285">+AD192</f>
        <v>51.5</v>
      </c>
      <c r="AE193" s="188">
        <f t="shared" si="285"/>
        <v>145.09666666666666</v>
      </c>
      <c r="AF193" s="188">
        <f t="shared" si="280"/>
        <v>2701.0266666666666</v>
      </c>
      <c r="AG193" s="188">
        <f t="shared" si="281"/>
        <v>62048.759999999958</v>
      </c>
      <c r="AH193" s="188">
        <f t="shared" si="282"/>
        <v>353686.61999999982</v>
      </c>
      <c r="AI193" s="404">
        <f t="shared" si="267"/>
        <v>0</v>
      </c>
      <c r="AJ193" s="404">
        <f t="shared" si="226"/>
        <v>0</v>
      </c>
      <c r="AK193" s="404">
        <f t="shared" si="268"/>
        <v>0</v>
      </c>
      <c r="AL193" s="188">
        <f t="shared" si="283"/>
        <v>263661.24</v>
      </c>
      <c r="AM193" s="317">
        <f t="shared" si="208"/>
        <v>13</v>
      </c>
      <c r="AN193" s="14">
        <f t="shared" si="269"/>
        <v>1944.5499999999997</v>
      </c>
      <c r="AO193" s="14">
        <f>IF(W193&lt;=0,0,+$AA$6-$C$2+I193-U193)</f>
        <v>166585.67000000004</v>
      </c>
      <c r="AP193" s="14">
        <f t="shared" si="270"/>
        <v>1944.5499999999997</v>
      </c>
      <c r="AS193" s="14">
        <f t="shared" si="203"/>
        <v>1944.5499999999997</v>
      </c>
      <c r="AT193" s="14">
        <f t="shared" si="209"/>
        <v>322314.739999999</v>
      </c>
      <c r="AU193" s="188">
        <f>IF(W193&lt;=0,0,+($O$5+AV192)*$AQ$2/12)</f>
        <v>1266.7957274347093</v>
      </c>
      <c r="AV193" s="188">
        <f t="shared" si="210"/>
        <v>182275.08670131848</v>
      </c>
    </row>
    <row r="194" spans="1:48">
      <c r="A194" s="395">
        <f t="shared" si="272"/>
        <v>51210</v>
      </c>
      <c r="B194" s="188">
        <f t="shared" si="204"/>
        <v>97535.739999999962</v>
      </c>
      <c r="C194" s="14">
        <f t="shared" si="197"/>
        <v>559.88</v>
      </c>
      <c r="D194" s="14">
        <f t="shared" si="211"/>
        <v>194.12</v>
      </c>
      <c r="E194" s="14">
        <f t="shared" si="198"/>
        <v>365.76</v>
      </c>
      <c r="F194" s="14">
        <f t="shared" si="261"/>
        <v>51.5</v>
      </c>
      <c r="G194" s="14">
        <f t="shared" si="258"/>
        <v>145.09666666666666</v>
      </c>
      <c r="H194" s="14">
        <f t="shared" si="259"/>
        <v>756.47666666666669</v>
      </c>
      <c r="I194" s="188">
        <f t="shared" si="273"/>
        <v>25831.550000000003</v>
      </c>
      <c r="J194" s="188">
        <f t="shared" si="274"/>
        <v>74847.139999999956</v>
      </c>
      <c r="K194" s="188">
        <f t="shared" si="275"/>
        <v>97341.619999999966</v>
      </c>
      <c r="L194" s="317">
        <f t="shared" si="246"/>
        <v>13</v>
      </c>
      <c r="M194" s="317">
        <f>IF(N194&lt;&gt;"",IF(N194=$O$5,0,+M193+1),0)</f>
        <v>166</v>
      </c>
      <c r="N194" s="188">
        <f t="shared" si="205"/>
        <v>263661.24</v>
      </c>
      <c r="O194" s="188">
        <f>IF($O$11&lt;=A194,IF(+$W193&lt;=0,0,$O$8),0)</f>
        <v>2504.4299999999998</v>
      </c>
      <c r="P194" s="188">
        <f t="shared" si="212"/>
        <v>636.82999999999993</v>
      </c>
      <c r="Q194" s="188">
        <f>IF($O$11&lt;=A194,ROUND(N194*($O$7/12),2),0)</f>
        <v>1867.6</v>
      </c>
      <c r="R194" s="188">
        <f t="shared" si="264"/>
        <v>51.5</v>
      </c>
      <c r="S194" s="188">
        <f t="shared" si="265"/>
        <v>145.09666666666666</v>
      </c>
      <c r="T194" s="188">
        <f t="shared" si="262"/>
        <v>2701.0266666666666</v>
      </c>
      <c r="U194" s="188">
        <f t="shared" si="213"/>
        <v>62685.58999999996</v>
      </c>
      <c r="V194" s="188">
        <f t="shared" si="214"/>
        <v>355554.2199999998</v>
      </c>
      <c r="W194" s="188">
        <f t="shared" si="276"/>
        <v>263024.40999999997</v>
      </c>
      <c r="X194" s="395">
        <f t="shared" si="206"/>
        <v>51210</v>
      </c>
      <c r="Y194" s="188">
        <f t="shared" si="277"/>
        <v>263661.24</v>
      </c>
      <c r="Z194" s="388">
        <f t="shared" si="199"/>
        <v>8.4999999999999992E-2</v>
      </c>
      <c r="AA194" s="188">
        <f t="shared" si="200"/>
        <v>2504.4299999999998</v>
      </c>
      <c r="AB194" s="188">
        <f t="shared" si="278"/>
        <v>636.82999999999993</v>
      </c>
      <c r="AC194" s="188">
        <f t="shared" si="201"/>
        <v>1867.6</v>
      </c>
      <c r="AD194" s="188">
        <f t="shared" ref="AD194:AE194" si="286">+AD193</f>
        <v>51.5</v>
      </c>
      <c r="AE194" s="188">
        <f t="shared" si="286"/>
        <v>145.09666666666666</v>
      </c>
      <c r="AF194" s="188">
        <f t="shared" si="280"/>
        <v>2701.0266666666666</v>
      </c>
      <c r="AG194" s="188">
        <f t="shared" si="281"/>
        <v>62685.58999999996</v>
      </c>
      <c r="AH194" s="188">
        <f t="shared" si="282"/>
        <v>355554.2199999998</v>
      </c>
      <c r="AI194" s="404">
        <f t="shared" si="267"/>
        <v>0</v>
      </c>
      <c r="AJ194" s="404">
        <f t="shared" si="226"/>
        <v>0</v>
      </c>
      <c r="AK194" s="404">
        <f t="shared" si="268"/>
        <v>0</v>
      </c>
      <c r="AL194" s="188">
        <f t="shared" si="283"/>
        <v>263024.40999999997</v>
      </c>
      <c r="AM194" s="317">
        <f t="shared" si="208"/>
        <v>13</v>
      </c>
      <c r="AN194" s="14">
        <f t="shared" si="269"/>
        <v>1944.5499999999997</v>
      </c>
      <c r="AO194" s="14">
        <f>IF(W194&lt;=0,0,+$AA$6-$C$2+I194-U194)</f>
        <v>166142.96000000002</v>
      </c>
      <c r="AP194" s="14">
        <f t="shared" si="270"/>
        <v>1944.5499999999997</v>
      </c>
      <c r="AS194" s="14">
        <f t="shared" si="203"/>
        <v>1944.5499999999997</v>
      </c>
      <c r="AT194" s="14">
        <f t="shared" si="209"/>
        <v>324259.28999999899</v>
      </c>
      <c r="AU194" s="188">
        <f>IF(W194&lt;=0,0,+($O$5+AV193)*$AQ$2/12)</f>
        <v>1269.9627167532963</v>
      </c>
      <c r="AV194" s="188">
        <f t="shared" si="210"/>
        <v>183545.04941807178</v>
      </c>
    </row>
    <row r="195" spans="1:48" ht="15.75" thickBot="1">
      <c r="A195" s="398">
        <f t="shared" si="272"/>
        <v>51240</v>
      </c>
      <c r="B195" s="237">
        <f t="shared" si="204"/>
        <v>97341.619999999966</v>
      </c>
      <c r="C195" s="21">
        <f t="shared" si="197"/>
        <v>559.88</v>
      </c>
      <c r="D195" s="21">
        <f t="shared" si="211"/>
        <v>194.85000000000002</v>
      </c>
      <c r="E195" s="21">
        <f t="shared" si="198"/>
        <v>365.03</v>
      </c>
      <c r="F195" s="21">
        <f t="shared" si="261"/>
        <v>51.5</v>
      </c>
      <c r="G195" s="21">
        <f t="shared" si="258"/>
        <v>145.09666666666666</v>
      </c>
      <c r="H195" s="21">
        <f t="shared" si="259"/>
        <v>756.47666666666669</v>
      </c>
      <c r="I195" s="237">
        <f t="shared" si="273"/>
        <v>26026.400000000001</v>
      </c>
      <c r="J195" s="237">
        <f t="shared" si="274"/>
        <v>75212.169999999955</v>
      </c>
      <c r="K195" s="237">
        <f t="shared" si="275"/>
        <v>97146.76999999996</v>
      </c>
      <c r="L195" s="318">
        <f t="shared" si="246"/>
        <v>13</v>
      </c>
      <c r="M195" s="318">
        <f>IF(N195&lt;&gt;"",IF(N195=$O$5,0,+M194+1),0)</f>
        <v>167</v>
      </c>
      <c r="N195" s="237">
        <f t="shared" si="205"/>
        <v>263024.40999999997</v>
      </c>
      <c r="O195" s="237">
        <f>IF($O$11&lt;=A195,IF(+$W194&lt;=0,0,$O$8),0)</f>
        <v>2504.4299999999998</v>
      </c>
      <c r="P195" s="237">
        <f t="shared" si="212"/>
        <v>641.33999999999992</v>
      </c>
      <c r="Q195" s="237">
        <f>IF($O$11&lt;=A195,ROUND(N195*($O$7/12),2),0)</f>
        <v>1863.09</v>
      </c>
      <c r="R195" s="237">
        <f t="shared" si="264"/>
        <v>51.5</v>
      </c>
      <c r="S195" s="237">
        <f t="shared" si="265"/>
        <v>145.09666666666666</v>
      </c>
      <c r="T195" s="237">
        <f t="shared" si="262"/>
        <v>2701.0266666666666</v>
      </c>
      <c r="U195" s="237">
        <f t="shared" si="213"/>
        <v>63326.929999999957</v>
      </c>
      <c r="V195" s="237">
        <f t="shared" si="214"/>
        <v>357417.30999999982</v>
      </c>
      <c r="W195" s="237">
        <f t="shared" si="276"/>
        <v>262383.06999999995</v>
      </c>
      <c r="X195" s="398">
        <f t="shared" si="206"/>
        <v>51240</v>
      </c>
      <c r="Y195" s="237">
        <f t="shared" si="277"/>
        <v>263024.40999999997</v>
      </c>
      <c r="Z195" s="389">
        <f t="shared" si="199"/>
        <v>8.4999999999999992E-2</v>
      </c>
      <c r="AA195" s="237">
        <f t="shared" si="200"/>
        <v>2504.4299999999998</v>
      </c>
      <c r="AB195" s="237">
        <f t="shared" si="278"/>
        <v>641.33999999999992</v>
      </c>
      <c r="AC195" s="237">
        <f t="shared" si="201"/>
        <v>1863.09</v>
      </c>
      <c r="AD195" s="237">
        <f t="shared" ref="AD195:AE195" si="287">+AD194</f>
        <v>51.5</v>
      </c>
      <c r="AE195" s="237">
        <f t="shared" si="287"/>
        <v>145.09666666666666</v>
      </c>
      <c r="AF195" s="237">
        <f t="shared" si="280"/>
        <v>2701.0266666666666</v>
      </c>
      <c r="AG195" s="237">
        <f t="shared" si="281"/>
        <v>63326.929999999957</v>
      </c>
      <c r="AH195" s="237">
        <f t="shared" si="282"/>
        <v>357417.30999999982</v>
      </c>
      <c r="AI195" s="405">
        <f t="shared" si="267"/>
        <v>0</v>
      </c>
      <c r="AJ195" s="405">
        <f t="shared" si="226"/>
        <v>0</v>
      </c>
      <c r="AK195" s="404">
        <f t="shared" si="268"/>
        <v>0</v>
      </c>
      <c r="AL195" s="237">
        <f t="shared" si="283"/>
        <v>262383.06999999995</v>
      </c>
      <c r="AM195" s="318">
        <f t="shared" si="208"/>
        <v>13</v>
      </c>
      <c r="AN195" s="21">
        <f t="shared" si="269"/>
        <v>1944.5499999999997</v>
      </c>
      <c r="AO195" s="21">
        <f>IF(W195&lt;=0,0,+$AA$6-$C$2+I195-U195)</f>
        <v>165696.47000000003</v>
      </c>
      <c r="AP195" s="21">
        <f t="shared" si="270"/>
        <v>1944.5499999999997</v>
      </c>
      <c r="AQ195" s="21"/>
      <c r="AR195" s="23"/>
      <c r="AS195" s="21">
        <f t="shared" si="203"/>
        <v>1944.5499999999997</v>
      </c>
      <c r="AT195" s="21">
        <f t="shared" si="209"/>
        <v>326203.83999999898</v>
      </c>
      <c r="AU195" s="237">
        <f>IF(W195&lt;=0,0,+($O$5+AV194)*$AQ$2/12)</f>
        <v>1273.1376235451794</v>
      </c>
      <c r="AV195" s="237">
        <f t="shared" si="210"/>
        <v>184818.18704161697</v>
      </c>
    </row>
    <row r="196" spans="1:48">
      <c r="A196" s="395">
        <f t="shared" si="272"/>
        <v>51270</v>
      </c>
      <c r="B196" s="188">
        <f t="shared" si="204"/>
        <v>97146.76999999996</v>
      </c>
      <c r="C196" s="14">
        <f t="shared" si="197"/>
        <v>559.88</v>
      </c>
      <c r="D196" s="14">
        <f t="shared" si="211"/>
        <v>195.57999999999998</v>
      </c>
      <c r="E196" s="14">
        <f t="shared" si="198"/>
        <v>364.3</v>
      </c>
      <c r="F196" s="14">
        <f t="shared" si="261"/>
        <v>51.5</v>
      </c>
      <c r="G196" s="14">
        <f t="shared" si="258"/>
        <v>145.09666666666666</v>
      </c>
      <c r="H196" s="14">
        <f t="shared" si="259"/>
        <v>756.47666666666669</v>
      </c>
      <c r="I196" s="188">
        <f t="shared" si="273"/>
        <v>26221.980000000003</v>
      </c>
      <c r="J196" s="188">
        <f t="shared" si="274"/>
        <v>75576.469999999958</v>
      </c>
      <c r="K196" s="188">
        <f t="shared" si="275"/>
        <v>96951.189999999959</v>
      </c>
      <c r="L196" s="317">
        <f t="shared" si="246"/>
        <v>14</v>
      </c>
      <c r="M196" s="317">
        <f>IF(N196&lt;&gt;"",IF(N196=$O$5,0,+M195+1),0)</f>
        <v>168</v>
      </c>
      <c r="N196" s="188">
        <f t="shared" si="205"/>
        <v>262383.06999999995</v>
      </c>
      <c r="O196" s="188">
        <f>IF($O$11&lt;=A196,IF(+$W195&lt;=0,0,$O$8),0)</f>
        <v>2504.4299999999998</v>
      </c>
      <c r="P196" s="188">
        <f t="shared" si="212"/>
        <v>645.87999999999988</v>
      </c>
      <c r="Q196" s="188">
        <f>IF($O$11&lt;=A196,ROUND(N196*($O$7/12),2),0)</f>
        <v>1858.55</v>
      </c>
      <c r="R196" s="188">
        <f t="shared" si="264"/>
        <v>51.5</v>
      </c>
      <c r="S196" s="188">
        <f t="shared" si="265"/>
        <v>145.09666666666666</v>
      </c>
      <c r="T196" s="188">
        <f t="shared" si="262"/>
        <v>2701.0266666666666</v>
      </c>
      <c r="U196" s="188">
        <f t="shared" si="213"/>
        <v>63972.809999999954</v>
      </c>
      <c r="V196" s="188">
        <f t="shared" si="214"/>
        <v>359275.85999999981</v>
      </c>
      <c r="W196" s="188">
        <f t="shared" si="276"/>
        <v>261737.18999999994</v>
      </c>
      <c r="X196" s="395">
        <f t="shared" si="206"/>
        <v>51270</v>
      </c>
      <c r="Y196" s="188">
        <f t="shared" si="277"/>
        <v>262383.06999999995</v>
      </c>
      <c r="Z196" s="388">
        <f t="shared" si="199"/>
        <v>8.4999999999999992E-2</v>
      </c>
      <c r="AA196" s="188">
        <f t="shared" si="200"/>
        <v>2504.4299999999998</v>
      </c>
      <c r="AB196" s="188">
        <f t="shared" si="278"/>
        <v>645.87999999999988</v>
      </c>
      <c r="AC196" s="188">
        <f t="shared" si="201"/>
        <v>1858.55</v>
      </c>
      <c r="AD196" s="188">
        <f t="shared" ref="AD196:AE196" si="288">+AD195</f>
        <v>51.5</v>
      </c>
      <c r="AE196" s="188">
        <f t="shared" si="288"/>
        <v>145.09666666666666</v>
      </c>
      <c r="AF196" s="188">
        <f t="shared" si="280"/>
        <v>2701.0266666666666</v>
      </c>
      <c r="AG196" s="188">
        <f t="shared" si="281"/>
        <v>63972.809999999954</v>
      </c>
      <c r="AH196" s="188">
        <f t="shared" si="282"/>
        <v>359275.85999999981</v>
      </c>
      <c r="AI196" s="404">
        <f t="shared" si="267"/>
        <v>0</v>
      </c>
      <c r="AJ196" s="404">
        <f t="shared" si="226"/>
        <v>0</v>
      </c>
      <c r="AK196" s="404">
        <f t="shared" si="268"/>
        <v>0</v>
      </c>
      <c r="AL196" s="188">
        <f t="shared" si="283"/>
        <v>261737.18999999994</v>
      </c>
      <c r="AM196" s="317">
        <f t="shared" si="208"/>
        <v>14</v>
      </c>
      <c r="AN196" s="14">
        <f t="shared" si="269"/>
        <v>1944.5499999999997</v>
      </c>
      <c r="AO196" s="14">
        <f>IF(W196&lt;=0,0,+$AA$6-$C$2+I196-U196)</f>
        <v>165246.17000000004</v>
      </c>
      <c r="AP196" s="14">
        <f t="shared" si="270"/>
        <v>1944.5499999999997</v>
      </c>
      <c r="AS196" s="14">
        <f t="shared" si="203"/>
        <v>1944.5499999999997</v>
      </c>
      <c r="AT196" s="14">
        <f t="shared" si="209"/>
        <v>328148.38999999897</v>
      </c>
      <c r="AU196" s="188">
        <f>IF(W196&lt;=0,0,+($O$5+AV195)*$AQ$2/12)</f>
        <v>1276.3204676040425</v>
      </c>
      <c r="AV196" s="188">
        <f t="shared" si="210"/>
        <v>186094.507509221</v>
      </c>
    </row>
    <row r="197" spans="1:48">
      <c r="A197" s="395">
        <f t="shared" si="272"/>
        <v>51300</v>
      </c>
      <c r="B197" s="188">
        <f t="shared" si="204"/>
        <v>96951.189999999959</v>
      </c>
      <c r="C197" s="14">
        <f t="shared" si="197"/>
        <v>559.88</v>
      </c>
      <c r="D197" s="14">
        <f t="shared" si="211"/>
        <v>196.31</v>
      </c>
      <c r="E197" s="14">
        <f t="shared" si="198"/>
        <v>363.57</v>
      </c>
      <c r="F197" s="14">
        <f t="shared" si="261"/>
        <v>51.5</v>
      </c>
      <c r="G197" s="14">
        <f t="shared" si="258"/>
        <v>145.09666666666666</v>
      </c>
      <c r="H197" s="14">
        <f t="shared" si="259"/>
        <v>756.47666666666669</v>
      </c>
      <c r="I197" s="188">
        <f t="shared" si="273"/>
        <v>26418.290000000005</v>
      </c>
      <c r="J197" s="188">
        <f t="shared" si="274"/>
        <v>75940.039999999964</v>
      </c>
      <c r="K197" s="188">
        <f t="shared" si="275"/>
        <v>96754.879999999961</v>
      </c>
      <c r="L197" s="317">
        <f t="shared" si="246"/>
        <v>14</v>
      </c>
      <c r="M197" s="317">
        <f>IF(N197&lt;&gt;"",IF(N197=$O$5,0,+M196+1),0)</f>
        <v>169</v>
      </c>
      <c r="N197" s="188">
        <f t="shared" si="205"/>
        <v>261737.18999999994</v>
      </c>
      <c r="O197" s="188">
        <f>IF($O$11&lt;=A197,IF(+$W196&lt;=0,0,$O$8),0)</f>
        <v>2504.4299999999998</v>
      </c>
      <c r="P197" s="188">
        <f t="shared" si="212"/>
        <v>650.45999999999981</v>
      </c>
      <c r="Q197" s="188">
        <f>IF($O$11&lt;=A197,ROUND(N197*($O$7/12),2),0)</f>
        <v>1853.97</v>
      </c>
      <c r="R197" s="188">
        <f t="shared" si="264"/>
        <v>51.5</v>
      </c>
      <c r="S197" s="188">
        <f t="shared" si="265"/>
        <v>145.09666666666666</v>
      </c>
      <c r="T197" s="188">
        <f t="shared" si="262"/>
        <v>2701.0266666666666</v>
      </c>
      <c r="U197" s="188">
        <f t="shared" si="213"/>
        <v>64623.269999999953</v>
      </c>
      <c r="V197" s="188">
        <f t="shared" si="214"/>
        <v>361129.82999999978</v>
      </c>
      <c r="W197" s="188">
        <f t="shared" si="276"/>
        <v>261086.72999999995</v>
      </c>
      <c r="X197" s="395">
        <f t="shared" si="206"/>
        <v>51300</v>
      </c>
      <c r="Y197" s="188">
        <f t="shared" si="277"/>
        <v>261737.18999999994</v>
      </c>
      <c r="Z197" s="388">
        <f t="shared" si="199"/>
        <v>8.4999999999999992E-2</v>
      </c>
      <c r="AA197" s="188">
        <f t="shared" si="200"/>
        <v>2504.4299999999998</v>
      </c>
      <c r="AB197" s="188">
        <f t="shared" si="278"/>
        <v>650.45999999999981</v>
      </c>
      <c r="AC197" s="188">
        <f t="shared" si="201"/>
        <v>1853.97</v>
      </c>
      <c r="AD197" s="188">
        <f t="shared" ref="AD197:AE197" si="289">+AD196</f>
        <v>51.5</v>
      </c>
      <c r="AE197" s="188">
        <f t="shared" si="289"/>
        <v>145.09666666666666</v>
      </c>
      <c r="AF197" s="188">
        <f t="shared" si="280"/>
        <v>2701.0266666666666</v>
      </c>
      <c r="AG197" s="188">
        <f t="shared" si="281"/>
        <v>64623.269999999953</v>
      </c>
      <c r="AH197" s="188">
        <f t="shared" si="282"/>
        <v>361129.82999999978</v>
      </c>
      <c r="AI197" s="404">
        <f t="shared" si="267"/>
        <v>0</v>
      </c>
      <c r="AJ197" s="404">
        <f t="shared" si="226"/>
        <v>0</v>
      </c>
      <c r="AK197" s="404">
        <f t="shared" si="268"/>
        <v>0</v>
      </c>
      <c r="AL197" s="188">
        <f t="shared" si="283"/>
        <v>261086.72999999995</v>
      </c>
      <c r="AM197" s="317">
        <f t="shared" si="208"/>
        <v>14</v>
      </c>
      <c r="AN197" s="14">
        <f t="shared" si="269"/>
        <v>1944.5499999999997</v>
      </c>
      <c r="AO197" s="14">
        <f>IF(W197&lt;=0,0,+$AA$6-$C$2+I197-U197)</f>
        <v>164792.02000000005</v>
      </c>
      <c r="AP197" s="14">
        <f t="shared" si="270"/>
        <v>1944.5499999999997</v>
      </c>
      <c r="AS197" s="14">
        <f t="shared" si="203"/>
        <v>1944.5499999999997</v>
      </c>
      <c r="AT197" s="14">
        <f t="shared" si="209"/>
        <v>330092.93999999895</v>
      </c>
      <c r="AU197" s="188">
        <f>IF(W197&lt;=0,0,+($O$5+AV196)*$AQ$2/12)</f>
        <v>1279.5112687730523</v>
      </c>
      <c r="AV197" s="188">
        <f t="shared" si="210"/>
        <v>187374.01877799406</v>
      </c>
    </row>
    <row r="198" spans="1:48">
      <c r="A198" s="395">
        <f t="shared" si="272"/>
        <v>51330</v>
      </c>
      <c r="B198" s="188">
        <f t="shared" si="204"/>
        <v>96754.879999999961</v>
      </c>
      <c r="C198" s="14">
        <f t="shared" si="197"/>
        <v>559.88</v>
      </c>
      <c r="D198" s="14">
        <f t="shared" si="211"/>
        <v>197.05</v>
      </c>
      <c r="E198" s="14">
        <f t="shared" si="198"/>
        <v>362.83</v>
      </c>
      <c r="F198" s="14">
        <f t="shared" si="261"/>
        <v>51.5</v>
      </c>
      <c r="G198" s="14">
        <f t="shared" si="258"/>
        <v>145.09666666666666</v>
      </c>
      <c r="H198" s="14">
        <f t="shared" si="259"/>
        <v>756.47666666666669</v>
      </c>
      <c r="I198" s="188">
        <f t="shared" si="273"/>
        <v>26615.340000000004</v>
      </c>
      <c r="J198" s="188">
        <f t="shared" si="274"/>
        <v>76302.869999999966</v>
      </c>
      <c r="K198" s="188">
        <f t="shared" si="275"/>
        <v>96557.829999999958</v>
      </c>
      <c r="L198" s="317">
        <f t="shared" si="246"/>
        <v>14</v>
      </c>
      <c r="M198" s="317">
        <f>IF(N198&lt;&gt;"",IF(N198=$O$5,0,+M197+1),0)</f>
        <v>170</v>
      </c>
      <c r="N198" s="188">
        <f t="shared" si="205"/>
        <v>261086.72999999995</v>
      </c>
      <c r="O198" s="188">
        <f>IF($O$11&lt;=A198,IF(+$W197&lt;=0,0,$O$8),0)</f>
        <v>2504.4299999999998</v>
      </c>
      <c r="P198" s="188">
        <f t="shared" si="212"/>
        <v>655.06999999999994</v>
      </c>
      <c r="Q198" s="188">
        <f>IF($O$11&lt;=A198,ROUND(N198*($O$7/12),2),0)</f>
        <v>1849.36</v>
      </c>
      <c r="R198" s="188">
        <f t="shared" si="264"/>
        <v>51.5</v>
      </c>
      <c r="S198" s="188">
        <f t="shared" si="265"/>
        <v>145.09666666666666</v>
      </c>
      <c r="T198" s="188">
        <f t="shared" si="262"/>
        <v>2701.0266666666666</v>
      </c>
      <c r="U198" s="188">
        <f t="shared" si="213"/>
        <v>65278.339999999953</v>
      </c>
      <c r="V198" s="188">
        <f t="shared" si="214"/>
        <v>362979.18999999977</v>
      </c>
      <c r="W198" s="188">
        <f t="shared" si="276"/>
        <v>260431.65999999995</v>
      </c>
      <c r="X198" s="395">
        <f t="shared" si="206"/>
        <v>51330</v>
      </c>
      <c r="Y198" s="188">
        <f t="shared" si="277"/>
        <v>261086.72999999995</v>
      </c>
      <c r="Z198" s="388">
        <f t="shared" si="199"/>
        <v>8.4999999999999992E-2</v>
      </c>
      <c r="AA198" s="188">
        <f t="shared" si="200"/>
        <v>2504.4299999999998</v>
      </c>
      <c r="AB198" s="188">
        <f t="shared" si="278"/>
        <v>655.06999999999994</v>
      </c>
      <c r="AC198" s="188">
        <f t="shared" si="201"/>
        <v>1849.36</v>
      </c>
      <c r="AD198" s="188">
        <f t="shared" ref="AD198:AE198" si="290">+AD197</f>
        <v>51.5</v>
      </c>
      <c r="AE198" s="188">
        <f t="shared" si="290"/>
        <v>145.09666666666666</v>
      </c>
      <c r="AF198" s="188">
        <f t="shared" si="280"/>
        <v>2701.0266666666666</v>
      </c>
      <c r="AG198" s="188">
        <f t="shared" si="281"/>
        <v>65278.339999999953</v>
      </c>
      <c r="AH198" s="188">
        <f t="shared" si="282"/>
        <v>362979.18999999977</v>
      </c>
      <c r="AI198" s="404">
        <f t="shared" si="267"/>
        <v>0</v>
      </c>
      <c r="AJ198" s="404">
        <f t="shared" si="226"/>
        <v>0</v>
      </c>
      <c r="AK198" s="404">
        <f t="shared" si="268"/>
        <v>0</v>
      </c>
      <c r="AL198" s="188">
        <f t="shared" si="283"/>
        <v>260431.65999999995</v>
      </c>
      <c r="AM198" s="317">
        <f t="shared" si="208"/>
        <v>14</v>
      </c>
      <c r="AN198" s="14">
        <f t="shared" si="269"/>
        <v>1944.5499999999997</v>
      </c>
      <c r="AO198" s="14">
        <f>IF(W198&lt;=0,0,+$AA$6-$C$2+I198-U198)</f>
        <v>164334.00000000006</v>
      </c>
      <c r="AP198" s="14">
        <f t="shared" si="270"/>
        <v>1944.5499999999997</v>
      </c>
      <c r="AS198" s="14">
        <f t="shared" si="203"/>
        <v>1944.5499999999997</v>
      </c>
      <c r="AT198" s="14">
        <f t="shared" si="209"/>
        <v>332037.48999999894</v>
      </c>
      <c r="AU198" s="188">
        <f>IF(W198&lt;=0,0,+($O$5+AV197)*$AQ$2/12)</f>
        <v>1282.7100469449852</v>
      </c>
      <c r="AV198" s="188">
        <f t="shared" si="210"/>
        <v>188656.72882493905</v>
      </c>
    </row>
    <row r="199" spans="1:48">
      <c r="A199" s="395">
        <f t="shared" si="272"/>
        <v>51360</v>
      </c>
      <c r="B199" s="188">
        <f t="shared" si="204"/>
        <v>96557.829999999958</v>
      </c>
      <c r="C199" s="14">
        <f t="shared" si="197"/>
        <v>559.88</v>
      </c>
      <c r="D199" s="14">
        <f t="shared" si="211"/>
        <v>197.79000000000002</v>
      </c>
      <c r="E199" s="14">
        <f t="shared" si="198"/>
        <v>362.09</v>
      </c>
      <c r="F199" s="14">
        <f t="shared" si="261"/>
        <v>51.5</v>
      </c>
      <c r="G199" s="14">
        <f t="shared" si="258"/>
        <v>145.09666666666666</v>
      </c>
      <c r="H199" s="14">
        <f t="shared" si="259"/>
        <v>756.47666666666669</v>
      </c>
      <c r="I199" s="188">
        <f t="shared" si="273"/>
        <v>26813.130000000005</v>
      </c>
      <c r="J199" s="188">
        <f t="shared" si="274"/>
        <v>76664.959999999963</v>
      </c>
      <c r="K199" s="188">
        <f t="shared" si="275"/>
        <v>96360.039999999964</v>
      </c>
      <c r="L199" s="317">
        <f t="shared" si="246"/>
        <v>14</v>
      </c>
      <c r="M199" s="317">
        <f>IF(N199&lt;&gt;"",IF(N199=$O$5,0,+M198+1),0)</f>
        <v>171</v>
      </c>
      <c r="N199" s="188">
        <f t="shared" si="205"/>
        <v>260431.65999999995</v>
      </c>
      <c r="O199" s="188">
        <f>IF($O$11&lt;=A199,IF(+$W198&lt;=0,0,$O$8),0)</f>
        <v>2504.4299999999998</v>
      </c>
      <c r="P199" s="188">
        <f t="shared" si="212"/>
        <v>659.70999999999981</v>
      </c>
      <c r="Q199" s="188">
        <f>IF($O$11&lt;=A199,ROUND(N199*($O$7/12),2),0)</f>
        <v>1844.72</v>
      </c>
      <c r="R199" s="188">
        <f t="shared" si="264"/>
        <v>51.5</v>
      </c>
      <c r="S199" s="188">
        <f t="shared" si="265"/>
        <v>145.09666666666666</v>
      </c>
      <c r="T199" s="188">
        <f t="shared" si="262"/>
        <v>2701.0266666666666</v>
      </c>
      <c r="U199" s="188">
        <f t="shared" si="213"/>
        <v>65938.049999999959</v>
      </c>
      <c r="V199" s="188">
        <f t="shared" si="214"/>
        <v>364823.90999999974</v>
      </c>
      <c r="W199" s="188">
        <f t="shared" si="276"/>
        <v>259771.94999999995</v>
      </c>
      <c r="X199" s="395">
        <f t="shared" si="206"/>
        <v>51360</v>
      </c>
      <c r="Y199" s="188">
        <f t="shared" si="277"/>
        <v>260431.65999999995</v>
      </c>
      <c r="Z199" s="388">
        <f t="shared" si="199"/>
        <v>8.4999999999999992E-2</v>
      </c>
      <c r="AA199" s="188">
        <f t="shared" si="200"/>
        <v>2504.4299999999998</v>
      </c>
      <c r="AB199" s="188">
        <f t="shared" si="278"/>
        <v>659.70999999999981</v>
      </c>
      <c r="AC199" s="188">
        <f t="shared" si="201"/>
        <v>1844.72</v>
      </c>
      <c r="AD199" s="188">
        <f t="shared" ref="AD199:AE199" si="291">+AD198</f>
        <v>51.5</v>
      </c>
      <c r="AE199" s="188">
        <f t="shared" si="291"/>
        <v>145.09666666666666</v>
      </c>
      <c r="AF199" s="188">
        <f t="shared" si="280"/>
        <v>2701.0266666666666</v>
      </c>
      <c r="AG199" s="188">
        <f t="shared" si="281"/>
        <v>65938.049999999959</v>
      </c>
      <c r="AH199" s="188">
        <f t="shared" si="282"/>
        <v>364823.90999999974</v>
      </c>
      <c r="AI199" s="404">
        <f t="shared" si="267"/>
        <v>0</v>
      </c>
      <c r="AJ199" s="404">
        <f t="shared" si="226"/>
        <v>0</v>
      </c>
      <c r="AK199" s="404">
        <f t="shared" si="268"/>
        <v>0</v>
      </c>
      <c r="AL199" s="188">
        <f t="shared" si="283"/>
        <v>259771.94999999995</v>
      </c>
      <c r="AM199" s="317">
        <f t="shared" si="208"/>
        <v>14</v>
      </c>
      <c r="AN199" s="14">
        <f t="shared" si="269"/>
        <v>1944.5499999999997</v>
      </c>
      <c r="AO199" s="14">
        <f>IF(W199&lt;=0,0,+$AA$6-$C$2+I199-U199)</f>
        <v>163872.08000000005</v>
      </c>
      <c r="AP199" s="14">
        <f t="shared" si="270"/>
        <v>1944.5499999999997</v>
      </c>
      <c r="AS199" s="14">
        <f t="shared" si="203"/>
        <v>1944.5499999999997</v>
      </c>
      <c r="AT199" s="14">
        <f t="shared" si="209"/>
        <v>333982.03999999893</v>
      </c>
      <c r="AU199" s="188">
        <f>IF(W199&lt;=0,0,+($O$5+AV198)*$AQ$2/12)</f>
        <v>1285.9168220623476</v>
      </c>
      <c r="AV199" s="188">
        <f t="shared" si="210"/>
        <v>189942.64564700139</v>
      </c>
    </row>
    <row r="200" spans="1:48">
      <c r="A200" s="395">
        <f t="shared" si="272"/>
        <v>51390</v>
      </c>
      <c r="B200" s="188">
        <f t="shared" si="204"/>
        <v>96360.039999999964</v>
      </c>
      <c r="C200" s="14">
        <f t="shared" si="197"/>
        <v>559.88</v>
      </c>
      <c r="D200" s="14">
        <f t="shared" si="211"/>
        <v>198.52999999999997</v>
      </c>
      <c r="E200" s="14">
        <f t="shared" si="198"/>
        <v>361.35</v>
      </c>
      <c r="F200" s="14">
        <f t="shared" si="261"/>
        <v>51.5</v>
      </c>
      <c r="G200" s="14">
        <f t="shared" si="258"/>
        <v>145.09666666666666</v>
      </c>
      <c r="H200" s="14">
        <f t="shared" si="259"/>
        <v>756.47666666666669</v>
      </c>
      <c r="I200" s="188">
        <f t="shared" si="273"/>
        <v>27011.660000000003</v>
      </c>
      <c r="J200" s="188">
        <f t="shared" si="274"/>
        <v>77026.309999999969</v>
      </c>
      <c r="K200" s="188">
        <f t="shared" si="275"/>
        <v>96161.509999999966</v>
      </c>
      <c r="L200" s="317">
        <f t="shared" si="246"/>
        <v>14</v>
      </c>
      <c r="M200" s="317">
        <f>IF(N200&lt;&gt;"",IF(N200=$O$5,0,+M199+1),0)</f>
        <v>172</v>
      </c>
      <c r="N200" s="188">
        <f t="shared" si="205"/>
        <v>259771.94999999995</v>
      </c>
      <c r="O200" s="188">
        <f>IF($O$11&lt;=A200,IF(+$W199&lt;=0,0,$O$8),0)</f>
        <v>2504.4299999999998</v>
      </c>
      <c r="P200" s="188">
        <f t="shared" si="212"/>
        <v>664.37999999999988</v>
      </c>
      <c r="Q200" s="188">
        <f>IF($O$11&lt;=A200,ROUND(N200*($O$7/12),2),0)</f>
        <v>1840.05</v>
      </c>
      <c r="R200" s="188">
        <f t="shared" si="264"/>
        <v>51.5</v>
      </c>
      <c r="S200" s="188">
        <f t="shared" si="265"/>
        <v>145.09666666666666</v>
      </c>
      <c r="T200" s="188">
        <f t="shared" si="262"/>
        <v>2701.0266666666666</v>
      </c>
      <c r="U200" s="188">
        <f t="shared" si="213"/>
        <v>66602.429999999964</v>
      </c>
      <c r="V200" s="188">
        <f t="shared" si="214"/>
        <v>366663.95999999973</v>
      </c>
      <c r="W200" s="188">
        <f t="shared" si="276"/>
        <v>259107.56999999995</v>
      </c>
      <c r="X200" s="395">
        <f t="shared" si="206"/>
        <v>51390</v>
      </c>
      <c r="Y200" s="188">
        <f t="shared" si="277"/>
        <v>259771.94999999995</v>
      </c>
      <c r="Z200" s="388">
        <f t="shared" si="199"/>
        <v>8.4999999999999992E-2</v>
      </c>
      <c r="AA200" s="188">
        <f t="shared" si="200"/>
        <v>2504.4299999999998</v>
      </c>
      <c r="AB200" s="188">
        <f t="shared" si="278"/>
        <v>664.37999999999988</v>
      </c>
      <c r="AC200" s="188">
        <f t="shared" si="201"/>
        <v>1840.05</v>
      </c>
      <c r="AD200" s="188">
        <f t="shared" ref="AD200:AE200" si="292">+AD199</f>
        <v>51.5</v>
      </c>
      <c r="AE200" s="188">
        <f t="shared" si="292"/>
        <v>145.09666666666666</v>
      </c>
      <c r="AF200" s="188">
        <f t="shared" si="280"/>
        <v>2701.0266666666666</v>
      </c>
      <c r="AG200" s="188">
        <f t="shared" si="281"/>
        <v>66602.429999999964</v>
      </c>
      <c r="AH200" s="188">
        <f t="shared" si="282"/>
        <v>366663.95999999973</v>
      </c>
      <c r="AI200" s="404">
        <f t="shared" si="267"/>
        <v>0</v>
      </c>
      <c r="AJ200" s="404">
        <f t="shared" si="226"/>
        <v>0</v>
      </c>
      <c r="AK200" s="404">
        <f t="shared" si="268"/>
        <v>0</v>
      </c>
      <c r="AL200" s="188">
        <f t="shared" si="283"/>
        <v>259107.56999999995</v>
      </c>
      <c r="AM200" s="317">
        <f t="shared" si="208"/>
        <v>14</v>
      </c>
      <c r="AN200" s="14">
        <f t="shared" si="269"/>
        <v>1944.5499999999997</v>
      </c>
      <c r="AO200" s="14">
        <f>IF(W200&lt;=0,0,+$AA$6-$C$2+I200-U200)</f>
        <v>163406.23000000004</v>
      </c>
      <c r="AP200" s="14">
        <f t="shared" si="270"/>
        <v>1944.5499999999997</v>
      </c>
      <c r="AS200" s="14">
        <f t="shared" si="203"/>
        <v>1944.5499999999997</v>
      </c>
      <c r="AT200" s="14">
        <f t="shared" si="209"/>
        <v>335926.58999999892</v>
      </c>
      <c r="AU200" s="188">
        <f>IF(W200&lt;=0,0,+($O$5+AV199)*$AQ$2/12)</f>
        <v>1289.1316141175034</v>
      </c>
      <c r="AV200" s="188">
        <f t="shared" si="210"/>
        <v>191231.7772611189</v>
      </c>
    </row>
    <row r="201" spans="1:48">
      <c r="A201" s="395">
        <f t="shared" si="272"/>
        <v>51420</v>
      </c>
      <c r="B201" s="188">
        <f t="shared" si="204"/>
        <v>96161.509999999966</v>
      </c>
      <c r="C201" s="14">
        <f t="shared" si="197"/>
        <v>559.88</v>
      </c>
      <c r="D201" s="14">
        <f t="shared" si="211"/>
        <v>199.26999999999998</v>
      </c>
      <c r="E201" s="14">
        <f t="shared" si="198"/>
        <v>360.61</v>
      </c>
      <c r="F201" s="14">
        <f t="shared" si="261"/>
        <v>51.5</v>
      </c>
      <c r="G201" s="14">
        <f t="shared" si="258"/>
        <v>145.09666666666666</v>
      </c>
      <c r="H201" s="14">
        <f t="shared" si="259"/>
        <v>756.47666666666669</v>
      </c>
      <c r="I201" s="188">
        <f t="shared" si="273"/>
        <v>27210.930000000004</v>
      </c>
      <c r="J201" s="188">
        <f t="shared" si="274"/>
        <v>77386.919999999969</v>
      </c>
      <c r="K201" s="188">
        <f t="shared" si="275"/>
        <v>95962.239999999962</v>
      </c>
      <c r="L201" s="317">
        <f t="shared" si="246"/>
        <v>14</v>
      </c>
      <c r="M201" s="317">
        <f>IF(N201&lt;&gt;"",IF(N201=$O$5,0,+M200+1),0)</f>
        <v>173</v>
      </c>
      <c r="N201" s="188">
        <f t="shared" si="205"/>
        <v>259107.56999999995</v>
      </c>
      <c r="O201" s="188">
        <f>IF($O$11&lt;=A201,IF(+$W200&lt;=0,0,$O$8),0)</f>
        <v>2504.4299999999998</v>
      </c>
      <c r="P201" s="188">
        <f t="shared" si="212"/>
        <v>669.07999999999993</v>
      </c>
      <c r="Q201" s="188">
        <f>IF($O$11&lt;=A201,ROUND(N201*($O$7/12),2),0)</f>
        <v>1835.35</v>
      </c>
      <c r="R201" s="188">
        <f t="shared" si="264"/>
        <v>51.5</v>
      </c>
      <c r="S201" s="188">
        <f t="shared" si="265"/>
        <v>145.09666666666666</v>
      </c>
      <c r="T201" s="188">
        <f t="shared" si="262"/>
        <v>2701.0266666666666</v>
      </c>
      <c r="U201" s="188">
        <f t="shared" si="213"/>
        <v>67271.509999999966</v>
      </c>
      <c r="V201" s="188">
        <f t="shared" si="214"/>
        <v>368499.30999999971</v>
      </c>
      <c r="W201" s="188">
        <f t="shared" si="276"/>
        <v>258438.48999999996</v>
      </c>
      <c r="X201" s="395">
        <f t="shared" si="206"/>
        <v>51420</v>
      </c>
      <c r="Y201" s="188">
        <f t="shared" si="277"/>
        <v>259107.56999999995</v>
      </c>
      <c r="Z201" s="388">
        <f t="shared" si="199"/>
        <v>8.4999999999999992E-2</v>
      </c>
      <c r="AA201" s="188">
        <f t="shared" si="200"/>
        <v>2504.4299999999998</v>
      </c>
      <c r="AB201" s="188">
        <f t="shared" si="278"/>
        <v>669.07999999999993</v>
      </c>
      <c r="AC201" s="188">
        <f t="shared" si="201"/>
        <v>1835.35</v>
      </c>
      <c r="AD201" s="188">
        <f t="shared" ref="AD201:AE201" si="293">+AD200</f>
        <v>51.5</v>
      </c>
      <c r="AE201" s="188">
        <f t="shared" si="293"/>
        <v>145.09666666666666</v>
      </c>
      <c r="AF201" s="188">
        <f t="shared" si="280"/>
        <v>2701.0266666666666</v>
      </c>
      <c r="AG201" s="188">
        <f t="shared" si="281"/>
        <v>67271.509999999966</v>
      </c>
      <c r="AH201" s="188">
        <f t="shared" si="282"/>
        <v>368499.30999999971</v>
      </c>
      <c r="AI201" s="404">
        <f t="shared" si="267"/>
        <v>0</v>
      </c>
      <c r="AJ201" s="404">
        <f t="shared" si="226"/>
        <v>0</v>
      </c>
      <c r="AK201" s="404">
        <f t="shared" si="268"/>
        <v>0</v>
      </c>
      <c r="AL201" s="188">
        <f t="shared" si="283"/>
        <v>258438.48999999996</v>
      </c>
      <c r="AM201" s="317">
        <f t="shared" si="208"/>
        <v>14</v>
      </c>
      <c r="AN201" s="14">
        <f t="shared" si="269"/>
        <v>1944.5499999999997</v>
      </c>
      <c r="AO201" s="14">
        <f>IF(W201&lt;=0,0,+$AA$6-$C$2+I201-U201)</f>
        <v>162936.42000000004</v>
      </c>
      <c r="AP201" s="14">
        <f t="shared" si="270"/>
        <v>1944.5499999999997</v>
      </c>
      <c r="AS201" s="14">
        <f t="shared" si="203"/>
        <v>1944.5499999999997</v>
      </c>
      <c r="AT201" s="14">
        <f t="shared" si="209"/>
        <v>337871.13999999891</v>
      </c>
      <c r="AU201" s="188">
        <f>IF(W201&lt;=0,0,+($O$5+AV200)*$AQ$2/12)</f>
        <v>1292.3544431527971</v>
      </c>
      <c r="AV201" s="188">
        <f t="shared" si="210"/>
        <v>192524.13170427168</v>
      </c>
    </row>
    <row r="202" spans="1:48">
      <c r="A202" s="395">
        <f t="shared" si="272"/>
        <v>51450</v>
      </c>
      <c r="B202" s="188">
        <f t="shared" si="204"/>
        <v>95962.239999999962</v>
      </c>
      <c r="C202" s="14">
        <f t="shared" si="197"/>
        <v>559.88</v>
      </c>
      <c r="D202" s="14">
        <f t="shared" si="211"/>
        <v>200.01999999999998</v>
      </c>
      <c r="E202" s="14">
        <f t="shared" si="198"/>
        <v>359.86</v>
      </c>
      <c r="F202" s="14">
        <f t="shared" si="261"/>
        <v>51.5</v>
      </c>
      <c r="G202" s="14">
        <f t="shared" si="258"/>
        <v>145.09666666666666</v>
      </c>
      <c r="H202" s="14">
        <f t="shared" si="259"/>
        <v>756.47666666666669</v>
      </c>
      <c r="I202" s="188">
        <f t="shared" si="273"/>
        <v>27410.950000000004</v>
      </c>
      <c r="J202" s="188">
        <f t="shared" si="274"/>
        <v>77746.77999999997</v>
      </c>
      <c r="K202" s="188">
        <f t="shared" si="275"/>
        <v>95762.219999999958</v>
      </c>
      <c r="L202" s="317">
        <f t="shared" si="246"/>
        <v>14</v>
      </c>
      <c r="M202" s="317">
        <f>IF(N202&lt;&gt;"",IF(N202=$O$5,0,+M201+1),0)</f>
        <v>174</v>
      </c>
      <c r="N202" s="188">
        <f t="shared" si="205"/>
        <v>258438.48999999996</v>
      </c>
      <c r="O202" s="188">
        <f>IF($O$11&lt;=A202,IF(+$W201&lt;=0,0,$O$8),0)</f>
        <v>2504.4299999999998</v>
      </c>
      <c r="P202" s="188">
        <f t="shared" si="212"/>
        <v>673.81999999999994</v>
      </c>
      <c r="Q202" s="188">
        <f>IF($O$11&lt;=A202,ROUND(N202*($O$7/12),2),0)</f>
        <v>1830.61</v>
      </c>
      <c r="R202" s="188">
        <f t="shared" si="264"/>
        <v>51.5</v>
      </c>
      <c r="S202" s="188">
        <f t="shared" si="265"/>
        <v>145.09666666666666</v>
      </c>
      <c r="T202" s="188">
        <f t="shared" si="262"/>
        <v>2701.0266666666666</v>
      </c>
      <c r="U202" s="188">
        <f t="shared" si="213"/>
        <v>67945.329999999973</v>
      </c>
      <c r="V202" s="188">
        <f t="shared" si="214"/>
        <v>370329.91999999969</v>
      </c>
      <c r="W202" s="188">
        <f t="shared" si="276"/>
        <v>257764.66999999995</v>
      </c>
      <c r="X202" s="395">
        <f t="shared" si="206"/>
        <v>51450</v>
      </c>
      <c r="Y202" s="188">
        <f t="shared" si="277"/>
        <v>258438.48999999996</v>
      </c>
      <c r="Z202" s="388">
        <f t="shared" si="199"/>
        <v>8.4999999999999992E-2</v>
      </c>
      <c r="AA202" s="188">
        <f t="shared" si="200"/>
        <v>2504.4299999999998</v>
      </c>
      <c r="AB202" s="188">
        <f t="shared" si="278"/>
        <v>673.81999999999994</v>
      </c>
      <c r="AC202" s="188">
        <f t="shared" si="201"/>
        <v>1830.61</v>
      </c>
      <c r="AD202" s="188">
        <f t="shared" ref="AD202:AE202" si="294">+AD201</f>
        <v>51.5</v>
      </c>
      <c r="AE202" s="188">
        <f t="shared" si="294"/>
        <v>145.09666666666666</v>
      </c>
      <c r="AF202" s="188">
        <f t="shared" si="280"/>
        <v>2701.0266666666666</v>
      </c>
      <c r="AG202" s="188">
        <f t="shared" si="281"/>
        <v>67945.329999999973</v>
      </c>
      <c r="AH202" s="188">
        <f t="shared" si="282"/>
        <v>370329.91999999969</v>
      </c>
      <c r="AI202" s="404">
        <f t="shared" si="267"/>
        <v>0</v>
      </c>
      <c r="AJ202" s="404">
        <f t="shared" si="226"/>
        <v>0</v>
      </c>
      <c r="AK202" s="404">
        <f t="shared" si="268"/>
        <v>0</v>
      </c>
      <c r="AL202" s="188">
        <f t="shared" si="283"/>
        <v>257764.66999999995</v>
      </c>
      <c r="AM202" s="317">
        <f t="shared" si="208"/>
        <v>14</v>
      </c>
      <c r="AN202" s="14">
        <f t="shared" si="269"/>
        <v>1944.5499999999997</v>
      </c>
      <c r="AO202" s="14">
        <f>IF(W202&lt;=0,0,+$AA$6-$C$2+I202-U202)</f>
        <v>162462.62000000005</v>
      </c>
      <c r="AP202" s="14">
        <f t="shared" si="270"/>
        <v>1944.5499999999997</v>
      </c>
      <c r="AS202" s="14">
        <f t="shared" si="203"/>
        <v>1944.5499999999997</v>
      </c>
      <c r="AT202" s="14">
        <f t="shared" si="209"/>
        <v>339815.6899999989</v>
      </c>
      <c r="AU202" s="188">
        <f>IF(W202&lt;=0,0,+($O$5+AV201)*$AQ$2/12)</f>
        <v>1295.5853292606791</v>
      </c>
      <c r="AV202" s="188">
        <f t="shared" si="210"/>
        <v>193819.71703353236</v>
      </c>
    </row>
    <row r="203" spans="1:48">
      <c r="A203" s="395">
        <f t="shared" si="272"/>
        <v>51480</v>
      </c>
      <c r="B203" s="188">
        <f t="shared" si="204"/>
        <v>95762.219999999958</v>
      </c>
      <c r="C203" s="14">
        <f t="shared" si="197"/>
        <v>559.88</v>
      </c>
      <c r="D203" s="14">
        <f t="shared" si="211"/>
        <v>200.76999999999998</v>
      </c>
      <c r="E203" s="14">
        <f t="shared" si="198"/>
        <v>359.11</v>
      </c>
      <c r="F203" s="14">
        <f t="shared" si="261"/>
        <v>51.5</v>
      </c>
      <c r="G203" s="14">
        <f t="shared" si="258"/>
        <v>145.09666666666666</v>
      </c>
      <c r="H203" s="14">
        <f t="shared" si="259"/>
        <v>756.47666666666669</v>
      </c>
      <c r="I203" s="188">
        <f t="shared" si="273"/>
        <v>27611.720000000005</v>
      </c>
      <c r="J203" s="188">
        <f t="shared" si="274"/>
        <v>78105.88999999997</v>
      </c>
      <c r="K203" s="188">
        <f t="shared" si="275"/>
        <v>95561.449999999953</v>
      </c>
      <c r="L203" s="317">
        <f t="shared" si="246"/>
        <v>14</v>
      </c>
      <c r="M203" s="317">
        <f>IF(N203&lt;&gt;"",IF(N203=$O$5,0,+M202+1),0)</f>
        <v>175</v>
      </c>
      <c r="N203" s="188">
        <f t="shared" si="205"/>
        <v>257764.66999999995</v>
      </c>
      <c r="O203" s="188">
        <f>IF($O$11&lt;=A203,IF(+$W202&lt;=0,0,$O$8),0)</f>
        <v>2504.4299999999998</v>
      </c>
      <c r="P203" s="188">
        <f t="shared" si="212"/>
        <v>678.59999999999991</v>
      </c>
      <c r="Q203" s="188">
        <f>IF($O$11&lt;=A203,ROUND(N203*($O$7/12),2),0)</f>
        <v>1825.83</v>
      </c>
      <c r="R203" s="188">
        <f t="shared" si="264"/>
        <v>51.5</v>
      </c>
      <c r="S203" s="188">
        <f t="shared" si="265"/>
        <v>145.09666666666666</v>
      </c>
      <c r="T203" s="188">
        <f t="shared" si="262"/>
        <v>2701.0266666666666</v>
      </c>
      <c r="U203" s="188">
        <f t="shared" si="213"/>
        <v>68623.929999999978</v>
      </c>
      <c r="V203" s="188">
        <f t="shared" si="214"/>
        <v>372155.74999999971</v>
      </c>
      <c r="W203" s="188">
        <f t="shared" si="276"/>
        <v>257086.06999999995</v>
      </c>
      <c r="X203" s="395">
        <f t="shared" si="206"/>
        <v>51480</v>
      </c>
      <c r="Y203" s="188">
        <f t="shared" si="277"/>
        <v>257764.66999999995</v>
      </c>
      <c r="Z203" s="388">
        <f t="shared" si="199"/>
        <v>8.4999999999999992E-2</v>
      </c>
      <c r="AA203" s="188">
        <f t="shared" si="200"/>
        <v>2504.4299999999998</v>
      </c>
      <c r="AB203" s="188">
        <f t="shared" si="278"/>
        <v>678.59999999999991</v>
      </c>
      <c r="AC203" s="188">
        <f t="shared" si="201"/>
        <v>1825.83</v>
      </c>
      <c r="AD203" s="188">
        <f t="shared" ref="AD203:AE203" si="295">+AD202</f>
        <v>51.5</v>
      </c>
      <c r="AE203" s="188">
        <f t="shared" si="295"/>
        <v>145.09666666666666</v>
      </c>
      <c r="AF203" s="188">
        <f t="shared" si="280"/>
        <v>2701.0266666666666</v>
      </c>
      <c r="AG203" s="188">
        <f t="shared" si="281"/>
        <v>68623.929999999978</v>
      </c>
      <c r="AH203" s="188">
        <f t="shared" si="282"/>
        <v>372155.74999999971</v>
      </c>
      <c r="AI203" s="404">
        <f t="shared" si="267"/>
        <v>0</v>
      </c>
      <c r="AJ203" s="404">
        <f t="shared" si="226"/>
        <v>0</v>
      </c>
      <c r="AK203" s="404">
        <f t="shared" si="268"/>
        <v>0</v>
      </c>
      <c r="AL203" s="188">
        <f t="shared" si="283"/>
        <v>257086.06999999995</v>
      </c>
      <c r="AM203" s="317">
        <f t="shared" si="208"/>
        <v>14</v>
      </c>
      <c r="AN203" s="14">
        <f t="shared" si="269"/>
        <v>1944.5499999999997</v>
      </c>
      <c r="AO203" s="14">
        <f>IF(W203&lt;=0,0,+$AA$6-$C$2+I203-U203)</f>
        <v>161984.79000000004</v>
      </c>
      <c r="AP203" s="14">
        <f t="shared" si="270"/>
        <v>1944.5499999999997</v>
      </c>
      <c r="AS203" s="14">
        <f t="shared" si="203"/>
        <v>1944.5499999999997</v>
      </c>
      <c r="AT203" s="14">
        <f t="shared" si="209"/>
        <v>341760.23999999888</v>
      </c>
      <c r="AU203" s="188">
        <f>IF(W203&lt;=0,0,+($O$5+AV202)*$AQ$2/12)</f>
        <v>1298.8242925838308</v>
      </c>
      <c r="AV203" s="188">
        <f t="shared" si="210"/>
        <v>195118.54132611619</v>
      </c>
    </row>
    <row r="204" spans="1:48">
      <c r="A204" s="395">
        <f t="shared" si="272"/>
        <v>51510</v>
      </c>
      <c r="B204" s="188">
        <f t="shared" si="204"/>
        <v>95561.449999999953</v>
      </c>
      <c r="C204" s="14">
        <f t="shared" si="197"/>
        <v>559.88</v>
      </c>
      <c r="D204" s="14">
        <f t="shared" si="211"/>
        <v>201.51999999999998</v>
      </c>
      <c r="E204" s="14">
        <f t="shared" si="198"/>
        <v>358.36</v>
      </c>
      <c r="F204" s="14">
        <f t="shared" si="261"/>
        <v>51.5</v>
      </c>
      <c r="G204" s="14">
        <f t="shared" si="258"/>
        <v>145.09666666666666</v>
      </c>
      <c r="H204" s="14">
        <f t="shared" si="259"/>
        <v>756.47666666666669</v>
      </c>
      <c r="I204" s="188">
        <f t="shared" si="273"/>
        <v>27813.240000000005</v>
      </c>
      <c r="J204" s="188">
        <f t="shared" si="274"/>
        <v>78464.249999999971</v>
      </c>
      <c r="K204" s="188">
        <f t="shared" si="275"/>
        <v>95359.929999999949</v>
      </c>
      <c r="L204" s="317">
        <f t="shared" si="246"/>
        <v>14</v>
      </c>
      <c r="M204" s="317">
        <f>IF(N204&lt;&gt;"",IF(N204=$O$5,0,+M203+1),0)</f>
        <v>176</v>
      </c>
      <c r="N204" s="188">
        <f t="shared" si="205"/>
        <v>257086.06999999995</v>
      </c>
      <c r="O204" s="188">
        <f>IF($O$11&lt;=A204,IF(+$W203&lt;=0,0,$O$8),0)</f>
        <v>2504.4299999999998</v>
      </c>
      <c r="P204" s="188">
        <f t="shared" si="212"/>
        <v>683.39999999999986</v>
      </c>
      <c r="Q204" s="188">
        <f>IF($O$11&lt;=A204,ROUND(N204*($O$7/12),2),0)</f>
        <v>1821.03</v>
      </c>
      <c r="R204" s="188">
        <f t="shared" si="264"/>
        <v>51.5</v>
      </c>
      <c r="S204" s="188">
        <f t="shared" si="265"/>
        <v>145.09666666666666</v>
      </c>
      <c r="T204" s="188">
        <f t="shared" si="262"/>
        <v>2701.0266666666666</v>
      </c>
      <c r="U204" s="188">
        <f t="shared" si="213"/>
        <v>69307.329999999973</v>
      </c>
      <c r="V204" s="188">
        <f t="shared" si="214"/>
        <v>373976.77999999974</v>
      </c>
      <c r="W204" s="188">
        <f t="shared" si="276"/>
        <v>256402.66999999995</v>
      </c>
      <c r="X204" s="395">
        <f t="shared" si="206"/>
        <v>51510</v>
      </c>
      <c r="Y204" s="188">
        <f t="shared" si="277"/>
        <v>257086.06999999995</v>
      </c>
      <c r="Z204" s="388">
        <f t="shared" si="199"/>
        <v>8.4999999999999992E-2</v>
      </c>
      <c r="AA204" s="188">
        <f t="shared" si="200"/>
        <v>2504.4299999999998</v>
      </c>
      <c r="AB204" s="188">
        <f t="shared" si="278"/>
        <v>683.39999999999986</v>
      </c>
      <c r="AC204" s="188">
        <f t="shared" si="201"/>
        <v>1821.03</v>
      </c>
      <c r="AD204" s="188">
        <f t="shared" ref="AD204:AE204" si="296">+AD203</f>
        <v>51.5</v>
      </c>
      <c r="AE204" s="188">
        <f t="shared" si="296"/>
        <v>145.09666666666666</v>
      </c>
      <c r="AF204" s="188">
        <f t="shared" si="280"/>
        <v>2701.0266666666666</v>
      </c>
      <c r="AG204" s="188">
        <f t="shared" si="281"/>
        <v>69307.329999999973</v>
      </c>
      <c r="AH204" s="188">
        <f t="shared" si="282"/>
        <v>373976.77999999974</v>
      </c>
      <c r="AI204" s="404">
        <f t="shared" si="267"/>
        <v>0</v>
      </c>
      <c r="AJ204" s="404">
        <f t="shared" si="226"/>
        <v>0</v>
      </c>
      <c r="AK204" s="404">
        <f t="shared" si="268"/>
        <v>0</v>
      </c>
      <c r="AL204" s="188">
        <f t="shared" si="283"/>
        <v>256402.66999999995</v>
      </c>
      <c r="AM204" s="317">
        <f t="shared" si="208"/>
        <v>14</v>
      </c>
      <c r="AN204" s="14">
        <f t="shared" si="269"/>
        <v>1944.5499999999997</v>
      </c>
      <c r="AO204" s="14">
        <f>IF(W204&lt;=0,0,+$AA$6-$C$2+I204-U204)</f>
        <v>161502.91000000003</v>
      </c>
      <c r="AP204" s="14">
        <f t="shared" si="270"/>
        <v>1944.5499999999997</v>
      </c>
      <c r="AS204" s="14">
        <f t="shared" si="203"/>
        <v>1944.5499999999997</v>
      </c>
      <c r="AT204" s="14">
        <f t="shared" si="209"/>
        <v>343704.78999999887</v>
      </c>
      <c r="AU204" s="188">
        <f>IF(W204&lt;=0,0,+($O$5+AV203)*$AQ$2/12)</f>
        <v>1302.0713533152905</v>
      </c>
      <c r="AV204" s="188">
        <f t="shared" si="210"/>
        <v>196420.61267943148</v>
      </c>
    </row>
    <row r="205" spans="1:48">
      <c r="A205" s="395">
        <f t="shared" si="272"/>
        <v>51540</v>
      </c>
      <c r="B205" s="188">
        <f t="shared" si="204"/>
        <v>95359.929999999949</v>
      </c>
      <c r="C205" s="14">
        <f t="shared" si="197"/>
        <v>559.88</v>
      </c>
      <c r="D205" s="14">
        <f t="shared" si="211"/>
        <v>202.27999999999997</v>
      </c>
      <c r="E205" s="14">
        <f t="shared" si="198"/>
        <v>357.6</v>
      </c>
      <c r="F205" s="14">
        <f t="shared" si="261"/>
        <v>51.5</v>
      </c>
      <c r="G205" s="14">
        <f t="shared" si="258"/>
        <v>145.09666666666666</v>
      </c>
      <c r="H205" s="14">
        <f t="shared" si="259"/>
        <v>756.47666666666669</v>
      </c>
      <c r="I205" s="188">
        <f t="shared" si="273"/>
        <v>28015.520000000004</v>
      </c>
      <c r="J205" s="188">
        <f t="shared" si="274"/>
        <v>78821.849999999977</v>
      </c>
      <c r="K205" s="188">
        <f t="shared" si="275"/>
        <v>95157.649999999951</v>
      </c>
      <c r="L205" s="317">
        <f t="shared" si="246"/>
        <v>14</v>
      </c>
      <c r="M205" s="317">
        <f>IF(N205&lt;&gt;"",IF(N205=$O$5,0,+M204+1),0)</f>
        <v>177</v>
      </c>
      <c r="N205" s="188">
        <f t="shared" si="205"/>
        <v>256402.66999999995</v>
      </c>
      <c r="O205" s="188">
        <f>IF($O$11&lt;=A205,IF(+$W204&lt;=0,0,$O$8),0)</f>
        <v>2504.4299999999998</v>
      </c>
      <c r="P205" s="188">
        <f t="shared" si="212"/>
        <v>688.23999999999978</v>
      </c>
      <c r="Q205" s="188">
        <f>IF($O$11&lt;=A205,ROUND(N205*($O$7/12),2),0)</f>
        <v>1816.19</v>
      </c>
      <c r="R205" s="188">
        <f t="shared" si="264"/>
        <v>51.5</v>
      </c>
      <c r="S205" s="188">
        <f t="shared" si="265"/>
        <v>145.09666666666666</v>
      </c>
      <c r="T205" s="188">
        <f t="shared" si="262"/>
        <v>2701.0266666666666</v>
      </c>
      <c r="U205" s="188">
        <f t="shared" si="213"/>
        <v>69995.569999999978</v>
      </c>
      <c r="V205" s="188">
        <f t="shared" si="214"/>
        <v>375792.96999999974</v>
      </c>
      <c r="W205" s="188">
        <f t="shared" si="276"/>
        <v>255714.42999999996</v>
      </c>
      <c r="X205" s="395">
        <f t="shared" si="206"/>
        <v>51540</v>
      </c>
      <c r="Y205" s="188">
        <f t="shared" si="277"/>
        <v>256402.66999999995</v>
      </c>
      <c r="Z205" s="388">
        <f t="shared" si="199"/>
        <v>8.4999999999999992E-2</v>
      </c>
      <c r="AA205" s="188">
        <f t="shared" si="200"/>
        <v>2504.4299999999998</v>
      </c>
      <c r="AB205" s="188">
        <f t="shared" si="278"/>
        <v>688.23999999999978</v>
      </c>
      <c r="AC205" s="188">
        <f t="shared" si="201"/>
        <v>1816.19</v>
      </c>
      <c r="AD205" s="188">
        <f t="shared" ref="AD205:AE205" si="297">+AD204</f>
        <v>51.5</v>
      </c>
      <c r="AE205" s="188">
        <f t="shared" si="297"/>
        <v>145.09666666666666</v>
      </c>
      <c r="AF205" s="188">
        <f t="shared" si="280"/>
        <v>2701.0266666666666</v>
      </c>
      <c r="AG205" s="188">
        <f t="shared" si="281"/>
        <v>69995.569999999978</v>
      </c>
      <c r="AH205" s="188">
        <f t="shared" si="282"/>
        <v>375792.96999999974</v>
      </c>
      <c r="AI205" s="404">
        <f t="shared" si="267"/>
        <v>0</v>
      </c>
      <c r="AJ205" s="404">
        <f t="shared" si="226"/>
        <v>0</v>
      </c>
      <c r="AK205" s="404">
        <f t="shared" si="268"/>
        <v>0</v>
      </c>
      <c r="AL205" s="188">
        <f t="shared" si="283"/>
        <v>255714.42999999996</v>
      </c>
      <c r="AM205" s="317">
        <f t="shared" si="208"/>
        <v>14</v>
      </c>
      <c r="AN205" s="14">
        <f t="shared" si="269"/>
        <v>1944.5499999999997</v>
      </c>
      <c r="AO205" s="14">
        <f>IF(W205&lt;=0,0,+$AA$6-$C$2+I205-U205)</f>
        <v>161016.95000000004</v>
      </c>
      <c r="AP205" s="14">
        <f t="shared" si="270"/>
        <v>1944.5499999999997</v>
      </c>
      <c r="AS205" s="14">
        <f t="shared" si="203"/>
        <v>1944.5499999999997</v>
      </c>
      <c r="AT205" s="14">
        <f t="shared" si="209"/>
        <v>345649.33999999886</v>
      </c>
      <c r="AU205" s="188">
        <f>IF(W205&lt;=0,0,+($O$5+AV204)*$AQ$2/12)</f>
        <v>1305.3265316985787</v>
      </c>
      <c r="AV205" s="188">
        <f t="shared" si="210"/>
        <v>197725.93921113005</v>
      </c>
    </row>
    <row r="206" spans="1:48">
      <c r="A206" s="395">
        <f t="shared" si="272"/>
        <v>51570</v>
      </c>
      <c r="B206" s="188">
        <f t="shared" si="204"/>
        <v>95157.649999999951</v>
      </c>
      <c r="C206" s="14">
        <f t="shared" si="197"/>
        <v>559.88</v>
      </c>
      <c r="D206" s="14">
        <f t="shared" si="211"/>
        <v>203.04000000000002</v>
      </c>
      <c r="E206" s="14">
        <f t="shared" si="198"/>
        <v>356.84</v>
      </c>
      <c r="F206" s="14">
        <f t="shared" si="261"/>
        <v>51.5</v>
      </c>
      <c r="G206" s="14">
        <f t="shared" si="258"/>
        <v>145.09666666666666</v>
      </c>
      <c r="H206" s="14">
        <f t="shared" si="259"/>
        <v>756.47666666666669</v>
      </c>
      <c r="I206" s="188">
        <f t="shared" si="273"/>
        <v>28218.560000000005</v>
      </c>
      <c r="J206" s="188">
        <f t="shared" si="274"/>
        <v>79178.689999999973</v>
      </c>
      <c r="K206" s="188">
        <f t="shared" si="275"/>
        <v>94954.609999999957</v>
      </c>
      <c r="L206" s="317">
        <f t="shared" si="246"/>
        <v>14</v>
      </c>
      <c r="M206" s="317">
        <f>IF(N206&lt;&gt;"",IF(N206=$O$5,0,+M205+1),0)</f>
        <v>178</v>
      </c>
      <c r="N206" s="188">
        <f t="shared" si="205"/>
        <v>255714.42999999996</v>
      </c>
      <c r="O206" s="188">
        <f>IF($O$11&lt;=A206,IF(+$W205&lt;=0,0,$O$8),0)</f>
        <v>2504.4299999999998</v>
      </c>
      <c r="P206" s="188">
        <f t="shared" si="212"/>
        <v>693.11999999999989</v>
      </c>
      <c r="Q206" s="188">
        <f>IF($O$11&lt;=A206,ROUND(N206*($O$7/12),2),0)</f>
        <v>1811.31</v>
      </c>
      <c r="R206" s="188">
        <f t="shared" si="264"/>
        <v>51.5</v>
      </c>
      <c r="S206" s="188">
        <f t="shared" si="265"/>
        <v>145.09666666666666</v>
      </c>
      <c r="T206" s="188">
        <f t="shared" si="262"/>
        <v>2701.0266666666666</v>
      </c>
      <c r="U206" s="188">
        <f t="shared" si="213"/>
        <v>70688.689999999973</v>
      </c>
      <c r="V206" s="188">
        <f t="shared" si="214"/>
        <v>377604.27999999974</v>
      </c>
      <c r="W206" s="188">
        <f t="shared" si="276"/>
        <v>255021.30999999997</v>
      </c>
      <c r="X206" s="395">
        <f t="shared" si="206"/>
        <v>51570</v>
      </c>
      <c r="Y206" s="188">
        <f t="shared" si="277"/>
        <v>255714.42999999996</v>
      </c>
      <c r="Z206" s="388">
        <f t="shared" si="199"/>
        <v>8.4999999999999992E-2</v>
      </c>
      <c r="AA206" s="188">
        <f t="shared" si="200"/>
        <v>2504.4299999999998</v>
      </c>
      <c r="AB206" s="188">
        <f t="shared" si="278"/>
        <v>693.11999999999989</v>
      </c>
      <c r="AC206" s="188">
        <f t="shared" si="201"/>
        <v>1811.31</v>
      </c>
      <c r="AD206" s="188">
        <f t="shared" ref="AD206:AE206" si="298">+AD205</f>
        <v>51.5</v>
      </c>
      <c r="AE206" s="188">
        <f t="shared" si="298"/>
        <v>145.09666666666666</v>
      </c>
      <c r="AF206" s="188">
        <f t="shared" si="280"/>
        <v>2701.0266666666666</v>
      </c>
      <c r="AG206" s="188">
        <f t="shared" si="281"/>
        <v>70688.689999999973</v>
      </c>
      <c r="AH206" s="188">
        <f t="shared" si="282"/>
        <v>377604.27999999974</v>
      </c>
      <c r="AI206" s="404">
        <f t="shared" si="267"/>
        <v>0</v>
      </c>
      <c r="AJ206" s="404">
        <f t="shared" si="226"/>
        <v>0</v>
      </c>
      <c r="AK206" s="404">
        <f t="shared" si="268"/>
        <v>0</v>
      </c>
      <c r="AL206" s="188">
        <f t="shared" si="283"/>
        <v>255021.30999999997</v>
      </c>
      <c r="AM206" s="317">
        <f t="shared" si="208"/>
        <v>14</v>
      </c>
      <c r="AN206" s="14">
        <f t="shared" si="269"/>
        <v>1944.5499999999997</v>
      </c>
      <c r="AO206" s="14">
        <f>IF(W206&lt;=0,0,+$AA$6-$C$2+I206-U206)</f>
        <v>160526.87000000002</v>
      </c>
      <c r="AP206" s="14">
        <f t="shared" si="270"/>
        <v>1944.5499999999997</v>
      </c>
      <c r="AS206" s="14">
        <f t="shared" si="203"/>
        <v>1944.5499999999997</v>
      </c>
      <c r="AT206" s="14">
        <f t="shared" si="209"/>
        <v>347593.88999999885</v>
      </c>
      <c r="AU206" s="188">
        <f>IF(W206&lt;=0,0,+($O$5+AV205)*$AQ$2/12)</f>
        <v>1308.5898480278249</v>
      </c>
      <c r="AV206" s="188">
        <f t="shared" si="210"/>
        <v>199034.52905915788</v>
      </c>
    </row>
    <row r="207" spans="1:48" ht="15.75" thickBot="1">
      <c r="A207" s="398">
        <f t="shared" si="272"/>
        <v>51600</v>
      </c>
      <c r="B207" s="237">
        <f t="shared" si="204"/>
        <v>94954.609999999957</v>
      </c>
      <c r="C207" s="21">
        <f t="shared" si="197"/>
        <v>559.88</v>
      </c>
      <c r="D207" s="21">
        <f t="shared" si="211"/>
        <v>203.8</v>
      </c>
      <c r="E207" s="21">
        <f t="shared" si="198"/>
        <v>356.08</v>
      </c>
      <c r="F207" s="21">
        <f t="shared" si="261"/>
        <v>51.5</v>
      </c>
      <c r="G207" s="21">
        <f t="shared" si="258"/>
        <v>145.09666666666666</v>
      </c>
      <c r="H207" s="21">
        <f t="shared" si="259"/>
        <v>756.47666666666669</v>
      </c>
      <c r="I207" s="237">
        <f t="shared" si="273"/>
        <v>28422.360000000004</v>
      </c>
      <c r="J207" s="237">
        <f t="shared" si="274"/>
        <v>79534.769999999975</v>
      </c>
      <c r="K207" s="237">
        <f t="shared" si="275"/>
        <v>94750.809999999954</v>
      </c>
      <c r="L207" s="318">
        <f t="shared" si="246"/>
        <v>14</v>
      </c>
      <c r="M207" s="318">
        <f>IF(N207&lt;&gt;"",IF(N207=$O$5,0,+M206+1),0)</f>
        <v>179</v>
      </c>
      <c r="N207" s="237">
        <f t="shared" si="205"/>
        <v>255021.30999999997</v>
      </c>
      <c r="O207" s="237">
        <f>IF($O$11&lt;=A207,IF(+$W206&lt;=0,0,$O$8),0)</f>
        <v>2504.4299999999998</v>
      </c>
      <c r="P207" s="237">
        <f t="shared" si="212"/>
        <v>698.02999999999975</v>
      </c>
      <c r="Q207" s="237">
        <f>IF($O$11&lt;=A207,ROUND(N207*($O$7/12),2),0)</f>
        <v>1806.4</v>
      </c>
      <c r="R207" s="237">
        <f t="shared" si="264"/>
        <v>51.5</v>
      </c>
      <c r="S207" s="237">
        <f t="shared" si="265"/>
        <v>145.09666666666666</v>
      </c>
      <c r="T207" s="237">
        <f t="shared" si="262"/>
        <v>2701.0266666666666</v>
      </c>
      <c r="U207" s="237">
        <f t="shared" si="213"/>
        <v>71386.719999999972</v>
      </c>
      <c r="V207" s="237">
        <f t="shared" si="214"/>
        <v>379410.67999999976</v>
      </c>
      <c r="W207" s="237">
        <f t="shared" si="276"/>
        <v>254323.27999999997</v>
      </c>
      <c r="X207" s="398">
        <f t="shared" si="206"/>
        <v>51600</v>
      </c>
      <c r="Y207" s="237">
        <f t="shared" si="277"/>
        <v>255021.30999999997</v>
      </c>
      <c r="Z207" s="389">
        <f t="shared" si="199"/>
        <v>8.4999999999999992E-2</v>
      </c>
      <c r="AA207" s="237">
        <f t="shared" si="200"/>
        <v>2504.4299999999998</v>
      </c>
      <c r="AB207" s="237">
        <f t="shared" si="278"/>
        <v>698.02999999999975</v>
      </c>
      <c r="AC207" s="237">
        <f t="shared" si="201"/>
        <v>1806.4</v>
      </c>
      <c r="AD207" s="237">
        <f t="shared" ref="AD207:AE207" si="299">+AD206</f>
        <v>51.5</v>
      </c>
      <c r="AE207" s="237">
        <f t="shared" si="299"/>
        <v>145.09666666666666</v>
      </c>
      <c r="AF207" s="237">
        <f t="shared" si="280"/>
        <v>2701.0266666666666</v>
      </c>
      <c r="AG207" s="237">
        <f t="shared" si="281"/>
        <v>71386.719999999972</v>
      </c>
      <c r="AH207" s="237">
        <f t="shared" si="282"/>
        <v>379410.67999999976</v>
      </c>
      <c r="AI207" s="405">
        <f t="shared" si="267"/>
        <v>0</v>
      </c>
      <c r="AJ207" s="405">
        <f t="shared" si="226"/>
        <v>0</v>
      </c>
      <c r="AK207" s="404">
        <f t="shared" si="268"/>
        <v>0</v>
      </c>
      <c r="AL207" s="237">
        <f t="shared" si="283"/>
        <v>254323.27999999997</v>
      </c>
      <c r="AM207" s="318">
        <f t="shared" si="208"/>
        <v>14</v>
      </c>
      <c r="AN207" s="21">
        <f t="shared" si="269"/>
        <v>1944.5499999999997</v>
      </c>
      <c r="AO207" s="21">
        <f>IF(W207&lt;=0,0,+$AA$6-$C$2+I207-U207)</f>
        <v>160032.64000000004</v>
      </c>
      <c r="AP207" s="21">
        <f t="shared" si="270"/>
        <v>1944.5499999999997</v>
      </c>
      <c r="AQ207" s="21"/>
      <c r="AR207" s="23"/>
      <c r="AS207" s="21">
        <f t="shared" si="203"/>
        <v>1944.5499999999997</v>
      </c>
      <c r="AT207" s="21">
        <f t="shared" si="209"/>
        <v>349538.43999999884</v>
      </c>
      <c r="AU207" s="237">
        <f>IF(W207&lt;=0,0,+($O$5+AV206)*$AQ$2/12)</f>
        <v>1311.8613226478949</v>
      </c>
      <c r="AV207" s="237">
        <f t="shared" si="210"/>
        <v>200346.39038180577</v>
      </c>
    </row>
    <row r="208" spans="1:48">
      <c r="A208" s="395">
        <f t="shared" si="272"/>
        <v>51630</v>
      </c>
      <c r="B208" s="188">
        <f t="shared" si="204"/>
        <v>94750.809999999954</v>
      </c>
      <c r="C208" s="14">
        <f t="shared" ref="C208:C271" si="300">IF(+$K207&lt;=0,0,$C$6)</f>
        <v>559.88</v>
      </c>
      <c r="D208" s="14">
        <f t="shared" si="211"/>
        <v>204.56</v>
      </c>
      <c r="E208" s="14">
        <f t="shared" ref="E208:E271" si="301">ROUND($B208*($C$4/12), 2)</f>
        <v>355.32</v>
      </c>
      <c r="F208" s="14">
        <f t="shared" si="261"/>
        <v>51.5</v>
      </c>
      <c r="G208" s="14">
        <f t="shared" si="258"/>
        <v>145.09666666666666</v>
      </c>
      <c r="H208" s="14">
        <f t="shared" si="259"/>
        <v>756.47666666666669</v>
      </c>
      <c r="I208" s="188">
        <f t="shared" si="273"/>
        <v>28626.920000000006</v>
      </c>
      <c r="J208" s="188">
        <f t="shared" si="274"/>
        <v>79890.089999999982</v>
      </c>
      <c r="K208" s="188">
        <f t="shared" si="275"/>
        <v>94546.249999999956</v>
      </c>
      <c r="L208" s="317">
        <f t="shared" si="246"/>
        <v>15</v>
      </c>
      <c r="M208" s="317">
        <f>IF(N208&lt;&gt;"",IF(N208=$O$5,0,+M207+1),0)</f>
        <v>180</v>
      </c>
      <c r="N208" s="188">
        <f t="shared" si="205"/>
        <v>254323.27999999997</v>
      </c>
      <c r="O208" s="188">
        <f>IF($O$11&lt;=A208,IF(+$W207&lt;=0,0,$O$8),0)</f>
        <v>2504.4299999999998</v>
      </c>
      <c r="P208" s="188">
        <f t="shared" si="212"/>
        <v>702.9699999999998</v>
      </c>
      <c r="Q208" s="188">
        <f>IF($O$11&lt;=A208,ROUND(N208*($O$7/12),2),0)</f>
        <v>1801.46</v>
      </c>
      <c r="R208" s="188">
        <f t="shared" si="264"/>
        <v>51.5</v>
      </c>
      <c r="S208" s="188">
        <f t="shared" si="265"/>
        <v>145.09666666666666</v>
      </c>
      <c r="T208" s="188">
        <f t="shared" si="262"/>
        <v>2701.0266666666666</v>
      </c>
      <c r="U208" s="188">
        <f t="shared" si="213"/>
        <v>72089.689999999973</v>
      </c>
      <c r="V208" s="188">
        <f t="shared" si="214"/>
        <v>381212.13999999978</v>
      </c>
      <c r="W208" s="188">
        <f t="shared" si="276"/>
        <v>253620.30999999997</v>
      </c>
      <c r="X208" s="395">
        <f t="shared" si="206"/>
        <v>51630</v>
      </c>
      <c r="Y208" s="188">
        <f t="shared" si="277"/>
        <v>254323.27999999997</v>
      </c>
      <c r="Z208" s="388">
        <f t="shared" ref="Z208:Z271" si="302">IF(L208&gt;4,$AA$10,$AA$9)</f>
        <v>8.4999999999999992E-2</v>
      </c>
      <c r="AA208" s="188">
        <f t="shared" ref="AA208:AA271" si="303">IF($O$11&lt;=$A208,IF(+AL207&lt;=0,0,IF(Z208=$AA$9,$Z$9,$Z$10)),0)</f>
        <v>2504.4299999999998</v>
      </c>
      <c r="AB208" s="188">
        <f t="shared" si="278"/>
        <v>702.9699999999998</v>
      </c>
      <c r="AC208" s="188">
        <f t="shared" ref="AC208:AC271" si="304">IF($O$11&lt;=$A208,ROUND(Y208*(Z208/12),2),0)</f>
        <v>1801.46</v>
      </c>
      <c r="AD208" s="188">
        <f t="shared" ref="AD208:AE208" si="305">+AD207</f>
        <v>51.5</v>
      </c>
      <c r="AE208" s="188">
        <f t="shared" si="305"/>
        <v>145.09666666666666</v>
      </c>
      <c r="AF208" s="188">
        <f t="shared" si="280"/>
        <v>2701.0266666666666</v>
      </c>
      <c r="AG208" s="188">
        <f t="shared" si="281"/>
        <v>72089.689999999973</v>
      </c>
      <c r="AH208" s="188">
        <f t="shared" si="282"/>
        <v>381212.13999999978</v>
      </c>
      <c r="AI208" s="404">
        <f t="shared" si="267"/>
        <v>0</v>
      </c>
      <c r="AJ208" s="404">
        <f t="shared" si="226"/>
        <v>0</v>
      </c>
      <c r="AK208" s="404">
        <f t="shared" si="268"/>
        <v>0</v>
      </c>
      <c r="AL208" s="188">
        <f t="shared" si="283"/>
        <v>253620.30999999997</v>
      </c>
      <c r="AM208" s="317">
        <f t="shared" si="208"/>
        <v>15</v>
      </c>
      <c r="AN208" s="14">
        <f t="shared" si="269"/>
        <v>1944.5499999999997</v>
      </c>
      <c r="AO208" s="14">
        <f>IF(W208&lt;=0,0,+$AA$6-$C$2+I208-U208)</f>
        <v>159534.23000000004</v>
      </c>
      <c r="AP208" s="14">
        <f t="shared" si="270"/>
        <v>1944.5499999999997</v>
      </c>
      <c r="AS208" s="14">
        <f t="shared" ref="AS208:AS271" si="306">+AN208-AR208</f>
        <v>1944.5499999999997</v>
      </c>
      <c r="AT208" s="14">
        <f t="shared" si="209"/>
        <v>351482.98999999883</v>
      </c>
      <c r="AU208" s="188">
        <f>IF(W208&lt;=0,0,+($O$5+AV207)*$AQ$2/12)</f>
        <v>1315.1409759545145</v>
      </c>
      <c r="AV208" s="188">
        <f t="shared" si="210"/>
        <v>201661.53135776028</v>
      </c>
    </row>
    <row r="209" spans="1:48">
      <c r="A209" s="395">
        <f t="shared" si="272"/>
        <v>51660</v>
      </c>
      <c r="B209" s="188">
        <f t="shared" ref="B209:B272" si="307">IF(+K208&lt;0,0,+K208)</f>
        <v>94546.249999999956</v>
      </c>
      <c r="C209" s="14">
        <f t="shared" si="300"/>
        <v>559.88</v>
      </c>
      <c r="D209" s="14">
        <f t="shared" si="211"/>
        <v>205.32999999999998</v>
      </c>
      <c r="E209" s="14">
        <f t="shared" si="301"/>
        <v>354.55</v>
      </c>
      <c r="F209" s="14">
        <f t="shared" si="261"/>
        <v>51.5</v>
      </c>
      <c r="G209" s="14">
        <f t="shared" si="258"/>
        <v>145.09666666666666</v>
      </c>
      <c r="H209" s="14">
        <f t="shared" si="259"/>
        <v>756.47666666666669</v>
      </c>
      <c r="I209" s="188">
        <f t="shared" si="273"/>
        <v>28832.250000000007</v>
      </c>
      <c r="J209" s="188">
        <f t="shared" si="274"/>
        <v>80244.639999999985</v>
      </c>
      <c r="K209" s="188">
        <f t="shared" si="275"/>
        <v>94340.919999999955</v>
      </c>
      <c r="L209" s="317">
        <f t="shared" si="246"/>
        <v>15</v>
      </c>
      <c r="M209" s="317">
        <f>IF(N209&lt;&gt;"",IF(N209=$O$5,0,+M208+1),0)</f>
        <v>181</v>
      </c>
      <c r="N209" s="188">
        <f t="shared" ref="N209:N272" si="308">IF(+W208&lt;0,0,+W208)</f>
        <v>253620.30999999997</v>
      </c>
      <c r="O209" s="188">
        <f>IF($O$11&lt;=A209,IF(+$W208&lt;=0,0,$O$8),0)</f>
        <v>2504.4299999999998</v>
      </c>
      <c r="P209" s="188">
        <f t="shared" si="212"/>
        <v>707.94999999999982</v>
      </c>
      <c r="Q209" s="188">
        <f>IF($O$11&lt;=A209,ROUND(N209*($O$7/12),2),0)</f>
        <v>1796.48</v>
      </c>
      <c r="R209" s="188">
        <f t="shared" si="264"/>
        <v>51.5</v>
      </c>
      <c r="S209" s="188">
        <f t="shared" si="265"/>
        <v>145.09666666666666</v>
      </c>
      <c r="T209" s="188">
        <f t="shared" si="262"/>
        <v>2701.0266666666666</v>
      </c>
      <c r="U209" s="188">
        <f t="shared" si="213"/>
        <v>72797.63999999997</v>
      </c>
      <c r="V209" s="188">
        <f t="shared" si="214"/>
        <v>383008.61999999976</v>
      </c>
      <c r="W209" s="188">
        <f t="shared" si="276"/>
        <v>252912.35999999996</v>
      </c>
      <c r="X209" s="395">
        <f t="shared" ref="X209:X272" si="309">+A209</f>
        <v>51660</v>
      </c>
      <c r="Y209" s="188">
        <f t="shared" si="277"/>
        <v>253620.30999999997</v>
      </c>
      <c r="Z209" s="388">
        <f t="shared" si="302"/>
        <v>8.4999999999999992E-2</v>
      </c>
      <c r="AA209" s="188">
        <f t="shared" si="303"/>
        <v>2504.4299999999998</v>
      </c>
      <c r="AB209" s="188">
        <f t="shared" si="278"/>
        <v>707.94999999999982</v>
      </c>
      <c r="AC209" s="188">
        <f t="shared" si="304"/>
        <v>1796.48</v>
      </c>
      <c r="AD209" s="188">
        <f t="shared" ref="AD209:AE209" si="310">+AD208</f>
        <v>51.5</v>
      </c>
      <c r="AE209" s="188">
        <f t="shared" si="310"/>
        <v>145.09666666666666</v>
      </c>
      <c r="AF209" s="188">
        <f t="shared" si="280"/>
        <v>2701.0266666666666</v>
      </c>
      <c r="AG209" s="188">
        <f t="shared" si="281"/>
        <v>72797.63999999997</v>
      </c>
      <c r="AH209" s="188">
        <f t="shared" si="282"/>
        <v>383008.61999999976</v>
      </c>
      <c r="AI209" s="404">
        <f t="shared" si="267"/>
        <v>0</v>
      </c>
      <c r="AJ209" s="404">
        <f t="shared" si="226"/>
        <v>0</v>
      </c>
      <c r="AK209" s="404">
        <f t="shared" si="268"/>
        <v>0</v>
      </c>
      <c r="AL209" s="188">
        <f t="shared" si="283"/>
        <v>252912.35999999996</v>
      </c>
      <c r="AM209" s="317">
        <f t="shared" ref="AM209:AM272" si="311">+L209</f>
        <v>15</v>
      </c>
      <c r="AN209" s="14">
        <f t="shared" si="269"/>
        <v>1944.5499999999997</v>
      </c>
      <c r="AO209" s="14">
        <f>IF(W209&lt;=0,0,+$AA$6-$C$2+I209-U209)</f>
        <v>159031.61000000004</v>
      </c>
      <c r="AP209" s="14">
        <f t="shared" si="270"/>
        <v>1944.5499999999997</v>
      </c>
      <c r="AS209" s="14">
        <f t="shared" si="306"/>
        <v>1944.5499999999997</v>
      </c>
      <c r="AT209" s="14">
        <f t="shared" ref="AT209:AT272" si="312">IF(W209&lt;=0,0,+AS209+AT208)</f>
        <v>353427.53999999881</v>
      </c>
      <c r="AU209" s="188">
        <f>IF(W209&lt;=0,0,+($O$5+AV208)*$AQ$2/12)</f>
        <v>1318.4288283944009</v>
      </c>
      <c r="AV209" s="188">
        <f t="shared" ref="AV209:AV272" si="313">IF(W209&lt;=0,0,+AV208+AU209)</f>
        <v>202979.96018615467</v>
      </c>
    </row>
    <row r="210" spans="1:48">
      <c r="A210" s="395">
        <f t="shared" si="272"/>
        <v>51690</v>
      </c>
      <c r="B210" s="188">
        <f t="shared" si="307"/>
        <v>94340.919999999955</v>
      </c>
      <c r="C210" s="14">
        <f t="shared" si="300"/>
        <v>559.88</v>
      </c>
      <c r="D210" s="14">
        <f t="shared" ref="D210:D273" si="314">+C210-E210</f>
        <v>206.10000000000002</v>
      </c>
      <c r="E210" s="14">
        <f t="shared" si="301"/>
        <v>353.78</v>
      </c>
      <c r="F210" s="14">
        <f t="shared" si="261"/>
        <v>51.5</v>
      </c>
      <c r="G210" s="14">
        <f t="shared" si="258"/>
        <v>145.09666666666666</v>
      </c>
      <c r="H210" s="14">
        <f t="shared" si="259"/>
        <v>756.47666666666669</v>
      </c>
      <c r="I210" s="188">
        <f t="shared" si="273"/>
        <v>29038.350000000006</v>
      </c>
      <c r="J210" s="188">
        <f t="shared" si="274"/>
        <v>80598.419999999984</v>
      </c>
      <c r="K210" s="188">
        <f t="shared" si="275"/>
        <v>94134.819999999949</v>
      </c>
      <c r="L210" s="317">
        <f t="shared" si="246"/>
        <v>15</v>
      </c>
      <c r="M210" s="317">
        <f>IF(N210&lt;&gt;"",IF(N210=$O$5,0,+M209+1),0)</f>
        <v>182</v>
      </c>
      <c r="N210" s="188">
        <f t="shared" si="308"/>
        <v>252912.35999999996</v>
      </c>
      <c r="O210" s="188">
        <f>IF($O$11&lt;=A210,IF(+$W209&lt;=0,0,$O$8),0)</f>
        <v>2504.4299999999998</v>
      </c>
      <c r="P210" s="188">
        <f t="shared" ref="P210:P273" si="315">+O210-Q210</f>
        <v>712.9699999999998</v>
      </c>
      <c r="Q210" s="188">
        <f>IF($O$11&lt;=A210,ROUND(N210*($O$7/12),2),0)</f>
        <v>1791.46</v>
      </c>
      <c r="R210" s="188">
        <f t="shared" si="264"/>
        <v>51.5</v>
      </c>
      <c r="S210" s="188">
        <f t="shared" si="265"/>
        <v>145.09666666666666</v>
      </c>
      <c r="T210" s="188">
        <f t="shared" si="262"/>
        <v>2701.0266666666666</v>
      </c>
      <c r="U210" s="188">
        <f t="shared" ref="U210:U273" si="316">+P210+U209</f>
        <v>73510.609999999971</v>
      </c>
      <c r="V210" s="188">
        <f t="shared" ref="V210:V273" si="317">+V209+Q210</f>
        <v>384800.07999999978</v>
      </c>
      <c r="W210" s="188">
        <f t="shared" si="276"/>
        <v>252199.38999999996</v>
      </c>
      <c r="X210" s="395">
        <f t="shared" si="309"/>
        <v>51690</v>
      </c>
      <c r="Y210" s="188">
        <f t="shared" si="277"/>
        <v>252912.35999999996</v>
      </c>
      <c r="Z210" s="388">
        <f t="shared" si="302"/>
        <v>8.4999999999999992E-2</v>
      </c>
      <c r="AA210" s="188">
        <f t="shared" si="303"/>
        <v>2504.4299999999998</v>
      </c>
      <c r="AB210" s="188">
        <f t="shared" si="278"/>
        <v>712.9699999999998</v>
      </c>
      <c r="AC210" s="188">
        <f t="shared" si="304"/>
        <v>1791.46</v>
      </c>
      <c r="AD210" s="188">
        <f t="shared" ref="AD210:AE210" si="318">+AD209</f>
        <v>51.5</v>
      </c>
      <c r="AE210" s="188">
        <f t="shared" si="318"/>
        <v>145.09666666666666</v>
      </c>
      <c r="AF210" s="188">
        <f t="shared" si="280"/>
        <v>2701.0266666666666</v>
      </c>
      <c r="AG210" s="188">
        <f t="shared" si="281"/>
        <v>73510.609999999971</v>
      </c>
      <c r="AH210" s="188">
        <f t="shared" si="282"/>
        <v>384800.07999999978</v>
      </c>
      <c r="AI210" s="404">
        <f t="shared" si="267"/>
        <v>0</v>
      </c>
      <c r="AJ210" s="404">
        <f t="shared" si="226"/>
        <v>0</v>
      </c>
      <c r="AK210" s="404">
        <f t="shared" si="268"/>
        <v>0</v>
      </c>
      <c r="AL210" s="188">
        <f t="shared" si="283"/>
        <v>252199.38999999996</v>
      </c>
      <c r="AM210" s="317">
        <f t="shared" si="311"/>
        <v>15</v>
      </c>
      <c r="AN210" s="14">
        <f t="shared" si="269"/>
        <v>1944.5499999999997</v>
      </c>
      <c r="AO210" s="14">
        <f>IF(W210&lt;=0,0,+$AA$6-$C$2+I210-U210)</f>
        <v>158524.74000000005</v>
      </c>
      <c r="AP210" s="14">
        <f t="shared" si="270"/>
        <v>1944.5499999999997</v>
      </c>
      <c r="AS210" s="14">
        <f t="shared" si="306"/>
        <v>1944.5499999999997</v>
      </c>
      <c r="AT210" s="14">
        <f t="shared" si="312"/>
        <v>355372.0899999988</v>
      </c>
      <c r="AU210" s="188">
        <f>IF(W210&lt;=0,0,+($O$5+AV209)*$AQ$2/12)</f>
        <v>1321.7249004653866</v>
      </c>
      <c r="AV210" s="188">
        <f t="shared" si="313"/>
        <v>204301.68508662007</v>
      </c>
    </row>
    <row r="211" spans="1:48">
      <c r="A211" s="395">
        <f t="shared" si="272"/>
        <v>51720</v>
      </c>
      <c r="B211" s="188">
        <f t="shared" si="307"/>
        <v>94134.819999999949</v>
      </c>
      <c r="C211" s="14">
        <f t="shared" si="300"/>
        <v>559.88</v>
      </c>
      <c r="D211" s="14">
        <f t="shared" si="314"/>
        <v>206.87</v>
      </c>
      <c r="E211" s="14">
        <f t="shared" si="301"/>
        <v>353.01</v>
      </c>
      <c r="F211" s="14">
        <f t="shared" si="261"/>
        <v>51.5</v>
      </c>
      <c r="G211" s="14">
        <f t="shared" si="258"/>
        <v>145.09666666666666</v>
      </c>
      <c r="H211" s="14">
        <f t="shared" si="259"/>
        <v>756.47666666666669</v>
      </c>
      <c r="I211" s="188">
        <f t="shared" si="273"/>
        <v>29245.220000000005</v>
      </c>
      <c r="J211" s="188">
        <f t="shared" si="274"/>
        <v>80951.429999999978</v>
      </c>
      <c r="K211" s="188">
        <f t="shared" si="275"/>
        <v>93927.949999999953</v>
      </c>
      <c r="L211" s="317">
        <f t="shared" si="246"/>
        <v>15</v>
      </c>
      <c r="M211" s="317">
        <f>IF(N211&lt;&gt;"",IF(N211=$O$5,0,+M210+1),0)</f>
        <v>183</v>
      </c>
      <c r="N211" s="188">
        <f t="shared" si="308"/>
        <v>252199.38999999996</v>
      </c>
      <c r="O211" s="188">
        <f>IF($O$11&lt;=A211,IF(+$W210&lt;=0,0,$O$8),0)</f>
        <v>2504.4299999999998</v>
      </c>
      <c r="P211" s="188">
        <f t="shared" si="315"/>
        <v>718.01999999999975</v>
      </c>
      <c r="Q211" s="188">
        <f>IF($O$11&lt;=A211,ROUND(N211*($O$7/12),2),0)</f>
        <v>1786.41</v>
      </c>
      <c r="R211" s="188">
        <f t="shared" si="264"/>
        <v>51.5</v>
      </c>
      <c r="S211" s="188">
        <f t="shared" si="265"/>
        <v>145.09666666666666</v>
      </c>
      <c r="T211" s="188">
        <f t="shared" si="262"/>
        <v>2701.0266666666666</v>
      </c>
      <c r="U211" s="188">
        <f t="shared" si="316"/>
        <v>74228.629999999976</v>
      </c>
      <c r="V211" s="188">
        <f t="shared" si="317"/>
        <v>386586.48999999976</v>
      </c>
      <c r="W211" s="188">
        <f t="shared" si="276"/>
        <v>251481.36999999997</v>
      </c>
      <c r="X211" s="395">
        <f t="shared" si="309"/>
        <v>51720</v>
      </c>
      <c r="Y211" s="188">
        <f t="shared" si="277"/>
        <v>252199.38999999996</v>
      </c>
      <c r="Z211" s="388">
        <f t="shared" si="302"/>
        <v>8.4999999999999992E-2</v>
      </c>
      <c r="AA211" s="188">
        <f t="shared" si="303"/>
        <v>2504.4299999999998</v>
      </c>
      <c r="AB211" s="188">
        <f t="shared" si="278"/>
        <v>718.01999999999975</v>
      </c>
      <c r="AC211" s="188">
        <f t="shared" si="304"/>
        <v>1786.41</v>
      </c>
      <c r="AD211" s="188">
        <f t="shared" ref="AD211:AE211" si="319">+AD210</f>
        <v>51.5</v>
      </c>
      <c r="AE211" s="188">
        <f t="shared" si="319"/>
        <v>145.09666666666666</v>
      </c>
      <c r="AF211" s="188">
        <f t="shared" si="280"/>
        <v>2701.0266666666666</v>
      </c>
      <c r="AG211" s="188">
        <f t="shared" si="281"/>
        <v>74228.629999999976</v>
      </c>
      <c r="AH211" s="188">
        <f t="shared" si="282"/>
        <v>386586.48999999976</v>
      </c>
      <c r="AI211" s="404">
        <f t="shared" si="267"/>
        <v>0</v>
      </c>
      <c r="AJ211" s="404">
        <f t="shared" si="226"/>
        <v>0</v>
      </c>
      <c r="AK211" s="404">
        <f t="shared" si="268"/>
        <v>0</v>
      </c>
      <c r="AL211" s="188">
        <f t="shared" si="283"/>
        <v>251481.36999999997</v>
      </c>
      <c r="AM211" s="317">
        <f t="shared" si="311"/>
        <v>15</v>
      </c>
      <c r="AN211" s="14">
        <f t="shared" si="269"/>
        <v>1944.5499999999997</v>
      </c>
      <c r="AO211" s="14">
        <f>IF(W211&lt;=0,0,+$AA$6-$C$2+I211-U211)</f>
        <v>158013.59000000003</v>
      </c>
      <c r="AP211" s="14">
        <f t="shared" si="270"/>
        <v>1944.5499999999997</v>
      </c>
      <c r="AS211" s="14">
        <f t="shared" si="306"/>
        <v>1944.5499999999997</v>
      </c>
      <c r="AT211" s="14">
        <f t="shared" si="312"/>
        <v>357316.63999999879</v>
      </c>
      <c r="AU211" s="188">
        <f>IF(W211&lt;=0,0,+($O$5+AV210)*$AQ$2/12)</f>
        <v>1325.0292127165501</v>
      </c>
      <c r="AV211" s="188">
        <f t="shared" si="313"/>
        <v>205626.71429933663</v>
      </c>
    </row>
    <row r="212" spans="1:48">
      <c r="A212" s="395">
        <f t="shared" si="272"/>
        <v>51750</v>
      </c>
      <c r="B212" s="188">
        <f t="shared" si="307"/>
        <v>93927.949999999953</v>
      </c>
      <c r="C212" s="14">
        <f t="shared" si="300"/>
        <v>559.88</v>
      </c>
      <c r="D212" s="14">
        <f t="shared" si="314"/>
        <v>207.64999999999998</v>
      </c>
      <c r="E212" s="14">
        <f t="shared" si="301"/>
        <v>352.23</v>
      </c>
      <c r="F212" s="14">
        <f t="shared" si="261"/>
        <v>51.5</v>
      </c>
      <c r="G212" s="14">
        <f t="shared" si="258"/>
        <v>145.09666666666666</v>
      </c>
      <c r="H212" s="14">
        <f t="shared" si="259"/>
        <v>756.47666666666669</v>
      </c>
      <c r="I212" s="188">
        <f t="shared" si="273"/>
        <v>29452.870000000006</v>
      </c>
      <c r="J212" s="188">
        <f t="shared" si="274"/>
        <v>81303.659999999974</v>
      </c>
      <c r="K212" s="188">
        <f t="shared" si="275"/>
        <v>93720.299999999959</v>
      </c>
      <c r="L212" s="317">
        <f t="shared" si="246"/>
        <v>15</v>
      </c>
      <c r="M212" s="317">
        <f>IF(N212&lt;&gt;"",IF(N212=$O$5,0,+M211+1),0)</f>
        <v>184</v>
      </c>
      <c r="N212" s="188">
        <f t="shared" si="308"/>
        <v>251481.36999999997</v>
      </c>
      <c r="O212" s="188">
        <f>IF($O$11&lt;=A212,IF(+$W211&lt;=0,0,$O$8),0)</f>
        <v>2504.4299999999998</v>
      </c>
      <c r="P212" s="188">
        <f t="shared" si="315"/>
        <v>723.09999999999991</v>
      </c>
      <c r="Q212" s="188">
        <f>IF($O$11&lt;=A212,ROUND(N212*($O$7/12),2),0)</f>
        <v>1781.33</v>
      </c>
      <c r="R212" s="188">
        <f t="shared" si="264"/>
        <v>51.5</v>
      </c>
      <c r="S212" s="188">
        <f t="shared" si="265"/>
        <v>145.09666666666666</v>
      </c>
      <c r="T212" s="188">
        <f t="shared" si="262"/>
        <v>2701.0266666666666</v>
      </c>
      <c r="U212" s="188">
        <f t="shared" si="316"/>
        <v>74951.729999999981</v>
      </c>
      <c r="V212" s="188">
        <f t="shared" si="317"/>
        <v>388367.81999999977</v>
      </c>
      <c r="W212" s="188">
        <f t="shared" si="276"/>
        <v>250758.26999999996</v>
      </c>
      <c r="X212" s="395">
        <f t="shared" si="309"/>
        <v>51750</v>
      </c>
      <c r="Y212" s="188">
        <f t="shared" si="277"/>
        <v>251481.36999999997</v>
      </c>
      <c r="Z212" s="388">
        <f t="shared" si="302"/>
        <v>8.4999999999999992E-2</v>
      </c>
      <c r="AA212" s="188">
        <f t="shared" si="303"/>
        <v>2504.4299999999998</v>
      </c>
      <c r="AB212" s="188">
        <f t="shared" si="278"/>
        <v>723.09999999999991</v>
      </c>
      <c r="AC212" s="188">
        <f t="shared" si="304"/>
        <v>1781.33</v>
      </c>
      <c r="AD212" s="188">
        <f t="shared" ref="AD212:AE212" si="320">+AD211</f>
        <v>51.5</v>
      </c>
      <c r="AE212" s="188">
        <f t="shared" si="320"/>
        <v>145.09666666666666</v>
      </c>
      <c r="AF212" s="188">
        <f t="shared" si="280"/>
        <v>2701.0266666666666</v>
      </c>
      <c r="AG212" s="188">
        <f t="shared" si="281"/>
        <v>74951.729999999981</v>
      </c>
      <c r="AH212" s="188">
        <f t="shared" si="282"/>
        <v>388367.81999999977</v>
      </c>
      <c r="AI212" s="404">
        <f t="shared" si="267"/>
        <v>0</v>
      </c>
      <c r="AJ212" s="404">
        <f t="shared" si="226"/>
        <v>0</v>
      </c>
      <c r="AK212" s="404">
        <f t="shared" si="268"/>
        <v>0</v>
      </c>
      <c r="AL212" s="188">
        <f t="shared" si="283"/>
        <v>250758.26999999996</v>
      </c>
      <c r="AM212" s="317">
        <f t="shared" si="311"/>
        <v>15</v>
      </c>
      <c r="AN212" s="14">
        <f t="shared" si="269"/>
        <v>1944.5499999999997</v>
      </c>
      <c r="AO212" s="14">
        <f>IF(W212&lt;=0,0,+$AA$6-$C$2+I212-U212)</f>
        <v>157498.14000000001</v>
      </c>
      <c r="AP212" s="14">
        <f t="shared" si="270"/>
        <v>1944.5499999999997</v>
      </c>
      <c r="AS212" s="14">
        <f t="shared" si="306"/>
        <v>1944.5499999999997</v>
      </c>
      <c r="AT212" s="14">
        <f t="shared" si="312"/>
        <v>359261.18999999878</v>
      </c>
      <c r="AU212" s="188">
        <f>IF(W212&lt;=0,0,+($O$5+AV211)*$AQ$2/12)</f>
        <v>1328.3417857483416</v>
      </c>
      <c r="AV212" s="188">
        <f t="shared" si="313"/>
        <v>206955.05608508497</v>
      </c>
    </row>
    <row r="213" spans="1:48">
      <c r="A213" s="395">
        <f t="shared" si="272"/>
        <v>51780</v>
      </c>
      <c r="B213" s="188">
        <f t="shared" si="307"/>
        <v>93720.299999999959</v>
      </c>
      <c r="C213" s="14">
        <f t="shared" si="300"/>
        <v>559.88</v>
      </c>
      <c r="D213" s="14">
        <f t="shared" si="314"/>
        <v>208.43</v>
      </c>
      <c r="E213" s="14">
        <f t="shared" si="301"/>
        <v>351.45</v>
      </c>
      <c r="F213" s="14">
        <f t="shared" si="261"/>
        <v>51.5</v>
      </c>
      <c r="G213" s="14">
        <f t="shared" si="258"/>
        <v>145.09666666666666</v>
      </c>
      <c r="H213" s="14">
        <f t="shared" si="259"/>
        <v>756.47666666666669</v>
      </c>
      <c r="I213" s="188">
        <f t="shared" si="273"/>
        <v>29661.300000000007</v>
      </c>
      <c r="J213" s="188">
        <f t="shared" si="274"/>
        <v>81655.109999999971</v>
      </c>
      <c r="K213" s="188">
        <f t="shared" si="275"/>
        <v>93511.869999999966</v>
      </c>
      <c r="L213" s="317">
        <f t="shared" si="246"/>
        <v>15</v>
      </c>
      <c r="M213" s="317">
        <f>IF(N213&lt;&gt;"",IF(N213=$O$5,0,+M212+1),0)</f>
        <v>185</v>
      </c>
      <c r="N213" s="188">
        <f t="shared" si="308"/>
        <v>250758.26999999996</v>
      </c>
      <c r="O213" s="188">
        <f>IF($O$11&lt;=A213,IF(+$W212&lt;=0,0,$O$8),0)</f>
        <v>2504.4299999999998</v>
      </c>
      <c r="P213" s="188">
        <f t="shared" si="315"/>
        <v>728.22999999999979</v>
      </c>
      <c r="Q213" s="188">
        <f>IF($O$11&lt;=A213,ROUND(N213*($O$7/12),2),0)</f>
        <v>1776.2</v>
      </c>
      <c r="R213" s="188">
        <f t="shared" si="264"/>
        <v>51.5</v>
      </c>
      <c r="S213" s="188">
        <f t="shared" si="265"/>
        <v>145.09666666666666</v>
      </c>
      <c r="T213" s="188">
        <f t="shared" si="262"/>
        <v>2701.0266666666666</v>
      </c>
      <c r="U213" s="188">
        <f t="shared" si="316"/>
        <v>75679.959999999977</v>
      </c>
      <c r="V213" s="188">
        <f t="shared" si="317"/>
        <v>390144.01999999979</v>
      </c>
      <c r="W213" s="188">
        <f t="shared" si="276"/>
        <v>250030.03999999995</v>
      </c>
      <c r="X213" s="395">
        <f t="shared" si="309"/>
        <v>51780</v>
      </c>
      <c r="Y213" s="188">
        <f t="shared" si="277"/>
        <v>250758.26999999996</v>
      </c>
      <c r="Z213" s="388">
        <f t="shared" si="302"/>
        <v>8.4999999999999992E-2</v>
      </c>
      <c r="AA213" s="188">
        <f t="shared" si="303"/>
        <v>2504.4299999999998</v>
      </c>
      <c r="AB213" s="188">
        <f t="shared" si="278"/>
        <v>728.22999999999979</v>
      </c>
      <c r="AC213" s="188">
        <f t="shared" si="304"/>
        <v>1776.2</v>
      </c>
      <c r="AD213" s="188">
        <f t="shared" ref="AD213:AE213" si="321">+AD212</f>
        <v>51.5</v>
      </c>
      <c r="AE213" s="188">
        <f t="shared" si="321"/>
        <v>145.09666666666666</v>
      </c>
      <c r="AF213" s="188">
        <f t="shared" si="280"/>
        <v>2701.0266666666666</v>
      </c>
      <c r="AG213" s="188">
        <f t="shared" si="281"/>
        <v>75679.959999999977</v>
      </c>
      <c r="AH213" s="188">
        <f t="shared" si="282"/>
        <v>390144.01999999979</v>
      </c>
      <c r="AI213" s="404">
        <f t="shared" si="267"/>
        <v>0</v>
      </c>
      <c r="AJ213" s="404">
        <f t="shared" si="226"/>
        <v>0</v>
      </c>
      <c r="AK213" s="404">
        <f t="shared" si="268"/>
        <v>0</v>
      </c>
      <c r="AL213" s="188">
        <f t="shared" si="283"/>
        <v>250030.03999999995</v>
      </c>
      <c r="AM213" s="317">
        <f t="shared" si="311"/>
        <v>15</v>
      </c>
      <c r="AN213" s="14">
        <f t="shared" si="269"/>
        <v>1944.5499999999997</v>
      </c>
      <c r="AO213" s="14">
        <f>IF(W213&lt;=0,0,+$AA$6-$C$2+I213-U213)</f>
        <v>156978.34000000003</v>
      </c>
      <c r="AP213" s="14">
        <f t="shared" si="270"/>
        <v>1944.5499999999997</v>
      </c>
      <c r="AS213" s="14">
        <f t="shared" si="306"/>
        <v>1944.5499999999997</v>
      </c>
      <c r="AT213" s="14">
        <f t="shared" si="312"/>
        <v>361205.73999999877</v>
      </c>
      <c r="AU213" s="188">
        <f>IF(W213&lt;=0,0,+($O$5+AV212)*$AQ$2/12)</f>
        <v>1331.6626402127124</v>
      </c>
      <c r="AV213" s="188">
        <f t="shared" si="313"/>
        <v>208286.71872529769</v>
      </c>
    </row>
    <row r="214" spans="1:48">
      <c r="A214" s="395">
        <f t="shared" si="272"/>
        <v>51810</v>
      </c>
      <c r="B214" s="188">
        <f t="shared" si="307"/>
        <v>93511.869999999966</v>
      </c>
      <c r="C214" s="14">
        <f t="shared" si="300"/>
        <v>559.88</v>
      </c>
      <c r="D214" s="14">
        <f t="shared" si="314"/>
        <v>209.20999999999998</v>
      </c>
      <c r="E214" s="14">
        <f t="shared" si="301"/>
        <v>350.67</v>
      </c>
      <c r="F214" s="14">
        <f t="shared" si="261"/>
        <v>51.5</v>
      </c>
      <c r="G214" s="14">
        <f t="shared" si="258"/>
        <v>145.09666666666666</v>
      </c>
      <c r="H214" s="14">
        <f t="shared" si="259"/>
        <v>756.47666666666669</v>
      </c>
      <c r="I214" s="188">
        <f t="shared" si="273"/>
        <v>29870.510000000006</v>
      </c>
      <c r="J214" s="188">
        <f t="shared" si="274"/>
        <v>82005.77999999997</v>
      </c>
      <c r="K214" s="188">
        <f t="shared" si="275"/>
        <v>93302.65999999996</v>
      </c>
      <c r="L214" s="317">
        <f t="shared" si="246"/>
        <v>15</v>
      </c>
      <c r="M214" s="317">
        <f>IF(N214&lt;&gt;"",IF(N214=$O$5,0,+M213+1),0)</f>
        <v>186</v>
      </c>
      <c r="N214" s="188">
        <f t="shared" si="308"/>
        <v>250030.03999999995</v>
      </c>
      <c r="O214" s="188">
        <f>IF($O$11&lt;=A214,IF(+$W213&lt;=0,0,$O$8),0)</f>
        <v>2504.4299999999998</v>
      </c>
      <c r="P214" s="188">
        <f t="shared" si="315"/>
        <v>733.37999999999988</v>
      </c>
      <c r="Q214" s="188">
        <f>IF($O$11&lt;=A214,ROUND(N214*($O$7/12),2),0)</f>
        <v>1771.05</v>
      </c>
      <c r="R214" s="188">
        <f t="shared" si="264"/>
        <v>51.5</v>
      </c>
      <c r="S214" s="188">
        <f t="shared" si="265"/>
        <v>145.09666666666666</v>
      </c>
      <c r="T214" s="188">
        <f t="shared" si="262"/>
        <v>2701.0266666666666</v>
      </c>
      <c r="U214" s="188">
        <f t="shared" si="316"/>
        <v>76413.339999999982</v>
      </c>
      <c r="V214" s="188">
        <f t="shared" si="317"/>
        <v>391915.06999999977</v>
      </c>
      <c r="W214" s="188">
        <f t="shared" si="276"/>
        <v>249296.65999999995</v>
      </c>
      <c r="X214" s="395">
        <f t="shared" si="309"/>
        <v>51810</v>
      </c>
      <c r="Y214" s="188">
        <f t="shared" si="277"/>
        <v>250030.03999999995</v>
      </c>
      <c r="Z214" s="388">
        <f t="shared" si="302"/>
        <v>8.4999999999999992E-2</v>
      </c>
      <c r="AA214" s="188">
        <f t="shared" si="303"/>
        <v>2504.4299999999998</v>
      </c>
      <c r="AB214" s="188">
        <f t="shared" si="278"/>
        <v>733.37999999999988</v>
      </c>
      <c r="AC214" s="188">
        <f t="shared" si="304"/>
        <v>1771.05</v>
      </c>
      <c r="AD214" s="188">
        <f t="shared" ref="AD214:AE214" si="322">+AD213</f>
        <v>51.5</v>
      </c>
      <c r="AE214" s="188">
        <f t="shared" si="322"/>
        <v>145.09666666666666</v>
      </c>
      <c r="AF214" s="188">
        <f t="shared" si="280"/>
        <v>2701.0266666666666</v>
      </c>
      <c r="AG214" s="188">
        <f t="shared" si="281"/>
        <v>76413.339999999982</v>
      </c>
      <c r="AH214" s="188">
        <f t="shared" si="282"/>
        <v>391915.06999999977</v>
      </c>
      <c r="AI214" s="404">
        <f t="shared" si="267"/>
        <v>0</v>
      </c>
      <c r="AJ214" s="404">
        <f t="shared" si="226"/>
        <v>0</v>
      </c>
      <c r="AK214" s="404">
        <f t="shared" si="268"/>
        <v>0</v>
      </c>
      <c r="AL214" s="188">
        <f t="shared" si="283"/>
        <v>249296.65999999995</v>
      </c>
      <c r="AM214" s="317">
        <f t="shared" si="311"/>
        <v>15</v>
      </c>
      <c r="AN214" s="14">
        <f t="shared" si="269"/>
        <v>1944.5499999999997</v>
      </c>
      <c r="AO214" s="14">
        <f>IF(W214&lt;=0,0,+$AA$6-$C$2+I214-U214)</f>
        <v>156454.17000000004</v>
      </c>
      <c r="AP214" s="14">
        <f t="shared" si="270"/>
        <v>1944.5499999999997</v>
      </c>
      <c r="AS214" s="14">
        <f t="shared" si="306"/>
        <v>1944.5499999999997</v>
      </c>
      <c r="AT214" s="14">
        <f t="shared" si="312"/>
        <v>363150.28999999876</v>
      </c>
      <c r="AU214" s="188">
        <f>IF(W214&lt;=0,0,+($O$5+AV213)*$AQ$2/12)</f>
        <v>1334.9917968132443</v>
      </c>
      <c r="AV214" s="188">
        <f t="shared" si="313"/>
        <v>209621.71052211092</v>
      </c>
    </row>
    <row r="215" spans="1:48">
      <c r="A215" s="395">
        <f t="shared" si="272"/>
        <v>51840</v>
      </c>
      <c r="B215" s="188">
        <f t="shared" si="307"/>
        <v>93302.65999999996</v>
      </c>
      <c r="C215" s="14">
        <f t="shared" si="300"/>
        <v>559.88</v>
      </c>
      <c r="D215" s="14">
        <f t="shared" si="314"/>
        <v>210</v>
      </c>
      <c r="E215" s="14">
        <f t="shared" si="301"/>
        <v>349.88</v>
      </c>
      <c r="F215" s="14">
        <f t="shared" si="261"/>
        <v>51.5</v>
      </c>
      <c r="G215" s="14">
        <f t="shared" si="258"/>
        <v>145.09666666666666</v>
      </c>
      <c r="H215" s="14">
        <f t="shared" si="259"/>
        <v>756.47666666666669</v>
      </c>
      <c r="I215" s="188">
        <f t="shared" si="273"/>
        <v>30080.510000000006</v>
      </c>
      <c r="J215" s="188">
        <f t="shared" si="274"/>
        <v>82355.659999999974</v>
      </c>
      <c r="K215" s="188">
        <f t="shared" si="275"/>
        <v>93092.65999999996</v>
      </c>
      <c r="L215" s="317">
        <f t="shared" si="246"/>
        <v>15</v>
      </c>
      <c r="M215" s="317">
        <f>IF(N215&lt;&gt;"",IF(N215=$O$5,0,+M214+1),0)</f>
        <v>187</v>
      </c>
      <c r="N215" s="188">
        <f t="shared" si="308"/>
        <v>249296.65999999995</v>
      </c>
      <c r="O215" s="188">
        <f>IF($O$11&lt;=A215,IF(+$W214&lt;=0,0,$O$8),0)</f>
        <v>2504.4299999999998</v>
      </c>
      <c r="P215" s="188">
        <f t="shared" si="315"/>
        <v>738.57999999999993</v>
      </c>
      <c r="Q215" s="188">
        <f>IF($O$11&lt;=A215,ROUND(N215*($O$7/12),2),0)</f>
        <v>1765.85</v>
      </c>
      <c r="R215" s="188">
        <f t="shared" si="264"/>
        <v>51.5</v>
      </c>
      <c r="S215" s="188">
        <f t="shared" si="265"/>
        <v>145.09666666666666</v>
      </c>
      <c r="T215" s="188">
        <f t="shared" si="262"/>
        <v>2701.0266666666666</v>
      </c>
      <c r="U215" s="188">
        <f t="shared" si="316"/>
        <v>77151.919999999984</v>
      </c>
      <c r="V215" s="188">
        <f t="shared" si="317"/>
        <v>393680.91999999975</v>
      </c>
      <c r="W215" s="188">
        <f t="shared" si="276"/>
        <v>248558.07999999996</v>
      </c>
      <c r="X215" s="395">
        <f t="shared" si="309"/>
        <v>51840</v>
      </c>
      <c r="Y215" s="188">
        <f t="shared" si="277"/>
        <v>249296.65999999995</v>
      </c>
      <c r="Z215" s="388">
        <f t="shared" si="302"/>
        <v>8.4999999999999992E-2</v>
      </c>
      <c r="AA215" s="188">
        <f t="shared" si="303"/>
        <v>2504.4299999999998</v>
      </c>
      <c r="AB215" s="188">
        <f t="shared" si="278"/>
        <v>738.57999999999993</v>
      </c>
      <c r="AC215" s="188">
        <f t="shared" si="304"/>
        <v>1765.85</v>
      </c>
      <c r="AD215" s="188">
        <f t="shared" ref="AD215:AE215" si="323">+AD214</f>
        <v>51.5</v>
      </c>
      <c r="AE215" s="188">
        <f t="shared" si="323"/>
        <v>145.09666666666666</v>
      </c>
      <c r="AF215" s="188">
        <f t="shared" si="280"/>
        <v>2701.0266666666666</v>
      </c>
      <c r="AG215" s="188">
        <f t="shared" si="281"/>
        <v>77151.919999999984</v>
      </c>
      <c r="AH215" s="188">
        <f t="shared" si="282"/>
        <v>393680.91999999975</v>
      </c>
      <c r="AI215" s="404">
        <f t="shared" si="267"/>
        <v>0</v>
      </c>
      <c r="AJ215" s="404">
        <f t="shared" si="226"/>
        <v>0</v>
      </c>
      <c r="AK215" s="404">
        <f t="shared" si="268"/>
        <v>0</v>
      </c>
      <c r="AL215" s="188">
        <f t="shared" si="283"/>
        <v>248558.07999999996</v>
      </c>
      <c r="AM215" s="317">
        <f t="shared" si="311"/>
        <v>15</v>
      </c>
      <c r="AN215" s="14">
        <f t="shared" si="269"/>
        <v>1944.5499999999997</v>
      </c>
      <c r="AO215" s="14">
        <f>IF(W215&lt;=0,0,+$AA$6-$C$2+I215-U215)</f>
        <v>155925.59000000003</v>
      </c>
      <c r="AP215" s="14">
        <f t="shared" si="270"/>
        <v>1944.5499999999997</v>
      </c>
      <c r="AS215" s="14">
        <f t="shared" si="306"/>
        <v>1944.5499999999997</v>
      </c>
      <c r="AT215" s="14">
        <f t="shared" si="312"/>
        <v>365094.83999999875</v>
      </c>
      <c r="AU215" s="188">
        <f>IF(W215&lt;=0,0,+($O$5+AV214)*$AQ$2/12)</f>
        <v>1338.3292763052773</v>
      </c>
      <c r="AV215" s="188">
        <f t="shared" si="313"/>
        <v>210960.0397984162</v>
      </c>
    </row>
    <row r="216" spans="1:48">
      <c r="A216" s="395">
        <f t="shared" si="272"/>
        <v>51870</v>
      </c>
      <c r="B216" s="188">
        <f t="shared" si="307"/>
        <v>93092.65999999996</v>
      </c>
      <c r="C216" s="14">
        <f t="shared" si="300"/>
        <v>559.88</v>
      </c>
      <c r="D216" s="14">
        <f t="shared" si="314"/>
        <v>210.77999999999997</v>
      </c>
      <c r="E216" s="14">
        <f t="shared" si="301"/>
        <v>349.1</v>
      </c>
      <c r="F216" s="14">
        <f t="shared" si="261"/>
        <v>51.5</v>
      </c>
      <c r="G216" s="14">
        <f t="shared" si="258"/>
        <v>145.09666666666666</v>
      </c>
      <c r="H216" s="14">
        <f t="shared" si="259"/>
        <v>756.47666666666669</v>
      </c>
      <c r="I216" s="188">
        <f t="shared" si="273"/>
        <v>30291.290000000005</v>
      </c>
      <c r="J216" s="188">
        <f t="shared" si="274"/>
        <v>82704.75999999998</v>
      </c>
      <c r="K216" s="188">
        <f t="shared" si="275"/>
        <v>92881.879999999961</v>
      </c>
      <c r="L216" s="317">
        <f t="shared" si="246"/>
        <v>15</v>
      </c>
      <c r="M216" s="317">
        <f>IF(N216&lt;&gt;"",IF(N216=$O$5,0,+M215+1),0)</f>
        <v>188</v>
      </c>
      <c r="N216" s="188">
        <f t="shared" si="308"/>
        <v>248558.07999999996</v>
      </c>
      <c r="O216" s="188">
        <f>IF($O$11&lt;=A216,IF(+$W215&lt;=0,0,$O$8),0)</f>
        <v>2504.4299999999998</v>
      </c>
      <c r="P216" s="188">
        <f t="shared" si="315"/>
        <v>743.81</v>
      </c>
      <c r="Q216" s="188">
        <f>IF($O$11&lt;=A216,ROUND(N216*($O$7/12),2),0)</f>
        <v>1760.62</v>
      </c>
      <c r="R216" s="188">
        <f t="shared" si="264"/>
        <v>51.5</v>
      </c>
      <c r="S216" s="188">
        <f t="shared" si="265"/>
        <v>145.09666666666666</v>
      </c>
      <c r="T216" s="188">
        <f t="shared" si="262"/>
        <v>2701.0266666666666</v>
      </c>
      <c r="U216" s="188">
        <f t="shared" si="316"/>
        <v>77895.729999999981</v>
      </c>
      <c r="V216" s="188">
        <f t="shared" si="317"/>
        <v>395441.53999999975</v>
      </c>
      <c r="W216" s="188">
        <f t="shared" si="276"/>
        <v>247814.26999999996</v>
      </c>
      <c r="X216" s="395">
        <f t="shared" si="309"/>
        <v>51870</v>
      </c>
      <c r="Y216" s="188">
        <f t="shared" si="277"/>
        <v>248558.07999999996</v>
      </c>
      <c r="Z216" s="388">
        <f t="shared" si="302"/>
        <v>8.4999999999999992E-2</v>
      </c>
      <c r="AA216" s="188">
        <f t="shared" si="303"/>
        <v>2504.4299999999998</v>
      </c>
      <c r="AB216" s="188">
        <f t="shared" si="278"/>
        <v>743.81</v>
      </c>
      <c r="AC216" s="188">
        <f t="shared" si="304"/>
        <v>1760.62</v>
      </c>
      <c r="AD216" s="188">
        <f t="shared" ref="AD216:AE216" si="324">+AD215</f>
        <v>51.5</v>
      </c>
      <c r="AE216" s="188">
        <f t="shared" si="324"/>
        <v>145.09666666666666</v>
      </c>
      <c r="AF216" s="188">
        <f t="shared" si="280"/>
        <v>2701.0266666666666</v>
      </c>
      <c r="AG216" s="188">
        <f t="shared" si="281"/>
        <v>77895.729999999981</v>
      </c>
      <c r="AH216" s="188">
        <f t="shared" si="282"/>
        <v>395441.53999999975</v>
      </c>
      <c r="AI216" s="404">
        <f t="shared" si="267"/>
        <v>0</v>
      </c>
      <c r="AJ216" s="404">
        <f t="shared" si="226"/>
        <v>0</v>
      </c>
      <c r="AK216" s="404">
        <f t="shared" si="268"/>
        <v>0</v>
      </c>
      <c r="AL216" s="188">
        <f t="shared" si="283"/>
        <v>247814.26999999996</v>
      </c>
      <c r="AM216" s="317">
        <f t="shared" si="311"/>
        <v>15</v>
      </c>
      <c r="AN216" s="14">
        <f t="shared" si="269"/>
        <v>1944.5499999999997</v>
      </c>
      <c r="AO216" s="14">
        <f>IF(W216&lt;=0,0,+$AA$6-$C$2+I216-U216)</f>
        <v>155392.56000000003</v>
      </c>
      <c r="AP216" s="14">
        <f t="shared" si="270"/>
        <v>1944.5499999999997</v>
      </c>
      <c r="AS216" s="14">
        <f t="shared" si="306"/>
        <v>1944.5499999999997</v>
      </c>
      <c r="AT216" s="14">
        <f t="shared" si="312"/>
        <v>367039.38999999873</v>
      </c>
      <c r="AU216" s="188">
        <f>IF(W216&lt;=0,0,+($O$5+AV215)*$AQ$2/12)</f>
        <v>1341.6750994960405</v>
      </c>
      <c r="AV216" s="188">
        <f t="shared" si="313"/>
        <v>212301.71489791223</v>
      </c>
    </row>
    <row r="217" spans="1:48">
      <c r="A217" s="395">
        <f t="shared" si="272"/>
        <v>51900</v>
      </c>
      <c r="B217" s="188">
        <f t="shared" si="307"/>
        <v>92881.879999999961</v>
      </c>
      <c r="C217" s="14">
        <f t="shared" si="300"/>
        <v>559.88</v>
      </c>
      <c r="D217" s="14">
        <f t="shared" si="314"/>
        <v>211.57</v>
      </c>
      <c r="E217" s="14">
        <f t="shared" si="301"/>
        <v>348.31</v>
      </c>
      <c r="F217" s="14">
        <f t="shared" si="261"/>
        <v>51.5</v>
      </c>
      <c r="G217" s="14">
        <f t="shared" si="258"/>
        <v>145.09666666666666</v>
      </c>
      <c r="H217" s="14">
        <f t="shared" si="259"/>
        <v>756.47666666666669</v>
      </c>
      <c r="I217" s="188">
        <f t="shared" si="273"/>
        <v>30502.860000000004</v>
      </c>
      <c r="J217" s="188">
        <f t="shared" si="274"/>
        <v>83053.069999999978</v>
      </c>
      <c r="K217" s="188">
        <f t="shared" si="275"/>
        <v>92670.309999999954</v>
      </c>
      <c r="L217" s="317">
        <f t="shared" si="246"/>
        <v>15</v>
      </c>
      <c r="M217" s="317">
        <f>IF(N217&lt;&gt;"",IF(N217=$O$5,0,+M216+1),0)</f>
        <v>189</v>
      </c>
      <c r="N217" s="188">
        <f t="shared" si="308"/>
        <v>247814.26999999996</v>
      </c>
      <c r="O217" s="188">
        <f>IF($O$11&lt;=A217,IF(+$W216&lt;=0,0,$O$8),0)</f>
        <v>2504.4299999999998</v>
      </c>
      <c r="P217" s="188">
        <f t="shared" si="315"/>
        <v>749.07999999999993</v>
      </c>
      <c r="Q217" s="188">
        <f>IF($O$11&lt;=A217,ROUND(N217*($O$7/12),2),0)</f>
        <v>1755.35</v>
      </c>
      <c r="R217" s="188">
        <f t="shared" si="264"/>
        <v>51.5</v>
      </c>
      <c r="S217" s="188">
        <f t="shared" si="265"/>
        <v>145.09666666666666</v>
      </c>
      <c r="T217" s="188">
        <f t="shared" si="262"/>
        <v>2701.0266666666666</v>
      </c>
      <c r="U217" s="188">
        <f t="shared" si="316"/>
        <v>78644.809999999983</v>
      </c>
      <c r="V217" s="188">
        <f t="shared" si="317"/>
        <v>397196.88999999972</v>
      </c>
      <c r="W217" s="188">
        <f t="shared" si="276"/>
        <v>247065.18999999997</v>
      </c>
      <c r="X217" s="395">
        <f t="shared" si="309"/>
        <v>51900</v>
      </c>
      <c r="Y217" s="188">
        <f t="shared" si="277"/>
        <v>247814.26999999996</v>
      </c>
      <c r="Z217" s="388">
        <f t="shared" si="302"/>
        <v>8.4999999999999992E-2</v>
      </c>
      <c r="AA217" s="188">
        <f t="shared" si="303"/>
        <v>2504.4299999999998</v>
      </c>
      <c r="AB217" s="188">
        <f t="shared" si="278"/>
        <v>749.07999999999993</v>
      </c>
      <c r="AC217" s="188">
        <f t="shared" si="304"/>
        <v>1755.35</v>
      </c>
      <c r="AD217" s="188">
        <f t="shared" ref="AD217:AE217" si="325">+AD216</f>
        <v>51.5</v>
      </c>
      <c r="AE217" s="188">
        <f t="shared" si="325"/>
        <v>145.09666666666666</v>
      </c>
      <c r="AF217" s="188">
        <f t="shared" si="280"/>
        <v>2701.0266666666666</v>
      </c>
      <c r="AG217" s="188">
        <f t="shared" si="281"/>
        <v>78644.809999999983</v>
      </c>
      <c r="AH217" s="188">
        <f t="shared" si="282"/>
        <v>397196.88999999972</v>
      </c>
      <c r="AI217" s="404">
        <f t="shared" si="267"/>
        <v>0</v>
      </c>
      <c r="AJ217" s="404">
        <f t="shared" si="226"/>
        <v>0</v>
      </c>
      <c r="AK217" s="404">
        <f t="shared" si="268"/>
        <v>0</v>
      </c>
      <c r="AL217" s="188">
        <f t="shared" si="283"/>
        <v>247065.18999999997</v>
      </c>
      <c r="AM217" s="317">
        <f t="shared" si="311"/>
        <v>15</v>
      </c>
      <c r="AN217" s="14">
        <f t="shared" si="269"/>
        <v>1944.5499999999997</v>
      </c>
      <c r="AO217" s="14">
        <f>IF(W217&lt;=0,0,+$AA$6-$C$2+I217-U217)</f>
        <v>154855.05000000005</v>
      </c>
      <c r="AP217" s="14">
        <f t="shared" si="270"/>
        <v>1944.5499999999997</v>
      </c>
      <c r="AS217" s="14">
        <f t="shared" si="306"/>
        <v>1944.5499999999997</v>
      </c>
      <c r="AT217" s="14">
        <f t="shared" si="312"/>
        <v>368983.93999999872</v>
      </c>
      <c r="AU217" s="188">
        <f>IF(W217&lt;=0,0,+($O$5+AV216)*$AQ$2/12)</f>
        <v>1345.0292872447806</v>
      </c>
      <c r="AV217" s="188">
        <f t="shared" si="313"/>
        <v>213646.744185157</v>
      </c>
    </row>
    <row r="218" spans="1:48">
      <c r="A218" s="395">
        <f t="shared" si="272"/>
        <v>51930</v>
      </c>
      <c r="B218" s="188">
        <f t="shared" si="307"/>
        <v>92670.309999999954</v>
      </c>
      <c r="C218" s="14">
        <f t="shared" si="300"/>
        <v>559.88</v>
      </c>
      <c r="D218" s="14">
        <f t="shared" si="314"/>
        <v>212.37</v>
      </c>
      <c r="E218" s="14">
        <f t="shared" si="301"/>
        <v>347.51</v>
      </c>
      <c r="F218" s="14">
        <f t="shared" si="261"/>
        <v>51.5</v>
      </c>
      <c r="G218" s="14">
        <f t="shared" si="258"/>
        <v>145.09666666666666</v>
      </c>
      <c r="H218" s="14">
        <f t="shared" si="259"/>
        <v>756.47666666666669</v>
      </c>
      <c r="I218" s="188">
        <f t="shared" si="273"/>
        <v>30715.230000000003</v>
      </c>
      <c r="J218" s="188">
        <f t="shared" si="274"/>
        <v>83400.579999999973</v>
      </c>
      <c r="K218" s="188">
        <f t="shared" si="275"/>
        <v>92457.939999999959</v>
      </c>
      <c r="L218" s="317">
        <f t="shared" si="246"/>
        <v>15</v>
      </c>
      <c r="M218" s="317">
        <f>IF(N218&lt;&gt;"",IF(N218=$O$5,0,+M217+1),0)</f>
        <v>190</v>
      </c>
      <c r="N218" s="188">
        <f t="shared" si="308"/>
        <v>247065.18999999997</v>
      </c>
      <c r="O218" s="188">
        <f>IF($O$11&lt;=A218,IF(+$W217&lt;=0,0,$O$8),0)</f>
        <v>2504.4299999999998</v>
      </c>
      <c r="P218" s="188">
        <f t="shared" si="315"/>
        <v>754.37999999999988</v>
      </c>
      <c r="Q218" s="188">
        <f>IF($O$11&lt;=A218,ROUND(N218*($O$7/12),2),0)</f>
        <v>1750.05</v>
      </c>
      <c r="R218" s="188">
        <f t="shared" si="264"/>
        <v>51.5</v>
      </c>
      <c r="S218" s="188">
        <f t="shared" si="265"/>
        <v>145.09666666666666</v>
      </c>
      <c r="T218" s="188">
        <f t="shared" si="262"/>
        <v>2701.0266666666666</v>
      </c>
      <c r="U218" s="188">
        <f t="shared" si="316"/>
        <v>79399.189999999988</v>
      </c>
      <c r="V218" s="188">
        <f t="shared" si="317"/>
        <v>398946.93999999971</v>
      </c>
      <c r="W218" s="188">
        <f t="shared" si="276"/>
        <v>246310.80999999997</v>
      </c>
      <c r="X218" s="395">
        <f t="shared" si="309"/>
        <v>51930</v>
      </c>
      <c r="Y218" s="188">
        <f t="shared" si="277"/>
        <v>247065.18999999997</v>
      </c>
      <c r="Z218" s="388">
        <f t="shared" si="302"/>
        <v>8.4999999999999992E-2</v>
      </c>
      <c r="AA218" s="188">
        <f t="shared" si="303"/>
        <v>2504.4299999999998</v>
      </c>
      <c r="AB218" s="188">
        <f t="shared" si="278"/>
        <v>754.37999999999988</v>
      </c>
      <c r="AC218" s="188">
        <f t="shared" si="304"/>
        <v>1750.05</v>
      </c>
      <c r="AD218" s="188">
        <f t="shared" ref="AD218:AE218" si="326">+AD217</f>
        <v>51.5</v>
      </c>
      <c r="AE218" s="188">
        <f t="shared" si="326"/>
        <v>145.09666666666666</v>
      </c>
      <c r="AF218" s="188">
        <f t="shared" si="280"/>
        <v>2701.0266666666666</v>
      </c>
      <c r="AG218" s="188">
        <f t="shared" si="281"/>
        <v>79399.189999999988</v>
      </c>
      <c r="AH218" s="188">
        <f t="shared" si="282"/>
        <v>398946.93999999971</v>
      </c>
      <c r="AI218" s="404">
        <f t="shared" si="267"/>
        <v>0</v>
      </c>
      <c r="AJ218" s="404">
        <f t="shared" si="226"/>
        <v>0</v>
      </c>
      <c r="AK218" s="404">
        <f t="shared" si="268"/>
        <v>0</v>
      </c>
      <c r="AL218" s="188">
        <f t="shared" si="283"/>
        <v>246310.80999999997</v>
      </c>
      <c r="AM218" s="317">
        <f t="shared" si="311"/>
        <v>15</v>
      </c>
      <c r="AN218" s="14">
        <f t="shared" si="269"/>
        <v>1944.5499999999997</v>
      </c>
      <c r="AO218" s="14">
        <f>IF(W218&lt;=0,0,+$AA$6-$C$2+I218-U218)</f>
        <v>154313.04000000004</v>
      </c>
      <c r="AP218" s="14">
        <f t="shared" si="270"/>
        <v>1944.5499999999997</v>
      </c>
      <c r="AS218" s="14">
        <f t="shared" si="306"/>
        <v>1944.5499999999997</v>
      </c>
      <c r="AT218" s="14">
        <f t="shared" si="312"/>
        <v>370928.48999999871</v>
      </c>
      <c r="AU218" s="188">
        <f>IF(W218&lt;=0,0,+($O$5+AV217)*$AQ$2/12)</f>
        <v>1348.3918604628925</v>
      </c>
      <c r="AV218" s="188">
        <f t="shared" si="313"/>
        <v>214995.1360456199</v>
      </c>
    </row>
    <row r="219" spans="1:48" ht="15.75" thickBot="1">
      <c r="A219" s="398">
        <f t="shared" si="272"/>
        <v>51960</v>
      </c>
      <c r="B219" s="237">
        <f t="shared" si="307"/>
        <v>92457.939999999959</v>
      </c>
      <c r="C219" s="21">
        <f t="shared" si="300"/>
        <v>559.88</v>
      </c>
      <c r="D219" s="21">
        <f t="shared" si="314"/>
        <v>213.15999999999997</v>
      </c>
      <c r="E219" s="21">
        <f t="shared" si="301"/>
        <v>346.72</v>
      </c>
      <c r="F219" s="21">
        <f t="shared" si="261"/>
        <v>51.5</v>
      </c>
      <c r="G219" s="21">
        <f t="shared" si="258"/>
        <v>145.09666666666666</v>
      </c>
      <c r="H219" s="21">
        <f t="shared" si="259"/>
        <v>756.47666666666669</v>
      </c>
      <c r="I219" s="237">
        <f t="shared" si="273"/>
        <v>30928.390000000003</v>
      </c>
      <c r="J219" s="237">
        <f t="shared" si="274"/>
        <v>83747.299999999974</v>
      </c>
      <c r="K219" s="237">
        <f t="shared" si="275"/>
        <v>92244.779999999955</v>
      </c>
      <c r="L219" s="318">
        <f t="shared" si="246"/>
        <v>15</v>
      </c>
      <c r="M219" s="318">
        <f>IF(N219&lt;&gt;"",IF(N219=$O$5,0,+M218+1),0)</f>
        <v>191</v>
      </c>
      <c r="N219" s="237">
        <f t="shared" si="308"/>
        <v>246310.80999999997</v>
      </c>
      <c r="O219" s="237">
        <f>IF($O$11&lt;=A219,IF(+$W218&lt;=0,0,$O$8),0)</f>
        <v>2504.4299999999998</v>
      </c>
      <c r="P219" s="237">
        <f t="shared" si="315"/>
        <v>759.72999999999979</v>
      </c>
      <c r="Q219" s="237">
        <f>IF($O$11&lt;=A219,ROUND(N219*($O$7/12),2),0)</f>
        <v>1744.7</v>
      </c>
      <c r="R219" s="237">
        <f t="shared" si="264"/>
        <v>51.5</v>
      </c>
      <c r="S219" s="237">
        <f t="shared" si="265"/>
        <v>145.09666666666666</v>
      </c>
      <c r="T219" s="237">
        <f t="shared" si="262"/>
        <v>2701.0266666666666</v>
      </c>
      <c r="U219" s="237">
        <f t="shared" si="316"/>
        <v>80158.919999999984</v>
      </c>
      <c r="V219" s="237">
        <f t="shared" si="317"/>
        <v>400691.63999999972</v>
      </c>
      <c r="W219" s="237">
        <f t="shared" si="276"/>
        <v>245551.07999999996</v>
      </c>
      <c r="X219" s="398">
        <f t="shared" si="309"/>
        <v>51960</v>
      </c>
      <c r="Y219" s="237">
        <f t="shared" si="277"/>
        <v>246310.80999999997</v>
      </c>
      <c r="Z219" s="389">
        <f t="shared" si="302"/>
        <v>8.4999999999999992E-2</v>
      </c>
      <c r="AA219" s="237">
        <f t="shared" si="303"/>
        <v>2504.4299999999998</v>
      </c>
      <c r="AB219" s="237">
        <f t="shared" si="278"/>
        <v>759.72999999999979</v>
      </c>
      <c r="AC219" s="237">
        <f t="shared" si="304"/>
        <v>1744.7</v>
      </c>
      <c r="AD219" s="237">
        <f t="shared" ref="AD219:AE219" si="327">+AD218</f>
        <v>51.5</v>
      </c>
      <c r="AE219" s="237">
        <f t="shared" si="327"/>
        <v>145.09666666666666</v>
      </c>
      <c r="AF219" s="237">
        <f t="shared" si="280"/>
        <v>2701.0266666666666</v>
      </c>
      <c r="AG219" s="237">
        <f t="shared" si="281"/>
        <v>80158.919999999984</v>
      </c>
      <c r="AH219" s="237">
        <f t="shared" si="282"/>
        <v>400691.63999999972</v>
      </c>
      <c r="AI219" s="405">
        <f t="shared" si="267"/>
        <v>0</v>
      </c>
      <c r="AJ219" s="405">
        <f t="shared" si="226"/>
        <v>0</v>
      </c>
      <c r="AK219" s="404">
        <f t="shared" si="268"/>
        <v>0</v>
      </c>
      <c r="AL219" s="237">
        <f t="shared" si="283"/>
        <v>245551.07999999996</v>
      </c>
      <c r="AM219" s="318">
        <f t="shared" si="311"/>
        <v>15</v>
      </c>
      <c r="AN219" s="21">
        <f t="shared" si="269"/>
        <v>1944.5499999999997</v>
      </c>
      <c r="AO219" s="21">
        <f>IF(W219&lt;=0,0,+$AA$6-$C$2+I219-U219)</f>
        <v>153766.47000000003</v>
      </c>
      <c r="AP219" s="21">
        <f t="shared" si="270"/>
        <v>1944.5499999999997</v>
      </c>
      <c r="AQ219" s="21"/>
      <c r="AR219" s="23"/>
      <c r="AS219" s="21">
        <f t="shared" si="306"/>
        <v>1944.5499999999997</v>
      </c>
      <c r="AT219" s="21">
        <f t="shared" si="312"/>
        <v>372873.0399999987</v>
      </c>
      <c r="AU219" s="237">
        <f>IF(W219&lt;=0,0,+($O$5+AV218)*$AQ$2/12)</f>
        <v>1351.7628401140496</v>
      </c>
      <c r="AV219" s="237">
        <f t="shared" si="313"/>
        <v>216346.89888573394</v>
      </c>
    </row>
    <row r="220" spans="1:48">
      <c r="A220" s="395">
        <f t="shared" si="272"/>
        <v>51990</v>
      </c>
      <c r="B220" s="188">
        <f t="shared" si="307"/>
        <v>92244.779999999955</v>
      </c>
      <c r="C220" s="14">
        <f t="shared" si="300"/>
        <v>559.88</v>
      </c>
      <c r="D220" s="14">
        <f t="shared" si="314"/>
        <v>213.95999999999998</v>
      </c>
      <c r="E220" s="14">
        <f t="shared" si="301"/>
        <v>345.92</v>
      </c>
      <c r="F220" s="14">
        <f t="shared" si="261"/>
        <v>51.5</v>
      </c>
      <c r="G220" s="14">
        <f t="shared" si="258"/>
        <v>145.09666666666666</v>
      </c>
      <c r="H220" s="14">
        <f t="shared" si="259"/>
        <v>756.47666666666669</v>
      </c>
      <c r="I220" s="188">
        <f t="shared" si="273"/>
        <v>31142.350000000002</v>
      </c>
      <c r="J220" s="188">
        <f t="shared" si="274"/>
        <v>84093.219999999972</v>
      </c>
      <c r="K220" s="188">
        <f t="shared" si="275"/>
        <v>92030.819999999949</v>
      </c>
      <c r="L220" s="317">
        <f t="shared" si="246"/>
        <v>16</v>
      </c>
      <c r="M220" s="317">
        <f>IF(N220&lt;&gt;"",IF(N220=$O$5,0,+M219+1),0)</f>
        <v>192</v>
      </c>
      <c r="N220" s="188">
        <f t="shared" si="308"/>
        <v>245551.07999999996</v>
      </c>
      <c r="O220" s="188">
        <f>IF($O$11&lt;=A220,IF(+$W219&lt;=0,0,$O$8),0)</f>
        <v>2504.4299999999998</v>
      </c>
      <c r="P220" s="188">
        <f t="shared" si="315"/>
        <v>765.1099999999999</v>
      </c>
      <c r="Q220" s="188">
        <f>IF($O$11&lt;=A220,ROUND(N220*($O$7/12),2),0)</f>
        <v>1739.32</v>
      </c>
      <c r="R220" s="188">
        <f t="shared" si="264"/>
        <v>51.5</v>
      </c>
      <c r="S220" s="188">
        <f t="shared" si="265"/>
        <v>145.09666666666666</v>
      </c>
      <c r="T220" s="188">
        <f t="shared" si="262"/>
        <v>2701.0266666666666</v>
      </c>
      <c r="U220" s="188">
        <f t="shared" si="316"/>
        <v>80924.029999999984</v>
      </c>
      <c r="V220" s="188">
        <f t="shared" si="317"/>
        <v>402430.95999999973</v>
      </c>
      <c r="W220" s="188">
        <f t="shared" si="276"/>
        <v>244785.96999999997</v>
      </c>
      <c r="X220" s="395">
        <f t="shared" si="309"/>
        <v>51990</v>
      </c>
      <c r="Y220" s="188">
        <f t="shared" si="277"/>
        <v>245551.07999999996</v>
      </c>
      <c r="Z220" s="388">
        <f t="shared" si="302"/>
        <v>8.4999999999999992E-2</v>
      </c>
      <c r="AA220" s="188">
        <f t="shared" si="303"/>
        <v>2504.4299999999998</v>
      </c>
      <c r="AB220" s="188">
        <f t="shared" si="278"/>
        <v>765.1099999999999</v>
      </c>
      <c r="AC220" s="188">
        <f t="shared" si="304"/>
        <v>1739.32</v>
      </c>
      <c r="AD220" s="188">
        <f t="shared" ref="AD220:AE220" si="328">+AD219</f>
        <v>51.5</v>
      </c>
      <c r="AE220" s="188">
        <f t="shared" si="328"/>
        <v>145.09666666666666</v>
      </c>
      <c r="AF220" s="188">
        <f t="shared" si="280"/>
        <v>2701.0266666666666</v>
      </c>
      <c r="AG220" s="188">
        <f t="shared" si="281"/>
        <v>80924.029999999984</v>
      </c>
      <c r="AH220" s="188">
        <f t="shared" si="282"/>
        <v>402430.95999999973</v>
      </c>
      <c r="AI220" s="404">
        <f t="shared" si="267"/>
        <v>0</v>
      </c>
      <c r="AJ220" s="404">
        <f t="shared" ref="AJ220:AJ283" si="329">+W220-AL220</f>
        <v>0</v>
      </c>
      <c r="AK220" s="404">
        <f t="shared" si="268"/>
        <v>0</v>
      </c>
      <c r="AL220" s="188">
        <f t="shared" si="283"/>
        <v>244785.96999999997</v>
      </c>
      <c r="AM220" s="317">
        <f t="shared" si="311"/>
        <v>16</v>
      </c>
      <c r="AN220" s="14">
        <f t="shared" si="269"/>
        <v>1944.5499999999997</v>
      </c>
      <c r="AO220" s="14">
        <f>IF(W220&lt;=0,0,+$AA$6-$C$2+I220-U220)</f>
        <v>153215.32</v>
      </c>
      <c r="AP220" s="14">
        <f t="shared" si="270"/>
        <v>1944.5499999999997</v>
      </c>
      <c r="AS220" s="14">
        <f t="shared" si="306"/>
        <v>1944.5499999999997</v>
      </c>
      <c r="AT220" s="14">
        <f t="shared" si="312"/>
        <v>374817.58999999869</v>
      </c>
      <c r="AU220" s="188">
        <f>IF(W220&lt;=0,0,+($O$5+AV219)*$AQ$2/12)</f>
        <v>1355.1422472143347</v>
      </c>
      <c r="AV220" s="188">
        <f t="shared" si="313"/>
        <v>217702.04113294827</v>
      </c>
    </row>
    <row r="221" spans="1:48">
      <c r="A221" s="395">
        <f t="shared" si="272"/>
        <v>52020</v>
      </c>
      <c r="B221" s="188">
        <f t="shared" si="307"/>
        <v>92030.819999999949</v>
      </c>
      <c r="C221" s="14">
        <f t="shared" si="300"/>
        <v>559.88</v>
      </c>
      <c r="D221" s="14">
        <f t="shared" si="314"/>
        <v>214.76</v>
      </c>
      <c r="E221" s="14">
        <f t="shared" si="301"/>
        <v>345.12</v>
      </c>
      <c r="F221" s="14">
        <f t="shared" si="261"/>
        <v>51.5</v>
      </c>
      <c r="G221" s="14">
        <f t="shared" si="258"/>
        <v>145.09666666666666</v>
      </c>
      <c r="H221" s="14">
        <f t="shared" si="259"/>
        <v>756.47666666666669</v>
      </c>
      <c r="I221" s="188">
        <f t="shared" si="273"/>
        <v>31357.11</v>
      </c>
      <c r="J221" s="188">
        <f t="shared" si="274"/>
        <v>84438.339999999967</v>
      </c>
      <c r="K221" s="188">
        <f t="shared" si="275"/>
        <v>91816.059999999954</v>
      </c>
      <c r="L221" s="317">
        <f t="shared" si="246"/>
        <v>16</v>
      </c>
      <c r="M221" s="317">
        <f>IF(N221&lt;&gt;"",IF(N221=$O$5,0,+M220+1),0)</f>
        <v>193</v>
      </c>
      <c r="N221" s="188">
        <f t="shared" si="308"/>
        <v>244785.96999999997</v>
      </c>
      <c r="O221" s="188">
        <f>IF($O$11&lt;=A221,IF(+$W220&lt;=0,0,$O$8),0)</f>
        <v>2504.4299999999998</v>
      </c>
      <c r="P221" s="188">
        <f t="shared" si="315"/>
        <v>770.52999999999975</v>
      </c>
      <c r="Q221" s="188">
        <f>IF($O$11&lt;=A221,ROUND(N221*($O$7/12),2),0)</f>
        <v>1733.9</v>
      </c>
      <c r="R221" s="188">
        <f t="shared" si="264"/>
        <v>51.5</v>
      </c>
      <c r="S221" s="188">
        <f t="shared" si="265"/>
        <v>145.09666666666666</v>
      </c>
      <c r="T221" s="188">
        <f t="shared" si="262"/>
        <v>2701.0266666666666</v>
      </c>
      <c r="U221" s="188">
        <f t="shared" si="316"/>
        <v>81694.559999999983</v>
      </c>
      <c r="V221" s="188">
        <f t="shared" si="317"/>
        <v>404164.85999999975</v>
      </c>
      <c r="W221" s="188">
        <f t="shared" si="276"/>
        <v>244015.43999999997</v>
      </c>
      <c r="X221" s="395">
        <f t="shared" si="309"/>
        <v>52020</v>
      </c>
      <c r="Y221" s="188">
        <f t="shared" si="277"/>
        <v>244785.96999999997</v>
      </c>
      <c r="Z221" s="388">
        <f t="shared" si="302"/>
        <v>8.4999999999999992E-2</v>
      </c>
      <c r="AA221" s="188">
        <f t="shared" si="303"/>
        <v>2504.4299999999998</v>
      </c>
      <c r="AB221" s="188">
        <f t="shared" si="278"/>
        <v>770.52999999999975</v>
      </c>
      <c r="AC221" s="188">
        <f t="shared" si="304"/>
        <v>1733.9</v>
      </c>
      <c r="AD221" s="188">
        <f t="shared" ref="AD221:AE221" si="330">+AD220</f>
        <v>51.5</v>
      </c>
      <c r="AE221" s="188">
        <f t="shared" si="330"/>
        <v>145.09666666666666</v>
      </c>
      <c r="AF221" s="188">
        <f t="shared" si="280"/>
        <v>2701.0266666666666</v>
      </c>
      <c r="AG221" s="188">
        <f t="shared" si="281"/>
        <v>81694.559999999983</v>
      </c>
      <c r="AH221" s="188">
        <f t="shared" si="282"/>
        <v>404164.85999999975</v>
      </c>
      <c r="AI221" s="404">
        <f t="shared" si="267"/>
        <v>0</v>
      </c>
      <c r="AJ221" s="404">
        <f t="shared" si="329"/>
        <v>0</v>
      </c>
      <c r="AK221" s="404">
        <f t="shared" si="268"/>
        <v>0</v>
      </c>
      <c r="AL221" s="188">
        <f t="shared" si="283"/>
        <v>244015.43999999997</v>
      </c>
      <c r="AM221" s="317">
        <f t="shared" si="311"/>
        <v>16</v>
      </c>
      <c r="AN221" s="14">
        <f t="shared" si="269"/>
        <v>1944.5499999999997</v>
      </c>
      <c r="AO221" s="14">
        <f>IF(W221&lt;=0,0,+$AA$6-$C$2+I221-U221)</f>
        <v>152659.54999999999</v>
      </c>
      <c r="AP221" s="14">
        <f t="shared" si="270"/>
        <v>1944.5499999999997</v>
      </c>
      <c r="AS221" s="14">
        <f t="shared" si="306"/>
        <v>1944.5499999999997</v>
      </c>
      <c r="AT221" s="14">
        <f t="shared" si="312"/>
        <v>376762.13999999868</v>
      </c>
      <c r="AU221" s="188">
        <f>IF(W221&lt;=0,0,+($O$5+AV220)*$AQ$2/12)</f>
        <v>1358.5301028323706</v>
      </c>
      <c r="AV221" s="188">
        <f t="shared" si="313"/>
        <v>219060.57123578063</v>
      </c>
    </row>
    <row r="222" spans="1:48">
      <c r="A222" s="395">
        <f t="shared" si="272"/>
        <v>52050</v>
      </c>
      <c r="B222" s="188">
        <f t="shared" si="307"/>
        <v>91816.059999999954</v>
      </c>
      <c r="C222" s="14">
        <f t="shared" si="300"/>
        <v>559.88</v>
      </c>
      <c r="D222" s="14">
        <f t="shared" si="314"/>
        <v>215.57</v>
      </c>
      <c r="E222" s="14">
        <f t="shared" si="301"/>
        <v>344.31</v>
      </c>
      <c r="F222" s="14">
        <f t="shared" si="261"/>
        <v>51.5</v>
      </c>
      <c r="G222" s="14">
        <f t="shared" si="258"/>
        <v>145.09666666666666</v>
      </c>
      <c r="H222" s="14">
        <f t="shared" si="259"/>
        <v>756.47666666666669</v>
      </c>
      <c r="I222" s="188">
        <f t="shared" si="273"/>
        <v>31572.68</v>
      </c>
      <c r="J222" s="188">
        <f t="shared" si="274"/>
        <v>84782.649999999965</v>
      </c>
      <c r="K222" s="188">
        <f t="shared" si="275"/>
        <v>91600.489999999947</v>
      </c>
      <c r="L222" s="317">
        <f t="shared" si="246"/>
        <v>16</v>
      </c>
      <c r="M222" s="317">
        <f>IF(N222&lt;&gt;"",IF(N222=$O$5,0,+M221+1),0)</f>
        <v>194</v>
      </c>
      <c r="N222" s="188">
        <f t="shared" si="308"/>
        <v>244015.43999999997</v>
      </c>
      <c r="O222" s="188">
        <f>IF($O$11&lt;=A222,IF(+$W221&lt;=0,0,$O$8),0)</f>
        <v>2504.4299999999998</v>
      </c>
      <c r="P222" s="188">
        <f t="shared" si="315"/>
        <v>775.98999999999978</v>
      </c>
      <c r="Q222" s="188">
        <f>IF($O$11&lt;=A222,ROUND(N222*($O$7/12),2),0)</f>
        <v>1728.44</v>
      </c>
      <c r="R222" s="188">
        <f t="shared" si="264"/>
        <v>51.5</v>
      </c>
      <c r="S222" s="188">
        <f t="shared" si="265"/>
        <v>145.09666666666666</v>
      </c>
      <c r="T222" s="188">
        <f t="shared" si="262"/>
        <v>2701.0266666666666</v>
      </c>
      <c r="U222" s="188">
        <f t="shared" si="316"/>
        <v>82470.549999999988</v>
      </c>
      <c r="V222" s="188">
        <f t="shared" si="317"/>
        <v>405893.29999999976</v>
      </c>
      <c r="W222" s="188">
        <f t="shared" si="276"/>
        <v>243239.44999999998</v>
      </c>
      <c r="X222" s="395">
        <f t="shared" si="309"/>
        <v>52050</v>
      </c>
      <c r="Y222" s="188">
        <f t="shared" si="277"/>
        <v>244015.43999999997</v>
      </c>
      <c r="Z222" s="388">
        <f t="shared" si="302"/>
        <v>8.4999999999999992E-2</v>
      </c>
      <c r="AA222" s="188">
        <f t="shared" si="303"/>
        <v>2504.4299999999998</v>
      </c>
      <c r="AB222" s="188">
        <f t="shared" si="278"/>
        <v>775.98999999999978</v>
      </c>
      <c r="AC222" s="188">
        <f t="shared" si="304"/>
        <v>1728.44</v>
      </c>
      <c r="AD222" s="188">
        <f t="shared" ref="AD222:AE222" si="331">+AD221</f>
        <v>51.5</v>
      </c>
      <c r="AE222" s="188">
        <f t="shared" si="331"/>
        <v>145.09666666666666</v>
      </c>
      <c r="AF222" s="188">
        <f t="shared" si="280"/>
        <v>2701.0266666666666</v>
      </c>
      <c r="AG222" s="188">
        <f t="shared" si="281"/>
        <v>82470.549999999988</v>
      </c>
      <c r="AH222" s="188">
        <f t="shared" si="282"/>
        <v>405893.29999999976</v>
      </c>
      <c r="AI222" s="404">
        <f t="shared" si="267"/>
        <v>0</v>
      </c>
      <c r="AJ222" s="404">
        <f t="shared" si="329"/>
        <v>0</v>
      </c>
      <c r="AK222" s="404">
        <f t="shared" si="268"/>
        <v>0</v>
      </c>
      <c r="AL222" s="188">
        <f t="shared" si="283"/>
        <v>243239.44999999998</v>
      </c>
      <c r="AM222" s="317">
        <f t="shared" si="311"/>
        <v>16</v>
      </c>
      <c r="AN222" s="14">
        <f t="shared" si="269"/>
        <v>1944.5499999999997</v>
      </c>
      <c r="AO222" s="14">
        <f>IF(W222&lt;=0,0,+$AA$6-$C$2+I222-U222)</f>
        <v>152099.13</v>
      </c>
      <c r="AP222" s="14">
        <f t="shared" si="270"/>
        <v>1944.5499999999997</v>
      </c>
      <c r="AS222" s="14">
        <f t="shared" si="306"/>
        <v>1944.5499999999997</v>
      </c>
      <c r="AT222" s="14">
        <f t="shared" si="312"/>
        <v>378706.68999999866</v>
      </c>
      <c r="AU222" s="188">
        <f>IF(W222&lt;=0,0,+($O$5+AV221)*$AQ$2/12)</f>
        <v>1361.9264280894515</v>
      </c>
      <c r="AV222" s="188">
        <f t="shared" si="313"/>
        <v>220422.49766387008</v>
      </c>
    </row>
    <row r="223" spans="1:48">
      <c r="A223" s="395">
        <f t="shared" si="272"/>
        <v>52080</v>
      </c>
      <c r="B223" s="188">
        <f t="shared" si="307"/>
        <v>91600.489999999947</v>
      </c>
      <c r="C223" s="14">
        <f t="shared" si="300"/>
        <v>559.88</v>
      </c>
      <c r="D223" s="14">
        <f t="shared" si="314"/>
        <v>216.38</v>
      </c>
      <c r="E223" s="14">
        <f t="shared" si="301"/>
        <v>343.5</v>
      </c>
      <c r="F223" s="14">
        <f t="shared" si="261"/>
        <v>51.5</v>
      </c>
      <c r="G223" s="14">
        <f t="shared" si="258"/>
        <v>145.09666666666666</v>
      </c>
      <c r="H223" s="14">
        <f t="shared" si="259"/>
        <v>756.47666666666669</v>
      </c>
      <c r="I223" s="188">
        <f t="shared" si="273"/>
        <v>31789.06</v>
      </c>
      <c r="J223" s="188">
        <f t="shared" si="274"/>
        <v>85126.149999999965</v>
      </c>
      <c r="K223" s="188">
        <f t="shared" si="275"/>
        <v>91384.109999999942</v>
      </c>
      <c r="L223" s="317">
        <f t="shared" si="246"/>
        <v>16</v>
      </c>
      <c r="M223" s="317">
        <f>IF(N223&lt;&gt;"",IF(N223=$O$5,0,+M222+1),0)</f>
        <v>195</v>
      </c>
      <c r="N223" s="188">
        <f t="shared" si="308"/>
        <v>243239.44999999998</v>
      </c>
      <c r="O223" s="188">
        <f>IF($O$11&lt;=A223,IF(+$W222&lt;=0,0,$O$8),0)</f>
        <v>2504.4299999999998</v>
      </c>
      <c r="P223" s="188">
        <f t="shared" si="315"/>
        <v>781.47999999999979</v>
      </c>
      <c r="Q223" s="188">
        <f>IF($O$11&lt;=A223,ROUND(N223*($O$7/12),2),0)</f>
        <v>1722.95</v>
      </c>
      <c r="R223" s="188">
        <f t="shared" si="264"/>
        <v>51.5</v>
      </c>
      <c r="S223" s="188">
        <f t="shared" si="265"/>
        <v>145.09666666666666</v>
      </c>
      <c r="T223" s="188">
        <f t="shared" si="262"/>
        <v>2701.0266666666666</v>
      </c>
      <c r="U223" s="188">
        <f t="shared" si="316"/>
        <v>83252.029999999984</v>
      </c>
      <c r="V223" s="188">
        <f t="shared" si="317"/>
        <v>407616.24999999977</v>
      </c>
      <c r="W223" s="188">
        <f t="shared" si="276"/>
        <v>242457.96999999997</v>
      </c>
      <c r="X223" s="395">
        <f t="shared" si="309"/>
        <v>52080</v>
      </c>
      <c r="Y223" s="188">
        <f t="shared" si="277"/>
        <v>243239.44999999998</v>
      </c>
      <c r="Z223" s="388">
        <f t="shared" si="302"/>
        <v>8.4999999999999992E-2</v>
      </c>
      <c r="AA223" s="188">
        <f t="shared" si="303"/>
        <v>2504.4299999999998</v>
      </c>
      <c r="AB223" s="188">
        <f t="shared" si="278"/>
        <v>781.47999999999979</v>
      </c>
      <c r="AC223" s="188">
        <f t="shared" si="304"/>
        <v>1722.95</v>
      </c>
      <c r="AD223" s="188">
        <f t="shared" ref="AD223:AE223" si="332">+AD222</f>
        <v>51.5</v>
      </c>
      <c r="AE223" s="188">
        <f t="shared" si="332"/>
        <v>145.09666666666666</v>
      </c>
      <c r="AF223" s="188">
        <f t="shared" si="280"/>
        <v>2701.0266666666666</v>
      </c>
      <c r="AG223" s="188">
        <f t="shared" si="281"/>
        <v>83252.029999999984</v>
      </c>
      <c r="AH223" s="188">
        <f t="shared" si="282"/>
        <v>407616.24999999977</v>
      </c>
      <c r="AI223" s="404">
        <f t="shared" si="267"/>
        <v>0</v>
      </c>
      <c r="AJ223" s="404">
        <f t="shared" si="329"/>
        <v>0</v>
      </c>
      <c r="AK223" s="404">
        <f t="shared" si="268"/>
        <v>0</v>
      </c>
      <c r="AL223" s="188">
        <f t="shared" si="283"/>
        <v>242457.96999999997</v>
      </c>
      <c r="AM223" s="317">
        <f t="shared" si="311"/>
        <v>16</v>
      </c>
      <c r="AN223" s="14">
        <f t="shared" si="269"/>
        <v>1944.5499999999997</v>
      </c>
      <c r="AO223" s="14">
        <f>IF(W223&lt;=0,0,+$AA$6-$C$2+I223-U223)</f>
        <v>151534.03000000003</v>
      </c>
      <c r="AP223" s="14">
        <f t="shared" si="270"/>
        <v>1944.5499999999997</v>
      </c>
      <c r="AS223" s="14">
        <f t="shared" si="306"/>
        <v>1944.5499999999997</v>
      </c>
      <c r="AT223" s="14">
        <f t="shared" si="312"/>
        <v>380651.23999999865</v>
      </c>
      <c r="AU223" s="188">
        <f>IF(W223&lt;=0,0,+($O$5+AV222)*$AQ$2/12)</f>
        <v>1365.3312441596752</v>
      </c>
      <c r="AV223" s="188">
        <f t="shared" si="313"/>
        <v>221787.82890802974</v>
      </c>
    </row>
    <row r="224" spans="1:48">
      <c r="A224" s="395">
        <f t="shared" si="272"/>
        <v>52110</v>
      </c>
      <c r="B224" s="188">
        <f t="shared" si="307"/>
        <v>91384.109999999942</v>
      </c>
      <c r="C224" s="14">
        <f t="shared" si="300"/>
        <v>559.88</v>
      </c>
      <c r="D224" s="14">
        <f t="shared" si="314"/>
        <v>217.19</v>
      </c>
      <c r="E224" s="14">
        <f t="shared" si="301"/>
        <v>342.69</v>
      </c>
      <c r="F224" s="14">
        <f t="shared" si="261"/>
        <v>51.5</v>
      </c>
      <c r="G224" s="14">
        <f t="shared" si="258"/>
        <v>145.09666666666666</v>
      </c>
      <c r="H224" s="14">
        <f t="shared" si="259"/>
        <v>756.47666666666669</v>
      </c>
      <c r="I224" s="188">
        <f t="shared" si="273"/>
        <v>32006.25</v>
      </c>
      <c r="J224" s="188">
        <f t="shared" si="274"/>
        <v>85468.839999999967</v>
      </c>
      <c r="K224" s="188">
        <f t="shared" si="275"/>
        <v>91166.91999999994</v>
      </c>
      <c r="L224" s="317">
        <f t="shared" si="246"/>
        <v>16</v>
      </c>
      <c r="M224" s="317">
        <f>IF(N224&lt;&gt;"",IF(N224=$O$5,0,+M223+1),0)</f>
        <v>196</v>
      </c>
      <c r="N224" s="188">
        <f t="shared" si="308"/>
        <v>242457.96999999997</v>
      </c>
      <c r="O224" s="188">
        <f>IF($O$11&lt;=A224,IF(+$W223&lt;=0,0,$O$8),0)</f>
        <v>2504.4299999999998</v>
      </c>
      <c r="P224" s="188">
        <f t="shared" si="315"/>
        <v>787.01999999999975</v>
      </c>
      <c r="Q224" s="188">
        <f>IF($O$11&lt;=A224,ROUND(N224*($O$7/12),2),0)</f>
        <v>1717.41</v>
      </c>
      <c r="R224" s="188">
        <f t="shared" si="264"/>
        <v>51.5</v>
      </c>
      <c r="S224" s="188">
        <f t="shared" si="265"/>
        <v>145.09666666666666</v>
      </c>
      <c r="T224" s="188">
        <f t="shared" si="262"/>
        <v>2701.0266666666666</v>
      </c>
      <c r="U224" s="188">
        <f t="shared" si="316"/>
        <v>84039.049999999988</v>
      </c>
      <c r="V224" s="188">
        <f t="shared" si="317"/>
        <v>409333.65999999974</v>
      </c>
      <c r="W224" s="188">
        <f t="shared" si="276"/>
        <v>241670.94999999998</v>
      </c>
      <c r="X224" s="395">
        <f t="shared" si="309"/>
        <v>52110</v>
      </c>
      <c r="Y224" s="188">
        <f t="shared" si="277"/>
        <v>242457.96999999997</v>
      </c>
      <c r="Z224" s="388">
        <f t="shared" si="302"/>
        <v>8.4999999999999992E-2</v>
      </c>
      <c r="AA224" s="188">
        <f t="shared" si="303"/>
        <v>2504.4299999999998</v>
      </c>
      <c r="AB224" s="188">
        <f t="shared" si="278"/>
        <v>787.01999999999975</v>
      </c>
      <c r="AC224" s="188">
        <f t="shared" si="304"/>
        <v>1717.41</v>
      </c>
      <c r="AD224" s="188">
        <f t="shared" ref="AD224:AE224" si="333">+AD223</f>
        <v>51.5</v>
      </c>
      <c r="AE224" s="188">
        <f t="shared" si="333"/>
        <v>145.09666666666666</v>
      </c>
      <c r="AF224" s="188">
        <f t="shared" si="280"/>
        <v>2701.0266666666666</v>
      </c>
      <c r="AG224" s="188">
        <f t="shared" si="281"/>
        <v>84039.049999999988</v>
      </c>
      <c r="AH224" s="188">
        <f t="shared" si="282"/>
        <v>409333.65999999974</v>
      </c>
      <c r="AI224" s="404">
        <f t="shared" si="267"/>
        <v>0</v>
      </c>
      <c r="AJ224" s="404">
        <f t="shared" si="329"/>
        <v>0</v>
      </c>
      <c r="AK224" s="404">
        <f t="shared" si="268"/>
        <v>0</v>
      </c>
      <c r="AL224" s="188">
        <f t="shared" si="283"/>
        <v>241670.94999999998</v>
      </c>
      <c r="AM224" s="317">
        <f t="shared" si="311"/>
        <v>16</v>
      </c>
      <c r="AN224" s="14">
        <f t="shared" si="269"/>
        <v>1944.5499999999997</v>
      </c>
      <c r="AO224" s="14">
        <f>IF(W224&lt;=0,0,+$AA$6-$C$2+I224-U224)</f>
        <v>150964.20000000001</v>
      </c>
      <c r="AP224" s="14">
        <f t="shared" si="270"/>
        <v>1944.5499999999997</v>
      </c>
      <c r="AS224" s="14">
        <f t="shared" si="306"/>
        <v>1944.5499999999997</v>
      </c>
      <c r="AT224" s="14">
        <f t="shared" si="312"/>
        <v>382595.78999999864</v>
      </c>
      <c r="AU224" s="188">
        <f>IF(W224&lt;=0,0,+($O$5+AV223)*$AQ$2/12)</f>
        <v>1368.7445722700743</v>
      </c>
      <c r="AV224" s="188">
        <f t="shared" si="313"/>
        <v>223156.57348029982</v>
      </c>
    </row>
    <row r="225" spans="1:48">
      <c r="A225" s="395">
        <f t="shared" si="272"/>
        <v>52140</v>
      </c>
      <c r="B225" s="188">
        <f t="shared" si="307"/>
        <v>91166.91999999994</v>
      </c>
      <c r="C225" s="14">
        <f t="shared" si="300"/>
        <v>559.88</v>
      </c>
      <c r="D225" s="14">
        <f t="shared" si="314"/>
        <v>218</v>
      </c>
      <c r="E225" s="14">
        <f t="shared" si="301"/>
        <v>341.88</v>
      </c>
      <c r="F225" s="14">
        <f t="shared" si="261"/>
        <v>51.5</v>
      </c>
      <c r="G225" s="14">
        <f t="shared" si="258"/>
        <v>145.09666666666666</v>
      </c>
      <c r="H225" s="14">
        <f t="shared" si="259"/>
        <v>756.47666666666669</v>
      </c>
      <c r="I225" s="188">
        <f t="shared" si="273"/>
        <v>32224.25</v>
      </c>
      <c r="J225" s="188">
        <f t="shared" si="274"/>
        <v>85810.719999999972</v>
      </c>
      <c r="K225" s="188">
        <f t="shared" si="275"/>
        <v>90948.91999999994</v>
      </c>
      <c r="L225" s="317">
        <f t="shared" si="246"/>
        <v>16</v>
      </c>
      <c r="M225" s="317">
        <f>IF(N225&lt;&gt;"",IF(N225=$O$5,0,+M224+1),0)</f>
        <v>197</v>
      </c>
      <c r="N225" s="188">
        <f t="shared" si="308"/>
        <v>241670.94999999998</v>
      </c>
      <c r="O225" s="188">
        <f>IF($O$11&lt;=A225,IF(+$W224&lt;=0,0,$O$8),0)</f>
        <v>2504.4299999999998</v>
      </c>
      <c r="P225" s="188">
        <f t="shared" si="315"/>
        <v>792.58999999999992</v>
      </c>
      <c r="Q225" s="188">
        <f>IF($O$11&lt;=A225,ROUND(N225*($O$7/12),2),0)</f>
        <v>1711.84</v>
      </c>
      <c r="R225" s="188">
        <f t="shared" si="264"/>
        <v>51.5</v>
      </c>
      <c r="S225" s="188">
        <f t="shared" si="265"/>
        <v>145.09666666666666</v>
      </c>
      <c r="T225" s="188">
        <f t="shared" si="262"/>
        <v>2701.0266666666666</v>
      </c>
      <c r="U225" s="188">
        <f t="shared" si="316"/>
        <v>84831.639999999985</v>
      </c>
      <c r="V225" s="188">
        <f t="shared" si="317"/>
        <v>411045.49999999977</v>
      </c>
      <c r="W225" s="188">
        <f t="shared" si="276"/>
        <v>240878.36</v>
      </c>
      <c r="X225" s="395">
        <f t="shared" si="309"/>
        <v>52140</v>
      </c>
      <c r="Y225" s="188">
        <f t="shared" si="277"/>
        <v>241670.94999999998</v>
      </c>
      <c r="Z225" s="388">
        <f t="shared" si="302"/>
        <v>8.4999999999999992E-2</v>
      </c>
      <c r="AA225" s="188">
        <f t="shared" si="303"/>
        <v>2504.4299999999998</v>
      </c>
      <c r="AB225" s="188">
        <f t="shared" si="278"/>
        <v>792.58999999999992</v>
      </c>
      <c r="AC225" s="188">
        <f t="shared" si="304"/>
        <v>1711.84</v>
      </c>
      <c r="AD225" s="188">
        <f t="shared" ref="AD225:AE225" si="334">+AD224</f>
        <v>51.5</v>
      </c>
      <c r="AE225" s="188">
        <f t="shared" si="334"/>
        <v>145.09666666666666</v>
      </c>
      <c r="AF225" s="188">
        <f t="shared" si="280"/>
        <v>2701.0266666666666</v>
      </c>
      <c r="AG225" s="188">
        <f t="shared" si="281"/>
        <v>84831.639999999985</v>
      </c>
      <c r="AH225" s="188">
        <f t="shared" si="282"/>
        <v>411045.49999999977</v>
      </c>
      <c r="AI225" s="404">
        <f t="shared" si="267"/>
        <v>0</v>
      </c>
      <c r="AJ225" s="404">
        <f t="shared" si="329"/>
        <v>0</v>
      </c>
      <c r="AK225" s="404">
        <f t="shared" si="268"/>
        <v>0</v>
      </c>
      <c r="AL225" s="188">
        <f t="shared" si="283"/>
        <v>240878.36</v>
      </c>
      <c r="AM225" s="317">
        <f t="shared" si="311"/>
        <v>16</v>
      </c>
      <c r="AN225" s="14">
        <f t="shared" si="269"/>
        <v>1944.5499999999997</v>
      </c>
      <c r="AO225" s="14">
        <f>IF(W225&lt;=0,0,+$AA$6-$C$2+I225-U225)</f>
        <v>150389.61000000002</v>
      </c>
      <c r="AP225" s="14">
        <f t="shared" si="270"/>
        <v>1944.5499999999997</v>
      </c>
      <c r="AS225" s="14">
        <f t="shared" si="306"/>
        <v>1944.5499999999997</v>
      </c>
      <c r="AT225" s="14">
        <f t="shared" si="312"/>
        <v>384540.33999999863</v>
      </c>
      <c r="AU225" s="188">
        <f>IF(W225&lt;=0,0,+($O$5+AV224)*$AQ$2/12)</f>
        <v>1372.1664337007494</v>
      </c>
      <c r="AV225" s="188">
        <f t="shared" si="313"/>
        <v>224528.73991400056</v>
      </c>
    </row>
    <row r="226" spans="1:48">
      <c r="A226" s="395">
        <f t="shared" si="272"/>
        <v>52170</v>
      </c>
      <c r="B226" s="188">
        <f t="shared" si="307"/>
        <v>90948.91999999994</v>
      </c>
      <c r="C226" s="14">
        <f t="shared" si="300"/>
        <v>559.88</v>
      </c>
      <c r="D226" s="14">
        <f t="shared" si="314"/>
        <v>218.82</v>
      </c>
      <c r="E226" s="14">
        <f t="shared" si="301"/>
        <v>341.06</v>
      </c>
      <c r="F226" s="14">
        <f t="shared" si="261"/>
        <v>51.5</v>
      </c>
      <c r="G226" s="14">
        <f t="shared" si="258"/>
        <v>145.09666666666666</v>
      </c>
      <c r="H226" s="14">
        <f t="shared" si="259"/>
        <v>756.47666666666669</v>
      </c>
      <c r="I226" s="188">
        <f t="shared" si="273"/>
        <v>32443.07</v>
      </c>
      <c r="J226" s="188">
        <f t="shared" si="274"/>
        <v>86151.77999999997</v>
      </c>
      <c r="K226" s="188">
        <f t="shared" si="275"/>
        <v>90730.099999999933</v>
      </c>
      <c r="L226" s="317">
        <f t="shared" si="246"/>
        <v>16</v>
      </c>
      <c r="M226" s="317">
        <f>IF(N226&lt;&gt;"",IF(N226=$O$5,0,+M225+1),0)</f>
        <v>198</v>
      </c>
      <c r="N226" s="188">
        <f t="shared" si="308"/>
        <v>240878.36</v>
      </c>
      <c r="O226" s="188">
        <f>IF($O$11&lt;=A226,IF(+$W225&lt;=0,0,$O$8),0)</f>
        <v>2504.4299999999998</v>
      </c>
      <c r="P226" s="188">
        <f t="shared" si="315"/>
        <v>798.20999999999981</v>
      </c>
      <c r="Q226" s="188">
        <f>IF($O$11&lt;=A226,ROUND(N226*($O$7/12),2),0)</f>
        <v>1706.22</v>
      </c>
      <c r="R226" s="188">
        <f t="shared" si="264"/>
        <v>51.5</v>
      </c>
      <c r="S226" s="188">
        <f t="shared" si="265"/>
        <v>145.09666666666666</v>
      </c>
      <c r="T226" s="188">
        <f t="shared" si="262"/>
        <v>2701.0266666666666</v>
      </c>
      <c r="U226" s="188">
        <f t="shared" si="316"/>
        <v>85629.849999999991</v>
      </c>
      <c r="V226" s="188">
        <f t="shared" si="317"/>
        <v>412751.71999999974</v>
      </c>
      <c r="W226" s="188">
        <f t="shared" si="276"/>
        <v>240080.15</v>
      </c>
      <c r="X226" s="395">
        <f t="shared" si="309"/>
        <v>52170</v>
      </c>
      <c r="Y226" s="188">
        <f t="shared" si="277"/>
        <v>240878.36</v>
      </c>
      <c r="Z226" s="388">
        <f t="shared" si="302"/>
        <v>8.4999999999999992E-2</v>
      </c>
      <c r="AA226" s="188">
        <f t="shared" si="303"/>
        <v>2504.4299999999998</v>
      </c>
      <c r="AB226" s="188">
        <f t="shared" si="278"/>
        <v>798.20999999999981</v>
      </c>
      <c r="AC226" s="188">
        <f t="shared" si="304"/>
        <v>1706.22</v>
      </c>
      <c r="AD226" s="188">
        <f t="shared" ref="AD226:AE226" si="335">+AD225</f>
        <v>51.5</v>
      </c>
      <c r="AE226" s="188">
        <f t="shared" si="335"/>
        <v>145.09666666666666</v>
      </c>
      <c r="AF226" s="188">
        <f t="shared" si="280"/>
        <v>2701.0266666666666</v>
      </c>
      <c r="AG226" s="188">
        <f t="shared" si="281"/>
        <v>85629.849999999991</v>
      </c>
      <c r="AH226" s="188">
        <f t="shared" si="282"/>
        <v>412751.71999999974</v>
      </c>
      <c r="AI226" s="404">
        <f t="shared" si="267"/>
        <v>0</v>
      </c>
      <c r="AJ226" s="404">
        <f t="shared" si="329"/>
        <v>0</v>
      </c>
      <c r="AK226" s="404">
        <f t="shared" si="268"/>
        <v>0</v>
      </c>
      <c r="AL226" s="188">
        <f t="shared" si="283"/>
        <v>240080.15</v>
      </c>
      <c r="AM226" s="317">
        <f t="shared" si="311"/>
        <v>16</v>
      </c>
      <c r="AN226" s="14">
        <f t="shared" si="269"/>
        <v>1944.5499999999997</v>
      </c>
      <c r="AO226" s="14">
        <f>IF(W226&lt;=0,0,+$AA$6-$C$2+I226-U226)</f>
        <v>149810.22000000003</v>
      </c>
      <c r="AP226" s="14">
        <f t="shared" si="270"/>
        <v>1944.5499999999997</v>
      </c>
      <c r="AS226" s="14">
        <f t="shared" si="306"/>
        <v>1944.5499999999997</v>
      </c>
      <c r="AT226" s="14">
        <f t="shared" si="312"/>
        <v>386484.88999999862</v>
      </c>
      <c r="AU226" s="188">
        <f>IF(W226&lt;=0,0,+($O$5+AV225)*$AQ$2/12)</f>
        <v>1375.596849785001</v>
      </c>
      <c r="AV226" s="188">
        <f t="shared" si="313"/>
        <v>225904.33676378557</v>
      </c>
    </row>
    <row r="227" spans="1:48">
      <c r="A227" s="395">
        <f t="shared" si="272"/>
        <v>52200</v>
      </c>
      <c r="B227" s="188">
        <f t="shared" si="307"/>
        <v>90730.099999999933</v>
      </c>
      <c r="C227" s="14">
        <f t="shared" si="300"/>
        <v>559.88</v>
      </c>
      <c r="D227" s="14">
        <f t="shared" si="314"/>
        <v>219.64</v>
      </c>
      <c r="E227" s="14">
        <f t="shared" si="301"/>
        <v>340.24</v>
      </c>
      <c r="F227" s="14">
        <f t="shared" si="261"/>
        <v>51.5</v>
      </c>
      <c r="G227" s="14">
        <f t="shared" si="258"/>
        <v>145.09666666666666</v>
      </c>
      <c r="H227" s="14">
        <f t="shared" si="259"/>
        <v>756.47666666666669</v>
      </c>
      <c r="I227" s="188">
        <f t="shared" si="273"/>
        <v>32662.71</v>
      </c>
      <c r="J227" s="188">
        <f t="shared" si="274"/>
        <v>86492.019999999975</v>
      </c>
      <c r="K227" s="188">
        <f t="shared" si="275"/>
        <v>90510.459999999934</v>
      </c>
      <c r="L227" s="317">
        <f t="shared" si="246"/>
        <v>16</v>
      </c>
      <c r="M227" s="317">
        <f>IF(N227&lt;&gt;"",IF(N227=$O$5,0,+M226+1),0)</f>
        <v>199</v>
      </c>
      <c r="N227" s="188">
        <f t="shared" si="308"/>
        <v>240080.15</v>
      </c>
      <c r="O227" s="188">
        <f>IF($O$11&lt;=A227,IF(+$W226&lt;=0,0,$O$8),0)</f>
        <v>2504.4299999999998</v>
      </c>
      <c r="P227" s="188">
        <f t="shared" si="315"/>
        <v>803.8599999999999</v>
      </c>
      <c r="Q227" s="188">
        <f>IF($O$11&lt;=A227,ROUND(N227*($O$7/12),2),0)</f>
        <v>1700.57</v>
      </c>
      <c r="R227" s="188">
        <f t="shared" si="264"/>
        <v>51.5</v>
      </c>
      <c r="S227" s="188">
        <f t="shared" si="265"/>
        <v>145.09666666666666</v>
      </c>
      <c r="T227" s="188">
        <f t="shared" si="262"/>
        <v>2701.0266666666666</v>
      </c>
      <c r="U227" s="188">
        <f t="shared" si="316"/>
        <v>86433.709999999992</v>
      </c>
      <c r="V227" s="188">
        <f t="shared" si="317"/>
        <v>414452.28999999975</v>
      </c>
      <c r="W227" s="188">
        <f t="shared" si="276"/>
        <v>239276.29</v>
      </c>
      <c r="X227" s="395">
        <f t="shared" si="309"/>
        <v>52200</v>
      </c>
      <c r="Y227" s="188">
        <f t="shared" si="277"/>
        <v>240080.15</v>
      </c>
      <c r="Z227" s="388">
        <f t="shared" si="302"/>
        <v>8.4999999999999992E-2</v>
      </c>
      <c r="AA227" s="188">
        <f t="shared" si="303"/>
        <v>2504.4299999999998</v>
      </c>
      <c r="AB227" s="188">
        <f t="shared" si="278"/>
        <v>803.8599999999999</v>
      </c>
      <c r="AC227" s="188">
        <f t="shared" si="304"/>
        <v>1700.57</v>
      </c>
      <c r="AD227" s="188">
        <f t="shared" ref="AD227:AE227" si="336">+AD226</f>
        <v>51.5</v>
      </c>
      <c r="AE227" s="188">
        <f t="shared" si="336"/>
        <v>145.09666666666666</v>
      </c>
      <c r="AF227" s="188">
        <f t="shared" si="280"/>
        <v>2701.0266666666666</v>
      </c>
      <c r="AG227" s="188">
        <f t="shared" si="281"/>
        <v>86433.709999999992</v>
      </c>
      <c r="AH227" s="188">
        <f t="shared" si="282"/>
        <v>414452.28999999975</v>
      </c>
      <c r="AI227" s="404">
        <f t="shared" si="267"/>
        <v>0</v>
      </c>
      <c r="AJ227" s="404">
        <f t="shared" si="329"/>
        <v>0</v>
      </c>
      <c r="AK227" s="404">
        <f t="shared" si="268"/>
        <v>0</v>
      </c>
      <c r="AL227" s="188">
        <f t="shared" si="283"/>
        <v>239276.29</v>
      </c>
      <c r="AM227" s="317">
        <f t="shared" si="311"/>
        <v>16</v>
      </c>
      <c r="AN227" s="14">
        <f t="shared" si="269"/>
        <v>1944.5499999999997</v>
      </c>
      <c r="AO227" s="14">
        <f>IF(W227&lt;=0,0,+$AA$6-$C$2+I227-U227)</f>
        <v>149226</v>
      </c>
      <c r="AP227" s="14">
        <f t="shared" si="270"/>
        <v>1944.5499999999997</v>
      </c>
      <c r="AS227" s="14">
        <f t="shared" si="306"/>
        <v>1944.5499999999997</v>
      </c>
      <c r="AT227" s="14">
        <f t="shared" si="312"/>
        <v>388429.43999999861</v>
      </c>
      <c r="AU227" s="188">
        <f>IF(W227&lt;=0,0,+($O$5+AV226)*$AQ$2/12)</f>
        <v>1379.0358419094639</v>
      </c>
      <c r="AV227" s="188">
        <f t="shared" si="313"/>
        <v>227283.37260569504</v>
      </c>
    </row>
    <row r="228" spans="1:48">
      <c r="A228" s="395">
        <f t="shared" si="272"/>
        <v>52230</v>
      </c>
      <c r="B228" s="188">
        <f t="shared" si="307"/>
        <v>90510.459999999934</v>
      </c>
      <c r="C228" s="14">
        <f t="shared" si="300"/>
        <v>559.88</v>
      </c>
      <c r="D228" s="14">
        <f t="shared" si="314"/>
        <v>220.46999999999997</v>
      </c>
      <c r="E228" s="14">
        <f t="shared" si="301"/>
        <v>339.41</v>
      </c>
      <c r="F228" s="14">
        <f t="shared" si="261"/>
        <v>51.5</v>
      </c>
      <c r="G228" s="14">
        <f t="shared" si="258"/>
        <v>145.09666666666666</v>
      </c>
      <c r="H228" s="14">
        <f t="shared" si="259"/>
        <v>756.47666666666669</v>
      </c>
      <c r="I228" s="188">
        <f t="shared" si="273"/>
        <v>32883.18</v>
      </c>
      <c r="J228" s="188">
        <f t="shared" si="274"/>
        <v>86831.429999999978</v>
      </c>
      <c r="K228" s="188">
        <f t="shared" si="275"/>
        <v>90289.989999999932</v>
      </c>
      <c r="L228" s="317">
        <f t="shared" si="246"/>
        <v>16</v>
      </c>
      <c r="M228" s="317">
        <f>IF(N228&lt;&gt;"",IF(N228=$O$5,0,+M227+1),0)</f>
        <v>200</v>
      </c>
      <c r="N228" s="188">
        <f t="shared" si="308"/>
        <v>239276.29</v>
      </c>
      <c r="O228" s="188">
        <f>IF($O$11&lt;=A228,IF(+$W227&lt;=0,0,$O$8),0)</f>
        <v>2504.4299999999998</v>
      </c>
      <c r="P228" s="188">
        <f t="shared" si="315"/>
        <v>809.56</v>
      </c>
      <c r="Q228" s="188">
        <f>IF($O$11&lt;=A228,ROUND(N228*($O$7/12),2),0)</f>
        <v>1694.87</v>
      </c>
      <c r="R228" s="188">
        <f t="shared" si="264"/>
        <v>51.5</v>
      </c>
      <c r="S228" s="188">
        <f t="shared" si="265"/>
        <v>145.09666666666666</v>
      </c>
      <c r="T228" s="188">
        <f t="shared" si="262"/>
        <v>2701.0266666666666</v>
      </c>
      <c r="U228" s="188">
        <f t="shared" si="316"/>
        <v>87243.26999999999</v>
      </c>
      <c r="V228" s="188">
        <f t="shared" si="317"/>
        <v>416147.15999999974</v>
      </c>
      <c r="W228" s="188">
        <f t="shared" si="276"/>
        <v>238466.73</v>
      </c>
      <c r="X228" s="395">
        <f t="shared" si="309"/>
        <v>52230</v>
      </c>
      <c r="Y228" s="188">
        <f t="shared" si="277"/>
        <v>239276.29</v>
      </c>
      <c r="Z228" s="388">
        <f t="shared" si="302"/>
        <v>8.4999999999999992E-2</v>
      </c>
      <c r="AA228" s="188">
        <f t="shared" si="303"/>
        <v>2504.4299999999998</v>
      </c>
      <c r="AB228" s="188">
        <f t="shared" si="278"/>
        <v>809.56</v>
      </c>
      <c r="AC228" s="188">
        <f t="shared" si="304"/>
        <v>1694.87</v>
      </c>
      <c r="AD228" s="188">
        <f t="shared" ref="AD228:AE228" si="337">+AD227</f>
        <v>51.5</v>
      </c>
      <c r="AE228" s="188">
        <f t="shared" si="337"/>
        <v>145.09666666666666</v>
      </c>
      <c r="AF228" s="188">
        <f t="shared" si="280"/>
        <v>2701.0266666666666</v>
      </c>
      <c r="AG228" s="188">
        <f t="shared" si="281"/>
        <v>87243.26999999999</v>
      </c>
      <c r="AH228" s="188">
        <f t="shared" si="282"/>
        <v>416147.15999999974</v>
      </c>
      <c r="AI228" s="404">
        <f t="shared" si="267"/>
        <v>0</v>
      </c>
      <c r="AJ228" s="404">
        <f t="shared" si="329"/>
        <v>0</v>
      </c>
      <c r="AK228" s="404">
        <f t="shared" si="268"/>
        <v>0</v>
      </c>
      <c r="AL228" s="188">
        <f t="shared" si="283"/>
        <v>238466.73</v>
      </c>
      <c r="AM228" s="317">
        <f t="shared" si="311"/>
        <v>16</v>
      </c>
      <c r="AN228" s="14">
        <f t="shared" si="269"/>
        <v>1944.5499999999997</v>
      </c>
      <c r="AO228" s="14">
        <f>IF(W228&lt;=0,0,+$AA$6-$C$2+I228-U228)</f>
        <v>148636.91</v>
      </c>
      <c r="AP228" s="14">
        <f t="shared" si="270"/>
        <v>1944.5499999999997</v>
      </c>
      <c r="AS228" s="14">
        <f t="shared" si="306"/>
        <v>1944.5499999999997</v>
      </c>
      <c r="AT228" s="14">
        <f t="shared" si="312"/>
        <v>390373.98999999859</v>
      </c>
      <c r="AU228" s="188">
        <f>IF(W228&lt;=0,0,+($O$5+AV227)*$AQ$2/12)</f>
        <v>1382.4834315142377</v>
      </c>
      <c r="AV228" s="188">
        <f t="shared" si="313"/>
        <v>228665.85603720928</v>
      </c>
    </row>
    <row r="229" spans="1:48">
      <c r="A229" s="395">
        <f t="shared" si="272"/>
        <v>52260</v>
      </c>
      <c r="B229" s="188">
        <f t="shared" si="307"/>
        <v>90289.989999999932</v>
      </c>
      <c r="C229" s="14">
        <f t="shared" si="300"/>
        <v>559.88</v>
      </c>
      <c r="D229" s="14">
        <f t="shared" si="314"/>
        <v>221.29000000000002</v>
      </c>
      <c r="E229" s="14">
        <f t="shared" si="301"/>
        <v>338.59</v>
      </c>
      <c r="F229" s="14">
        <f t="shared" si="261"/>
        <v>51.5</v>
      </c>
      <c r="G229" s="14">
        <f t="shared" si="258"/>
        <v>145.09666666666666</v>
      </c>
      <c r="H229" s="14">
        <f t="shared" si="259"/>
        <v>756.47666666666669</v>
      </c>
      <c r="I229" s="188">
        <f t="shared" si="273"/>
        <v>33104.47</v>
      </c>
      <c r="J229" s="188">
        <f t="shared" si="274"/>
        <v>87170.019999999975</v>
      </c>
      <c r="K229" s="188">
        <f t="shared" si="275"/>
        <v>90068.699999999939</v>
      </c>
      <c r="L229" s="317">
        <f t="shared" si="246"/>
        <v>16</v>
      </c>
      <c r="M229" s="317">
        <f>IF(N229&lt;&gt;"",IF(N229=$O$5,0,+M228+1),0)</f>
        <v>201</v>
      </c>
      <c r="N229" s="188">
        <f t="shared" si="308"/>
        <v>238466.73</v>
      </c>
      <c r="O229" s="188">
        <f>IF($O$11&lt;=A229,IF(+$W228&lt;=0,0,$O$8),0)</f>
        <v>2504.4299999999998</v>
      </c>
      <c r="P229" s="188">
        <f t="shared" si="315"/>
        <v>815.28999999999974</v>
      </c>
      <c r="Q229" s="188">
        <f>IF($O$11&lt;=A229,ROUND(N229*($O$7/12),2),0)</f>
        <v>1689.14</v>
      </c>
      <c r="R229" s="188">
        <f t="shared" si="264"/>
        <v>51.5</v>
      </c>
      <c r="S229" s="188">
        <f t="shared" si="265"/>
        <v>145.09666666666666</v>
      </c>
      <c r="T229" s="188">
        <f t="shared" si="262"/>
        <v>2701.0266666666666</v>
      </c>
      <c r="U229" s="188">
        <f t="shared" si="316"/>
        <v>88058.559999999983</v>
      </c>
      <c r="V229" s="188">
        <f t="shared" si="317"/>
        <v>417836.29999999976</v>
      </c>
      <c r="W229" s="188">
        <f t="shared" si="276"/>
        <v>237651.44</v>
      </c>
      <c r="X229" s="395">
        <f t="shared" si="309"/>
        <v>52260</v>
      </c>
      <c r="Y229" s="188">
        <f t="shared" si="277"/>
        <v>238466.73</v>
      </c>
      <c r="Z229" s="388">
        <f t="shared" si="302"/>
        <v>8.4999999999999992E-2</v>
      </c>
      <c r="AA229" s="188">
        <f t="shared" si="303"/>
        <v>2504.4299999999998</v>
      </c>
      <c r="AB229" s="188">
        <f t="shared" si="278"/>
        <v>815.28999999999974</v>
      </c>
      <c r="AC229" s="188">
        <f t="shared" si="304"/>
        <v>1689.14</v>
      </c>
      <c r="AD229" s="188">
        <f t="shared" ref="AD229:AE229" si="338">+AD228</f>
        <v>51.5</v>
      </c>
      <c r="AE229" s="188">
        <f t="shared" si="338"/>
        <v>145.09666666666666</v>
      </c>
      <c r="AF229" s="188">
        <f t="shared" si="280"/>
        <v>2701.0266666666666</v>
      </c>
      <c r="AG229" s="188">
        <f t="shared" si="281"/>
        <v>88058.559999999983</v>
      </c>
      <c r="AH229" s="188">
        <f t="shared" si="282"/>
        <v>417836.29999999976</v>
      </c>
      <c r="AI229" s="404">
        <f t="shared" si="267"/>
        <v>0</v>
      </c>
      <c r="AJ229" s="404">
        <f t="shared" si="329"/>
        <v>0</v>
      </c>
      <c r="AK229" s="404">
        <f t="shared" si="268"/>
        <v>0</v>
      </c>
      <c r="AL229" s="188">
        <f t="shared" si="283"/>
        <v>237651.44</v>
      </c>
      <c r="AM229" s="317">
        <f t="shared" si="311"/>
        <v>16</v>
      </c>
      <c r="AN229" s="14">
        <f t="shared" si="269"/>
        <v>1944.5499999999997</v>
      </c>
      <c r="AO229" s="14">
        <f>IF(W229&lt;=0,0,+$AA$6-$C$2+I229-U229)</f>
        <v>148042.91000000003</v>
      </c>
      <c r="AP229" s="14">
        <f t="shared" si="270"/>
        <v>1944.5499999999997</v>
      </c>
      <c r="AS229" s="14">
        <f t="shared" si="306"/>
        <v>1944.5499999999997</v>
      </c>
      <c r="AT229" s="14">
        <f t="shared" si="312"/>
        <v>392318.53999999858</v>
      </c>
      <c r="AU229" s="188">
        <f>IF(W229&lt;=0,0,+($O$5+AV228)*$AQ$2/12)</f>
        <v>1385.9396400930229</v>
      </c>
      <c r="AV229" s="188">
        <f t="shared" si="313"/>
        <v>230051.79567730229</v>
      </c>
    </row>
    <row r="230" spans="1:48">
      <c r="A230" s="395">
        <f t="shared" si="272"/>
        <v>52290</v>
      </c>
      <c r="B230" s="188">
        <f t="shared" si="307"/>
        <v>90068.699999999939</v>
      </c>
      <c r="C230" s="14">
        <f t="shared" si="300"/>
        <v>559.88</v>
      </c>
      <c r="D230" s="14">
        <f t="shared" si="314"/>
        <v>222.12</v>
      </c>
      <c r="E230" s="14">
        <f t="shared" si="301"/>
        <v>337.76</v>
      </c>
      <c r="F230" s="14">
        <f t="shared" si="261"/>
        <v>51.5</v>
      </c>
      <c r="G230" s="14">
        <f t="shared" si="258"/>
        <v>145.09666666666666</v>
      </c>
      <c r="H230" s="14">
        <f t="shared" si="259"/>
        <v>756.47666666666669</v>
      </c>
      <c r="I230" s="188">
        <f t="shared" si="273"/>
        <v>33326.590000000004</v>
      </c>
      <c r="J230" s="188">
        <f t="shared" si="274"/>
        <v>87507.77999999997</v>
      </c>
      <c r="K230" s="188">
        <f t="shared" si="275"/>
        <v>89846.579999999944</v>
      </c>
      <c r="L230" s="317">
        <f t="shared" si="246"/>
        <v>16</v>
      </c>
      <c r="M230" s="317">
        <f>IF(N230&lt;&gt;"",IF(N230=$O$5,0,+M229+1),0)</f>
        <v>202</v>
      </c>
      <c r="N230" s="188">
        <f t="shared" si="308"/>
        <v>237651.44</v>
      </c>
      <c r="O230" s="188">
        <f>IF($O$11&lt;=A230,IF(+$W229&lt;=0,0,$O$8),0)</f>
        <v>2504.4299999999998</v>
      </c>
      <c r="P230" s="188">
        <f t="shared" si="315"/>
        <v>821.06999999999994</v>
      </c>
      <c r="Q230" s="188">
        <f>IF($O$11&lt;=A230,ROUND(N230*($O$7/12),2),0)</f>
        <v>1683.36</v>
      </c>
      <c r="R230" s="188">
        <f t="shared" si="264"/>
        <v>51.5</v>
      </c>
      <c r="S230" s="188">
        <f t="shared" si="265"/>
        <v>145.09666666666666</v>
      </c>
      <c r="T230" s="188">
        <f t="shared" si="262"/>
        <v>2701.0266666666666</v>
      </c>
      <c r="U230" s="188">
        <f t="shared" si="316"/>
        <v>88879.62999999999</v>
      </c>
      <c r="V230" s="188">
        <f t="shared" si="317"/>
        <v>419519.65999999974</v>
      </c>
      <c r="W230" s="188">
        <f t="shared" si="276"/>
        <v>236830.37</v>
      </c>
      <c r="X230" s="395">
        <f t="shared" si="309"/>
        <v>52290</v>
      </c>
      <c r="Y230" s="188">
        <f t="shared" si="277"/>
        <v>237651.44</v>
      </c>
      <c r="Z230" s="388">
        <f t="shared" si="302"/>
        <v>8.4999999999999992E-2</v>
      </c>
      <c r="AA230" s="188">
        <f t="shared" si="303"/>
        <v>2504.4299999999998</v>
      </c>
      <c r="AB230" s="188">
        <f t="shared" si="278"/>
        <v>821.06999999999994</v>
      </c>
      <c r="AC230" s="188">
        <f t="shared" si="304"/>
        <v>1683.36</v>
      </c>
      <c r="AD230" s="188">
        <f t="shared" ref="AD230:AE230" si="339">+AD229</f>
        <v>51.5</v>
      </c>
      <c r="AE230" s="188">
        <f t="shared" si="339"/>
        <v>145.09666666666666</v>
      </c>
      <c r="AF230" s="188">
        <f t="shared" si="280"/>
        <v>2701.0266666666666</v>
      </c>
      <c r="AG230" s="188">
        <f t="shared" si="281"/>
        <v>88879.62999999999</v>
      </c>
      <c r="AH230" s="188">
        <f t="shared" si="282"/>
        <v>419519.65999999974</v>
      </c>
      <c r="AI230" s="404">
        <f t="shared" si="267"/>
        <v>0</v>
      </c>
      <c r="AJ230" s="404">
        <f t="shared" si="329"/>
        <v>0</v>
      </c>
      <c r="AK230" s="404">
        <f t="shared" si="268"/>
        <v>0</v>
      </c>
      <c r="AL230" s="188">
        <f t="shared" si="283"/>
        <v>236830.37</v>
      </c>
      <c r="AM230" s="317">
        <f t="shared" si="311"/>
        <v>16</v>
      </c>
      <c r="AN230" s="14">
        <f t="shared" si="269"/>
        <v>1944.5499999999997</v>
      </c>
      <c r="AO230" s="14">
        <f>IF(W230&lt;=0,0,+$AA$6-$C$2+I230-U230)</f>
        <v>147443.96000000002</v>
      </c>
      <c r="AP230" s="14">
        <f t="shared" si="270"/>
        <v>1944.5499999999997</v>
      </c>
      <c r="AS230" s="14">
        <f t="shared" si="306"/>
        <v>1944.5499999999997</v>
      </c>
      <c r="AT230" s="14">
        <f t="shared" si="312"/>
        <v>394263.08999999857</v>
      </c>
      <c r="AU230" s="188">
        <f>IF(W230&lt;=0,0,+($O$5+AV229)*$AQ$2/12)</f>
        <v>1389.4044891932556</v>
      </c>
      <c r="AV230" s="188">
        <f t="shared" si="313"/>
        <v>231441.20016649555</v>
      </c>
    </row>
    <row r="231" spans="1:48" ht="15.75" thickBot="1">
      <c r="A231" s="398">
        <f t="shared" si="272"/>
        <v>52320</v>
      </c>
      <c r="B231" s="237">
        <f t="shared" si="307"/>
        <v>89846.579999999944</v>
      </c>
      <c r="C231" s="21">
        <f t="shared" si="300"/>
        <v>559.88</v>
      </c>
      <c r="D231" s="21">
        <f t="shared" si="314"/>
        <v>222.95999999999998</v>
      </c>
      <c r="E231" s="21">
        <f t="shared" si="301"/>
        <v>336.92</v>
      </c>
      <c r="F231" s="21">
        <f t="shared" si="261"/>
        <v>51.5</v>
      </c>
      <c r="G231" s="21">
        <f t="shared" si="258"/>
        <v>145.09666666666666</v>
      </c>
      <c r="H231" s="21">
        <f t="shared" si="259"/>
        <v>756.47666666666669</v>
      </c>
      <c r="I231" s="237">
        <f t="shared" si="273"/>
        <v>33549.550000000003</v>
      </c>
      <c r="J231" s="237">
        <f t="shared" si="274"/>
        <v>87844.699999999968</v>
      </c>
      <c r="K231" s="237">
        <f t="shared" si="275"/>
        <v>89623.619999999937</v>
      </c>
      <c r="L231" s="318">
        <f t="shared" si="246"/>
        <v>16</v>
      </c>
      <c r="M231" s="318">
        <f>IF(N231&lt;&gt;"",IF(N231=$O$5,0,+M230+1),0)</f>
        <v>203</v>
      </c>
      <c r="N231" s="237">
        <f t="shared" si="308"/>
        <v>236830.37</v>
      </c>
      <c r="O231" s="237">
        <f>IF($O$11&lt;=A231,IF(+$W230&lt;=0,0,$O$8),0)</f>
        <v>2504.4299999999998</v>
      </c>
      <c r="P231" s="237">
        <f t="shared" si="315"/>
        <v>826.87999999999988</v>
      </c>
      <c r="Q231" s="237">
        <f>IF($O$11&lt;=A231,ROUND(N231*($O$7/12),2),0)</f>
        <v>1677.55</v>
      </c>
      <c r="R231" s="237">
        <f t="shared" si="264"/>
        <v>51.5</v>
      </c>
      <c r="S231" s="237">
        <f t="shared" si="265"/>
        <v>145.09666666666666</v>
      </c>
      <c r="T231" s="237">
        <f t="shared" si="262"/>
        <v>2701.0266666666666</v>
      </c>
      <c r="U231" s="237">
        <f t="shared" si="316"/>
        <v>89706.51</v>
      </c>
      <c r="V231" s="237">
        <f t="shared" si="317"/>
        <v>421197.20999999973</v>
      </c>
      <c r="W231" s="237">
        <f t="shared" si="276"/>
        <v>236003.49</v>
      </c>
      <c r="X231" s="398">
        <f t="shared" si="309"/>
        <v>52320</v>
      </c>
      <c r="Y231" s="237">
        <f t="shared" si="277"/>
        <v>236830.37</v>
      </c>
      <c r="Z231" s="389">
        <f t="shared" si="302"/>
        <v>8.4999999999999992E-2</v>
      </c>
      <c r="AA231" s="237">
        <f t="shared" si="303"/>
        <v>2504.4299999999998</v>
      </c>
      <c r="AB231" s="237">
        <f t="shared" si="278"/>
        <v>826.87999999999988</v>
      </c>
      <c r="AC231" s="237">
        <f t="shared" si="304"/>
        <v>1677.55</v>
      </c>
      <c r="AD231" s="237">
        <f t="shared" ref="AD231:AE231" si="340">+AD230</f>
        <v>51.5</v>
      </c>
      <c r="AE231" s="237">
        <f t="shared" si="340"/>
        <v>145.09666666666666</v>
      </c>
      <c r="AF231" s="237">
        <f t="shared" si="280"/>
        <v>2701.0266666666666</v>
      </c>
      <c r="AG231" s="237">
        <f t="shared" si="281"/>
        <v>89706.51</v>
      </c>
      <c r="AH231" s="237">
        <f t="shared" si="282"/>
        <v>421197.20999999973</v>
      </c>
      <c r="AI231" s="405">
        <f t="shared" si="267"/>
        <v>0</v>
      </c>
      <c r="AJ231" s="405">
        <f t="shared" si="329"/>
        <v>0</v>
      </c>
      <c r="AK231" s="404">
        <f t="shared" si="268"/>
        <v>0</v>
      </c>
      <c r="AL231" s="237">
        <f t="shared" si="283"/>
        <v>236003.49</v>
      </c>
      <c r="AM231" s="318">
        <f t="shared" si="311"/>
        <v>16</v>
      </c>
      <c r="AN231" s="21">
        <f t="shared" si="269"/>
        <v>1944.5499999999997</v>
      </c>
      <c r="AO231" s="21">
        <f>IF(W231&lt;=0,0,+$AA$6-$C$2+I231-U231)</f>
        <v>146840.03999999998</v>
      </c>
      <c r="AP231" s="21">
        <f t="shared" si="270"/>
        <v>1944.5499999999997</v>
      </c>
      <c r="AQ231" s="21"/>
      <c r="AR231" s="23"/>
      <c r="AS231" s="21">
        <f t="shared" si="306"/>
        <v>1944.5499999999997</v>
      </c>
      <c r="AT231" s="21">
        <f t="shared" si="312"/>
        <v>396207.63999999856</v>
      </c>
      <c r="AU231" s="237">
        <f>IF(W231&lt;=0,0,+($O$5+AV230)*$AQ$2/12)</f>
        <v>1392.8780004162388</v>
      </c>
      <c r="AV231" s="237">
        <f t="shared" si="313"/>
        <v>232834.07816691179</v>
      </c>
    </row>
    <row r="232" spans="1:48">
      <c r="A232" s="395">
        <f t="shared" si="272"/>
        <v>52350</v>
      </c>
      <c r="B232" s="188">
        <f t="shared" si="307"/>
        <v>89623.619999999937</v>
      </c>
      <c r="C232" s="14">
        <f t="shared" si="300"/>
        <v>559.88</v>
      </c>
      <c r="D232" s="14">
        <f t="shared" si="314"/>
        <v>223.79000000000002</v>
      </c>
      <c r="E232" s="14">
        <f t="shared" si="301"/>
        <v>336.09</v>
      </c>
      <c r="F232" s="14">
        <f t="shared" si="261"/>
        <v>51.5</v>
      </c>
      <c r="G232" s="14">
        <f t="shared" si="258"/>
        <v>145.09666666666666</v>
      </c>
      <c r="H232" s="14">
        <f t="shared" si="259"/>
        <v>756.47666666666669</v>
      </c>
      <c r="I232" s="188">
        <f t="shared" si="273"/>
        <v>33773.340000000004</v>
      </c>
      <c r="J232" s="188">
        <f t="shared" si="274"/>
        <v>88180.789999999964</v>
      </c>
      <c r="K232" s="188">
        <f t="shared" si="275"/>
        <v>89399.829999999944</v>
      </c>
      <c r="L232" s="317">
        <f t="shared" si="246"/>
        <v>17</v>
      </c>
      <c r="M232" s="317">
        <f>IF(N232&lt;&gt;"",IF(N232=$O$5,0,+M231+1),0)</f>
        <v>204</v>
      </c>
      <c r="N232" s="188">
        <f t="shared" si="308"/>
        <v>236003.49</v>
      </c>
      <c r="O232" s="188">
        <f>IF($O$11&lt;=A232,IF(+$W231&lt;=0,0,$O$8),0)</f>
        <v>2504.4299999999998</v>
      </c>
      <c r="P232" s="188">
        <f t="shared" si="315"/>
        <v>832.73999999999978</v>
      </c>
      <c r="Q232" s="188">
        <f>IF($O$11&lt;=A232,ROUND(N232*($O$7/12),2),0)</f>
        <v>1671.69</v>
      </c>
      <c r="R232" s="188">
        <f t="shared" si="264"/>
        <v>51.5</v>
      </c>
      <c r="S232" s="188">
        <f t="shared" si="265"/>
        <v>145.09666666666666</v>
      </c>
      <c r="T232" s="188">
        <f t="shared" si="262"/>
        <v>2701.0266666666666</v>
      </c>
      <c r="U232" s="188">
        <f t="shared" si="316"/>
        <v>90539.25</v>
      </c>
      <c r="V232" s="188">
        <f t="shared" si="317"/>
        <v>422868.89999999973</v>
      </c>
      <c r="W232" s="188">
        <f t="shared" si="276"/>
        <v>235170.75</v>
      </c>
      <c r="X232" s="395">
        <f t="shared" si="309"/>
        <v>52350</v>
      </c>
      <c r="Y232" s="188">
        <f t="shared" si="277"/>
        <v>236003.49</v>
      </c>
      <c r="Z232" s="388">
        <f t="shared" si="302"/>
        <v>8.4999999999999992E-2</v>
      </c>
      <c r="AA232" s="188">
        <f t="shared" si="303"/>
        <v>2504.4299999999998</v>
      </c>
      <c r="AB232" s="188">
        <f t="shared" si="278"/>
        <v>832.73999999999978</v>
      </c>
      <c r="AC232" s="188">
        <f t="shared" si="304"/>
        <v>1671.69</v>
      </c>
      <c r="AD232" s="188">
        <f t="shared" ref="AD232:AE232" si="341">+AD231</f>
        <v>51.5</v>
      </c>
      <c r="AE232" s="188">
        <f t="shared" si="341"/>
        <v>145.09666666666666</v>
      </c>
      <c r="AF232" s="188">
        <f t="shared" si="280"/>
        <v>2701.0266666666666</v>
      </c>
      <c r="AG232" s="188">
        <f t="shared" si="281"/>
        <v>90539.25</v>
      </c>
      <c r="AH232" s="188">
        <f t="shared" si="282"/>
        <v>422868.89999999973</v>
      </c>
      <c r="AI232" s="404">
        <f t="shared" si="267"/>
        <v>0</v>
      </c>
      <c r="AJ232" s="404">
        <f t="shared" si="329"/>
        <v>0</v>
      </c>
      <c r="AK232" s="404">
        <f t="shared" si="268"/>
        <v>0</v>
      </c>
      <c r="AL232" s="188">
        <f t="shared" si="283"/>
        <v>235170.75</v>
      </c>
      <c r="AM232" s="317">
        <f t="shared" si="311"/>
        <v>17</v>
      </c>
      <c r="AN232" s="14">
        <f t="shared" si="269"/>
        <v>1944.5499999999997</v>
      </c>
      <c r="AO232" s="14">
        <f>IF(W232&lt;=0,0,+$AA$6-$C$2+I232-U232)</f>
        <v>146231.09</v>
      </c>
      <c r="AP232" s="14">
        <f t="shared" si="270"/>
        <v>1944.5499999999997</v>
      </c>
      <c r="AS232" s="14">
        <f t="shared" si="306"/>
        <v>1944.5499999999997</v>
      </c>
      <c r="AT232" s="14">
        <f t="shared" si="312"/>
        <v>398152.18999999855</v>
      </c>
      <c r="AU232" s="188">
        <f>IF(W232&lt;=0,0,+($O$5+AV231)*$AQ$2/12)</f>
        <v>1396.3601954172798</v>
      </c>
      <c r="AV232" s="188">
        <f t="shared" si="313"/>
        <v>234230.43836232906</v>
      </c>
    </row>
    <row r="233" spans="1:48">
      <c r="A233" s="395">
        <f t="shared" si="272"/>
        <v>52380</v>
      </c>
      <c r="B233" s="188">
        <f t="shared" si="307"/>
        <v>89399.829999999944</v>
      </c>
      <c r="C233" s="14">
        <f t="shared" si="300"/>
        <v>559.88</v>
      </c>
      <c r="D233" s="14">
        <f t="shared" si="314"/>
        <v>224.63</v>
      </c>
      <c r="E233" s="14">
        <f t="shared" si="301"/>
        <v>335.25</v>
      </c>
      <c r="F233" s="14">
        <f t="shared" si="261"/>
        <v>51.5</v>
      </c>
      <c r="G233" s="14">
        <f t="shared" si="258"/>
        <v>145.09666666666666</v>
      </c>
      <c r="H233" s="14">
        <f t="shared" si="259"/>
        <v>756.47666666666669</v>
      </c>
      <c r="I233" s="188">
        <f t="shared" si="273"/>
        <v>33997.97</v>
      </c>
      <c r="J233" s="188">
        <f t="shared" si="274"/>
        <v>88516.039999999964</v>
      </c>
      <c r="K233" s="188">
        <f t="shared" si="275"/>
        <v>89175.199999999939</v>
      </c>
      <c r="L233" s="317">
        <f t="shared" si="246"/>
        <v>17</v>
      </c>
      <c r="M233" s="317">
        <f>IF(N233&lt;&gt;"",IF(N233=$O$5,0,+M232+1),0)</f>
        <v>205</v>
      </c>
      <c r="N233" s="188">
        <f t="shared" si="308"/>
        <v>235170.75</v>
      </c>
      <c r="O233" s="188">
        <f>IF($O$11&lt;=A233,IF(+$W232&lt;=0,0,$O$8),0)</f>
        <v>2504.4299999999998</v>
      </c>
      <c r="P233" s="188">
        <f t="shared" si="315"/>
        <v>838.63999999999987</v>
      </c>
      <c r="Q233" s="188">
        <f>IF($O$11&lt;=A233,ROUND(N233*($O$7/12),2),0)</f>
        <v>1665.79</v>
      </c>
      <c r="R233" s="188">
        <f t="shared" si="264"/>
        <v>51.5</v>
      </c>
      <c r="S233" s="188">
        <f t="shared" si="265"/>
        <v>145.09666666666666</v>
      </c>
      <c r="T233" s="188">
        <f t="shared" si="262"/>
        <v>2701.0266666666666</v>
      </c>
      <c r="U233" s="188">
        <f t="shared" si="316"/>
        <v>91377.89</v>
      </c>
      <c r="V233" s="188">
        <f t="shared" si="317"/>
        <v>424534.68999999971</v>
      </c>
      <c r="W233" s="188">
        <f t="shared" si="276"/>
        <v>234332.11</v>
      </c>
      <c r="X233" s="395">
        <f t="shared" si="309"/>
        <v>52380</v>
      </c>
      <c r="Y233" s="188">
        <f t="shared" si="277"/>
        <v>235170.75</v>
      </c>
      <c r="Z233" s="388">
        <f t="shared" si="302"/>
        <v>8.4999999999999992E-2</v>
      </c>
      <c r="AA233" s="188">
        <f t="shared" si="303"/>
        <v>2504.4299999999998</v>
      </c>
      <c r="AB233" s="188">
        <f t="shared" si="278"/>
        <v>838.63999999999987</v>
      </c>
      <c r="AC233" s="188">
        <f t="shared" si="304"/>
        <v>1665.79</v>
      </c>
      <c r="AD233" s="188">
        <f t="shared" ref="AD233:AE233" si="342">+AD232</f>
        <v>51.5</v>
      </c>
      <c r="AE233" s="188">
        <f t="shared" si="342"/>
        <v>145.09666666666666</v>
      </c>
      <c r="AF233" s="188">
        <f t="shared" si="280"/>
        <v>2701.0266666666666</v>
      </c>
      <c r="AG233" s="188">
        <f t="shared" si="281"/>
        <v>91377.89</v>
      </c>
      <c r="AH233" s="188">
        <f t="shared" si="282"/>
        <v>424534.68999999971</v>
      </c>
      <c r="AI233" s="404">
        <f t="shared" si="267"/>
        <v>0</v>
      </c>
      <c r="AJ233" s="404">
        <f t="shared" si="329"/>
        <v>0</v>
      </c>
      <c r="AK233" s="404">
        <f t="shared" si="268"/>
        <v>0</v>
      </c>
      <c r="AL233" s="188">
        <f t="shared" si="283"/>
        <v>234332.11</v>
      </c>
      <c r="AM233" s="317">
        <f t="shared" si="311"/>
        <v>17</v>
      </c>
      <c r="AN233" s="14">
        <f t="shared" si="269"/>
        <v>1944.5499999999997</v>
      </c>
      <c r="AO233" s="14">
        <f>IF(W233&lt;=0,0,+$AA$6-$C$2+I233-U233)</f>
        <v>145617.08000000002</v>
      </c>
      <c r="AP233" s="14">
        <f t="shared" si="270"/>
        <v>1944.5499999999997</v>
      </c>
      <c r="AS233" s="14">
        <f t="shared" si="306"/>
        <v>1944.5499999999997</v>
      </c>
      <c r="AT233" s="14">
        <f t="shared" si="312"/>
        <v>400096.73999999854</v>
      </c>
      <c r="AU233" s="188">
        <f>IF(W233&lt;=0,0,+($O$5+AV232)*$AQ$2/12)</f>
        <v>1399.8510959058224</v>
      </c>
      <c r="AV233" s="188">
        <f t="shared" si="313"/>
        <v>235630.28945823488</v>
      </c>
    </row>
    <row r="234" spans="1:48">
      <c r="A234" s="395">
        <f t="shared" si="272"/>
        <v>52410</v>
      </c>
      <c r="B234" s="188">
        <f t="shared" si="307"/>
        <v>89175.199999999939</v>
      </c>
      <c r="C234" s="14">
        <f t="shared" si="300"/>
        <v>559.88</v>
      </c>
      <c r="D234" s="14">
        <f t="shared" si="314"/>
        <v>225.46999999999997</v>
      </c>
      <c r="E234" s="14">
        <f t="shared" si="301"/>
        <v>334.41</v>
      </c>
      <c r="F234" s="14">
        <f t="shared" si="261"/>
        <v>51.5</v>
      </c>
      <c r="G234" s="14">
        <f t="shared" si="258"/>
        <v>145.09666666666666</v>
      </c>
      <c r="H234" s="14">
        <f t="shared" si="259"/>
        <v>756.47666666666669</v>
      </c>
      <c r="I234" s="188">
        <f t="shared" si="273"/>
        <v>34223.440000000002</v>
      </c>
      <c r="J234" s="188">
        <f t="shared" si="274"/>
        <v>88850.449999999968</v>
      </c>
      <c r="K234" s="188">
        <f t="shared" si="275"/>
        <v>88949.729999999938</v>
      </c>
      <c r="L234" s="317">
        <f t="shared" si="246"/>
        <v>17</v>
      </c>
      <c r="M234" s="317">
        <f>IF(N234&lt;&gt;"",IF(N234=$O$5,0,+M233+1),0)</f>
        <v>206</v>
      </c>
      <c r="N234" s="188">
        <f t="shared" si="308"/>
        <v>234332.11</v>
      </c>
      <c r="O234" s="188">
        <f>IF($O$11&lt;=A234,IF(+$W233&lt;=0,0,$O$8),0)</f>
        <v>2504.4299999999998</v>
      </c>
      <c r="P234" s="188">
        <f t="shared" si="315"/>
        <v>844.57999999999993</v>
      </c>
      <c r="Q234" s="188">
        <f>IF($O$11&lt;=A234,ROUND(N234*($O$7/12),2),0)</f>
        <v>1659.85</v>
      </c>
      <c r="R234" s="188">
        <f t="shared" si="264"/>
        <v>51.5</v>
      </c>
      <c r="S234" s="188">
        <f t="shared" si="265"/>
        <v>145.09666666666666</v>
      </c>
      <c r="T234" s="188">
        <f t="shared" si="262"/>
        <v>2701.0266666666666</v>
      </c>
      <c r="U234" s="188">
        <f t="shared" si="316"/>
        <v>92222.47</v>
      </c>
      <c r="V234" s="188">
        <f t="shared" si="317"/>
        <v>426194.53999999969</v>
      </c>
      <c r="W234" s="188">
        <f t="shared" si="276"/>
        <v>233487.53</v>
      </c>
      <c r="X234" s="395">
        <f t="shared" si="309"/>
        <v>52410</v>
      </c>
      <c r="Y234" s="188">
        <f t="shared" si="277"/>
        <v>234332.11</v>
      </c>
      <c r="Z234" s="388">
        <f t="shared" si="302"/>
        <v>8.4999999999999992E-2</v>
      </c>
      <c r="AA234" s="188">
        <f t="shared" si="303"/>
        <v>2504.4299999999998</v>
      </c>
      <c r="AB234" s="188">
        <f t="shared" si="278"/>
        <v>844.57999999999993</v>
      </c>
      <c r="AC234" s="188">
        <f t="shared" si="304"/>
        <v>1659.85</v>
      </c>
      <c r="AD234" s="188">
        <f t="shared" ref="AD234:AE234" si="343">+AD233</f>
        <v>51.5</v>
      </c>
      <c r="AE234" s="188">
        <f t="shared" si="343"/>
        <v>145.09666666666666</v>
      </c>
      <c r="AF234" s="188">
        <f t="shared" si="280"/>
        <v>2701.0266666666666</v>
      </c>
      <c r="AG234" s="188">
        <f t="shared" si="281"/>
        <v>92222.47</v>
      </c>
      <c r="AH234" s="188">
        <f t="shared" si="282"/>
        <v>426194.53999999969</v>
      </c>
      <c r="AI234" s="404">
        <f t="shared" si="267"/>
        <v>0</v>
      </c>
      <c r="AJ234" s="404">
        <f t="shared" si="329"/>
        <v>0</v>
      </c>
      <c r="AK234" s="404">
        <f t="shared" si="268"/>
        <v>0</v>
      </c>
      <c r="AL234" s="188">
        <f t="shared" si="283"/>
        <v>233487.53</v>
      </c>
      <c r="AM234" s="317">
        <f t="shared" si="311"/>
        <v>17</v>
      </c>
      <c r="AN234" s="14">
        <f t="shared" si="269"/>
        <v>1944.5499999999997</v>
      </c>
      <c r="AO234" s="14">
        <f>IF(W234&lt;=0,0,+$AA$6-$C$2+I234-U234)</f>
        <v>144997.97</v>
      </c>
      <c r="AP234" s="14">
        <f t="shared" si="270"/>
        <v>1944.5499999999997</v>
      </c>
      <c r="AS234" s="14">
        <f t="shared" si="306"/>
        <v>1944.5499999999997</v>
      </c>
      <c r="AT234" s="14">
        <f t="shared" si="312"/>
        <v>402041.28999999852</v>
      </c>
      <c r="AU234" s="188">
        <f>IF(W234&lt;=0,0,+($O$5+AV233)*$AQ$2/12)</f>
        <v>1403.3507236455871</v>
      </c>
      <c r="AV234" s="188">
        <f t="shared" si="313"/>
        <v>237033.64018188047</v>
      </c>
    </row>
    <row r="235" spans="1:48">
      <c r="A235" s="395">
        <f t="shared" si="272"/>
        <v>52440</v>
      </c>
      <c r="B235" s="188">
        <f t="shared" si="307"/>
        <v>88949.729999999938</v>
      </c>
      <c r="C235" s="14">
        <f t="shared" si="300"/>
        <v>559.88</v>
      </c>
      <c r="D235" s="14">
        <f t="shared" si="314"/>
        <v>226.32</v>
      </c>
      <c r="E235" s="14">
        <f t="shared" si="301"/>
        <v>333.56</v>
      </c>
      <c r="F235" s="14">
        <f t="shared" si="261"/>
        <v>51.5</v>
      </c>
      <c r="G235" s="14">
        <f t="shared" si="258"/>
        <v>145.09666666666666</v>
      </c>
      <c r="H235" s="14">
        <f t="shared" si="259"/>
        <v>756.47666666666669</v>
      </c>
      <c r="I235" s="188">
        <f t="shared" si="273"/>
        <v>34449.760000000002</v>
      </c>
      <c r="J235" s="188">
        <f t="shared" si="274"/>
        <v>89184.009999999966</v>
      </c>
      <c r="K235" s="188">
        <f t="shared" si="275"/>
        <v>88723.409999999931</v>
      </c>
      <c r="L235" s="317">
        <f t="shared" si="246"/>
        <v>17</v>
      </c>
      <c r="M235" s="317">
        <f>IF(N235&lt;&gt;"",IF(N235=$O$5,0,+M234+1),0)</f>
        <v>207</v>
      </c>
      <c r="N235" s="188">
        <f t="shared" si="308"/>
        <v>233487.53</v>
      </c>
      <c r="O235" s="188">
        <f>IF($O$11&lt;=A235,IF(+$W234&lt;=0,0,$O$8),0)</f>
        <v>2504.4299999999998</v>
      </c>
      <c r="P235" s="188">
        <f t="shared" si="315"/>
        <v>850.56</v>
      </c>
      <c r="Q235" s="188">
        <f>IF($O$11&lt;=A235,ROUND(N235*($O$7/12),2),0)</f>
        <v>1653.87</v>
      </c>
      <c r="R235" s="188">
        <f t="shared" si="264"/>
        <v>51.5</v>
      </c>
      <c r="S235" s="188">
        <f t="shared" si="265"/>
        <v>145.09666666666666</v>
      </c>
      <c r="T235" s="188">
        <f t="shared" si="262"/>
        <v>2701.0266666666666</v>
      </c>
      <c r="U235" s="188">
        <f t="shared" si="316"/>
        <v>93073.03</v>
      </c>
      <c r="V235" s="188">
        <f t="shared" si="317"/>
        <v>427848.40999999968</v>
      </c>
      <c r="W235" s="188">
        <f t="shared" si="276"/>
        <v>232636.97</v>
      </c>
      <c r="X235" s="395">
        <f t="shared" si="309"/>
        <v>52440</v>
      </c>
      <c r="Y235" s="188">
        <f t="shared" si="277"/>
        <v>233487.53</v>
      </c>
      <c r="Z235" s="388">
        <f t="shared" si="302"/>
        <v>8.4999999999999992E-2</v>
      </c>
      <c r="AA235" s="188">
        <f t="shared" si="303"/>
        <v>2504.4299999999998</v>
      </c>
      <c r="AB235" s="188">
        <f t="shared" si="278"/>
        <v>850.56</v>
      </c>
      <c r="AC235" s="188">
        <f t="shared" si="304"/>
        <v>1653.87</v>
      </c>
      <c r="AD235" s="188">
        <f t="shared" ref="AD235:AE235" si="344">+AD234</f>
        <v>51.5</v>
      </c>
      <c r="AE235" s="188">
        <f t="shared" si="344"/>
        <v>145.09666666666666</v>
      </c>
      <c r="AF235" s="188">
        <f t="shared" si="280"/>
        <v>2701.0266666666666</v>
      </c>
      <c r="AG235" s="188">
        <f t="shared" si="281"/>
        <v>93073.03</v>
      </c>
      <c r="AH235" s="188">
        <f t="shared" si="282"/>
        <v>427848.40999999968</v>
      </c>
      <c r="AI235" s="404">
        <f t="shared" si="267"/>
        <v>0</v>
      </c>
      <c r="AJ235" s="404">
        <f t="shared" si="329"/>
        <v>0</v>
      </c>
      <c r="AK235" s="404">
        <f t="shared" si="268"/>
        <v>0</v>
      </c>
      <c r="AL235" s="188">
        <f t="shared" si="283"/>
        <v>232636.97</v>
      </c>
      <c r="AM235" s="317">
        <f t="shared" si="311"/>
        <v>17</v>
      </c>
      <c r="AN235" s="14">
        <f t="shared" si="269"/>
        <v>1944.5499999999997</v>
      </c>
      <c r="AO235" s="14">
        <f>IF(W235&lt;=0,0,+$AA$6-$C$2+I235-U235)</f>
        <v>144373.73000000001</v>
      </c>
      <c r="AP235" s="14">
        <f t="shared" si="270"/>
        <v>1944.5499999999997</v>
      </c>
      <c r="AS235" s="14">
        <f t="shared" si="306"/>
        <v>1944.5499999999997</v>
      </c>
      <c r="AT235" s="14">
        <f t="shared" si="312"/>
        <v>403985.83999999851</v>
      </c>
      <c r="AU235" s="188">
        <f>IF(W235&lt;=0,0,+($O$5+AV234)*$AQ$2/12)</f>
        <v>1406.8591004547009</v>
      </c>
      <c r="AV235" s="188">
        <f t="shared" si="313"/>
        <v>238440.49928233516</v>
      </c>
    </row>
    <row r="236" spans="1:48">
      <c r="A236" s="395">
        <f t="shared" si="272"/>
        <v>52470</v>
      </c>
      <c r="B236" s="188">
        <f t="shared" si="307"/>
        <v>88723.409999999931</v>
      </c>
      <c r="C236" s="14">
        <f t="shared" si="300"/>
        <v>559.88</v>
      </c>
      <c r="D236" s="14">
        <f t="shared" si="314"/>
        <v>227.17000000000002</v>
      </c>
      <c r="E236" s="14">
        <f t="shared" si="301"/>
        <v>332.71</v>
      </c>
      <c r="F236" s="14">
        <f t="shared" si="261"/>
        <v>51.5</v>
      </c>
      <c r="G236" s="14">
        <f t="shared" si="258"/>
        <v>145.09666666666666</v>
      </c>
      <c r="H236" s="14">
        <f t="shared" si="259"/>
        <v>756.47666666666669</v>
      </c>
      <c r="I236" s="188">
        <f t="shared" si="273"/>
        <v>34676.93</v>
      </c>
      <c r="J236" s="188">
        <f t="shared" si="274"/>
        <v>89516.719999999972</v>
      </c>
      <c r="K236" s="188">
        <f t="shared" si="275"/>
        <v>88496.239999999932</v>
      </c>
      <c r="L236" s="317">
        <f t="shared" si="246"/>
        <v>17</v>
      </c>
      <c r="M236" s="317">
        <f>IF(N236&lt;&gt;"",IF(N236=$O$5,0,+M235+1),0)</f>
        <v>208</v>
      </c>
      <c r="N236" s="188">
        <f t="shared" si="308"/>
        <v>232636.97</v>
      </c>
      <c r="O236" s="188">
        <f>IF($O$11&lt;=A236,IF(+$W235&lt;=0,0,$O$8),0)</f>
        <v>2504.4299999999998</v>
      </c>
      <c r="P236" s="188">
        <f t="shared" si="315"/>
        <v>856.57999999999993</v>
      </c>
      <c r="Q236" s="188">
        <f>IF($O$11&lt;=A236,ROUND(N236*($O$7/12),2),0)</f>
        <v>1647.85</v>
      </c>
      <c r="R236" s="188">
        <f t="shared" si="264"/>
        <v>51.5</v>
      </c>
      <c r="S236" s="188">
        <f t="shared" si="265"/>
        <v>145.09666666666666</v>
      </c>
      <c r="T236" s="188">
        <f t="shared" si="262"/>
        <v>2701.0266666666666</v>
      </c>
      <c r="U236" s="188">
        <f t="shared" si="316"/>
        <v>93929.61</v>
      </c>
      <c r="V236" s="188">
        <f t="shared" si="317"/>
        <v>429496.25999999966</v>
      </c>
      <c r="W236" s="188">
        <f t="shared" si="276"/>
        <v>231780.39</v>
      </c>
      <c r="X236" s="395">
        <f t="shared" si="309"/>
        <v>52470</v>
      </c>
      <c r="Y236" s="188">
        <f t="shared" si="277"/>
        <v>232636.97</v>
      </c>
      <c r="Z236" s="388">
        <f t="shared" si="302"/>
        <v>8.4999999999999992E-2</v>
      </c>
      <c r="AA236" s="188">
        <f t="shared" si="303"/>
        <v>2504.4299999999998</v>
      </c>
      <c r="AB236" s="188">
        <f t="shared" si="278"/>
        <v>856.57999999999993</v>
      </c>
      <c r="AC236" s="188">
        <f t="shared" si="304"/>
        <v>1647.85</v>
      </c>
      <c r="AD236" s="188">
        <f t="shared" ref="AD236:AE236" si="345">+AD235</f>
        <v>51.5</v>
      </c>
      <c r="AE236" s="188">
        <f t="shared" si="345"/>
        <v>145.09666666666666</v>
      </c>
      <c r="AF236" s="188">
        <f t="shared" si="280"/>
        <v>2701.0266666666666</v>
      </c>
      <c r="AG236" s="188">
        <f t="shared" si="281"/>
        <v>93929.61</v>
      </c>
      <c r="AH236" s="188">
        <f t="shared" si="282"/>
        <v>429496.25999999966</v>
      </c>
      <c r="AI236" s="404">
        <f t="shared" si="267"/>
        <v>0</v>
      </c>
      <c r="AJ236" s="404">
        <f t="shared" si="329"/>
        <v>0</v>
      </c>
      <c r="AK236" s="404">
        <f t="shared" si="268"/>
        <v>0</v>
      </c>
      <c r="AL236" s="188">
        <f t="shared" si="283"/>
        <v>231780.39</v>
      </c>
      <c r="AM236" s="317">
        <f t="shared" si="311"/>
        <v>17</v>
      </c>
      <c r="AN236" s="14">
        <f t="shared" si="269"/>
        <v>1944.5499999999997</v>
      </c>
      <c r="AO236" s="14">
        <f>IF(W236&lt;=0,0,+$AA$6-$C$2+I236-U236)</f>
        <v>143744.32000000001</v>
      </c>
      <c r="AP236" s="14">
        <f t="shared" si="270"/>
        <v>1944.5499999999997</v>
      </c>
      <c r="AS236" s="14">
        <f t="shared" si="306"/>
        <v>1944.5499999999997</v>
      </c>
      <c r="AT236" s="14">
        <f t="shared" si="312"/>
        <v>405930.3899999985</v>
      </c>
      <c r="AU236" s="188">
        <f>IF(W236&lt;=0,0,+($O$5+AV235)*$AQ$2/12)</f>
        <v>1410.376248205838</v>
      </c>
      <c r="AV236" s="188">
        <f t="shared" si="313"/>
        <v>239850.875530541</v>
      </c>
    </row>
    <row r="237" spans="1:48">
      <c r="A237" s="395">
        <f t="shared" si="272"/>
        <v>52500</v>
      </c>
      <c r="B237" s="188">
        <f t="shared" si="307"/>
        <v>88496.239999999932</v>
      </c>
      <c r="C237" s="14">
        <f t="shared" si="300"/>
        <v>559.88</v>
      </c>
      <c r="D237" s="14">
        <f t="shared" si="314"/>
        <v>228.01999999999998</v>
      </c>
      <c r="E237" s="14">
        <f t="shared" si="301"/>
        <v>331.86</v>
      </c>
      <c r="F237" s="14">
        <f t="shared" si="261"/>
        <v>51.5</v>
      </c>
      <c r="G237" s="14">
        <f t="shared" si="258"/>
        <v>145.09666666666666</v>
      </c>
      <c r="H237" s="14">
        <f t="shared" si="259"/>
        <v>756.47666666666669</v>
      </c>
      <c r="I237" s="188">
        <f t="shared" si="273"/>
        <v>34904.949999999997</v>
      </c>
      <c r="J237" s="188">
        <f t="shared" si="274"/>
        <v>89848.579999999973</v>
      </c>
      <c r="K237" s="188">
        <f t="shared" si="275"/>
        <v>88268.219999999928</v>
      </c>
      <c r="L237" s="317">
        <f t="shared" si="246"/>
        <v>17</v>
      </c>
      <c r="M237" s="317">
        <f>IF(N237&lt;&gt;"",IF(N237=$O$5,0,+M236+1),0)</f>
        <v>209</v>
      </c>
      <c r="N237" s="188">
        <f t="shared" si="308"/>
        <v>231780.39</v>
      </c>
      <c r="O237" s="188">
        <f>IF($O$11&lt;=A237,IF(+$W236&lt;=0,0,$O$8),0)</f>
        <v>2504.4299999999998</v>
      </c>
      <c r="P237" s="188">
        <f t="shared" si="315"/>
        <v>862.64999999999986</v>
      </c>
      <c r="Q237" s="188">
        <f>IF($O$11&lt;=A237,ROUND(N237*($O$7/12),2),0)</f>
        <v>1641.78</v>
      </c>
      <c r="R237" s="188">
        <f t="shared" si="264"/>
        <v>51.5</v>
      </c>
      <c r="S237" s="188">
        <f t="shared" si="265"/>
        <v>145.09666666666666</v>
      </c>
      <c r="T237" s="188">
        <f t="shared" si="262"/>
        <v>2701.0266666666666</v>
      </c>
      <c r="U237" s="188">
        <f t="shared" si="316"/>
        <v>94792.26</v>
      </c>
      <c r="V237" s="188">
        <f t="shared" si="317"/>
        <v>431138.03999999969</v>
      </c>
      <c r="W237" s="188">
        <f t="shared" si="276"/>
        <v>230917.74000000002</v>
      </c>
      <c r="X237" s="395">
        <f t="shared" si="309"/>
        <v>52500</v>
      </c>
      <c r="Y237" s="188">
        <f t="shared" si="277"/>
        <v>231780.39</v>
      </c>
      <c r="Z237" s="388">
        <f t="shared" si="302"/>
        <v>8.4999999999999992E-2</v>
      </c>
      <c r="AA237" s="188">
        <f t="shared" si="303"/>
        <v>2504.4299999999998</v>
      </c>
      <c r="AB237" s="188">
        <f t="shared" si="278"/>
        <v>862.64999999999986</v>
      </c>
      <c r="AC237" s="188">
        <f t="shared" si="304"/>
        <v>1641.78</v>
      </c>
      <c r="AD237" s="188">
        <f t="shared" ref="AD237:AE237" si="346">+AD236</f>
        <v>51.5</v>
      </c>
      <c r="AE237" s="188">
        <f t="shared" si="346"/>
        <v>145.09666666666666</v>
      </c>
      <c r="AF237" s="188">
        <f t="shared" si="280"/>
        <v>2701.0266666666666</v>
      </c>
      <c r="AG237" s="188">
        <f t="shared" si="281"/>
        <v>94792.26</v>
      </c>
      <c r="AH237" s="188">
        <f t="shared" si="282"/>
        <v>431138.03999999969</v>
      </c>
      <c r="AI237" s="404">
        <f t="shared" si="267"/>
        <v>0</v>
      </c>
      <c r="AJ237" s="404">
        <f t="shared" si="329"/>
        <v>0</v>
      </c>
      <c r="AK237" s="404">
        <f t="shared" si="268"/>
        <v>0</v>
      </c>
      <c r="AL237" s="188">
        <f t="shared" si="283"/>
        <v>230917.74000000002</v>
      </c>
      <c r="AM237" s="317">
        <f t="shared" si="311"/>
        <v>17</v>
      </c>
      <c r="AN237" s="14">
        <f t="shared" si="269"/>
        <v>1944.5499999999997</v>
      </c>
      <c r="AO237" s="14">
        <f>IF(W237&lt;=0,0,+$AA$6-$C$2+I237-U237)</f>
        <v>143109.69</v>
      </c>
      <c r="AP237" s="14">
        <f t="shared" si="270"/>
        <v>1944.5499999999997</v>
      </c>
      <c r="AS237" s="14">
        <f t="shared" si="306"/>
        <v>1944.5499999999997</v>
      </c>
      <c r="AT237" s="14">
        <f t="shared" si="312"/>
        <v>407874.93999999849</v>
      </c>
      <c r="AU237" s="188">
        <f>IF(W237&lt;=0,0,+($O$5+AV236)*$AQ$2/12)</f>
        <v>1413.9021888263524</v>
      </c>
      <c r="AV237" s="188">
        <f t="shared" si="313"/>
        <v>241264.77771936735</v>
      </c>
    </row>
    <row r="238" spans="1:48">
      <c r="A238" s="395">
        <f t="shared" si="272"/>
        <v>52530</v>
      </c>
      <c r="B238" s="188">
        <f t="shared" si="307"/>
        <v>88268.219999999928</v>
      </c>
      <c r="C238" s="14">
        <f t="shared" si="300"/>
        <v>559.88</v>
      </c>
      <c r="D238" s="14">
        <f t="shared" si="314"/>
        <v>228.87</v>
      </c>
      <c r="E238" s="14">
        <f t="shared" si="301"/>
        <v>331.01</v>
      </c>
      <c r="F238" s="14">
        <f t="shared" si="261"/>
        <v>51.5</v>
      </c>
      <c r="G238" s="14">
        <f t="shared" si="258"/>
        <v>145.09666666666666</v>
      </c>
      <c r="H238" s="14">
        <f t="shared" si="259"/>
        <v>756.47666666666669</v>
      </c>
      <c r="I238" s="188">
        <f t="shared" si="273"/>
        <v>35133.82</v>
      </c>
      <c r="J238" s="188">
        <f t="shared" si="274"/>
        <v>90179.589999999967</v>
      </c>
      <c r="K238" s="188">
        <f t="shared" si="275"/>
        <v>88039.349999999933</v>
      </c>
      <c r="L238" s="317">
        <f t="shared" si="246"/>
        <v>17</v>
      </c>
      <c r="M238" s="317">
        <f>IF(N238&lt;&gt;"",IF(N238=$O$5,0,+M237+1),0)</f>
        <v>210</v>
      </c>
      <c r="N238" s="188">
        <f t="shared" si="308"/>
        <v>230917.74000000002</v>
      </c>
      <c r="O238" s="188">
        <f>IF($O$11&lt;=A238,IF(+$W237&lt;=0,0,$O$8),0)</f>
        <v>2504.4299999999998</v>
      </c>
      <c r="P238" s="188">
        <f t="shared" si="315"/>
        <v>868.75999999999976</v>
      </c>
      <c r="Q238" s="188">
        <f>IF($O$11&lt;=A238,ROUND(N238*($O$7/12),2),0)</f>
        <v>1635.67</v>
      </c>
      <c r="R238" s="188">
        <f t="shared" si="264"/>
        <v>51.5</v>
      </c>
      <c r="S238" s="188">
        <f t="shared" si="265"/>
        <v>145.09666666666666</v>
      </c>
      <c r="T238" s="188">
        <f t="shared" si="262"/>
        <v>2701.0266666666666</v>
      </c>
      <c r="U238" s="188">
        <f t="shared" si="316"/>
        <v>95661.01999999999</v>
      </c>
      <c r="V238" s="188">
        <f t="shared" si="317"/>
        <v>432773.70999999967</v>
      </c>
      <c r="W238" s="188">
        <f t="shared" si="276"/>
        <v>230048.98</v>
      </c>
      <c r="X238" s="395">
        <f t="shared" si="309"/>
        <v>52530</v>
      </c>
      <c r="Y238" s="188">
        <f t="shared" si="277"/>
        <v>230917.74000000002</v>
      </c>
      <c r="Z238" s="388">
        <f t="shared" si="302"/>
        <v>8.4999999999999992E-2</v>
      </c>
      <c r="AA238" s="188">
        <f t="shared" si="303"/>
        <v>2504.4299999999998</v>
      </c>
      <c r="AB238" s="188">
        <f t="shared" si="278"/>
        <v>868.75999999999976</v>
      </c>
      <c r="AC238" s="188">
        <f t="shared" si="304"/>
        <v>1635.67</v>
      </c>
      <c r="AD238" s="188">
        <f t="shared" ref="AD238:AE238" si="347">+AD237</f>
        <v>51.5</v>
      </c>
      <c r="AE238" s="188">
        <f t="shared" si="347"/>
        <v>145.09666666666666</v>
      </c>
      <c r="AF238" s="188">
        <f t="shared" si="280"/>
        <v>2701.0266666666666</v>
      </c>
      <c r="AG238" s="188">
        <f t="shared" si="281"/>
        <v>95661.01999999999</v>
      </c>
      <c r="AH238" s="188">
        <f t="shared" si="282"/>
        <v>432773.70999999967</v>
      </c>
      <c r="AI238" s="404">
        <f t="shared" si="267"/>
        <v>0</v>
      </c>
      <c r="AJ238" s="404">
        <f t="shared" si="329"/>
        <v>0</v>
      </c>
      <c r="AK238" s="404">
        <f t="shared" si="268"/>
        <v>0</v>
      </c>
      <c r="AL238" s="188">
        <f t="shared" si="283"/>
        <v>230048.98</v>
      </c>
      <c r="AM238" s="317">
        <f t="shared" si="311"/>
        <v>17</v>
      </c>
      <c r="AN238" s="14">
        <f t="shared" si="269"/>
        <v>1944.5499999999997</v>
      </c>
      <c r="AO238" s="14">
        <f>IF(W238&lt;=0,0,+$AA$6-$C$2+I238-U238)</f>
        <v>142469.80000000002</v>
      </c>
      <c r="AP238" s="14">
        <f t="shared" si="270"/>
        <v>1944.5499999999997</v>
      </c>
      <c r="AS238" s="14">
        <f t="shared" si="306"/>
        <v>1944.5499999999997</v>
      </c>
      <c r="AT238" s="14">
        <f t="shared" si="312"/>
        <v>409819.48999999848</v>
      </c>
      <c r="AU238" s="188">
        <f>IF(W238&lt;=0,0,+($O$5+AV237)*$AQ$2/12)</f>
        <v>1417.4369442984182</v>
      </c>
      <c r="AV238" s="188">
        <f t="shared" si="313"/>
        <v>242682.21466366577</v>
      </c>
    </row>
    <row r="239" spans="1:48">
      <c r="A239" s="395">
        <f t="shared" si="272"/>
        <v>52560</v>
      </c>
      <c r="B239" s="188">
        <f t="shared" si="307"/>
        <v>88039.349999999933</v>
      </c>
      <c r="C239" s="14">
        <f t="shared" si="300"/>
        <v>559.88</v>
      </c>
      <c r="D239" s="14">
        <f t="shared" si="314"/>
        <v>229.73000000000002</v>
      </c>
      <c r="E239" s="14">
        <f t="shared" si="301"/>
        <v>330.15</v>
      </c>
      <c r="F239" s="14">
        <f t="shared" si="261"/>
        <v>51.5</v>
      </c>
      <c r="G239" s="14">
        <f t="shared" si="258"/>
        <v>145.09666666666666</v>
      </c>
      <c r="H239" s="14">
        <f t="shared" si="259"/>
        <v>756.47666666666669</v>
      </c>
      <c r="I239" s="188">
        <f t="shared" si="273"/>
        <v>35363.550000000003</v>
      </c>
      <c r="J239" s="188">
        <f t="shared" si="274"/>
        <v>90509.739999999962</v>
      </c>
      <c r="K239" s="188">
        <f t="shared" si="275"/>
        <v>87809.619999999937</v>
      </c>
      <c r="L239" s="317">
        <f t="shared" si="246"/>
        <v>17</v>
      </c>
      <c r="M239" s="317">
        <f>IF(N239&lt;&gt;"",IF(N239=$O$5,0,+M238+1),0)</f>
        <v>211</v>
      </c>
      <c r="N239" s="188">
        <f t="shared" si="308"/>
        <v>230048.98</v>
      </c>
      <c r="O239" s="188">
        <f>IF($O$11&lt;=A239,IF(+$W238&lt;=0,0,$O$8),0)</f>
        <v>2504.4299999999998</v>
      </c>
      <c r="P239" s="188">
        <f t="shared" si="315"/>
        <v>874.91999999999985</v>
      </c>
      <c r="Q239" s="188">
        <f>IF($O$11&lt;=A239,ROUND(N239*($O$7/12),2),0)</f>
        <v>1629.51</v>
      </c>
      <c r="R239" s="188">
        <f t="shared" si="264"/>
        <v>51.5</v>
      </c>
      <c r="S239" s="188">
        <f t="shared" si="265"/>
        <v>145.09666666666666</v>
      </c>
      <c r="T239" s="188">
        <f t="shared" si="262"/>
        <v>2701.0266666666666</v>
      </c>
      <c r="U239" s="188">
        <f t="shared" si="316"/>
        <v>96535.939999999988</v>
      </c>
      <c r="V239" s="188">
        <f t="shared" si="317"/>
        <v>434403.21999999968</v>
      </c>
      <c r="W239" s="188">
        <f t="shared" si="276"/>
        <v>229174.06</v>
      </c>
      <c r="X239" s="395">
        <f t="shared" si="309"/>
        <v>52560</v>
      </c>
      <c r="Y239" s="188">
        <f t="shared" si="277"/>
        <v>230048.98</v>
      </c>
      <c r="Z239" s="388">
        <f t="shared" si="302"/>
        <v>8.4999999999999992E-2</v>
      </c>
      <c r="AA239" s="188">
        <f t="shared" si="303"/>
        <v>2504.4299999999998</v>
      </c>
      <c r="AB239" s="188">
        <f t="shared" si="278"/>
        <v>874.91999999999985</v>
      </c>
      <c r="AC239" s="188">
        <f t="shared" si="304"/>
        <v>1629.51</v>
      </c>
      <c r="AD239" s="188">
        <f t="shared" ref="AD239:AE239" si="348">+AD238</f>
        <v>51.5</v>
      </c>
      <c r="AE239" s="188">
        <f t="shared" si="348"/>
        <v>145.09666666666666</v>
      </c>
      <c r="AF239" s="188">
        <f t="shared" si="280"/>
        <v>2701.0266666666666</v>
      </c>
      <c r="AG239" s="188">
        <f t="shared" si="281"/>
        <v>96535.939999999988</v>
      </c>
      <c r="AH239" s="188">
        <f t="shared" si="282"/>
        <v>434403.21999999968</v>
      </c>
      <c r="AI239" s="404">
        <f t="shared" si="267"/>
        <v>0</v>
      </c>
      <c r="AJ239" s="404">
        <f t="shared" si="329"/>
        <v>0</v>
      </c>
      <c r="AK239" s="404">
        <f t="shared" si="268"/>
        <v>0</v>
      </c>
      <c r="AL239" s="188">
        <f t="shared" si="283"/>
        <v>229174.06</v>
      </c>
      <c r="AM239" s="317">
        <f t="shared" si="311"/>
        <v>17</v>
      </c>
      <c r="AN239" s="14">
        <f t="shared" si="269"/>
        <v>1944.5499999999997</v>
      </c>
      <c r="AO239" s="14">
        <f>IF(W239&lt;=0,0,+$AA$6-$C$2+I239-U239)</f>
        <v>141824.60999999999</v>
      </c>
      <c r="AP239" s="14">
        <f t="shared" si="270"/>
        <v>1944.5499999999997</v>
      </c>
      <c r="AS239" s="14">
        <f t="shared" si="306"/>
        <v>1944.5499999999997</v>
      </c>
      <c r="AT239" s="14">
        <f t="shared" si="312"/>
        <v>411764.03999999847</v>
      </c>
      <c r="AU239" s="188">
        <f>IF(W239&lt;=0,0,+($O$5+AV238)*$AQ$2/12)</f>
        <v>1420.9805366591643</v>
      </c>
      <c r="AV239" s="188">
        <f t="shared" si="313"/>
        <v>244103.19520032493</v>
      </c>
    </row>
    <row r="240" spans="1:48">
      <c r="A240" s="395">
        <f t="shared" si="272"/>
        <v>52590</v>
      </c>
      <c r="B240" s="188">
        <f t="shared" si="307"/>
        <v>87809.619999999937</v>
      </c>
      <c r="C240" s="14">
        <f t="shared" si="300"/>
        <v>559.88</v>
      </c>
      <c r="D240" s="14">
        <f t="shared" si="314"/>
        <v>230.58999999999997</v>
      </c>
      <c r="E240" s="14">
        <f t="shared" si="301"/>
        <v>329.29</v>
      </c>
      <c r="F240" s="14">
        <f t="shared" si="261"/>
        <v>51.5</v>
      </c>
      <c r="G240" s="14">
        <f t="shared" si="258"/>
        <v>145.09666666666666</v>
      </c>
      <c r="H240" s="14">
        <f t="shared" si="259"/>
        <v>756.47666666666669</v>
      </c>
      <c r="I240" s="188">
        <f t="shared" si="273"/>
        <v>35594.14</v>
      </c>
      <c r="J240" s="188">
        <f t="shared" si="274"/>
        <v>90839.029999999955</v>
      </c>
      <c r="K240" s="188">
        <f t="shared" si="275"/>
        <v>87579.029999999941</v>
      </c>
      <c r="L240" s="317">
        <f t="shared" ref="L240:L303" si="349">IF(MOD(M240,12)=0,M240/12,L239)</f>
        <v>17</v>
      </c>
      <c r="M240" s="317">
        <f>IF(N240&lt;&gt;"",IF(N240=$O$5,0,+M239+1),0)</f>
        <v>212</v>
      </c>
      <c r="N240" s="188">
        <f t="shared" si="308"/>
        <v>229174.06</v>
      </c>
      <c r="O240" s="188">
        <f>IF($O$11&lt;=A240,IF(+$W239&lt;=0,0,$O$8),0)</f>
        <v>2504.4299999999998</v>
      </c>
      <c r="P240" s="188">
        <f t="shared" si="315"/>
        <v>881.1099999999999</v>
      </c>
      <c r="Q240" s="188">
        <f>IF($O$11&lt;=A240,ROUND(N240*($O$7/12),2),0)</f>
        <v>1623.32</v>
      </c>
      <c r="R240" s="188">
        <f t="shared" si="264"/>
        <v>51.5</v>
      </c>
      <c r="S240" s="188">
        <f t="shared" si="265"/>
        <v>145.09666666666666</v>
      </c>
      <c r="T240" s="188">
        <f t="shared" si="262"/>
        <v>2701.0266666666666</v>
      </c>
      <c r="U240" s="188">
        <f t="shared" si="316"/>
        <v>97417.049999999988</v>
      </c>
      <c r="V240" s="188">
        <f t="shared" si="317"/>
        <v>436026.53999999969</v>
      </c>
      <c r="W240" s="188">
        <f t="shared" si="276"/>
        <v>228292.95</v>
      </c>
      <c r="X240" s="395">
        <f t="shared" si="309"/>
        <v>52590</v>
      </c>
      <c r="Y240" s="188">
        <f t="shared" si="277"/>
        <v>229174.06</v>
      </c>
      <c r="Z240" s="388">
        <f t="shared" si="302"/>
        <v>8.4999999999999992E-2</v>
      </c>
      <c r="AA240" s="188">
        <f t="shared" si="303"/>
        <v>2504.4299999999998</v>
      </c>
      <c r="AB240" s="188">
        <f t="shared" si="278"/>
        <v>881.1099999999999</v>
      </c>
      <c r="AC240" s="188">
        <f t="shared" si="304"/>
        <v>1623.32</v>
      </c>
      <c r="AD240" s="188">
        <f t="shared" ref="AD240:AE240" si="350">+AD239</f>
        <v>51.5</v>
      </c>
      <c r="AE240" s="188">
        <f t="shared" si="350"/>
        <v>145.09666666666666</v>
      </c>
      <c r="AF240" s="188">
        <f t="shared" si="280"/>
        <v>2701.0266666666666</v>
      </c>
      <c r="AG240" s="188">
        <f t="shared" si="281"/>
        <v>97417.049999999988</v>
      </c>
      <c r="AH240" s="188">
        <f t="shared" si="282"/>
        <v>436026.53999999969</v>
      </c>
      <c r="AI240" s="404">
        <f t="shared" si="267"/>
        <v>0</v>
      </c>
      <c r="AJ240" s="404">
        <f t="shared" si="329"/>
        <v>0</v>
      </c>
      <c r="AK240" s="404">
        <f t="shared" si="268"/>
        <v>0</v>
      </c>
      <c r="AL240" s="188">
        <f t="shared" si="283"/>
        <v>228292.95</v>
      </c>
      <c r="AM240" s="317">
        <f t="shared" si="311"/>
        <v>17</v>
      </c>
      <c r="AN240" s="14">
        <f t="shared" si="269"/>
        <v>1944.5499999999997</v>
      </c>
      <c r="AO240" s="14">
        <f>IF(W240&lt;=0,0,+$AA$6-$C$2+I240-U240)</f>
        <v>141174.09000000003</v>
      </c>
      <c r="AP240" s="14">
        <f t="shared" si="270"/>
        <v>1944.5499999999997</v>
      </c>
      <c r="AS240" s="14">
        <f t="shared" si="306"/>
        <v>1944.5499999999997</v>
      </c>
      <c r="AT240" s="14">
        <f t="shared" si="312"/>
        <v>413708.58999999845</v>
      </c>
      <c r="AU240" s="188">
        <f>IF(W240&lt;=0,0,+($O$5+AV239)*$AQ$2/12)</f>
        <v>1424.5329880008123</v>
      </c>
      <c r="AV240" s="188">
        <f t="shared" si="313"/>
        <v>245527.72818832574</v>
      </c>
    </row>
    <row r="241" spans="1:48">
      <c r="A241" s="395">
        <f t="shared" si="272"/>
        <v>52620</v>
      </c>
      <c r="B241" s="188">
        <f t="shared" si="307"/>
        <v>87579.029999999941</v>
      </c>
      <c r="C241" s="14">
        <f t="shared" si="300"/>
        <v>559.88</v>
      </c>
      <c r="D241" s="14">
        <f t="shared" si="314"/>
        <v>231.45999999999998</v>
      </c>
      <c r="E241" s="14">
        <f t="shared" si="301"/>
        <v>328.42</v>
      </c>
      <c r="F241" s="14">
        <f t="shared" si="261"/>
        <v>51.5</v>
      </c>
      <c r="G241" s="14">
        <f t="shared" si="258"/>
        <v>145.09666666666666</v>
      </c>
      <c r="H241" s="14">
        <f t="shared" si="259"/>
        <v>756.47666666666669</v>
      </c>
      <c r="I241" s="188">
        <f t="shared" si="273"/>
        <v>35825.599999999999</v>
      </c>
      <c r="J241" s="188">
        <f t="shared" si="274"/>
        <v>91167.449999999953</v>
      </c>
      <c r="K241" s="188">
        <f t="shared" si="275"/>
        <v>87347.569999999934</v>
      </c>
      <c r="L241" s="317">
        <f t="shared" si="349"/>
        <v>17</v>
      </c>
      <c r="M241" s="317">
        <f>IF(N241&lt;&gt;"",IF(N241=$O$5,0,+M240+1),0)</f>
        <v>213</v>
      </c>
      <c r="N241" s="188">
        <f t="shared" si="308"/>
        <v>228292.95</v>
      </c>
      <c r="O241" s="188">
        <f>IF($O$11&lt;=A241,IF(+$W240&lt;=0,0,$O$8),0)</f>
        <v>2504.4299999999998</v>
      </c>
      <c r="P241" s="188">
        <f t="shared" si="315"/>
        <v>887.34999999999991</v>
      </c>
      <c r="Q241" s="188">
        <f>IF($O$11&lt;=A241,ROUND(N241*($O$7/12),2),0)</f>
        <v>1617.08</v>
      </c>
      <c r="R241" s="188">
        <f t="shared" si="264"/>
        <v>51.5</v>
      </c>
      <c r="S241" s="188">
        <f t="shared" si="265"/>
        <v>145.09666666666666</v>
      </c>
      <c r="T241" s="188">
        <f t="shared" si="262"/>
        <v>2701.0266666666666</v>
      </c>
      <c r="U241" s="188">
        <f t="shared" si="316"/>
        <v>98304.4</v>
      </c>
      <c r="V241" s="188">
        <f t="shared" si="317"/>
        <v>437643.6199999997</v>
      </c>
      <c r="W241" s="188">
        <f t="shared" si="276"/>
        <v>227405.6</v>
      </c>
      <c r="X241" s="395">
        <f t="shared" si="309"/>
        <v>52620</v>
      </c>
      <c r="Y241" s="188">
        <f t="shared" si="277"/>
        <v>228292.95</v>
      </c>
      <c r="Z241" s="388">
        <f t="shared" si="302"/>
        <v>8.4999999999999992E-2</v>
      </c>
      <c r="AA241" s="188">
        <f t="shared" si="303"/>
        <v>2504.4299999999998</v>
      </c>
      <c r="AB241" s="188">
        <f t="shared" si="278"/>
        <v>887.34999999999991</v>
      </c>
      <c r="AC241" s="188">
        <f t="shared" si="304"/>
        <v>1617.08</v>
      </c>
      <c r="AD241" s="188">
        <f t="shared" ref="AD241:AE241" si="351">+AD240</f>
        <v>51.5</v>
      </c>
      <c r="AE241" s="188">
        <f t="shared" si="351"/>
        <v>145.09666666666666</v>
      </c>
      <c r="AF241" s="188">
        <f t="shared" si="280"/>
        <v>2701.0266666666666</v>
      </c>
      <c r="AG241" s="188">
        <f t="shared" si="281"/>
        <v>98304.4</v>
      </c>
      <c r="AH241" s="188">
        <f t="shared" si="282"/>
        <v>437643.6199999997</v>
      </c>
      <c r="AI241" s="404">
        <f t="shared" si="267"/>
        <v>0</v>
      </c>
      <c r="AJ241" s="404">
        <f t="shared" si="329"/>
        <v>0</v>
      </c>
      <c r="AK241" s="404">
        <f t="shared" si="268"/>
        <v>0</v>
      </c>
      <c r="AL241" s="188">
        <f t="shared" si="283"/>
        <v>227405.6</v>
      </c>
      <c r="AM241" s="317">
        <f t="shared" si="311"/>
        <v>17</v>
      </c>
      <c r="AN241" s="14">
        <f t="shared" si="269"/>
        <v>1944.5499999999997</v>
      </c>
      <c r="AO241" s="14">
        <f>IF(W241&lt;=0,0,+$AA$6-$C$2+I241-U241)</f>
        <v>140518.20000000001</v>
      </c>
      <c r="AP241" s="14">
        <f t="shared" si="270"/>
        <v>1944.5499999999997</v>
      </c>
      <c r="AS241" s="14">
        <f t="shared" si="306"/>
        <v>1944.5499999999997</v>
      </c>
      <c r="AT241" s="14">
        <f t="shared" si="312"/>
        <v>415653.13999999844</v>
      </c>
      <c r="AU241" s="188">
        <f>IF(W241&lt;=0,0,+($O$5+AV240)*$AQ$2/12)</f>
        <v>1428.0943204708144</v>
      </c>
      <c r="AV241" s="188">
        <f t="shared" si="313"/>
        <v>246955.82250879655</v>
      </c>
    </row>
    <row r="242" spans="1:48">
      <c r="A242" s="395">
        <f t="shared" si="272"/>
        <v>52650</v>
      </c>
      <c r="B242" s="188">
        <f t="shared" si="307"/>
        <v>87347.569999999934</v>
      </c>
      <c r="C242" s="14">
        <f t="shared" si="300"/>
        <v>559.88</v>
      </c>
      <c r="D242" s="14">
        <f t="shared" si="314"/>
        <v>232.32999999999998</v>
      </c>
      <c r="E242" s="14">
        <f t="shared" si="301"/>
        <v>327.55</v>
      </c>
      <c r="F242" s="14">
        <f t="shared" si="261"/>
        <v>51.5</v>
      </c>
      <c r="G242" s="14">
        <f t="shared" si="258"/>
        <v>145.09666666666666</v>
      </c>
      <c r="H242" s="14">
        <f t="shared" si="259"/>
        <v>756.47666666666669</v>
      </c>
      <c r="I242" s="188">
        <f t="shared" si="273"/>
        <v>36057.93</v>
      </c>
      <c r="J242" s="188">
        <f t="shared" si="274"/>
        <v>91494.999999999956</v>
      </c>
      <c r="K242" s="188">
        <f t="shared" si="275"/>
        <v>87115.239999999932</v>
      </c>
      <c r="L242" s="317">
        <f t="shared" si="349"/>
        <v>17</v>
      </c>
      <c r="M242" s="317">
        <f>IF(N242&lt;&gt;"",IF(N242=$O$5,0,+M241+1),0)</f>
        <v>214</v>
      </c>
      <c r="N242" s="188">
        <f t="shared" si="308"/>
        <v>227405.6</v>
      </c>
      <c r="O242" s="188">
        <f>IF($O$11&lt;=A242,IF(+$W241&lt;=0,0,$O$8),0)</f>
        <v>2504.4299999999998</v>
      </c>
      <c r="P242" s="188">
        <f t="shared" si="315"/>
        <v>893.63999999999987</v>
      </c>
      <c r="Q242" s="188">
        <f>IF($O$11&lt;=A242,ROUND(N242*($O$7/12),2),0)</f>
        <v>1610.79</v>
      </c>
      <c r="R242" s="188">
        <f t="shared" si="264"/>
        <v>51.5</v>
      </c>
      <c r="S242" s="188">
        <f t="shared" si="265"/>
        <v>145.09666666666666</v>
      </c>
      <c r="T242" s="188">
        <f t="shared" si="262"/>
        <v>2701.0266666666666</v>
      </c>
      <c r="U242" s="188">
        <f t="shared" si="316"/>
        <v>99198.04</v>
      </c>
      <c r="V242" s="188">
        <f t="shared" si="317"/>
        <v>439254.40999999968</v>
      </c>
      <c r="W242" s="188">
        <f t="shared" si="276"/>
        <v>226511.96</v>
      </c>
      <c r="X242" s="395">
        <f t="shared" si="309"/>
        <v>52650</v>
      </c>
      <c r="Y242" s="188">
        <f t="shared" si="277"/>
        <v>227405.6</v>
      </c>
      <c r="Z242" s="388">
        <f t="shared" si="302"/>
        <v>8.4999999999999992E-2</v>
      </c>
      <c r="AA242" s="188">
        <f t="shared" si="303"/>
        <v>2504.4299999999998</v>
      </c>
      <c r="AB242" s="188">
        <f t="shared" si="278"/>
        <v>893.63999999999987</v>
      </c>
      <c r="AC242" s="188">
        <f t="shared" si="304"/>
        <v>1610.79</v>
      </c>
      <c r="AD242" s="188">
        <f t="shared" ref="AD242:AE242" si="352">+AD241</f>
        <v>51.5</v>
      </c>
      <c r="AE242" s="188">
        <f t="shared" si="352"/>
        <v>145.09666666666666</v>
      </c>
      <c r="AF242" s="188">
        <f t="shared" si="280"/>
        <v>2701.0266666666666</v>
      </c>
      <c r="AG242" s="188">
        <f t="shared" si="281"/>
        <v>99198.04</v>
      </c>
      <c r="AH242" s="188">
        <f t="shared" si="282"/>
        <v>439254.40999999968</v>
      </c>
      <c r="AI242" s="404">
        <f t="shared" si="267"/>
        <v>0</v>
      </c>
      <c r="AJ242" s="404">
        <f t="shared" si="329"/>
        <v>0</v>
      </c>
      <c r="AK242" s="404">
        <f t="shared" si="268"/>
        <v>0</v>
      </c>
      <c r="AL242" s="188">
        <f t="shared" si="283"/>
        <v>226511.96</v>
      </c>
      <c r="AM242" s="317">
        <f t="shared" si="311"/>
        <v>17</v>
      </c>
      <c r="AN242" s="14">
        <f t="shared" si="269"/>
        <v>1944.5499999999997</v>
      </c>
      <c r="AO242" s="14">
        <f>IF(W242&lt;=0,0,+$AA$6-$C$2+I242-U242)</f>
        <v>139856.89000000001</v>
      </c>
      <c r="AP242" s="14">
        <f t="shared" si="270"/>
        <v>1944.5499999999997</v>
      </c>
      <c r="AS242" s="14">
        <f t="shared" si="306"/>
        <v>1944.5499999999997</v>
      </c>
      <c r="AT242" s="14">
        <f t="shared" si="312"/>
        <v>417597.68999999843</v>
      </c>
      <c r="AU242" s="188">
        <f>IF(W242&lt;=0,0,+($O$5+AV241)*$AQ$2/12)</f>
        <v>1431.6645562719914</v>
      </c>
      <c r="AV242" s="188">
        <f t="shared" si="313"/>
        <v>248387.48706506853</v>
      </c>
    </row>
    <row r="243" spans="1:48" ht="15.75" thickBot="1">
      <c r="A243" s="398">
        <f t="shared" si="272"/>
        <v>52680</v>
      </c>
      <c r="B243" s="237">
        <f t="shared" si="307"/>
        <v>87115.239999999932</v>
      </c>
      <c r="C243" s="21">
        <f t="shared" si="300"/>
        <v>559.88</v>
      </c>
      <c r="D243" s="21">
        <f t="shared" si="314"/>
        <v>233.2</v>
      </c>
      <c r="E243" s="21">
        <f t="shared" si="301"/>
        <v>326.68</v>
      </c>
      <c r="F243" s="21">
        <f t="shared" si="261"/>
        <v>51.5</v>
      </c>
      <c r="G243" s="21">
        <f t="shared" si="258"/>
        <v>145.09666666666666</v>
      </c>
      <c r="H243" s="21">
        <f t="shared" si="259"/>
        <v>756.47666666666669</v>
      </c>
      <c r="I243" s="237">
        <f t="shared" si="273"/>
        <v>36291.129999999997</v>
      </c>
      <c r="J243" s="237">
        <f t="shared" si="274"/>
        <v>91821.679999999949</v>
      </c>
      <c r="K243" s="237">
        <f t="shared" si="275"/>
        <v>86882.039999999935</v>
      </c>
      <c r="L243" s="318">
        <f t="shared" si="349"/>
        <v>17</v>
      </c>
      <c r="M243" s="318">
        <f>IF(N243&lt;&gt;"",IF(N243=$O$5,0,+M242+1),0)</f>
        <v>215</v>
      </c>
      <c r="N243" s="237">
        <f t="shared" si="308"/>
        <v>226511.96</v>
      </c>
      <c r="O243" s="237">
        <f>IF($O$11&lt;=A243,IF(+$W242&lt;=0,0,$O$8),0)</f>
        <v>2504.4299999999998</v>
      </c>
      <c r="P243" s="237">
        <f t="shared" si="315"/>
        <v>899.9699999999998</v>
      </c>
      <c r="Q243" s="237">
        <f>IF($O$11&lt;=A243,ROUND(N243*($O$7/12),2),0)</f>
        <v>1604.46</v>
      </c>
      <c r="R243" s="237">
        <f t="shared" si="264"/>
        <v>51.5</v>
      </c>
      <c r="S243" s="237">
        <f t="shared" si="265"/>
        <v>145.09666666666666</v>
      </c>
      <c r="T243" s="237">
        <f t="shared" si="262"/>
        <v>2701.0266666666666</v>
      </c>
      <c r="U243" s="237">
        <f t="shared" si="316"/>
        <v>100098.01</v>
      </c>
      <c r="V243" s="237">
        <f t="shared" si="317"/>
        <v>440858.8699999997</v>
      </c>
      <c r="W243" s="237">
        <f t="shared" si="276"/>
        <v>225611.99</v>
      </c>
      <c r="X243" s="398">
        <f t="shared" si="309"/>
        <v>52680</v>
      </c>
      <c r="Y243" s="237">
        <f t="shared" si="277"/>
        <v>226511.96</v>
      </c>
      <c r="Z243" s="389">
        <f t="shared" si="302"/>
        <v>8.4999999999999992E-2</v>
      </c>
      <c r="AA243" s="237">
        <f t="shared" si="303"/>
        <v>2504.4299999999998</v>
      </c>
      <c r="AB243" s="237">
        <f t="shared" si="278"/>
        <v>899.9699999999998</v>
      </c>
      <c r="AC243" s="237">
        <f t="shared" si="304"/>
        <v>1604.46</v>
      </c>
      <c r="AD243" s="237">
        <f t="shared" ref="AD243:AE243" si="353">+AD242</f>
        <v>51.5</v>
      </c>
      <c r="AE243" s="237">
        <f t="shared" si="353"/>
        <v>145.09666666666666</v>
      </c>
      <c r="AF243" s="237">
        <f t="shared" si="280"/>
        <v>2701.0266666666666</v>
      </c>
      <c r="AG243" s="237">
        <f t="shared" si="281"/>
        <v>100098.01</v>
      </c>
      <c r="AH243" s="237">
        <f t="shared" si="282"/>
        <v>440858.8699999997</v>
      </c>
      <c r="AI243" s="405">
        <f t="shared" si="267"/>
        <v>0</v>
      </c>
      <c r="AJ243" s="405">
        <f t="shared" si="329"/>
        <v>0</v>
      </c>
      <c r="AK243" s="404">
        <f t="shared" si="268"/>
        <v>0</v>
      </c>
      <c r="AL243" s="237">
        <f t="shared" si="283"/>
        <v>225611.99</v>
      </c>
      <c r="AM243" s="318">
        <f t="shared" si="311"/>
        <v>17</v>
      </c>
      <c r="AN243" s="21">
        <f t="shared" si="269"/>
        <v>1944.5499999999997</v>
      </c>
      <c r="AO243" s="21">
        <f>IF(W243&lt;=0,0,+$AA$6-$C$2+I243-U243)</f>
        <v>139190.12</v>
      </c>
      <c r="AP243" s="21">
        <f t="shared" si="270"/>
        <v>1944.5499999999997</v>
      </c>
      <c r="AQ243" s="21"/>
      <c r="AR243" s="23"/>
      <c r="AS243" s="21">
        <f t="shared" si="306"/>
        <v>1944.5499999999997</v>
      </c>
      <c r="AT243" s="21">
        <f t="shared" si="312"/>
        <v>419542.23999999842</v>
      </c>
      <c r="AU243" s="237">
        <f>IF(W243&lt;=0,0,+($O$5+AV242)*$AQ$2/12)</f>
        <v>1435.2437176626715</v>
      </c>
      <c r="AV243" s="237">
        <f t="shared" si="313"/>
        <v>249822.7307827312</v>
      </c>
    </row>
    <row r="244" spans="1:48">
      <c r="A244" s="395">
        <f t="shared" si="272"/>
        <v>52710</v>
      </c>
      <c r="B244" s="188">
        <f t="shared" si="307"/>
        <v>86882.039999999935</v>
      </c>
      <c r="C244" s="14">
        <f t="shared" si="300"/>
        <v>559.88</v>
      </c>
      <c r="D244" s="14">
        <f t="shared" si="314"/>
        <v>234.07</v>
      </c>
      <c r="E244" s="14">
        <f t="shared" si="301"/>
        <v>325.81</v>
      </c>
      <c r="F244" s="14">
        <f t="shared" si="261"/>
        <v>51.5</v>
      </c>
      <c r="G244" s="14">
        <f t="shared" si="258"/>
        <v>145.09666666666666</v>
      </c>
      <c r="H244" s="14">
        <f t="shared" si="259"/>
        <v>756.47666666666669</v>
      </c>
      <c r="I244" s="188">
        <f t="shared" si="273"/>
        <v>36525.199999999997</v>
      </c>
      <c r="J244" s="188">
        <f t="shared" si="274"/>
        <v>92147.489999999947</v>
      </c>
      <c r="K244" s="188">
        <f t="shared" si="275"/>
        <v>86647.969999999928</v>
      </c>
      <c r="L244" s="317">
        <f t="shared" si="349"/>
        <v>18</v>
      </c>
      <c r="M244" s="317">
        <f>IF(N244&lt;&gt;"",IF(N244=$O$5,0,+M243+1),0)</f>
        <v>216</v>
      </c>
      <c r="N244" s="188">
        <f t="shared" si="308"/>
        <v>225611.99</v>
      </c>
      <c r="O244" s="188">
        <f>IF($O$11&lt;=A244,IF(+$W243&lt;=0,0,$O$8),0)</f>
        <v>2504.4299999999998</v>
      </c>
      <c r="P244" s="188">
        <f t="shared" si="315"/>
        <v>906.34999999999991</v>
      </c>
      <c r="Q244" s="188">
        <f>IF($O$11&lt;=A244,ROUND(N244*($O$7/12),2),0)</f>
        <v>1598.08</v>
      </c>
      <c r="R244" s="188">
        <f t="shared" si="264"/>
        <v>51.5</v>
      </c>
      <c r="S244" s="188">
        <f t="shared" si="265"/>
        <v>145.09666666666666</v>
      </c>
      <c r="T244" s="188">
        <f t="shared" si="262"/>
        <v>2701.0266666666666</v>
      </c>
      <c r="U244" s="188">
        <f t="shared" si="316"/>
        <v>101004.36</v>
      </c>
      <c r="V244" s="188">
        <f t="shared" si="317"/>
        <v>442456.94999999972</v>
      </c>
      <c r="W244" s="188">
        <f t="shared" si="276"/>
        <v>224705.63999999998</v>
      </c>
      <c r="X244" s="395">
        <f t="shared" si="309"/>
        <v>52710</v>
      </c>
      <c r="Y244" s="188">
        <f t="shared" si="277"/>
        <v>225611.99</v>
      </c>
      <c r="Z244" s="388">
        <f t="shared" si="302"/>
        <v>8.4999999999999992E-2</v>
      </c>
      <c r="AA244" s="188">
        <f t="shared" si="303"/>
        <v>2504.4299999999998</v>
      </c>
      <c r="AB244" s="188">
        <f t="shared" si="278"/>
        <v>906.34999999999991</v>
      </c>
      <c r="AC244" s="188">
        <f t="shared" si="304"/>
        <v>1598.08</v>
      </c>
      <c r="AD244" s="188">
        <f t="shared" ref="AD244:AE244" si="354">+AD243</f>
        <v>51.5</v>
      </c>
      <c r="AE244" s="188">
        <f t="shared" si="354"/>
        <v>145.09666666666666</v>
      </c>
      <c r="AF244" s="188">
        <f t="shared" si="280"/>
        <v>2701.0266666666666</v>
      </c>
      <c r="AG244" s="188">
        <f t="shared" si="281"/>
        <v>101004.36</v>
      </c>
      <c r="AH244" s="188">
        <f t="shared" si="282"/>
        <v>442456.94999999972</v>
      </c>
      <c r="AI244" s="404">
        <f t="shared" si="267"/>
        <v>0</v>
      </c>
      <c r="AJ244" s="404">
        <f t="shared" si="329"/>
        <v>0</v>
      </c>
      <c r="AK244" s="404">
        <f t="shared" si="268"/>
        <v>0</v>
      </c>
      <c r="AL244" s="188">
        <f t="shared" si="283"/>
        <v>224705.63999999998</v>
      </c>
      <c r="AM244" s="317">
        <f t="shared" si="311"/>
        <v>18</v>
      </c>
      <c r="AN244" s="14">
        <f t="shared" si="269"/>
        <v>1944.5499999999997</v>
      </c>
      <c r="AO244" s="14">
        <f>IF(W244&lt;=0,0,+$AA$6-$C$2+I244-U244)</f>
        <v>138517.84000000003</v>
      </c>
      <c r="AP244" s="14">
        <f t="shared" si="270"/>
        <v>1944.5499999999997</v>
      </c>
      <c r="AS244" s="14">
        <f t="shared" si="306"/>
        <v>1944.5499999999997</v>
      </c>
      <c r="AT244" s="14">
        <f t="shared" si="312"/>
        <v>421486.78999999841</v>
      </c>
      <c r="AU244" s="188">
        <f>IF(W244&lt;=0,0,+($O$5+AV243)*$AQ$2/12)</f>
        <v>1438.8318269568281</v>
      </c>
      <c r="AV244" s="188">
        <f t="shared" si="313"/>
        <v>251261.56260968803</v>
      </c>
    </row>
    <row r="245" spans="1:48">
      <c r="A245" s="395">
        <f t="shared" si="272"/>
        <v>52740</v>
      </c>
      <c r="B245" s="188">
        <f t="shared" si="307"/>
        <v>86647.969999999928</v>
      </c>
      <c r="C245" s="14">
        <f t="shared" si="300"/>
        <v>559.88</v>
      </c>
      <c r="D245" s="14">
        <f t="shared" si="314"/>
        <v>234.95</v>
      </c>
      <c r="E245" s="14">
        <f t="shared" si="301"/>
        <v>324.93</v>
      </c>
      <c r="F245" s="14">
        <f t="shared" si="261"/>
        <v>51.5</v>
      </c>
      <c r="G245" s="14">
        <f t="shared" si="258"/>
        <v>145.09666666666666</v>
      </c>
      <c r="H245" s="14">
        <f t="shared" si="259"/>
        <v>756.47666666666669</v>
      </c>
      <c r="I245" s="188">
        <f t="shared" si="273"/>
        <v>36760.149999999994</v>
      </c>
      <c r="J245" s="188">
        <f t="shared" si="274"/>
        <v>92472.41999999994</v>
      </c>
      <c r="K245" s="188">
        <f t="shared" si="275"/>
        <v>86413.019999999931</v>
      </c>
      <c r="L245" s="317">
        <f t="shared" si="349"/>
        <v>18</v>
      </c>
      <c r="M245" s="317">
        <f>IF(N245&lt;&gt;"",IF(N245=$O$5,0,+M244+1),0)</f>
        <v>217</v>
      </c>
      <c r="N245" s="188">
        <f t="shared" si="308"/>
        <v>224705.63999999998</v>
      </c>
      <c r="O245" s="188">
        <f>IF($O$11&lt;=A245,IF(+$W244&lt;=0,0,$O$8),0)</f>
        <v>2504.4299999999998</v>
      </c>
      <c r="P245" s="188">
        <f t="shared" si="315"/>
        <v>912.76999999999975</v>
      </c>
      <c r="Q245" s="188">
        <f>IF($O$11&lt;=A245,ROUND(N245*($O$7/12),2),0)</f>
        <v>1591.66</v>
      </c>
      <c r="R245" s="188">
        <f t="shared" si="264"/>
        <v>51.5</v>
      </c>
      <c r="S245" s="188">
        <f t="shared" si="265"/>
        <v>145.09666666666666</v>
      </c>
      <c r="T245" s="188">
        <f t="shared" si="262"/>
        <v>2701.0266666666666</v>
      </c>
      <c r="U245" s="188">
        <f t="shared" si="316"/>
        <v>101917.13</v>
      </c>
      <c r="V245" s="188">
        <f t="shared" si="317"/>
        <v>444048.60999999969</v>
      </c>
      <c r="W245" s="188">
        <f t="shared" si="276"/>
        <v>223792.87</v>
      </c>
      <c r="X245" s="395">
        <f t="shared" si="309"/>
        <v>52740</v>
      </c>
      <c r="Y245" s="188">
        <f t="shared" si="277"/>
        <v>224705.63999999998</v>
      </c>
      <c r="Z245" s="388">
        <f t="shared" si="302"/>
        <v>8.4999999999999992E-2</v>
      </c>
      <c r="AA245" s="188">
        <f t="shared" si="303"/>
        <v>2504.4299999999998</v>
      </c>
      <c r="AB245" s="188">
        <f t="shared" si="278"/>
        <v>912.76999999999975</v>
      </c>
      <c r="AC245" s="188">
        <f t="shared" si="304"/>
        <v>1591.66</v>
      </c>
      <c r="AD245" s="188">
        <f t="shared" ref="AD245:AE245" si="355">+AD244</f>
        <v>51.5</v>
      </c>
      <c r="AE245" s="188">
        <f t="shared" si="355"/>
        <v>145.09666666666666</v>
      </c>
      <c r="AF245" s="188">
        <f t="shared" si="280"/>
        <v>2701.0266666666666</v>
      </c>
      <c r="AG245" s="188">
        <f t="shared" si="281"/>
        <v>101917.13</v>
      </c>
      <c r="AH245" s="188">
        <f t="shared" si="282"/>
        <v>444048.60999999969</v>
      </c>
      <c r="AI245" s="404">
        <f t="shared" si="267"/>
        <v>0</v>
      </c>
      <c r="AJ245" s="404">
        <f t="shared" si="329"/>
        <v>0</v>
      </c>
      <c r="AK245" s="404">
        <f t="shared" si="268"/>
        <v>0</v>
      </c>
      <c r="AL245" s="188">
        <f t="shared" si="283"/>
        <v>223792.87</v>
      </c>
      <c r="AM245" s="317">
        <f t="shared" si="311"/>
        <v>18</v>
      </c>
      <c r="AN245" s="14">
        <f t="shared" si="269"/>
        <v>1944.5499999999997</v>
      </c>
      <c r="AO245" s="14">
        <f>IF(W245&lt;=0,0,+$AA$6-$C$2+I245-U245)</f>
        <v>137840.01999999999</v>
      </c>
      <c r="AP245" s="14">
        <f t="shared" si="270"/>
        <v>1944.5499999999997</v>
      </c>
      <c r="AS245" s="14">
        <f t="shared" si="306"/>
        <v>1944.5499999999997</v>
      </c>
      <c r="AT245" s="14">
        <f t="shared" si="312"/>
        <v>423431.3399999984</v>
      </c>
      <c r="AU245" s="188">
        <f>IF(W245&lt;=0,0,+($O$5+AV244)*$AQ$2/12)</f>
        <v>1442.4289065242201</v>
      </c>
      <c r="AV245" s="188">
        <f t="shared" si="313"/>
        <v>252703.99151621226</v>
      </c>
    </row>
    <row r="246" spans="1:48">
      <c r="A246" s="395">
        <f t="shared" si="272"/>
        <v>52770</v>
      </c>
      <c r="B246" s="188">
        <f t="shared" si="307"/>
        <v>86413.019999999931</v>
      </c>
      <c r="C246" s="14">
        <f t="shared" si="300"/>
        <v>559.88</v>
      </c>
      <c r="D246" s="14">
        <f t="shared" si="314"/>
        <v>235.82999999999998</v>
      </c>
      <c r="E246" s="14">
        <f t="shared" si="301"/>
        <v>324.05</v>
      </c>
      <c r="F246" s="14">
        <f t="shared" si="261"/>
        <v>51.5</v>
      </c>
      <c r="G246" s="14">
        <f t="shared" si="258"/>
        <v>145.09666666666666</v>
      </c>
      <c r="H246" s="14">
        <f t="shared" si="259"/>
        <v>756.47666666666669</v>
      </c>
      <c r="I246" s="188">
        <f t="shared" si="273"/>
        <v>36995.979999999996</v>
      </c>
      <c r="J246" s="188">
        <f t="shared" si="274"/>
        <v>92796.469999999943</v>
      </c>
      <c r="K246" s="188">
        <f t="shared" si="275"/>
        <v>86177.18999999993</v>
      </c>
      <c r="L246" s="317">
        <f t="shared" si="349"/>
        <v>18</v>
      </c>
      <c r="M246" s="317">
        <f>IF(N246&lt;&gt;"",IF(N246=$O$5,0,+M245+1),0)</f>
        <v>218</v>
      </c>
      <c r="N246" s="188">
        <f t="shared" si="308"/>
        <v>223792.87</v>
      </c>
      <c r="O246" s="188">
        <f>IF($O$11&lt;=A246,IF(+$W245&lt;=0,0,$O$8),0)</f>
        <v>2504.4299999999998</v>
      </c>
      <c r="P246" s="188">
        <f t="shared" si="315"/>
        <v>919.22999999999979</v>
      </c>
      <c r="Q246" s="188">
        <f>IF($O$11&lt;=A246,ROUND(N246*($O$7/12),2),0)</f>
        <v>1585.2</v>
      </c>
      <c r="R246" s="188">
        <f t="shared" si="264"/>
        <v>51.5</v>
      </c>
      <c r="S246" s="188">
        <f t="shared" si="265"/>
        <v>145.09666666666666</v>
      </c>
      <c r="T246" s="188">
        <f t="shared" si="262"/>
        <v>2701.0266666666666</v>
      </c>
      <c r="U246" s="188">
        <f t="shared" si="316"/>
        <v>102836.36</v>
      </c>
      <c r="V246" s="188">
        <f t="shared" si="317"/>
        <v>445633.80999999971</v>
      </c>
      <c r="W246" s="188">
        <f t="shared" si="276"/>
        <v>222873.63999999998</v>
      </c>
      <c r="X246" s="395">
        <f t="shared" si="309"/>
        <v>52770</v>
      </c>
      <c r="Y246" s="188">
        <f t="shared" si="277"/>
        <v>223792.87</v>
      </c>
      <c r="Z246" s="388">
        <f t="shared" si="302"/>
        <v>8.4999999999999992E-2</v>
      </c>
      <c r="AA246" s="188">
        <f t="shared" si="303"/>
        <v>2504.4299999999998</v>
      </c>
      <c r="AB246" s="188">
        <f t="shared" si="278"/>
        <v>919.22999999999979</v>
      </c>
      <c r="AC246" s="188">
        <f t="shared" si="304"/>
        <v>1585.2</v>
      </c>
      <c r="AD246" s="188">
        <f t="shared" ref="AD246:AE246" si="356">+AD245</f>
        <v>51.5</v>
      </c>
      <c r="AE246" s="188">
        <f t="shared" si="356"/>
        <v>145.09666666666666</v>
      </c>
      <c r="AF246" s="188">
        <f t="shared" si="280"/>
        <v>2701.0266666666666</v>
      </c>
      <c r="AG246" s="188">
        <f t="shared" si="281"/>
        <v>102836.36</v>
      </c>
      <c r="AH246" s="188">
        <f t="shared" si="282"/>
        <v>445633.80999999971</v>
      </c>
      <c r="AI246" s="404">
        <f t="shared" si="267"/>
        <v>0</v>
      </c>
      <c r="AJ246" s="404">
        <f t="shared" si="329"/>
        <v>0</v>
      </c>
      <c r="AK246" s="404">
        <f t="shared" si="268"/>
        <v>0</v>
      </c>
      <c r="AL246" s="188">
        <f t="shared" si="283"/>
        <v>222873.63999999998</v>
      </c>
      <c r="AM246" s="317">
        <f t="shared" si="311"/>
        <v>18</v>
      </c>
      <c r="AN246" s="14">
        <f t="shared" si="269"/>
        <v>1944.5499999999997</v>
      </c>
      <c r="AO246" s="14">
        <f>IF(W246&lt;=0,0,+$AA$6-$C$2+I246-U246)</f>
        <v>137156.62</v>
      </c>
      <c r="AP246" s="14">
        <f t="shared" si="270"/>
        <v>1944.5499999999997</v>
      </c>
      <c r="AS246" s="14">
        <f t="shared" si="306"/>
        <v>1944.5499999999997</v>
      </c>
      <c r="AT246" s="14">
        <f t="shared" si="312"/>
        <v>425375.88999999838</v>
      </c>
      <c r="AU246" s="188">
        <f>IF(W246&lt;=0,0,+($O$5+AV245)*$AQ$2/12)</f>
        <v>1446.0349787905307</v>
      </c>
      <c r="AV246" s="188">
        <f t="shared" si="313"/>
        <v>254150.02649500279</v>
      </c>
    </row>
    <row r="247" spans="1:48">
      <c r="A247" s="395">
        <f t="shared" si="272"/>
        <v>52800</v>
      </c>
      <c r="B247" s="188">
        <f t="shared" si="307"/>
        <v>86177.18999999993</v>
      </c>
      <c r="C247" s="14">
        <f t="shared" si="300"/>
        <v>559.88</v>
      </c>
      <c r="D247" s="14">
        <f t="shared" si="314"/>
        <v>236.71999999999997</v>
      </c>
      <c r="E247" s="14">
        <f t="shared" si="301"/>
        <v>323.16000000000003</v>
      </c>
      <c r="F247" s="14">
        <f t="shared" si="261"/>
        <v>51.5</v>
      </c>
      <c r="G247" s="14">
        <f t="shared" si="258"/>
        <v>145.09666666666666</v>
      </c>
      <c r="H247" s="14">
        <f t="shared" si="259"/>
        <v>756.47666666666669</v>
      </c>
      <c r="I247" s="188">
        <f t="shared" si="273"/>
        <v>37232.699999999997</v>
      </c>
      <c r="J247" s="188">
        <f t="shared" si="274"/>
        <v>93119.629999999946</v>
      </c>
      <c r="K247" s="188">
        <f t="shared" si="275"/>
        <v>85940.469999999928</v>
      </c>
      <c r="L247" s="317">
        <f t="shared" si="349"/>
        <v>18</v>
      </c>
      <c r="M247" s="317">
        <f>IF(N247&lt;&gt;"",IF(N247=$O$5,0,+M246+1),0)</f>
        <v>219</v>
      </c>
      <c r="N247" s="188">
        <f t="shared" si="308"/>
        <v>222873.63999999998</v>
      </c>
      <c r="O247" s="188">
        <f>IF($O$11&lt;=A247,IF(+$W246&lt;=0,0,$O$8),0)</f>
        <v>2504.4299999999998</v>
      </c>
      <c r="P247" s="188">
        <f t="shared" si="315"/>
        <v>925.73999999999978</v>
      </c>
      <c r="Q247" s="188">
        <f>IF($O$11&lt;=A247,ROUND(N247*($O$7/12),2),0)</f>
        <v>1578.69</v>
      </c>
      <c r="R247" s="188">
        <f t="shared" si="264"/>
        <v>51.5</v>
      </c>
      <c r="S247" s="188">
        <f t="shared" si="265"/>
        <v>145.09666666666666</v>
      </c>
      <c r="T247" s="188">
        <f t="shared" si="262"/>
        <v>2701.0266666666666</v>
      </c>
      <c r="U247" s="188">
        <f t="shared" si="316"/>
        <v>103762.1</v>
      </c>
      <c r="V247" s="188">
        <f t="shared" si="317"/>
        <v>447212.49999999971</v>
      </c>
      <c r="W247" s="188">
        <f t="shared" si="276"/>
        <v>221947.9</v>
      </c>
      <c r="X247" s="395">
        <f t="shared" si="309"/>
        <v>52800</v>
      </c>
      <c r="Y247" s="188">
        <f t="shared" si="277"/>
        <v>222873.63999999998</v>
      </c>
      <c r="Z247" s="388">
        <f t="shared" si="302"/>
        <v>8.4999999999999992E-2</v>
      </c>
      <c r="AA247" s="188">
        <f t="shared" si="303"/>
        <v>2504.4299999999998</v>
      </c>
      <c r="AB247" s="188">
        <f t="shared" si="278"/>
        <v>925.73999999999978</v>
      </c>
      <c r="AC247" s="188">
        <f t="shared" si="304"/>
        <v>1578.69</v>
      </c>
      <c r="AD247" s="188">
        <f t="shared" ref="AD247:AE247" si="357">+AD246</f>
        <v>51.5</v>
      </c>
      <c r="AE247" s="188">
        <f t="shared" si="357"/>
        <v>145.09666666666666</v>
      </c>
      <c r="AF247" s="188">
        <f t="shared" si="280"/>
        <v>2701.0266666666666</v>
      </c>
      <c r="AG247" s="188">
        <f t="shared" si="281"/>
        <v>103762.1</v>
      </c>
      <c r="AH247" s="188">
        <f t="shared" si="282"/>
        <v>447212.49999999971</v>
      </c>
      <c r="AI247" s="404">
        <f t="shared" si="267"/>
        <v>0</v>
      </c>
      <c r="AJ247" s="404">
        <f t="shared" si="329"/>
        <v>0</v>
      </c>
      <c r="AK247" s="404">
        <f t="shared" si="268"/>
        <v>0</v>
      </c>
      <c r="AL247" s="188">
        <f t="shared" si="283"/>
        <v>221947.9</v>
      </c>
      <c r="AM247" s="317">
        <f t="shared" si="311"/>
        <v>18</v>
      </c>
      <c r="AN247" s="14">
        <f t="shared" si="269"/>
        <v>1944.5499999999997</v>
      </c>
      <c r="AO247" s="14">
        <f>IF(W247&lt;=0,0,+$AA$6-$C$2+I247-U247)</f>
        <v>136467.6</v>
      </c>
      <c r="AP247" s="14">
        <f t="shared" si="270"/>
        <v>1944.5499999999997</v>
      </c>
      <c r="AS247" s="14">
        <f t="shared" si="306"/>
        <v>1944.5499999999997</v>
      </c>
      <c r="AT247" s="14">
        <f t="shared" si="312"/>
        <v>427320.43999999837</v>
      </c>
      <c r="AU247" s="188">
        <f>IF(W247&lt;=0,0,+($O$5+AV246)*$AQ$2/12)</f>
        <v>1449.6500662375067</v>
      </c>
      <c r="AV247" s="188">
        <f t="shared" si="313"/>
        <v>255599.67656124031</v>
      </c>
    </row>
    <row r="248" spans="1:48">
      <c r="A248" s="395">
        <f t="shared" si="272"/>
        <v>52830</v>
      </c>
      <c r="B248" s="188">
        <f t="shared" si="307"/>
        <v>85940.469999999928</v>
      </c>
      <c r="C248" s="14">
        <f t="shared" si="300"/>
        <v>559.88</v>
      </c>
      <c r="D248" s="14">
        <f t="shared" si="314"/>
        <v>237.60000000000002</v>
      </c>
      <c r="E248" s="14">
        <f t="shared" si="301"/>
        <v>322.27999999999997</v>
      </c>
      <c r="F248" s="14">
        <f t="shared" si="261"/>
        <v>51.5</v>
      </c>
      <c r="G248" s="14">
        <f t="shared" si="258"/>
        <v>145.09666666666666</v>
      </c>
      <c r="H248" s="14">
        <f t="shared" si="259"/>
        <v>756.47666666666669</v>
      </c>
      <c r="I248" s="188">
        <f t="shared" si="273"/>
        <v>37470.299999999996</v>
      </c>
      <c r="J248" s="188">
        <f t="shared" si="274"/>
        <v>93441.909999999945</v>
      </c>
      <c r="K248" s="188">
        <f t="shared" si="275"/>
        <v>85702.869999999923</v>
      </c>
      <c r="L248" s="317">
        <f t="shared" si="349"/>
        <v>18</v>
      </c>
      <c r="M248" s="317">
        <f>IF(N248&lt;&gt;"",IF(N248=$O$5,0,+M247+1),0)</f>
        <v>220</v>
      </c>
      <c r="N248" s="188">
        <f t="shared" si="308"/>
        <v>221947.9</v>
      </c>
      <c r="O248" s="188">
        <f>IF($O$11&lt;=A248,IF(+$W247&lt;=0,0,$O$8),0)</f>
        <v>2504.4299999999998</v>
      </c>
      <c r="P248" s="188">
        <f t="shared" si="315"/>
        <v>932.29999999999973</v>
      </c>
      <c r="Q248" s="188">
        <f>IF($O$11&lt;=A248,ROUND(N248*($O$7/12),2),0)</f>
        <v>1572.13</v>
      </c>
      <c r="R248" s="188">
        <f t="shared" si="264"/>
        <v>51.5</v>
      </c>
      <c r="S248" s="188">
        <f t="shared" si="265"/>
        <v>145.09666666666666</v>
      </c>
      <c r="T248" s="188">
        <f t="shared" si="262"/>
        <v>2701.0266666666666</v>
      </c>
      <c r="U248" s="188">
        <f t="shared" si="316"/>
        <v>104694.40000000001</v>
      </c>
      <c r="V248" s="188">
        <f t="shared" si="317"/>
        <v>448784.62999999971</v>
      </c>
      <c r="W248" s="188">
        <f t="shared" si="276"/>
        <v>221015.6</v>
      </c>
      <c r="X248" s="395">
        <f t="shared" si="309"/>
        <v>52830</v>
      </c>
      <c r="Y248" s="188">
        <f t="shared" si="277"/>
        <v>221947.9</v>
      </c>
      <c r="Z248" s="388">
        <f t="shared" si="302"/>
        <v>8.4999999999999992E-2</v>
      </c>
      <c r="AA248" s="188">
        <f t="shared" si="303"/>
        <v>2504.4299999999998</v>
      </c>
      <c r="AB248" s="188">
        <f t="shared" si="278"/>
        <v>932.29999999999973</v>
      </c>
      <c r="AC248" s="188">
        <f t="shared" si="304"/>
        <v>1572.13</v>
      </c>
      <c r="AD248" s="188">
        <f t="shared" ref="AD248:AE248" si="358">+AD247</f>
        <v>51.5</v>
      </c>
      <c r="AE248" s="188">
        <f t="shared" si="358"/>
        <v>145.09666666666666</v>
      </c>
      <c r="AF248" s="188">
        <f t="shared" si="280"/>
        <v>2701.0266666666666</v>
      </c>
      <c r="AG248" s="188">
        <f t="shared" si="281"/>
        <v>104694.40000000001</v>
      </c>
      <c r="AH248" s="188">
        <f t="shared" si="282"/>
        <v>448784.62999999971</v>
      </c>
      <c r="AI248" s="404">
        <f t="shared" si="267"/>
        <v>0</v>
      </c>
      <c r="AJ248" s="404">
        <f t="shared" si="329"/>
        <v>0</v>
      </c>
      <c r="AK248" s="404">
        <f t="shared" si="268"/>
        <v>0</v>
      </c>
      <c r="AL248" s="188">
        <f t="shared" si="283"/>
        <v>221015.6</v>
      </c>
      <c r="AM248" s="317">
        <f t="shared" si="311"/>
        <v>18</v>
      </c>
      <c r="AN248" s="14">
        <f t="shared" si="269"/>
        <v>1944.5499999999997</v>
      </c>
      <c r="AO248" s="14">
        <f>IF(W248&lt;=0,0,+$AA$6-$C$2+I248-U248)</f>
        <v>135772.89999999997</v>
      </c>
      <c r="AP248" s="14">
        <f t="shared" si="270"/>
        <v>1944.5499999999997</v>
      </c>
      <c r="AS248" s="14">
        <f t="shared" si="306"/>
        <v>1944.5499999999997</v>
      </c>
      <c r="AT248" s="14">
        <f t="shared" si="312"/>
        <v>429264.98999999836</v>
      </c>
      <c r="AU248" s="188">
        <f>IF(W248&lt;=0,0,+($O$5+AV247)*$AQ$2/12)</f>
        <v>1453.274191403101</v>
      </c>
      <c r="AV248" s="188">
        <f t="shared" si="313"/>
        <v>257052.9507526434</v>
      </c>
    </row>
    <row r="249" spans="1:48">
      <c r="A249" s="395">
        <f t="shared" si="272"/>
        <v>52860</v>
      </c>
      <c r="B249" s="188">
        <f t="shared" si="307"/>
        <v>85702.869999999923</v>
      </c>
      <c r="C249" s="14">
        <f t="shared" si="300"/>
        <v>559.88</v>
      </c>
      <c r="D249" s="14">
        <f t="shared" si="314"/>
        <v>238.49</v>
      </c>
      <c r="E249" s="14">
        <f t="shared" si="301"/>
        <v>321.39</v>
      </c>
      <c r="F249" s="14">
        <f t="shared" si="261"/>
        <v>51.5</v>
      </c>
      <c r="G249" s="14">
        <f t="shared" si="258"/>
        <v>145.09666666666666</v>
      </c>
      <c r="H249" s="14">
        <f t="shared" si="259"/>
        <v>756.47666666666669</v>
      </c>
      <c r="I249" s="188">
        <f t="shared" si="273"/>
        <v>37708.789999999994</v>
      </c>
      <c r="J249" s="188">
        <f t="shared" si="274"/>
        <v>93763.299999999945</v>
      </c>
      <c r="K249" s="188">
        <f t="shared" si="275"/>
        <v>85464.379999999917</v>
      </c>
      <c r="L249" s="317">
        <f t="shared" si="349"/>
        <v>18</v>
      </c>
      <c r="M249" s="317">
        <f>IF(N249&lt;&gt;"",IF(N249=$O$5,0,+M248+1),0)</f>
        <v>221</v>
      </c>
      <c r="N249" s="188">
        <f t="shared" si="308"/>
        <v>221015.6</v>
      </c>
      <c r="O249" s="188">
        <f>IF($O$11&lt;=A249,IF(+$W248&lt;=0,0,$O$8),0)</f>
        <v>2504.4299999999998</v>
      </c>
      <c r="P249" s="188">
        <f t="shared" si="315"/>
        <v>938.89999999999986</v>
      </c>
      <c r="Q249" s="188">
        <f>IF($O$11&lt;=A249,ROUND(N249*($O$7/12),2),0)</f>
        <v>1565.53</v>
      </c>
      <c r="R249" s="188">
        <f t="shared" si="264"/>
        <v>51.5</v>
      </c>
      <c r="S249" s="188">
        <f t="shared" si="265"/>
        <v>145.09666666666666</v>
      </c>
      <c r="T249" s="188">
        <f t="shared" si="262"/>
        <v>2701.0266666666666</v>
      </c>
      <c r="U249" s="188">
        <f t="shared" si="316"/>
        <v>105633.3</v>
      </c>
      <c r="V249" s="188">
        <f t="shared" si="317"/>
        <v>450350.15999999974</v>
      </c>
      <c r="W249" s="188">
        <f t="shared" si="276"/>
        <v>220076.7</v>
      </c>
      <c r="X249" s="395">
        <f t="shared" si="309"/>
        <v>52860</v>
      </c>
      <c r="Y249" s="188">
        <f t="shared" si="277"/>
        <v>221015.6</v>
      </c>
      <c r="Z249" s="388">
        <f t="shared" si="302"/>
        <v>8.4999999999999992E-2</v>
      </c>
      <c r="AA249" s="188">
        <f t="shared" si="303"/>
        <v>2504.4299999999998</v>
      </c>
      <c r="AB249" s="188">
        <f t="shared" si="278"/>
        <v>938.89999999999986</v>
      </c>
      <c r="AC249" s="188">
        <f t="shared" si="304"/>
        <v>1565.53</v>
      </c>
      <c r="AD249" s="188">
        <f t="shared" ref="AD249:AE249" si="359">+AD248</f>
        <v>51.5</v>
      </c>
      <c r="AE249" s="188">
        <f t="shared" si="359"/>
        <v>145.09666666666666</v>
      </c>
      <c r="AF249" s="188">
        <f t="shared" si="280"/>
        <v>2701.0266666666666</v>
      </c>
      <c r="AG249" s="188">
        <f t="shared" si="281"/>
        <v>105633.3</v>
      </c>
      <c r="AH249" s="188">
        <f t="shared" si="282"/>
        <v>450350.15999999974</v>
      </c>
      <c r="AI249" s="404">
        <f t="shared" si="267"/>
        <v>0</v>
      </c>
      <c r="AJ249" s="404">
        <f t="shared" si="329"/>
        <v>0</v>
      </c>
      <c r="AK249" s="404">
        <f t="shared" si="268"/>
        <v>0</v>
      </c>
      <c r="AL249" s="188">
        <f t="shared" si="283"/>
        <v>220076.7</v>
      </c>
      <c r="AM249" s="317">
        <f t="shared" si="311"/>
        <v>18</v>
      </c>
      <c r="AN249" s="14">
        <f t="shared" si="269"/>
        <v>1944.5499999999997</v>
      </c>
      <c r="AO249" s="14">
        <f>IF(W249&lt;=0,0,+$AA$6-$C$2+I249-U249)</f>
        <v>135072.49</v>
      </c>
      <c r="AP249" s="14">
        <f t="shared" si="270"/>
        <v>1944.5499999999997</v>
      </c>
      <c r="AS249" s="14">
        <f t="shared" si="306"/>
        <v>1944.5499999999997</v>
      </c>
      <c r="AT249" s="14">
        <f t="shared" si="312"/>
        <v>431209.53999999835</v>
      </c>
      <c r="AU249" s="188">
        <f>IF(W249&lt;=0,0,+($O$5+AV248)*$AQ$2/12)</f>
        <v>1456.9073768816086</v>
      </c>
      <c r="AV249" s="188">
        <f t="shared" si="313"/>
        <v>258509.858129525</v>
      </c>
    </row>
    <row r="250" spans="1:48">
      <c r="A250" s="395">
        <f t="shared" si="272"/>
        <v>52890</v>
      </c>
      <c r="B250" s="188">
        <f t="shared" si="307"/>
        <v>85464.379999999917</v>
      </c>
      <c r="C250" s="14">
        <f t="shared" si="300"/>
        <v>559.88</v>
      </c>
      <c r="D250" s="14">
        <f t="shared" si="314"/>
        <v>239.39</v>
      </c>
      <c r="E250" s="14">
        <f t="shared" si="301"/>
        <v>320.49</v>
      </c>
      <c r="F250" s="14">
        <f t="shared" si="261"/>
        <v>51.5</v>
      </c>
      <c r="G250" s="14">
        <f t="shared" si="258"/>
        <v>145.09666666666666</v>
      </c>
      <c r="H250" s="14">
        <f t="shared" si="259"/>
        <v>756.47666666666669</v>
      </c>
      <c r="I250" s="188">
        <f t="shared" si="273"/>
        <v>37948.179999999993</v>
      </c>
      <c r="J250" s="188">
        <f t="shared" si="274"/>
        <v>94083.78999999995</v>
      </c>
      <c r="K250" s="188">
        <f t="shared" si="275"/>
        <v>85224.989999999918</v>
      </c>
      <c r="L250" s="317">
        <f t="shared" si="349"/>
        <v>18</v>
      </c>
      <c r="M250" s="317">
        <f>IF(N250&lt;&gt;"",IF(N250=$O$5,0,+M249+1),0)</f>
        <v>222</v>
      </c>
      <c r="N250" s="188">
        <f t="shared" si="308"/>
        <v>220076.7</v>
      </c>
      <c r="O250" s="188">
        <f>IF($O$11&lt;=A250,IF(+$W249&lt;=0,0,$O$8),0)</f>
        <v>2504.4299999999998</v>
      </c>
      <c r="P250" s="188">
        <f t="shared" si="315"/>
        <v>945.54999999999973</v>
      </c>
      <c r="Q250" s="188">
        <f>IF($O$11&lt;=A250,ROUND(N250*($O$7/12),2),0)</f>
        <v>1558.88</v>
      </c>
      <c r="R250" s="188">
        <f t="shared" si="264"/>
        <v>51.5</v>
      </c>
      <c r="S250" s="188">
        <f t="shared" si="265"/>
        <v>145.09666666666666</v>
      </c>
      <c r="T250" s="188">
        <f t="shared" si="262"/>
        <v>2701.0266666666666</v>
      </c>
      <c r="U250" s="188">
        <f t="shared" si="316"/>
        <v>106578.85</v>
      </c>
      <c r="V250" s="188">
        <f t="shared" si="317"/>
        <v>451909.03999999975</v>
      </c>
      <c r="W250" s="188">
        <f t="shared" si="276"/>
        <v>219131.15000000002</v>
      </c>
      <c r="X250" s="395">
        <f t="shared" si="309"/>
        <v>52890</v>
      </c>
      <c r="Y250" s="188">
        <f t="shared" si="277"/>
        <v>220076.7</v>
      </c>
      <c r="Z250" s="388">
        <f t="shared" si="302"/>
        <v>8.4999999999999992E-2</v>
      </c>
      <c r="AA250" s="188">
        <f t="shared" si="303"/>
        <v>2504.4299999999998</v>
      </c>
      <c r="AB250" s="188">
        <f t="shared" si="278"/>
        <v>945.54999999999973</v>
      </c>
      <c r="AC250" s="188">
        <f t="shared" si="304"/>
        <v>1558.88</v>
      </c>
      <c r="AD250" s="188">
        <f t="shared" ref="AD250:AE250" si="360">+AD249</f>
        <v>51.5</v>
      </c>
      <c r="AE250" s="188">
        <f t="shared" si="360"/>
        <v>145.09666666666666</v>
      </c>
      <c r="AF250" s="188">
        <f t="shared" si="280"/>
        <v>2701.0266666666666</v>
      </c>
      <c r="AG250" s="188">
        <f t="shared" si="281"/>
        <v>106578.85</v>
      </c>
      <c r="AH250" s="188">
        <f t="shared" si="282"/>
        <v>451909.03999999975</v>
      </c>
      <c r="AI250" s="404">
        <f t="shared" si="267"/>
        <v>0</v>
      </c>
      <c r="AJ250" s="404">
        <f t="shared" si="329"/>
        <v>0</v>
      </c>
      <c r="AK250" s="404">
        <f t="shared" si="268"/>
        <v>0</v>
      </c>
      <c r="AL250" s="188">
        <f t="shared" si="283"/>
        <v>219131.15000000002</v>
      </c>
      <c r="AM250" s="317">
        <f t="shared" si="311"/>
        <v>18</v>
      </c>
      <c r="AN250" s="14">
        <f t="shared" si="269"/>
        <v>1944.5499999999997</v>
      </c>
      <c r="AO250" s="14">
        <f>IF(W250&lt;=0,0,+$AA$6-$C$2+I250-U250)</f>
        <v>134366.32999999999</v>
      </c>
      <c r="AP250" s="14">
        <f t="shared" si="270"/>
        <v>1944.5499999999997</v>
      </c>
      <c r="AS250" s="14">
        <f t="shared" si="306"/>
        <v>1944.5499999999997</v>
      </c>
      <c r="AT250" s="14">
        <f t="shared" si="312"/>
        <v>433154.08999999834</v>
      </c>
      <c r="AU250" s="188">
        <f>IF(W250&lt;=0,0,+($O$5+AV249)*$AQ$2/12)</f>
        <v>1460.5496453238122</v>
      </c>
      <c r="AV250" s="188">
        <f t="shared" si="313"/>
        <v>259970.40777484881</v>
      </c>
    </row>
    <row r="251" spans="1:48">
      <c r="A251" s="395">
        <f t="shared" si="272"/>
        <v>52920</v>
      </c>
      <c r="B251" s="188">
        <f t="shared" si="307"/>
        <v>85224.989999999918</v>
      </c>
      <c r="C251" s="14">
        <f t="shared" si="300"/>
        <v>559.88</v>
      </c>
      <c r="D251" s="14">
        <f t="shared" si="314"/>
        <v>240.29000000000002</v>
      </c>
      <c r="E251" s="14">
        <f t="shared" si="301"/>
        <v>319.58999999999997</v>
      </c>
      <c r="F251" s="14">
        <f t="shared" si="261"/>
        <v>51.5</v>
      </c>
      <c r="G251" s="14">
        <f t="shared" ref="G251:G314" si="361">+G250</f>
        <v>145.09666666666666</v>
      </c>
      <c r="H251" s="14">
        <f t="shared" ref="H251:H314" si="362">SUM(D251:G251)</f>
        <v>756.47666666666669</v>
      </c>
      <c r="I251" s="188">
        <f t="shared" si="273"/>
        <v>38188.469999999994</v>
      </c>
      <c r="J251" s="188">
        <f t="shared" si="274"/>
        <v>94403.379999999946</v>
      </c>
      <c r="K251" s="188">
        <f t="shared" si="275"/>
        <v>84984.699999999924</v>
      </c>
      <c r="L251" s="317">
        <f t="shared" si="349"/>
        <v>18</v>
      </c>
      <c r="M251" s="317">
        <f>IF(N251&lt;&gt;"",IF(N251=$O$5,0,+M250+1),0)</f>
        <v>223</v>
      </c>
      <c r="N251" s="188">
        <f t="shared" si="308"/>
        <v>219131.15000000002</v>
      </c>
      <c r="O251" s="188">
        <f>IF($O$11&lt;=A251,IF(+$W250&lt;=0,0,$O$8),0)</f>
        <v>2504.4299999999998</v>
      </c>
      <c r="P251" s="188">
        <f t="shared" si="315"/>
        <v>952.24999999999977</v>
      </c>
      <c r="Q251" s="188">
        <f>IF($O$11&lt;=A251,ROUND(N251*($O$7/12),2),0)</f>
        <v>1552.18</v>
      </c>
      <c r="R251" s="188">
        <f t="shared" si="264"/>
        <v>51.5</v>
      </c>
      <c r="S251" s="188">
        <f t="shared" si="265"/>
        <v>145.09666666666666</v>
      </c>
      <c r="T251" s="188">
        <f t="shared" si="262"/>
        <v>2701.0266666666666</v>
      </c>
      <c r="U251" s="188">
        <f t="shared" si="316"/>
        <v>107531.1</v>
      </c>
      <c r="V251" s="188">
        <f t="shared" si="317"/>
        <v>453461.21999999974</v>
      </c>
      <c r="W251" s="188">
        <f t="shared" si="276"/>
        <v>218178.90000000002</v>
      </c>
      <c r="X251" s="395">
        <f t="shared" si="309"/>
        <v>52920</v>
      </c>
      <c r="Y251" s="188">
        <f t="shared" si="277"/>
        <v>219131.15000000002</v>
      </c>
      <c r="Z251" s="388">
        <f t="shared" si="302"/>
        <v>8.4999999999999992E-2</v>
      </c>
      <c r="AA251" s="188">
        <f t="shared" si="303"/>
        <v>2504.4299999999998</v>
      </c>
      <c r="AB251" s="188">
        <f t="shared" si="278"/>
        <v>952.24999999999977</v>
      </c>
      <c r="AC251" s="188">
        <f t="shared" si="304"/>
        <v>1552.18</v>
      </c>
      <c r="AD251" s="188">
        <f t="shared" ref="AD251:AE251" si="363">+AD250</f>
        <v>51.5</v>
      </c>
      <c r="AE251" s="188">
        <f t="shared" si="363"/>
        <v>145.09666666666666</v>
      </c>
      <c r="AF251" s="188">
        <f t="shared" si="280"/>
        <v>2701.0266666666666</v>
      </c>
      <c r="AG251" s="188">
        <f t="shared" si="281"/>
        <v>107531.1</v>
      </c>
      <c r="AH251" s="188">
        <f t="shared" si="282"/>
        <v>453461.21999999974</v>
      </c>
      <c r="AI251" s="404">
        <f t="shared" si="267"/>
        <v>0</v>
      </c>
      <c r="AJ251" s="404">
        <f t="shared" si="329"/>
        <v>0</v>
      </c>
      <c r="AK251" s="404">
        <f t="shared" si="268"/>
        <v>0</v>
      </c>
      <c r="AL251" s="188">
        <f t="shared" si="283"/>
        <v>218178.90000000002</v>
      </c>
      <c r="AM251" s="317">
        <f t="shared" si="311"/>
        <v>18</v>
      </c>
      <c r="AN251" s="14">
        <f t="shared" si="269"/>
        <v>1944.5499999999997</v>
      </c>
      <c r="AO251" s="14">
        <f>IF(W251&lt;=0,0,+$AA$6-$C$2+I251-U251)</f>
        <v>133654.37</v>
      </c>
      <c r="AP251" s="14">
        <f t="shared" si="270"/>
        <v>1944.5499999999997</v>
      </c>
      <c r="AS251" s="14">
        <f t="shared" si="306"/>
        <v>1944.5499999999997</v>
      </c>
      <c r="AT251" s="14">
        <f t="shared" si="312"/>
        <v>435098.63999999833</v>
      </c>
      <c r="AU251" s="188">
        <f>IF(W251&lt;=0,0,+($O$5+AV250)*$AQ$2/12)</f>
        <v>1464.2010194371221</v>
      </c>
      <c r="AV251" s="188">
        <f t="shared" si="313"/>
        <v>261434.60879428592</v>
      </c>
    </row>
    <row r="252" spans="1:48">
      <c r="A252" s="395">
        <f t="shared" si="272"/>
        <v>52950</v>
      </c>
      <c r="B252" s="188">
        <f t="shared" si="307"/>
        <v>84984.699999999924</v>
      </c>
      <c r="C252" s="14">
        <f t="shared" si="300"/>
        <v>559.88</v>
      </c>
      <c r="D252" s="14">
        <f t="shared" si="314"/>
        <v>241.19</v>
      </c>
      <c r="E252" s="14">
        <f t="shared" si="301"/>
        <v>318.69</v>
      </c>
      <c r="F252" s="14">
        <f t="shared" ref="F252:F315" si="364">+F251</f>
        <v>51.5</v>
      </c>
      <c r="G252" s="14">
        <f t="shared" si="361"/>
        <v>145.09666666666666</v>
      </c>
      <c r="H252" s="14">
        <f t="shared" si="362"/>
        <v>756.47666666666669</v>
      </c>
      <c r="I252" s="188">
        <f t="shared" si="273"/>
        <v>38429.659999999996</v>
      </c>
      <c r="J252" s="188">
        <f t="shared" si="274"/>
        <v>94722.069999999949</v>
      </c>
      <c r="K252" s="188">
        <f t="shared" si="275"/>
        <v>84743.509999999922</v>
      </c>
      <c r="L252" s="317">
        <f t="shared" si="349"/>
        <v>18</v>
      </c>
      <c r="M252" s="317">
        <f>IF(N252&lt;&gt;"",IF(N252=$O$5,0,+M251+1),0)</f>
        <v>224</v>
      </c>
      <c r="N252" s="188">
        <f t="shared" si="308"/>
        <v>218178.90000000002</v>
      </c>
      <c r="O252" s="188">
        <f>IF($O$11&lt;=A252,IF(+$W251&lt;=0,0,$O$8),0)</f>
        <v>2504.4299999999998</v>
      </c>
      <c r="P252" s="188">
        <f t="shared" si="315"/>
        <v>958.99999999999977</v>
      </c>
      <c r="Q252" s="188">
        <f>IF($O$11&lt;=A252,ROUND(N252*($O$7/12),2),0)</f>
        <v>1545.43</v>
      </c>
      <c r="R252" s="188">
        <f t="shared" si="264"/>
        <v>51.5</v>
      </c>
      <c r="S252" s="188">
        <f t="shared" si="265"/>
        <v>145.09666666666666</v>
      </c>
      <c r="T252" s="188">
        <f t="shared" ref="T252:T315" si="365">SUM(P252:S252)</f>
        <v>2701.0266666666666</v>
      </c>
      <c r="U252" s="188">
        <f t="shared" si="316"/>
        <v>108490.1</v>
      </c>
      <c r="V252" s="188">
        <f t="shared" si="317"/>
        <v>455006.64999999973</v>
      </c>
      <c r="W252" s="188">
        <f t="shared" si="276"/>
        <v>217219.90000000002</v>
      </c>
      <c r="X252" s="395">
        <f t="shared" si="309"/>
        <v>52950</v>
      </c>
      <c r="Y252" s="188">
        <f t="shared" si="277"/>
        <v>218178.90000000002</v>
      </c>
      <c r="Z252" s="388">
        <f t="shared" si="302"/>
        <v>8.4999999999999992E-2</v>
      </c>
      <c r="AA252" s="188">
        <f t="shared" si="303"/>
        <v>2504.4299999999998</v>
      </c>
      <c r="AB252" s="188">
        <f t="shared" si="278"/>
        <v>958.99999999999977</v>
      </c>
      <c r="AC252" s="188">
        <f t="shared" si="304"/>
        <v>1545.43</v>
      </c>
      <c r="AD252" s="188">
        <f t="shared" ref="AD252:AE252" si="366">+AD251</f>
        <v>51.5</v>
      </c>
      <c r="AE252" s="188">
        <f t="shared" si="366"/>
        <v>145.09666666666666</v>
      </c>
      <c r="AF252" s="188">
        <f t="shared" si="280"/>
        <v>2701.0266666666666</v>
      </c>
      <c r="AG252" s="188">
        <f t="shared" si="281"/>
        <v>108490.1</v>
      </c>
      <c r="AH252" s="188">
        <f t="shared" si="282"/>
        <v>455006.64999999973</v>
      </c>
      <c r="AI252" s="404">
        <f t="shared" si="267"/>
        <v>0</v>
      </c>
      <c r="AJ252" s="404">
        <f t="shared" si="329"/>
        <v>0</v>
      </c>
      <c r="AK252" s="404">
        <f t="shared" si="268"/>
        <v>0</v>
      </c>
      <c r="AL252" s="188">
        <f t="shared" si="283"/>
        <v>217219.90000000002</v>
      </c>
      <c r="AM252" s="317">
        <f t="shared" si="311"/>
        <v>18</v>
      </c>
      <c r="AN252" s="14">
        <f t="shared" si="269"/>
        <v>1944.5499999999997</v>
      </c>
      <c r="AO252" s="14">
        <f>IF(W252&lt;=0,0,+$AA$6-$C$2+I252-U252)</f>
        <v>132936.56</v>
      </c>
      <c r="AP252" s="14">
        <f t="shared" si="270"/>
        <v>1944.5499999999997</v>
      </c>
      <c r="AS252" s="14">
        <f t="shared" si="306"/>
        <v>1944.5499999999997</v>
      </c>
      <c r="AT252" s="14">
        <f t="shared" si="312"/>
        <v>437043.18999999831</v>
      </c>
      <c r="AU252" s="188">
        <f>IF(W252&lt;=0,0,+($O$5+AV251)*$AQ$2/12)</f>
        <v>1467.8615219857147</v>
      </c>
      <c r="AV252" s="188">
        <f t="shared" si="313"/>
        <v>262902.47031627165</v>
      </c>
    </row>
    <row r="253" spans="1:48">
      <c r="A253" s="395">
        <f t="shared" si="272"/>
        <v>52980</v>
      </c>
      <c r="B253" s="188">
        <f t="shared" si="307"/>
        <v>84743.509999999922</v>
      </c>
      <c r="C253" s="14">
        <f t="shared" si="300"/>
        <v>559.88</v>
      </c>
      <c r="D253" s="14">
        <f t="shared" si="314"/>
        <v>242.08999999999997</v>
      </c>
      <c r="E253" s="14">
        <f t="shared" si="301"/>
        <v>317.79000000000002</v>
      </c>
      <c r="F253" s="14">
        <f t="shared" si="364"/>
        <v>51.5</v>
      </c>
      <c r="G253" s="14">
        <f t="shared" si="361"/>
        <v>145.09666666666666</v>
      </c>
      <c r="H253" s="14">
        <f t="shared" si="362"/>
        <v>756.47666666666669</v>
      </c>
      <c r="I253" s="188">
        <f t="shared" si="273"/>
        <v>38671.749999999993</v>
      </c>
      <c r="J253" s="188">
        <f t="shared" si="274"/>
        <v>95039.859999999942</v>
      </c>
      <c r="K253" s="188">
        <f t="shared" si="275"/>
        <v>84501.419999999925</v>
      </c>
      <c r="L253" s="317">
        <f t="shared" si="349"/>
        <v>18</v>
      </c>
      <c r="M253" s="317">
        <f>IF(N253&lt;&gt;"",IF(N253=$O$5,0,+M252+1),0)</f>
        <v>225</v>
      </c>
      <c r="N253" s="188">
        <f t="shared" si="308"/>
        <v>217219.90000000002</v>
      </c>
      <c r="O253" s="188">
        <f>IF($O$11&lt;=A253,IF(+$W252&lt;=0,0,$O$8),0)</f>
        <v>2504.4299999999998</v>
      </c>
      <c r="P253" s="188">
        <f t="shared" si="315"/>
        <v>965.78999999999974</v>
      </c>
      <c r="Q253" s="188">
        <f>IF($O$11&lt;=A253,ROUND(N253*($O$7/12),2),0)</f>
        <v>1538.64</v>
      </c>
      <c r="R253" s="188">
        <f t="shared" ref="R253:R316" si="367">+R252</f>
        <v>51.5</v>
      </c>
      <c r="S253" s="188">
        <f t="shared" ref="S253:S316" si="368">+S252</f>
        <v>145.09666666666666</v>
      </c>
      <c r="T253" s="188">
        <f t="shared" si="365"/>
        <v>2701.0266666666666</v>
      </c>
      <c r="U253" s="188">
        <f t="shared" si="316"/>
        <v>109455.89</v>
      </c>
      <c r="V253" s="188">
        <f t="shared" si="317"/>
        <v>456545.28999999975</v>
      </c>
      <c r="W253" s="188">
        <f t="shared" si="276"/>
        <v>216254.11000000002</v>
      </c>
      <c r="X253" s="395">
        <f t="shared" si="309"/>
        <v>52980</v>
      </c>
      <c r="Y253" s="188">
        <f t="shared" si="277"/>
        <v>217219.90000000002</v>
      </c>
      <c r="Z253" s="388">
        <f t="shared" si="302"/>
        <v>8.4999999999999992E-2</v>
      </c>
      <c r="AA253" s="188">
        <f t="shared" si="303"/>
        <v>2504.4299999999998</v>
      </c>
      <c r="AB253" s="188">
        <f t="shared" si="278"/>
        <v>965.78999999999974</v>
      </c>
      <c r="AC253" s="188">
        <f t="shared" si="304"/>
        <v>1538.64</v>
      </c>
      <c r="AD253" s="188">
        <f t="shared" ref="AD253:AE253" si="369">+AD252</f>
        <v>51.5</v>
      </c>
      <c r="AE253" s="188">
        <f t="shared" si="369"/>
        <v>145.09666666666666</v>
      </c>
      <c r="AF253" s="188">
        <f t="shared" si="280"/>
        <v>2701.0266666666666</v>
      </c>
      <c r="AG253" s="188">
        <f t="shared" si="281"/>
        <v>109455.89</v>
      </c>
      <c r="AH253" s="188">
        <f t="shared" si="282"/>
        <v>456545.28999999975</v>
      </c>
      <c r="AI253" s="404">
        <f t="shared" ref="AI253:AI316" si="370">O253-AA253+AI252</f>
        <v>0</v>
      </c>
      <c r="AJ253" s="404">
        <f t="shared" si="329"/>
        <v>0</v>
      </c>
      <c r="AK253" s="404">
        <f t="shared" ref="AK253:AK316" si="371">SUM(AI253:AJ253)</f>
        <v>0</v>
      </c>
      <c r="AL253" s="188">
        <f t="shared" si="283"/>
        <v>216254.11000000002</v>
      </c>
      <c r="AM253" s="317">
        <f t="shared" si="311"/>
        <v>18</v>
      </c>
      <c r="AN253" s="14">
        <f t="shared" ref="AN253:AN316" si="372">IF(O253=0,0,+O253-C253)</f>
        <v>1944.5499999999997</v>
      </c>
      <c r="AO253" s="14">
        <f>IF(W253&lt;=0,0,+$AA$6-$C$2+I253-U253)</f>
        <v>132212.85999999999</v>
      </c>
      <c r="AP253" s="14">
        <f t="shared" ref="AP253:AP316" si="373">IF($O253=0,0,+AA253-$C253)</f>
        <v>1944.5499999999997</v>
      </c>
      <c r="AS253" s="14">
        <f t="shared" si="306"/>
        <v>1944.5499999999997</v>
      </c>
      <c r="AT253" s="14">
        <f t="shared" si="312"/>
        <v>438987.7399999983</v>
      </c>
      <c r="AU253" s="188">
        <f>IF(W253&lt;=0,0,+($O$5+AV252)*$AQ$2/12)</f>
        <v>1471.5311757906791</v>
      </c>
      <c r="AV253" s="188">
        <f t="shared" si="313"/>
        <v>264374.00149206235</v>
      </c>
    </row>
    <row r="254" spans="1:48">
      <c r="A254" s="395">
        <f t="shared" si="272"/>
        <v>53010</v>
      </c>
      <c r="B254" s="188">
        <f t="shared" si="307"/>
        <v>84501.419999999925</v>
      </c>
      <c r="C254" s="14">
        <f t="shared" si="300"/>
        <v>559.88</v>
      </c>
      <c r="D254" s="14">
        <f t="shared" si="314"/>
        <v>243</v>
      </c>
      <c r="E254" s="14">
        <f t="shared" si="301"/>
        <v>316.88</v>
      </c>
      <c r="F254" s="14">
        <f t="shared" si="364"/>
        <v>51.5</v>
      </c>
      <c r="G254" s="14">
        <f t="shared" si="361"/>
        <v>145.09666666666666</v>
      </c>
      <c r="H254" s="14">
        <f t="shared" si="362"/>
        <v>756.47666666666669</v>
      </c>
      <c r="I254" s="188">
        <f t="shared" si="273"/>
        <v>38914.749999999993</v>
      </c>
      <c r="J254" s="188">
        <f t="shared" si="274"/>
        <v>95356.739999999947</v>
      </c>
      <c r="K254" s="188">
        <f t="shared" si="275"/>
        <v>84258.419999999925</v>
      </c>
      <c r="L254" s="317">
        <f t="shared" si="349"/>
        <v>18</v>
      </c>
      <c r="M254" s="317">
        <f>IF(N254&lt;&gt;"",IF(N254=$O$5,0,+M253+1),0)</f>
        <v>226</v>
      </c>
      <c r="N254" s="188">
        <f t="shared" si="308"/>
        <v>216254.11000000002</v>
      </c>
      <c r="O254" s="188">
        <f>IF($O$11&lt;=A254,IF(+$W253&lt;=0,0,$O$8),0)</f>
        <v>2504.4299999999998</v>
      </c>
      <c r="P254" s="188">
        <f t="shared" si="315"/>
        <v>972.62999999999988</v>
      </c>
      <c r="Q254" s="188">
        <f>IF($O$11&lt;=A254,ROUND(N254*($O$7/12),2),0)</f>
        <v>1531.8</v>
      </c>
      <c r="R254" s="188">
        <f t="shared" si="367"/>
        <v>51.5</v>
      </c>
      <c r="S254" s="188">
        <f t="shared" si="368"/>
        <v>145.09666666666666</v>
      </c>
      <c r="T254" s="188">
        <f t="shared" si="365"/>
        <v>2701.0266666666666</v>
      </c>
      <c r="U254" s="188">
        <f t="shared" si="316"/>
        <v>110428.52</v>
      </c>
      <c r="V254" s="188">
        <f t="shared" si="317"/>
        <v>458077.08999999973</v>
      </c>
      <c r="W254" s="188">
        <f t="shared" si="276"/>
        <v>215281.48</v>
      </c>
      <c r="X254" s="395">
        <f t="shared" si="309"/>
        <v>53010</v>
      </c>
      <c r="Y254" s="188">
        <f t="shared" si="277"/>
        <v>216254.11000000002</v>
      </c>
      <c r="Z254" s="388">
        <f t="shared" si="302"/>
        <v>8.4999999999999992E-2</v>
      </c>
      <c r="AA254" s="188">
        <f t="shared" si="303"/>
        <v>2504.4299999999998</v>
      </c>
      <c r="AB254" s="188">
        <f t="shared" si="278"/>
        <v>972.62999999999988</v>
      </c>
      <c r="AC254" s="188">
        <f t="shared" si="304"/>
        <v>1531.8</v>
      </c>
      <c r="AD254" s="188">
        <f t="shared" ref="AD254:AE254" si="374">+AD253</f>
        <v>51.5</v>
      </c>
      <c r="AE254" s="188">
        <f t="shared" si="374"/>
        <v>145.09666666666666</v>
      </c>
      <c r="AF254" s="188">
        <f t="shared" si="280"/>
        <v>2701.0266666666666</v>
      </c>
      <c r="AG254" s="188">
        <f t="shared" si="281"/>
        <v>110428.52</v>
      </c>
      <c r="AH254" s="188">
        <f t="shared" si="282"/>
        <v>458077.08999999973</v>
      </c>
      <c r="AI254" s="404">
        <f t="shared" si="370"/>
        <v>0</v>
      </c>
      <c r="AJ254" s="404">
        <f t="shared" si="329"/>
        <v>0</v>
      </c>
      <c r="AK254" s="404">
        <f t="shared" si="371"/>
        <v>0</v>
      </c>
      <c r="AL254" s="188">
        <f t="shared" si="283"/>
        <v>215281.48</v>
      </c>
      <c r="AM254" s="317">
        <f t="shared" si="311"/>
        <v>18</v>
      </c>
      <c r="AN254" s="14">
        <f t="shared" si="372"/>
        <v>1944.5499999999997</v>
      </c>
      <c r="AO254" s="14">
        <f>IF(W254&lt;=0,0,+$AA$6-$C$2+I254-U254)</f>
        <v>131483.22999999998</v>
      </c>
      <c r="AP254" s="14">
        <f t="shared" si="373"/>
        <v>1944.5499999999997</v>
      </c>
      <c r="AS254" s="14">
        <f t="shared" si="306"/>
        <v>1944.5499999999997</v>
      </c>
      <c r="AT254" s="14">
        <f t="shared" si="312"/>
        <v>440932.28999999829</v>
      </c>
      <c r="AU254" s="188">
        <f>IF(W254&lt;=0,0,+($O$5+AV253)*$AQ$2/12)</f>
        <v>1475.2100037301559</v>
      </c>
      <c r="AV254" s="188">
        <f t="shared" si="313"/>
        <v>265849.21149579249</v>
      </c>
    </row>
    <row r="255" spans="1:48" ht="15.75" thickBot="1">
      <c r="A255" s="398">
        <f t="shared" ref="A255:A315" si="375">IF(K255&lt;=0," ",+A254+30)</f>
        <v>53040</v>
      </c>
      <c r="B255" s="237">
        <f t="shared" si="307"/>
        <v>84258.419999999925</v>
      </c>
      <c r="C255" s="21">
        <f t="shared" si="300"/>
        <v>559.88</v>
      </c>
      <c r="D255" s="21">
        <f t="shared" si="314"/>
        <v>243.90999999999997</v>
      </c>
      <c r="E255" s="21">
        <f t="shared" si="301"/>
        <v>315.97000000000003</v>
      </c>
      <c r="F255" s="21">
        <f t="shared" si="364"/>
        <v>51.5</v>
      </c>
      <c r="G255" s="21">
        <f t="shared" si="361"/>
        <v>145.09666666666666</v>
      </c>
      <c r="H255" s="21">
        <f t="shared" si="362"/>
        <v>756.47666666666669</v>
      </c>
      <c r="I255" s="237">
        <f t="shared" ref="I255:I315" si="376">$D255+$I254</f>
        <v>39158.659999999996</v>
      </c>
      <c r="J255" s="237">
        <f t="shared" ref="J255:J315" si="377">$E255+$J254</f>
        <v>95672.709999999948</v>
      </c>
      <c r="K255" s="237">
        <f t="shared" ref="K255:K315" si="378">+B255-D255</f>
        <v>84014.509999999922</v>
      </c>
      <c r="L255" s="318">
        <f t="shared" si="349"/>
        <v>18</v>
      </c>
      <c r="M255" s="318">
        <f>IF(N255&lt;&gt;"",IF(N255=$O$5,0,+M254+1),0)</f>
        <v>227</v>
      </c>
      <c r="N255" s="237">
        <f t="shared" si="308"/>
        <v>215281.48</v>
      </c>
      <c r="O255" s="237">
        <f>IF($O$11&lt;=A255,IF(+$W254&lt;=0,0,$O$8),0)</f>
        <v>2504.4299999999998</v>
      </c>
      <c r="P255" s="237">
        <f t="shared" si="315"/>
        <v>979.51999999999975</v>
      </c>
      <c r="Q255" s="237">
        <f>IF($O$11&lt;=A255,ROUND(N255*($O$7/12),2),0)</f>
        <v>1524.91</v>
      </c>
      <c r="R255" s="237">
        <f t="shared" si="367"/>
        <v>51.5</v>
      </c>
      <c r="S255" s="237">
        <f t="shared" si="368"/>
        <v>145.09666666666666</v>
      </c>
      <c r="T255" s="237">
        <f t="shared" si="365"/>
        <v>2701.0266666666666</v>
      </c>
      <c r="U255" s="237">
        <f t="shared" si="316"/>
        <v>111408.04000000001</v>
      </c>
      <c r="V255" s="237">
        <f t="shared" si="317"/>
        <v>459601.99999999971</v>
      </c>
      <c r="W255" s="237">
        <f t="shared" ref="W255:W315" si="379">+N255-P255</f>
        <v>214301.96000000002</v>
      </c>
      <c r="X255" s="398">
        <f t="shared" si="309"/>
        <v>53040</v>
      </c>
      <c r="Y255" s="237">
        <f t="shared" ref="Y255:Y318" si="380">IF(+AL254&lt;0,0,+AL254)</f>
        <v>215281.48</v>
      </c>
      <c r="Z255" s="389">
        <f t="shared" si="302"/>
        <v>8.4999999999999992E-2</v>
      </c>
      <c r="AA255" s="237">
        <f t="shared" si="303"/>
        <v>2504.4299999999998</v>
      </c>
      <c r="AB255" s="237">
        <f t="shared" ref="AB255:AB318" si="381">+AA255-AC255</f>
        <v>979.51999999999975</v>
      </c>
      <c r="AC255" s="237">
        <f t="shared" si="304"/>
        <v>1524.91</v>
      </c>
      <c r="AD255" s="237">
        <f t="shared" ref="AD255:AE255" si="382">+AD254</f>
        <v>51.5</v>
      </c>
      <c r="AE255" s="237">
        <f t="shared" si="382"/>
        <v>145.09666666666666</v>
      </c>
      <c r="AF255" s="237">
        <f t="shared" ref="AF255:AF318" si="383">SUM(AB255:AE255)</f>
        <v>2701.0266666666666</v>
      </c>
      <c r="AG255" s="237">
        <f t="shared" ref="AG255:AG318" si="384">+AB255+AG254</f>
        <v>111408.04000000001</v>
      </c>
      <c r="AH255" s="237">
        <f t="shared" ref="AH255:AH318" si="385">+AH254+AC255</f>
        <v>459601.99999999971</v>
      </c>
      <c r="AI255" s="405">
        <f t="shared" si="370"/>
        <v>0</v>
      </c>
      <c r="AJ255" s="405">
        <f t="shared" si="329"/>
        <v>0</v>
      </c>
      <c r="AK255" s="404">
        <f t="shared" si="371"/>
        <v>0</v>
      </c>
      <c r="AL255" s="237">
        <f t="shared" ref="AL255:AL318" si="386">+Y255-AB255</f>
        <v>214301.96000000002</v>
      </c>
      <c r="AM255" s="318">
        <f t="shared" si="311"/>
        <v>18</v>
      </c>
      <c r="AN255" s="21">
        <f t="shared" si="372"/>
        <v>1944.5499999999997</v>
      </c>
      <c r="AO255" s="21">
        <f>IF(W255&lt;=0,0,+$AA$6-$C$2+I255-U255)</f>
        <v>130747.62</v>
      </c>
      <c r="AP255" s="21">
        <f t="shared" si="373"/>
        <v>1944.5499999999997</v>
      </c>
      <c r="AQ255" s="21"/>
      <c r="AR255" s="23"/>
      <c r="AS255" s="21">
        <f t="shared" si="306"/>
        <v>1944.5499999999997</v>
      </c>
      <c r="AT255" s="21">
        <f t="shared" si="312"/>
        <v>442876.83999999828</v>
      </c>
      <c r="AU255" s="237">
        <f>IF(W255&lt;=0,0,+($O$5+AV254)*$AQ$2/12)</f>
        <v>1478.8980287394813</v>
      </c>
      <c r="AV255" s="237">
        <f t="shared" si="313"/>
        <v>267328.10952453199</v>
      </c>
    </row>
    <row r="256" spans="1:48">
      <c r="A256" s="395">
        <f t="shared" si="375"/>
        <v>53070</v>
      </c>
      <c r="B256" s="188">
        <f t="shared" si="307"/>
        <v>84014.509999999922</v>
      </c>
      <c r="C256" s="14">
        <f t="shared" si="300"/>
        <v>559.88</v>
      </c>
      <c r="D256" s="14">
        <f t="shared" si="314"/>
        <v>244.82999999999998</v>
      </c>
      <c r="E256" s="14">
        <f t="shared" si="301"/>
        <v>315.05</v>
      </c>
      <c r="F256" s="14">
        <f t="shared" si="364"/>
        <v>51.5</v>
      </c>
      <c r="G256" s="14">
        <f t="shared" si="361"/>
        <v>145.09666666666666</v>
      </c>
      <c r="H256" s="14">
        <f t="shared" si="362"/>
        <v>756.47666666666669</v>
      </c>
      <c r="I256" s="188">
        <f t="shared" si="376"/>
        <v>39403.49</v>
      </c>
      <c r="J256" s="188">
        <f t="shared" si="377"/>
        <v>95987.759999999951</v>
      </c>
      <c r="K256" s="188">
        <f t="shared" si="378"/>
        <v>83769.67999999992</v>
      </c>
      <c r="L256" s="317">
        <f t="shared" si="349"/>
        <v>19</v>
      </c>
      <c r="M256" s="317">
        <f>IF(N256&lt;&gt;"",IF(N256=$O$5,0,+M255+1),0)</f>
        <v>228</v>
      </c>
      <c r="N256" s="188">
        <f t="shared" si="308"/>
        <v>214301.96000000002</v>
      </c>
      <c r="O256" s="188">
        <f>IF($O$11&lt;=A256,IF(+$W255&lt;=0,0,$O$8),0)</f>
        <v>2504.4299999999998</v>
      </c>
      <c r="P256" s="188">
        <f t="shared" si="315"/>
        <v>986.45999999999981</v>
      </c>
      <c r="Q256" s="188">
        <f>IF($O$11&lt;=A256,ROUND(N256*($O$7/12),2),0)</f>
        <v>1517.97</v>
      </c>
      <c r="R256" s="188">
        <f t="shared" si="367"/>
        <v>51.5</v>
      </c>
      <c r="S256" s="188">
        <f t="shared" si="368"/>
        <v>145.09666666666666</v>
      </c>
      <c r="T256" s="188">
        <f t="shared" si="365"/>
        <v>2701.0266666666666</v>
      </c>
      <c r="U256" s="188">
        <f t="shared" si="316"/>
        <v>112394.50000000001</v>
      </c>
      <c r="V256" s="188">
        <f t="shared" si="317"/>
        <v>461119.96999999968</v>
      </c>
      <c r="W256" s="188">
        <f t="shared" si="379"/>
        <v>213315.50000000003</v>
      </c>
      <c r="X256" s="395">
        <f t="shared" si="309"/>
        <v>53070</v>
      </c>
      <c r="Y256" s="188">
        <f t="shared" si="380"/>
        <v>214301.96000000002</v>
      </c>
      <c r="Z256" s="388">
        <f t="shared" si="302"/>
        <v>8.4999999999999992E-2</v>
      </c>
      <c r="AA256" s="188">
        <f t="shared" si="303"/>
        <v>2504.4299999999998</v>
      </c>
      <c r="AB256" s="188">
        <f t="shared" si="381"/>
        <v>986.45999999999981</v>
      </c>
      <c r="AC256" s="188">
        <f t="shared" si="304"/>
        <v>1517.97</v>
      </c>
      <c r="AD256" s="188">
        <f t="shared" ref="AD256:AE256" si="387">+AD255</f>
        <v>51.5</v>
      </c>
      <c r="AE256" s="188">
        <f t="shared" si="387"/>
        <v>145.09666666666666</v>
      </c>
      <c r="AF256" s="188">
        <f t="shared" si="383"/>
        <v>2701.0266666666666</v>
      </c>
      <c r="AG256" s="188">
        <f t="shared" si="384"/>
        <v>112394.50000000001</v>
      </c>
      <c r="AH256" s="188">
        <f t="shared" si="385"/>
        <v>461119.96999999968</v>
      </c>
      <c r="AI256" s="404">
        <f t="shared" si="370"/>
        <v>0</v>
      </c>
      <c r="AJ256" s="404">
        <f t="shared" si="329"/>
        <v>0</v>
      </c>
      <c r="AK256" s="404">
        <f t="shared" si="371"/>
        <v>0</v>
      </c>
      <c r="AL256" s="188">
        <f t="shared" si="386"/>
        <v>213315.50000000003</v>
      </c>
      <c r="AM256" s="317">
        <f t="shared" si="311"/>
        <v>19</v>
      </c>
      <c r="AN256" s="14">
        <f t="shared" si="372"/>
        <v>1944.5499999999997</v>
      </c>
      <c r="AO256" s="14">
        <f>IF(W256&lt;=0,0,+$AA$6-$C$2+I256-U256)</f>
        <v>130005.98999999998</v>
      </c>
      <c r="AP256" s="14">
        <f t="shared" si="373"/>
        <v>1944.5499999999997</v>
      </c>
      <c r="AS256" s="14">
        <f t="shared" si="306"/>
        <v>1944.5499999999997</v>
      </c>
      <c r="AT256" s="14">
        <f t="shared" si="312"/>
        <v>444821.38999999827</v>
      </c>
      <c r="AU256" s="188">
        <f>IF(W256&lt;=0,0,+($O$5+AV255)*$AQ$2/12)</f>
        <v>1482.5952738113299</v>
      </c>
      <c r="AV256" s="188">
        <f t="shared" si="313"/>
        <v>268810.7047983433</v>
      </c>
    </row>
    <row r="257" spans="1:48">
      <c r="A257" s="395">
        <f t="shared" si="375"/>
        <v>53100</v>
      </c>
      <c r="B257" s="188">
        <f t="shared" si="307"/>
        <v>83769.67999999992</v>
      </c>
      <c r="C257" s="14">
        <f t="shared" si="300"/>
        <v>559.88</v>
      </c>
      <c r="D257" s="14">
        <f t="shared" si="314"/>
        <v>245.74</v>
      </c>
      <c r="E257" s="14">
        <f t="shared" si="301"/>
        <v>314.14</v>
      </c>
      <c r="F257" s="14">
        <f t="shared" si="364"/>
        <v>51.5</v>
      </c>
      <c r="G257" s="14">
        <f t="shared" si="361"/>
        <v>145.09666666666666</v>
      </c>
      <c r="H257" s="14">
        <f t="shared" si="362"/>
        <v>756.47666666666669</v>
      </c>
      <c r="I257" s="188">
        <f t="shared" si="376"/>
        <v>39649.229999999996</v>
      </c>
      <c r="J257" s="188">
        <f t="shared" si="377"/>
        <v>96301.899999999951</v>
      </c>
      <c r="K257" s="188">
        <f t="shared" si="378"/>
        <v>83523.939999999915</v>
      </c>
      <c r="L257" s="317">
        <f t="shared" si="349"/>
        <v>19</v>
      </c>
      <c r="M257" s="317">
        <f>IF(N257&lt;&gt;"",IF(N257=$O$5,0,+M256+1),0)</f>
        <v>229</v>
      </c>
      <c r="N257" s="188">
        <f t="shared" si="308"/>
        <v>213315.50000000003</v>
      </c>
      <c r="O257" s="188">
        <f>IF($O$11&lt;=A257,IF(+$W256&lt;=0,0,$O$8),0)</f>
        <v>2504.4299999999998</v>
      </c>
      <c r="P257" s="188">
        <f t="shared" si="315"/>
        <v>993.44999999999982</v>
      </c>
      <c r="Q257" s="188">
        <f>IF($O$11&lt;=A257,ROUND(N257*($O$7/12),2),0)</f>
        <v>1510.98</v>
      </c>
      <c r="R257" s="188">
        <f t="shared" si="367"/>
        <v>51.5</v>
      </c>
      <c r="S257" s="188">
        <f t="shared" si="368"/>
        <v>145.09666666666666</v>
      </c>
      <c r="T257" s="188">
        <f t="shared" si="365"/>
        <v>2701.0266666666666</v>
      </c>
      <c r="U257" s="188">
        <f t="shared" si="316"/>
        <v>113387.95000000001</v>
      </c>
      <c r="V257" s="188">
        <f t="shared" si="317"/>
        <v>462630.94999999966</v>
      </c>
      <c r="W257" s="188">
        <f t="shared" si="379"/>
        <v>212322.05000000002</v>
      </c>
      <c r="X257" s="395">
        <f t="shared" si="309"/>
        <v>53100</v>
      </c>
      <c r="Y257" s="188">
        <f t="shared" si="380"/>
        <v>213315.50000000003</v>
      </c>
      <c r="Z257" s="388">
        <f t="shared" si="302"/>
        <v>8.4999999999999992E-2</v>
      </c>
      <c r="AA257" s="188">
        <f t="shared" si="303"/>
        <v>2504.4299999999998</v>
      </c>
      <c r="AB257" s="188">
        <f t="shared" si="381"/>
        <v>993.44999999999982</v>
      </c>
      <c r="AC257" s="188">
        <f t="shared" si="304"/>
        <v>1510.98</v>
      </c>
      <c r="AD257" s="188">
        <f t="shared" ref="AD257:AE257" si="388">+AD256</f>
        <v>51.5</v>
      </c>
      <c r="AE257" s="188">
        <f t="shared" si="388"/>
        <v>145.09666666666666</v>
      </c>
      <c r="AF257" s="188">
        <f t="shared" si="383"/>
        <v>2701.0266666666666</v>
      </c>
      <c r="AG257" s="188">
        <f t="shared" si="384"/>
        <v>113387.95000000001</v>
      </c>
      <c r="AH257" s="188">
        <f t="shared" si="385"/>
        <v>462630.94999999966</v>
      </c>
      <c r="AI257" s="404">
        <f t="shared" si="370"/>
        <v>0</v>
      </c>
      <c r="AJ257" s="404">
        <f t="shared" si="329"/>
        <v>0</v>
      </c>
      <c r="AK257" s="404">
        <f t="shared" si="371"/>
        <v>0</v>
      </c>
      <c r="AL257" s="188">
        <f t="shared" si="386"/>
        <v>212322.05000000002</v>
      </c>
      <c r="AM257" s="317">
        <f t="shared" si="311"/>
        <v>19</v>
      </c>
      <c r="AN257" s="14">
        <f t="shared" si="372"/>
        <v>1944.5499999999997</v>
      </c>
      <c r="AO257" s="14">
        <f>IF(W257&lt;=0,0,+$AA$6-$C$2+I257-U257)</f>
        <v>129258.27999999997</v>
      </c>
      <c r="AP257" s="14">
        <f t="shared" si="373"/>
        <v>1944.5499999999997</v>
      </c>
      <c r="AS257" s="14">
        <f t="shared" si="306"/>
        <v>1944.5499999999997</v>
      </c>
      <c r="AT257" s="14">
        <f t="shared" si="312"/>
        <v>446765.93999999826</v>
      </c>
      <c r="AU257" s="188">
        <f>IF(W257&lt;=0,0,+($O$5+AV256)*$AQ$2/12)</f>
        <v>1486.3017619958582</v>
      </c>
      <c r="AV257" s="188">
        <f t="shared" si="313"/>
        <v>270297.00656033918</v>
      </c>
    </row>
    <row r="258" spans="1:48">
      <c r="A258" s="395">
        <f t="shared" si="375"/>
        <v>53130</v>
      </c>
      <c r="B258" s="188">
        <f t="shared" si="307"/>
        <v>83523.939999999915</v>
      </c>
      <c r="C258" s="14">
        <f t="shared" si="300"/>
        <v>559.88</v>
      </c>
      <c r="D258" s="14">
        <f t="shared" si="314"/>
        <v>246.67000000000002</v>
      </c>
      <c r="E258" s="14">
        <f t="shared" si="301"/>
        <v>313.20999999999998</v>
      </c>
      <c r="F258" s="14">
        <f t="shared" si="364"/>
        <v>51.5</v>
      </c>
      <c r="G258" s="14">
        <f t="shared" si="361"/>
        <v>145.09666666666666</v>
      </c>
      <c r="H258" s="14">
        <f t="shared" si="362"/>
        <v>756.47666666666669</v>
      </c>
      <c r="I258" s="188">
        <f t="shared" si="376"/>
        <v>39895.899999999994</v>
      </c>
      <c r="J258" s="188">
        <f t="shared" si="377"/>
        <v>96615.109999999957</v>
      </c>
      <c r="K258" s="188">
        <f t="shared" si="378"/>
        <v>83277.269999999917</v>
      </c>
      <c r="L258" s="317">
        <f t="shared" si="349"/>
        <v>19</v>
      </c>
      <c r="M258" s="317">
        <f>IF(N258&lt;&gt;"",IF(N258=$O$5,0,+M257+1),0)</f>
        <v>230</v>
      </c>
      <c r="N258" s="188">
        <f t="shared" si="308"/>
        <v>212322.05000000002</v>
      </c>
      <c r="O258" s="188">
        <f>IF($O$11&lt;=A258,IF(+$W257&lt;=0,0,$O$8),0)</f>
        <v>2504.4299999999998</v>
      </c>
      <c r="P258" s="188">
        <f t="shared" si="315"/>
        <v>1000.4799999999998</v>
      </c>
      <c r="Q258" s="188">
        <f>IF($O$11&lt;=A258,ROUND(N258*($O$7/12),2),0)</f>
        <v>1503.95</v>
      </c>
      <c r="R258" s="188">
        <f t="shared" si="367"/>
        <v>51.5</v>
      </c>
      <c r="S258" s="188">
        <f t="shared" si="368"/>
        <v>145.09666666666666</v>
      </c>
      <c r="T258" s="188">
        <f t="shared" si="365"/>
        <v>2701.0266666666666</v>
      </c>
      <c r="U258" s="188">
        <f t="shared" si="316"/>
        <v>114388.43000000001</v>
      </c>
      <c r="V258" s="188">
        <f t="shared" si="317"/>
        <v>464134.89999999967</v>
      </c>
      <c r="W258" s="188">
        <f t="shared" si="379"/>
        <v>211321.57</v>
      </c>
      <c r="X258" s="395">
        <f t="shared" si="309"/>
        <v>53130</v>
      </c>
      <c r="Y258" s="188">
        <f t="shared" si="380"/>
        <v>212322.05000000002</v>
      </c>
      <c r="Z258" s="388">
        <f t="shared" si="302"/>
        <v>8.4999999999999992E-2</v>
      </c>
      <c r="AA258" s="188">
        <f t="shared" si="303"/>
        <v>2504.4299999999998</v>
      </c>
      <c r="AB258" s="188">
        <f t="shared" si="381"/>
        <v>1000.4799999999998</v>
      </c>
      <c r="AC258" s="188">
        <f t="shared" si="304"/>
        <v>1503.95</v>
      </c>
      <c r="AD258" s="188">
        <f t="shared" ref="AD258:AE258" si="389">+AD257</f>
        <v>51.5</v>
      </c>
      <c r="AE258" s="188">
        <f t="shared" si="389"/>
        <v>145.09666666666666</v>
      </c>
      <c r="AF258" s="188">
        <f t="shared" si="383"/>
        <v>2701.0266666666666</v>
      </c>
      <c r="AG258" s="188">
        <f t="shared" si="384"/>
        <v>114388.43000000001</v>
      </c>
      <c r="AH258" s="188">
        <f t="shared" si="385"/>
        <v>464134.89999999967</v>
      </c>
      <c r="AI258" s="404">
        <f t="shared" si="370"/>
        <v>0</v>
      </c>
      <c r="AJ258" s="404">
        <f t="shared" si="329"/>
        <v>0</v>
      </c>
      <c r="AK258" s="404">
        <f t="shared" si="371"/>
        <v>0</v>
      </c>
      <c r="AL258" s="188">
        <f t="shared" si="386"/>
        <v>211321.57</v>
      </c>
      <c r="AM258" s="317">
        <f t="shared" si="311"/>
        <v>19</v>
      </c>
      <c r="AN258" s="14">
        <f t="shared" si="372"/>
        <v>1944.5499999999997</v>
      </c>
      <c r="AO258" s="14">
        <f>IF(W258&lt;=0,0,+$AA$6-$C$2+I258-U258)</f>
        <v>128504.46999999999</v>
      </c>
      <c r="AP258" s="14">
        <f t="shared" si="373"/>
        <v>1944.5499999999997</v>
      </c>
      <c r="AS258" s="14">
        <f t="shared" si="306"/>
        <v>1944.5499999999997</v>
      </c>
      <c r="AT258" s="14">
        <f t="shared" si="312"/>
        <v>448710.48999999824</v>
      </c>
      <c r="AU258" s="188">
        <f>IF(W258&lt;=0,0,+($O$5+AV257)*$AQ$2/12)</f>
        <v>1490.0175164008479</v>
      </c>
      <c r="AV258" s="188">
        <f t="shared" si="313"/>
        <v>271787.02407674002</v>
      </c>
    </row>
    <row r="259" spans="1:48">
      <c r="A259" s="395">
        <f t="shared" si="375"/>
        <v>53160</v>
      </c>
      <c r="B259" s="188">
        <f t="shared" si="307"/>
        <v>83277.269999999917</v>
      </c>
      <c r="C259" s="14">
        <f t="shared" si="300"/>
        <v>559.88</v>
      </c>
      <c r="D259" s="14">
        <f t="shared" si="314"/>
        <v>247.58999999999997</v>
      </c>
      <c r="E259" s="14">
        <f t="shared" si="301"/>
        <v>312.29000000000002</v>
      </c>
      <c r="F259" s="14">
        <f t="shared" si="364"/>
        <v>51.5</v>
      </c>
      <c r="G259" s="14">
        <f t="shared" si="361"/>
        <v>145.09666666666666</v>
      </c>
      <c r="H259" s="14">
        <f t="shared" si="362"/>
        <v>756.47666666666669</v>
      </c>
      <c r="I259" s="188">
        <f t="shared" si="376"/>
        <v>40143.489999999991</v>
      </c>
      <c r="J259" s="188">
        <f t="shared" si="377"/>
        <v>96927.399999999951</v>
      </c>
      <c r="K259" s="188">
        <f t="shared" si="378"/>
        <v>83029.67999999992</v>
      </c>
      <c r="L259" s="317">
        <f t="shared" si="349"/>
        <v>19</v>
      </c>
      <c r="M259" s="317">
        <f>IF(N259&lt;&gt;"",IF(N259=$O$5,0,+M258+1),0)</f>
        <v>231</v>
      </c>
      <c r="N259" s="188">
        <f t="shared" si="308"/>
        <v>211321.57</v>
      </c>
      <c r="O259" s="188">
        <f>IF($O$11&lt;=A259,IF(+$W258&lt;=0,0,$O$8),0)</f>
        <v>2504.4299999999998</v>
      </c>
      <c r="P259" s="188">
        <f t="shared" si="315"/>
        <v>1007.5699999999999</v>
      </c>
      <c r="Q259" s="188">
        <f>IF($O$11&lt;=A259,ROUND(N259*($O$7/12),2),0)</f>
        <v>1496.86</v>
      </c>
      <c r="R259" s="188">
        <f t="shared" si="367"/>
        <v>51.5</v>
      </c>
      <c r="S259" s="188">
        <f t="shared" si="368"/>
        <v>145.09666666666666</v>
      </c>
      <c r="T259" s="188">
        <f t="shared" si="365"/>
        <v>2701.0266666666666</v>
      </c>
      <c r="U259" s="188">
        <f t="shared" si="316"/>
        <v>115396.00000000001</v>
      </c>
      <c r="V259" s="188">
        <f t="shared" si="317"/>
        <v>465631.75999999966</v>
      </c>
      <c r="W259" s="188">
        <f t="shared" si="379"/>
        <v>210314</v>
      </c>
      <c r="X259" s="395">
        <f t="shared" si="309"/>
        <v>53160</v>
      </c>
      <c r="Y259" s="188">
        <f t="shared" si="380"/>
        <v>211321.57</v>
      </c>
      <c r="Z259" s="388">
        <f t="shared" si="302"/>
        <v>8.4999999999999992E-2</v>
      </c>
      <c r="AA259" s="188">
        <f t="shared" si="303"/>
        <v>2504.4299999999998</v>
      </c>
      <c r="AB259" s="188">
        <f t="shared" si="381"/>
        <v>1007.5699999999999</v>
      </c>
      <c r="AC259" s="188">
        <f t="shared" si="304"/>
        <v>1496.86</v>
      </c>
      <c r="AD259" s="188">
        <f t="shared" ref="AD259:AE259" si="390">+AD258</f>
        <v>51.5</v>
      </c>
      <c r="AE259" s="188">
        <f t="shared" si="390"/>
        <v>145.09666666666666</v>
      </c>
      <c r="AF259" s="188">
        <f t="shared" si="383"/>
        <v>2701.0266666666666</v>
      </c>
      <c r="AG259" s="188">
        <f t="shared" si="384"/>
        <v>115396.00000000001</v>
      </c>
      <c r="AH259" s="188">
        <f t="shared" si="385"/>
        <v>465631.75999999966</v>
      </c>
      <c r="AI259" s="404">
        <f t="shared" si="370"/>
        <v>0</v>
      </c>
      <c r="AJ259" s="404">
        <f t="shared" si="329"/>
        <v>0</v>
      </c>
      <c r="AK259" s="404">
        <f t="shared" si="371"/>
        <v>0</v>
      </c>
      <c r="AL259" s="188">
        <f t="shared" si="386"/>
        <v>210314</v>
      </c>
      <c r="AM259" s="317">
        <f t="shared" si="311"/>
        <v>19</v>
      </c>
      <c r="AN259" s="14">
        <f t="shared" si="372"/>
        <v>1944.5499999999997</v>
      </c>
      <c r="AO259" s="14">
        <f>IF(W259&lt;=0,0,+$AA$6-$C$2+I259-U259)</f>
        <v>127744.48999999998</v>
      </c>
      <c r="AP259" s="14">
        <f t="shared" si="373"/>
        <v>1944.5499999999997</v>
      </c>
      <c r="AS259" s="14">
        <f t="shared" si="306"/>
        <v>1944.5499999999997</v>
      </c>
      <c r="AT259" s="14">
        <f t="shared" si="312"/>
        <v>450655.03999999823</v>
      </c>
      <c r="AU259" s="188">
        <f>IF(W259&lt;=0,0,+($O$5+AV258)*$AQ$2/12)</f>
        <v>1493.7425601918501</v>
      </c>
      <c r="AV259" s="188">
        <f t="shared" si="313"/>
        <v>273280.76663693186</v>
      </c>
    </row>
    <row r="260" spans="1:48">
      <c r="A260" s="395">
        <f t="shared" si="375"/>
        <v>53190</v>
      </c>
      <c r="B260" s="188">
        <f t="shared" si="307"/>
        <v>83029.67999999992</v>
      </c>
      <c r="C260" s="14">
        <f t="shared" si="300"/>
        <v>559.88</v>
      </c>
      <c r="D260" s="14">
        <f t="shared" si="314"/>
        <v>248.51999999999998</v>
      </c>
      <c r="E260" s="14">
        <f t="shared" si="301"/>
        <v>311.36</v>
      </c>
      <c r="F260" s="14">
        <f t="shared" si="364"/>
        <v>51.5</v>
      </c>
      <c r="G260" s="14">
        <f t="shared" si="361"/>
        <v>145.09666666666666</v>
      </c>
      <c r="H260" s="14">
        <f t="shared" si="362"/>
        <v>756.47666666666669</v>
      </c>
      <c r="I260" s="188">
        <f t="shared" si="376"/>
        <v>40392.009999999987</v>
      </c>
      <c r="J260" s="188">
        <f t="shared" si="377"/>
        <v>97238.759999999951</v>
      </c>
      <c r="K260" s="188">
        <f t="shared" si="378"/>
        <v>82781.159999999916</v>
      </c>
      <c r="L260" s="317">
        <f t="shared" si="349"/>
        <v>19</v>
      </c>
      <c r="M260" s="317">
        <f>IF(N260&lt;&gt;"",IF(N260=$O$5,0,+M259+1),0)</f>
        <v>232</v>
      </c>
      <c r="N260" s="188">
        <f t="shared" si="308"/>
        <v>210314</v>
      </c>
      <c r="O260" s="188">
        <f>IF($O$11&lt;=A260,IF(+$W259&lt;=0,0,$O$8),0)</f>
        <v>2504.4299999999998</v>
      </c>
      <c r="P260" s="188">
        <f t="shared" si="315"/>
        <v>1014.7099999999998</v>
      </c>
      <c r="Q260" s="188">
        <f>IF($O$11&lt;=A260,ROUND(N260*($O$7/12),2),0)</f>
        <v>1489.72</v>
      </c>
      <c r="R260" s="188">
        <f t="shared" si="367"/>
        <v>51.5</v>
      </c>
      <c r="S260" s="188">
        <f t="shared" si="368"/>
        <v>145.09666666666666</v>
      </c>
      <c r="T260" s="188">
        <f t="shared" si="365"/>
        <v>2701.0266666666666</v>
      </c>
      <c r="U260" s="188">
        <f t="shared" si="316"/>
        <v>116410.71000000002</v>
      </c>
      <c r="V260" s="188">
        <f t="shared" si="317"/>
        <v>467121.47999999963</v>
      </c>
      <c r="W260" s="188">
        <f t="shared" si="379"/>
        <v>209299.29</v>
      </c>
      <c r="X260" s="395">
        <f t="shared" si="309"/>
        <v>53190</v>
      </c>
      <c r="Y260" s="188">
        <f t="shared" si="380"/>
        <v>210314</v>
      </c>
      <c r="Z260" s="388">
        <f t="shared" si="302"/>
        <v>8.4999999999999992E-2</v>
      </c>
      <c r="AA260" s="188">
        <f t="shared" si="303"/>
        <v>2504.4299999999998</v>
      </c>
      <c r="AB260" s="188">
        <f t="shared" si="381"/>
        <v>1014.7099999999998</v>
      </c>
      <c r="AC260" s="188">
        <f t="shared" si="304"/>
        <v>1489.72</v>
      </c>
      <c r="AD260" s="188">
        <f t="shared" ref="AD260:AE260" si="391">+AD259</f>
        <v>51.5</v>
      </c>
      <c r="AE260" s="188">
        <f t="shared" si="391"/>
        <v>145.09666666666666</v>
      </c>
      <c r="AF260" s="188">
        <f t="shared" si="383"/>
        <v>2701.0266666666666</v>
      </c>
      <c r="AG260" s="188">
        <f t="shared" si="384"/>
        <v>116410.71000000002</v>
      </c>
      <c r="AH260" s="188">
        <f t="shared" si="385"/>
        <v>467121.47999999963</v>
      </c>
      <c r="AI260" s="404">
        <f t="shared" si="370"/>
        <v>0</v>
      </c>
      <c r="AJ260" s="404">
        <f t="shared" si="329"/>
        <v>0</v>
      </c>
      <c r="AK260" s="404">
        <f t="shared" si="371"/>
        <v>0</v>
      </c>
      <c r="AL260" s="188">
        <f t="shared" si="386"/>
        <v>209299.29</v>
      </c>
      <c r="AM260" s="317">
        <f t="shared" si="311"/>
        <v>19</v>
      </c>
      <c r="AN260" s="14">
        <f t="shared" si="372"/>
        <v>1944.5499999999997</v>
      </c>
      <c r="AO260" s="14">
        <f>IF(W260&lt;=0,0,+$AA$6-$C$2+I260-U260)</f>
        <v>126978.29999999996</v>
      </c>
      <c r="AP260" s="14">
        <f t="shared" si="373"/>
        <v>1944.5499999999997</v>
      </c>
      <c r="AS260" s="14">
        <f t="shared" si="306"/>
        <v>1944.5499999999997</v>
      </c>
      <c r="AT260" s="14">
        <f t="shared" si="312"/>
        <v>452599.58999999822</v>
      </c>
      <c r="AU260" s="188">
        <f>IF(W260&lt;=0,0,+($O$5+AV259)*$AQ$2/12)</f>
        <v>1497.4769165923296</v>
      </c>
      <c r="AV260" s="188">
        <f t="shared" si="313"/>
        <v>274778.2435535242</v>
      </c>
    </row>
    <row r="261" spans="1:48">
      <c r="A261" s="395">
        <f t="shared" si="375"/>
        <v>53220</v>
      </c>
      <c r="B261" s="188">
        <f t="shared" si="307"/>
        <v>82781.159999999916</v>
      </c>
      <c r="C261" s="14">
        <f t="shared" si="300"/>
        <v>559.88</v>
      </c>
      <c r="D261" s="14">
        <f t="shared" si="314"/>
        <v>249.45</v>
      </c>
      <c r="E261" s="14">
        <f t="shared" si="301"/>
        <v>310.43</v>
      </c>
      <c r="F261" s="14">
        <f t="shared" si="364"/>
        <v>51.5</v>
      </c>
      <c r="G261" s="14">
        <f t="shared" si="361"/>
        <v>145.09666666666666</v>
      </c>
      <c r="H261" s="14">
        <f t="shared" si="362"/>
        <v>756.47666666666669</v>
      </c>
      <c r="I261" s="188">
        <f t="shared" si="376"/>
        <v>40641.459999999985</v>
      </c>
      <c r="J261" s="188">
        <f t="shared" si="377"/>
        <v>97549.189999999944</v>
      </c>
      <c r="K261" s="188">
        <f t="shared" si="378"/>
        <v>82531.709999999919</v>
      </c>
      <c r="L261" s="317">
        <f t="shared" si="349"/>
        <v>19</v>
      </c>
      <c r="M261" s="317">
        <f>IF(N261&lt;&gt;"",IF(N261=$O$5,0,+M260+1),0)</f>
        <v>233</v>
      </c>
      <c r="N261" s="188">
        <f t="shared" si="308"/>
        <v>209299.29</v>
      </c>
      <c r="O261" s="188">
        <f>IF($O$11&lt;=A261,IF(+$W260&lt;=0,0,$O$8),0)</f>
        <v>2504.4299999999998</v>
      </c>
      <c r="P261" s="188">
        <f t="shared" si="315"/>
        <v>1021.8899999999999</v>
      </c>
      <c r="Q261" s="188">
        <f>IF($O$11&lt;=A261,ROUND(N261*($O$7/12),2),0)</f>
        <v>1482.54</v>
      </c>
      <c r="R261" s="188">
        <f t="shared" si="367"/>
        <v>51.5</v>
      </c>
      <c r="S261" s="188">
        <f t="shared" si="368"/>
        <v>145.09666666666666</v>
      </c>
      <c r="T261" s="188">
        <f t="shared" si="365"/>
        <v>2701.0266666666666</v>
      </c>
      <c r="U261" s="188">
        <f t="shared" si="316"/>
        <v>117432.60000000002</v>
      </c>
      <c r="V261" s="188">
        <f t="shared" si="317"/>
        <v>468604.01999999961</v>
      </c>
      <c r="W261" s="188">
        <f t="shared" si="379"/>
        <v>208277.4</v>
      </c>
      <c r="X261" s="395">
        <f t="shared" si="309"/>
        <v>53220</v>
      </c>
      <c r="Y261" s="188">
        <f t="shared" si="380"/>
        <v>209299.29</v>
      </c>
      <c r="Z261" s="388">
        <f t="shared" si="302"/>
        <v>8.4999999999999992E-2</v>
      </c>
      <c r="AA261" s="188">
        <f t="shared" si="303"/>
        <v>2504.4299999999998</v>
      </c>
      <c r="AB261" s="188">
        <f t="shared" si="381"/>
        <v>1021.8899999999999</v>
      </c>
      <c r="AC261" s="188">
        <f t="shared" si="304"/>
        <v>1482.54</v>
      </c>
      <c r="AD261" s="188">
        <f t="shared" ref="AD261:AE261" si="392">+AD260</f>
        <v>51.5</v>
      </c>
      <c r="AE261" s="188">
        <f t="shared" si="392"/>
        <v>145.09666666666666</v>
      </c>
      <c r="AF261" s="188">
        <f t="shared" si="383"/>
        <v>2701.0266666666666</v>
      </c>
      <c r="AG261" s="188">
        <f t="shared" si="384"/>
        <v>117432.60000000002</v>
      </c>
      <c r="AH261" s="188">
        <f t="shared" si="385"/>
        <v>468604.01999999961</v>
      </c>
      <c r="AI261" s="404">
        <f t="shared" si="370"/>
        <v>0</v>
      </c>
      <c r="AJ261" s="404">
        <f t="shared" si="329"/>
        <v>0</v>
      </c>
      <c r="AK261" s="404">
        <f t="shared" si="371"/>
        <v>0</v>
      </c>
      <c r="AL261" s="188">
        <f t="shared" si="386"/>
        <v>208277.4</v>
      </c>
      <c r="AM261" s="317">
        <f t="shared" si="311"/>
        <v>19</v>
      </c>
      <c r="AN261" s="14">
        <f t="shared" si="372"/>
        <v>1944.5499999999997</v>
      </c>
      <c r="AO261" s="14">
        <f>IF(W261&lt;=0,0,+$AA$6-$C$2+I261-U261)</f>
        <v>126205.85999999997</v>
      </c>
      <c r="AP261" s="14">
        <f t="shared" si="373"/>
        <v>1944.5499999999997</v>
      </c>
      <c r="AS261" s="14">
        <f t="shared" si="306"/>
        <v>1944.5499999999997</v>
      </c>
      <c r="AT261" s="14">
        <f t="shared" si="312"/>
        <v>454544.13999999821</v>
      </c>
      <c r="AU261" s="188">
        <f>IF(W261&lt;=0,0,+($O$5+AV260)*$AQ$2/12)</f>
        <v>1501.2206088838102</v>
      </c>
      <c r="AV261" s="188">
        <f t="shared" si="313"/>
        <v>276279.46416240803</v>
      </c>
    </row>
    <row r="262" spans="1:48">
      <c r="A262" s="395">
        <f t="shared" si="375"/>
        <v>53250</v>
      </c>
      <c r="B262" s="188">
        <f t="shared" si="307"/>
        <v>82531.709999999919</v>
      </c>
      <c r="C262" s="14">
        <f t="shared" si="300"/>
        <v>559.88</v>
      </c>
      <c r="D262" s="14">
        <f t="shared" si="314"/>
        <v>250.39</v>
      </c>
      <c r="E262" s="14">
        <f t="shared" si="301"/>
        <v>309.49</v>
      </c>
      <c r="F262" s="14">
        <f t="shared" si="364"/>
        <v>51.5</v>
      </c>
      <c r="G262" s="14">
        <f t="shared" si="361"/>
        <v>145.09666666666666</v>
      </c>
      <c r="H262" s="14">
        <f t="shared" si="362"/>
        <v>756.47666666666669</v>
      </c>
      <c r="I262" s="188">
        <f t="shared" si="376"/>
        <v>40891.849999999984</v>
      </c>
      <c r="J262" s="188">
        <f t="shared" si="377"/>
        <v>97858.679999999949</v>
      </c>
      <c r="K262" s="188">
        <f t="shared" si="378"/>
        <v>82281.31999999992</v>
      </c>
      <c r="L262" s="317">
        <f t="shared" si="349"/>
        <v>19</v>
      </c>
      <c r="M262" s="317">
        <f>IF(N262&lt;&gt;"",IF(N262=$O$5,0,+M261+1),0)</f>
        <v>234</v>
      </c>
      <c r="N262" s="188">
        <f t="shared" si="308"/>
        <v>208277.4</v>
      </c>
      <c r="O262" s="188">
        <f>IF($O$11&lt;=A262,IF(+$W261&lt;=0,0,$O$8),0)</f>
        <v>2504.4299999999998</v>
      </c>
      <c r="P262" s="188">
        <f t="shared" si="315"/>
        <v>1029.1299999999999</v>
      </c>
      <c r="Q262" s="188">
        <f>IF($O$11&lt;=A262,ROUND(N262*($O$7/12),2),0)</f>
        <v>1475.3</v>
      </c>
      <c r="R262" s="188">
        <f t="shared" si="367"/>
        <v>51.5</v>
      </c>
      <c r="S262" s="188">
        <f t="shared" si="368"/>
        <v>145.09666666666666</v>
      </c>
      <c r="T262" s="188">
        <f t="shared" si="365"/>
        <v>2701.0266666666666</v>
      </c>
      <c r="U262" s="188">
        <f t="shared" si="316"/>
        <v>118461.73000000003</v>
      </c>
      <c r="V262" s="188">
        <f t="shared" si="317"/>
        <v>470079.3199999996</v>
      </c>
      <c r="W262" s="188">
        <f t="shared" si="379"/>
        <v>207248.27</v>
      </c>
      <c r="X262" s="395">
        <f t="shared" si="309"/>
        <v>53250</v>
      </c>
      <c r="Y262" s="188">
        <f t="shared" si="380"/>
        <v>208277.4</v>
      </c>
      <c r="Z262" s="388">
        <f t="shared" si="302"/>
        <v>8.4999999999999992E-2</v>
      </c>
      <c r="AA262" s="188">
        <f t="shared" si="303"/>
        <v>2504.4299999999998</v>
      </c>
      <c r="AB262" s="188">
        <f t="shared" si="381"/>
        <v>1029.1299999999999</v>
      </c>
      <c r="AC262" s="188">
        <f t="shared" si="304"/>
        <v>1475.3</v>
      </c>
      <c r="AD262" s="188">
        <f t="shared" ref="AD262:AE262" si="393">+AD261</f>
        <v>51.5</v>
      </c>
      <c r="AE262" s="188">
        <f t="shared" si="393"/>
        <v>145.09666666666666</v>
      </c>
      <c r="AF262" s="188">
        <f t="shared" si="383"/>
        <v>2701.0266666666666</v>
      </c>
      <c r="AG262" s="188">
        <f t="shared" si="384"/>
        <v>118461.73000000003</v>
      </c>
      <c r="AH262" s="188">
        <f t="shared" si="385"/>
        <v>470079.3199999996</v>
      </c>
      <c r="AI262" s="404">
        <f t="shared" si="370"/>
        <v>0</v>
      </c>
      <c r="AJ262" s="404">
        <f t="shared" si="329"/>
        <v>0</v>
      </c>
      <c r="AK262" s="404">
        <f t="shared" si="371"/>
        <v>0</v>
      </c>
      <c r="AL262" s="188">
        <f t="shared" si="386"/>
        <v>207248.27</v>
      </c>
      <c r="AM262" s="317">
        <f t="shared" si="311"/>
        <v>19</v>
      </c>
      <c r="AN262" s="14">
        <f t="shared" si="372"/>
        <v>1944.5499999999997</v>
      </c>
      <c r="AO262" s="14">
        <f>IF(W262&lt;=0,0,+$AA$6-$C$2+I262-U262)</f>
        <v>125427.11999999995</v>
      </c>
      <c r="AP262" s="14">
        <f t="shared" si="373"/>
        <v>1944.5499999999997</v>
      </c>
      <c r="AS262" s="14">
        <f t="shared" si="306"/>
        <v>1944.5499999999997</v>
      </c>
      <c r="AT262" s="14">
        <f t="shared" si="312"/>
        <v>456488.6899999982</v>
      </c>
      <c r="AU262" s="188">
        <f>IF(W262&lt;=0,0,+($O$5+AV261)*$AQ$2/12)</f>
        <v>1504.9736604060199</v>
      </c>
      <c r="AV262" s="188">
        <f t="shared" si="313"/>
        <v>277784.43782281404</v>
      </c>
    </row>
    <row r="263" spans="1:48">
      <c r="A263" s="395">
        <f t="shared" si="375"/>
        <v>53280</v>
      </c>
      <c r="B263" s="188">
        <f t="shared" si="307"/>
        <v>82281.31999999992</v>
      </c>
      <c r="C263" s="14">
        <f t="shared" si="300"/>
        <v>559.88</v>
      </c>
      <c r="D263" s="14">
        <f t="shared" si="314"/>
        <v>251.32999999999998</v>
      </c>
      <c r="E263" s="14">
        <f t="shared" si="301"/>
        <v>308.55</v>
      </c>
      <c r="F263" s="14">
        <f t="shared" si="364"/>
        <v>51.5</v>
      </c>
      <c r="G263" s="14">
        <f t="shared" si="361"/>
        <v>145.09666666666666</v>
      </c>
      <c r="H263" s="14">
        <f t="shared" si="362"/>
        <v>756.47666666666669</v>
      </c>
      <c r="I263" s="188">
        <f t="shared" si="376"/>
        <v>41143.179999999986</v>
      </c>
      <c r="J263" s="188">
        <f t="shared" si="377"/>
        <v>98167.229999999952</v>
      </c>
      <c r="K263" s="188">
        <f t="shared" si="378"/>
        <v>82029.989999999918</v>
      </c>
      <c r="L263" s="317">
        <f t="shared" si="349"/>
        <v>19</v>
      </c>
      <c r="M263" s="317">
        <f>IF(N263&lt;&gt;"",IF(N263=$O$5,0,+M262+1),0)</f>
        <v>235</v>
      </c>
      <c r="N263" s="188">
        <f t="shared" si="308"/>
        <v>207248.27</v>
      </c>
      <c r="O263" s="188">
        <f>IF($O$11&lt;=A263,IF(+$W262&lt;=0,0,$O$8),0)</f>
        <v>2504.4299999999998</v>
      </c>
      <c r="P263" s="188">
        <f t="shared" si="315"/>
        <v>1036.4199999999998</v>
      </c>
      <c r="Q263" s="188">
        <f>IF($O$11&lt;=A263,ROUND(N263*($O$7/12),2),0)</f>
        <v>1468.01</v>
      </c>
      <c r="R263" s="188">
        <f t="shared" si="367"/>
        <v>51.5</v>
      </c>
      <c r="S263" s="188">
        <f t="shared" si="368"/>
        <v>145.09666666666666</v>
      </c>
      <c r="T263" s="188">
        <f t="shared" si="365"/>
        <v>2701.0266666666666</v>
      </c>
      <c r="U263" s="188">
        <f t="shared" si="316"/>
        <v>119498.15000000002</v>
      </c>
      <c r="V263" s="188">
        <f t="shared" si="317"/>
        <v>471547.32999999961</v>
      </c>
      <c r="W263" s="188">
        <f t="shared" si="379"/>
        <v>206211.84999999998</v>
      </c>
      <c r="X263" s="395">
        <f t="shared" si="309"/>
        <v>53280</v>
      </c>
      <c r="Y263" s="188">
        <f t="shared" si="380"/>
        <v>207248.27</v>
      </c>
      <c r="Z263" s="388">
        <f t="shared" si="302"/>
        <v>8.4999999999999992E-2</v>
      </c>
      <c r="AA263" s="188">
        <f t="shared" si="303"/>
        <v>2504.4299999999998</v>
      </c>
      <c r="AB263" s="188">
        <f t="shared" si="381"/>
        <v>1036.4199999999998</v>
      </c>
      <c r="AC263" s="188">
        <f t="shared" si="304"/>
        <v>1468.01</v>
      </c>
      <c r="AD263" s="188">
        <f t="shared" ref="AD263:AE263" si="394">+AD262</f>
        <v>51.5</v>
      </c>
      <c r="AE263" s="188">
        <f t="shared" si="394"/>
        <v>145.09666666666666</v>
      </c>
      <c r="AF263" s="188">
        <f t="shared" si="383"/>
        <v>2701.0266666666666</v>
      </c>
      <c r="AG263" s="188">
        <f t="shared" si="384"/>
        <v>119498.15000000002</v>
      </c>
      <c r="AH263" s="188">
        <f t="shared" si="385"/>
        <v>471547.32999999961</v>
      </c>
      <c r="AI263" s="404">
        <f t="shared" si="370"/>
        <v>0</v>
      </c>
      <c r="AJ263" s="404">
        <f t="shared" si="329"/>
        <v>0</v>
      </c>
      <c r="AK263" s="404">
        <f t="shared" si="371"/>
        <v>0</v>
      </c>
      <c r="AL263" s="188">
        <f t="shared" si="386"/>
        <v>206211.84999999998</v>
      </c>
      <c r="AM263" s="317">
        <f t="shared" si="311"/>
        <v>19</v>
      </c>
      <c r="AN263" s="14">
        <f t="shared" si="372"/>
        <v>1944.5499999999997</v>
      </c>
      <c r="AO263" s="14">
        <f>IF(W263&lt;=0,0,+$AA$6-$C$2+I263-U263)</f>
        <v>124642.02999999997</v>
      </c>
      <c r="AP263" s="14">
        <f t="shared" si="373"/>
        <v>1944.5499999999997</v>
      </c>
      <c r="AS263" s="14">
        <f t="shared" si="306"/>
        <v>1944.5499999999997</v>
      </c>
      <c r="AT263" s="14">
        <f t="shared" si="312"/>
        <v>458433.23999999819</v>
      </c>
      <c r="AU263" s="188">
        <f>IF(W263&lt;=0,0,+($O$5+AV262)*$AQ$2/12)</f>
        <v>1508.7360945570351</v>
      </c>
      <c r="AV263" s="188">
        <f t="shared" si="313"/>
        <v>279293.17391737108</v>
      </c>
    </row>
    <row r="264" spans="1:48">
      <c r="A264" s="395">
        <f t="shared" si="375"/>
        <v>53310</v>
      </c>
      <c r="B264" s="188">
        <f t="shared" si="307"/>
        <v>82029.989999999918</v>
      </c>
      <c r="C264" s="14">
        <f t="shared" si="300"/>
        <v>559.88</v>
      </c>
      <c r="D264" s="14">
        <f t="shared" si="314"/>
        <v>252.26999999999998</v>
      </c>
      <c r="E264" s="14">
        <f t="shared" si="301"/>
        <v>307.61</v>
      </c>
      <c r="F264" s="14">
        <f t="shared" si="364"/>
        <v>51.5</v>
      </c>
      <c r="G264" s="14">
        <f t="shared" si="361"/>
        <v>145.09666666666666</v>
      </c>
      <c r="H264" s="14">
        <f t="shared" si="362"/>
        <v>756.47666666666669</v>
      </c>
      <c r="I264" s="188">
        <f t="shared" si="376"/>
        <v>41395.449999999983</v>
      </c>
      <c r="J264" s="188">
        <f t="shared" si="377"/>
        <v>98474.839999999953</v>
      </c>
      <c r="K264" s="188">
        <f t="shared" si="378"/>
        <v>81777.719999999914</v>
      </c>
      <c r="L264" s="317">
        <f t="shared" si="349"/>
        <v>19</v>
      </c>
      <c r="M264" s="317">
        <f>IF(N264&lt;&gt;"",IF(N264=$O$5,0,+M263+1),0)</f>
        <v>236</v>
      </c>
      <c r="N264" s="188">
        <f t="shared" si="308"/>
        <v>206211.84999999998</v>
      </c>
      <c r="O264" s="188">
        <f>IF($O$11&lt;=A264,IF(+$W263&lt;=0,0,$O$8),0)</f>
        <v>2504.4299999999998</v>
      </c>
      <c r="P264" s="188">
        <f t="shared" si="315"/>
        <v>1043.7599999999998</v>
      </c>
      <c r="Q264" s="188">
        <f>IF($O$11&lt;=A264,ROUND(N264*($O$7/12),2),0)</f>
        <v>1460.67</v>
      </c>
      <c r="R264" s="188">
        <f t="shared" si="367"/>
        <v>51.5</v>
      </c>
      <c r="S264" s="188">
        <f t="shared" si="368"/>
        <v>145.09666666666666</v>
      </c>
      <c r="T264" s="188">
        <f t="shared" si="365"/>
        <v>2701.0266666666666</v>
      </c>
      <c r="U264" s="188">
        <f t="shared" si="316"/>
        <v>120541.91000000002</v>
      </c>
      <c r="V264" s="188">
        <f t="shared" si="317"/>
        <v>473007.99999999959</v>
      </c>
      <c r="W264" s="188">
        <f t="shared" si="379"/>
        <v>205168.08999999997</v>
      </c>
      <c r="X264" s="395">
        <f t="shared" si="309"/>
        <v>53310</v>
      </c>
      <c r="Y264" s="188">
        <f t="shared" si="380"/>
        <v>206211.84999999998</v>
      </c>
      <c r="Z264" s="388">
        <f t="shared" si="302"/>
        <v>8.4999999999999992E-2</v>
      </c>
      <c r="AA264" s="188">
        <f t="shared" si="303"/>
        <v>2504.4299999999998</v>
      </c>
      <c r="AB264" s="188">
        <f t="shared" si="381"/>
        <v>1043.7599999999998</v>
      </c>
      <c r="AC264" s="188">
        <f t="shared" si="304"/>
        <v>1460.67</v>
      </c>
      <c r="AD264" s="188">
        <f t="shared" ref="AD264:AE264" si="395">+AD263</f>
        <v>51.5</v>
      </c>
      <c r="AE264" s="188">
        <f t="shared" si="395"/>
        <v>145.09666666666666</v>
      </c>
      <c r="AF264" s="188">
        <f t="shared" si="383"/>
        <v>2701.0266666666666</v>
      </c>
      <c r="AG264" s="188">
        <f t="shared" si="384"/>
        <v>120541.91000000002</v>
      </c>
      <c r="AH264" s="188">
        <f t="shared" si="385"/>
        <v>473007.99999999959</v>
      </c>
      <c r="AI264" s="404">
        <f t="shared" si="370"/>
        <v>0</v>
      </c>
      <c r="AJ264" s="404">
        <f t="shared" si="329"/>
        <v>0</v>
      </c>
      <c r="AK264" s="404">
        <f t="shared" si="371"/>
        <v>0</v>
      </c>
      <c r="AL264" s="188">
        <f t="shared" si="386"/>
        <v>205168.08999999997</v>
      </c>
      <c r="AM264" s="317">
        <f t="shared" si="311"/>
        <v>19</v>
      </c>
      <c r="AN264" s="14">
        <f t="shared" si="372"/>
        <v>1944.5499999999997</v>
      </c>
      <c r="AO264" s="14">
        <f>IF(W264&lt;=0,0,+$AA$6-$C$2+I264-U264)</f>
        <v>123850.53999999996</v>
      </c>
      <c r="AP264" s="14">
        <f t="shared" si="373"/>
        <v>1944.5499999999997</v>
      </c>
      <c r="AS264" s="14">
        <f t="shared" si="306"/>
        <v>1944.5499999999997</v>
      </c>
      <c r="AT264" s="14">
        <f t="shared" si="312"/>
        <v>460377.78999999817</v>
      </c>
      <c r="AU264" s="188">
        <f>IF(W264&lt;=0,0,+($O$5+AV263)*$AQ$2/12)</f>
        <v>1512.5079347934277</v>
      </c>
      <c r="AV264" s="188">
        <f t="shared" si="313"/>
        <v>280805.6818521645</v>
      </c>
    </row>
    <row r="265" spans="1:48">
      <c r="A265" s="395">
        <f t="shared" si="375"/>
        <v>53340</v>
      </c>
      <c r="B265" s="188">
        <f t="shared" si="307"/>
        <v>81777.719999999914</v>
      </c>
      <c r="C265" s="14">
        <f t="shared" si="300"/>
        <v>559.88</v>
      </c>
      <c r="D265" s="14">
        <f t="shared" si="314"/>
        <v>253.20999999999998</v>
      </c>
      <c r="E265" s="14">
        <f t="shared" si="301"/>
        <v>306.67</v>
      </c>
      <c r="F265" s="14">
        <f t="shared" si="364"/>
        <v>51.5</v>
      </c>
      <c r="G265" s="14">
        <f t="shared" si="361"/>
        <v>145.09666666666666</v>
      </c>
      <c r="H265" s="14">
        <f t="shared" si="362"/>
        <v>756.47666666666669</v>
      </c>
      <c r="I265" s="188">
        <f t="shared" si="376"/>
        <v>41648.659999999982</v>
      </c>
      <c r="J265" s="188">
        <f t="shared" si="377"/>
        <v>98781.509999999951</v>
      </c>
      <c r="K265" s="188">
        <f t="shared" si="378"/>
        <v>81524.509999999907</v>
      </c>
      <c r="L265" s="317">
        <f t="shared" si="349"/>
        <v>19</v>
      </c>
      <c r="M265" s="317">
        <f>IF(N265&lt;&gt;"",IF(N265=$O$5,0,+M264+1),0)</f>
        <v>237</v>
      </c>
      <c r="N265" s="188">
        <f t="shared" si="308"/>
        <v>205168.08999999997</v>
      </c>
      <c r="O265" s="188">
        <f>IF($O$11&lt;=A265,IF(+$W264&lt;=0,0,$O$8),0)</f>
        <v>2504.4299999999998</v>
      </c>
      <c r="P265" s="188">
        <f t="shared" si="315"/>
        <v>1051.1599999999999</v>
      </c>
      <c r="Q265" s="188">
        <f>IF($O$11&lt;=A265,ROUND(N265*($O$7/12),2),0)</f>
        <v>1453.27</v>
      </c>
      <c r="R265" s="188">
        <f t="shared" si="367"/>
        <v>51.5</v>
      </c>
      <c r="S265" s="188">
        <f t="shared" si="368"/>
        <v>145.09666666666666</v>
      </c>
      <c r="T265" s="188">
        <f t="shared" si="365"/>
        <v>2701.0266666666666</v>
      </c>
      <c r="U265" s="188">
        <f t="shared" si="316"/>
        <v>121593.07000000002</v>
      </c>
      <c r="V265" s="188">
        <f t="shared" si="317"/>
        <v>474461.26999999961</v>
      </c>
      <c r="W265" s="188">
        <f t="shared" si="379"/>
        <v>204116.92999999996</v>
      </c>
      <c r="X265" s="395">
        <f t="shared" si="309"/>
        <v>53340</v>
      </c>
      <c r="Y265" s="188">
        <f t="shared" si="380"/>
        <v>205168.08999999997</v>
      </c>
      <c r="Z265" s="388">
        <f t="shared" si="302"/>
        <v>8.4999999999999992E-2</v>
      </c>
      <c r="AA265" s="188">
        <f t="shared" si="303"/>
        <v>2504.4299999999998</v>
      </c>
      <c r="AB265" s="188">
        <f t="shared" si="381"/>
        <v>1051.1599999999999</v>
      </c>
      <c r="AC265" s="188">
        <f t="shared" si="304"/>
        <v>1453.27</v>
      </c>
      <c r="AD265" s="188">
        <f t="shared" ref="AD265:AE265" si="396">+AD264</f>
        <v>51.5</v>
      </c>
      <c r="AE265" s="188">
        <f t="shared" si="396"/>
        <v>145.09666666666666</v>
      </c>
      <c r="AF265" s="188">
        <f t="shared" si="383"/>
        <v>2701.0266666666666</v>
      </c>
      <c r="AG265" s="188">
        <f t="shared" si="384"/>
        <v>121593.07000000002</v>
      </c>
      <c r="AH265" s="188">
        <f t="shared" si="385"/>
        <v>474461.26999999961</v>
      </c>
      <c r="AI265" s="404">
        <f t="shared" si="370"/>
        <v>0</v>
      </c>
      <c r="AJ265" s="404">
        <f t="shared" si="329"/>
        <v>0</v>
      </c>
      <c r="AK265" s="404">
        <f t="shared" si="371"/>
        <v>0</v>
      </c>
      <c r="AL265" s="188">
        <f t="shared" si="386"/>
        <v>204116.92999999996</v>
      </c>
      <c r="AM265" s="317">
        <f t="shared" si="311"/>
        <v>19</v>
      </c>
      <c r="AN265" s="14">
        <f t="shared" si="372"/>
        <v>1944.5499999999997</v>
      </c>
      <c r="AO265" s="14">
        <f>IF(W265&lt;=0,0,+$AA$6-$C$2+I265-U265)</f>
        <v>123052.58999999995</v>
      </c>
      <c r="AP265" s="14">
        <f t="shared" si="373"/>
        <v>1944.5499999999997</v>
      </c>
      <c r="AS265" s="14">
        <f t="shared" si="306"/>
        <v>1944.5499999999997</v>
      </c>
      <c r="AT265" s="14">
        <f t="shared" si="312"/>
        <v>462322.33999999816</v>
      </c>
      <c r="AU265" s="188">
        <f>IF(W265&lt;=0,0,+($O$5+AV264)*$AQ$2/12)</f>
        <v>1516.2892046304112</v>
      </c>
      <c r="AV265" s="188">
        <f t="shared" si="313"/>
        <v>282321.97105679492</v>
      </c>
    </row>
    <row r="266" spans="1:48">
      <c r="A266" s="395">
        <f t="shared" si="375"/>
        <v>53370</v>
      </c>
      <c r="B266" s="188">
        <f t="shared" si="307"/>
        <v>81524.509999999907</v>
      </c>
      <c r="C266" s="14">
        <f t="shared" si="300"/>
        <v>559.88</v>
      </c>
      <c r="D266" s="14">
        <f t="shared" si="314"/>
        <v>254.15999999999997</v>
      </c>
      <c r="E266" s="14">
        <f t="shared" si="301"/>
        <v>305.72000000000003</v>
      </c>
      <c r="F266" s="14">
        <f t="shared" si="364"/>
        <v>51.5</v>
      </c>
      <c r="G266" s="14">
        <f t="shared" si="361"/>
        <v>145.09666666666666</v>
      </c>
      <c r="H266" s="14">
        <f t="shared" si="362"/>
        <v>756.47666666666669</v>
      </c>
      <c r="I266" s="188">
        <f t="shared" si="376"/>
        <v>41902.819999999985</v>
      </c>
      <c r="J266" s="188">
        <f t="shared" si="377"/>
        <v>99087.229999999952</v>
      </c>
      <c r="K266" s="188">
        <f t="shared" si="378"/>
        <v>81270.349999999904</v>
      </c>
      <c r="L266" s="317">
        <f t="shared" si="349"/>
        <v>19</v>
      </c>
      <c r="M266" s="317">
        <f>IF(N266&lt;&gt;"",IF(N266=$O$5,0,+M265+1),0)</f>
        <v>238</v>
      </c>
      <c r="N266" s="188">
        <f t="shared" si="308"/>
        <v>204116.92999999996</v>
      </c>
      <c r="O266" s="188">
        <f>IF($O$11&lt;=A266,IF(+$W265&lt;=0,0,$O$8),0)</f>
        <v>2504.4299999999998</v>
      </c>
      <c r="P266" s="188">
        <f t="shared" si="315"/>
        <v>1058.5999999999999</v>
      </c>
      <c r="Q266" s="188">
        <f>IF($O$11&lt;=A266,ROUND(N266*($O$7/12),2),0)</f>
        <v>1445.83</v>
      </c>
      <c r="R266" s="188">
        <f t="shared" si="367"/>
        <v>51.5</v>
      </c>
      <c r="S266" s="188">
        <f t="shared" si="368"/>
        <v>145.09666666666666</v>
      </c>
      <c r="T266" s="188">
        <f t="shared" si="365"/>
        <v>2701.0266666666666</v>
      </c>
      <c r="U266" s="188">
        <f t="shared" si="316"/>
        <v>122651.67000000003</v>
      </c>
      <c r="V266" s="188">
        <f t="shared" si="317"/>
        <v>475907.09999999963</v>
      </c>
      <c r="W266" s="188">
        <f t="shared" si="379"/>
        <v>203058.32999999996</v>
      </c>
      <c r="X266" s="395">
        <f t="shared" si="309"/>
        <v>53370</v>
      </c>
      <c r="Y266" s="188">
        <f t="shared" si="380"/>
        <v>204116.92999999996</v>
      </c>
      <c r="Z266" s="388">
        <f t="shared" si="302"/>
        <v>8.4999999999999992E-2</v>
      </c>
      <c r="AA266" s="188">
        <f t="shared" si="303"/>
        <v>2504.4299999999998</v>
      </c>
      <c r="AB266" s="188">
        <f t="shared" si="381"/>
        <v>1058.5999999999999</v>
      </c>
      <c r="AC266" s="188">
        <f t="shared" si="304"/>
        <v>1445.83</v>
      </c>
      <c r="AD266" s="188">
        <f t="shared" ref="AD266:AE266" si="397">+AD265</f>
        <v>51.5</v>
      </c>
      <c r="AE266" s="188">
        <f t="shared" si="397"/>
        <v>145.09666666666666</v>
      </c>
      <c r="AF266" s="188">
        <f t="shared" si="383"/>
        <v>2701.0266666666666</v>
      </c>
      <c r="AG266" s="188">
        <f t="shared" si="384"/>
        <v>122651.67000000003</v>
      </c>
      <c r="AH266" s="188">
        <f t="shared" si="385"/>
        <v>475907.09999999963</v>
      </c>
      <c r="AI266" s="404">
        <f t="shared" si="370"/>
        <v>0</v>
      </c>
      <c r="AJ266" s="404">
        <f t="shared" si="329"/>
        <v>0</v>
      </c>
      <c r="AK266" s="404">
        <f t="shared" si="371"/>
        <v>0</v>
      </c>
      <c r="AL266" s="188">
        <f t="shared" si="386"/>
        <v>203058.32999999996</v>
      </c>
      <c r="AM266" s="317">
        <f t="shared" si="311"/>
        <v>19</v>
      </c>
      <c r="AN266" s="14">
        <f t="shared" si="372"/>
        <v>1944.5499999999997</v>
      </c>
      <c r="AO266" s="14">
        <f>IF(W266&lt;=0,0,+$AA$6-$C$2+I266-U266)</f>
        <v>122248.14999999995</v>
      </c>
      <c r="AP266" s="14">
        <f t="shared" si="373"/>
        <v>1944.5499999999997</v>
      </c>
      <c r="AS266" s="14">
        <f t="shared" si="306"/>
        <v>1944.5499999999997</v>
      </c>
      <c r="AT266" s="14">
        <f t="shared" si="312"/>
        <v>464266.88999999815</v>
      </c>
      <c r="AU266" s="188">
        <f>IF(W266&lt;=0,0,+($O$5+AV265)*$AQ$2/12)</f>
        <v>1520.0799276419875</v>
      </c>
      <c r="AV266" s="188">
        <f t="shared" si="313"/>
        <v>283842.05098443694</v>
      </c>
    </row>
    <row r="267" spans="1:48" ht="15.75" thickBot="1">
      <c r="A267" s="398">
        <f t="shared" si="375"/>
        <v>53400</v>
      </c>
      <c r="B267" s="237">
        <f t="shared" si="307"/>
        <v>81270.349999999904</v>
      </c>
      <c r="C267" s="21">
        <f t="shared" si="300"/>
        <v>559.88</v>
      </c>
      <c r="D267" s="21">
        <f t="shared" si="314"/>
        <v>255.12</v>
      </c>
      <c r="E267" s="21">
        <f t="shared" si="301"/>
        <v>304.76</v>
      </c>
      <c r="F267" s="21">
        <f t="shared" si="364"/>
        <v>51.5</v>
      </c>
      <c r="G267" s="21">
        <f t="shared" si="361"/>
        <v>145.09666666666666</v>
      </c>
      <c r="H267" s="21">
        <f t="shared" si="362"/>
        <v>756.47666666666669</v>
      </c>
      <c r="I267" s="237">
        <f t="shared" si="376"/>
        <v>42157.939999999988</v>
      </c>
      <c r="J267" s="237">
        <f t="shared" si="377"/>
        <v>99391.989999999947</v>
      </c>
      <c r="K267" s="237">
        <f t="shared" si="378"/>
        <v>81015.229999999909</v>
      </c>
      <c r="L267" s="318">
        <f t="shared" si="349"/>
        <v>19</v>
      </c>
      <c r="M267" s="318">
        <f>IF(N267&lt;&gt;"",IF(N267=$O$5,0,+M266+1),0)</f>
        <v>239</v>
      </c>
      <c r="N267" s="237">
        <f t="shared" si="308"/>
        <v>203058.32999999996</v>
      </c>
      <c r="O267" s="237">
        <f>IF($O$11&lt;=A267,IF(+$W266&lt;=0,0,$O$8),0)</f>
        <v>2504.4299999999998</v>
      </c>
      <c r="P267" s="237">
        <f t="shared" si="315"/>
        <v>1066.0999999999999</v>
      </c>
      <c r="Q267" s="237">
        <f>IF($O$11&lt;=A267,ROUND(N267*($O$7/12),2),0)</f>
        <v>1438.33</v>
      </c>
      <c r="R267" s="237">
        <f t="shared" si="367"/>
        <v>51.5</v>
      </c>
      <c r="S267" s="237">
        <f t="shared" si="368"/>
        <v>145.09666666666666</v>
      </c>
      <c r="T267" s="237">
        <f t="shared" si="365"/>
        <v>2701.0266666666666</v>
      </c>
      <c r="U267" s="237">
        <f t="shared" si="316"/>
        <v>123717.77000000003</v>
      </c>
      <c r="V267" s="237">
        <f t="shared" si="317"/>
        <v>477345.42999999964</v>
      </c>
      <c r="W267" s="237">
        <f t="shared" si="379"/>
        <v>201992.22999999995</v>
      </c>
      <c r="X267" s="398">
        <f t="shared" si="309"/>
        <v>53400</v>
      </c>
      <c r="Y267" s="237">
        <f t="shared" si="380"/>
        <v>203058.32999999996</v>
      </c>
      <c r="Z267" s="389">
        <f t="shared" si="302"/>
        <v>8.4999999999999992E-2</v>
      </c>
      <c r="AA267" s="237">
        <f t="shared" si="303"/>
        <v>2504.4299999999998</v>
      </c>
      <c r="AB267" s="237">
        <f t="shared" si="381"/>
        <v>1066.0999999999999</v>
      </c>
      <c r="AC267" s="237">
        <f t="shared" si="304"/>
        <v>1438.33</v>
      </c>
      <c r="AD267" s="237">
        <f t="shared" ref="AD267:AE267" si="398">+AD266</f>
        <v>51.5</v>
      </c>
      <c r="AE267" s="237">
        <f t="shared" si="398"/>
        <v>145.09666666666666</v>
      </c>
      <c r="AF267" s="237">
        <f t="shared" si="383"/>
        <v>2701.0266666666666</v>
      </c>
      <c r="AG267" s="237">
        <f t="shared" si="384"/>
        <v>123717.77000000003</v>
      </c>
      <c r="AH267" s="237">
        <f t="shared" si="385"/>
        <v>477345.42999999964</v>
      </c>
      <c r="AI267" s="405">
        <f t="shared" si="370"/>
        <v>0</v>
      </c>
      <c r="AJ267" s="405">
        <f t="shared" si="329"/>
        <v>0</v>
      </c>
      <c r="AK267" s="404">
        <f t="shared" si="371"/>
        <v>0</v>
      </c>
      <c r="AL267" s="237">
        <f t="shared" si="386"/>
        <v>201992.22999999995</v>
      </c>
      <c r="AM267" s="318">
        <f t="shared" si="311"/>
        <v>19</v>
      </c>
      <c r="AN267" s="21">
        <f t="shared" si="372"/>
        <v>1944.5499999999997</v>
      </c>
      <c r="AO267" s="21">
        <f>IF(W267&lt;=0,0,+$AA$6-$C$2+I267-U267)</f>
        <v>121437.16999999997</v>
      </c>
      <c r="AP267" s="21">
        <f t="shared" si="373"/>
        <v>1944.5499999999997</v>
      </c>
      <c r="AQ267" s="21"/>
      <c r="AR267" s="23"/>
      <c r="AS267" s="21">
        <f t="shared" si="306"/>
        <v>1944.5499999999997</v>
      </c>
      <c r="AT267" s="21">
        <f t="shared" si="312"/>
        <v>466211.43999999814</v>
      </c>
      <c r="AU267" s="237">
        <f>IF(W267&lt;=0,0,+($O$5+AV266)*$AQ$2/12)</f>
        <v>1523.8801274610921</v>
      </c>
      <c r="AV267" s="237">
        <f t="shared" si="313"/>
        <v>285365.93111189804</v>
      </c>
    </row>
    <row r="268" spans="1:48">
      <c r="A268" s="395">
        <f t="shared" si="375"/>
        <v>53430</v>
      </c>
      <c r="B268" s="188">
        <f t="shared" si="307"/>
        <v>81015.229999999909</v>
      </c>
      <c r="C268" s="14">
        <f t="shared" si="300"/>
        <v>559.88</v>
      </c>
      <c r="D268" s="14">
        <f t="shared" si="314"/>
        <v>256.07</v>
      </c>
      <c r="E268" s="14">
        <f t="shared" si="301"/>
        <v>303.81</v>
      </c>
      <c r="F268" s="14">
        <f t="shared" si="364"/>
        <v>51.5</v>
      </c>
      <c r="G268" s="14">
        <f t="shared" si="361"/>
        <v>145.09666666666666</v>
      </c>
      <c r="H268" s="14">
        <f t="shared" si="362"/>
        <v>756.47666666666669</v>
      </c>
      <c r="I268" s="188">
        <f t="shared" si="376"/>
        <v>42414.009999999987</v>
      </c>
      <c r="J268" s="188">
        <f t="shared" si="377"/>
        <v>99695.799999999945</v>
      </c>
      <c r="K268" s="188">
        <f t="shared" si="378"/>
        <v>80759.159999999902</v>
      </c>
      <c r="L268" s="317">
        <f t="shared" si="349"/>
        <v>20</v>
      </c>
      <c r="M268" s="317">
        <f>IF(N268&lt;&gt;"",IF(N268=$O$5,0,+M267+1),0)</f>
        <v>240</v>
      </c>
      <c r="N268" s="188">
        <f t="shared" si="308"/>
        <v>201992.22999999995</v>
      </c>
      <c r="O268" s="188">
        <f>IF($O$11&lt;=A268,IF(+$W267&lt;=0,0,$O$8),0)</f>
        <v>2504.4299999999998</v>
      </c>
      <c r="P268" s="188">
        <f t="shared" si="315"/>
        <v>1073.6499999999999</v>
      </c>
      <c r="Q268" s="188">
        <f>IF($O$11&lt;=A268,ROUND(N268*($O$7/12),2),0)</f>
        <v>1430.78</v>
      </c>
      <c r="R268" s="188">
        <f t="shared" si="367"/>
        <v>51.5</v>
      </c>
      <c r="S268" s="188">
        <f t="shared" si="368"/>
        <v>145.09666666666666</v>
      </c>
      <c r="T268" s="188">
        <f t="shared" si="365"/>
        <v>2701.0266666666666</v>
      </c>
      <c r="U268" s="188">
        <f t="shared" si="316"/>
        <v>124791.42000000003</v>
      </c>
      <c r="V268" s="188">
        <f t="shared" si="317"/>
        <v>478776.20999999967</v>
      </c>
      <c r="W268" s="188">
        <f t="shared" si="379"/>
        <v>200918.57999999996</v>
      </c>
      <c r="X268" s="395">
        <f t="shared" si="309"/>
        <v>53430</v>
      </c>
      <c r="Y268" s="188">
        <f t="shared" si="380"/>
        <v>201992.22999999995</v>
      </c>
      <c r="Z268" s="388">
        <f t="shared" si="302"/>
        <v>8.4999999999999992E-2</v>
      </c>
      <c r="AA268" s="188">
        <f t="shared" si="303"/>
        <v>2504.4299999999998</v>
      </c>
      <c r="AB268" s="188">
        <f t="shared" si="381"/>
        <v>1073.6499999999999</v>
      </c>
      <c r="AC268" s="188">
        <f t="shared" si="304"/>
        <v>1430.78</v>
      </c>
      <c r="AD268" s="188">
        <f t="shared" ref="AD268:AE268" si="399">+AD267</f>
        <v>51.5</v>
      </c>
      <c r="AE268" s="188">
        <f t="shared" si="399"/>
        <v>145.09666666666666</v>
      </c>
      <c r="AF268" s="188">
        <f t="shared" si="383"/>
        <v>2701.0266666666666</v>
      </c>
      <c r="AG268" s="188">
        <f t="shared" si="384"/>
        <v>124791.42000000003</v>
      </c>
      <c r="AH268" s="188">
        <f t="shared" si="385"/>
        <v>478776.20999999967</v>
      </c>
      <c r="AI268" s="404">
        <f t="shared" si="370"/>
        <v>0</v>
      </c>
      <c r="AJ268" s="404">
        <f t="shared" si="329"/>
        <v>0</v>
      </c>
      <c r="AK268" s="404">
        <f t="shared" si="371"/>
        <v>0</v>
      </c>
      <c r="AL268" s="188">
        <f t="shared" si="386"/>
        <v>200918.57999999996</v>
      </c>
      <c r="AM268" s="317">
        <f t="shared" si="311"/>
        <v>20</v>
      </c>
      <c r="AN268" s="14">
        <f t="shared" si="372"/>
        <v>1944.5499999999997</v>
      </c>
      <c r="AO268" s="14">
        <f>IF(W268&lt;=0,0,+$AA$6-$C$2+I268-U268)</f>
        <v>120619.58999999995</v>
      </c>
      <c r="AP268" s="14">
        <f t="shared" si="373"/>
        <v>1944.5499999999997</v>
      </c>
      <c r="AS268" s="14">
        <f t="shared" si="306"/>
        <v>1944.5499999999997</v>
      </c>
      <c r="AT268" s="14">
        <f t="shared" si="312"/>
        <v>468155.98999999813</v>
      </c>
      <c r="AU268" s="188">
        <f>IF(W268&lt;=0,0,+($O$5+AV267)*$AQ$2/12)</f>
        <v>1527.6898277797452</v>
      </c>
      <c r="AV268" s="188">
        <f t="shared" si="313"/>
        <v>286893.62093967781</v>
      </c>
    </row>
    <row r="269" spans="1:48">
      <c r="A269" s="395">
        <f t="shared" si="375"/>
        <v>53460</v>
      </c>
      <c r="B269" s="188">
        <f t="shared" si="307"/>
        <v>80759.159999999902</v>
      </c>
      <c r="C269" s="14">
        <f t="shared" si="300"/>
        <v>559.88</v>
      </c>
      <c r="D269" s="14">
        <f t="shared" si="314"/>
        <v>257.02999999999997</v>
      </c>
      <c r="E269" s="14">
        <f t="shared" si="301"/>
        <v>302.85000000000002</v>
      </c>
      <c r="F269" s="14">
        <f t="shared" si="364"/>
        <v>51.5</v>
      </c>
      <c r="G269" s="14">
        <f t="shared" si="361"/>
        <v>145.09666666666666</v>
      </c>
      <c r="H269" s="14">
        <f t="shared" si="362"/>
        <v>756.47666666666669</v>
      </c>
      <c r="I269" s="188">
        <f t="shared" si="376"/>
        <v>42671.039999999986</v>
      </c>
      <c r="J269" s="188">
        <f t="shared" si="377"/>
        <v>99998.649999999951</v>
      </c>
      <c r="K269" s="188">
        <f t="shared" si="378"/>
        <v>80502.129999999903</v>
      </c>
      <c r="L269" s="317">
        <f t="shared" si="349"/>
        <v>20</v>
      </c>
      <c r="M269" s="317">
        <f>IF(N269&lt;&gt;"",IF(N269=$O$5,0,+M268+1),0)</f>
        <v>241</v>
      </c>
      <c r="N269" s="188">
        <f t="shared" si="308"/>
        <v>200918.57999999996</v>
      </c>
      <c r="O269" s="188">
        <f>IF($O$11&lt;=A269,IF(+$W268&lt;=0,0,$O$8),0)</f>
        <v>2504.4299999999998</v>
      </c>
      <c r="P269" s="188">
        <f t="shared" si="315"/>
        <v>1081.2599999999998</v>
      </c>
      <c r="Q269" s="188">
        <f>IF($O$11&lt;=A269,ROUND(N269*($O$7/12),2),0)</f>
        <v>1423.17</v>
      </c>
      <c r="R269" s="188">
        <f t="shared" si="367"/>
        <v>51.5</v>
      </c>
      <c r="S269" s="188">
        <f t="shared" si="368"/>
        <v>145.09666666666666</v>
      </c>
      <c r="T269" s="188">
        <f t="shared" si="365"/>
        <v>2701.0266666666666</v>
      </c>
      <c r="U269" s="188">
        <f t="shared" si="316"/>
        <v>125872.68000000002</v>
      </c>
      <c r="V269" s="188">
        <f t="shared" si="317"/>
        <v>480199.37999999966</v>
      </c>
      <c r="W269" s="188">
        <f t="shared" si="379"/>
        <v>199837.31999999995</v>
      </c>
      <c r="X269" s="395">
        <f t="shared" si="309"/>
        <v>53460</v>
      </c>
      <c r="Y269" s="188">
        <f t="shared" si="380"/>
        <v>200918.57999999996</v>
      </c>
      <c r="Z269" s="388">
        <f t="shared" si="302"/>
        <v>8.4999999999999992E-2</v>
      </c>
      <c r="AA269" s="188">
        <f t="shared" si="303"/>
        <v>2504.4299999999998</v>
      </c>
      <c r="AB269" s="188">
        <f t="shared" si="381"/>
        <v>1081.2599999999998</v>
      </c>
      <c r="AC269" s="188">
        <f t="shared" si="304"/>
        <v>1423.17</v>
      </c>
      <c r="AD269" s="188">
        <f t="shared" ref="AD269:AE269" si="400">+AD268</f>
        <v>51.5</v>
      </c>
      <c r="AE269" s="188">
        <f t="shared" si="400"/>
        <v>145.09666666666666</v>
      </c>
      <c r="AF269" s="188">
        <f t="shared" si="383"/>
        <v>2701.0266666666666</v>
      </c>
      <c r="AG269" s="188">
        <f t="shared" si="384"/>
        <v>125872.68000000002</v>
      </c>
      <c r="AH269" s="188">
        <f t="shared" si="385"/>
        <v>480199.37999999966</v>
      </c>
      <c r="AI269" s="404">
        <f t="shared" si="370"/>
        <v>0</v>
      </c>
      <c r="AJ269" s="404">
        <f t="shared" si="329"/>
        <v>0</v>
      </c>
      <c r="AK269" s="404">
        <f t="shared" si="371"/>
        <v>0</v>
      </c>
      <c r="AL269" s="188">
        <f t="shared" si="386"/>
        <v>199837.31999999995</v>
      </c>
      <c r="AM269" s="317">
        <f t="shared" si="311"/>
        <v>20</v>
      </c>
      <c r="AN269" s="14">
        <f t="shared" si="372"/>
        <v>1944.5499999999997</v>
      </c>
      <c r="AO269" s="14">
        <f>IF(W269&lt;=0,0,+$AA$6-$C$2+I269-U269)</f>
        <v>119795.35999999996</v>
      </c>
      <c r="AP269" s="14">
        <f t="shared" si="373"/>
        <v>1944.5499999999997</v>
      </c>
      <c r="AS269" s="14">
        <f t="shared" si="306"/>
        <v>1944.5499999999997</v>
      </c>
      <c r="AT269" s="14">
        <f t="shared" si="312"/>
        <v>470100.53999999812</v>
      </c>
      <c r="AU269" s="188">
        <f>IF(W269&lt;=0,0,+($O$5+AV268)*$AQ$2/12)</f>
        <v>1531.5090523491945</v>
      </c>
      <c r="AV269" s="188">
        <f t="shared" si="313"/>
        <v>288425.12999202701</v>
      </c>
    </row>
    <row r="270" spans="1:48">
      <c r="A270" s="395">
        <f t="shared" si="375"/>
        <v>53490</v>
      </c>
      <c r="B270" s="188">
        <f t="shared" si="307"/>
        <v>80502.129999999903</v>
      </c>
      <c r="C270" s="14">
        <f t="shared" si="300"/>
        <v>559.88</v>
      </c>
      <c r="D270" s="14">
        <f t="shared" si="314"/>
        <v>258</v>
      </c>
      <c r="E270" s="14">
        <f t="shared" si="301"/>
        <v>301.88</v>
      </c>
      <c r="F270" s="14">
        <f t="shared" si="364"/>
        <v>51.5</v>
      </c>
      <c r="G270" s="14">
        <f t="shared" si="361"/>
        <v>145.09666666666666</v>
      </c>
      <c r="H270" s="14">
        <f t="shared" si="362"/>
        <v>756.47666666666669</v>
      </c>
      <c r="I270" s="188">
        <f t="shared" si="376"/>
        <v>42929.039999999986</v>
      </c>
      <c r="J270" s="188">
        <f t="shared" si="377"/>
        <v>100300.52999999996</v>
      </c>
      <c r="K270" s="188">
        <f t="shared" si="378"/>
        <v>80244.129999999903</v>
      </c>
      <c r="L270" s="317">
        <f t="shared" si="349"/>
        <v>20</v>
      </c>
      <c r="M270" s="317">
        <f>IF(N270&lt;&gt;"",IF(N270=$O$5,0,+M269+1),0)</f>
        <v>242</v>
      </c>
      <c r="N270" s="188">
        <f t="shared" si="308"/>
        <v>199837.31999999995</v>
      </c>
      <c r="O270" s="188">
        <f>IF($O$11&lt;=A270,IF(+$W269&lt;=0,0,$O$8),0)</f>
        <v>2504.4299999999998</v>
      </c>
      <c r="P270" s="188">
        <f t="shared" si="315"/>
        <v>1088.9199999999998</v>
      </c>
      <c r="Q270" s="188">
        <f>IF($O$11&lt;=A270,ROUND(N270*($O$7/12),2),0)</f>
        <v>1415.51</v>
      </c>
      <c r="R270" s="188">
        <f t="shared" si="367"/>
        <v>51.5</v>
      </c>
      <c r="S270" s="188">
        <f t="shared" si="368"/>
        <v>145.09666666666666</v>
      </c>
      <c r="T270" s="188">
        <f t="shared" si="365"/>
        <v>2701.0266666666666</v>
      </c>
      <c r="U270" s="188">
        <f t="shared" si="316"/>
        <v>126961.60000000002</v>
      </c>
      <c r="V270" s="188">
        <f t="shared" si="317"/>
        <v>481614.88999999966</v>
      </c>
      <c r="W270" s="188">
        <f t="shared" si="379"/>
        <v>198748.39999999994</v>
      </c>
      <c r="X270" s="395">
        <f t="shared" si="309"/>
        <v>53490</v>
      </c>
      <c r="Y270" s="188">
        <f t="shared" si="380"/>
        <v>199837.31999999995</v>
      </c>
      <c r="Z270" s="388">
        <f t="shared" si="302"/>
        <v>8.4999999999999992E-2</v>
      </c>
      <c r="AA270" s="188">
        <f t="shared" si="303"/>
        <v>2504.4299999999998</v>
      </c>
      <c r="AB270" s="188">
        <f t="shared" si="381"/>
        <v>1088.9199999999998</v>
      </c>
      <c r="AC270" s="188">
        <f t="shared" si="304"/>
        <v>1415.51</v>
      </c>
      <c r="AD270" s="188">
        <f t="shared" ref="AD270:AE270" si="401">+AD269</f>
        <v>51.5</v>
      </c>
      <c r="AE270" s="188">
        <f t="shared" si="401"/>
        <v>145.09666666666666</v>
      </c>
      <c r="AF270" s="188">
        <f t="shared" si="383"/>
        <v>2701.0266666666666</v>
      </c>
      <c r="AG270" s="188">
        <f t="shared" si="384"/>
        <v>126961.60000000002</v>
      </c>
      <c r="AH270" s="188">
        <f t="shared" si="385"/>
        <v>481614.88999999966</v>
      </c>
      <c r="AI270" s="404">
        <f t="shared" si="370"/>
        <v>0</v>
      </c>
      <c r="AJ270" s="404">
        <f t="shared" si="329"/>
        <v>0</v>
      </c>
      <c r="AK270" s="404">
        <f t="shared" si="371"/>
        <v>0</v>
      </c>
      <c r="AL270" s="188">
        <f t="shared" si="386"/>
        <v>198748.39999999994</v>
      </c>
      <c r="AM270" s="317">
        <f t="shared" si="311"/>
        <v>20</v>
      </c>
      <c r="AN270" s="14">
        <f t="shared" si="372"/>
        <v>1944.5499999999997</v>
      </c>
      <c r="AO270" s="14">
        <f>IF(W270&lt;=0,0,+$AA$6-$C$2+I270-U270)</f>
        <v>118964.43999999996</v>
      </c>
      <c r="AP270" s="14">
        <f t="shared" si="373"/>
        <v>1944.5499999999997</v>
      </c>
      <c r="AS270" s="14">
        <f t="shared" si="306"/>
        <v>1944.5499999999997</v>
      </c>
      <c r="AT270" s="14">
        <f t="shared" si="312"/>
        <v>472045.0899999981</v>
      </c>
      <c r="AU270" s="188">
        <f>IF(W270&lt;=0,0,+($O$5+AV269)*$AQ$2/12)</f>
        <v>1535.3378249800678</v>
      </c>
      <c r="AV270" s="188">
        <f t="shared" si="313"/>
        <v>289960.4678170071</v>
      </c>
    </row>
    <row r="271" spans="1:48">
      <c r="A271" s="395">
        <f t="shared" si="375"/>
        <v>53520</v>
      </c>
      <c r="B271" s="188">
        <f t="shared" si="307"/>
        <v>80244.129999999903</v>
      </c>
      <c r="C271" s="14">
        <f t="shared" si="300"/>
        <v>559.88</v>
      </c>
      <c r="D271" s="14">
        <f t="shared" si="314"/>
        <v>258.95999999999998</v>
      </c>
      <c r="E271" s="14">
        <f t="shared" si="301"/>
        <v>300.92</v>
      </c>
      <c r="F271" s="14">
        <f t="shared" si="364"/>
        <v>51.5</v>
      </c>
      <c r="G271" s="14">
        <f t="shared" si="361"/>
        <v>145.09666666666666</v>
      </c>
      <c r="H271" s="14">
        <f t="shared" si="362"/>
        <v>756.47666666666669</v>
      </c>
      <c r="I271" s="188">
        <f t="shared" si="376"/>
        <v>43187.999999999985</v>
      </c>
      <c r="J271" s="188">
        <f t="shared" si="377"/>
        <v>100601.44999999995</v>
      </c>
      <c r="K271" s="188">
        <f t="shared" si="378"/>
        <v>79985.169999999896</v>
      </c>
      <c r="L271" s="317">
        <f t="shared" si="349"/>
        <v>20</v>
      </c>
      <c r="M271" s="317">
        <f>IF(N271&lt;&gt;"",IF(N271=$O$5,0,+M270+1),0)</f>
        <v>243</v>
      </c>
      <c r="N271" s="188">
        <f t="shared" si="308"/>
        <v>198748.39999999994</v>
      </c>
      <c r="O271" s="188">
        <f>IF($O$11&lt;=A271,IF(+$W270&lt;=0,0,$O$8),0)</f>
        <v>2504.4299999999998</v>
      </c>
      <c r="P271" s="188">
        <f t="shared" si="315"/>
        <v>1096.6299999999999</v>
      </c>
      <c r="Q271" s="188">
        <f>IF($O$11&lt;=A271,ROUND(N271*($O$7/12),2),0)</f>
        <v>1407.8</v>
      </c>
      <c r="R271" s="188">
        <f t="shared" si="367"/>
        <v>51.5</v>
      </c>
      <c r="S271" s="188">
        <f t="shared" si="368"/>
        <v>145.09666666666666</v>
      </c>
      <c r="T271" s="188">
        <f t="shared" si="365"/>
        <v>2701.0266666666666</v>
      </c>
      <c r="U271" s="188">
        <f t="shared" si="316"/>
        <v>128058.23000000003</v>
      </c>
      <c r="V271" s="188">
        <f t="shared" si="317"/>
        <v>483022.68999999965</v>
      </c>
      <c r="W271" s="188">
        <f t="shared" si="379"/>
        <v>197651.76999999993</v>
      </c>
      <c r="X271" s="395">
        <f t="shared" si="309"/>
        <v>53520</v>
      </c>
      <c r="Y271" s="188">
        <f t="shared" si="380"/>
        <v>198748.39999999994</v>
      </c>
      <c r="Z271" s="388">
        <f t="shared" si="302"/>
        <v>8.4999999999999992E-2</v>
      </c>
      <c r="AA271" s="188">
        <f t="shared" si="303"/>
        <v>2504.4299999999998</v>
      </c>
      <c r="AB271" s="188">
        <f t="shared" si="381"/>
        <v>1096.6299999999999</v>
      </c>
      <c r="AC271" s="188">
        <f t="shared" si="304"/>
        <v>1407.8</v>
      </c>
      <c r="AD271" s="188">
        <f t="shared" ref="AD271:AE271" si="402">+AD270</f>
        <v>51.5</v>
      </c>
      <c r="AE271" s="188">
        <f t="shared" si="402"/>
        <v>145.09666666666666</v>
      </c>
      <c r="AF271" s="188">
        <f t="shared" si="383"/>
        <v>2701.0266666666666</v>
      </c>
      <c r="AG271" s="188">
        <f t="shared" si="384"/>
        <v>128058.23000000003</v>
      </c>
      <c r="AH271" s="188">
        <f t="shared" si="385"/>
        <v>483022.68999999965</v>
      </c>
      <c r="AI271" s="404">
        <f t="shared" si="370"/>
        <v>0</v>
      </c>
      <c r="AJ271" s="404">
        <f t="shared" si="329"/>
        <v>0</v>
      </c>
      <c r="AK271" s="404">
        <f t="shared" si="371"/>
        <v>0</v>
      </c>
      <c r="AL271" s="188">
        <f t="shared" si="386"/>
        <v>197651.76999999993</v>
      </c>
      <c r="AM271" s="317">
        <f t="shared" si="311"/>
        <v>20</v>
      </c>
      <c r="AN271" s="14">
        <f t="shared" si="372"/>
        <v>1944.5499999999997</v>
      </c>
      <c r="AO271" s="14">
        <f>IF(W271&lt;=0,0,+$AA$6-$C$2+I271-U271)</f>
        <v>118126.76999999997</v>
      </c>
      <c r="AP271" s="14">
        <f t="shared" si="373"/>
        <v>1944.5499999999997</v>
      </c>
      <c r="AS271" s="14">
        <f t="shared" si="306"/>
        <v>1944.5499999999997</v>
      </c>
      <c r="AT271" s="14">
        <f t="shared" si="312"/>
        <v>473989.63999999809</v>
      </c>
      <c r="AU271" s="188">
        <f>IF(W271&lt;=0,0,+($O$5+AV270)*$AQ$2/12)</f>
        <v>1539.1761695425178</v>
      </c>
      <c r="AV271" s="188">
        <f t="shared" si="313"/>
        <v>291499.64398654964</v>
      </c>
    </row>
    <row r="272" spans="1:48">
      <c r="A272" s="395">
        <f t="shared" si="375"/>
        <v>53550</v>
      </c>
      <c r="B272" s="188">
        <f t="shared" si="307"/>
        <v>79985.169999999896</v>
      </c>
      <c r="C272" s="14">
        <f t="shared" ref="C272:C335" si="403">IF(+$K271&lt;=0,0,$C$6)</f>
        <v>559.88</v>
      </c>
      <c r="D272" s="14">
        <f t="shared" si="314"/>
        <v>259.94</v>
      </c>
      <c r="E272" s="14">
        <f t="shared" ref="E272:E335" si="404">ROUND($B272*($C$4/12), 2)</f>
        <v>299.94</v>
      </c>
      <c r="F272" s="14">
        <f t="shared" si="364"/>
        <v>51.5</v>
      </c>
      <c r="G272" s="14">
        <f t="shared" si="361"/>
        <v>145.09666666666666</v>
      </c>
      <c r="H272" s="14">
        <f t="shared" si="362"/>
        <v>756.47666666666669</v>
      </c>
      <c r="I272" s="188">
        <f t="shared" si="376"/>
        <v>43447.939999999988</v>
      </c>
      <c r="J272" s="188">
        <f t="shared" si="377"/>
        <v>100901.38999999996</v>
      </c>
      <c r="K272" s="188">
        <f t="shared" si="378"/>
        <v>79725.229999999894</v>
      </c>
      <c r="L272" s="317">
        <f t="shared" si="349"/>
        <v>20</v>
      </c>
      <c r="M272" s="317">
        <f>IF(N272&lt;&gt;"",IF(N272=$O$5,0,+M271+1),0)</f>
        <v>244</v>
      </c>
      <c r="N272" s="188">
        <f t="shared" si="308"/>
        <v>197651.76999999993</v>
      </c>
      <c r="O272" s="188">
        <f>IF($O$11&lt;=A272,IF(+$W271&lt;=0,0,$O$8),0)</f>
        <v>2504.4299999999998</v>
      </c>
      <c r="P272" s="188">
        <f t="shared" si="315"/>
        <v>1104.3999999999999</v>
      </c>
      <c r="Q272" s="188">
        <f>IF($O$11&lt;=A272,ROUND(N272*($O$7/12),2),0)</f>
        <v>1400.03</v>
      </c>
      <c r="R272" s="188">
        <f t="shared" si="367"/>
        <v>51.5</v>
      </c>
      <c r="S272" s="188">
        <f t="shared" si="368"/>
        <v>145.09666666666666</v>
      </c>
      <c r="T272" s="188">
        <f t="shared" si="365"/>
        <v>2701.0266666666666</v>
      </c>
      <c r="U272" s="188">
        <f t="shared" si="316"/>
        <v>129162.63000000002</v>
      </c>
      <c r="V272" s="188">
        <f t="shared" si="317"/>
        <v>484422.71999999968</v>
      </c>
      <c r="W272" s="188">
        <f t="shared" si="379"/>
        <v>196547.36999999994</v>
      </c>
      <c r="X272" s="395">
        <f t="shared" si="309"/>
        <v>53550</v>
      </c>
      <c r="Y272" s="188">
        <f t="shared" si="380"/>
        <v>197651.76999999993</v>
      </c>
      <c r="Z272" s="388">
        <f t="shared" ref="Z272:Z335" si="405">IF(L272&gt;4,$AA$10,$AA$9)</f>
        <v>8.4999999999999992E-2</v>
      </c>
      <c r="AA272" s="188">
        <f t="shared" ref="AA272:AA335" si="406">IF($O$11&lt;=$A272,IF(+AL271&lt;=0,0,IF(Z272=$AA$9,$Z$9,$Z$10)),0)</f>
        <v>2504.4299999999998</v>
      </c>
      <c r="AB272" s="188">
        <f t="shared" si="381"/>
        <v>1104.3999999999999</v>
      </c>
      <c r="AC272" s="188">
        <f t="shared" ref="AC272:AC335" si="407">IF($O$11&lt;=$A272,ROUND(Y272*(Z272/12),2),0)</f>
        <v>1400.03</v>
      </c>
      <c r="AD272" s="188">
        <f t="shared" ref="AD272:AE272" si="408">+AD271</f>
        <v>51.5</v>
      </c>
      <c r="AE272" s="188">
        <f t="shared" si="408"/>
        <v>145.09666666666666</v>
      </c>
      <c r="AF272" s="188">
        <f t="shared" si="383"/>
        <v>2701.0266666666666</v>
      </c>
      <c r="AG272" s="188">
        <f t="shared" si="384"/>
        <v>129162.63000000002</v>
      </c>
      <c r="AH272" s="188">
        <f t="shared" si="385"/>
        <v>484422.71999999968</v>
      </c>
      <c r="AI272" s="404">
        <f t="shared" si="370"/>
        <v>0</v>
      </c>
      <c r="AJ272" s="404">
        <f t="shared" si="329"/>
        <v>0</v>
      </c>
      <c r="AK272" s="404">
        <f t="shared" si="371"/>
        <v>0</v>
      </c>
      <c r="AL272" s="188">
        <f t="shared" si="386"/>
        <v>196547.36999999994</v>
      </c>
      <c r="AM272" s="317">
        <f t="shared" si="311"/>
        <v>20</v>
      </c>
      <c r="AN272" s="14">
        <f t="shared" si="372"/>
        <v>1944.5499999999997</v>
      </c>
      <c r="AO272" s="14">
        <f>IF(W272&lt;=0,0,+$AA$6-$C$2+I272-U272)</f>
        <v>117282.30999999998</v>
      </c>
      <c r="AP272" s="14">
        <f t="shared" si="373"/>
        <v>1944.5499999999997</v>
      </c>
      <c r="AS272" s="14">
        <f t="shared" ref="AS272:AS335" si="409">+AN272-AR272</f>
        <v>1944.5499999999997</v>
      </c>
      <c r="AT272" s="14">
        <f t="shared" si="312"/>
        <v>475934.18999999808</v>
      </c>
      <c r="AU272" s="188">
        <f>IF(W272&lt;=0,0,+($O$5+AV271)*$AQ$2/12)</f>
        <v>1543.0241099663742</v>
      </c>
      <c r="AV272" s="188">
        <f t="shared" si="313"/>
        <v>293042.66809651599</v>
      </c>
    </row>
    <row r="273" spans="1:48">
      <c r="A273" s="395">
        <f t="shared" si="375"/>
        <v>53580</v>
      </c>
      <c r="B273" s="188">
        <f t="shared" ref="B273:B336" si="410">IF(+K272&lt;0,0,+K272)</f>
        <v>79725.229999999894</v>
      </c>
      <c r="C273" s="14">
        <f t="shared" si="403"/>
        <v>559.88</v>
      </c>
      <c r="D273" s="14">
        <f t="shared" si="314"/>
        <v>260.90999999999997</v>
      </c>
      <c r="E273" s="14">
        <f t="shared" si="404"/>
        <v>298.97000000000003</v>
      </c>
      <c r="F273" s="14">
        <f t="shared" si="364"/>
        <v>51.5</v>
      </c>
      <c r="G273" s="14">
        <f t="shared" si="361"/>
        <v>145.09666666666666</v>
      </c>
      <c r="H273" s="14">
        <f t="shared" si="362"/>
        <v>756.47666666666669</v>
      </c>
      <c r="I273" s="188">
        <f t="shared" si="376"/>
        <v>43708.849999999991</v>
      </c>
      <c r="J273" s="188">
        <f t="shared" si="377"/>
        <v>101200.35999999996</v>
      </c>
      <c r="K273" s="188">
        <f t="shared" si="378"/>
        <v>79464.319999999891</v>
      </c>
      <c r="L273" s="317">
        <f t="shared" si="349"/>
        <v>20</v>
      </c>
      <c r="M273" s="317">
        <f>IF(N273&lt;&gt;"",IF(N273=$O$5,0,+M272+1),0)</f>
        <v>245</v>
      </c>
      <c r="N273" s="188">
        <f t="shared" ref="N273:N336" si="411">IF(+W272&lt;0,0,+W272)</f>
        <v>196547.36999999994</v>
      </c>
      <c r="O273" s="188">
        <f>IF($O$11&lt;=A273,IF(+$W272&lt;=0,0,$O$8),0)</f>
        <v>2504.4299999999998</v>
      </c>
      <c r="P273" s="188">
        <f t="shared" si="315"/>
        <v>1112.2199999999998</v>
      </c>
      <c r="Q273" s="188">
        <f>IF($O$11&lt;=A273,ROUND(N273*($O$7/12),2),0)</f>
        <v>1392.21</v>
      </c>
      <c r="R273" s="188">
        <f t="shared" si="367"/>
        <v>51.5</v>
      </c>
      <c r="S273" s="188">
        <f t="shared" si="368"/>
        <v>145.09666666666666</v>
      </c>
      <c r="T273" s="188">
        <f t="shared" si="365"/>
        <v>2701.0266666666666</v>
      </c>
      <c r="U273" s="188">
        <f t="shared" si="316"/>
        <v>130274.85000000002</v>
      </c>
      <c r="V273" s="188">
        <f t="shared" si="317"/>
        <v>485814.9299999997</v>
      </c>
      <c r="W273" s="188">
        <f t="shared" si="379"/>
        <v>195435.14999999994</v>
      </c>
      <c r="X273" s="395">
        <f t="shared" ref="X273:X336" si="412">+A273</f>
        <v>53580</v>
      </c>
      <c r="Y273" s="188">
        <f t="shared" si="380"/>
        <v>196547.36999999994</v>
      </c>
      <c r="Z273" s="388">
        <f t="shared" si="405"/>
        <v>8.4999999999999992E-2</v>
      </c>
      <c r="AA273" s="188">
        <f t="shared" si="406"/>
        <v>2504.4299999999998</v>
      </c>
      <c r="AB273" s="188">
        <f t="shared" si="381"/>
        <v>1112.2199999999998</v>
      </c>
      <c r="AC273" s="188">
        <f t="shared" si="407"/>
        <v>1392.21</v>
      </c>
      <c r="AD273" s="188">
        <f t="shared" ref="AD273:AE273" si="413">+AD272</f>
        <v>51.5</v>
      </c>
      <c r="AE273" s="188">
        <f t="shared" si="413"/>
        <v>145.09666666666666</v>
      </c>
      <c r="AF273" s="188">
        <f t="shared" si="383"/>
        <v>2701.0266666666666</v>
      </c>
      <c r="AG273" s="188">
        <f t="shared" si="384"/>
        <v>130274.85000000002</v>
      </c>
      <c r="AH273" s="188">
        <f t="shared" si="385"/>
        <v>485814.9299999997</v>
      </c>
      <c r="AI273" s="404">
        <f t="shared" si="370"/>
        <v>0</v>
      </c>
      <c r="AJ273" s="404">
        <f t="shared" si="329"/>
        <v>0</v>
      </c>
      <c r="AK273" s="404">
        <f t="shared" si="371"/>
        <v>0</v>
      </c>
      <c r="AL273" s="188">
        <f t="shared" si="386"/>
        <v>195435.14999999994</v>
      </c>
      <c r="AM273" s="317">
        <f t="shared" ref="AM273:AM336" si="414">+L273</f>
        <v>20</v>
      </c>
      <c r="AN273" s="14">
        <f t="shared" si="372"/>
        <v>1944.5499999999997</v>
      </c>
      <c r="AO273" s="14">
        <f>IF(W273&lt;=0,0,+$AA$6-$C$2+I273-U273)</f>
        <v>116430.99999999996</v>
      </c>
      <c r="AP273" s="14">
        <f t="shared" si="373"/>
        <v>1944.5499999999997</v>
      </c>
      <c r="AS273" s="14">
        <f t="shared" si="409"/>
        <v>1944.5499999999997</v>
      </c>
      <c r="AT273" s="14">
        <f t="shared" ref="AT273:AT336" si="415">IF(W273&lt;=0,0,+AS273+AT272)</f>
        <v>477878.73999999807</v>
      </c>
      <c r="AU273" s="188">
        <f>IF(W273&lt;=0,0,+($O$5+AV272)*$AQ$2/12)</f>
        <v>1546.8816702412898</v>
      </c>
      <c r="AV273" s="188">
        <f t="shared" ref="AV273:AV336" si="416">IF(W273&lt;=0,0,+AV272+AU273)</f>
        <v>294589.54976675729</v>
      </c>
    </row>
    <row r="274" spans="1:48">
      <c r="A274" s="395">
        <f t="shared" si="375"/>
        <v>53610</v>
      </c>
      <c r="B274" s="188">
        <f t="shared" si="410"/>
        <v>79464.319999999891</v>
      </c>
      <c r="C274" s="14">
        <f t="shared" si="403"/>
        <v>559.88</v>
      </c>
      <c r="D274" s="14">
        <f t="shared" ref="D274:D337" si="417">+C274-E274</f>
        <v>261.89</v>
      </c>
      <c r="E274" s="14">
        <f t="shared" si="404"/>
        <v>297.99</v>
      </c>
      <c r="F274" s="14">
        <f t="shared" si="364"/>
        <v>51.5</v>
      </c>
      <c r="G274" s="14">
        <f t="shared" si="361"/>
        <v>145.09666666666666</v>
      </c>
      <c r="H274" s="14">
        <f t="shared" si="362"/>
        <v>756.47666666666669</v>
      </c>
      <c r="I274" s="188">
        <f t="shared" si="376"/>
        <v>43970.739999999991</v>
      </c>
      <c r="J274" s="188">
        <f t="shared" si="377"/>
        <v>101498.34999999996</v>
      </c>
      <c r="K274" s="188">
        <f t="shared" si="378"/>
        <v>79202.429999999891</v>
      </c>
      <c r="L274" s="317">
        <f t="shared" si="349"/>
        <v>20</v>
      </c>
      <c r="M274" s="317">
        <f>IF(N274&lt;&gt;"",IF(N274=$O$5,0,+M273+1),0)</f>
        <v>246</v>
      </c>
      <c r="N274" s="188">
        <f t="shared" si="411"/>
        <v>195435.14999999994</v>
      </c>
      <c r="O274" s="188">
        <f>IF($O$11&lt;=A274,IF(+$W273&lt;=0,0,$O$8),0)</f>
        <v>2504.4299999999998</v>
      </c>
      <c r="P274" s="188">
        <f t="shared" ref="P274:P337" si="418">+O274-Q274</f>
        <v>1120.0999999999999</v>
      </c>
      <c r="Q274" s="188">
        <f>IF($O$11&lt;=A274,ROUND(N274*($O$7/12),2),0)</f>
        <v>1384.33</v>
      </c>
      <c r="R274" s="188">
        <f t="shared" si="367"/>
        <v>51.5</v>
      </c>
      <c r="S274" s="188">
        <f t="shared" si="368"/>
        <v>145.09666666666666</v>
      </c>
      <c r="T274" s="188">
        <f t="shared" si="365"/>
        <v>2701.0266666666666</v>
      </c>
      <c r="U274" s="188">
        <f t="shared" ref="U274:U337" si="419">+P274+U273</f>
        <v>131394.95000000001</v>
      </c>
      <c r="V274" s="188">
        <f t="shared" ref="V274:V337" si="420">+V273+Q274</f>
        <v>487199.25999999972</v>
      </c>
      <c r="W274" s="188">
        <f t="shared" si="379"/>
        <v>194315.04999999993</v>
      </c>
      <c r="X274" s="395">
        <f t="shared" si="412"/>
        <v>53610</v>
      </c>
      <c r="Y274" s="188">
        <f t="shared" si="380"/>
        <v>195435.14999999994</v>
      </c>
      <c r="Z274" s="388">
        <f t="shared" si="405"/>
        <v>8.4999999999999992E-2</v>
      </c>
      <c r="AA274" s="188">
        <f t="shared" si="406"/>
        <v>2504.4299999999998</v>
      </c>
      <c r="AB274" s="188">
        <f t="shared" si="381"/>
        <v>1120.0999999999999</v>
      </c>
      <c r="AC274" s="188">
        <f t="shared" si="407"/>
        <v>1384.33</v>
      </c>
      <c r="AD274" s="188">
        <f t="shared" ref="AD274:AE274" si="421">+AD273</f>
        <v>51.5</v>
      </c>
      <c r="AE274" s="188">
        <f t="shared" si="421"/>
        <v>145.09666666666666</v>
      </c>
      <c r="AF274" s="188">
        <f t="shared" si="383"/>
        <v>2701.0266666666666</v>
      </c>
      <c r="AG274" s="188">
        <f t="shared" si="384"/>
        <v>131394.95000000001</v>
      </c>
      <c r="AH274" s="188">
        <f t="shared" si="385"/>
        <v>487199.25999999972</v>
      </c>
      <c r="AI274" s="404">
        <f t="shared" si="370"/>
        <v>0</v>
      </c>
      <c r="AJ274" s="404">
        <f t="shared" si="329"/>
        <v>0</v>
      </c>
      <c r="AK274" s="404">
        <f t="shared" si="371"/>
        <v>0</v>
      </c>
      <c r="AL274" s="188">
        <f t="shared" si="386"/>
        <v>194315.04999999993</v>
      </c>
      <c r="AM274" s="317">
        <f t="shared" si="414"/>
        <v>20</v>
      </c>
      <c r="AN274" s="14">
        <f t="shared" si="372"/>
        <v>1944.5499999999997</v>
      </c>
      <c r="AO274" s="14">
        <f>IF(W274&lt;=0,0,+$AA$6-$C$2+I274-U274)</f>
        <v>115572.78999999998</v>
      </c>
      <c r="AP274" s="14">
        <f t="shared" si="373"/>
        <v>1944.5499999999997</v>
      </c>
      <c r="AS274" s="14">
        <f t="shared" si="409"/>
        <v>1944.5499999999997</v>
      </c>
      <c r="AT274" s="14">
        <f t="shared" si="415"/>
        <v>479823.28999999806</v>
      </c>
      <c r="AU274" s="188">
        <f>IF(W274&lt;=0,0,+($O$5+AV273)*$AQ$2/12)</f>
        <v>1550.7488744168932</v>
      </c>
      <c r="AV274" s="188">
        <f t="shared" si="416"/>
        <v>296140.29864117416</v>
      </c>
    </row>
    <row r="275" spans="1:48">
      <c r="A275" s="395">
        <f t="shared" si="375"/>
        <v>53640</v>
      </c>
      <c r="B275" s="188">
        <f t="shared" si="410"/>
        <v>79202.429999999891</v>
      </c>
      <c r="C275" s="14">
        <f t="shared" si="403"/>
        <v>559.88</v>
      </c>
      <c r="D275" s="14">
        <f t="shared" si="417"/>
        <v>262.87</v>
      </c>
      <c r="E275" s="14">
        <f t="shared" si="404"/>
        <v>297.01</v>
      </c>
      <c r="F275" s="14">
        <f t="shared" si="364"/>
        <v>51.5</v>
      </c>
      <c r="G275" s="14">
        <f t="shared" si="361"/>
        <v>145.09666666666666</v>
      </c>
      <c r="H275" s="14">
        <f t="shared" si="362"/>
        <v>756.47666666666669</v>
      </c>
      <c r="I275" s="188">
        <f t="shared" si="376"/>
        <v>44233.609999999993</v>
      </c>
      <c r="J275" s="188">
        <f t="shared" si="377"/>
        <v>101795.35999999996</v>
      </c>
      <c r="K275" s="188">
        <f t="shared" si="378"/>
        <v>78939.559999999896</v>
      </c>
      <c r="L275" s="317">
        <f t="shared" si="349"/>
        <v>20</v>
      </c>
      <c r="M275" s="317">
        <f>IF(N275&lt;&gt;"",IF(N275=$O$5,0,+M274+1),0)</f>
        <v>247</v>
      </c>
      <c r="N275" s="188">
        <f t="shared" si="411"/>
        <v>194315.04999999993</v>
      </c>
      <c r="O275" s="188">
        <f>IF($O$11&lt;=A275,IF(+$W274&lt;=0,0,$O$8),0)</f>
        <v>2504.4299999999998</v>
      </c>
      <c r="P275" s="188">
        <f t="shared" si="418"/>
        <v>1128.0299999999997</v>
      </c>
      <c r="Q275" s="188">
        <f>IF($O$11&lt;=A275,ROUND(N275*($O$7/12),2),0)</f>
        <v>1376.4</v>
      </c>
      <c r="R275" s="188">
        <f t="shared" si="367"/>
        <v>51.5</v>
      </c>
      <c r="S275" s="188">
        <f t="shared" si="368"/>
        <v>145.09666666666666</v>
      </c>
      <c r="T275" s="188">
        <f t="shared" si="365"/>
        <v>2701.0266666666666</v>
      </c>
      <c r="U275" s="188">
        <f t="shared" si="419"/>
        <v>132522.98000000001</v>
      </c>
      <c r="V275" s="188">
        <f t="shared" si="420"/>
        <v>488575.65999999974</v>
      </c>
      <c r="W275" s="188">
        <f t="shared" si="379"/>
        <v>193187.01999999993</v>
      </c>
      <c r="X275" s="395">
        <f t="shared" si="412"/>
        <v>53640</v>
      </c>
      <c r="Y275" s="188">
        <f t="shared" si="380"/>
        <v>194315.04999999993</v>
      </c>
      <c r="Z275" s="388">
        <f t="shared" si="405"/>
        <v>8.4999999999999992E-2</v>
      </c>
      <c r="AA275" s="188">
        <f t="shared" si="406"/>
        <v>2504.4299999999998</v>
      </c>
      <c r="AB275" s="188">
        <f t="shared" si="381"/>
        <v>1128.0299999999997</v>
      </c>
      <c r="AC275" s="188">
        <f t="shared" si="407"/>
        <v>1376.4</v>
      </c>
      <c r="AD275" s="188">
        <f t="shared" ref="AD275:AE275" si="422">+AD274</f>
        <v>51.5</v>
      </c>
      <c r="AE275" s="188">
        <f t="shared" si="422"/>
        <v>145.09666666666666</v>
      </c>
      <c r="AF275" s="188">
        <f t="shared" si="383"/>
        <v>2701.0266666666666</v>
      </c>
      <c r="AG275" s="188">
        <f t="shared" si="384"/>
        <v>132522.98000000001</v>
      </c>
      <c r="AH275" s="188">
        <f t="shared" si="385"/>
        <v>488575.65999999974</v>
      </c>
      <c r="AI275" s="404">
        <f t="shared" si="370"/>
        <v>0</v>
      </c>
      <c r="AJ275" s="404">
        <f t="shared" si="329"/>
        <v>0</v>
      </c>
      <c r="AK275" s="404">
        <f t="shared" si="371"/>
        <v>0</v>
      </c>
      <c r="AL275" s="188">
        <f t="shared" si="386"/>
        <v>193187.01999999993</v>
      </c>
      <c r="AM275" s="317">
        <f t="shared" si="414"/>
        <v>20</v>
      </c>
      <c r="AN275" s="14">
        <f t="shared" si="372"/>
        <v>1944.5499999999997</v>
      </c>
      <c r="AO275" s="14">
        <f>IF(W275&lt;=0,0,+$AA$6-$C$2+I275-U275)</f>
        <v>114707.62999999998</v>
      </c>
      <c r="AP275" s="14">
        <f t="shared" si="373"/>
        <v>1944.5499999999997</v>
      </c>
      <c r="AS275" s="14">
        <f t="shared" si="409"/>
        <v>1944.5499999999997</v>
      </c>
      <c r="AT275" s="14">
        <f t="shared" si="415"/>
        <v>481767.83999999805</v>
      </c>
      <c r="AU275" s="188">
        <f>IF(W275&lt;=0,0,+($O$5+AV274)*$AQ$2/12)</f>
        <v>1554.6257466029354</v>
      </c>
      <c r="AV275" s="188">
        <f t="shared" si="416"/>
        <v>297694.92438777711</v>
      </c>
    </row>
    <row r="276" spans="1:48">
      <c r="A276" s="395">
        <f t="shared" si="375"/>
        <v>53670</v>
      </c>
      <c r="B276" s="188">
        <f t="shared" si="410"/>
        <v>78939.559999999896</v>
      </c>
      <c r="C276" s="14">
        <f t="shared" si="403"/>
        <v>559.88</v>
      </c>
      <c r="D276" s="14">
        <f t="shared" si="417"/>
        <v>263.86</v>
      </c>
      <c r="E276" s="14">
        <f t="shared" si="404"/>
        <v>296.02</v>
      </c>
      <c r="F276" s="14">
        <f t="shared" si="364"/>
        <v>51.5</v>
      </c>
      <c r="G276" s="14">
        <f t="shared" si="361"/>
        <v>145.09666666666666</v>
      </c>
      <c r="H276" s="14">
        <f t="shared" si="362"/>
        <v>756.47666666666669</v>
      </c>
      <c r="I276" s="188">
        <f t="shared" si="376"/>
        <v>44497.469999999994</v>
      </c>
      <c r="J276" s="188">
        <f t="shared" si="377"/>
        <v>102091.37999999996</v>
      </c>
      <c r="K276" s="188">
        <f t="shared" si="378"/>
        <v>78675.699999999895</v>
      </c>
      <c r="L276" s="317">
        <f t="shared" si="349"/>
        <v>20</v>
      </c>
      <c r="M276" s="317">
        <f>IF(N276&lt;&gt;"",IF(N276=$O$5,0,+M275+1),0)</f>
        <v>248</v>
      </c>
      <c r="N276" s="188">
        <f t="shared" si="411"/>
        <v>193187.01999999993</v>
      </c>
      <c r="O276" s="188">
        <f>IF($O$11&lt;=A276,IF(+$W275&lt;=0,0,$O$8),0)</f>
        <v>2504.4299999999998</v>
      </c>
      <c r="P276" s="188">
        <f t="shared" si="418"/>
        <v>1136.0199999999998</v>
      </c>
      <c r="Q276" s="188">
        <f>IF($O$11&lt;=A276,ROUND(N276*($O$7/12),2),0)</f>
        <v>1368.41</v>
      </c>
      <c r="R276" s="188">
        <f t="shared" si="367"/>
        <v>51.5</v>
      </c>
      <c r="S276" s="188">
        <f t="shared" si="368"/>
        <v>145.09666666666666</v>
      </c>
      <c r="T276" s="188">
        <f t="shared" si="365"/>
        <v>2701.0266666666666</v>
      </c>
      <c r="U276" s="188">
        <f t="shared" si="419"/>
        <v>133659</v>
      </c>
      <c r="V276" s="188">
        <f t="shared" si="420"/>
        <v>489944.06999999972</v>
      </c>
      <c r="W276" s="188">
        <f t="shared" si="379"/>
        <v>192050.99999999994</v>
      </c>
      <c r="X276" s="395">
        <f t="shared" si="412"/>
        <v>53670</v>
      </c>
      <c r="Y276" s="188">
        <f t="shared" si="380"/>
        <v>193187.01999999993</v>
      </c>
      <c r="Z276" s="388">
        <f t="shared" si="405"/>
        <v>8.4999999999999992E-2</v>
      </c>
      <c r="AA276" s="188">
        <f t="shared" si="406"/>
        <v>2504.4299999999998</v>
      </c>
      <c r="AB276" s="188">
        <f t="shared" si="381"/>
        <v>1136.0199999999998</v>
      </c>
      <c r="AC276" s="188">
        <f t="shared" si="407"/>
        <v>1368.41</v>
      </c>
      <c r="AD276" s="188">
        <f t="shared" ref="AD276:AE276" si="423">+AD275</f>
        <v>51.5</v>
      </c>
      <c r="AE276" s="188">
        <f t="shared" si="423"/>
        <v>145.09666666666666</v>
      </c>
      <c r="AF276" s="188">
        <f t="shared" si="383"/>
        <v>2701.0266666666666</v>
      </c>
      <c r="AG276" s="188">
        <f t="shared" si="384"/>
        <v>133659</v>
      </c>
      <c r="AH276" s="188">
        <f t="shared" si="385"/>
        <v>489944.06999999972</v>
      </c>
      <c r="AI276" s="404">
        <f t="shared" si="370"/>
        <v>0</v>
      </c>
      <c r="AJ276" s="404">
        <f t="shared" si="329"/>
        <v>0</v>
      </c>
      <c r="AK276" s="404">
        <f t="shared" si="371"/>
        <v>0</v>
      </c>
      <c r="AL276" s="188">
        <f t="shared" si="386"/>
        <v>192050.99999999994</v>
      </c>
      <c r="AM276" s="317">
        <f t="shared" si="414"/>
        <v>20</v>
      </c>
      <c r="AN276" s="14">
        <f t="shared" si="372"/>
        <v>1944.5499999999997</v>
      </c>
      <c r="AO276" s="14">
        <f>IF(W276&lt;=0,0,+$AA$6-$C$2+I276-U276)</f>
        <v>113835.47</v>
      </c>
      <c r="AP276" s="14">
        <f t="shared" si="373"/>
        <v>1944.5499999999997</v>
      </c>
      <c r="AS276" s="14">
        <f t="shared" si="409"/>
        <v>1944.5499999999997</v>
      </c>
      <c r="AT276" s="14">
        <f t="shared" si="415"/>
        <v>483712.38999999803</v>
      </c>
      <c r="AU276" s="188">
        <f>IF(W276&lt;=0,0,+($O$5+AV275)*$AQ$2/12)</f>
        <v>1558.5123109694425</v>
      </c>
      <c r="AV276" s="188">
        <f t="shared" si="416"/>
        <v>299253.43669874658</v>
      </c>
    </row>
    <row r="277" spans="1:48">
      <c r="A277" s="395">
        <f t="shared" si="375"/>
        <v>53700</v>
      </c>
      <c r="B277" s="188">
        <f t="shared" si="410"/>
        <v>78675.699999999895</v>
      </c>
      <c r="C277" s="14">
        <f t="shared" si="403"/>
        <v>559.88</v>
      </c>
      <c r="D277" s="14">
        <f t="shared" si="417"/>
        <v>264.85000000000002</v>
      </c>
      <c r="E277" s="14">
        <f t="shared" si="404"/>
        <v>295.02999999999997</v>
      </c>
      <c r="F277" s="14">
        <f t="shared" si="364"/>
        <v>51.5</v>
      </c>
      <c r="G277" s="14">
        <f t="shared" si="361"/>
        <v>145.09666666666666</v>
      </c>
      <c r="H277" s="14">
        <f t="shared" si="362"/>
        <v>756.47666666666669</v>
      </c>
      <c r="I277" s="188">
        <f t="shared" si="376"/>
        <v>44762.319999999992</v>
      </c>
      <c r="J277" s="188">
        <f t="shared" si="377"/>
        <v>102386.40999999996</v>
      </c>
      <c r="K277" s="188">
        <f t="shared" si="378"/>
        <v>78410.849999999889</v>
      </c>
      <c r="L277" s="317">
        <f t="shared" si="349"/>
        <v>20</v>
      </c>
      <c r="M277" s="317">
        <f>IF(N277&lt;&gt;"",IF(N277=$O$5,0,+M276+1),0)</f>
        <v>249</v>
      </c>
      <c r="N277" s="188">
        <f t="shared" si="411"/>
        <v>192050.99999999994</v>
      </c>
      <c r="O277" s="188">
        <f>IF($O$11&lt;=A277,IF(+$W276&lt;=0,0,$O$8),0)</f>
        <v>2504.4299999999998</v>
      </c>
      <c r="P277" s="188">
        <f t="shared" si="418"/>
        <v>1144.07</v>
      </c>
      <c r="Q277" s="188">
        <f>IF($O$11&lt;=A277,ROUND(N277*($O$7/12),2),0)</f>
        <v>1360.36</v>
      </c>
      <c r="R277" s="188">
        <f t="shared" si="367"/>
        <v>51.5</v>
      </c>
      <c r="S277" s="188">
        <f t="shared" si="368"/>
        <v>145.09666666666666</v>
      </c>
      <c r="T277" s="188">
        <f t="shared" si="365"/>
        <v>2701.0266666666666</v>
      </c>
      <c r="U277" s="188">
        <f t="shared" si="419"/>
        <v>134803.07</v>
      </c>
      <c r="V277" s="188">
        <f t="shared" si="420"/>
        <v>491304.4299999997</v>
      </c>
      <c r="W277" s="188">
        <f t="shared" si="379"/>
        <v>190906.92999999993</v>
      </c>
      <c r="X277" s="395">
        <f t="shared" si="412"/>
        <v>53700</v>
      </c>
      <c r="Y277" s="188">
        <f t="shared" si="380"/>
        <v>192050.99999999994</v>
      </c>
      <c r="Z277" s="388">
        <f t="shared" si="405"/>
        <v>8.4999999999999992E-2</v>
      </c>
      <c r="AA277" s="188">
        <f t="shared" si="406"/>
        <v>2504.4299999999998</v>
      </c>
      <c r="AB277" s="188">
        <f t="shared" si="381"/>
        <v>1144.07</v>
      </c>
      <c r="AC277" s="188">
        <f t="shared" si="407"/>
        <v>1360.36</v>
      </c>
      <c r="AD277" s="188">
        <f t="shared" ref="AD277:AE277" si="424">+AD276</f>
        <v>51.5</v>
      </c>
      <c r="AE277" s="188">
        <f t="shared" si="424"/>
        <v>145.09666666666666</v>
      </c>
      <c r="AF277" s="188">
        <f t="shared" si="383"/>
        <v>2701.0266666666666</v>
      </c>
      <c r="AG277" s="188">
        <f t="shared" si="384"/>
        <v>134803.07</v>
      </c>
      <c r="AH277" s="188">
        <f t="shared" si="385"/>
        <v>491304.4299999997</v>
      </c>
      <c r="AI277" s="404">
        <f t="shared" si="370"/>
        <v>0</v>
      </c>
      <c r="AJ277" s="404">
        <f t="shared" si="329"/>
        <v>0</v>
      </c>
      <c r="AK277" s="404">
        <f t="shared" si="371"/>
        <v>0</v>
      </c>
      <c r="AL277" s="188">
        <f t="shared" si="386"/>
        <v>190906.92999999993</v>
      </c>
      <c r="AM277" s="317">
        <f t="shared" si="414"/>
        <v>20</v>
      </c>
      <c r="AN277" s="14">
        <f t="shared" si="372"/>
        <v>1944.5499999999997</v>
      </c>
      <c r="AO277" s="14">
        <f>IF(W277&lt;=0,0,+$AA$6-$C$2+I277-U277)</f>
        <v>112956.25</v>
      </c>
      <c r="AP277" s="14">
        <f t="shared" si="373"/>
        <v>1944.5499999999997</v>
      </c>
      <c r="AS277" s="14">
        <f t="shared" si="409"/>
        <v>1944.5499999999997</v>
      </c>
      <c r="AT277" s="14">
        <f t="shared" si="415"/>
        <v>485656.93999999802</v>
      </c>
      <c r="AU277" s="188">
        <f>IF(W277&lt;=0,0,+($O$5+AV276)*$AQ$2/12)</f>
        <v>1562.4085917468665</v>
      </c>
      <c r="AV277" s="188">
        <f t="shared" si="416"/>
        <v>300815.84529049345</v>
      </c>
    </row>
    <row r="278" spans="1:48">
      <c r="A278" s="395">
        <f t="shared" si="375"/>
        <v>53730</v>
      </c>
      <c r="B278" s="188">
        <f t="shared" si="410"/>
        <v>78410.849999999889</v>
      </c>
      <c r="C278" s="14">
        <f t="shared" si="403"/>
        <v>559.88</v>
      </c>
      <c r="D278" s="14">
        <f t="shared" si="417"/>
        <v>265.83999999999997</v>
      </c>
      <c r="E278" s="14">
        <f t="shared" si="404"/>
        <v>294.04000000000002</v>
      </c>
      <c r="F278" s="14">
        <f t="shared" si="364"/>
        <v>51.5</v>
      </c>
      <c r="G278" s="14">
        <f t="shared" si="361"/>
        <v>145.09666666666666</v>
      </c>
      <c r="H278" s="14">
        <f t="shared" si="362"/>
        <v>756.47666666666669</v>
      </c>
      <c r="I278" s="188">
        <f t="shared" si="376"/>
        <v>45028.159999999989</v>
      </c>
      <c r="J278" s="188">
        <f t="shared" si="377"/>
        <v>102680.44999999995</v>
      </c>
      <c r="K278" s="188">
        <f t="shared" si="378"/>
        <v>78145.009999999893</v>
      </c>
      <c r="L278" s="317">
        <f t="shared" si="349"/>
        <v>20</v>
      </c>
      <c r="M278" s="317">
        <f>IF(N278&lt;&gt;"",IF(N278=$O$5,0,+M277+1),0)</f>
        <v>250</v>
      </c>
      <c r="N278" s="188">
        <f t="shared" si="411"/>
        <v>190906.92999999993</v>
      </c>
      <c r="O278" s="188">
        <f>IF($O$11&lt;=A278,IF(+$W277&lt;=0,0,$O$8),0)</f>
        <v>2504.4299999999998</v>
      </c>
      <c r="P278" s="188">
        <f t="shared" si="418"/>
        <v>1152.1699999999998</v>
      </c>
      <c r="Q278" s="188">
        <f>IF($O$11&lt;=A278,ROUND(N278*($O$7/12),2),0)</f>
        <v>1352.26</v>
      </c>
      <c r="R278" s="188">
        <f t="shared" si="367"/>
        <v>51.5</v>
      </c>
      <c r="S278" s="188">
        <f t="shared" si="368"/>
        <v>145.09666666666666</v>
      </c>
      <c r="T278" s="188">
        <f t="shared" si="365"/>
        <v>2701.0266666666666</v>
      </c>
      <c r="U278" s="188">
        <f t="shared" si="419"/>
        <v>135955.24000000002</v>
      </c>
      <c r="V278" s="188">
        <f t="shared" si="420"/>
        <v>492656.68999999971</v>
      </c>
      <c r="W278" s="188">
        <f t="shared" si="379"/>
        <v>189754.75999999992</v>
      </c>
      <c r="X278" s="395">
        <f t="shared" si="412"/>
        <v>53730</v>
      </c>
      <c r="Y278" s="188">
        <f t="shared" si="380"/>
        <v>190906.92999999993</v>
      </c>
      <c r="Z278" s="388">
        <f t="shared" si="405"/>
        <v>8.4999999999999992E-2</v>
      </c>
      <c r="AA278" s="188">
        <f t="shared" si="406"/>
        <v>2504.4299999999998</v>
      </c>
      <c r="AB278" s="188">
        <f t="shared" si="381"/>
        <v>1152.1699999999998</v>
      </c>
      <c r="AC278" s="188">
        <f t="shared" si="407"/>
        <v>1352.26</v>
      </c>
      <c r="AD278" s="188">
        <f t="shared" ref="AD278:AE278" si="425">+AD277</f>
        <v>51.5</v>
      </c>
      <c r="AE278" s="188">
        <f t="shared" si="425"/>
        <v>145.09666666666666</v>
      </c>
      <c r="AF278" s="188">
        <f t="shared" si="383"/>
        <v>2701.0266666666666</v>
      </c>
      <c r="AG278" s="188">
        <f t="shared" si="384"/>
        <v>135955.24000000002</v>
      </c>
      <c r="AH278" s="188">
        <f t="shared" si="385"/>
        <v>492656.68999999971</v>
      </c>
      <c r="AI278" s="404">
        <f t="shared" si="370"/>
        <v>0</v>
      </c>
      <c r="AJ278" s="404">
        <f t="shared" si="329"/>
        <v>0</v>
      </c>
      <c r="AK278" s="404">
        <f t="shared" si="371"/>
        <v>0</v>
      </c>
      <c r="AL278" s="188">
        <f t="shared" si="386"/>
        <v>189754.75999999992</v>
      </c>
      <c r="AM278" s="317">
        <f t="shared" si="414"/>
        <v>20</v>
      </c>
      <c r="AN278" s="14">
        <f t="shared" si="372"/>
        <v>1944.5499999999997</v>
      </c>
      <c r="AO278" s="14">
        <f>IF(W278&lt;=0,0,+$AA$6-$C$2+I278-U278)</f>
        <v>112069.91999999995</v>
      </c>
      <c r="AP278" s="14">
        <f t="shared" si="373"/>
        <v>1944.5499999999997</v>
      </c>
      <c r="AS278" s="14">
        <f t="shared" si="409"/>
        <v>1944.5499999999997</v>
      </c>
      <c r="AT278" s="14">
        <f t="shared" si="415"/>
        <v>487601.48999999801</v>
      </c>
      <c r="AU278" s="188">
        <f>IF(W278&lt;=0,0,+($O$5+AV277)*$AQ$2/12)</f>
        <v>1566.3146132262336</v>
      </c>
      <c r="AV278" s="188">
        <f t="shared" si="416"/>
        <v>302382.15990371967</v>
      </c>
    </row>
    <row r="279" spans="1:48" ht="15.75" thickBot="1">
      <c r="A279" s="398">
        <f t="shared" si="375"/>
        <v>53760</v>
      </c>
      <c r="B279" s="237">
        <f t="shared" si="410"/>
        <v>78145.009999999893</v>
      </c>
      <c r="C279" s="21">
        <f t="shared" si="403"/>
        <v>559.88</v>
      </c>
      <c r="D279" s="21">
        <f t="shared" si="417"/>
        <v>266.83999999999997</v>
      </c>
      <c r="E279" s="21">
        <f t="shared" si="404"/>
        <v>293.04000000000002</v>
      </c>
      <c r="F279" s="21">
        <f t="shared" si="364"/>
        <v>51.5</v>
      </c>
      <c r="G279" s="21">
        <f t="shared" si="361"/>
        <v>145.09666666666666</v>
      </c>
      <c r="H279" s="21">
        <f t="shared" si="362"/>
        <v>756.47666666666669</v>
      </c>
      <c r="I279" s="237">
        <f t="shared" si="376"/>
        <v>45294.999999999985</v>
      </c>
      <c r="J279" s="237">
        <f t="shared" si="377"/>
        <v>102973.48999999995</v>
      </c>
      <c r="K279" s="237">
        <f t="shared" si="378"/>
        <v>77878.169999999896</v>
      </c>
      <c r="L279" s="318">
        <f t="shared" si="349"/>
        <v>20</v>
      </c>
      <c r="M279" s="318">
        <f>IF(N279&lt;&gt;"",IF(N279=$O$5,0,+M278+1),0)</f>
        <v>251</v>
      </c>
      <c r="N279" s="237">
        <f t="shared" si="411"/>
        <v>189754.75999999992</v>
      </c>
      <c r="O279" s="237">
        <f>IF($O$11&lt;=A279,IF(+$W278&lt;=0,0,$O$8),0)</f>
        <v>2504.4299999999998</v>
      </c>
      <c r="P279" s="237">
        <f t="shared" si="418"/>
        <v>1160.33</v>
      </c>
      <c r="Q279" s="237">
        <f>IF($O$11&lt;=A279,ROUND(N279*($O$7/12),2),0)</f>
        <v>1344.1</v>
      </c>
      <c r="R279" s="237">
        <f t="shared" si="367"/>
        <v>51.5</v>
      </c>
      <c r="S279" s="237">
        <f t="shared" si="368"/>
        <v>145.09666666666666</v>
      </c>
      <c r="T279" s="237">
        <f t="shared" si="365"/>
        <v>2701.0266666666666</v>
      </c>
      <c r="U279" s="237">
        <f t="shared" si="419"/>
        <v>137115.57</v>
      </c>
      <c r="V279" s="237">
        <f t="shared" si="420"/>
        <v>494000.78999999969</v>
      </c>
      <c r="W279" s="237">
        <f t="shared" si="379"/>
        <v>188594.42999999993</v>
      </c>
      <c r="X279" s="398">
        <f t="shared" si="412"/>
        <v>53760</v>
      </c>
      <c r="Y279" s="237">
        <f t="shared" si="380"/>
        <v>189754.75999999992</v>
      </c>
      <c r="Z279" s="389">
        <f t="shared" si="405"/>
        <v>8.4999999999999992E-2</v>
      </c>
      <c r="AA279" s="237">
        <f t="shared" si="406"/>
        <v>2504.4299999999998</v>
      </c>
      <c r="AB279" s="237">
        <f t="shared" si="381"/>
        <v>1160.33</v>
      </c>
      <c r="AC279" s="237">
        <f t="shared" si="407"/>
        <v>1344.1</v>
      </c>
      <c r="AD279" s="237">
        <f t="shared" ref="AD279:AE279" si="426">+AD278</f>
        <v>51.5</v>
      </c>
      <c r="AE279" s="237">
        <f t="shared" si="426"/>
        <v>145.09666666666666</v>
      </c>
      <c r="AF279" s="237">
        <f t="shared" si="383"/>
        <v>2701.0266666666666</v>
      </c>
      <c r="AG279" s="237">
        <f t="shared" si="384"/>
        <v>137115.57</v>
      </c>
      <c r="AH279" s="237">
        <f t="shared" si="385"/>
        <v>494000.78999999969</v>
      </c>
      <c r="AI279" s="405">
        <f t="shared" si="370"/>
        <v>0</v>
      </c>
      <c r="AJ279" s="405">
        <f t="shared" si="329"/>
        <v>0</v>
      </c>
      <c r="AK279" s="404">
        <f t="shared" si="371"/>
        <v>0</v>
      </c>
      <c r="AL279" s="237">
        <f t="shared" si="386"/>
        <v>188594.42999999993</v>
      </c>
      <c r="AM279" s="318">
        <f t="shared" si="414"/>
        <v>20</v>
      </c>
      <c r="AN279" s="21">
        <f t="shared" si="372"/>
        <v>1944.5499999999997</v>
      </c>
      <c r="AO279" s="21">
        <f>IF(W279&lt;=0,0,+$AA$6-$C$2+I279-U279)</f>
        <v>111176.43</v>
      </c>
      <c r="AP279" s="21">
        <f t="shared" si="373"/>
        <v>1944.5499999999997</v>
      </c>
      <c r="AQ279" s="21"/>
      <c r="AR279" s="23"/>
      <c r="AS279" s="21">
        <f t="shared" si="409"/>
        <v>1944.5499999999997</v>
      </c>
      <c r="AT279" s="21">
        <f t="shared" si="415"/>
        <v>489546.039999998</v>
      </c>
      <c r="AU279" s="237">
        <f>IF(W279&lt;=0,0,+($O$5+AV278)*$AQ$2/12)</f>
        <v>1570.2303997592992</v>
      </c>
      <c r="AV279" s="237">
        <f t="shared" si="416"/>
        <v>303952.39030347898</v>
      </c>
    </row>
    <row r="280" spans="1:48">
      <c r="A280" s="395">
        <f t="shared" si="375"/>
        <v>53790</v>
      </c>
      <c r="B280" s="188">
        <f t="shared" si="410"/>
        <v>77878.169999999896</v>
      </c>
      <c r="C280" s="14">
        <f t="shared" si="403"/>
        <v>559.88</v>
      </c>
      <c r="D280" s="14">
        <f t="shared" si="417"/>
        <v>267.83999999999997</v>
      </c>
      <c r="E280" s="14">
        <f t="shared" si="404"/>
        <v>292.04000000000002</v>
      </c>
      <c r="F280" s="14">
        <f t="shared" si="364"/>
        <v>51.5</v>
      </c>
      <c r="G280" s="14">
        <f t="shared" si="361"/>
        <v>145.09666666666666</v>
      </c>
      <c r="H280" s="14">
        <f t="shared" si="362"/>
        <v>756.47666666666669</v>
      </c>
      <c r="I280" s="188">
        <f t="shared" si="376"/>
        <v>45562.839999999982</v>
      </c>
      <c r="J280" s="188">
        <f t="shared" si="377"/>
        <v>103265.52999999994</v>
      </c>
      <c r="K280" s="188">
        <f t="shared" si="378"/>
        <v>77610.3299999999</v>
      </c>
      <c r="L280" s="317">
        <f t="shared" si="349"/>
        <v>21</v>
      </c>
      <c r="M280" s="317">
        <f>IF(N280&lt;&gt;"",IF(N280=$O$5,0,+M279+1),0)</f>
        <v>252</v>
      </c>
      <c r="N280" s="188">
        <f t="shared" si="411"/>
        <v>188594.42999999993</v>
      </c>
      <c r="O280" s="188">
        <f>IF($O$11&lt;=A280,IF(+$W279&lt;=0,0,$O$8),0)</f>
        <v>2504.4299999999998</v>
      </c>
      <c r="P280" s="188">
        <f t="shared" si="418"/>
        <v>1168.5499999999997</v>
      </c>
      <c r="Q280" s="188">
        <f>IF($O$11&lt;=A280,ROUND(N280*($O$7/12),2),0)</f>
        <v>1335.88</v>
      </c>
      <c r="R280" s="188">
        <f t="shared" si="367"/>
        <v>51.5</v>
      </c>
      <c r="S280" s="188">
        <f t="shared" si="368"/>
        <v>145.09666666666666</v>
      </c>
      <c r="T280" s="188">
        <f t="shared" si="365"/>
        <v>2701.0266666666666</v>
      </c>
      <c r="U280" s="188">
        <f t="shared" si="419"/>
        <v>138284.12</v>
      </c>
      <c r="V280" s="188">
        <f t="shared" si="420"/>
        <v>495336.66999999969</v>
      </c>
      <c r="W280" s="188">
        <f t="shared" si="379"/>
        <v>187425.87999999995</v>
      </c>
      <c r="X280" s="395">
        <f t="shared" si="412"/>
        <v>53790</v>
      </c>
      <c r="Y280" s="188">
        <f t="shared" si="380"/>
        <v>188594.42999999993</v>
      </c>
      <c r="Z280" s="388">
        <f t="shared" si="405"/>
        <v>8.4999999999999992E-2</v>
      </c>
      <c r="AA280" s="188">
        <f t="shared" si="406"/>
        <v>2504.4299999999998</v>
      </c>
      <c r="AB280" s="188">
        <f t="shared" si="381"/>
        <v>1168.5499999999997</v>
      </c>
      <c r="AC280" s="188">
        <f t="shared" si="407"/>
        <v>1335.88</v>
      </c>
      <c r="AD280" s="188">
        <f t="shared" ref="AD280:AE280" si="427">+AD279</f>
        <v>51.5</v>
      </c>
      <c r="AE280" s="188">
        <f t="shared" si="427"/>
        <v>145.09666666666666</v>
      </c>
      <c r="AF280" s="188">
        <f t="shared" si="383"/>
        <v>2701.0266666666666</v>
      </c>
      <c r="AG280" s="188">
        <f t="shared" si="384"/>
        <v>138284.12</v>
      </c>
      <c r="AH280" s="188">
        <f t="shared" si="385"/>
        <v>495336.66999999969</v>
      </c>
      <c r="AI280" s="404">
        <f t="shared" si="370"/>
        <v>0</v>
      </c>
      <c r="AJ280" s="404">
        <f t="shared" si="329"/>
        <v>0</v>
      </c>
      <c r="AK280" s="404">
        <f t="shared" si="371"/>
        <v>0</v>
      </c>
      <c r="AL280" s="188">
        <f t="shared" si="386"/>
        <v>187425.87999999995</v>
      </c>
      <c r="AM280" s="317">
        <f t="shared" si="414"/>
        <v>21</v>
      </c>
      <c r="AN280" s="14">
        <f t="shared" si="372"/>
        <v>1944.5499999999997</v>
      </c>
      <c r="AO280" s="14">
        <f>IF(W280&lt;=0,0,+$AA$6-$C$2+I280-U280)</f>
        <v>110275.71999999997</v>
      </c>
      <c r="AP280" s="14">
        <f t="shared" si="373"/>
        <v>1944.5499999999997</v>
      </c>
      <c r="AS280" s="14">
        <f t="shared" si="409"/>
        <v>1944.5499999999997</v>
      </c>
      <c r="AT280" s="14">
        <f t="shared" si="415"/>
        <v>491490.58999999799</v>
      </c>
      <c r="AU280" s="188">
        <f>IF(W280&lt;=0,0,+($O$5+AV279)*$AQ$2/12)</f>
        <v>1574.1559757586974</v>
      </c>
      <c r="AV280" s="188">
        <f t="shared" si="416"/>
        <v>305526.54627923766</v>
      </c>
    </row>
    <row r="281" spans="1:48">
      <c r="A281" s="395">
        <f t="shared" si="375"/>
        <v>53820</v>
      </c>
      <c r="B281" s="188">
        <f t="shared" si="410"/>
        <v>77610.3299999999</v>
      </c>
      <c r="C281" s="14">
        <f t="shared" si="403"/>
        <v>559.88</v>
      </c>
      <c r="D281" s="14">
        <f t="shared" si="417"/>
        <v>268.83999999999997</v>
      </c>
      <c r="E281" s="14">
        <f t="shared" si="404"/>
        <v>291.04000000000002</v>
      </c>
      <c r="F281" s="14">
        <f t="shared" si="364"/>
        <v>51.5</v>
      </c>
      <c r="G281" s="14">
        <f t="shared" si="361"/>
        <v>145.09666666666666</v>
      </c>
      <c r="H281" s="14">
        <f t="shared" si="362"/>
        <v>756.47666666666669</v>
      </c>
      <c r="I281" s="188">
        <f t="shared" si="376"/>
        <v>45831.679999999978</v>
      </c>
      <c r="J281" s="188">
        <f t="shared" si="377"/>
        <v>103556.56999999993</v>
      </c>
      <c r="K281" s="188">
        <f t="shared" si="378"/>
        <v>77341.489999999903</v>
      </c>
      <c r="L281" s="317">
        <f t="shared" si="349"/>
        <v>21</v>
      </c>
      <c r="M281" s="317">
        <f>IF(N281&lt;&gt;"",IF(N281=$O$5,0,+M280+1),0)</f>
        <v>253</v>
      </c>
      <c r="N281" s="188">
        <f t="shared" si="411"/>
        <v>187425.87999999995</v>
      </c>
      <c r="O281" s="188">
        <f>IF($O$11&lt;=A281,IF(+$W280&lt;=0,0,$O$8),0)</f>
        <v>2504.4299999999998</v>
      </c>
      <c r="P281" s="188">
        <f t="shared" si="418"/>
        <v>1176.83</v>
      </c>
      <c r="Q281" s="188">
        <f>IF($O$11&lt;=A281,ROUND(N281*($O$7/12),2),0)</f>
        <v>1327.6</v>
      </c>
      <c r="R281" s="188">
        <f t="shared" si="367"/>
        <v>51.5</v>
      </c>
      <c r="S281" s="188">
        <f t="shared" si="368"/>
        <v>145.09666666666666</v>
      </c>
      <c r="T281" s="188">
        <f t="shared" si="365"/>
        <v>2701.0266666666666</v>
      </c>
      <c r="U281" s="188">
        <f t="shared" si="419"/>
        <v>139460.94999999998</v>
      </c>
      <c r="V281" s="188">
        <f t="shared" si="420"/>
        <v>496664.26999999967</v>
      </c>
      <c r="W281" s="188">
        <f t="shared" si="379"/>
        <v>186249.04999999996</v>
      </c>
      <c r="X281" s="395">
        <f t="shared" si="412"/>
        <v>53820</v>
      </c>
      <c r="Y281" s="188">
        <f t="shared" si="380"/>
        <v>187425.87999999995</v>
      </c>
      <c r="Z281" s="388">
        <f t="shared" si="405"/>
        <v>8.4999999999999992E-2</v>
      </c>
      <c r="AA281" s="188">
        <f t="shared" si="406"/>
        <v>2504.4299999999998</v>
      </c>
      <c r="AB281" s="188">
        <f t="shared" si="381"/>
        <v>1176.83</v>
      </c>
      <c r="AC281" s="188">
        <f t="shared" si="407"/>
        <v>1327.6</v>
      </c>
      <c r="AD281" s="188">
        <f t="shared" ref="AD281:AE281" si="428">+AD280</f>
        <v>51.5</v>
      </c>
      <c r="AE281" s="188">
        <f t="shared" si="428"/>
        <v>145.09666666666666</v>
      </c>
      <c r="AF281" s="188">
        <f t="shared" si="383"/>
        <v>2701.0266666666666</v>
      </c>
      <c r="AG281" s="188">
        <f t="shared" si="384"/>
        <v>139460.94999999998</v>
      </c>
      <c r="AH281" s="188">
        <f t="shared" si="385"/>
        <v>496664.26999999967</v>
      </c>
      <c r="AI281" s="404">
        <f t="shared" si="370"/>
        <v>0</v>
      </c>
      <c r="AJ281" s="404">
        <f t="shared" si="329"/>
        <v>0</v>
      </c>
      <c r="AK281" s="404">
        <f t="shared" si="371"/>
        <v>0</v>
      </c>
      <c r="AL281" s="188">
        <f t="shared" si="386"/>
        <v>186249.04999999996</v>
      </c>
      <c r="AM281" s="317">
        <f t="shared" si="414"/>
        <v>21</v>
      </c>
      <c r="AN281" s="14">
        <f t="shared" si="372"/>
        <v>1944.5499999999997</v>
      </c>
      <c r="AO281" s="14">
        <f>IF(W281&lt;=0,0,+$AA$6-$C$2+I281-U281)</f>
        <v>109367.73000000001</v>
      </c>
      <c r="AP281" s="14">
        <f t="shared" si="373"/>
        <v>1944.5499999999997</v>
      </c>
      <c r="AS281" s="14">
        <f t="shared" si="409"/>
        <v>1944.5499999999997</v>
      </c>
      <c r="AT281" s="14">
        <f t="shared" si="415"/>
        <v>493435.13999999798</v>
      </c>
      <c r="AU281" s="188">
        <f>IF(W281&lt;=0,0,+($O$5+AV280)*$AQ$2/12)</f>
        <v>1578.091365698094</v>
      </c>
      <c r="AV281" s="188">
        <f t="shared" si="416"/>
        <v>307104.63764493575</v>
      </c>
    </row>
    <row r="282" spans="1:48">
      <c r="A282" s="395">
        <f t="shared" si="375"/>
        <v>53850</v>
      </c>
      <c r="B282" s="188">
        <f t="shared" si="410"/>
        <v>77341.489999999903</v>
      </c>
      <c r="C282" s="14">
        <f t="shared" si="403"/>
        <v>559.88</v>
      </c>
      <c r="D282" s="14">
        <f t="shared" si="417"/>
        <v>269.85000000000002</v>
      </c>
      <c r="E282" s="14">
        <f t="shared" si="404"/>
        <v>290.02999999999997</v>
      </c>
      <c r="F282" s="14">
        <f t="shared" si="364"/>
        <v>51.5</v>
      </c>
      <c r="G282" s="14">
        <f t="shared" si="361"/>
        <v>145.09666666666666</v>
      </c>
      <c r="H282" s="14">
        <f t="shared" si="362"/>
        <v>756.47666666666669</v>
      </c>
      <c r="I282" s="188">
        <f t="shared" si="376"/>
        <v>46101.529999999977</v>
      </c>
      <c r="J282" s="188">
        <f t="shared" si="377"/>
        <v>103846.59999999993</v>
      </c>
      <c r="K282" s="188">
        <f t="shared" si="378"/>
        <v>77071.639999999898</v>
      </c>
      <c r="L282" s="317">
        <f t="shared" si="349"/>
        <v>21</v>
      </c>
      <c r="M282" s="317">
        <f>IF(N282&lt;&gt;"",IF(N282=$O$5,0,+M281+1),0)</f>
        <v>254</v>
      </c>
      <c r="N282" s="188">
        <f t="shared" si="411"/>
        <v>186249.04999999996</v>
      </c>
      <c r="O282" s="188">
        <f>IF($O$11&lt;=A282,IF(+$W281&lt;=0,0,$O$8),0)</f>
        <v>2504.4299999999998</v>
      </c>
      <c r="P282" s="188">
        <f t="shared" si="418"/>
        <v>1185.1699999999998</v>
      </c>
      <c r="Q282" s="188">
        <f>IF($O$11&lt;=A282,ROUND(N282*($O$7/12),2),0)</f>
        <v>1319.26</v>
      </c>
      <c r="R282" s="188">
        <f t="shared" si="367"/>
        <v>51.5</v>
      </c>
      <c r="S282" s="188">
        <f t="shared" si="368"/>
        <v>145.09666666666666</v>
      </c>
      <c r="T282" s="188">
        <f t="shared" si="365"/>
        <v>2701.0266666666666</v>
      </c>
      <c r="U282" s="188">
        <f t="shared" si="419"/>
        <v>140646.12</v>
      </c>
      <c r="V282" s="188">
        <f t="shared" si="420"/>
        <v>497983.52999999968</v>
      </c>
      <c r="W282" s="188">
        <f t="shared" si="379"/>
        <v>185063.87999999995</v>
      </c>
      <c r="X282" s="395">
        <f t="shared" si="412"/>
        <v>53850</v>
      </c>
      <c r="Y282" s="188">
        <f t="shared" si="380"/>
        <v>186249.04999999996</v>
      </c>
      <c r="Z282" s="388">
        <f t="shared" si="405"/>
        <v>8.4999999999999992E-2</v>
      </c>
      <c r="AA282" s="188">
        <f t="shared" si="406"/>
        <v>2504.4299999999998</v>
      </c>
      <c r="AB282" s="188">
        <f t="shared" si="381"/>
        <v>1185.1699999999998</v>
      </c>
      <c r="AC282" s="188">
        <f t="shared" si="407"/>
        <v>1319.26</v>
      </c>
      <c r="AD282" s="188">
        <f t="shared" ref="AD282:AE282" si="429">+AD281</f>
        <v>51.5</v>
      </c>
      <c r="AE282" s="188">
        <f t="shared" si="429"/>
        <v>145.09666666666666</v>
      </c>
      <c r="AF282" s="188">
        <f t="shared" si="383"/>
        <v>2701.0266666666666</v>
      </c>
      <c r="AG282" s="188">
        <f t="shared" si="384"/>
        <v>140646.12</v>
      </c>
      <c r="AH282" s="188">
        <f t="shared" si="385"/>
        <v>497983.52999999968</v>
      </c>
      <c r="AI282" s="404">
        <f t="shared" si="370"/>
        <v>0</v>
      </c>
      <c r="AJ282" s="404">
        <f t="shared" si="329"/>
        <v>0</v>
      </c>
      <c r="AK282" s="404">
        <f t="shared" si="371"/>
        <v>0</v>
      </c>
      <c r="AL282" s="188">
        <f t="shared" si="386"/>
        <v>185063.87999999995</v>
      </c>
      <c r="AM282" s="317">
        <f t="shared" si="414"/>
        <v>21</v>
      </c>
      <c r="AN282" s="14">
        <f t="shared" si="372"/>
        <v>1944.5499999999997</v>
      </c>
      <c r="AO282" s="14">
        <f>IF(W282&lt;=0,0,+$AA$6-$C$2+I282-U282)</f>
        <v>108452.40999999997</v>
      </c>
      <c r="AP282" s="14">
        <f t="shared" si="373"/>
        <v>1944.5499999999997</v>
      </c>
      <c r="AS282" s="14">
        <f t="shared" si="409"/>
        <v>1944.5499999999997</v>
      </c>
      <c r="AT282" s="14">
        <f t="shared" si="415"/>
        <v>495379.68999999797</v>
      </c>
      <c r="AU282" s="188">
        <f>IF(W282&lt;=0,0,+($O$5+AV281)*$AQ$2/12)</f>
        <v>1582.0365941123393</v>
      </c>
      <c r="AV282" s="188">
        <f t="shared" si="416"/>
        <v>308686.67423904809</v>
      </c>
    </row>
    <row r="283" spans="1:48">
      <c r="A283" s="395">
        <f t="shared" si="375"/>
        <v>53880</v>
      </c>
      <c r="B283" s="188">
        <f t="shared" si="410"/>
        <v>77071.639999999898</v>
      </c>
      <c r="C283" s="14">
        <f t="shared" si="403"/>
        <v>559.88</v>
      </c>
      <c r="D283" s="14">
        <f t="shared" si="417"/>
        <v>270.86</v>
      </c>
      <c r="E283" s="14">
        <f t="shared" si="404"/>
        <v>289.02</v>
      </c>
      <c r="F283" s="14">
        <f t="shared" si="364"/>
        <v>51.5</v>
      </c>
      <c r="G283" s="14">
        <f t="shared" si="361"/>
        <v>145.09666666666666</v>
      </c>
      <c r="H283" s="14">
        <f t="shared" si="362"/>
        <v>756.47666666666669</v>
      </c>
      <c r="I283" s="188">
        <f t="shared" si="376"/>
        <v>46372.389999999978</v>
      </c>
      <c r="J283" s="188">
        <f t="shared" si="377"/>
        <v>104135.61999999994</v>
      </c>
      <c r="K283" s="188">
        <f t="shared" si="378"/>
        <v>76800.779999999897</v>
      </c>
      <c r="L283" s="317">
        <f t="shared" si="349"/>
        <v>21</v>
      </c>
      <c r="M283" s="317">
        <f>IF(N283&lt;&gt;"",IF(N283=$O$5,0,+M282+1),0)</f>
        <v>255</v>
      </c>
      <c r="N283" s="188">
        <f t="shared" si="411"/>
        <v>185063.87999999995</v>
      </c>
      <c r="O283" s="188">
        <f>IF($O$11&lt;=A283,IF(+$W282&lt;=0,0,$O$8),0)</f>
        <v>2504.4299999999998</v>
      </c>
      <c r="P283" s="188">
        <f t="shared" si="418"/>
        <v>1193.56</v>
      </c>
      <c r="Q283" s="188">
        <f>IF($O$11&lt;=A283,ROUND(N283*($O$7/12),2),0)</f>
        <v>1310.87</v>
      </c>
      <c r="R283" s="188">
        <f t="shared" si="367"/>
        <v>51.5</v>
      </c>
      <c r="S283" s="188">
        <f t="shared" si="368"/>
        <v>145.09666666666666</v>
      </c>
      <c r="T283" s="188">
        <f t="shared" si="365"/>
        <v>2701.0266666666666</v>
      </c>
      <c r="U283" s="188">
        <f t="shared" si="419"/>
        <v>141839.67999999999</v>
      </c>
      <c r="V283" s="188">
        <f t="shared" si="420"/>
        <v>499294.39999999967</v>
      </c>
      <c r="W283" s="188">
        <f t="shared" si="379"/>
        <v>183870.31999999995</v>
      </c>
      <c r="X283" s="395">
        <f t="shared" si="412"/>
        <v>53880</v>
      </c>
      <c r="Y283" s="188">
        <f t="shared" si="380"/>
        <v>185063.87999999995</v>
      </c>
      <c r="Z283" s="388">
        <f t="shared" si="405"/>
        <v>8.4999999999999992E-2</v>
      </c>
      <c r="AA283" s="188">
        <f t="shared" si="406"/>
        <v>2504.4299999999998</v>
      </c>
      <c r="AB283" s="188">
        <f t="shared" si="381"/>
        <v>1193.56</v>
      </c>
      <c r="AC283" s="188">
        <f t="shared" si="407"/>
        <v>1310.87</v>
      </c>
      <c r="AD283" s="188">
        <f t="shared" ref="AD283:AE283" si="430">+AD282</f>
        <v>51.5</v>
      </c>
      <c r="AE283" s="188">
        <f t="shared" si="430"/>
        <v>145.09666666666666</v>
      </c>
      <c r="AF283" s="188">
        <f t="shared" si="383"/>
        <v>2701.0266666666666</v>
      </c>
      <c r="AG283" s="188">
        <f t="shared" si="384"/>
        <v>141839.67999999999</v>
      </c>
      <c r="AH283" s="188">
        <f t="shared" si="385"/>
        <v>499294.39999999967</v>
      </c>
      <c r="AI283" s="404">
        <f t="shared" si="370"/>
        <v>0</v>
      </c>
      <c r="AJ283" s="404">
        <f t="shared" si="329"/>
        <v>0</v>
      </c>
      <c r="AK283" s="404">
        <f t="shared" si="371"/>
        <v>0</v>
      </c>
      <c r="AL283" s="188">
        <f t="shared" si="386"/>
        <v>183870.31999999995</v>
      </c>
      <c r="AM283" s="317">
        <f t="shared" si="414"/>
        <v>21</v>
      </c>
      <c r="AN283" s="14">
        <f t="shared" si="372"/>
        <v>1944.5499999999997</v>
      </c>
      <c r="AO283" s="14">
        <f>IF(W283&lt;=0,0,+$AA$6-$C$2+I283-U283)</f>
        <v>107529.70999999999</v>
      </c>
      <c r="AP283" s="14">
        <f t="shared" si="373"/>
        <v>1944.5499999999997</v>
      </c>
      <c r="AS283" s="14">
        <f t="shared" si="409"/>
        <v>1944.5499999999997</v>
      </c>
      <c r="AT283" s="14">
        <f t="shared" si="415"/>
        <v>497324.23999999795</v>
      </c>
      <c r="AU283" s="188">
        <f>IF(W283&lt;=0,0,+($O$5+AV282)*$AQ$2/12)</f>
        <v>1585.9916855976201</v>
      </c>
      <c r="AV283" s="188">
        <f t="shared" si="416"/>
        <v>310272.66592464573</v>
      </c>
    </row>
    <row r="284" spans="1:48">
      <c r="A284" s="395">
        <f t="shared" si="375"/>
        <v>53910</v>
      </c>
      <c r="B284" s="188">
        <f t="shared" si="410"/>
        <v>76800.779999999897</v>
      </c>
      <c r="C284" s="14">
        <f t="shared" si="403"/>
        <v>559.88</v>
      </c>
      <c r="D284" s="14">
        <f t="shared" si="417"/>
        <v>271.88</v>
      </c>
      <c r="E284" s="14">
        <f t="shared" si="404"/>
        <v>288</v>
      </c>
      <c r="F284" s="14">
        <f t="shared" si="364"/>
        <v>51.5</v>
      </c>
      <c r="G284" s="14">
        <f t="shared" si="361"/>
        <v>145.09666666666666</v>
      </c>
      <c r="H284" s="14">
        <f t="shared" si="362"/>
        <v>756.47666666666669</v>
      </c>
      <c r="I284" s="188">
        <f t="shared" si="376"/>
        <v>46644.269999999975</v>
      </c>
      <c r="J284" s="188">
        <f t="shared" si="377"/>
        <v>104423.61999999994</v>
      </c>
      <c r="K284" s="188">
        <f t="shared" si="378"/>
        <v>76528.899999999892</v>
      </c>
      <c r="L284" s="317">
        <f t="shared" si="349"/>
        <v>21</v>
      </c>
      <c r="M284" s="317">
        <f>IF(N284&lt;&gt;"",IF(N284=$O$5,0,+M283+1),0)</f>
        <v>256</v>
      </c>
      <c r="N284" s="188">
        <f t="shared" si="411"/>
        <v>183870.31999999995</v>
      </c>
      <c r="O284" s="188">
        <f>IF($O$11&lt;=A284,IF(+$W283&lt;=0,0,$O$8),0)</f>
        <v>2504.4299999999998</v>
      </c>
      <c r="P284" s="188">
        <f t="shared" si="418"/>
        <v>1202.0199999999998</v>
      </c>
      <c r="Q284" s="188">
        <f>IF($O$11&lt;=A284,ROUND(N284*($O$7/12),2),0)</f>
        <v>1302.4100000000001</v>
      </c>
      <c r="R284" s="188">
        <f t="shared" si="367"/>
        <v>51.5</v>
      </c>
      <c r="S284" s="188">
        <f t="shared" si="368"/>
        <v>145.09666666666666</v>
      </c>
      <c r="T284" s="188">
        <f t="shared" si="365"/>
        <v>2701.0266666666666</v>
      </c>
      <c r="U284" s="188">
        <f t="shared" si="419"/>
        <v>143041.69999999998</v>
      </c>
      <c r="V284" s="188">
        <f t="shared" si="420"/>
        <v>500596.80999999965</v>
      </c>
      <c r="W284" s="188">
        <f t="shared" si="379"/>
        <v>182668.29999999996</v>
      </c>
      <c r="X284" s="395">
        <f t="shared" si="412"/>
        <v>53910</v>
      </c>
      <c r="Y284" s="188">
        <f t="shared" si="380"/>
        <v>183870.31999999995</v>
      </c>
      <c r="Z284" s="388">
        <f t="shared" si="405"/>
        <v>8.4999999999999992E-2</v>
      </c>
      <c r="AA284" s="188">
        <f t="shared" si="406"/>
        <v>2504.4299999999998</v>
      </c>
      <c r="AB284" s="188">
        <f t="shared" si="381"/>
        <v>1202.0199999999998</v>
      </c>
      <c r="AC284" s="188">
        <f t="shared" si="407"/>
        <v>1302.4100000000001</v>
      </c>
      <c r="AD284" s="188">
        <f t="shared" ref="AD284:AE284" si="431">+AD283</f>
        <v>51.5</v>
      </c>
      <c r="AE284" s="188">
        <f t="shared" si="431"/>
        <v>145.09666666666666</v>
      </c>
      <c r="AF284" s="188">
        <f t="shared" si="383"/>
        <v>2701.0266666666666</v>
      </c>
      <c r="AG284" s="188">
        <f t="shared" si="384"/>
        <v>143041.69999999998</v>
      </c>
      <c r="AH284" s="188">
        <f t="shared" si="385"/>
        <v>500596.80999999965</v>
      </c>
      <c r="AI284" s="404">
        <f t="shared" si="370"/>
        <v>0</v>
      </c>
      <c r="AJ284" s="404">
        <f t="shared" ref="AJ284:AJ347" si="432">+W284-AL284</f>
        <v>0</v>
      </c>
      <c r="AK284" s="404">
        <f t="shared" si="371"/>
        <v>0</v>
      </c>
      <c r="AL284" s="188">
        <f t="shared" si="386"/>
        <v>182668.29999999996</v>
      </c>
      <c r="AM284" s="317">
        <f t="shared" si="414"/>
        <v>21</v>
      </c>
      <c r="AN284" s="14">
        <f t="shared" si="372"/>
        <v>1944.5499999999997</v>
      </c>
      <c r="AO284" s="14">
        <f>IF(W284&lt;=0,0,+$AA$6-$C$2+I284-U284)</f>
        <v>106599.56999999998</v>
      </c>
      <c r="AP284" s="14">
        <f t="shared" si="373"/>
        <v>1944.5499999999997</v>
      </c>
      <c r="AS284" s="14">
        <f t="shared" si="409"/>
        <v>1944.5499999999997</v>
      </c>
      <c r="AT284" s="14">
        <f t="shared" si="415"/>
        <v>499268.78999999794</v>
      </c>
      <c r="AU284" s="188">
        <f>IF(W284&lt;=0,0,+($O$5+AV283)*$AQ$2/12)</f>
        <v>1589.9566648116142</v>
      </c>
      <c r="AV284" s="188">
        <f t="shared" si="416"/>
        <v>311862.62258945731</v>
      </c>
    </row>
    <row r="285" spans="1:48">
      <c r="A285" s="395">
        <f t="shared" si="375"/>
        <v>53940</v>
      </c>
      <c r="B285" s="188">
        <f t="shared" si="410"/>
        <v>76528.899999999892</v>
      </c>
      <c r="C285" s="14">
        <f t="shared" si="403"/>
        <v>559.88</v>
      </c>
      <c r="D285" s="14">
        <f t="shared" si="417"/>
        <v>272.89999999999998</v>
      </c>
      <c r="E285" s="14">
        <f t="shared" si="404"/>
        <v>286.98</v>
      </c>
      <c r="F285" s="14">
        <f t="shared" si="364"/>
        <v>51.5</v>
      </c>
      <c r="G285" s="14">
        <f t="shared" si="361"/>
        <v>145.09666666666666</v>
      </c>
      <c r="H285" s="14">
        <f t="shared" si="362"/>
        <v>756.47666666666669</v>
      </c>
      <c r="I285" s="188">
        <f t="shared" si="376"/>
        <v>46917.169999999976</v>
      </c>
      <c r="J285" s="188">
        <f t="shared" si="377"/>
        <v>104710.59999999993</v>
      </c>
      <c r="K285" s="188">
        <f t="shared" si="378"/>
        <v>76255.999999999898</v>
      </c>
      <c r="L285" s="317">
        <f t="shared" si="349"/>
        <v>21</v>
      </c>
      <c r="M285" s="317">
        <f>IF(N285&lt;&gt;"",IF(N285=$O$5,0,+M284+1),0)</f>
        <v>257</v>
      </c>
      <c r="N285" s="188">
        <f t="shared" si="411"/>
        <v>182668.29999999996</v>
      </c>
      <c r="O285" s="188">
        <f>IF($O$11&lt;=A285,IF(+$W284&lt;=0,0,$O$8),0)</f>
        <v>2504.4299999999998</v>
      </c>
      <c r="P285" s="188">
        <f t="shared" si="418"/>
        <v>1210.5299999999997</v>
      </c>
      <c r="Q285" s="188">
        <f>IF($O$11&lt;=A285,ROUND(N285*($O$7/12),2),0)</f>
        <v>1293.9000000000001</v>
      </c>
      <c r="R285" s="188">
        <f t="shared" si="367"/>
        <v>51.5</v>
      </c>
      <c r="S285" s="188">
        <f t="shared" si="368"/>
        <v>145.09666666666666</v>
      </c>
      <c r="T285" s="188">
        <f t="shared" si="365"/>
        <v>2701.0266666666666</v>
      </c>
      <c r="U285" s="188">
        <f t="shared" si="419"/>
        <v>144252.22999999998</v>
      </c>
      <c r="V285" s="188">
        <f t="shared" si="420"/>
        <v>501890.70999999967</v>
      </c>
      <c r="W285" s="188">
        <f t="shared" si="379"/>
        <v>181457.76999999996</v>
      </c>
      <c r="X285" s="395">
        <f t="shared" si="412"/>
        <v>53940</v>
      </c>
      <c r="Y285" s="188">
        <f t="shared" si="380"/>
        <v>182668.29999999996</v>
      </c>
      <c r="Z285" s="388">
        <f t="shared" si="405"/>
        <v>8.4999999999999992E-2</v>
      </c>
      <c r="AA285" s="188">
        <f t="shared" si="406"/>
        <v>2504.4299999999998</v>
      </c>
      <c r="AB285" s="188">
        <f t="shared" si="381"/>
        <v>1210.5299999999997</v>
      </c>
      <c r="AC285" s="188">
        <f t="shared" si="407"/>
        <v>1293.9000000000001</v>
      </c>
      <c r="AD285" s="188">
        <f t="shared" ref="AD285:AE285" si="433">+AD284</f>
        <v>51.5</v>
      </c>
      <c r="AE285" s="188">
        <f t="shared" si="433"/>
        <v>145.09666666666666</v>
      </c>
      <c r="AF285" s="188">
        <f t="shared" si="383"/>
        <v>2701.0266666666666</v>
      </c>
      <c r="AG285" s="188">
        <f t="shared" si="384"/>
        <v>144252.22999999998</v>
      </c>
      <c r="AH285" s="188">
        <f t="shared" si="385"/>
        <v>501890.70999999967</v>
      </c>
      <c r="AI285" s="404">
        <f t="shared" si="370"/>
        <v>0</v>
      </c>
      <c r="AJ285" s="404">
        <f t="shared" si="432"/>
        <v>0</v>
      </c>
      <c r="AK285" s="404">
        <f t="shared" si="371"/>
        <v>0</v>
      </c>
      <c r="AL285" s="188">
        <f t="shared" si="386"/>
        <v>181457.76999999996</v>
      </c>
      <c r="AM285" s="317">
        <f t="shared" si="414"/>
        <v>21</v>
      </c>
      <c r="AN285" s="14">
        <f t="shared" si="372"/>
        <v>1944.5499999999997</v>
      </c>
      <c r="AO285" s="14">
        <f>IF(W285&lt;=0,0,+$AA$6-$C$2+I285-U285)</f>
        <v>105661.94</v>
      </c>
      <c r="AP285" s="14">
        <f t="shared" si="373"/>
        <v>1944.5499999999997</v>
      </c>
      <c r="AS285" s="14">
        <f t="shared" si="409"/>
        <v>1944.5499999999997</v>
      </c>
      <c r="AT285" s="14">
        <f t="shared" si="415"/>
        <v>501213.33999999793</v>
      </c>
      <c r="AU285" s="188">
        <f>IF(W285&lt;=0,0,+($O$5+AV284)*$AQ$2/12)</f>
        <v>1593.9315564736432</v>
      </c>
      <c r="AV285" s="188">
        <f t="shared" si="416"/>
        <v>313456.55414593098</v>
      </c>
    </row>
    <row r="286" spans="1:48">
      <c r="A286" s="395">
        <f t="shared" si="375"/>
        <v>53970</v>
      </c>
      <c r="B286" s="188">
        <f t="shared" si="410"/>
        <v>76255.999999999898</v>
      </c>
      <c r="C286" s="14">
        <f t="shared" si="403"/>
        <v>559.88</v>
      </c>
      <c r="D286" s="14">
        <f t="shared" si="417"/>
        <v>273.92</v>
      </c>
      <c r="E286" s="14">
        <f t="shared" si="404"/>
        <v>285.95999999999998</v>
      </c>
      <c r="F286" s="14">
        <f t="shared" si="364"/>
        <v>51.5</v>
      </c>
      <c r="G286" s="14">
        <f t="shared" si="361"/>
        <v>145.09666666666666</v>
      </c>
      <c r="H286" s="14">
        <f t="shared" si="362"/>
        <v>756.47666666666669</v>
      </c>
      <c r="I286" s="188">
        <f t="shared" si="376"/>
        <v>47191.089999999975</v>
      </c>
      <c r="J286" s="188">
        <f t="shared" si="377"/>
        <v>104996.55999999994</v>
      </c>
      <c r="K286" s="188">
        <f t="shared" si="378"/>
        <v>75982.0799999999</v>
      </c>
      <c r="L286" s="317">
        <f t="shared" si="349"/>
        <v>21</v>
      </c>
      <c r="M286" s="317">
        <f>IF(N286&lt;&gt;"",IF(N286=$O$5,0,+M285+1),0)</f>
        <v>258</v>
      </c>
      <c r="N286" s="188">
        <f t="shared" si="411"/>
        <v>181457.76999999996</v>
      </c>
      <c r="O286" s="188">
        <f>IF($O$11&lt;=A286,IF(+$W285&lt;=0,0,$O$8),0)</f>
        <v>2504.4299999999998</v>
      </c>
      <c r="P286" s="188">
        <f t="shared" si="418"/>
        <v>1219.0999999999999</v>
      </c>
      <c r="Q286" s="188">
        <f>IF($O$11&lt;=A286,ROUND(N286*($O$7/12),2),0)</f>
        <v>1285.33</v>
      </c>
      <c r="R286" s="188">
        <f t="shared" si="367"/>
        <v>51.5</v>
      </c>
      <c r="S286" s="188">
        <f t="shared" si="368"/>
        <v>145.09666666666666</v>
      </c>
      <c r="T286" s="188">
        <f t="shared" si="365"/>
        <v>2701.0266666666666</v>
      </c>
      <c r="U286" s="188">
        <f t="shared" si="419"/>
        <v>145471.32999999999</v>
      </c>
      <c r="V286" s="188">
        <f t="shared" si="420"/>
        <v>503176.03999999969</v>
      </c>
      <c r="W286" s="188">
        <f t="shared" si="379"/>
        <v>180238.66999999995</v>
      </c>
      <c r="X286" s="395">
        <f t="shared" si="412"/>
        <v>53970</v>
      </c>
      <c r="Y286" s="188">
        <f t="shared" si="380"/>
        <v>181457.76999999996</v>
      </c>
      <c r="Z286" s="388">
        <f t="shared" si="405"/>
        <v>8.4999999999999992E-2</v>
      </c>
      <c r="AA286" s="188">
        <f t="shared" si="406"/>
        <v>2504.4299999999998</v>
      </c>
      <c r="AB286" s="188">
        <f t="shared" si="381"/>
        <v>1219.0999999999999</v>
      </c>
      <c r="AC286" s="188">
        <f t="shared" si="407"/>
        <v>1285.33</v>
      </c>
      <c r="AD286" s="188">
        <f t="shared" ref="AD286:AE286" si="434">+AD285</f>
        <v>51.5</v>
      </c>
      <c r="AE286" s="188">
        <f t="shared" si="434"/>
        <v>145.09666666666666</v>
      </c>
      <c r="AF286" s="188">
        <f t="shared" si="383"/>
        <v>2701.0266666666666</v>
      </c>
      <c r="AG286" s="188">
        <f t="shared" si="384"/>
        <v>145471.32999999999</v>
      </c>
      <c r="AH286" s="188">
        <f t="shared" si="385"/>
        <v>503176.03999999969</v>
      </c>
      <c r="AI286" s="404">
        <f t="shared" si="370"/>
        <v>0</v>
      </c>
      <c r="AJ286" s="404">
        <f t="shared" si="432"/>
        <v>0</v>
      </c>
      <c r="AK286" s="404">
        <f t="shared" si="371"/>
        <v>0</v>
      </c>
      <c r="AL286" s="188">
        <f t="shared" si="386"/>
        <v>180238.66999999995</v>
      </c>
      <c r="AM286" s="317">
        <f t="shared" si="414"/>
        <v>21</v>
      </c>
      <c r="AN286" s="14">
        <f t="shared" si="372"/>
        <v>1944.5499999999997</v>
      </c>
      <c r="AO286" s="14">
        <f>IF(W286&lt;=0,0,+$AA$6-$C$2+I286-U286)</f>
        <v>104716.75999999998</v>
      </c>
      <c r="AP286" s="14">
        <f t="shared" si="373"/>
        <v>1944.5499999999997</v>
      </c>
      <c r="AS286" s="14">
        <f t="shared" si="409"/>
        <v>1944.5499999999997</v>
      </c>
      <c r="AT286" s="14">
        <f t="shared" si="415"/>
        <v>503157.88999999792</v>
      </c>
      <c r="AU286" s="188">
        <f>IF(W286&lt;=0,0,+($O$5+AV285)*$AQ$2/12)</f>
        <v>1597.9163853648276</v>
      </c>
      <c r="AV286" s="188">
        <f t="shared" si="416"/>
        <v>315054.47053129581</v>
      </c>
    </row>
    <row r="287" spans="1:48">
      <c r="A287" s="395">
        <f t="shared" si="375"/>
        <v>54000</v>
      </c>
      <c r="B287" s="188">
        <f t="shared" si="410"/>
        <v>75982.0799999999</v>
      </c>
      <c r="C287" s="14">
        <f t="shared" si="403"/>
        <v>559.88</v>
      </c>
      <c r="D287" s="14">
        <f t="shared" si="417"/>
        <v>274.95</v>
      </c>
      <c r="E287" s="14">
        <f t="shared" si="404"/>
        <v>284.93</v>
      </c>
      <c r="F287" s="14">
        <f t="shared" si="364"/>
        <v>51.5</v>
      </c>
      <c r="G287" s="14">
        <f t="shared" si="361"/>
        <v>145.09666666666666</v>
      </c>
      <c r="H287" s="14">
        <f t="shared" si="362"/>
        <v>756.47666666666669</v>
      </c>
      <c r="I287" s="188">
        <f t="shared" si="376"/>
        <v>47466.039999999972</v>
      </c>
      <c r="J287" s="188">
        <f t="shared" si="377"/>
        <v>105281.48999999993</v>
      </c>
      <c r="K287" s="188">
        <f t="shared" si="378"/>
        <v>75707.129999999903</v>
      </c>
      <c r="L287" s="317">
        <f t="shared" si="349"/>
        <v>21</v>
      </c>
      <c r="M287" s="317">
        <f>IF(N287&lt;&gt;"",IF(N287=$O$5,0,+M286+1),0)</f>
        <v>259</v>
      </c>
      <c r="N287" s="188">
        <f t="shared" si="411"/>
        <v>180238.66999999995</v>
      </c>
      <c r="O287" s="188">
        <f>IF($O$11&lt;=A287,IF(+$W286&lt;=0,0,$O$8),0)</f>
        <v>2504.4299999999998</v>
      </c>
      <c r="P287" s="188">
        <f t="shared" si="418"/>
        <v>1227.7399999999998</v>
      </c>
      <c r="Q287" s="188">
        <f>IF($O$11&lt;=A287,ROUND(N287*($O$7/12),2),0)</f>
        <v>1276.69</v>
      </c>
      <c r="R287" s="188">
        <f t="shared" si="367"/>
        <v>51.5</v>
      </c>
      <c r="S287" s="188">
        <f t="shared" si="368"/>
        <v>145.09666666666666</v>
      </c>
      <c r="T287" s="188">
        <f t="shared" si="365"/>
        <v>2701.0266666666666</v>
      </c>
      <c r="U287" s="188">
        <f t="shared" si="419"/>
        <v>146699.06999999998</v>
      </c>
      <c r="V287" s="188">
        <f t="shared" si="420"/>
        <v>504452.72999999969</v>
      </c>
      <c r="W287" s="188">
        <f t="shared" si="379"/>
        <v>179010.92999999996</v>
      </c>
      <c r="X287" s="395">
        <f t="shared" si="412"/>
        <v>54000</v>
      </c>
      <c r="Y287" s="188">
        <f t="shared" si="380"/>
        <v>180238.66999999995</v>
      </c>
      <c r="Z287" s="388">
        <f t="shared" si="405"/>
        <v>8.4999999999999992E-2</v>
      </c>
      <c r="AA287" s="188">
        <f t="shared" si="406"/>
        <v>2504.4299999999998</v>
      </c>
      <c r="AB287" s="188">
        <f t="shared" si="381"/>
        <v>1227.7399999999998</v>
      </c>
      <c r="AC287" s="188">
        <f t="shared" si="407"/>
        <v>1276.69</v>
      </c>
      <c r="AD287" s="188">
        <f t="shared" ref="AD287:AE287" si="435">+AD286</f>
        <v>51.5</v>
      </c>
      <c r="AE287" s="188">
        <f t="shared" si="435"/>
        <v>145.09666666666666</v>
      </c>
      <c r="AF287" s="188">
        <f t="shared" si="383"/>
        <v>2701.0266666666666</v>
      </c>
      <c r="AG287" s="188">
        <f t="shared" si="384"/>
        <v>146699.06999999998</v>
      </c>
      <c r="AH287" s="188">
        <f t="shared" si="385"/>
        <v>504452.72999999969</v>
      </c>
      <c r="AI287" s="404">
        <f t="shared" si="370"/>
        <v>0</v>
      </c>
      <c r="AJ287" s="404">
        <f t="shared" si="432"/>
        <v>0</v>
      </c>
      <c r="AK287" s="404">
        <f t="shared" si="371"/>
        <v>0</v>
      </c>
      <c r="AL287" s="188">
        <f t="shared" si="386"/>
        <v>179010.92999999996</v>
      </c>
      <c r="AM287" s="317">
        <f t="shared" si="414"/>
        <v>21</v>
      </c>
      <c r="AN287" s="14">
        <f t="shared" si="372"/>
        <v>1944.5499999999997</v>
      </c>
      <c r="AO287" s="14">
        <f>IF(W287&lt;=0,0,+$AA$6-$C$2+I287-U287)</f>
        <v>103763.97</v>
      </c>
      <c r="AP287" s="14">
        <f t="shared" si="373"/>
        <v>1944.5499999999997</v>
      </c>
      <c r="AS287" s="14">
        <f t="shared" si="409"/>
        <v>1944.5499999999997</v>
      </c>
      <c r="AT287" s="14">
        <f t="shared" si="415"/>
        <v>505102.43999999791</v>
      </c>
      <c r="AU287" s="188">
        <f>IF(W287&lt;=0,0,+($O$5+AV286)*$AQ$2/12)</f>
        <v>1601.9111763282392</v>
      </c>
      <c r="AV287" s="188">
        <f t="shared" si="416"/>
        <v>316656.38170762407</v>
      </c>
    </row>
    <row r="288" spans="1:48">
      <c r="A288" s="395">
        <f t="shared" si="375"/>
        <v>54030</v>
      </c>
      <c r="B288" s="188">
        <f t="shared" si="410"/>
        <v>75707.129999999903</v>
      </c>
      <c r="C288" s="14">
        <f t="shared" si="403"/>
        <v>559.88</v>
      </c>
      <c r="D288" s="14">
        <f t="shared" si="417"/>
        <v>275.98</v>
      </c>
      <c r="E288" s="14">
        <f t="shared" si="404"/>
        <v>283.89999999999998</v>
      </c>
      <c r="F288" s="14">
        <f t="shared" si="364"/>
        <v>51.5</v>
      </c>
      <c r="G288" s="14">
        <f t="shared" si="361"/>
        <v>145.09666666666666</v>
      </c>
      <c r="H288" s="14">
        <f t="shared" si="362"/>
        <v>756.47666666666669</v>
      </c>
      <c r="I288" s="188">
        <f t="shared" si="376"/>
        <v>47742.019999999975</v>
      </c>
      <c r="J288" s="188">
        <f t="shared" si="377"/>
        <v>105565.38999999993</v>
      </c>
      <c r="K288" s="188">
        <f t="shared" si="378"/>
        <v>75431.149999999907</v>
      </c>
      <c r="L288" s="317">
        <f t="shared" si="349"/>
        <v>21</v>
      </c>
      <c r="M288" s="317">
        <f>IF(N288&lt;&gt;"",IF(N288=$O$5,0,+M287+1),0)</f>
        <v>260</v>
      </c>
      <c r="N288" s="188">
        <f t="shared" si="411"/>
        <v>179010.92999999996</v>
      </c>
      <c r="O288" s="188">
        <f>IF($O$11&lt;=A288,IF(+$W287&lt;=0,0,$O$8),0)</f>
        <v>2504.4299999999998</v>
      </c>
      <c r="P288" s="188">
        <f t="shared" si="418"/>
        <v>1236.4399999999998</v>
      </c>
      <c r="Q288" s="188">
        <f>IF($O$11&lt;=A288,ROUND(N288*($O$7/12),2),0)</f>
        <v>1267.99</v>
      </c>
      <c r="R288" s="188">
        <f t="shared" si="367"/>
        <v>51.5</v>
      </c>
      <c r="S288" s="188">
        <f t="shared" si="368"/>
        <v>145.09666666666666</v>
      </c>
      <c r="T288" s="188">
        <f t="shared" si="365"/>
        <v>2701.0266666666666</v>
      </c>
      <c r="U288" s="188">
        <f t="shared" si="419"/>
        <v>147935.50999999998</v>
      </c>
      <c r="V288" s="188">
        <f t="shared" si="420"/>
        <v>505720.71999999968</v>
      </c>
      <c r="W288" s="188">
        <f t="shared" si="379"/>
        <v>177774.48999999996</v>
      </c>
      <c r="X288" s="395">
        <f t="shared" si="412"/>
        <v>54030</v>
      </c>
      <c r="Y288" s="188">
        <f t="shared" si="380"/>
        <v>179010.92999999996</v>
      </c>
      <c r="Z288" s="388">
        <f t="shared" si="405"/>
        <v>8.4999999999999992E-2</v>
      </c>
      <c r="AA288" s="188">
        <f t="shared" si="406"/>
        <v>2504.4299999999998</v>
      </c>
      <c r="AB288" s="188">
        <f t="shared" si="381"/>
        <v>1236.4399999999998</v>
      </c>
      <c r="AC288" s="188">
        <f t="shared" si="407"/>
        <v>1267.99</v>
      </c>
      <c r="AD288" s="188">
        <f t="shared" ref="AD288:AE288" si="436">+AD287</f>
        <v>51.5</v>
      </c>
      <c r="AE288" s="188">
        <f t="shared" si="436"/>
        <v>145.09666666666666</v>
      </c>
      <c r="AF288" s="188">
        <f t="shared" si="383"/>
        <v>2701.0266666666666</v>
      </c>
      <c r="AG288" s="188">
        <f t="shared" si="384"/>
        <v>147935.50999999998</v>
      </c>
      <c r="AH288" s="188">
        <f t="shared" si="385"/>
        <v>505720.71999999968</v>
      </c>
      <c r="AI288" s="404">
        <f t="shared" si="370"/>
        <v>0</v>
      </c>
      <c r="AJ288" s="404">
        <f t="shared" si="432"/>
        <v>0</v>
      </c>
      <c r="AK288" s="404">
        <f t="shared" si="371"/>
        <v>0</v>
      </c>
      <c r="AL288" s="188">
        <f t="shared" si="386"/>
        <v>177774.48999999996</v>
      </c>
      <c r="AM288" s="317">
        <f t="shared" si="414"/>
        <v>21</v>
      </c>
      <c r="AN288" s="14">
        <f t="shared" si="372"/>
        <v>1944.5499999999997</v>
      </c>
      <c r="AO288" s="14">
        <f>IF(W288&lt;=0,0,+$AA$6-$C$2+I288-U288)</f>
        <v>102803.50999999998</v>
      </c>
      <c r="AP288" s="14">
        <f t="shared" si="373"/>
        <v>1944.5499999999997</v>
      </c>
      <c r="AS288" s="14">
        <f t="shared" si="409"/>
        <v>1944.5499999999997</v>
      </c>
      <c r="AT288" s="14">
        <f t="shared" si="415"/>
        <v>507046.9899999979</v>
      </c>
      <c r="AU288" s="188">
        <f>IF(W288&lt;=0,0,+($O$5+AV287)*$AQ$2/12)</f>
        <v>1605.9159542690602</v>
      </c>
      <c r="AV288" s="188">
        <f t="shared" si="416"/>
        <v>318262.29766189313</v>
      </c>
    </row>
    <row r="289" spans="1:48">
      <c r="A289" s="395">
        <f t="shared" si="375"/>
        <v>54060</v>
      </c>
      <c r="B289" s="188">
        <f t="shared" si="410"/>
        <v>75431.149999999907</v>
      </c>
      <c r="C289" s="14">
        <f t="shared" si="403"/>
        <v>559.88</v>
      </c>
      <c r="D289" s="14">
        <f t="shared" si="417"/>
        <v>277.01</v>
      </c>
      <c r="E289" s="14">
        <f t="shared" si="404"/>
        <v>282.87</v>
      </c>
      <c r="F289" s="14">
        <f t="shared" si="364"/>
        <v>51.5</v>
      </c>
      <c r="G289" s="14">
        <f t="shared" si="361"/>
        <v>145.09666666666666</v>
      </c>
      <c r="H289" s="14">
        <f t="shared" si="362"/>
        <v>756.47666666666669</v>
      </c>
      <c r="I289" s="188">
        <f t="shared" si="376"/>
        <v>48019.029999999977</v>
      </c>
      <c r="J289" s="188">
        <f t="shared" si="377"/>
        <v>105848.25999999992</v>
      </c>
      <c r="K289" s="188">
        <f t="shared" si="378"/>
        <v>75154.139999999912</v>
      </c>
      <c r="L289" s="317">
        <f t="shared" si="349"/>
        <v>21</v>
      </c>
      <c r="M289" s="317">
        <f>IF(N289&lt;&gt;"",IF(N289=$O$5,0,+M288+1),0)</f>
        <v>261</v>
      </c>
      <c r="N289" s="188">
        <f t="shared" si="411"/>
        <v>177774.48999999996</v>
      </c>
      <c r="O289" s="188">
        <f>IF($O$11&lt;=A289,IF(+$W288&lt;=0,0,$O$8),0)</f>
        <v>2504.4299999999998</v>
      </c>
      <c r="P289" s="188">
        <f t="shared" si="418"/>
        <v>1245.1899999999998</v>
      </c>
      <c r="Q289" s="188">
        <f>IF($O$11&lt;=A289,ROUND(N289*($O$7/12),2),0)</f>
        <v>1259.24</v>
      </c>
      <c r="R289" s="188">
        <f t="shared" si="367"/>
        <v>51.5</v>
      </c>
      <c r="S289" s="188">
        <f t="shared" si="368"/>
        <v>145.09666666666666</v>
      </c>
      <c r="T289" s="188">
        <f t="shared" si="365"/>
        <v>2701.0266666666666</v>
      </c>
      <c r="U289" s="188">
        <f t="shared" si="419"/>
        <v>149180.69999999998</v>
      </c>
      <c r="V289" s="188">
        <f t="shared" si="420"/>
        <v>506979.95999999967</v>
      </c>
      <c r="W289" s="188">
        <f t="shared" si="379"/>
        <v>176529.29999999996</v>
      </c>
      <c r="X289" s="395">
        <f t="shared" si="412"/>
        <v>54060</v>
      </c>
      <c r="Y289" s="188">
        <f t="shared" si="380"/>
        <v>177774.48999999996</v>
      </c>
      <c r="Z289" s="388">
        <f t="shared" si="405"/>
        <v>8.4999999999999992E-2</v>
      </c>
      <c r="AA289" s="188">
        <f t="shared" si="406"/>
        <v>2504.4299999999998</v>
      </c>
      <c r="AB289" s="188">
        <f t="shared" si="381"/>
        <v>1245.1899999999998</v>
      </c>
      <c r="AC289" s="188">
        <f t="shared" si="407"/>
        <v>1259.24</v>
      </c>
      <c r="AD289" s="188">
        <f t="shared" ref="AD289:AE289" si="437">+AD288</f>
        <v>51.5</v>
      </c>
      <c r="AE289" s="188">
        <f t="shared" si="437"/>
        <v>145.09666666666666</v>
      </c>
      <c r="AF289" s="188">
        <f t="shared" si="383"/>
        <v>2701.0266666666666</v>
      </c>
      <c r="AG289" s="188">
        <f t="shared" si="384"/>
        <v>149180.69999999998</v>
      </c>
      <c r="AH289" s="188">
        <f t="shared" si="385"/>
        <v>506979.95999999967</v>
      </c>
      <c r="AI289" s="404">
        <f t="shared" si="370"/>
        <v>0</v>
      </c>
      <c r="AJ289" s="404">
        <f t="shared" si="432"/>
        <v>0</v>
      </c>
      <c r="AK289" s="404">
        <f t="shared" si="371"/>
        <v>0</v>
      </c>
      <c r="AL289" s="188">
        <f t="shared" si="386"/>
        <v>176529.29999999996</v>
      </c>
      <c r="AM289" s="317">
        <f t="shared" si="414"/>
        <v>21</v>
      </c>
      <c r="AN289" s="14">
        <f t="shared" si="372"/>
        <v>1944.5499999999997</v>
      </c>
      <c r="AO289" s="14">
        <f>IF(W289&lt;=0,0,+$AA$6-$C$2+I289-U289)</f>
        <v>101835.32999999999</v>
      </c>
      <c r="AP289" s="14">
        <f t="shared" si="373"/>
        <v>1944.5499999999997</v>
      </c>
      <c r="AS289" s="14">
        <f t="shared" si="409"/>
        <v>1944.5499999999997</v>
      </c>
      <c r="AT289" s="14">
        <f t="shared" si="415"/>
        <v>508991.53999999788</v>
      </c>
      <c r="AU289" s="188">
        <f>IF(W289&lt;=0,0,+($O$5+AV288)*$AQ$2/12)</f>
        <v>1609.9307441547326</v>
      </c>
      <c r="AV289" s="188">
        <f t="shared" si="416"/>
        <v>319872.22840604786</v>
      </c>
    </row>
    <row r="290" spans="1:48">
      <c r="A290" s="395">
        <f t="shared" si="375"/>
        <v>54090</v>
      </c>
      <c r="B290" s="188">
        <f t="shared" si="410"/>
        <v>75154.139999999912</v>
      </c>
      <c r="C290" s="14">
        <f t="shared" si="403"/>
        <v>559.88</v>
      </c>
      <c r="D290" s="14">
        <f t="shared" si="417"/>
        <v>278.05</v>
      </c>
      <c r="E290" s="14">
        <f t="shared" si="404"/>
        <v>281.83</v>
      </c>
      <c r="F290" s="14">
        <f t="shared" si="364"/>
        <v>51.5</v>
      </c>
      <c r="G290" s="14">
        <f t="shared" si="361"/>
        <v>145.09666666666666</v>
      </c>
      <c r="H290" s="14">
        <f t="shared" si="362"/>
        <v>756.47666666666669</v>
      </c>
      <c r="I290" s="188">
        <f t="shared" si="376"/>
        <v>48297.07999999998</v>
      </c>
      <c r="J290" s="188">
        <f t="shared" si="377"/>
        <v>106130.08999999992</v>
      </c>
      <c r="K290" s="188">
        <f t="shared" si="378"/>
        <v>74876.089999999909</v>
      </c>
      <c r="L290" s="317">
        <f t="shared" si="349"/>
        <v>21</v>
      </c>
      <c r="M290" s="317">
        <f>IF(N290&lt;&gt;"",IF(N290=$O$5,0,+M289+1),0)</f>
        <v>262</v>
      </c>
      <c r="N290" s="188">
        <f t="shared" si="411"/>
        <v>176529.29999999996</v>
      </c>
      <c r="O290" s="188">
        <f>IF($O$11&lt;=A290,IF(+$W289&lt;=0,0,$O$8),0)</f>
        <v>2504.4299999999998</v>
      </c>
      <c r="P290" s="188">
        <f t="shared" si="418"/>
        <v>1254.0099999999998</v>
      </c>
      <c r="Q290" s="188">
        <f>IF($O$11&lt;=A290,ROUND(N290*($O$7/12),2),0)</f>
        <v>1250.42</v>
      </c>
      <c r="R290" s="188">
        <f t="shared" si="367"/>
        <v>51.5</v>
      </c>
      <c r="S290" s="188">
        <f t="shared" si="368"/>
        <v>145.09666666666666</v>
      </c>
      <c r="T290" s="188">
        <f t="shared" si="365"/>
        <v>2701.0266666666666</v>
      </c>
      <c r="U290" s="188">
        <f t="shared" si="419"/>
        <v>150434.71</v>
      </c>
      <c r="V290" s="188">
        <f t="shared" si="420"/>
        <v>508230.37999999966</v>
      </c>
      <c r="W290" s="188">
        <f t="shared" si="379"/>
        <v>175275.28999999995</v>
      </c>
      <c r="X290" s="395">
        <f t="shared" si="412"/>
        <v>54090</v>
      </c>
      <c r="Y290" s="188">
        <f t="shared" si="380"/>
        <v>176529.29999999996</v>
      </c>
      <c r="Z290" s="388">
        <f t="shared" si="405"/>
        <v>8.4999999999999992E-2</v>
      </c>
      <c r="AA290" s="188">
        <f t="shared" si="406"/>
        <v>2504.4299999999998</v>
      </c>
      <c r="AB290" s="188">
        <f t="shared" si="381"/>
        <v>1254.0099999999998</v>
      </c>
      <c r="AC290" s="188">
        <f t="shared" si="407"/>
        <v>1250.42</v>
      </c>
      <c r="AD290" s="188">
        <f t="shared" ref="AD290:AE290" si="438">+AD289</f>
        <v>51.5</v>
      </c>
      <c r="AE290" s="188">
        <f t="shared" si="438"/>
        <v>145.09666666666666</v>
      </c>
      <c r="AF290" s="188">
        <f t="shared" si="383"/>
        <v>2701.0266666666666</v>
      </c>
      <c r="AG290" s="188">
        <f t="shared" si="384"/>
        <v>150434.71</v>
      </c>
      <c r="AH290" s="188">
        <f t="shared" si="385"/>
        <v>508230.37999999966</v>
      </c>
      <c r="AI290" s="404">
        <f t="shared" si="370"/>
        <v>0</v>
      </c>
      <c r="AJ290" s="404">
        <f t="shared" si="432"/>
        <v>0</v>
      </c>
      <c r="AK290" s="404">
        <f t="shared" si="371"/>
        <v>0</v>
      </c>
      <c r="AL290" s="188">
        <f t="shared" si="386"/>
        <v>175275.28999999995</v>
      </c>
      <c r="AM290" s="317">
        <f t="shared" si="414"/>
        <v>21</v>
      </c>
      <c r="AN290" s="14">
        <f t="shared" si="372"/>
        <v>1944.5499999999997</v>
      </c>
      <c r="AO290" s="14">
        <f>IF(W290&lt;=0,0,+$AA$6-$C$2+I290-U290)</f>
        <v>100859.37</v>
      </c>
      <c r="AP290" s="14">
        <f t="shared" si="373"/>
        <v>1944.5499999999997</v>
      </c>
      <c r="AS290" s="14">
        <f t="shared" si="409"/>
        <v>1944.5499999999997</v>
      </c>
      <c r="AT290" s="14">
        <f t="shared" si="415"/>
        <v>510936.08999999787</v>
      </c>
      <c r="AU290" s="188">
        <f>IF(W290&lt;=0,0,+($O$5+AV289)*$AQ$2/12)</f>
        <v>1613.9555710151199</v>
      </c>
      <c r="AV290" s="188">
        <f t="shared" si="416"/>
        <v>321486.18397706299</v>
      </c>
    </row>
    <row r="291" spans="1:48" ht="15.75" thickBot="1">
      <c r="A291" s="398">
        <f t="shared" si="375"/>
        <v>54120</v>
      </c>
      <c r="B291" s="237">
        <f t="shared" si="410"/>
        <v>74876.089999999909</v>
      </c>
      <c r="C291" s="21">
        <f t="shared" si="403"/>
        <v>559.88</v>
      </c>
      <c r="D291" s="21">
        <f t="shared" si="417"/>
        <v>279.08999999999997</v>
      </c>
      <c r="E291" s="21">
        <f t="shared" si="404"/>
        <v>280.79000000000002</v>
      </c>
      <c r="F291" s="21">
        <f t="shared" si="364"/>
        <v>51.5</v>
      </c>
      <c r="G291" s="21">
        <f t="shared" si="361"/>
        <v>145.09666666666666</v>
      </c>
      <c r="H291" s="21">
        <f t="shared" si="362"/>
        <v>756.47666666666669</v>
      </c>
      <c r="I291" s="237">
        <f t="shared" si="376"/>
        <v>48576.169999999976</v>
      </c>
      <c r="J291" s="237">
        <f t="shared" si="377"/>
        <v>106410.87999999992</v>
      </c>
      <c r="K291" s="237">
        <f t="shared" si="378"/>
        <v>74596.999999999913</v>
      </c>
      <c r="L291" s="318">
        <f t="shared" si="349"/>
        <v>21</v>
      </c>
      <c r="M291" s="318">
        <f>IF(N291&lt;&gt;"",IF(N291=$O$5,0,+M290+1),0)</f>
        <v>263</v>
      </c>
      <c r="N291" s="237">
        <f t="shared" si="411"/>
        <v>175275.28999999995</v>
      </c>
      <c r="O291" s="237">
        <f>IF($O$11&lt;=A291,IF(+$W290&lt;=0,0,$O$8),0)</f>
        <v>2504.4299999999998</v>
      </c>
      <c r="P291" s="237">
        <f t="shared" si="418"/>
        <v>1262.8999999999999</v>
      </c>
      <c r="Q291" s="237">
        <f>IF($O$11&lt;=A291,ROUND(N291*($O$7/12),2),0)</f>
        <v>1241.53</v>
      </c>
      <c r="R291" s="237">
        <f t="shared" si="367"/>
        <v>51.5</v>
      </c>
      <c r="S291" s="237">
        <f t="shared" si="368"/>
        <v>145.09666666666666</v>
      </c>
      <c r="T291" s="237">
        <f t="shared" si="365"/>
        <v>2701.0266666666666</v>
      </c>
      <c r="U291" s="237">
        <f t="shared" si="419"/>
        <v>151697.60999999999</v>
      </c>
      <c r="V291" s="237">
        <f t="shared" si="420"/>
        <v>509471.90999999968</v>
      </c>
      <c r="W291" s="237">
        <f t="shared" si="379"/>
        <v>174012.38999999996</v>
      </c>
      <c r="X291" s="398">
        <f t="shared" si="412"/>
        <v>54120</v>
      </c>
      <c r="Y291" s="237">
        <f t="shared" si="380"/>
        <v>175275.28999999995</v>
      </c>
      <c r="Z291" s="389">
        <f t="shared" si="405"/>
        <v>8.4999999999999992E-2</v>
      </c>
      <c r="AA291" s="237">
        <f t="shared" si="406"/>
        <v>2504.4299999999998</v>
      </c>
      <c r="AB291" s="237">
        <f t="shared" si="381"/>
        <v>1262.8999999999999</v>
      </c>
      <c r="AC291" s="237">
        <f t="shared" si="407"/>
        <v>1241.53</v>
      </c>
      <c r="AD291" s="237">
        <f t="shared" ref="AD291:AE291" si="439">+AD290</f>
        <v>51.5</v>
      </c>
      <c r="AE291" s="237">
        <f t="shared" si="439"/>
        <v>145.09666666666666</v>
      </c>
      <c r="AF291" s="237">
        <f t="shared" si="383"/>
        <v>2701.0266666666666</v>
      </c>
      <c r="AG291" s="237">
        <f t="shared" si="384"/>
        <v>151697.60999999999</v>
      </c>
      <c r="AH291" s="237">
        <f t="shared" si="385"/>
        <v>509471.90999999968</v>
      </c>
      <c r="AI291" s="405">
        <f t="shared" si="370"/>
        <v>0</v>
      </c>
      <c r="AJ291" s="405">
        <f t="shared" si="432"/>
        <v>0</v>
      </c>
      <c r="AK291" s="404">
        <f t="shared" si="371"/>
        <v>0</v>
      </c>
      <c r="AL291" s="237">
        <f t="shared" si="386"/>
        <v>174012.38999999996</v>
      </c>
      <c r="AM291" s="318">
        <f t="shared" si="414"/>
        <v>21</v>
      </c>
      <c r="AN291" s="21">
        <f t="shared" si="372"/>
        <v>1944.5499999999997</v>
      </c>
      <c r="AO291" s="21">
        <f>IF(W291&lt;=0,0,+$AA$6-$C$2+I291-U291)</f>
        <v>99875.56</v>
      </c>
      <c r="AP291" s="21">
        <f t="shared" si="373"/>
        <v>1944.5499999999997</v>
      </c>
      <c r="AQ291" s="21"/>
      <c r="AR291" s="23"/>
      <c r="AS291" s="21">
        <f t="shared" si="409"/>
        <v>1944.5499999999997</v>
      </c>
      <c r="AT291" s="21">
        <f t="shared" si="415"/>
        <v>512880.63999999786</v>
      </c>
      <c r="AU291" s="237">
        <f>IF(W291&lt;=0,0,+($O$5+AV290)*$AQ$2/12)</f>
        <v>1617.9904599426575</v>
      </c>
      <c r="AV291" s="237">
        <f t="shared" si="416"/>
        <v>323104.17443700565</v>
      </c>
    </row>
    <row r="292" spans="1:48">
      <c r="A292" s="395">
        <f t="shared" si="375"/>
        <v>54150</v>
      </c>
      <c r="B292" s="188">
        <f t="shared" si="410"/>
        <v>74596.999999999913</v>
      </c>
      <c r="C292" s="14">
        <f t="shared" si="403"/>
        <v>559.88</v>
      </c>
      <c r="D292" s="14">
        <f t="shared" si="417"/>
        <v>280.14</v>
      </c>
      <c r="E292" s="14">
        <f t="shared" si="404"/>
        <v>279.74</v>
      </c>
      <c r="F292" s="14">
        <f t="shared" si="364"/>
        <v>51.5</v>
      </c>
      <c r="G292" s="14">
        <f t="shared" si="361"/>
        <v>145.09666666666666</v>
      </c>
      <c r="H292" s="14">
        <f t="shared" si="362"/>
        <v>756.47666666666669</v>
      </c>
      <c r="I292" s="188">
        <f t="shared" si="376"/>
        <v>48856.309999999976</v>
      </c>
      <c r="J292" s="188">
        <f t="shared" si="377"/>
        <v>106690.61999999992</v>
      </c>
      <c r="K292" s="188">
        <f t="shared" si="378"/>
        <v>74316.859999999913</v>
      </c>
      <c r="L292" s="317">
        <f t="shared" si="349"/>
        <v>22</v>
      </c>
      <c r="M292" s="317">
        <f>IF(N292&lt;&gt;"",IF(N292=$O$5,0,+M291+1),0)</f>
        <v>264</v>
      </c>
      <c r="N292" s="188">
        <f t="shared" si="411"/>
        <v>174012.38999999996</v>
      </c>
      <c r="O292" s="188">
        <f>IF($O$11&lt;=A292,IF(+$W291&lt;=0,0,$O$8),0)</f>
        <v>2504.4299999999998</v>
      </c>
      <c r="P292" s="188">
        <f t="shared" si="418"/>
        <v>1271.8399999999999</v>
      </c>
      <c r="Q292" s="188">
        <f>IF($O$11&lt;=A292,ROUND(N292*($O$7/12),2),0)</f>
        <v>1232.5899999999999</v>
      </c>
      <c r="R292" s="188">
        <f t="shared" si="367"/>
        <v>51.5</v>
      </c>
      <c r="S292" s="188">
        <f t="shared" si="368"/>
        <v>145.09666666666666</v>
      </c>
      <c r="T292" s="188">
        <f t="shared" si="365"/>
        <v>2701.0266666666666</v>
      </c>
      <c r="U292" s="188">
        <f t="shared" si="419"/>
        <v>152969.44999999998</v>
      </c>
      <c r="V292" s="188">
        <f t="shared" si="420"/>
        <v>510704.49999999971</v>
      </c>
      <c r="W292" s="188">
        <f t="shared" si="379"/>
        <v>172740.54999999996</v>
      </c>
      <c r="X292" s="395">
        <f t="shared" si="412"/>
        <v>54150</v>
      </c>
      <c r="Y292" s="188">
        <f t="shared" si="380"/>
        <v>174012.38999999996</v>
      </c>
      <c r="Z292" s="388">
        <f t="shared" si="405"/>
        <v>8.4999999999999992E-2</v>
      </c>
      <c r="AA292" s="188">
        <f t="shared" si="406"/>
        <v>2504.4299999999998</v>
      </c>
      <c r="AB292" s="188">
        <f t="shared" si="381"/>
        <v>1271.8399999999999</v>
      </c>
      <c r="AC292" s="188">
        <f t="shared" si="407"/>
        <v>1232.5899999999999</v>
      </c>
      <c r="AD292" s="188">
        <f t="shared" ref="AD292:AE292" si="440">+AD291</f>
        <v>51.5</v>
      </c>
      <c r="AE292" s="188">
        <f t="shared" si="440"/>
        <v>145.09666666666666</v>
      </c>
      <c r="AF292" s="188">
        <f t="shared" si="383"/>
        <v>2701.0266666666666</v>
      </c>
      <c r="AG292" s="188">
        <f t="shared" si="384"/>
        <v>152969.44999999998</v>
      </c>
      <c r="AH292" s="188">
        <f t="shared" si="385"/>
        <v>510704.49999999971</v>
      </c>
      <c r="AI292" s="404">
        <f t="shared" si="370"/>
        <v>0</v>
      </c>
      <c r="AJ292" s="404">
        <f t="shared" si="432"/>
        <v>0</v>
      </c>
      <c r="AK292" s="404">
        <f t="shared" si="371"/>
        <v>0</v>
      </c>
      <c r="AL292" s="188">
        <f t="shared" si="386"/>
        <v>172740.54999999996</v>
      </c>
      <c r="AM292" s="317">
        <f t="shared" si="414"/>
        <v>22</v>
      </c>
      <c r="AN292" s="14">
        <f t="shared" si="372"/>
        <v>1944.5499999999997</v>
      </c>
      <c r="AO292" s="14">
        <f>IF(W292&lt;=0,0,+$AA$6-$C$2+I292-U292)</f>
        <v>98883.859999999986</v>
      </c>
      <c r="AP292" s="14">
        <f t="shared" si="373"/>
        <v>1944.5499999999997</v>
      </c>
      <c r="AS292" s="14">
        <f t="shared" si="409"/>
        <v>1944.5499999999997</v>
      </c>
      <c r="AT292" s="14">
        <f t="shared" si="415"/>
        <v>514825.18999999785</v>
      </c>
      <c r="AU292" s="188">
        <f>IF(W292&lt;=0,0,+($O$5+AV291)*$AQ$2/12)</f>
        <v>1622.0354360925141</v>
      </c>
      <c r="AV292" s="188">
        <f t="shared" si="416"/>
        <v>324726.20987309818</v>
      </c>
    </row>
    <row r="293" spans="1:48">
      <c r="A293" s="395">
        <f t="shared" si="375"/>
        <v>54180</v>
      </c>
      <c r="B293" s="188">
        <f t="shared" si="410"/>
        <v>74316.859999999913</v>
      </c>
      <c r="C293" s="14">
        <f t="shared" si="403"/>
        <v>559.88</v>
      </c>
      <c r="D293" s="14">
        <f t="shared" si="417"/>
        <v>281.19</v>
      </c>
      <c r="E293" s="14">
        <f t="shared" si="404"/>
        <v>278.69</v>
      </c>
      <c r="F293" s="14">
        <f t="shared" si="364"/>
        <v>51.5</v>
      </c>
      <c r="G293" s="14">
        <f t="shared" si="361"/>
        <v>145.09666666666666</v>
      </c>
      <c r="H293" s="14">
        <f t="shared" si="362"/>
        <v>756.47666666666669</v>
      </c>
      <c r="I293" s="188">
        <f t="shared" si="376"/>
        <v>49137.499999999978</v>
      </c>
      <c r="J293" s="188">
        <f t="shared" si="377"/>
        <v>106969.30999999992</v>
      </c>
      <c r="K293" s="188">
        <f t="shared" si="378"/>
        <v>74035.669999999911</v>
      </c>
      <c r="L293" s="317">
        <f t="shared" si="349"/>
        <v>22</v>
      </c>
      <c r="M293" s="317">
        <f>IF(N293&lt;&gt;"",IF(N293=$O$5,0,+M292+1),0)</f>
        <v>265</v>
      </c>
      <c r="N293" s="188">
        <f t="shared" si="411"/>
        <v>172740.54999999996</v>
      </c>
      <c r="O293" s="188">
        <f>IF($O$11&lt;=A293,IF(+$W292&lt;=0,0,$O$8),0)</f>
        <v>2504.4299999999998</v>
      </c>
      <c r="P293" s="188">
        <f t="shared" si="418"/>
        <v>1280.8499999999999</v>
      </c>
      <c r="Q293" s="188">
        <f>IF($O$11&lt;=A293,ROUND(N293*($O$7/12),2),0)</f>
        <v>1223.58</v>
      </c>
      <c r="R293" s="188">
        <f t="shared" si="367"/>
        <v>51.5</v>
      </c>
      <c r="S293" s="188">
        <f t="shared" si="368"/>
        <v>145.09666666666666</v>
      </c>
      <c r="T293" s="188">
        <f t="shared" si="365"/>
        <v>2701.0266666666666</v>
      </c>
      <c r="U293" s="188">
        <f t="shared" si="419"/>
        <v>154250.29999999999</v>
      </c>
      <c r="V293" s="188">
        <f t="shared" si="420"/>
        <v>511928.07999999973</v>
      </c>
      <c r="W293" s="188">
        <f t="shared" si="379"/>
        <v>171459.69999999995</v>
      </c>
      <c r="X293" s="395">
        <f t="shared" si="412"/>
        <v>54180</v>
      </c>
      <c r="Y293" s="188">
        <f t="shared" si="380"/>
        <v>172740.54999999996</v>
      </c>
      <c r="Z293" s="388">
        <f t="shared" si="405"/>
        <v>8.4999999999999992E-2</v>
      </c>
      <c r="AA293" s="188">
        <f t="shared" si="406"/>
        <v>2504.4299999999998</v>
      </c>
      <c r="AB293" s="188">
        <f t="shared" si="381"/>
        <v>1280.8499999999999</v>
      </c>
      <c r="AC293" s="188">
        <f t="shared" si="407"/>
        <v>1223.58</v>
      </c>
      <c r="AD293" s="188">
        <f t="shared" ref="AD293:AE293" si="441">+AD292</f>
        <v>51.5</v>
      </c>
      <c r="AE293" s="188">
        <f t="shared" si="441"/>
        <v>145.09666666666666</v>
      </c>
      <c r="AF293" s="188">
        <f t="shared" si="383"/>
        <v>2701.0266666666666</v>
      </c>
      <c r="AG293" s="188">
        <f t="shared" si="384"/>
        <v>154250.29999999999</v>
      </c>
      <c r="AH293" s="188">
        <f t="shared" si="385"/>
        <v>511928.07999999973</v>
      </c>
      <c r="AI293" s="404">
        <f t="shared" si="370"/>
        <v>0</v>
      </c>
      <c r="AJ293" s="404">
        <f t="shared" si="432"/>
        <v>0</v>
      </c>
      <c r="AK293" s="404">
        <f t="shared" si="371"/>
        <v>0</v>
      </c>
      <c r="AL293" s="188">
        <f t="shared" si="386"/>
        <v>171459.69999999995</v>
      </c>
      <c r="AM293" s="317">
        <f t="shared" si="414"/>
        <v>22</v>
      </c>
      <c r="AN293" s="14">
        <f t="shared" si="372"/>
        <v>1944.5499999999997</v>
      </c>
      <c r="AO293" s="14">
        <f>IF(W293&lt;=0,0,+$AA$6-$C$2+I293-U293)</f>
        <v>97884.199999999983</v>
      </c>
      <c r="AP293" s="14">
        <f t="shared" si="373"/>
        <v>1944.5499999999997</v>
      </c>
      <c r="AS293" s="14">
        <f t="shared" si="409"/>
        <v>1944.5499999999997</v>
      </c>
      <c r="AT293" s="14">
        <f t="shared" si="415"/>
        <v>516769.73999999784</v>
      </c>
      <c r="AU293" s="188">
        <f>IF(W293&lt;=0,0,+($O$5+AV292)*$AQ$2/12)</f>
        <v>1626.0905246827454</v>
      </c>
      <c r="AV293" s="188">
        <f t="shared" si="416"/>
        <v>326352.3003977809</v>
      </c>
    </row>
    <row r="294" spans="1:48">
      <c r="A294" s="395">
        <f t="shared" si="375"/>
        <v>54210</v>
      </c>
      <c r="B294" s="188">
        <f t="shared" si="410"/>
        <v>74035.669999999911</v>
      </c>
      <c r="C294" s="14">
        <f t="shared" si="403"/>
        <v>559.88</v>
      </c>
      <c r="D294" s="14">
        <f t="shared" si="417"/>
        <v>282.25</v>
      </c>
      <c r="E294" s="14">
        <f t="shared" si="404"/>
        <v>277.63</v>
      </c>
      <c r="F294" s="14">
        <f t="shared" si="364"/>
        <v>51.5</v>
      </c>
      <c r="G294" s="14">
        <f t="shared" si="361"/>
        <v>145.09666666666666</v>
      </c>
      <c r="H294" s="14">
        <f t="shared" si="362"/>
        <v>756.47666666666669</v>
      </c>
      <c r="I294" s="188">
        <f t="shared" si="376"/>
        <v>49419.749999999978</v>
      </c>
      <c r="J294" s="188">
        <f t="shared" si="377"/>
        <v>107246.93999999993</v>
      </c>
      <c r="K294" s="188">
        <f t="shared" si="378"/>
        <v>73753.419999999911</v>
      </c>
      <c r="L294" s="317">
        <f t="shared" si="349"/>
        <v>22</v>
      </c>
      <c r="M294" s="317">
        <f>IF(N294&lt;&gt;"",IF(N294=$O$5,0,+M293+1),0)</f>
        <v>266</v>
      </c>
      <c r="N294" s="188">
        <f t="shared" si="411"/>
        <v>171459.69999999995</v>
      </c>
      <c r="O294" s="188">
        <f>IF($O$11&lt;=A294,IF(+$W293&lt;=0,0,$O$8),0)</f>
        <v>2504.4299999999998</v>
      </c>
      <c r="P294" s="188">
        <f t="shared" si="418"/>
        <v>1289.9199999999998</v>
      </c>
      <c r="Q294" s="188">
        <f>IF($O$11&lt;=A294,ROUND(N294*($O$7/12),2),0)</f>
        <v>1214.51</v>
      </c>
      <c r="R294" s="188">
        <f t="shared" si="367"/>
        <v>51.5</v>
      </c>
      <c r="S294" s="188">
        <f t="shared" si="368"/>
        <v>145.09666666666666</v>
      </c>
      <c r="T294" s="188">
        <f t="shared" si="365"/>
        <v>2701.0266666666666</v>
      </c>
      <c r="U294" s="188">
        <f t="shared" si="419"/>
        <v>155540.22</v>
      </c>
      <c r="V294" s="188">
        <f t="shared" si="420"/>
        <v>513142.58999999973</v>
      </c>
      <c r="W294" s="188">
        <f t="shared" si="379"/>
        <v>170169.77999999994</v>
      </c>
      <c r="X294" s="395">
        <f t="shared" si="412"/>
        <v>54210</v>
      </c>
      <c r="Y294" s="188">
        <f t="shared" si="380"/>
        <v>171459.69999999995</v>
      </c>
      <c r="Z294" s="388">
        <f t="shared" si="405"/>
        <v>8.4999999999999992E-2</v>
      </c>
      <c r="AA294" s="188">
        <f t="shared" si="406"/>
        <v>2504.4299999999998</v>
      </c>
      <c r="AB294" s="188">
        <f t="shared" si="381"/>
        <v>1289.9199999999998</v>
      </c>
      <c r="AC294" s="188">
        <f t="shared" si="407"/>
        <v>1214.51</v>
      </c>
      <c r="AD294" s="188">
        <f t="shared" ref="AD294:AE294" si="442">+AD293</f>
        <v>51.5</v>
      </c>
      <c r="AE294" s="188">
        <f t="shared" si="442"/>
        <v>145.09666666666666</v>
      </c>
      <c r="AF294" s="188">
        <f t="shared" si="383"/>
        <v>2701.0266666666666</v>
      </c>
      <c r="AG294" s="188">
        <f t="shared" si="384"/>
        <v>155540.22</v>
      </c>
      <c r="AH294" s="188">
        <f t="shared" si="385"/>
        <v>513142.58999999973</v>
      </c>
      <c r="AI294" s="404">
        <f t="shared" si="370"/>
        <v>0</v>
      </c>
      <c r="AJ294" s="404">
        <f t="shared" si="432"/>
        <v>0</v>
      </c>
      <c r="AK294" s="404">
        <f t="shared" si="371"/>
        <v>0</v>
      </c>
      <c r="AL294" s="188">
        <f t="shared" si="386"/>
        <v>170169.77999999994</v>
      </c>
      <c r="AM294" s="317">
        <f t="shared" si="414"/>
        <v>22</v>
      </c>
      <c r="AN294" s="14">
        <f t="shared" si="372"/>
        <v>1944.5499999999997</v>
      </c>
      <c r="AO294" s="14">
        <f>IF(W294&lt;=0,0,+$AA$6-$C$2+I294-U294)</f>
        <v>96876.52999999997</v>
      </c>
      <c r="AP294" s="14">
        <f t="shared" si="373"/>
        <v>1944.5499999999997</v>
      </c>
      <c r="AS294" s="14">
        <f t="shared" si="409"/>
        <v>1944.5499999999997</v>
      </c>
      <c r="AT294" s="14">
        <f t="shared" si="415"/>
        <v>518714.28999999783</v>
      </c>
      <c r="AU294" s="188">
        <f>IF(W294&lt;=0,0,+($O$5+AV293)*$AQ$2/12)</f>
        <v>1630.1557509944523</v>
      </c>
      <c r="AV294" s="188">
        <f t="shared" si="416"/>
        <v>327982.45614877535</v>
      </c>
    </row>
    <row r="295" spans="1:48">
      <c r="A295" s="395">
        <f t="shared" si="375"/>
        <v>54240</v>
      </c>
      <c r="B295" s="188">
        <f t="shared" si="410"/>
        <v>73753.419999999911</v>
      </c>
      <c r="C295" s="14">
        <f t="shared" si="403"/>
        <v>559.88</v>
      </c>
      <c r="D295" s="14">
        <f t="shared" si="417"/>
        <v>283.3</v>
      </c>
      <c r="E295" s="14">
        <f t="shared" si="404"/>
        <v>276.58</v>
      </c>
      <c r="F295" s="14">
        <f t="shared" si="364"/>
        <v>51.5</v>
      </c>
      <c r="G295" s="14">
        <f t="shared" si="361"/>
        <v>145.09666666666666</v>
      </c>
      <c r="H295" s="14">
        <f t="shared" si="362"/>
        <v>756.47666666666669</v>
      </c>
      <c r="I295" s="188">
        <f t="shared" si="376"/>
        <v>49703.049999999981</v>
      </c>
      <c r="J295" s="188">
        <f t="shared" si="377"/>
        <v>107523.51999999993</v>
      </c>
      <c r="K295" s="188">
        <f t="shared" si="378"/>
        <v>73470.119999999908</v>
      </c>
      <c r="L295" s="317">
        <f t="shared" si="349"/>
        <v>22</v>
      </c>
      <c r="M295" s="317">
        <f>IF(N295&lt;&gt;"",IF(N295=$O$5,0,+M294+1),0)</f>
        <v>267</v>
      </c>
      <c r="N295" s="188">
        <f t="shared" si="411"/>
        <v>170169.77999999994</v>
      </c>
      <c r="O295" s="188">
        <f>IF($O$11&lt;=A295,IF(+$W294&lt;=0,0,$O$8),0)</f>
        <v>2504.4299999999998</v>
      </c>
      <c r="P295" s="188">
        <f t="shared" si="418"/>
        <v>1299.06</v>
      </c>
      <c r="Q295" s="188">
        <f>IF($O$11&lt;=A295,ROUND(N295*($O$7/12),2),0)</f>
        <v>1205.3699999999999</v>
      </c>
      <c r="R295" s="188">
        <f t="shared" si="367"/>
        <v>51.5</v>
      </c>
      <c r="S295" s="188">
        <f t="shared" si="368"/>
        <v>145.09666666666666</v>
      </c>
      <c r="T295" s="188">
        <f t="shared" si="365"/>
        <v>2701.0266666666666</v>
      </c>
      <c r="U295" s="188">
        <f t="shared" si="419"/>
        <v>156839.28</v>
      </c>
      <c r="V295" s="188">
        <f t="shared" si="420"/>
        <v>514347.95999999973</v>
      </c>
      <c r="W295" s="188">
        <f t="shared" si="379"/>
        <v>168870.71999999994</v>
      </c>
      <c r="X295" s="395">
        <f t="shared" si="412"/>
        <v>54240</v>
      </c>
      <c r="Y295" s="188">
        <f t="shared" si="380"/>
        <v>170169.77999999994</v>
      </c>
      <c r="Z295" s="388">
        <f t="shared" si="405"/>
        <v>8.4999999999999992E-2</v>
      </c>
      <c r="AA295" s="188">
        <f t="shared" si="406"/>
        <v>2504.4299999999998</v>
      </c>
      <c r="AB295" s="188">
        <f t="shared" si="381"/>
        <v>1299.06</v>
      </c>
      <c r="AC295" s="188">
        <f t="shared" si="407"/>
        <v>1205.3699999999999</v>
      </c>
      <c r="AD295" s="188">
        <f t="shared" ref="AD295:AE295" si="443">+AD294</f>
        <v>51.5</v>
      </c>
      <c r="AE295" s="188">
        <f t="shared" si="443"/>
        <v>145.09666666666666</v>
      </c>
      <c r="AF295" s="188">
        <f t="shared" si="383"/>
        <v>2701.0266666666666</v>
      </c>
      <c r="AG295" s="188">
        <f t="shared" si="384"/>
        <v>156839.28</v>
      </c>
      <c r="AH295" s="188">
        <f t="shared" si="385"/>
        <v>514347.95999999973</v>
      </c>
      <c r="AI295" s="404">
        <f t="shared" si="370"/>
        <v>0</v>
      </c>
      <c r="AJ295" s="404">
        <f t="shared" si="432"/>
        <v>0</v>
      </c>
      <c r="AK295" s="404">
        <f t="shared" si="371"/>
        <v>0</v>
      </c>
      <c r="AL295" s="188">
        <f t="shared" si="386"/>
        <v>168870.71999999994</v>
      </c>
      <c r="AM295" s="317">
        <f t="shared" si="414"/>
        <v>22</v>
      </c>
      <c r="AN295" s="14">
        <f t="shared" si="372"/>
        <v>1944.5499999999997</v>
      </c>
      <c r="AO295" s="14">
        <f>IF(W295&lt;=0,0,+$AA$6-$C$2+I295-U295)</f>
        <v>95860.76999999999</v>
      </c>
      <c r="AP295" s="14">
        <f t="shared" si="373"/>
        <v>1944.5499999999997</v>
      </c>
      <c r="AS295" s="14">
        <f t="shared" si="409"/>
        <v>1944.5499999999997</v>
      </c>
      <c r="AT295" s="14">
        <f t="shared" si="415"/>
        <v>520658.83999999781</v>
      </c>
      <c r="AU295" s="188">
        <f>IF(W295&lt;=0,0,+($O$5+AV294)*$AQ$2/12)</f>
        <v>1634.231140371938</v>
      </c>
      <c r="AV295" s="188">
        <f t="shared" si="416"/>
        <v>329616.68728914729</v>
      </c>
    </row>
    <row r="296" spans="1:48">
      <c r="A296" s="395">
        <f t="shared" si="375"/>
        <v>54270</v>
      </c>
      <c r="B296" s="188">
        <f t="shared" si="410"/>
        <v>73470.119999999908</v>
      </c>
      <c r="C296" s="14">
        <f t="shared" si="403"/>
        <v>559.88</v>
      </c>
      <c r="D296" s="14">
        <f t="shared" si="417"/>
        <v>284.37</v>
      </c>
      <c r="E296" s="14">
        <f t="shared" si="404"/>
        <v>275.51</v>
      </c>
      <c r="F296" s="14">
        <f t="shared" si="364"/>
        <v>51.5</v>
      </c>
      <c r="G296" s="14">
        <f t="shared" si="361"/>
        <v>145.09666666666666</v>
      </c>
      <c r="H296" s="14">
        <f t="shared" si="362"/>
        <v>756.47666666666669</v>
      </c>
      <c r="I296" s="188">
        <f t="shared" si="376"/>
        <v>49987.419999999984</v>
      </c>
      <c r="J296" s="188">
        <f t="shared" si="377"/>
        <v>107799.02999999993</v>
      </c>
      <c r="K296" s="188">
        <f t="shared" si="378"/>
        <v>73185.749999999913</v>
      </c>
      <c r="L296" s="317">
        <f t="shared" si="349"/>
        <v>22</v>
      </c>
      <c r="M296" s="317">
        <f>IF(N296&lt;&gt;"",IF(N296=$O$5,0,+M295+1),0)</f>
        <v>268</v>
      </c>
      <c r="N296" s="188">
        <f t="shared" si="411"/>
        <v>168870.71999999994</v>
      </c>
      <c r="O296" s="188">
        <f>IF($O$11&lt;=A296,IF(+$W295&lt;=0,0,$O$8),0)</f>
        <v>2504.4299999999998</v>
      </c>
      <c r="P296" s="188">
        <f t="shared" si="418"/>
        <v>1308.2599999999998</v>
      </c>
      <c r="Q296" s="188">
        <f>IF($O$11&lt;=A296,ROUND(N296*($O$7/12),2),0)</f>
        <v>1196.17</v>
      </c>
      <c r="R296" s="188">
        <f t="shared" si="367"/>
        <v>51.5</v>
      </c>
      <c r="S296" s="188">
        <f t="shared" si="368"/>
        <v>145.09666666666666</v>
      </c>
      <c r="T296" s="188">
        <f t="shared" si="365"/>
        <v>2701.0266666666666</v>
      </c>
      <c r="U296" s="188">
        <f t="shared" si="419"/>
        <v>158147.54</v>
      </c>
      <c r="V296" s="188">
        <f t="shared" si="420"/>
        <v>515544.12999999971</v>
      </c>
      <c r="W296" s="188">
        <f t="shared" si="379"/>
        <v>167562.45999999993</v>
      </c>
      <c r="X296" s="395">
        <f t="shared" si="412"/>
        <v>54270</v>
      </c>
      <c r="Y296" s="188">
        <f t="shared" si="380"/>
        <v>168870.71999999994</v>
      </c>
      <c r="Z296" s="388">
        <f t="shared" si="405"/>
        <v>8.4999999999999992E-2</v>
      </c>
      <c r="AA296" s="188">
        <f t="shared" si="406"/>
        <v>2504.4299999999998</v>
      </c>
      <c r="AB296" s="188">
        <f t="shared" si="381"/>
        <v>1308.2599999999998</v>
      </c>
      <c r="AC296" s="188">
        <f t="shared" si="407"/>
        <v>1196.17</v>
      </c>
      <c r="AD296" s="188">
        <f t="shared" ref="AD296:AE296" si="444">+AD295</f>
        <v>51.5</v>
      </c>
      <c r="AE296" s="188">
        <f t="shared" si="444"/>
        <v>145.09666666666666</v>
      </c>
      <c r="AF296" s="188">
        <f t="shared" si="383"/>
        <v>2701.0266666666666</v>
      </c>
      <c r="AG296" s="188">
        <f t="shared" si="384"/>
        <v>158147.54</v>
      </c>
      <c r="AH296" s="188">
        <f t="shared" si="385"/>
        <v>515544.12999999971</v>
      </c>
      <c r="AI296" s="404">
        <f t="shared" si="370"/>
        <v>0</v>
      </c>
      <c r="AJ296" s="404">
        <f t="shared" si="432"/>
        <v>0</v>
      </c>
      <c r="AK296" s="404">
        <f t="shared" si="371"/>
        <v>0</v>
      </c>
      <c r="AL296" s="188">
        <f t="shared" si="386"/>
        <v>167562.45999999993</v>
      </c>
      <c r="AM296" s="317">
        <f t="shared" si="414"/>
        <v>22</v>
      </c>
      <c r="AN296" s="14">
        <f t="shared" si="372"/>
        <v>1944.5499999999997</v>
      </c>
      <c r="AO296" s="14">
        <f>IF(W296&lt;=0,0,+$AA$6-$C$2+I296-U296)</f>
        <v>94836.879999999976</v>
      </c>
      <c r="AP296" s="14">
        <f t="shared" si="373"/>
        <v>1944.5499999999997</v>
      </c>
      <c r="AS296" s="14">
        <f t="shared" si="409"/>
        <v>1944.5499999999997</v>
      </c>
      <c r="AT296" s="14">
        <f t="shared" si="415"/>
        <v>522603.3899999978</v>
      </c>
      <c r="AU296" s="188">
        <f>IF(W296&lt;=0,0,+($O$5+AV295)*$AQ$2/12)</f>
        <v>1638.3167182228681</v>
      </c>
      <c r="AV296" s="188">
        <f t="shared" si="416"/>
        <v>331255.00400737015</v>
      </c>
    </row>
    <row r="297" spans="1:48">
      <c r="A297" s="395">
        <f t="shared" si="375"/>
        <v>54300</v>
      </c>
      <c r="B297" s="188">
        <f t="shared" si="410"/>
        <v>73185.749999999913</v>
      </c>
      <c r="C297" s="14">
        <f t="shared" si="403"/>
        <v>559.88</v>
      </c>
      <c r="D297" s="14">
        <f t="shared" si="417"/>
        <v>285.43</v>
      </c>
      <c r="E297" s="14">
        <f t="shared" si="404"/>
        <v>274.45</v>
      </c>
      <c r="F297" s="14">
        <f t="shared" si="364"/>
        <v>51.5</v>
      </c>
      <c r="G297" s="14">
        <f t="shared" si="361"/>
        <v>145.09666666666666</v>
      </c>
      <c r="H297" s="14">
        <f t="shared" si="362"/>
        <v>756.47666666666669</v>
      </c>
      <c r="I297" s="188">
        <f t="shared" si="376"/>
        <v>50272.849999999984</v>
      </c>
      <c r="J297" s="188">
        <f t="shared" si="377"/>
        <v>108073.47999999992</v>
      </c>
      <c r="K297" s="188">
        <f t="shared" si="378"/>
        <v>72900.31999999992</v>
      </c>
      <c r="L297" s="317">
        <f t="shared" si="349"/>
        <v>22</v>
      </c>
      <c r="M297" s="317">
        <f>IF(N297&lt;&gt;"",IF(N297=$O$5,0,+M296+1),0)</f>
        <v>269</v>
      </c>
      <c r="N297" s="188">
        <f t="shared" si="411"/>
        <v>167562.45999999993</v>
      </c>
      <c r="O297" s="188">
        <f>IF($O$11&lt;=A297,IF(+$W296&lt;=0,0,$O$8),0)</f>
        <v>2504.4299999999998</v>
      </c>
      <c r="P297" s="188">
        <f t="shared" si="418"/>
        <v>1317.5299999999997</v>
      </c>
      <c r="Q297" s="188">
        <f>IF($O$11&lt;=A297,ROUND(N297*($O$7/12),2),0)</f>
        <v>1186.9000000000001</v>
      </c>
      <c r="R297" s="188">
        <f t="shared" si="367"/>
        <v>51.5</v>
      </c>
      <c r="S297" s="188">
        <f t="shared" si="368"/>
        <v>145.09666666666666</v>
      </c>
      <c r="T297" s="188">
        <f t="shared" si="365"/>
        <v>2701.0266666666666</v>
      </c>
      <c r="U297" s="188">
        <f t="shared" si="419"/>
        <v>159465.07</v>
      </c>
      <c r="V297" s="188">
        <f t="shared" si="420"/>
        <v>516731.02999999974</v>
      </c>
      <c r="W297" s="188">
        <f t="shared" si="379"/>
        <v>166244.92999999993</v>
      </c>
      <c r="X297" s="395">
        <f t="shared" si="412"/>
        <v>54300</v>
      </c>
      <c r="Y297" s="188">
        <f t="shared" si="380"/>
        <v>167562.45999999993</v>
      </c>
      <c r="Z297" s="388">
        <f t="shared" si="405"/>
        <v>8.4999999999999992E-2</v>
      </c>
      <c r="AA297" s="188">
        <f t="shared" si="406"/>
        <v>2504.4299999999998</v>
      </c>
      <c r="AB297" s="188">
        <f t="shared" si="381"/>
        <v>1317.5299999999997</v>
      </c>
      <c r="AC297" s="188">
        <f t="shared" si="407"/>
        <v>1186.9000000000001</v>
      </c>
      <c r="AD297" s="188">
        <f t="shared" ref="AD297:AE297" si="445">+AD296</f>
        <v>51.5</v>
      </c>
      <c r="AE297" s="188">
        <f t="shared" si="445"/>
        <v>145.09666666666666</v>
      </c>
      <c r="AF297" s="188">
        <f t="shared" si="383"/>
        <v>2701.0266666666666</v>
      </c>
      <c r="AG297" s="188">
        <f t="shared" si="384"/>
        <v>159465.07</v>
      </c>
      <c r="AH297" s="188">
        <f t="shared" si="385"/>
        <v>516731.02999999974</v>
      </c>
      <c r="AI297" s="404">
        <f t="shared" si="370"/>
        <v>0</v>
      </c>
      <c r="AJ297" s="404">
        <f t="shared" si="432"/>
        <v>0</v>
      </c>
      <c r="AK297" s="404">
        <f t="shared" si="371"/>
        <v>0</v>
      </c>
      <c r="AL297" s="188">
        <f t="shared" si="386"/>
        <v>166244.92999999993</v>
      </c>
      <c r="AM297" s="317">
        <f t="shared" si="414"/>
        <v>22</v>
      </c>
      <c r="AN297" s="14">
        <f t="shared" si="372"/>
        <v>1944.5499999999997</v>
      </c>
      <c r="AO297" s="14">
        <f>IF(W297&lt;=0,0,+$AA$6-$C$2+I297-U297)</f>
        <v>93804.77999999997</v>
      </c>
      <c r="AP297" s="14">
        <f t="shared" si="373"/>
        <v>1944.5499999999997</v>
      </c>
      <c r="AS297" s="14">
        <f t="shared" si="409"/>
        <v>1944.5499999999997</v>
      </c>
      <c r="AT297" s="14">
        <f t="shared" si="415"/>
        <v>524547.93999999785</v>
      </c>
      <c r="AU297" s="188">
        <f>IF(W297&lt;=0,0,+($O$5+AV296)*$AQ$2/12)</f>
        <v>1642.4125100184256</v>
      </c>
      <c r="AV297" s="188">
        <f t="shared" si="416"/>
        <v>332897.4165173886</v>
      </c>
    </row>
    <row r="298" spans="1:48">
      <c r="A298" s="395">
        <f t="shared" si="375"/>
        <v>54330</v>
      </c>
      <c r="B298" s="188">
        <f t="shared" si="410"/>
        <v>72900.31999999992</v>
      </c>
      <c r="C298" s="14">
        <f t="shared" si="403"/>
        <v>559.88</v>
      </c>
      <c r="D298" s="14">
        <f t="shared" si="417"/>
        <v>286.5</v>
      </c>
      <c r="E298" s="14">
        <f t="shared" si="404"/>
        <v>273.38</v>
      </c>
      <c r="F298" s="14">
        <f t="shared" si="364"/>
        <v>51.5</v>
      </c>
      <c r="G298" s="14">
        <f t="shared" si="361"/>
        <v>145.09666666666666</v>
      </c>
      <c r="H298" s="14">
        <f t="shared" si="362"/>
        <v>756.47666666666669</v>
      </c>
      <c r="I298" s="188">
        <f t="shared" si="376"/>
        <v>50559.349999999984</v>
      </c>
      <c r="J298" s="188">
        <f t="shared" si="377"/>
        <v>108346.85999999993</v>
      </c>
      <c r="K298" s="188">
        <f t="shared" si="378"/>
        <v>72613.81999999992</v>
      </c>
      <c r="L298" s="317">
        <f t="shared" si="349"/>
        <v>22</v>
      </c>
      <c r="M298" s="317">
        <f>IF(N298&lt;&gt;"",IF(N298=$O$5,0,+M297+1),0)</f>
        <v>270</v>
      </c>
      <c r="N298" s="188">
        <f t="shared" si="411"/>
        <v>166244.92999999993</v>
      </c>
      <c r="O298" s="188">
        <f>IF($O$11&lt;=A298,IF(+$W297&lt;=0,0,$O$8),0)</f>
        <v>2504.4299999999998</v>
      </c>
      <c r="P298" s="188">
        <f t="shared" si="418"/>
        <v>1326.86</v>
      </c>
      <c r="Q298" s="188">
        <f>IF($O$11&lt;=A298,ROUND(N298*($O$7/12),2),0)</f>
        <v>1177.57</v>
      </c>
      <c r="R298" s="188">
        <f t="shared" si="367"/>
        <v>51.5</v>
      </c>
      <c r="S298" s="188">
        <f t="shared" si="368"/>
        <v>145.09666666666666</v>
      </c>
      <c r="T298" s="188">
        <f t="shared" si="365"/>
        <v>2701.0266666666666</v>
      </c>
      <c r="U298" s="188">
        <f t="shared" si="419"/>
        <v>160791.93</v>
      </c>
      <c r="V298" s="188">
        <f t="shared" si="420"/>
        <v>517908.59999999974</v>
      </c>
      <c r="W298" s="188">
        <f t="shared" si="379"/>
        <v>164918.06999999995</v>
      </c>
      <c r="X298" s="395">
        <f t="shared" si="412"/>
        <v>54330</v>
      </c>
      <c r="Y298" s="188">
        <f t="shared" si="380"/>
        <v>166244.92999999993</v>
      </c>
      <c r="Z298" s="388">
        <f t="shared" si="405"/>
        <v>8.4999999999999992E-2</v>
      </c>
      <c r="AA298" s="188">
        <f t="shared" si="406"/>
        <v>2504.4299999999998</v>
      </c>
      <c r="AB298" s="188">
        <f t="shared" si="381"/>
        <v>1326.86</v>
      </c>
      <c r="AC298" s="188">
        <f t="shared" si="407"/>
        <v>1177.57</v>
      </c>
      <c r="AD298" s="188">
        <f t="shared" ref="AD298:AE298" si="446">+AD297</f>
        <v>51.5</v>
      </c>
      <c r="AE298" s="188">
        <f t="shared" si="446"/>
        <v>145.09666666666666</v>
      </c>
      <c r="AF298" s="188">
        <f t="shared" si="383"/>
        <v>2701.0266666666666</v>
      </c>
      <c r="AG298" s="188">
        <f t="shared" si="384"/>
        <v>160791.93</v>
      </c>
      <c r="AH298" s="188">
        <f t="shared" si="385"/>
        <v>517908.59999999974</v>
      </c>
      <c r="AI298" s="404">
        <f t="shared" si="370"/>
        <v>0</v>
      </c>
      <c r="AJ298" s="404">
        <f t="shared" si="432"/>
        <v>0</v>
      </c>
      <c r="AK298" s="404">
        <f t="shared" si="371"/>
        <v>0</v>
      </c>
      <c r="AL298" s="188">
        <f t="shared" si="386"/>
        <v>164918.06999999995</v>
      </c>
      <c r="AM298" s="317">
        <f t="shared" si="414"/>
        <v>22</v>
      </c>
      <c r="AN298" s="14">
        <f t="shared" si="372"/>
        <v>1944.5499999999997</v>
      </c>
      <c r="AO298" s="14">
        <f>IF(W298&lt;=0,0,+$AA$6-$C$2+I298-U298)</f>
        <v>92764.419999999984</v>
      </c>
      <c r="AP298" s="14">
        <f t="shared" si="373"/>
        <v>1944.5499999999997</v>
      </c>
      <c r="AS298" s="14">
        <f t="shared" si="409"/>
        <v>1944.5499999999997</v>
      </c>
      <c r="AT298" s="14">
        <f t="shared" si="415"/>
        <v>526492.4899999979</v>
      </c>
      <c r="AU298" s="188">
        <f>IF(W298&lt;=0,0,+($O$5+AV297)*$AQ$2/12)</f>
        <v>1646.5185412934713</v>
      </c>
      <c r="AV298" s="188">
        <f t="shared" si="416"/>
        <v>334543.93505868205</v>
      </c>
    </row>
    <row r="299" spans="1:48">
      <c r="A299" s="395">
        <f t="shared" si="375"/>
        <v>54360</v>
      </c>
      <c r="B299" s="188">
        <f t="shared" si="410"/>
        <v>72613.81999999992</v>
      </c>
      <c r="C299" s="14">
        <f t="shared" si="403"/>
        <v>559.88</v>
      </c>
      <c r="D299" s="14">
        <f t="shared" si="417"/>
        <v>287.58</v>
      </c>
      <c r="E299" s="14">
        <f t="shared" si="404"/>
        <v>272.3</v>
      </c>
      <c r="F299" s="14">
        <f t="shared" si="364"/>
        <v>51.5</v>
      </c>
      <c r="G299" s="14">
        <f t="shared" si="361"/>
        <v>145.09666666666666</v>
      </c>
      <c r="H299" s="14">
        <f t="shared" si="362"/>
        <v>756.47666666666669</v>
      </c>
      <c r="I299" s="188">
        <f t="shared" si="376"/>
        <v>50846.929999999986</v>
      </c>
      <c r="J299" s="188">
        <f t="shared" si="377"/>
        <v>108619.15999999993</v>
      </c>
      <c r="K299" s="188">
        <f t="shared" si="378"/>
        <v>72326.239999999918</v>
      </c>
      <c r="L299" s="317">
        <f t="shared" si="349"/>
        <v>22</v>
      </c>
      <c r="M299" s="317">
        <f>IF(N299&lt;&gt;"",IF(N299=$O$5,0,+M298+1),0)</f>
        <v>271</v>
      </c>
      <c r="N299" s="188">
        <f t="shared" si="411"/>
        <v>164918.06999999995</v>
      </c>
      <c r="O299" s="188">
        <f>IF($O$11&lt;=A299,IF(+$W298&lt;=0,0,$O$8),0)</f>
        <v>2504.4299999999998</v>
      </c>
      <c r="P299" s="188">
        <f t="shared" si="418"/>
        <v>1336.2599999999998</v>
      </c>
      <c r="Q299" s="188">
        <f>IF($O$11&lt;=A299,ROUND(N299*($O$7/12),2),0)</f>
        <v>1168.17</v>
      </c>
      <c r="R299" s="188">
        <f t="shared" si="367"/>
        <v>51.5</v>
      </c>
      <c r="S299" s="188">
        <f t="shared" si="368"/>
        <v>145.09666666666666</v>
      </c>
      <c r="T299" s="188">
        <f t="shared" si="365"/>
        <v>2701.0266666666666</v>
      </c>
      <c r="U299" s="188">
        <f t="shared" si="419"/>
        <v>162128.19</v>
      </c>
      <c r="V299" s="188">
        <f t="shared" si="420"/>
        <v>519076.76999999973</v>
      </c>
      <c r="W299" s="188">
        <f t="shared" si="379"/>
        <v>163581.80999999994</v>
      </c>
      <c r="X299" s="395">
        <f t="shared" si="412"/>
        <v>54360</v>
      </c>
      <c r="Y299" s="188">
        <f t="shared" si="380"/>
        <v>164918.06999999995</v>
      </c>
      <c r="Z299" s="388">
        <f t="shared" si="405"/>
        <v>8.4999999999999992E-2</v>
      </c>
      <c r="AA299" s="188">
        <f t="shared" si="406"/>
        <v>2504.4299999999998</v>
      </c>
      <c r="AB299" s="188">
        <f t="shared" si="381"/>
        <v>1336.2599999999998</v>
      </c>
      <c r="AC299" s="188">
        <f t="shared" si="407"/>
        <v>1168.17</v>
      </c>
      <c r="AD299" s="188">
        <f t="shared" ref="AD299:AE299" si="447">+AD298</f>
        <v>51.5</v>
      </c>
      <c r="AE299" s="188">
        <f t="shared" si="447"/>
        <v>145.09666666666666</v>
      </c>
      <c r="AF299" s="188">
        <f t="shared" si="383"/>
        <v>2701.0266666666666</v>
      </c>
      <c r="AG299" s="188">
        <f t="shared" si="384"/>
        <v>162128.19</v>
      </c>
      <c r="AH299" s="188">
        <f t="shared" si="385"/>
        <v>519076.76999999973</v>
      </c>
      <c r="AI299" s="404">
        <f t="shared" si="370"/>
        <v>0</v>
      </c>
      <c r="AJ299" s="404">
        <f t="shared" si="432"/>
        <v>0</v>
      </c>
      <c r="AK299" s="404">
        <f t="shared" si="371"/>
        <v>0</v>
      </c>
      <c r="AL299" s="188">
        <f t="shared" si="386"/>
        <v>163581.80999999994</v>
      </c>
      <c r="AM299" s="317">
        <f t="shared" si="414"/>
        <v>22</v>
      </c>
      <c r="AN299" s="14">
        <f t="shared" si="372"/>
        <v>1944.5499999999997</v>
      </c>
      <c r="AO299" s="14">
        <f>IF(W299&lt;=0,0,+$AA$6-$C$2+I299-U299)</f>
        <v>91715.739999999991</v>
      </c>
      <c r="AP299" s="14">
        <f t="shared" si="373"/>
        <v>1944.5499999999997</v>
      </c>
      <c r="AS299" s="14">
        <f t="shared" si="409"/>
        <v>1944.5499999999997</v>
      </c>
      <c r="AT299" s="14">
        <f t="shared" si="415"/>
        <v>528437.03999999794</v>
      </c>
      <c r="AU299" s="188">
        <f>IF(W299&lt;=0,0,+($O$5+AV298)*$AQ$2/12)</f>
        <v>1650.6348376467049</v>
      </c>
      <c r="AV299" s="188">
        <f t="shared" si="416"/>
        <v>336194.56989632873</v>
      </c>
    </row>
    <row r="300" spans="1:48">
      <c r="A300" s="395">
        <f t="shared" si="375"/>
        <v>54390</v>
      </c>
      <c r="B300" s="188">
        <f t="shared" si="410"/>
        <v>72326.239999999918</v>
      </c>
      <c r="C300" s="14">
        <f t="shared" si="403"/>
        <v>559.88</v>
      </c>
      <c r="D300" s="14">
        <f t="shared" si="417"/>
        <v>288.65999999999997</v>
      </c>
      <c r="E300" s="14">
        <f t="shared" si="404"/>
        <v>271.22000000000003</v>
      </c>
      <c r="F300" s="14">
        <f t="shared" si="364"/>
        <v>51.5</v>
      </c>
      <c r="G300" s="14">
        <f t="shared" si="361"/>
        <v>145.09666666666666</v>
      </c>
      <c r="H300" s="14">
        <f t="shared" si="362"/>
        <v>756.47666666666669</v>
      </c>
      <c r="I300" s="188">
        <f t="shared" si="376"/>
        <v>51135.589999999989</v>
      </c>
      <c r="J300" s="188">
        <f t="shared" si="377"/>
        <v>108890.37999999993</v>
      </c>
      <c r="K300" s="188">
        <f t="shared" si="378"/>
        <v>72037.579999999914</v>
      </c>
      <c r="L300" s="317">
        <f t="shared" si="349"/>
        <v>22</v>
      </c>
      <c r="M300" s="317">
        <f>IF(N300&lt;&gt;"",IF(N300=$O$5,0,+M299+1),0)</f>
        <v>272</v>
      </c>
      <c r="N300" s="188">
        <f t="shared" si="411"/>
        <v>163581.80999999994</v>
      </c>
      <c r="O300" s="188">
        <f>IF($O$11&lt;=A300,IF(+$W299&lt;=0,0,$O$8),0)</f>
        <v>2504.4299999999998</v>
      </c>
      <c r="P300" s="188">
        <f t="shared" si="418"/>
        <v>1345.7299999999998</v>
      </c>
      <c r="Q300" s="188">
        <f>IF($O$11&lt;=A300,ROUND(N300*($O$7/12),2),0)</f>
        <v>1158.7</v>
      </c>
      <c r="R300" s="188">
        <f t="shared" si="367"/>
        <v>51.5</v>
      </c>
      <c r="S300" s="188">
        <f t="shared" si="368"/>
        <v>145.09666666666666</v>
      </c>
      <c r="T300" s="188">
        <f t="shared" si="365"/>
        <v>2701.0266666666666</v>
      </c>
      <c r="U300" s="188">
        <f t="shared" si="419"/>
        <v>163473.92000000001</v>
      </c>
      <c r="V300" s="188">
        <f t="shared" si="420"/>
        <v>520235.46999999974</v>
      </c>
      <c r="W300" s="188">
        <f t="shared" si="379"/>
        <v>162236.07999999993</v>
      </c>
      <c r="X300" s="395">
        <f t="shared" si="412"/>
        <v>54390</v>
      </c>
      <c r="Y300" s="188">
        <f t="shared" si="380"/>
        <v>163581.80999999994</v>
      </c>
      <c r="Z300" s="388">
        <f t="shared" si="405"/>
        <v>8.4999999999999992E-2</v>
      </c>
      <c r="AA300" s="188">
        <f t="shared" si="406"/>
        <v>2504.4299999999998</v>
      </c>
      <c r="AB300" s="188">
        <f t="shared" si="381"/>
        <v>1345.7299999999998</v>
      </c>
      <c r="AC300" s="188">
        <f t="shared" si="407"/>
        <v>1158.7</v>
      </c>
      <c r="AD300" s="188">
        <f t="shared" ref="AD300:AE300" si="448">+AD299</f>
        <v>51.5</v>
      </c>
      <c r="AE300" s="188">
        <f t="shared" si="448"/>
        <v>145.09666666666666</v>
      </c>
      <c r="AF300" s="188">
        <f t="shared" si="383"/>
        <v>2701.0266666666666</v>
      </c>
      <c r="AG300" s="188">
        <f t="shared" si="384"/>
        <v>163473.92000000001</v>
      </c>
      <c r="AH300" s="188">
        <f t="shared" si="385"/>
        <v>520235.46999999974</v>
      </c>
      <c r="AI300" s="404">
        <f t="shared" si="370"/>
        <v>0</v>
      </c>
      <c r="AJ300" s="404">
        <f t="shared" si="432"/>
        <v>0</v>
      </c>
      <c r="AK300" s="404">
        <f t="shared" si="371"/>
        <v>0</v>
      </c>
      <c r="AL300" s="188">
        <f t="shared" si="386"/>
        <v>162236.07999999993</v>
      </c>
      <c r="AM300" s="317">
        <f t="shared" si="414"/>
        <v>22</v>
      </c>
      <c r="AN300" s="14">
        <f t="shared" si="372"/>
        <v>1944.5499999999997</v>
      </c>
      <c r="AO300" s="14">
        <f>IF(W300&lt;=0,0,+$AA$6-$C$2+I300-U300)</f>
        <v>90658.669999999984</v>
      </c>
      <c r="AP300" s="14">
        <f t="shared" si="373"/>
        <v>1944.5499999999997</v>
      </c>
      <c r="AS300" s="14">
        <f t="shared" si="409"/>
        <v>1944.5499999999997</v>
      </c>
      <c r="AT300" s="14">
        <f t="shared" si="415"/>
        <v>530381.58999999799</v>
      </c>
      <c r="AU300" s="188">
        <f>IF(W300&lt;=0,0,+($O$5+AV299)*$AQ$2/12)</f>
        <v>1654.7614247408219</v>
      </c>
      <c r="AV300" s="188">
        <f t="shared" si="416"/>
        <v>337849.33132106956</v>
      </c>
    </row>
    <row r="301" spans="1:48">
      <c r="A301" s="395">
        <f t="shared" si="375"/>
        <v>54420</v>
      </c>
      <c r="B301" s="188">
        <f t="shared" si="410"/>
        <v>72037.579999999914</v>
      </c>
      <c r="C301" s="14">
        <f t="shared" si="403"/>
        <v>559.88</v>
      </c>
      <c r="D301" s="14">
        <f t="shared" si="417"/>
        <v>289.74</v>
      </c>
      <c r="E301" s="14">
        <f t="shared" si="404"/>
        <v>270.14</v>
      </c>
      <c r="F301" s="14">
        <f t="shared" si="364"/>
        <v>51.5</v>
      </c>
      <c r="G301" s="14">
        <f t="shared" si="361"/>
        <v>145.09666666666666</v>
      </c>
      <c r="H301" s="14">
        <f t="shared" si="362"/>
        <v>756.47666666666669</v>
      </c>
      <c r="I301" s="188">
        <f t="shared" si="376"/>
        <v>51425.329999999987</v>
      </c>
      <c r="J301" s="188">
        <f t="shared" si="377"/>
        <v>109160.51999999993</v>
      </c>
      <c r="K301" s="188">
        <f t="shared" si="378"/>
        <v>71747.839999999909</v>
      </c>
      <c r="L301" s="317">
        <f t="shared" si="349"/>
        <v>22</v>
      </c>
      <c r="M301" s="317">
        <f>IF(N301&lt;&gt;"",IF(N301=$O$5,0,+M300+1),0)</f>
        <v>273</v>
      </c>
      <c r="N301" s="188">
        <f t="shared" si="411"/>
        <v>162236.07999999993</v>
      </c>
      <c r="O301" s="188">
        <f>IF($O$11&lt;=A301,IF(+$W300&lt;=0,0,$O$8),0)</f>
        <v>2504.4299999999998</v>
      </c>
      <c r="P301" s="188">
        <f t="shared" si="418"/>
        <v>1355.2599999999998</v>
      </c>
      <c r="Q301" s="188">
        <f>IF($O$11&lt;=A301,ROUND(N301*($O$7/12),2),0)</f>
        <v>1149.17</v>
      </c>
      <c r="R301" s="188">
        <f t="shared" si="367"/>
        <v>51.5</v>
      </c>
      <c r="S301" s="188">
        <f t="shared" si="368"/>
        <v>145.09666666666666</v>
      </c>
      <c r="T301" s="188">
        <f t="shared" si="365"/>
        <v>2701.0266666666666</v>
      </c>
      <c r="U301" s="188">
        <f t="shared" si="419"/>
        <v>164829.18000000002</v>
      </c>
      <c r="V301" s="188">
        <f t="shared" si="420"/>
        <v>521384.63999999972</v>
      </c>
      <c r="W301" s="188">
        <f t="shared" si="379"/>
        <v>160880.81999999992</v>
      </c>
      <c r="X301" s="395">
        <f t="shared" si="412"/>
        <v>54420</v>
      </c>
      <c r="Y301" s="188">
        <f t="shared" si="380"/>
        <v>162236.07999999993</v>
      </c>
      <c r="Z301" s="388">
        <f t="shared" si="405"/>
        <v>8.4999999999999992E-2</v>
      </c>
      <c r="AA301" s="188">
        <f t="shared" si="406"/>
        <v>2504.4299999999998</v>
      </c>
      <c r="AB301" s="188">
        <f t="shared" si="381"/>
        <v>1355.2599999999998</v>
      </c>
      <c r="AC301" s="188">
        <f t="shared" si="407"/>
        <v>1149.17</v>
      </c>
      <c r="AD301" s="188">
        <f t="shared" ref="AD301:AE301" si="449">+AD300</f>
        <v>51.5</v>
      </c>
      <c r="AE301" s="188">
        <f t="shared" si="449"/>
        <v>145.09666666666666</v>
      </c>
      <c r="AF301" s="188">
        <f t="shared" si="383"/>
        <v>2701.0266666666666</v>
      </c>
      <c r="AG301" s="188">
        <f t="shared" si="384"/>
        <v>164829.18000000002</v>
      </c>
      <c r="AH301" s="188">
        <f t="shared" si="385"/>
        <v>521384.63999999972</v>
      </c>
      <c r="AI301" s="404">
        <f t="shared" si="370"/>
        <v>0</v>
      </c>
      <c r="AJ301" s="404">
        <f t="shared" si="432"/>
        <v>0</v>
      </c>
      <c r="AK301" s="404">
        <f t="shared" si="371"/>
        <v>0</v>
      </c>
      <c r="AL301" s="188">
        <f t="shared" si="386"/>
        <v>160880.81999999992</v>
      </c>
      <c r="AM301" s="317">
        <f t="shared" si="414"/>
        <v>22</v>
      </c>
      <c r="AN301" s="14">
        <f t="shared" si="372"/>
        <v>1944.5499999999997</v>
      </c>
      <c r="AO301" s="14">
        <f>IF(W301&lt;=0,0,+$AA$6-$C$2+I301-U301)</f>
        <v>89593.149999999965</v>
      </c>
      <c r="AP301" s="14">
        <f t="shared" si="373"/>
        <v>1944.5499999999997</v>
      </c>
      <c r="AS301" s="14">
        <f t="shared" si="409"/>
        <v>1944.5499999999997</v>
      </c>
      <c r="AT301" s="14">
        <f t="shared" si="415"/>
        <v>532326.13999999803</v>
      </c>
      <c r="AU301" s="188">
        <f>IF(W301&lt;=0,0,+($O$5+AV300)*$AQ$2/12)</f>
        <v>1658.8983283026737</v>
      </c>
      <c r="AV301" s="188">
        <f t="shared" si="416"/>
        <v>339508.22964937222</v>
      </c>
    </row>
    <row r="302" spans="1:48">
      <c r="A302" s="395">
        <f t="shared" si="375"/>
        <v>54450</v>
      </c>
      <c r="B302" s="188">
        <f t="shared" si="410"/>
        <v>71747.839999999909</v>
      </c>
      <c r="C302" s="14">
        <f t="shared" si="403"/>
        <v>559.88</v>
      </c>
      <c r="D302" s="14">
        <f t="shared" si="417"/>
        <v>290.83</v>
      </c>
      <c r="E302" s="14">
        <f t="shared" si="404"/>
        <v>269.05</v>
      </c>
      <c r="F302" s="14">
        <f t="shared" si="364"/>
        <v>51.5</v>
      </c>
      <c r="G302" s="14">
        <f t="shared" si="361"/>
        <v>145.09666666666666</v>
      </c>
      <c r="H302" s="14">
        <f t="shared" si="362"/>
        <v>756.47666666666669</v>
      </c>
      <c r="I302" s="188">
        <f t="shared" si="376"/>
        <v>51716.159999999989</v>
      </c>
      <c r="J302" s="188">
        <f t="shared" si="377"/>
        <v>109429.56999999993</v>
      </c>
      <c r="K302" s="188">
        <f t="shared" si="378"/>
        <v>71457.009999999907</v>
      </c>
      <c r="L302" s="317">
        <f t="shared" si="349"/>
        <v>22</v>
      </c>
      <c r="M302" s="317">
        <f>IF(N302&lt;&gt;"",IF(N302=$O$5,0,+M301+1),0)</f>
        <v>274</v>
      </c>
      <c r="N302" s="188">
        <f t="shared" si="411"/>
        <v>160880.81999999992</v>
      </c>
      <c r="O302" s="188">
        <f>IF($O$11&lt;=A302,IF(+$W301&lt;=0,0,$O$8),0)</f>
        <v>2504.4299999999998</v>
      </c>
      <c r="P302" s="188">
        <f t="shared" si="418"/>
        <v>1364.86</v>
      </c>
      <c r="Q302" s="188">
        <f>IF($O$11&lt;=A302,ROUND(N302*($O$7/12),2),0)</f>
        <v>1139.57</v>
      </c>
      <c r="R302" s="188">
        <f t="shared" si="367"/>
        <v>51.5</v>
      </c>
      <c r="S302" s="188">
        <f t="shared" si="368"/>
        <v>145.09666666666666</v>
      </c>
      <c r="T302" s="188">
        <f t="shared" si="365"/>
        <v>2701.0266666666666</v>
      </c>
      <c r="U302" s="188">
        <f t="shared" si="419"/>
        <v>166194.04</v>
      </c>
      <c r="V302" s="188">
        <f t="shared" si="420"/>
        <v>522524.20999999973</v>
      </c>
      <c r="W302" s="188">
        <f t="shared" si="379"/>
        <v>159515.95999999993</v>
      </c>
      <c r="X302" s="395">
        <f t="shared" si="412"/>
        <v>54450</v>
      </c>
      <c r="Y302" s="188">
        <f t="shared" si="380"/>
        <v>160880.81999999992</v>
      </c>
      <c r="Z302" s="388">
        <f t="shared" si="405"/>
        <v>8.4999999999999992E-2</v>
      </c>
      <c r="AA302" s="188">
        <f t="shared" si="406"/>
        <v>2504.4299999999998</v>
      </c>
      <c r="AB302" s="188">
        <f t="shared" si="381"/>
        <v>1364.86</v>
      </c>
      <c r="AC302" s="188">
        <f t="shared" si="407"/>
        <v>1139.57</v>
      </c>
      <c r="AD302" s="188">
        <f t="shared" ref="AD302:AE302" si="450">+AD301</f>
        <v>51.5</v>
      </c>
      <c r="AE302" s="188">
        <f t="shared" si="450"/>
        <v>145.09666666666666</v>
      </c>
      <c r="AF302" s="188">
        <f t="shared" si="383"/>
        <v>2701.0266666666666</v>
      </c>
      <c r="AG302" s="188">
        <f t="shared" si="384"/>
        <v>166194.04</v>
      </c>
      <c r="AH302" s="188">
        <f t="shared" si="385"/>
        <v>522524.20999999973</v>
      </c>
      <c r="AI302" s="404">
        <f t="shared" si="370"/>
        <v>0</v>
      </c>
      <c r="AJ302" s="404">
        <f t="shared" si="432"/>
        <v>0</v>
      </c>
      <c r="AK302" s="404">
        <f t="shared" si="371"/>
        <v>0</v>
      </c>
      <c r="AL302" s="188">
        <f t="shared" si="386"/>
        <v>159515.95999999993</v>
      </c>
      <c r="AM302" s="317">
        <f t="shared" si="414"/>
        <v>22</v>
      </c>
      <c r="AN302" s="14">
        <f t="shared" si="372"/>
        <v>1944.5499999999997</v>
      </c>
      <c r="AO302" s="14">
        <f>IF(W302&lt;=0,0,+$AA$6-$C$2+I302-U302)</f>
        <v>88519.119999999966</v>
      </c>
      <c r="AP302" s="14">
        <f t="shared" si="373"/>
        <v>1944.5499999999997</v>
      </c>
      <c r="AS302" s="14">
        <f t="shared" si="409"/>
        <v>1944.5499999999997</v>
      </c>
      <c r="AT302" s="14">
        <f t="shared" si="415"/>
        <v>534270.68999999808</v>
      </c>
      <c r="AU302" s="188">
        <f>IF(W302&lt;=0,0,+($O$5+AV301)*$AQ$2/12)</f>
        <v>1663.0455741234302</v>
      </c>
      <c r="AV302" s="188">
        <f t="shared" si="416"/>
        <v>341171.27522349567</v>
      </c>
    </row>
    <row r="303" spans="1:48" ht="15.75" thickBot="1">
      <c r="A303" s="398">
        <f t="shared" si="375"/>
        <v>54480</v>
      </c>
      <c r="B303" s="237">
        <f t="shared" si="410"/>
        <v>71457.009999999907</v>
      </c>
      <c r="C303" s="21">
        <f t="shared" si="403"/>
        <v>559.88</v>
      </c>
      <c r="D303" s="21">
        <f t="shared" si="417"/>
        <v>291.92</v>
      </c>
      <c r="E303" s="21">
        <f t="shared" si="404"/>
        <v>267.95999999999998</v>
      </c>
      <c r="F303" s="21">
        <f t="shared" si="364"/>
        <v>51.5</v>
      </c>
      <c r="G303" s="21">
        <f t="shared" si="361"/>
        <v>145.09666666666666</v>
      </c>
      <c r="H303" s="21">
        <f t="shared" si="362"/>
        <v>756.47666666666669</v>
      </c>
      <c r="I303" s="237">
        <f t="shared" si="376"/>
        <v>52008.079999999987</v>
      </c>
      <c r="J303" s="237">
        <f t="shared" si="377"/>
        <v>109697.52999999994</v>
      </c>
      <c r="K303" s="237">
        <f t="shared" si="378"/>
        <v>71165.089999999909</v>
      </c>
      <c r="L303" s="318">
        <f t="shared" si="349"/>
        <v>22</v>
      </c>
      <c r="M303" s="318">
        <f>IF(N303&lt;&gt;"",IF(N303=$O$5,0,+M302+1),0)</f>
        <v>275</v>
      </c>
      <c r="N303" s="237">
        <f t="shared" si="411"/>
        <v>159515.95999999993</v>
      </c>
      <c r="O303" s="237">
        <f>IF($O$11&lt;=A303,IF(+$W302&lt;=0,0,$O$8),0)</f>
        <v>2504.4299999999998</v>
      </c>
      <c r="P303" s="237">
        <f t="shared" si="418"/>
        <v>1374.5299999999997</v>
      </c>
      <c r="Q303" s="237">
        <f>IF($O$11&lt;=A303,ROUND(N303*($O$7/12),2),0)</f>
        <v>1129.9000000000001</v>
      </c>
      <c r="R303" s="237">
        <f t="shared" si="367"/>
        <v>51.5</v>
      </c>
      <c r="S303" s="237">
        <f t="shared" si="368"/>
        <v>145.09666666666666</v>
      </c>
      <c r="T303" s="237">
        <f t="shared" si="365"/>
        <v>2701.0266666666666</v>
      </c>
      <c r="U303" s="237">
        <f t="shared" si="419"/>
        <v>167568.57</v>
      </c>
      <c r="V303" s="237">
        <f t="shared" si="420"/>
        <v>523654.10999999975</v>
      </c>
      <c r="W303" s="237">
        <f t="shared" si="379"/>
        <v>158141.42999999993</v>
      </c>
      <c r="X303" s="398">
        <f t="shared" si="412"/>
        <v>54480</v>
      </c>
      <c r="Y303" s="237">
        <f t="shared" si="380"/>
        <v>159515.95999999993</v>
      </c>
      <c r="Z303" s="389">
        <f t="shared" si="405"/>
        <v>8.4999999999999992E-2</v>
      </c>
      <c r="AA303" s="237">
        <f t="shared" si="406"/>
        <v>2504.4299999999998</v>
      </c>
      <c r="AB303" s="237">
        <f t="shared" si="381"/>
        <v>1374.5299999999997</v>
      </c>
      <c r="AC303" s="237">
        <f t="shared" si="407"/>
        <v>1129.9000000000001</v>
      </c>
      <c r="AD303" s="237">
        <f t="shared" ref="AD303:AE303" si="451">+AD302</f>
        <v>51.5</v>
      </c>
      <c r="AE303" s="237">
        <f t="shared" si="451"/>
        <v>145.09666666666666</v>
      </c>
      <c r="AF303" s="237">
        <f t="shared" si="383"/>
        <v>2701.0266666666666</v>
      </c>
      <c r="AG303" s="237">
        <f t="shared" si="384"/>
        <v>167568.57</v>
      </c>
      <c r="AH303" s="237">
        <f t="shared" si="385"/>
        <v>523654.10999999975</v>
      </c>
      <c r="AI303" s="405">
        <f t="shared" si="370"/>
        <v>0</v>
      </c>
      <c r="AJ303" s="405">
        <f t="shared" si="432"/>
        <v>0</v>
      </c>
      <c r="AK303" s="404">
        <f t="shared" si="371"/>
        <v>0</v>
      </c>
      <c r="AL303" s="237">
        <f t="shared" si="386"/>
        <v>158141.42999999993</v>
      </c>
      <c r="AM303" s="318">
        <f t="shared" si="414"/>
        <v>22</v>
      </c>
      <c r="AN303" s="21">
        <f t="shared" si="372"/>
        <v>1944.5499999999997</v>
      </c>
      <c r="AO303" s="21">
        <f>IF(W303&lt;=0,0,+$AA$6-$C$2+I303-U303)</f>
        <v>87436.50999999998</v>
      </c>
      <c r="AP303" s="21">
        <f t="shared" si="373"/>
        <v>1944.5499999999997</v>
      </c>
      <c r="AQ303" s="21"/>
      <c r="AR303" s="23"/>
      <c r="AS303" s="21">
        <f t="shared" si="409"/>
        <v>1944.5499999999997</v>
      </c>
      <c r="AT303" s="21">
        <f t="shared" si="415"/>
        <v>536215.23999999813</v>
      </c>
      <c r="AU303" s="237">
        <f>IF(W303&lt;=0,0,+($O$5+AV302)*$AQ$2/12)</f>
        <v>1667.2031880587392</v>
      </c>
      <c r="AV303" s="237">
        <f t="shared" si="416"/>
        <v>342838.47841155442</v>
      </c>
    </row>
    <row r="304" spans="1:48">
      <c r="A304" s="395">
        <f t="shared" si="375"/>
        <v>54510</v>
      </c>
      <c r="B304" s="188">
        <f t="shared" si="410"/>
        <v>71165.089999999909</v>
      </c>
      <c r="C304" s="14">
        <f t="shared" si="403"/>
        <v>559.88</v>
      </c>
      <c r="D304" s="14">
        <f t="shared" si="417"/>
        <v>293.01</v>
      </c>
      <c r="E304" s="14">
        <f t="shared" si="404"/>
        <v>266.87</v>
      </c>
      <c r="F304" s="14">
        <f t="shared" si="364"/>
        <v>51.5</v>
      </c>
      <c r="G304" s="14">
        <f t="shared" si="361"/>
        <v>145.09666666666666</v>
      </c>
      <c r="H304" s="14">
        <f t="shared" si="362"/>
        <v>756.47666666666669</v>
      </c>
      <c r="I304" s="188">
        <f t="shared" si="376"/>
        <v>52301.089999999989</v>
      </c>
      <c r="J304" s="188">
        <f t="shared" si="377"/>
        <v>109964.39999999994</v>
      </c>
      <c r="K304" s="188">
        <f t="shared" si="378"/>
        <v>70872.079999999914</v>
      </c>
      <c r="L304" s="317">
        <f t="shared" ref="L304:L367" si="452">IF(MOD(M304,12)=0,M304/12,L303)</f>
        <v>23</v>
      </c>
      <c r="M304" s="317">
        <f>IF(N304&lt;&gt;"",IF(N304=$O$5,0,+M303+1),0)</f>
        <v>276</v>
      </c>
      <c r="N304" s="188">
        <f t="shared" si="411"/>
        <v>158141.42999999993</v>
      </c>
      <c r="O304" s="188">
        <f>IF($O$11&lt;=A304,IF(+$W303&lt;=0,0,$O$8),0)</f>
        <v>2504.4299999999998</v>
      </c>
      <c r="P304" s="188">
        <f t="shared" si="418"/>
        <v>1384.2599999999998</v>
      </c>
      <c r="Q304" s="188">
        <f>IF($O$11&lt;=A304,ROUND(N304*($O$7/12),2),0)</f>
        <v>1120.17</v>
      </c>
      <c r="R304" s="188">
        <f t="shared" si="367"/>
        <v>51.5</v>
      </c>
      <c r="S304" s="188">
        <f t="shared" si="368"/>
        <v>145.09666666666666</v>
      </c>
      <c r="T304" s="188">
        <f t="shared" si="365"/>
        <v>2701.0266666666666</v>
      </c>
      <c r="U304" s="188">
        <f t="shared" si="419"/>
        <v>168952.83000000002</v>
      </c>
      <c r="V304" s="188">
        <f t="shared" si="420"/>
        <v>524774.2799999998</v>
      </c>
      <c r="W304" s="188">
        <f t="shared" si="379"/>
        <v>156757.16999999993</v>
      </c>
      <c r="X304" s="395">
        <f t="shared" si="412"/>
        <v>54510</v>
      </c>
      <c r="Y304" s="188">
        <f t="shared" si="380"/>
        <v>158141.42999999993</v>
      </c>
      <c r="Z304" s="388">
        <f t="shared" si="405"/>
        <v>8.4999999999999992E-2</v>
      </c>
      <c r="AA304" s="188">
        <f t="shared" si="406"/>
        <v>2504.4299999999998</v>
      </c>
      <c r="AB304" s="188">
        <f t="shared" si="381"/>
        <v>1384.2599999999998</v>
      </c>
      <c r="AC304" s="188">
        <f t="shared" si="407"/>
        <v>1120.17</v>
      </c>
      <c r="AD304" s="188">
        <f t="shared" ref="AD304:AE304" si="453">+AD303</f>
        <v>51.5</v>
      </c>
      <c r="AE304" s="188">
        <f t="shared" si="453"/>
        <v>145.09666666666666</v>
      </c>
      <c r="AF304" s="188">
        <f t="shared" si="383"/>
        <v>2701.0266666666666</v>
      </c>
      <c r="AG304" s="188">
        <f t="shared" si="384"/>
        <v>168952.83000000002</v>
      </c>
      <c r="AH304" s="188">
        <f t="shared" si="385"/>
        <v>524774.2799999998</v>
      </c>
      <c r="AI304" s="404">
        <f t="shared" si="370"/>
        <v>0</v>
      </c>
      <c r="AJ304" s="404">
        <f t="shared" si="432"/>
        <v>0</v>
      </c>
      <c r="AK304" s="404">
        <f t="shared" si="371"/>
        <v>0</v>
      </c>
      <c r="AL304" s="188">
        <f t="shared" si="386"/>
        <v>156757.16999999993</v>
      </c>
      <c r="AM304" s="317">
        <f t="shared" si="414"/>
        <v>23</v>
      </c>
      <c r="AN304" s="14">
        <f t="shared" si="372"/>
        <v>1944.5499999999997</v>
      </c>
      <c r="AO304" s="14">
        <f>IF(W304&lt;=0,0,+$AA$6-$C$2+I304-U304)</f>
        <v>86345.25999999998</v>
      </c>
      <c r="AP304" s="14">
        <f t="shared" si="373"/>
        <v>1944.5499999999997</v>
      </c>
      <c r="AS304" s="14">
        <f t="shared" si="409"/>
        <v>1944.5499999999997</v>
      </c>
      <c r="AT304" s="14">
        <f t="shared" si="415"/>
        <v>538159.78999999817</v>
      </c>
      <c r="AU304" s="188">
        <f>IF(W304&lt;=0,0,+($O$5+AV303)*$AQ$2/12)</f>
        <v>1671.3711960288858</v>
      </c>
      <c r="AV304" s="188">
        <f t="shared" si="416"/>
        <v>344509.84960758331</v>
      </c>
    </row>
    <row r="305" spans="1:48">
      <c r="A305" s="395">
        <f t="shared" si="375"/>
        <v>54540</v>
      </c>
      <c r="B305" s="188">
        <f t="shared" si="410"/>
        <v>70872.079999999914</v>
      </c>
      <c r="C305" s="14">
        <f t="shared" si="403"/>
        <v>559.88</v>
      </c>
      <c r="D305" s="14">
        <f t="shared" si="417"/>
        <v>294.11</v>
      </c>
      <c r="E305" s="14">
        <f t="shared" si="404"/>
        <v>265.77</v>
      </c>
      <c r="F305" s="14">
        <f t="shared" si="364"/>
        <v>51.5</v>
      </c>
      <c r="G305" s="14">
        <f t="shared" si="361"/>
        <v>145.09666666666666</v>
      </c>
      <c r="H305" s="14">
        <f t="shared" si="362"/>
        <v>756.47666666666669</v>
      </c>
      <c r="I305" s="188">
        <f t="shared" si="376"/>
        <v>52595.19999999999</v>
      </c>
      <c r="J305" s="188">
        <f t="shared" si="377"/>
        <v>110230.16999999994</v>
      </c>
      <c r="K305" s="188">
        <f t="shared" si="378"/>
        <v>70577.969999999914</v>
      </c>
      <c r="L305" s="317">
        <f t="shared" si="452"/>
        <v>23</v>
      </c>
      <c r="M305" s="317">
        <f>IF(N305&lt;&gt;"",IF(N305=$O$5,0,+M304+1),0)</f>
        <v>277</v>
      </c>
      <c r="N305" s="188">
        <f t="shared" si="411"/>
        <v>156757.16999999993</v>
      </c>
      <c r="O305" s="188">
        <f>IF($O$11&lt;=A305,IF(+$W304&lt;=0,0,$O$8),0)</f>
        <v>2504.4299999999998</v>
      </c>
      <c r="P305" s="188">
        <f t="shared" si="418"/>
        <v>1394.07</v>
      </c>
      <c r="Q305" s="188">
        <f>IF($O$11&lt;=A305,ROUND(N305*($O$7/12),2),0)</f>
        <v>1110.3599999999999</v>
      </c>
      <c r="R305" s="188">
        <f t="shared" si="367"/>
        <v>51.5</v>
      </c>
      <c r="S305" s="188">
        <f t="shared" si="368"/>
        <v>145.09666666666666</v>
      </c>
      <c r="T305" s="188">
        <f t="shared" si="365"/>
        <v>2701.0266666666666</v>
      </c>
      <c r="U305" s="188">
        <f t="shared" si="419"/>
        <v>170346.90000000002</v>
      </c>
      <c r="V305" s="188">
        <f t="shared" si="420"/>
        <v>525884.63999999978</v>
      </c>
      <c r="W305" s="188">
        <f t="shared" si="379"/>
        <v>155363.09999999992</v>
      </c>
      <c r="X305" s="395">
        <f t="shared" si="412"/>
        <v>54540</v>
      </c>
      <c r="Y305" s="188">
        <f t="shared" si="380"/>
        <v>156757.16999999993</v>
      </c>
      <c r="Z305" s="388">
        <f t="shared" si="405"/>
        <v>8.4999999999999992E-2</v>
      </c>
      <c r="AA305" s="188">
        <f t="shared" si="406"/>
        <v>2504.4299999999998</v>
      </c>
      <c r="AB305" s="188">
        <f t="shared" si="381"/>
        <v>1394.07</v>
      </c>
      <c r="AC305" s="188">
        <f t="shared" si="407"/>
        <v>1110.3599999999999</v>
      </c>
      <c r="AD305" s="188">
        <f t="shared" ref="AD305:AE305" si="454">+AD304</f>
        <v>51.5</v>
      </c>
      <c r="AE305" s="188">
        <f t="shared" si="454"/>
        <v>145.09666666666666</v>
      </c>
      <c r="AF305" s="188">
        <f t="shared" si="383"/>
        <v>2701.0266666666666</v>
      </c>
      <c r="AG305" s="188">
        <f t="shared" si="384"/>
        <v>170346.90000000002</v>
      </c>
      <c r="AH305" s="188">
        <f t="shared" si="385"/>
        <v>525884.63999999978</v>
      </c>
      <c r="AI305" s="404">
        <f t="shared" si="370"/>
        <v>0</v>
      </c>
      <c r="AJ305" s="404">
        <f t="shared" si="432"/>
        <v>0</v>
      </c>
      <c r="AK305" s="404">
        <f t="shared" si="371"/>
        <v>0</v>
      </c>
      <c r="AL305" s="188">
        <f t="shared" si="386"/>
        <v>155363.09999999992</v>
      </c>
      <c r="AM305" s="317">
        <f t="shared" si="414"/>
        <v>23</v>
      </c>
      <c r="AN305" s="14">
        <f t="shared" si="372"/>
        <v>1944.5499999999997</v>
      </c>
      <c r="AO305" s="14">
        <f>IF(W305&lt;=0,0,+$AA$6-$C$2+I305-U305)</f>
        <v>85245.299999999959</v>
      </c>
      <c r="AP305" s="14">
        <f t="shared" si="373"/>
        <v>1944.5499999999997</v>
      </c>
      <c r="AS305" s="14">
        <f t="shared" si="409"/>
        <v>1944.5499999999997</v>
      </c>
      <c r="AT305" s="14">
        <f t="shared" si="415"/>
        <v>540104.33999999822</v>
      </c>
      <c r="AU305" s="188">
        <f>IF(W305&lt;=0,0,+($O$5+AV304)*$AQ$2/12)</f>
        <v>1675.5496240189584</v>
      </c>
      <c r="AV305" s="188">
        <f t="shared" si="416"/>
        <v>346185.39923160226</v>
      </c>
    </row>
    <row r="306" spans="1:48">
      <c r="A306" s="395">
        <f t="shared" si="375"/>
        <v>54570</v>
      </c>
      <c r="B306" s="188">
        <f t="shared" si="410"/>
        <v>70577.969999999914</v>
      </c>
      <c r="C306" s="14">
        <f t="shared" si="403"/>
        <v>559.88</v>
      </c>
      <c r="D306" s="14">
        <f t="shared" si="417"/>
        <v>295.20999999999998</v>
      </c>
      <c r="E306" s="14">
        <f t="shared" si="404"/>
        <v>264.67</v>
      </c>
      <c r="F306" s="14">
        <f t="shared" si="364"/>
        <v>51.5</v>
      </c>
      <c r="G306" s="14">
        <f t="shared" si="361"/>
        <v>145.09666666666666</v>
      </c>
      <c r="H306" s="14">
        <f t="shared" si="362"/>
        <v>756.47666666666669</v>
      </c>
      <c r="I306" s="188">
        <f t="shared" si="376"/>
        <v>52890.409999999989</v>
      </c>
      <c r="J306" s="188">
        <f t="shared" si="377"/>
        <v>110494.83999999994</v>
      </c>
      <c r="K306" s="188">
        <f t="shared" si="378"/>
        <v>70282.759999999907</v>
      </c>
      <c r="L306" s="317">
        <f t="shared" si="452"/>
        <v>23</v>
      </c>
      <c r="M306" s="317">
        <f>IF(N306&lt;&gt;"",IF(N306=$O$5,0,+M305+1),0)</f>
        <v>278</v>
      </c>
      <c r="N306" s="188">
        <f t="shared" si="411"/>
        <v>155363.09999999992</v>
      </c>
      <c r="O306" s="188">
        <f>IF($O$11&lt;=A306,IF(+$W305&lt;=0,0,$O$8),0)</f>
        <v>2504.4299999999998</v>
      </c>
      <c r="P306" s="188">
        <f t="shared" si="418"/>
        <v>1403.9399999999998</v>
      </c>
      <c r="Q306" s="188">
        <f>IF($O$11&lt;=A306,ROUND(N306*($O$7/12),2),0)</f>
        <v>1100.49</v>
      </c>
      <c r="R306" s="188">
        <f t="shared" si="367"/>
        <v>51.5</v>
      </c>
      <c r="S306" s="188">
        <f t="shared" si="368"/>
        <v>145.09666666666666</v>
      </c>
      <c r="T306" s="188">
        <f t="shared" si="365"/>
        <v>2701.0266666666666</v>
      </c>
      <c r="U306" s="188">
        <f t="shared" si="419"/>
        <v>171750.84000000003</v>
      </c>
      <c r="V306" s="188">
        <f t="shared" si="420"/>
        <v>526985.12999999977</v>
      </c>
      <c r="W306" s="188">
        <f t="shared" si="379"/>
        <v>153959.15999999992</v>
      </c>
      <c r="X306" s="395">
        <f t="shared" si="412"/>
        <v>54570</v>
      </c>
      <c r="Y306" s="188">
        <f t="shared" si="380"/>
        <v>155363.09999999992</v>
      </c>
      <c r="Z306" s="388">
        <f t="shared" si="405"/>
        <v>8.4999999999999992E-2</v>
      </c>
      <c r="AA306" s="188">
        <f t="shared" si="406"/>
        <v>2504.4299999999998</v>
      </c>
      <c r="AB306" s="188">
        <f t="shared" si="381"/>
        <v>1403.9399999999998</v>
      </c>
      <c r="AC306" s="188">
        <f t="shared" si="407"/>
        <v>1100.49</v>
      </c>
      <c r="AD306" s="188">
        <f t="shared" ref="AD306:AE306" si="455">+AD305</f>
        <v>51.5</v>
      </c>
      <c r="AE306" s="188">
        <f t="shared" si="455"/>
        <v>145.09666666666666</v>
      </c>
      <c r="AF306" s="188">
        <f t="shared" si="383"/>
        <v>2701.0266666666666</v>
      </c>
      <c r="AG306" s="188">
        <f t="shared" si="384"/>
        <v>171750.84000000003</v>
      </c>
      <c r="AH306" s="188">
        <f t="shared" si="385"/>
        <v>526985.12999999977</v>
      </c>
      <c r="AI306" s="404">
        <f t="shared" si="370"/>
        <v>0</v>
      </c>
      <c r="AJ306" s="404">
        <f t="shared" si="432"/>
        <v>0</v>
      </c>
      <c r="AK306" s="404">
        <f t="shared" si="371"/>
        <v>0</v>
      </c>
      <c r="AL306" s="188">
        <f t="shared" si="386"/>
        <v>153959.15999999992</v>
      </c>
      <c r="AM306" s="317">
        <f t="shared" si="414"/>
        <v>23</v>
      </c>
      <c r="AN306" s="14">
        <f t="shared" si="372"/>
        <v>1944.5499999999997</v>
      </c>
      <c r="AO306" s="14">
        <f>IF(W306&lt;=0,0,+$AA$6-$C$2+I306-U306)</f>
        <v>84136.569999999949</v>
      </c>
      <c r="AP306" s="14">
        <f t="shared" si="373"/>
        <v>1944.5499999999997</v>
      </c>
      <c r="AS306" s="14">
        <f t="shared" si="409"/>
        <v>1944.5499999999997</v>
      </c>
      <c r="AT306" s="14">
        <f t="shared" si="415"/>
        <v>542048.88999999827</v>
      </c>
      <c r="AU306" s="188">
        <f>IF(W306&lt;=0,0,+($O$5+AV305)*$AQ$2/12)</f>
        <v>1679.7384980790055</v>
      </c>
      <c r="AV306" s="188">
        <f t="shared" si="416"/>
        <v>347865.13772968127</v>
      </c>
    </row>
    <row r="307" spans="1:48">
      <c r="A307" s="395">
        <f t="shared" si="375"/>
        <v>54600</v>
      </c>
      <c r="B307" s="188">
        <f t="shared" si="410"/>
        <v>70282.759999999907</v>
      </c>
      <c r="C307" s="14">
        <f t="shared" si="403"/>
        <v>559.88</v>
      </c>
      <c r="D307" s="14">
        <f t="shared" si="417"/>
        <v>296.32</v>
      </c>
      <c r="E307" s="14">
        <f t="shared" si="404"/>
        <v>263.56</v>
      </c>
      <c r="F307" s="14">
        <f t="shared" si="364"/>
        <v>51.5</v>
      </c>
      <c r="G307" s="14">
        <f t="shared" si="361"/>
        <v>145.09666666666666</v>
      </c>
      <c r="H307" s="14">
        <f t="shared" si="362"/>
        <v>756.47666666666669</v>
      </c>
      <c r="I307" s="188">
        <f t="shared" si="376"/>
        <v>53186.729999999989</v>
      </c>
      <c r="J307" s="188">
        <f t="shared" si="377"/>
        <v>110758.39999999994</v>
      </c>
      <c r="K307" s="188">
        <f t="shared" si="378"/>
        <v>69986.4399999999</v>
      </c>
      <c r="L307" s="317">
        <f t="shared" si="452"/>
        <v>23</v>
      </c>
      <c r="M307" s="317">
        <f>IF(N307&lt;&gt;"",IF(N307=$O$5,0,+M306+1),0)</f>
        <v>279</v>
      </c>
      <c r="N307" s="188">
        <f t="shared" si="411"/>
        <v>153959.15999999992</v>
      </c>
      <c r="O307" s="188">
        <f>IF($O$11&lt;=A307,IF(+$W306&lt;=0,0,$O$8),0)</f>
        <v>2504.4299999999998</v>
      </c>
      <c r="P307" s="188">
        <f t="shared" si="418"/>
        <v>1413.8899999999999</v>
      </c>
      <c r="Q307" s="188">
        <f>IF($O$11&lt;=A307,ROUND(N307*($O$7/12),2),0)</f>
        <v>1090.54</v>
      </c>
      <c r="R307" s="188">
        <f t="shared" si="367"/>
        <v>51.5</v>
      </c>
      <c r="S307" s="188">
        <f t="shared" si="368"/>
        <v>145.09666666666666</v>
      </c>
      <c r="T307" s="188">
        <f t="shared" si="365"/>
        <v>2701.0266666666666</v>
      </c>
      <c r="U307" s="188">
        <f t="shared" si="419"/>
        <v>173164.73000000004</v>
      </c>
      <c r="V307" s="188">
        <f t="shared" si="420"/>
        <v>528075.66999999981</v>
      </c>
      <c r="W307" s="188">
        <f t="shared" si="379"/>
        <v>152545.2699999999</v>
      </c>
      <c r="X307" s="395">
        <f t="shared" si="412"/>
        <v>54600</v>
      </c>
      <c r="Y307" s="188">
        <f t="shared" si="380"/>
        <v>153959.15999999992</v>
      </c>
      <c r="Z307" s="388">
        <f t="shared" si="405"/>
        <v>8.4999999999999992E-2</v>
      </c>
      <c r="AA307" s="188">
        <f t="shared" si="406"/>
        <v>2504.4299999999998</v>
      </c>
      <c r="AB307" s="188">
        <f t="shared" si="381"/>
        <v>1413.8899999999999</v>
      </c>
      <c r="AC307" s="188">
        <f t="shared" si="407"/>
        <v>1090.54</v>
      </c>
      <c r="AD307" s="188">
        <f t="shared" ref="AD307:AE307" si="456">+AD306</f>
        <v>51.5</v>
      </c>
      <c r="AE307" s="188">
        <f t="shared" si="456"/>
        <v>145.09666666666666</v>
      </c>
      <c r="AF307" s="188">
        <f t="shared" si="383"/>
        <v>2701.0266666666666</v>
      </c>
      <c r="AG307" s="188">
        <f t="shared" si="384"/>
        <v>173164.73000000004</v>
      </c>
      <c r="AH307" s="188">
        <f t="shared" si="385"/>
        <v>528075.66999999981</v>
      </c>
      <c r="AI307" s="404">
        <f t="shared" si="370"/>
        <v>0</v>
      </c>
      <c r="AJ307" s="404">
        <f t="shared" si="432"/>
        <v>0</v>
      </c>
      <c r="AK307" s="404">
        <f t="shared" si="371"/>
        <v>0</v>
      </c>
      <c r="AL307" s="188">
        <f t="shared" si="386"/>
        <v>152545.2699999999</v>
      </c>
      <c r="AM307" s="317">
        <f t="shared" si="414"/>
        <v>23</v>
      </c>
      <c r="AN307" s="14">
        <f t="shared" si="372"/>
        <v>1944.5499999999997</v>
      </c>
      <c r="AO307" s="14">
        <f>IF(W307&lt;=0,0,+$AA$6-$C$2+I307-U307)</f>
        <v>83018.999999999942</v>
      </c>
      <c r="AP307" s="14">
        <f t="shared" si="373"/>
        <v>1944.5499999999997</v>
      </c>
      <c r="AS307" s="14">
        <f t="shared" si="409"/>
        <v>1944.5499999999997</v>
      </c>
      <c r="AT307" s="14">
        <f t="shared" si="415"/>
        <v>543993.43999999831</v>
      </c>
      <c r="AU307" s="188">
        <f>IF(W307&lt;=0,0,+($O$5+AV306)*$AQ$2/12)</f>
        <v>1683.9378443242033</v>
      </c>
      <c r="AV307" s="188">
        <f t="shared" si="416"/>
        <v>349549.07557400549</v>
      </c>
    </row>
    <row r="308" spans="1:48">
      <c r="A308" s="395">
        <f t="shared" si="375"/>
        <v>54630</v>
      </c>
      <c r="B308" s="188">
        <f t="shared" si="410"/>
        <v>69986.4399999999</v>
      </c>
      <c r="C308" s="14">
        <f t="shared" si="403"/>
        <v>559.88</v>
      </c>
      <c r="D308" s="14">
        <f t="shared" si="417"/>
        <v>297.43</v>
      </c>
      <c r="E308" s="14">
        <f t="shared" si="404"/>
        <v>262.45</v>
      </c>
      <c r="F308" s="14">
        <f t="shared" si="364"/>
        <v>51.5</v>
      </c>
      <c r="G308" s="14">
        <f t="shared" si="361"/>
        <v>145.09666666666666</v>
      </c>
      <c r="H308" s="14">
        <f t="shared" si="362"/>
        <v>756.47666666666669</v>
      </c>
      <c r="I308" s="188">
        <f t="shared" si="376"/>
        <v>53484.159999999989</v>
      </c>
      <c r="J308" s="188">
        <f t="shared" si="377"/>
        <v>111020.84999999993</v>
      </c>
      <c r="K308" s="188">
        <f t="shared" si="378"/>
        <v>69689.009999999907</v>
      </c>
      <c r="L308" s="317">
        <f t="shared" si="452"/>
        <v>23</v>
      </c>
      <c r="M308" s="317">
        <f>IF(N308&lt;&gt;"",IF(N308=$O$5,0,+M307+1),0)</f>
        <v>280</v>
      </c>
      <c r="N308" s="188">
        <f t="shared" si="411"/>
        <v>152545.2699999999</v>
      </c>
      <c r="O308" s="188">
        <f>IF($O$11&lt;=A308,IF(+$W307&lt;=0,0,$O$8),0)</f>
        <v>2504.4299999999998</v>
      </c>
      <c r="P308" s="188">
        <f t="shared" si="418"/>
        <v>1423.8999999999999</v>
      </c>
      <c r="Q308" s="188">
        <f>IF($O$11&lt;=A308,ROUND(N308*($O$7/12),2),0)</f>
        <v>1080.53</v>
      </c>
      <c r="R308" s="188">
        <f t="shared" si="367"/>
        <v>51.5</v>
      </c>
      <c r="S308" s="188">
        <f t="shared" si="368"/>
        <v>145.09666666666666</v>
      </c>
      <c r="T308" s="188">
        <f t="shared" si="365"/>
        <v>2701.0266666666666</v>
      </c>
      <c r="U308" s="188">
        <f t="shared" si="419"/>
        <v>174588.63000000003</v>
      </c>
      <c r="V308" s="188">
        <f t="shared" si="420"/>
        <v>529156.19999999984</v>
      </c>
      <c r="W308" s="188">
        <f t="shared" si="379"/>
        <v>151121.36999999991</v>
      </c>
      <c r="X308" s="395">
        <f t="shared" si="412"/>
        <v>54630</v>
      </c>
      <c r="Y308" s="188">
        <f t="shared" si="380"/>
        <v>152545.2699999999</v>
      </c>
      <c r="Z308" s="388">
        <f t="shared" si="405"/>
        <v>8.4999999999999992E-2</v>
      </c>
      <c r="AA308" s="188">
        <f t="shared" si="406"/>
        <v>2504.4299999999998</v>
      </c>
      <c r="AB308" s="188">
        <f t="shared" si="381"/>
        <v>1423.8999999999999</v>
      </c>
      <c r="AC308" s="188">
        <f t="shared" si="407"/>
        <v>1080.53</v>
      </c>
      <c r="AD308" s="188">
        <f t="shared" ref="AD308:AE308" si="457">+AD307</f>
        <v>51.5</v>
      </c>
      <c r="AE308" s="188">
        <f t="shared" si="457"/>
        <v>145.09666666666666</v>
      </c>
      <c r="AF308" s="188">
        <f t="shared" si="383"/>
        <v>2701.0266666666666</v>
      </c>
      <c r="AG308" s="188">
        <f t="shared" si="384"/>
        <v>174588.63000000003</v>
      </c>
      <c r="AH308" s="188">
        <f t="shared" si="385"/>
        <v>529156.19999999984</v>
      </c>
      <c r="AI308" s="404">
        <f t="shared" si="370"/>
        <v>0</v>
      </c>
      <c r="AJ308" s="404">
        <f t="shared" si="432"/>
        <v>0</v>
      </c>
      <c r="AK308" s="404">
        <f t="shared" si="371"/>
        <v>0</v>
      </c>
      <c r="AL308" s="188">
        <f t="shared" si="386"/>
        <v>151121.36999999991</v>
      </c>
      <c r="AM308" s="317">
        <f t="shared" si="414"/>
        <v>23</v>
      </c>
      <c r="AN308" s="14">
        <f t="shared" si="372"/>
        <v>1944.5499999999997</v>
      </c>
      <c r="AO308" s="14">
        <f>IF(W308&lt;=0,0,+$AA$6-$C$2+I308-U308)</f>
        <v>81892.529999999941</v>
      </c>
      <c r="AP308" s="14">
        <f t="shared" si="373"/>
        <v>1944.5499999999997</v>
      </c>
      <c r="AS308" s="14">
        <f t="shared" si="409"/>
        <v>1944.5499999999997</v>
      </c>
      <c r="AT308" s="14">
        <f t="shared" si="415"/>
        <v>545937.98999999836</v>
      </c>
      <c r="AU308" s="188">
        <f>IF(W308&lt;=0,0,+($O$5+AV307)*$AQ$2/12)</f>
        <v>1688.1476889350135</v>
      </c>
      <c r="AV308" s="188">
        <f t="shared" si="416"/>
        <v>351237.22326294048</v>
      </c>
    </row>
    <row r="309" spans="1:48">
      <c r="A309" s="395">
        <f t="shared" si="375"/>
        <v>54660</v>
      </c>
      <c r="B309" s="188">
        <f t="shared" si="410"/>
        <v>69689.009999999907</v>
      </c>
      <c r="C309" s="14">
        <f t="shared" si="403"/>
        <v>559.88</v>
      </c>
      <c r="D309" s="14">
        <f t="shared" si="417"/>
        <v>298.55</v>
      </c>
      <c r="E309" s="14">
        <f t="shared" si="404"/>
        <v>261.33</v>
      </c>
      <c r="F309" s="14">
        <f t="shared" si="364"/>
        <v>51.5</v>
      </c>
      <c r="G309" s="14">
        <f t="shared" si="361"/>
        <v>145.09666666666666</v>
      </c>
      <c r="H309" s="14">
        <f t="shared" si="362"/>
        <v>756.47666666666669</v>
      </c>
      <c r="I309" s="188">
        <f t="shared" si="376"/>
        <v>53782.709999999992</v>
      </c>
      <c r="J309" s="188">
        <f t="shared" si="377"/>
        <v>111282.17999999993</v>
      </c>
      <c r="K309" s="188">
        <f t="shared" si="378"/>
        <v>69390.459999999905</v>
      </c>
      <c r="L309" s="317">
        <f t="shared" si="452"/>
        <v>23</v>
      </c>
      <c r="M309" s="317">
        <f>IF(N309&lt;&gt;"",IF(N309=$O$5,0,+M308+1),0)</f>
        <v>281</v>
      </c>
      <c r="N309" s="188">
        <f t="shared" si="411"/>
        <v>151121.36999999991</v>
      </c>
      <c r="O309" s="188">
        <f>IF($O$11&lt;=A309,IF(+$W308&lt;=0,0,$O$8),0)</f>
        <v>2504.4299999999998</v>
      </c>
      <c r="P309" s="188">
        <f t="shared" si="418"/>
        <v>1433.9899999999998</v>
      </c>
      <c r="Q309" s="188">
        <f>IF($O$11&lt;=A309,ROUND(N309*($O$7/12),2),0)</f>
        <v>1070.44</v>
      </c>
      <c r="R309" s="188">
        <f t="shared" si="367"/>
        <v>51.5</v>
      </c>
      <c r="S309" s="188">
        <f t="shared" si="368"/>
        <v>145.09666666666666</v>
      </c>
      <c r="T309" s="188">
        <f t="shared" si="365"/>
        <v>2701.0266666666666</v>
      </c>
      <c r="U309" s="188">
        <f t="shared" si="419"/>
        <v>176022.62000000002</v>
      </c>
      <c r="V309" s="188">
        <f t="shared" si="420"/>
        <v>530226.63999999978</v>
      </c>
      <c r="W309" s="188">
        <f t="shared" si="379"/>
        <v>149687.37999999992</v>
      </c>
      <c r="X309" s="395">
        <f t="shared" si="412"/>
        <v>54660</v>
      </c>
      <c r="Y309" s="188">
        <f t="shared" si="380"/>
        <v>151121.36999999991</v>
      </c>
      <c r="Z309" s="388">
        <f t="shared" si="405"/>
        <v>8.4999999999999992E-2</v>
      </c>
      <c r="AA309" s="188">
        <f t="shared" si="406"/>
        <v>2504.4299999999998</v>
      </c>
      <c r="AB309" s="188">
        <f t="shared" si="381"/>
        <v>1433.9899999999998</v>
      </c>
      <c r="AC309" s="188">
        <f t="shared" si="407"/>
        <v>1070.44</v>
      </c>
      <c r="AD309" s="188">
        <f t="shared" ref="AD309:AE309" si="458">+AD308</f>
        <v>51.5</v>
      </c>
      <c r="AE309" s="188">
        <f t="shared" si="458"/>
        <v>145.09666666666666</v>
      </c>
      <c r="AF309" s="188">
        <f t="shared" si="383"/>
        <v>2701.0266666666666</v>
      </c>
      <c r="AG309" s="188">
        <f t="shared" si="384"/>
        <v>176022.62000000002</v>
      </c>
      <c r="AH309" s="188">
        <f t="shared" si="385"/>
        <v>530226.63999999978</v>
      </c>
      <c r="AI309" s="404">
        <f t="shared" si="370"/>
        <v>0</v>
      </c>
      <c r="AJ309" s="404">
        <f t="shared" si="432"/>
        <v>0</v>
      </c>
      <c r="AK309" s="404">
        <f t="shared" si="371"/>
        <v>0</v>
      </c>
      <c r="AL309" s="188">
        <f t="shared" si="386"/>
        <v>149687.37999999992</v>
      </c>
      <c r="AM309" s="317">
        <f t="shared" si="414"/>
        <v>23</v>
      </c>
      <c r="AN309" s="14">
        <f t="shared" si="372"/>
        <v>1944.5499999999997</v>
      </c>
      <c r="AO309" s="14">
        <f>IF(W309&lt;=0,0,+$AA$6-$C$2+I309-U309)</f>
        <v>80757.089999999967</v>
      </c>
      <c r="AP309" s="14">
        <f t="shared" si="373"/>
        <v>1944.5499999999997</v>
      </c>
      <c r="AS309" s="14">
        <f t="shared" si="409"/>
        <v>1944.5499999999997</v>
      </c>
      <c r="AT309" s="14">
        <f t="shared" si="415"/>
        <v>547882.53999999841</v>
      </c>
      <c r="AU309" s="188">
        <f>IF(W309&lt;=0,0,+($O$5+AV308)*$AQ$2/12)</f>
        <v>1692.3680581573515</v>
      </c>
      <c r="AV309" s="188">
        <f t="shared" si="416"/>
        <v>352929.5913210978</v>
      </c>
    </row>
    <row r="310" spans="1:48">
      <c r="A310" s="395">
        <f t="shared" si="375"/>
        <v>54690</v>
      </c>
      <c r="B310" s="188">
        <f t="shared" si="410"/>
        <v>69390.459999999905</v>
      </c>
      <c r="C310" s="14">
        <f t="shared" si="403"/>
        <v>559.88</v>
      </c>
      <c r="D310" s="14">
        <f t="shared" si="417"/>
        <v>299.67</v>
      </c>
      <c r="E310" s="14">
        <f t="shared" si="404"/>
        <v>260.20999999999998</v>
      </c>
      <c r="F310" s="14">
        <f t="shared" si="364"/>
        <v>51.5</v>
      </c>
      <c r="G310" s="14">
        <f t="shared" si="361"/>
        <v>145.09666666666666</v>
      </c>
      <c r="H310" s="14">
        <f t="shared" si="362"/>
        <v>756.47666666666669</v>
      </c>
      <c r="I310" s="188">
        <f t="shared" si="376"/>
        <v>54082.37999999999</v>
      </c>
      <c r="J310" s="188">
        <f t="shared" si="377"/>
        <v>111542.38999999994</v>
      </c>
      <c r="K310" s="188">
        <f t="shared" si="378"/>
        <v>69090.789999999906</v>
      </c>
      <c r="L310" s="317">
        <f t="shared" si="452"/>
        <v>23</v>
      </c>
      <c r="M310" s="317">
        <f>IF(N310&lt;&gt;"",IF(N310=$O$5,0,+M309+1),0)</f>
        <v>282</v>
      </c>
      <c r="N310" s="188">
        <f t="shared" si="411"/>
        <v>149687.37999999992</v>
      </c>
      <c r="O310" s="188">
        <f>IF($O$11&lt;=A310,IF(+$W309&lt;=0,0,$O$8),0)</f>
        <v>2504.4299999999998</v>
      </c>
      <c r="P310" s="188">
        <f t="shared" si="418"/>
        <v>1444.1399999999999</v>
      </c>
      <c r="Q310" s="188">
        <f>IF($O$11&lt;=A310,ROUND(N310*($O$7/12),2),0)</f>
        <v>1060.29</v>
      </c>
      <c r="R310" s="188">
        <f t="shared" si="367"/>
        <v>51.5</v>
      </c>
      <c r="S310" s="188">
        <f t="shared" si="368"/>
        <v>145.09666666666666</v>
      </c>
      <c r="T310" s="188">
        <f t="shared" si="365"/>
        <v>2701.0266666666666</v>
      </c>
      <c r="U310" s="188">
        <f t="shared" si="419"/>
        <v>177466.76000000004</v>
      </c>
      <c r="V310" s="188">
        <f t="shared" si="420"/>
        <v>531286.92999999982</v>
      </c>
      <c r="W310" s="188">
        <f t="shared" si="379"/>
        <v>148243.2399999999</v>
      </c>
      <c r="X310" s="395">
        <f t="shared" si="412"/>
        <v>54690</v>
      </c>
      <c r="Y310" s="188">
        <f t="shared" si="380"/>
        <v>149687.37999999992</v>
      </c>
      <c r="Z310" s="388">
        <f t="shared" si="405"/>
        <v>8.4999999999999992E-2</v>
      </c>
      <c r="AA310" s="188">
        <f t="shared" si="406"/>
        <v>2504.4299999999998</v>
      </c>
      <c r="AB310" s="188">
        <f t="shared" si="381"/>
        <v>1444.1399999999999</v>
      </c>
      <c r="AC310" s="188">
        <f t="shared" si="407"/>
        <v>1060.29</v>
      </c>
      <c r="AD310" s="188">
        <f t="shared" ref="AD310:AE310" si="459">+AD309</f>
        <v>51.5</v>
      </c>
      <c r="AE310" s="188">
        <f t="shared" si="459"/>
        <v>145.09666666666666</v>
      </c>
      <c r="AF310" s="188">
        <f t="shared" si="383"/>
        <v>2701.0266666666666</v>
      </c>
      <c r="AG310" s="188">
        <f t="shared" si="384"/>
        <v>177466.76000000004</v>
      </c>
      <c r="AH310" s="188">
        <f t="shared" si="385"/>
        <v>531286.92999999982</v>
      </c>
      <c r="AI310" s="404">
        <f t="shared" si="370"/>
        <v>0</v>
      </c>
      <c r="AJ310" s="404">
        <f t="shared" si="432"/>
        <v>0</v>
      </c>
      <c r="AK310" s="404">
        <f t="shared" si="371"/>
        <v>0</v>
      </c>
      <c r="AL310" s="188">
        <f t="shared" si="386"/>
        <v>148243.2399999999</v>
      </c>
      <c r="AM310" s="317">
        <f t="shared" si="414"/>
        <v>23</v>
      </c>
      <c r="AN310" s="14">
        <f t="shared" si="372"/>
        <v>1944.5499999999997</v>
      </c>
      <c r="AO310" s="14">
        <f>IF(W310&lt;=0,0,+$AA$6-$C$2+I310-U310)</f>
        <v>79612.619999999966</v>
      </c>
      <c r="AP310" s="14">
        <f t="shared" si="373"/>
        <v>1944.5499999999997</v>
      </c>
      <c r="AS310" s="14">
        <f t="shared" si="409"/>
        <v>1944.5499999999997</v>
      </c>
      <c r="AT310" s="14">
        <f t="shared" si="415"/>
        <v>549827.08999999845</v>
      </c>
      <c r="AU310" s="188">
        <f>IF(W310&lt;=0,0,+($O$5+AV309)*$AQ$2/12)</f>
        <v>1696.5989783027444</v>
      </c>
      <c r="AV310" s="188">
        <f t="shared" si="416"/>
        <v>354626.19029940054</v>
      </c>
    </row>
    <row r="311" spans="1:48">
      <c r="A311" s="395">
        <f t="shared" si="375"/>
        <v>54720</v>
      </c>
      <c r="B311" s="188">
        <f t="shared" si="410"/>
        <v>69090.789999999906</v>
      </c>
      <c r="C311" s="14">
        <f t="shared" si="403"/>
        <v>559.88</v>
      </c>
      <c r="D311" s="14">
        <f t="shared" si="417"/>
        <v>300.79000000000002</v>
      </c>
      <c r="E311" s="14">
        <f t="shared" si="404"/>
        <v>259.08999999999997</v>
      </c>
      <c r="F311" s="14">
        <f t="shared" si="364"/>
        <v>51.5</v>
      </c>
      <c r="G311" s="14">
        <f t="shared" si="361"/>
        <v>145.09666666666666</v>
      </c>
      <c r="H311" s="14">
        <f t="shared" si="362"/>
        <v>756.47666666666669</v>
      </c>
      <c r="I311" s="188">
        <f t="shared" si="376"/>
        <v>54383.169999999991</v>
      </c>
      <c r="J311" s="188">
        <f t="shared" si="377"/>
        <v>111801.47999999994</v>
      </c>
      <c r="K311" s="188">
        <f t="shared" si="378"/>
        <v>68789.999999999913</v>
      </c>
      <c r="L311" s="317">
        <f t="shared" si="452"/>
        <v>23</v>
      </c>
      <c r="M311" s="317">
        <f>IF(N311&lt;&gt;"",IF(N311=$O$5,0,+M310+1),0)</f>
        <v>283</v>
      </c>
      <c r="N311" s="188">
        <f t="shared" si="411"/>
        <v>148243.2399999999</v>
      </c>
      <c r="O311" s="188">
        <f>IF($O$11&lt;=A311,IF(+$W310&lt;=0,0,$O$8),0)</f>
        <v>2504.4299999999998</v>
      </c>
      <c r="P311" s="188">
        <f t="shared" si="418"/>
        <v>1454.37</v>
      </c>
      <c r="Q311" s="188">
        <f>IF($O$11&lt;=A311,ROUND(N311*($O$7/12),2),0)</f>
        <v>1050.06</v>
      </c>
      <c r="R311" s="188">
        <f t="shared" si="367"/>
        <v>51.5</v>
      </c>
      <c r="S311" s="188">
        <f t="shared" si="368"/>
        <v>145.09666666666666</v>
      </c>
      <c r="T311" s="188">
        <f t="shared" si="365"/>
        <v>2701.0266666666666</v>
      </c>
      <c r="U311" s="188">
        <f t="shared" si="419"/>
        <v>178921.13000000003</v>
      </c>
      <c r="V311" s="188">
        <f t="shared" si="420"/>
        <v>532336.98999999987</v>
      </c>
      <c r="W311" s="188">
        <f t="shared" si="379"/>
        <v>146788.86999999991</v>
      </c>
      <c r="X311" s="395">
        <f t="shared" si="412"/>
        <v>54720</v>
      </c>
      <c r="Y311" s="188">
        <f t="shared" si="380"/>
        <v>148243.2399999999</v>
      </c>
      <c r="Z311" s="388">
        <f t="shared" si="405"/>
        <v>8.4999999999999992E-2</v>
      </c>
      <c r="AA311" s="188">
        <f t="shared" si="406"/>
        <v>2504.4299999999998</v>
      </c>
      <c r="AB311" s="188">
        <f t="shared" si="381"/>
        <v>1454.37</v>
      </c>
      <c r="AC311" s="188">
        <f t="shared" si="407"/>
        <v>1050.06</v>
      </c>
      <c r="AD311" s="188">
        <f t="shared" ref="AD311:AE311" si="460">+AD310</f>
        <v>51.5</v>
      </c>
      <c r="AE311" s="188">
        <f t="shared" si="460"/>
        <v>145.09666666666666</v>
      </c>
      <c r="AF311" s="188">
        <f t="shared" si="383"/>
        <v>2701.0266666666666</v>
      </c>
      <c r="AG311" s="188">
        <f t="shared" si="384"/>
        <v>178921.13000000003</v>
      </c>
      <c r="AH311" s="188">
        <f t="shared" si="385"/>
        <v>532336.98999999987</v>
      </c>
      <c r="AI311" s="404">
        <f t="shared" si="370"/>
        <v>0</v>
      </c>
      <c r="AJ311" s="404">
        <f t="shared" si="432"/>
        <v>0</v>
      </c>
      <c r="AK311" s="404">
        <f t="shared" si="371"/>
        <v>0</v>
      </c>
      <c r="AL311" s="188">
        <f t="shared" si="386"/>
        <v>146788.86999999991</v>
      </c>
      <c r="AM311" s="317">
        <f t="shared" si="414"/>
        <v>23</v>
      </c>
      <c r="AN311" s="14">
        <f t="shared" si="372"/>
        <v>1944.5499999999997</v>
      </c>
      <c r="AO311" s="14">
        <f>IF(W311&lt;=0,0,+$AA$6-$C$2+I311-U311)</f>
        <v>78459.03999999995</v>
      </c>
      <c r="AP311" s="14">
        <f t="shared" si="373"/>
        <v>1944.5499999999997</v>
      </c>
      <c r="AS311" s="14">
        <f t="shared" si="409"/>
        <v>1944.5499999999997</v>
      </c>
      <c r="AT311" s="14">
        <f t="shared" si="415"/>
        <v>551771.6399999985</v>
      </c>
      <c r="AU311" s="188">
        <f>IF(W311&lt;=0,0,+($O$5+AV310)*$AQ$2/12)</f>
        <v>1700.8404757485014</v>
      </c>
      <c r="AV311" s="188">
        <f t="shared" si="416"/>
        <v>356327.03077514906</v>
      </c>
    </row>
    <row r="312" spans="1:48">
      <c r="A312" s="395">
        <f t="shared" si="375"/>
        <v>54750</v>
      </c>
      <c r="B312" s="188">
        <f t="shared" si="410"/>
        <v>68789.999999999913</v>
      </c>
      <c r="C312" s="14">
        <f t="shared" si="403"/>
        <v>559.88</v>
      </c>
      <c r="D312" s="14">
        <f t="shared" si="417"/>
        <v>301.92</v>
      </c>
      <c r="E312" s="14">
        <f t="shared" si="404"/>
        <v>257.95999999999998</v>
      </c>
      <c r="F312" s="14">
        <f t="shared" si="364"/>
        <v>51.5</v>
      </c>
      <c r="G312" s="14">
        <f t="shared" si="361"/>
        <v>145.09666666666666</v>
      </c>
      <c r="H312" s="14">
        <f t="shared" si="362"/>
        <v>756.47666666666669</v>
      </c>
      <c r="I312" s="188">
        <f t="shared" si="376"/>
        <v>54685.089999999989</v>
      </c>
      <c r="J312" s="188">
        <f t="shared" si="377"/>
        <v>112059.43999999994</v>
      </c>
      <c r="K312" s="188">
        <f t="shared" si="378"/>
        <v>68488.079999999914</v>
      </c>
      <c r="L312" s="317">
        <f t="shared" si="452"/>
        <v>23</v>
      </c>
      <c r="M312" s="317">
        <f>IF(N312&lt;&gt;"",IF(N312=$O$5,0,+M311+1),0)</f>
        <v>284</v>
      </c>
      <c r="N312" s="188">
        <f t="shared" si="411"/>
        <v>146788.86999999991</v>
      </c>
      <c r="O312" s="188">
        <f>IF($O$11&lt;=A312,IF(+$W311&lt;=0,0,$O$8),0)</f>
        <v>2504.4299999999998</v>
      </c>
      <c r="P312" s="188">
        <f t="shared" si="418"/>
        <v>1464.6799999999998</v>
      </c>
      <c r="Q312" s="188">
        <f>IF($O$11&lt;=A312,ROUND(N312*($O$7/12),2),0)</f>
        <v>1039.75</v>
      </c>
      <c r="R312" s="188">
        <f t="shared" si="367"/>
        <v>51.5</v>
      </c>
      <c r="S312" s="188">
        <f t="shared" si="368"/>
        <v>145.09666666666666</v>
      </c>
      <c r="T312" s="188">
        <f t="shared" si="365"/>
        <v>2701.0266666666666</v>
      </c>
      <c r="U312" s="188">
        <f t="shared" si="419"/>
        <v>180385.81000000003</v>
      </c>
      <c r="V312" s="188">
        <f t="shared" si="420"/>
        <v>533376.73999999987</v>
      </c>
      <c r="W312" s="188">
        <f t="shared" si="379"/>
        <v>145324.18999999992</v>
      </c>
      <c r="X312" s="395">
        <f t="shared" si="412"/>
        <v>54750</v>
      </c>
      <c r="Y312" s="188">
        <f t="shared" si="380"/>
        <v>146788.86999999991</v>
      </c>
      <c r="Z312" s="388">
        <f t="shared" si="405"/>
        <v>8.4999999999999992E-2</v>
      </c>
      <c r="AA312" s="188">
        <f t="shared" si="406"/>
        <v>2504.4299999999998</v>
      </c>
      <c r="AB312" s="188">
        <f t="shared" si="381"/>
        <v>1464.6799999999998</v>
      </c>
      <c r="AC312" s="188">
        <f t="shared" si="407"/>
        <v>1039.75</v>
      </c>
      <c r="AD312" s="188">
        <f t="shared" ref="AD312:AE312" si="461">+AD311</f>
        <v>51.5</v>
      </c>
      <c r="AE312" s="188">
        <f t="shared" si="461"/>
        <v>145.09666666666666</v>
      </c>
      <c r="AF312" s="188">
        <f t="shared" si="383"/>
        <v>2701.0266666666666</v>
      </c>
      <c r="AG312" s="188">
        <f t="shared" si="384"/>
        <v>180385.81000000003</v>
      </c>
      <c r="AH312" s="188">
        <f t="shared" si="385"/>
        <v>533376.73999999987</v>
      </c>
      <c r="AI312" s="404">
        <f t="shared" si="370"/>
        <v>0</v>
      </c>
      <c r="AJ312" s="404">
        <f t="shared" si="432"/>
        <v>0</v>
      </c>
      <c r="AK312" s="404">
        <f t="shared" si="371"/>
        <v>0</v>
      </c>
      <c r="AL312" s="188">
        <f t="shared" si="386"/>
        <v>145324.18999999992</v>
      </c>
      <c r="AM312" s="317">
        <f t="shared" si="414"/>
        <v>23</v>
      </c>
      <c r="AN312" s="14">
        <f t="shared" si="372"/>
        <v>1944.5499999999997</v>
      </c>
      <c r="AO312" s="14">
        <f>IF(W312&lt;=0,0,+$AA$6-$C$2+I312-U312)</f>
        <v>77296.27999999997</v>
      </c>
      <c r="AP312" s="14">
        <f t="shared" si="373"/>
        <v>1944.5499999999997</v>
      </c>
      <c r="AS312" s="14">
        <f t="shared" si="409"/>
        <v>1944.5499999999997</v>
      </c>
      <c r="AT312" s="14">
        <f t="shared" si="415"/>
        <v>553716.18999999855</v>
      </c>
      <c r="AU312" s="188">
        <f>IF(W312&lt;=0,0,+($O$5+AV311)*$AQ$2/12)</f>
        <v>1705.0925769378728</v>
      </c>
      <c r="AV312" s="188">
        <f t="shared" si="416"/>
        <v>358032.12335208693</v>
      </c>
    </row>
    <row r="313" spans="1:48">
      <c r="A313" s="395">
        <f t="shared" si="375"/>
        <v>54780</v>
      </c>
      <c r="B313" s="188">
        <f t="shared" si="410"/>
        <v>68488.079999999914</v>
      </c>
      <c r="C313" s="14">
        <f t="shared" si="403"/>
        <v>559.88</v>
      </c>
      <c r="D313" s="14">
        <f t="shared" si="417"/>
        <v>303.05</v>
      </c>
      <c r="E313" s="14">
        <f t="shared" si="404"/>
        <v>256.83</v>
      </c>
      <c r="F313" s="14">
        <f t="shared" si="364"/>
        <v>51.5</v>
      </c>
      <c r="G313" s="14">
        <f t="shared" si="361"/>
        <v>145.09666666666666</v>
      </c>
      <c r="H313" s="14">
        <f t="shared" si="362"/>
        <v>756.47666666666669</v>
      </c>
      <c r="I313" s="188">
        <f t="shared" si="376"/>
        <v>54988.139999999992</v>
      </c>
      <c r="J313" s="188">
        <f t="shared" si="377"/>
        <v>112316.26999999995</v>
      </c>
      <c r="K313" s="188">
        <f t="shared" si="378"/>
        <v>68185.029999999912</v>
      </c>
      <c r="L313" s="317">
        <f t="shared" si="452"/>
        <v>23</v>
      </c>
      <c r="M313" s="317">
        <f>IF(N313&lt;&gt;"",IF(N313=$O$5,0,+M312+1),0)</f>
        <v>285</v>
      </c>
      <c r="N313" s="188">
        <f t="shared" si="411"/>
        <v>145324.18999999992</v>
      </c>
      <c r="O313" s="188">
        <f>IF($O$11&lt;=A313,IF(+$W312&lt;=0,0,$O$8),0)</f>
        <v>2504.4299999999998</v>
      </c>
      <c r="P313" s="188">
        <f t="shared" si="418"/>
        <v>1475.0499999999997</v>
      </c>
      <c r="Q313" s="188">
        <f>IF($O$11&lt;=A313,ROUND(N313*($O$7/12),2),0)</f>
        <v>1029.3800000000001</v>
      </c>
      <c r="R313" s="188">
        <f t="shared" si="367"/>
        <v>51.5</v>
      </c>
      <c r="S313" s="188">
        <f t="shared" si="368"/>
        <v>145.09666666666666</v>
      </c>
      <c r="T313" s="188">
        <f t="shared" si="365"/>
        <v>2701.0266666666666</v>
      </c>
      <c r="U313" s="188">
        <f t="shared" si="419"/>
        <v>181860.86000000002</v>
      </c>
      <c r="V313" s="188">
        <f t="shared" si="420"/>
        <v>534406.11999999988</v>
      </c>
      <c r="W313" s="188">
        <f t="shared" si="379"/>
        <v>143849.13999999993</v>
      </c>
      <c r="X313" s="395">
        <f t="shared" si="412"/>
        <v>54780</v>
      </c>
      <c r="Y313" s="188">
        <f t="shared" si="380"/>
        <v>145324.18999999992</v>
      </c>
      <c r="Z313" s="388">
        <f t="shared" si="405"/>
        <v>8.4999999999999992E-2</v>
      </c>
      <c r="AA313" s="188">
        <f t="shared" si="406"/>
        <v>2504.4299999999998</v>
      </c>
      <c r="AB313" s="188">
        <f t="shared" si="381"/>
        <v>1475.0499999999997</v>
      </c>
      <c r="AC313" s="188">
        <f t="shared" si="407"/>
        <v>1029.3800000000001</v>
      </c>
      <c r="AD313" s="188">
        <f t="shared" ref="AD313:AE313" si="462">+AD312</f>
        <v>51.5</v>
      </c>
      <c r="AE313" s="188">
        <f t="shared" si="462"/>
        <v>145.09666666666666</v>
      </c>
      <c r="AF313" s="188">
        <f t="shared" si="383"/>
        <v>2701.0266666666666</v>
      </c>
      <c r="AG313" s="188">
        <f t="shared" si="384"/>
        <v>181860.86000000002</v>
      </c>
      <c r="AH313" s="188">
        <f t="shared" si="385"/>
        <v>534406.11999999988</v>
      </c>
      <c r="AI313" s="404">
        <f t="shared" si="370"/>
        <v>0</v>
      </c>
      <c r="AJ313" s="404">
        <f t="shared" si="432"/>
        <v>0</v>
      </c>
      <c r="AK313" s="404">
        <f t="shared" si="371"/>
        <v>0</v>
      </c>
      <c r="AL313" s="188">
        <f t="shared" si="386"/>
        <v>143849.13999999993</v>
      </c>
      <c r="AM313" s="317">
        <f t="shared" si="414"/>
        <v>23</v>
      </c>
      <c r="AN313" s="14">
        <f t="shared" si="372"/>
        <v>1944.5499999999997</v>
      </c>
      <c r="AO313" s="14">
        <f>IF(W313&lt;=0,0,+$AA$6-$C$2+I313-U313)</f>
        <v>76124.27999999997</v>
      </c>
      <c r="AP313" s="14">
        <f t="shared" si="373"/>
        <v>1944.5499999999997</v>
      </c>
      <c r="AS313" s="14">
        <f t="shared" si="409"/>
        <v>1944.5499999999997</v>
      </c>
      <c r="AT313" s="14">
        <f t="shared" si="415"/>
        <v>555660.73999999859</v>
      </c>
      <c r="AU313" s="188">
        <f>IF(W313&lt;=0,0,+($O$5+AV312)*$AQ$2/12)</f>
        <v>1709.3553083802171</v>
      </c>
      <c r="AV313" s="188">
        <f t="shared" si="416"/>
        <v>359741.47866046714</v>
      </c>
    </row>
    <row r="314" spans="1:48">
      <c r="A314" s="395">
        <f t="shared" si="375"/>
        <v>54810</v>
      </c>
      <c r="B314" s="188">
        <f t="shared" si="410"/>
        <v>68185.029999999912</v>
      </c>
      <c r="C314" s="14">
        <f t="shared" si="403"/>
        <v>559.88</v>
      </c>
      <c r="D314" s="14">
        <f t="shared" si="417"/>
        <v>304.19</v>
      </c>
      <c r="E314" s="14">
        <f t="shared" si="404"/>
        <v>255.69</v>
      </c>
      <c r="F314" s="14">
        <f t="shared" si="364"/>
        <v>51.5</v>
      </c>
      <c r="G314" s="14">
        <f t="shared" si="361"/>
        <v>145.09666666666666</v>
      </c>
      <c r="H314" s="14">
        <f t="shared" si="362"/>
        <v>756.47666666666669</v>
      </c>
      <c r="I314" s="188">
        <f t="shared" si="376"/>
        <v>55292.329999999994</v>
      </c>
      <c r="J314" s="188">
        <f t="shared" si="377"/>
        <v>112571.95999999995</v>
      </c>
      <c r="K314" s="188">
        <f t="shared" si="378"/>
        <v>67880.839999999909</v>
      </c>
      <c r="L314" s="317">
        <f t="shared" si="452"/>
        <v>23</v>
      </c>
      <c r="M314" s="317">
        <f>IF(N314&lt;&gt;"",IF(N314=$O$5,0,+M313+1),0)</f>
        <v>286</v>
      </c>
      <c r="N314" s="188">
        <f t="shared" si="411"/>
        <v>143849.13999999993</v>
      </c>
      <c r="O314" s="188">
        <f>IF($O$11&lt;=A314,IF(+$W313&lt;=0,0,$O$8),0)</f>
        <v>2504.4299999999998</v>
      </c>
      <c r="P314" s="188">
        <f t="shared" si="418"/>
        <v>1485.5</v>
      </c>
      <c r="Q314" s="188">
        <f>IF($O$11&lt;=A314,ROUND(N314*($O$7/12),2),0)</f>
        <v>1018.93</v>
      </c>
      <c r="R314" s="188">
        <f t="shared" si="367"/>
        <v>51.5</v>
      </c>
      <c r="S314" s="188">
        <f t="shared" si="368"/>
        <v>145.09666666666666</v>
      </c>
      <c r="T314" s="188">
        <f t="shared" si="365"/>
        <v>2701.0266666666666</v>
      </c>
      <c r="U314" s="188">
        <f t="shared" si="419"/>
        <v>183346.36000000002</v>
      </c>
      <c r="V314" s="188">
        <f t="shared" si="420"/>
        <v>535425.04999999993</v>
      </c>
      <c r="W314" s="188">
        <f t="shared" si="379"/>
        <v>142363.63999999993</v>
      </c>
      <c r="X314" s="395">
        <f t="shared" si="412"/>
        <v>54810</v>
      </c>
      <c r="Y314" s="188">
        <f t="shared" si="380"/>
        <v>143849.13999999993</v>
      </c>
      <c r="Z314" s="388">
        <f t="shared" si="405"/>
        <v>8.4999999999999992E-2</v>
      </c>
      <c r="AA314" s="188">
        <f t="shared" si="406"/>
        <v>2504.4299999999998</v>
      </c>
      <c r="AB314" s="188">
        <f t="shared" si="381"/>
        <v>1485.5</v>
      </c>
      <c r="AC314" s="188">
        <f t="shared" si="407"/>
        <v>1018.93</v>
      </c>
      <c r="AD314" s="188">
        <f t="shared" ref="AD314:AE314" si="463">+AD313</f>
        <v>51.5</v>
      </c>
      <c r="AE314" s="188">
        <f t="shared" si="463"/>
        <v>145.09666666666666</v>
      </c>
      <c r="AF314" s="188">
        <f t="shared" si="383"/>
        <v>2701.0266666666666</v>
      </c>
      <c r="AG314" s="188">
        <f t="shared" si="384"/>
        <v>183346.36000000002</v>
      </c>
      <c r="AH314" s="188">
        <f t="shared" si="385"/>
        <v>535425.04999999993</v>
      </c>
      <c r="AI314" s="404">
        <f t="shared" si="370"/>
        <v>0</v>
      </c>
      <c r="AJ314" s="404">
        <f t="shared" si="432"/>
        <v>0</v>
      </c>
      <c r="AK314" s="404">
        <f t="shared" si="371"/>
        <v>0</v>
      </c>
      <c r="AL314" s="188">
        <f t="shared" si="386"/>
        <v>142363.63999999993</v>
      </c>
      <c r="AM314" s="317">
        <f t="shared" si="414"/>
        <v>23</v>
      </c>
      <c r="AN314" s="14">
        <f t="shared" si="372"/>
        <v>1944.5499999999997</v>
      </c>
      <c r="AO314" s="14">
        <f>IF(W314&lt;=0,0,+$AA$6-$C$2+I314-U314)</f>
        <v>74942.969999999972</v>
      </c>
      <c r="AP314" s="14">
        <f t="shared" si="373"/>
        <v>1944.5499999999997</v>
      </c>
      <c r="AS314" s="14">
        <f t="shared" si="409"/>
        <v>1944.5499999999997</v>
      </c>
      <c r="AT314" s="14">
        <f t="shared" si="415"/>
        <v>557605.28999999864</v>
      </c>
      <c r="AU314" s="188">
        <f>IF(W314&lt;=0,0,+($O$5+AV313)*$AQ$2/12)</f>
        <v>1713.6286966511677</v>
      </c>
      <c r="AV314" s="188">
        <f t="shared" si="416"/>
        <v>361455.10735711828</v>
      </c>
    </row>
    <row r="315" spans="1:48" ht="15.75" thickBot="1">
      <c r="A315" s="398">
        <f t="shared" si="375"/>
        <v>54840</v>
      </c>
      <c r="B315" s="237">
        <f t="shared" si="410"/>
        <v>67880.839999999909</v>
      </c>
      <c r="C315" s="21">
        <f t="shared" si="403"/>
        <v>559.88</v>
      </c>
      <c r="D315" s="21">
        <f t="shared" si="417"/>
        <v>305.33</v>
      </c>
      <c r="E315" s="21">
        <f t="shared" si="404"/>
        <v>254.55</v>
      </c>
      <c r="F315" s="21">
        <f t="shared" si="364"/>
        <v>51.5</v>
      </c>
      <c r="G315" s="21">
        <f t="shared" ref="G315:G378" si="464">+G314</f>
        <v>145.09666666666666</v>
      </c>
      <c r="H315" s="21">
        <f t="shared" ref="H315:H378" si="465">SUM(D315:G315)</f>
        <v>756.47666666666669</v>
      </c>
      <c r="I315" s="237">
        <f t="shared" si="376"/>
        <v>55597.659999999996</v>
      </c>
      <c r="J315" s="237">
        <f t="shared" si="377"/>
        <v>112826.50999999995</v>
      </c>
      <c r="K315" s="237">
        <f t="shared" si="378"/>
        <v>67575.509999999907</v>
      </c>
      <c r="L315" s="318">
        <f t="shared" si="452"/>
        <v>23</v>
      </c>
      <c r="M315" s="318">
        <f>IF(N315&lt;&gt;"",IF(N315=$O$5,0,+M314+1),0)</f>
        <v>287</v>
      </c>
      <c r="N315" s="237">
        <f t="shared" si="411"/>
        <v>142363.63999999993</v>
      </c>
      <c r="O315" s="237">
        <f>IF($O$11&lt;=A315,IF(+$W314&lt;=0,0,$O$8),0)</f>
        <v>2504.4299999999998</v>
      </c>
      <c r="P315" s="237">
        <f t="shared" si="418"/>
        <v>1496.02</v>
      </c>
      <c r="Q315" s="237">
        <f>IF($O$11&lt;=A315,ROUND(N315*($O$7/12),2),0)</f>
        <v>1008.41</v>
      </c>
      <c r="R315" s="237">
        <f t="shared" si="367"/>
        <v>51.5</v>
      </c>
      <c r="S315" s="237">
        <f t="shared" si="368"/>
        <v>145.09666666666666</v>
      </c>
      <c r="T315" s="237">
        <f t="shared" si="365"/>
        <v>2701.0266666666666</v>
      </c>
      <c r="U315" s="237">
        <f t="shared" si="419"/>
        <v>184842.38</v>
      </c>
      <c r="V315" s="237">
        <f t="shared" si="420"/>
        <v>536433.46</v>
      </c>
      <c r="W315" s="237">
        <f t="shared" si="379"/>
        <v>140867.61999999994</v>
      </c>
      <c r="X315" s="398">
        <f t="shared" si="412"/>
        <v>54840</v>
      </c>
      <c r="Y315" s="237">
        <f t="shared" si="380"/>
        <v>142363.63999999993</v>
      </c>
      <c r="Z315" s="389">
        <f t="shared" si="405"/>
        <v>8.4999999999999992E-2</v>
      </c>
      <c r="AA315" s="237">
        <f t="shared" si="406"/>
        <v>2504.4299999999998</v>
      </c>
      <c r="AB315" s="237">
        <f t="shared" si="381"/>
        <v>1496.02</v>
      </c>
      <c r="AC315" s="237">
        <f t="shared" si="407"/>
        <v>1008.41</v>
      </c>
      <c r="AD315" s="237">
        <f t="shared" ref="AD315:AE315" si="466">+AD314</f>
        <v>51.5</v>
      </c>
      <c r="AE315" s="237">
        <f t="shared" si="466"/>
        <v>145.09666666666666</v>
      </c>
      <c r="AF315" s="237">
        <f t="shared" si="383"/>
        <v>2701.0266666666666</v>
      </c>
      <c r="AG315" s="237">
        <f t="shared" si="384"/>
        <v>184842.38</v>
      </c>
      <c r="AH315" s="237">
        <f t="shared" si="385"/>
        <v>536433.46</v>
      </c>
      <c r="AI315" s="405">
        <f t="shared" si="370"/>
        <v>0</v>
      </c>
      <c r="AJ315" s="405">
        <f t="shared" si="432"/>
        <v>0</v>
      </c>
      <c r="AK315" s="404">
        <f t="shared" si="371"/>
        <v>0</v>
      </c>
      <c r="AL315" s="237">
        <f t="shared" si="386"/>
        <v>140867.61999999994</v>
      </c>
      <c r="AM315" s="318">
        <f t="shared" si="414"/>
        <v>23</v>
      </c>
      <c r="AN315" s="21">
        <f t="shared" si="372"/>
        <v>1944.5499999999997</v>
      </c>
      <c r="AO315" s="21">
        <f>IF(W315&lt;=0,0,+$AA$6-$C$2+I315-U315)</f>
        <v>73752.28</v>
      </c>
      <c r="AP315" s="21">
        <f t="shared" si="373"/>
        <v>1944.5499999999997</v>
      </c>
      <c r="AQ315" s="21"/>
      <c r="AR315" s="23"/>
      <c r="AS315" s="21">
        <f t="shared" si="409"/>
        <v>1944.5499999999997</v>
      </c>
      <c r="AT315" s="21">
        <f t="shared" si="415"/>
        <v>559549.83999999869</v>
      </c>
      <c r="AU315" s="237">
        <f>IF(W315&lt;=0,0,+($O$5+AV314)*$AQ$2/12)</f>
        <v>1717.9127683927957</v>
      </c>
      <c r="AV315" s="237">
        <f t="shared" si="416"/>
        <v>363173.0201255111</v>
      </c>
    </row>
    <row r="316" spans="1:48">
      <c r="A316" s="395">
        <f t="shared" ref="A316:A379" si="467">IF(K316&lt;=0," ",+A315+30)</f>
        <v>54870</v>
      </c>
      <c r="B316" s="188">
        <f t="shared" si="410"/>
        <v>67575.509999999907</v>
      </c>
      <c r="C316" s="14">
        <f t="shared" si="403"/>
        <v>559.88</v>
      </c>
      <c r="D316" s="14">
        <f t="shared" si="417"/>
        <v>306.47000000000003</v>
      </c>
      <c r="E316" s="14">
        <f t="shared" si="404"/>
        <v>253.41</v>
      </c>
      <c r="F316" s="14">
        <f t="shared" ref="F316:F379" si="468">+F315</f>
        <v>51.5</v>
      </c>
      <c r="G316" s="14">
        <f t="shared" si="464"/>
        <v>145.09666666666666</v>
      </c>
      <c r="H316" s="14">
        <f t="shared" si="465"/>
        <v>756.47666666666669</v>
      </c>
      <c r="I316" s="188">
        <f t="shared" ref="I316:I379" si="469">$D316+$I315</f>
        <v>55904.13</v>
      </c>
      <c r="J316" s="188">
        <f t="shared" ref="J316:J379" si="470">$E316+$J315</f>
        <v>113079.91999999995</v>
      </c>
      <c r="K316" s="188">
        <f t="shared" ref="K316:K379" si="471">+B316-D316</f>
        <v>67269.039999999906</v>
      </c>
      <c r="L316" s="317">
        <f t="shared" si="452"/>
        <v>24</v>
      </c>
      <c r="M316" s="317">
        <f>IF(N316&lt;&gt;"",IF(N316=$O$5,0,+M315+1),0)</f>
        <v>288</v>
      </c>
      <c r="N316" s="188">
        <f t="shared" si="411"/>
        <v>140867.61999999994</v>
      </c>
      <c r="O316" s="188">
        <f>IF($O$11&lt;=A316,IF(+$W315&lt;=0,0,$O$8),0)</f>
        <v>2504.4299999999998</v>
      </c>
      <c r="P316" s="188">
        <f t="shared" si="418"/>
        <v>1506.62</v>
      </c>
      <c r="Q316" s="188">
        <f>IF($O$11&lt;=A316,ROUND(N316*($O$7/12),2),0)</f>
        <v>997.81</v>
      </c>
      <c r="R316" s="188">
        <f t="shared" si="367"/>
        <v>51.5</v>
      </c>
      <c r="S316" s="188">
        <f t="shared" si="368"/>
        <v>145.09666666666666</v>
      </c>
      <c r="T316" s="188">
        <f t="shared" ref="T316:T379" si="472">SUM(P316:S316)</f>
        <v>2701.0266666666666</v>
      </c>
      <c r="U316" s="188">
        <f t="shared" si="419"/>
        <v>186349</v>
      </c>
      <c r="V316" s="188">
        <f t="shared" si="420"/>
        <v>537431.27</v>
      </c>
      <c r="W316" s="188">
        <f t="shared" ref="W316:W379" si="473">+N316-P316</f>
        <v>139360.99999999994</v>
      </c>
      <c r="X316" s="395">
        <f t="shared" si="412"/>
        <v>54870</v>
      </c>
      <c r="Y316" s="188">
        <f t="shared" si="380"/>
        <v>140867.61999999994</v>
      </c>
      <c r="Z316" s="388">
        <f t="shared" si="405"/>
        <v>8.4999999999999992E-2</v>
      </c>
      <c r="AA316" s="188">
        <f t="shared" si="406"/>
        <v>2504.4299999999998</v>
      </c>
      <c r="AB316" s="188">
        <f t="shared" si="381"/>
        <v>1506.62</v>
      </c>
      <c r="AC316" s="188">
        <f t="shared" si="407"/>
        <v>997.81</v>
      </c>
      <c r="AD316" s="188">
        <f t="shared" ref="AD316:AE316" si="474">+AD315</f>
        <v>51.5</v>
      </c>
      <c r="AE316" s="188">
        <f t="shared" si="474"/>
        <v>145.09666666666666</v>
      </c>
      <c r="AF316" s="188">
        <f t="shared" si="383"/>
        <v>2701.0266666666666</v>
      </c>
      <c r="AG316" s="188">
        <f t="shared" si="384"/>
        <v>186349</v>
      </c>
      <c r="AH316" s="188">
        <f t="shared" si="385"/>
        <v>537431.27</v>
      </c>
      <c r="AI316" s="404">
        <f t="shared" si="370"/>
        <v>0</v>
      </c>
      <c r="AJ316" s="404">
        <f t="shared" si="432"/>
        <v>0</v>
      </c>
      <c r="AK316" s="404">
        <f t="shared" si="371"/>
        <v>0</v>
      </c>
      <c r="AL316" s="188">
        <f t="shared" si="386"/>
        <v>139360.99999999994</v>
      </c>
      <c r="AM316" s="317">
        <f t="shared" si="414"/>
        <v>24</v>
      </c>
      <c r="AN316" s="14">
        <f t="shared" si="372"/>
        <v>1944.5499999999997</v>
      </c>
      <c r="AO316" s="14">
        <f>IF(W316&lt;=0,0,+$AA$6-$C$2+I316-U316)</f>
        <v>72552.13</v>
      </c>
      <c r="AP316" s="14">
        <f t="shared" si="373"/>
        <v>1944.5499999999997</v>
      </c>
      <c r="AS316" s="14">
        <f t="shared" si="409"/>
        <v>1944.5499999999997</v>
      </c>
      <c r="AT316" s="14">
        <f t="shared" si="415"/>
        <v>561494.38999999873</v>
      </c>
      <c r="AU316" s="188">
        <f>IF(W316&lt;=0,0,+($O$5+AV315)*$AQ$2/12)</f>
        <v>1722.2075503137776</v>
      </c>
      <c r="AV316" s="188">
        <f t="shared" si="416"/>
        <v>364895.22767582489</v>
      </c>
    </row>
    <row r="317" spans="1:48">
      <c r="A317" s="395">
        <f t="shared" si="467"/>
        <v>54900</v>
      </c>
      <c r="B317" s="188">
        <f t="shared" si="410"/>
        <v>67269.039999999906</v>
      </c>
      <c r="C317" s="14">
        <f t="shared" si="403"/>
        <v>559.88</v>
      </c>
      <c r="D317" s="14">
        <f t="shared" si="417"/>
        <v>307.62</v>
      </c>
      <c r="E317" s="14">
        <f t="shared" si="404"/>
        <v>252.26</v>
      </c>
      <c r="F317" s="14">
        <f t="shared" si="468"/>
        <v>51.5</v>
      </c>
      <c r="G317" s="14">
        <f t="shared" si="464"/>
        <v>145.09666666666666</v>
      </c>
      <c r="H317" s="14">
        <f t="shared" si="465"/>
        <v>756.47666666666669</v>
      </c>
      <c r="I317" s="188">
        <f t="shared" si="469"/>
        <v>56211.75</v>
      </c>
      <c r="J317" s="188">
        <f t="shared" si="470"/>
        <v>113332.17999999995</v>
      </c>
      <c r="K317" s="188">
        <f t="shared" si="471"/>
        <v>66961.419999999911</v>
      </c>
      <c r="L317" s="317">
        <f t="shared" si="452"/>
        <v>24</v>
      </c>
      <c r="M317" s="317">
        <f>IF(N317&lt;&gt;"",IF(N317=$O$5,0,+M316+1),0)</f>
        <v>289</v>
      </c>
      <c r="N317" s="188">
        <f t="shared" si="411"/>
        <v>139360.99999999994</v>
      </c>
      <c r="O317" s="188">
        <f>IF($O$11&lt;=A317,IF(+$W316&lt;=0,0,$O$8),0)</f>
        <v>2504.4299999999998</v>
      </c>
      <c r="P317" s="188">
        <f t="shared" si="418"/>
        <v>1517.29</v>
      </c>
      <c r="Q317" s="188">
        <f>IF($O$11&lt;=A317,ROUND(N317*($O$7/12),2),0)</f>
        <v>987.14</v>
      </c>
      <c r="R317" s="188">
        <f t="shared" ref="R317:R380" si="475">+R316</f>
        <v>51.5</v>
      </c>
      <c r="S317" s="188">
        <f t="shared" ref="S317:S380" si="476">+S316</f>
        <v>145.09666666666666</v>
      </c>
      <c r="T317" s="188">
        <f t="shared" si="472"/>
        <v>2701.0266666666666</v>
      </c>
      <c r="U317" s="188">
        <f t="shared" si="419"/>
        <v>187866.29</v>
      </c>
      <c r="V317" s="188">
        <f t="shared" si="420"/>
        <v>538418.41</v>
      </c>
      <c r="W317" s="188">
        <f t="shared" si="473"/>
        <v>137843.70999999993</v>
      </c>
      <c r="X317" s="395">
        <f t="shared" si="412"/>
        <v>54900</v>
      </c>
      <c r="Y317" s="188">
        <f t="shared" si="380"/>
        <v>139360.99999999994</v>
      </c>
      <c r="Z317" s="388">
        <f t="shared" si="405"/>
        <v>8.4999999999999992E-2</v>
      </c>
      <c r="AA317" s="188">
        <f t="shared" si="406"/>
        <v>2504.4299999999998</v>
      </c>
      <c r="AB317" s="188">
        <f t="shared" si="381"/>
        <v>1517.29</v>
      </c>
      <c r="AC317" s="188">
        <f t="shared" si="407"/>
        <v>987.14</v>
      </c>
      <c r="AD317" s="188">
        <f t="shared" ref="AD317:AE317" si="477">+AD316</f>
        <v>51.5</v>
      </c>
      <c r="AE317" s="188">
        <f t="shared" si="477"/>
        <v>145.09666666666666</v>
      </c>
      <c r="AF317" s="188">
        <f t="shared" si="383"/>
        <v>2701.0266666666666</v>
      </c>
      <c r="AG317" s="188">
        <f t="shared" si="384"/>
        <v>187866.29</v>
      </c>
      <c r="AH317" s="188">
        <f t="shared" si="385"/>
        <v>538418.41</v>
      </c>
      <c r="AI317" s="404">
        <f t="shared" ref="AI317:AI380" si="478">O317-AA317+AI316</f>
        <v>0</v>
      </c>
      <c r="AJ317" s="404">
        <f t="shared" si="432"/>
        <v>0</v>
      </c>
      <c r="AK317" s="404">
        <f t="shared" ref="AK317:AK380" si="479">SUM(AI317:AJ317)</f>
        <v>0</v>
      </c>
      <c r="AL317" s="188">
        <f t="shared" si="386"/>
        <v>137843.70999999993</v>
      </c>
      <c r="AM317" s="317">
        <f t="shared" si="414"/>
        <v>24</v>
      </c>
      <c r="AN317" s="14">
        <f t="shared" ref="AN317:AN380" si="480">IF(O317=0,0,+O317-C317)</f>
        <v>1944.5499999999997</v>
      </c>
      <c r="AO317" s="14">
        <f>IF(W317&lt;=0,0,+$AA$6-$C$2+I317-U317)</f>
        <v>71342.459999999992</v>
      </c>
      <c r="AP317" s="14">
        <f t="shared" ref="AP317:AP380" si="481">IF($O317=0,0,+AA317-$C317)</f>
        <v>1944.5499999999997</v>
      </c>
      <c r="AS317" s="14">
        <f t="shared" si="409"/>
        <v>1944.5499999999997</v>
      </c>
      <c r="AT317" s="14">
        <f t="shared" si="415"/>
        <v>563438.93999999878</v>
      </c>
      <c r="AU317" s="188">
        <f>IF(W317&lt;=0,0,+($O$5+AV316)*$AQ$2/12)</f>
        <v>1726.5130691895622</v>
      </c>
      <c r="AV317" s="188">
        <f t="shared" si="416"/>
        <v>366621.74074501445</v>
      </c>
    </row>
    <row r="318" spans="1:48">
      <c r="A318" s="395">
        <f t="shared" si="467"/>
        <v>54930</v>
      </c>
      <c r="B318" s="188">
        <f t="shared" si="410"/>
        <v>66961.419999999911</v>
      </c>
      <c r="C318" s="14">
        <f t="shared" si="403"/>
        <v>559.88</v>
      </c>
      <c r="D318" s="14">
        <f t="shared" si="417"/>
        <v>308.77</v>
      </c>
      <c r="E318" s="14">
        <f t="shared" si="404"/>
        <v>251.11</v>
      </c>
      <c r="F318" s="14">
        <f t="shared" si="468"/>
        <v>51.5</v>
      </c>
      <c r="G318" s="14">
        <f t="shared" si="464"/>
        <v>145.09666666666666</v>
      </c>
      <c r="H318" s="14">
        <f t="shared" si="465"/>
        <v>756.47666666666669</v>
      </c>
      <c r="I318" s="188">
        <f t="shared" si="469"/>
        <v>56520.52</v>
      </c>
      <c r="J318" s="188">
        <f t="shared" si="470"/>
        <v>113583.28999999995</v>
      </c>
      <c r="K318" s="188">
        <f t="shared" si="471"/>
        <v>66652.649999999907</v>
      </c>
      <c r="L318" s="317">
        <f t="shared" si="452"/>
        <v>24</v>
      </c>
      <c r="M318" s="317">
        <f>IF(N318&lt;&gt;"",IF(N318=$O$5,0,+M317+1),0)</f>
        <v>290</v>
      </c>
      <c r="N318" s="188">
        <f t="shared" si="411"/>
        <v>137843.70999999993</v>
      </c>
      <c r="O318" s="188">
        <f>IF($O$11&lt;=A318,IF(+$W317&lt;=0,0,$O$8),0)</f>
        <v>2504.4299999999998</v>
      </c>
      <c r="P318" s="188">
        <f t="shared" si="418"/>
        <v>1528.04</v>
      </c>
      <c r="Q318" s="188">
        <f>IF($O$11&lt;=A318,ROUND(N318*($O$7/12),2),0)</f>
        <v>976.39</v>
      </c>
      <c r="R318" s="188">
        <f t="shared" si="475"/>
        <v>51.5</v>
      </c>
      <c r="S318" s="188">
        <f t="shared" si="476"/>
        <v>145.09666666666666</v>
      </c>
      <c r="T318" s="188">
        <f t="shared" si="472"/>
        <v>2701.0266666666666</v>
      </c>
      <c r="U318" s="188">
        <f t="shared" si="419"/>
        <v>189394.33000000002</v>
      </c>
      <c r="V318" s="188">
        <f t="shared" si="420"/>
        <v>539394.80000000005</v>
      </c>
      <c r="W318" s="188">
        <f t="shared" si="473"/>
        <v>136315.66999999993</v>
      </c>
      <c r="X318" s="395">
        <f t="shared" si="412"/>
        <v>54930</v>
      </c>
      <c r="Y318" s="188">
        <f t="shared" si="380"/>
        <v>137843.70999999993</v>
      </c>
      <c r="Z318" s="388">
        <f t="shared" si="405"/>
        <v>8.4999999999999992E-2</v>
      </c>
      <c r="AA318" s="188">
        <f t="shared" si="406"/>
        <v>2504.4299999999998</v>
      </c>
      <c r="AB318" s="188">
        <f t="shared" si="381"/>
        <v>1528.04</v>
      </c>
      <c r="AC318" s="188">
        <f t="shared" si="407"/>
        <v>976.39</v>
      </c>
      <c r="AD318" s="188">
        <f t="shared" ref="AD318:AE318" si="482">+AD317</f>
        <v>51.5</v>
      </c>
      <c r="AE318" s="188">
        <f t="shared" si="482"/>
        <v>145.09666666666666</v>
      </c>
      <c r="AF318" s="188">
        <f t="shared" si="383"/>
        <v>2701.0266666666666</v>
      </c>
      <c r="AG318" s="188">
        <f t="shared" si="384"/>
        <v>189394.33000000002</v>
      </c>
      <c r="AH318" s="188">
        <f t="shared" si="385"/>
        <v>539394.80000000005</v>
      </c>
      <c r="AI318" s="404">
        <f t="shared" si="478"/>
        <v>0</v>
      </c>
      <c r="AJ318" s="404">
        <f t="shared" si="432"/>
        <v>0</v>
      </c>
      <c r="AK318" s="404">
        <f t="shared" si="479"/>
        <v>0</v>
      </c>
      <c r="AL318" s="188">
        <f t="shared" si="386"/>
        <v>136315.66999999993</v>
      </c>
      <c r="AM318" s="317">
        <f t="shared" si="414"/>
        <v>24</v>
      </c>
      <c r="AN318" s="14">
        <f t="shared" si="480"/>
        <v>1944.5499999999997</v>
      </c>
      <c r="AO318" s="14">
        <f>IF(W318&lt;=0,0,+$AA$6-$C$2+I318-U318)</f>
        <v>70123.189999999973</v>
      </c>
      <c r="AP318" s="14">
        <f t="shared" si="481"/>
        <v>1944.5499999999997</v>
      </c>
      <c r="AS318" s="14">
        <f t="shared" si="409"/>
        <v>1944.5499999999997</v>
      </c>
      <c r="AT318" s="14">
        <f t="shared" si="415"/>
        <v>565383.48999999883</v>
      </c>
      <c r="AU318" s="188">
        <f>IF(W318&lt;=0,0,+($O$5+AV317)*$AQ$2/12)</f>
        <v>1730.8293518625362</v>
      </c>
      <c r="AV318" s="188">
        <f t="shared" si="416"/>
        <v>368352.570096877</v>
      </c>
    </row>
    <row r="319" spans="1:48">
      <c r="A319" s="395">
        <f t="shared" si="467"/>
        <v>54960</v>
      </c>
      <c r="B319" s="188">
        <f t="shared" si="410"/>
        <v>66652.649999999907</v>
      </c>
      <c r="C319" s="14">
        <f t="shared" si="403"/>
        <v>559.88</v>
      </c>
      <c r="D319" s="14">
        <f t="shared" si="417"/>
        <v>309.93</v>
      </c>
      <c r="E319" s="14">
        <f t="shared" si="404"/>
        <v>249.95</v>
      </c>
      <c r="F319" s="14">
        <f t="shared" si="468"/>
        <v>51.5</v>
      </c>
      <c r="G319" s="14">
        <f t="shared" si="464"/>
        <v>145.09666666666666</v>
      </c>
      <c r="H319" s="14">
        <f t="shared" si="465"/>
        <v>756.47666666666669</v>
      </c>
      <c r="I319" s="188">
        <f t="shared" si="469"/>
        <v>56830.45</v>
      </c>
      <c r="J319" s="188">
        <f t="shared" si="470"/>
        <v>113833.23999999995</v>
      </c>
      <c r="K319" s="188">
        <f t="shared" si="471"/>
        <v>66342.719999999914</v>
      </c>
      <c r="L319" s="317">
        <f t="shared" si="452"/>
        <v>24</v>
      </c>
      <c r="M319" s="317">
        <f>IF(N319&lt;&gt;"",IF(N319=$O$5,0,+M318+1),0)</f>
        <v>291</v>
      </c>
      <c r="N319" s="188">
        <f t="shared" si="411"/>
        <v>136315.66999999993</v>
      </c>
      <c r="O319" s="188">
        <f>IF($O$11&lt;=A319,IF(+$W318&lt;=0,0,$O$8),0)</f>
        <v>2504.4299999999998</v>
      </c>
      <c r="P319" s="188">
        <f t="shared" si="418"/>
        <v>1538.8599999999997</v>
      </c>
      <c r="Q319" s="188">
        <f>IF($O$11&lt;=A319,ROUND(N319*($O$7/12),2),0)</f>
        <v>965.57</v>
      </c>
      <c r="R319" s="188">
        <f t="shared" si="475"/>
        <v>51.5</v>
      </c>
      <c r="S319" s="188">
        <f t="shared" si="476"/>
        <v>145.09666666666666</v>
      </c>
      <c r="T319" s="188">
        <f t="shared" si="472"/>
        <v>2701.0266666666666</v>
      </c>
      <c r="U319" s="188">
        <f t="shared" si="419"/>
        <v>190933.19</v>
      </c>
      <c r="V319" s="188">
        <f t="shared" si="420"/>
        <v>540360.37</v>
      </c>
      <c r="W319" s="188">
        <f t="shared" si="473"/>
        <v>134776.80999999994</v>
      </c>
      <c r="X319" s="395">
        <f t="shared" si="412"/>
        <v>54960</v>
      </c>
      <c r="Y319" s="188">
        <f t="shared" ref="Y319:Y382" si="483">IF(+AL318&lt;0,0,+AL318)</f>
        <v>136315.66999999993</v>
      </c>
      <c r="Z319" s="388">
        <f t="shared" si="405"/>
        <v>8.4999999999999992E-2</v>
      </c>
      <c r="AA319" s="188">
        <f t="shared" si="406"/>
        <v>2504.4299999999998</v>
      </c>
      <c r="AB319" s="188">
        <f t="shared" ref="AB319:AB382" si="484">+AA319-AC319</f>
        <v>1538.8599999999997</v>
      </c>
      <c r="AC319" s="188">
        <f t="shared" si="407"/>
        <v>965.57</v>
      </c>
      <c r="AD319" s="188">
        <f t="shared" ref="AD319:AE319" si="485">+AD318</f>
        <v>51.5</v>
      </c>
      <c r="AE319" s="188">
        <f t="shared" si="485"/>
        <v>145.09666666666666</v>
      </c>
      <c r="AF319" s="188">
        <f t="shared" ref="AF319:AF382" si="486">SUM(AB319:AE319)</f>
        <v>2701.0266666666666</v>
      </c>
      <c r="AG319" s="188">
        <f t="shared" ref="AG319:AG382" si="487">+AB319+AG318</f>
        <v>190933.19</v>
      </c>
      <c r="AH319" s="188">
        <f t="shared" ref="AH319:AH382" si="488">+AH318+AC319</f>
        <v>540360.37</v>
      </c>
      <c r="AI319" s="404">
        <f t="shared" si="478"/>
        <v>0</v>
      </c>
      <c r="AJ319" s="404">
        <f t="shared" si="432"/>
        <v>0</v>
      </c>
      <c r="AK319" s="404">
        <f t="shared" si="479"/>
        <v>0</v>
      </c>
      <c r="AL319" s="188">
        <f t="shared" ref="AL319:AL382" si="489">+Y319-AB319</f>
        <v>134776.80999999994</v>
      </c>
      <c r="AM319" s="317">
        <f t="shared" si="414"/>
        <v>24</v>
      </c>
      <c r="AN319" s="14">
        <f t="shared" si="480"/>
        <v>1944.5499999999997</v>
      </c>
      <c r="AO319" s="14">
        <f>IF(W319&lt;=0,0,+$AA$6-$C$2+I319-U319)</f>
        <v>68894.260000000009</v>
      </c>
      <c r="AP319" s="14">
        <f t="shared" si="481"/>
        <v>1944.5499999999997</v>
      </c>
      <c r="AS319" s="14">
        <f t="shared" si="409"/>
        <v>1944.5499999999997</v>
      </c>
      <c r="AT319" s="14">
        <f t="shared" si="415"/>
        <v>567328.03999999887</v>
      </c>
      <c r="AU319" s="188">
        <f>IF(W319&lt;=0,0,+($O$5+AV318)*$AQ$2/12)</f>
        <v>1735.1564252421922</v>
      </c>
      <c r="AV319" s="188">
        <f t="shared" si="416"/>
        <v>370087.72652211919</v>
      </c>
    </row>
    <row r="320" spans="1:48">
      <c r="A320" s="395">
        <f t="shared" si="467"/>
        <v>54990</v>
      </c>
      <c r="B320" s="188">
        <f t="shared" si="410"/>
        <v>66342.719999999914</v>
      </c>
      <c r="C320" s="14">
        <f t="shared" si="403"/>
        <v>559.88</v>
      </c>
      <c r="D320" s="14">
        <f t="shared" si="417"/>
        <v>311.09000000000003</v>
      </c>
      <c r="E320" s="14">
        <f t="shared" si="404"/>
        <v>248.79</v>
      </c>
      <c r="F320" s="14">
        <f t="shared" si="468"/>
        <v>51.5</v>
      </c>
      <c r="G320" s="14">
        <f t="shared" si="464"/>
        <v>145.09666666666666</v>
      </c>
      <c r="H320" s="14">
        <f t="shared" si="465"/>
        <v>756.47666666666669</v>
      </c>
      <c r="I320" s="188">
        <f t="shared" si="469"/>
        <v>57141.539999999994</v>
      </c>
      <c r="J320" s="188">
        <f t="shared" si="470"/>
        <v>114082.02999999994</v>
      </c>
      <c r="K320" s="188">
        <f t="shared" si="471"/>
        <v>66031.629999999917</v>
      </c>
      <c r="L320" s="317">
        <f t="shared" si="452"/>
        <v>24</v>
      </c>
      <c r="M320" s="317">
        <f>IF(N320&lt;&gt;"",IF(N320=$O$5,0,+M319+1),0)</f>
        <v>292</v>
      </c>
      <c r="N320" s="188">
        <f t="shared" si="411"/>
        <v>134776.80999999994</v>
      </c>
      <c r="O320" s="188">
        <f>IF($O$11&lt;=A320,IF(+$W319&lt;=0,0,$O$8),0)</f>
        <v>2504.4299999999998</v>
      </c>
      <c r="P320" s="188">
        <f t="shared" si="418"/>
        <v>1549.7599999999998</v>
      </c>
      <c r="Q320" s="188">
        <f>IF($O$11&lt;=A320,ROUND(N320*($O$7/12),2),0)</f>
        <v>954.67</v>
      </c>
      <c r="R320" s="188">
        <f t="shared" si="475"/>
        <v>51.5</v>
      </c>
      <c r="S320" s="188">
        <f t="shared" si="476"/>
        <v>145.09666666666666</v>
      </c>
      <c r="T320" s="188">
        <f t="shared" si="472"/>
        <v>2701.0266666666666</v>
      </c>
      <c r="U320" s="188">
        <f t="shared" si="419"/>
        <v>192482.95</v>
      </c>
      <c r="V320" s="188">
        <f t="shared" si="420"/>
        <v>541315.04</v>
      </c>
      <c r="W320" s="188">
        <f t="shared" si="473"/>
        <v>133227.04999999993</v>
      </c>
      <c r="X320" s="395">
        <f t="shared" si="412"/>
        <v>54990</v>
      </c>
      <c r="Y320" s="188">
        <f t="shared" si="483"/>
        <v>134776.80999999994</v>
      </c>
      <c r="Z320" s="388">
        <f t="shared" si="405"/>
        <v>8.4999999999999992E-2</v>
      </c>
      <c r="AA320" s="188">
        <f t="shared" si="406"/>
        <v>2504.4299999999998</v>
      </c>
      <c r="AB320" s="188">
        <f t="shared" si="484"/>
        <v>1549.7599999999998</v>
      </c>
      <c r="AC320" s="188">
        <f t="shared" si="407"/>
        <v>954.67</v>
      </c>
      <c r="AD320" s="188">
        <f t="shared" ref="AD320:AE320" si="490">+AD319</f>
        <v>51.5</v>
      </c>
      <c r="AE320" s="188">
        <f t="shared" si="490"/>
        <v>145.09666666666666</v>
      </c>
      <c r="AF320" s="188">
        <f t="shared" si="486"/>
        <v>2701.0266666666666</v>
      </c>
      <c r="AG320" s="188">
        <f t="shared" si="487"/>
        <v>192482.95</v>
      </c>
      <c r="AH320" s="188">
        <f t="shared" si="488"/>
        <v>541315.04</v>
      </c>
      <c r="AI320" s="404">
        <f t="shared" si="478"/>
        <v>0</v>
      </c>
      <c r="AJ320" s="404">
        <f t="shared" si="432"/>
        <v>0</v>
      </c>
      <c r="AK320" s="404">
        <f t="shared" si="479"/>
        <v>0</v>
      </c>
      <c r="AL320" s="188">
        <f t="shared" si="489"/>
        <v>133227.04999999993</v>
      </c>
      <c r="AM320" s="317">
        <f t="shared" si="414"/>
        <v>24</v>
      </c>
      <c r="AN320" s="14">
        <f t="shared" si="480"/>
        <v>1944.5499999999997</v>
      </c>
      <c r="AO320" s="14">
        <f>IF(W320&lt;=0,0,+$AA$6-$C$2+I320-U320)</f>
        <v>67655.589999999967</v>
      </c>
      <c r="AP320" s="14">
        <f t="shared" si="481"/>
        <v>1944.5499999999997</v>
      </c>
      <c r="AS320" s="14">
        <f t="shared" si="409"/>
        <v>1944.5499999999997</v>
      </c>
      <c r="AT320" s="14">
        <f t="shared" si="415"/>
        <v>569272.58999999892</v>
      </c>
      <c r="AU320" s="188">
        <f>IF(W320&lt;=0,0,+($O$5+AV319)*$AQ$2/12)</f>
        <v>1739.4943163052978</v>
      </c>
      <c r="AV320" s="188">
        <f t="shared" si="416"/>
        <v>371827.22083842452</v>
      </c>
    </row>
    <row r="321" spans="1:48">
      <c r="A321" s="395">
        <f t="shared" si="467"/>
        <v>55020</v>
      </c>
      <c r="B321" s="188">
        <f t="shared" si="410"/>
        <v>66031.629999999917</v>
      </c>
      <c r="C321" s="14">
        <f t="shared" si="403"/>
        <v>559.88</v>
      </c>
      <c r="D321" s="14">
        <f t="shared" si="417"/>
        <v>312.26</v>
      </c>
      <c r="E321" s="14">
        <f t="shared" si="404"/>
        <v>247.62</v>
      </c>
      <c r="F321" s="14">
        <f t="shared" si="468"/>
        <v>51.5</v>
      </c>
      <c r="G321" s="14">
        <f t="shared" si="464"/>
        <v>145.09666666666666</v>
      </c>
      <c r="H321" s="14">
        <f t="shared" si="465"/>
        <v>756.47666666666669</v>
      </c>
      <c r="I321" s="188">
        <f t="shared" si="469"/>
        <v>57453.799999999996</v>
      </c>
      <c r="J321" s="188">
        <f t="shared" si="470"/>
        <v>114329.64999999994</v>
      </c>
      <c r="K321" s="188">
        <f t="shared" si="471"/>
        <v>65719.369999999923</v>
      </c>
      <c r="L321" s="317">
        <f t="shared" si="452"/>
        <v>24</v>
      </c>
      <c r="M321" s="317">
        <f>IF(N321&lt;&gt;"",IF(N321=$O$5,0,+M320+1),0)</f>
        <v>293</v>
      </c>
      <c r="N321" s="188">
        <f t="shared" si="411"/>
        <v>133227.04999999993</v>
      </c>
      <c r="O321" s="188">
        <f>IF($O$11&lt;=A321,IF(+$W320&lt;=0,0,$O$8),0)</f>
        <v>2504.4299999999998</v>
      </c>
      <c r="P321" s="188">
        <f t="shared" si="418"/>
        <v>1560.7399999999998</v>
      </c>
      <c r="Q321" s="188">
        <f>IF($O$11&lt;=A321,ROUND(N321*($O$7/12),2),0)</f>
        <v>943.69</v>
      </c>
      <c r="R321" s="188">
        <f t="shared" si="475"/>
        <v>51.5</v>
      </c>
      <c r="S321" s="188">
        <f t="shared" si="476"/>
        <v>145.09666666666666</v>
      </c>
      <c r="T321" s="188">
        <f t="shared" si="472"/>
        <v>2701.0266666666666</v>
      </c>
      <c r="U321" s="188">
        <f t="shared" si="419"/>
        <v>194043.69</v>
      </c>
      <c r="V321" s="188">
        <f t="shared" si="420"/>
        <v>542258.73</v>
      </c>
      <c r="W321" s="188">
        <f t="shared" si="473"/>
        <v>131666.30999999994</v>
      </c>
      <c r="X321" s="395">
        <f t="shared" si="412"/>
        <v>55020</v>
      </c>
      <c r="Y321" s="188">
        <f t="shared" si="483"/>
        <v>133227.04999999993</v>
      </c>
      <c r="Z321" s="388">
        <f t="shared" si="405"/>
        <v>8.4999999999999992E-2</v>
      </c>
      <c r="AA321" s="188">
        <f t="shared" si="406"/>
        <v>2504.4299999999998</v>
      </c>
      <c r="AB321" s="188">
        <f t="shared" si="484"/>
        <v>1560.7399999999998</v>
      </c>
      <c r="AC321" s="188">
        <f t="shared" si="407"/>
        <v>943.69</v>
      </c>
      <c r="AD321" s="188">
        <f t="shared" ref="AD321:AE321" si="491">+AD320</f>
        <v>51.5</v>
      </c>
      <c r="AE321" s="188">
        <f t="shared" si="491"/>
        <v>145.09666666666666</v>
      </c>
      <c r="AF321" s="188">
        <f t="shared" si="486"/>
        <v>2701.0266666666666</v>
      </c>
      <c r="AG321" s="188">
        <f t="shared" si="487"/>
        <v>194043.69</v>
      </c>
      <c r="AH321" s="188">
        <f t="shared" si="488"/>
        <v>542258.73</v>
      </c>
      <c r="AI321" s="404">
        <f t="shared" si="478"/>
        <v>0</v>
      </c>
      <c r="AJ321" s="404">
        <f t="shared" si="432"/>
        <v>0</v>
      </c>
      <c r="AK321" s="404">
        <f t="shared" si="479"/>
        <v>0</v>
      </c>
      <c r="AL321" s="188">
        <f t="shared" si="489"/>
        <v>131666.30999999994</v>
      </c>
      <c r="AM321" s="317">
        <f t="shared" si="414"/>
        <v>24</v>
      </c>
      <c r="AN321" s="14">
        <f t="shared" si="480"/>
        <v>1944.5499999999997</v>
      </c>
      <c r="AO321" s="14">
        <f>IF(W321&lt;=0,0,+$AA$6-$C$2+I321-U321)</f>
        <v>66407.109999999986</v>
      </c>
      <c r="AP321" s="14">
        <f t="shared" si="481"/>
        <v>1944.5499999999997</v>
      </c>
      <c r="AS321" s="14">
        <f t="shared" si="409"/>
        <v>1944.5499999999997</v>
      </c>
      <c r="AT321" s="14">
        <f t="shared" si="415"/>
        <v>571217.13999999897</v>
      </c>
      <c r="AU321" s="188">
        <f>IF(W321&lt;=0,0,+($O$5+AV320)*$AQ$2/12)</f>
        <v>1743.8430520960612</v>
      </c>
      <c r="AV321" s="188">
        <f t="shared" si="416"/>
        <v>373571.0638905206</v>
      </c>
    </row>
    <row r="322" spans="1:48">
      <c r="A322" s="395">
        <f t="shared" si="467"/>
        <v>55050</v>
      </c>
      <c r="B322" s="188">
        <f t="shared" si="410"/>
        <v>65719.369999999923</v>
      </c>
      <c r="C322" s="14">
        <f t="shared" si="403"/>
        <v>559.88</v>
      </c>
      <c r="D322" s="14">
        <f t="shared" si="417"/>
        <v>313.43</v>
      </c>
      <c r="E322" s="14">
        <f t="shared" si="404"/>
        <v>246.45</v>
      </c>
      <c r="F322" s="14">
        <f t="shared" si="468"/>
        <v>51.5</v>
      </c>
      <c r="G322" s="14">
        <f t="shared" si="464"/>
        <v>145.09666666666666</v>
      </c>
      <c r="H322" s="14">
        <f t="shared" si="465"/>
        <v>756.47666666666669</v>
      </c>
      <c r="I322" s="188">
        <f t="shared" si="469"/>
        <v>57767.229999999996</v>
      </c>
      <c r="J322" s="188">
        <f t="shared" si="470"/>
        <v>114576.09999999993</v>
      </c>
      <c r="K322" s="188">
        <f t="shared" si="471"/>
        <v>65405.939999999922</v>
      </c>
      <c r="L322" s="317">
        <f t="shared" si="452"/>
        <v>24</v>
      </c>
      <c r="M322" s="317">
        <f>IF(N322&lt;&gt;"",IF(N322=$O$5,0,+M321+1),0)</f>
        <v>294</v>
      </c>
      <c r="N322" s="188">
        <f t="shared" si="411"/>
        <v>131666.30999999994</v>
      </c>
      <c r="O322" s="188">
        <f>IF($O$11&lt;=A322,IF(+$W321&lt;=0,0,$O$8),0)</f>
        <v>2504.4299999999998</v>
      </c>
      <c r="P322" s="188">
        <f t="shared" si="418"/>
        <v>1571.79</v>
      </c>
      <c r="Q322" s="188">
        <f>IF($O$11&lt;=A322,ROUND(N322*($O$7/12),2),0)</f>
        <v>932.64</v>
      </c>
      <c r="R322" s="188">
        <f t="shared" si="475"/>
        <v>51.5</v>
      </c>
      <c r="S322" s="188">
        <f t="shared" si="476"/>
        <v>145.09666666666666</v>
      </c>
      <c r="T322" s="188">
        <f t="shared" si="472"/>
        <v>2701.0266666666666</v>
      </c>
      <c r="U322" s="188">
        <f t="shared" si="419"/>
        <v>195615.48</v>
      </c>
      <c r="V322" s="188">
        <f t="shared" si="420"/>
        <v>543191.37</v>
      </c>
      <c r="W322" s="188">
        <f t="shared" si="473"/>
        <v>130094.51999999995</v>
      </c>
      <c r="X322" s="395">
        <f t="shared" si="412"/>
        <v>55050</v>
      </c>
      <c r="Y322" s="188">
        <f t="shared" si="483"/>
        <v>131666.30999999994</v>
      </c>
      <c r="Z322" s="388">
        <f t="shared" si="405"/>
        <v>8.4999999999999992E-2</v>
      </c>
      <c r="AA322" s="188">
        <f t="shared" si="406"/>
        <v>2504.4299999999998</v>
      </c>
      <c r="AB322" s="188">
        <f t="shared" si="484"/>
        <v>1571.79</v>
      </c>
      <c r="AC322" s="188">
        <f t="shared" si="407"/>
        <v>932.64</v>
      </c>
      <c r="AD322" s="188">
        <f t="shared" ref="AD322:AE322" si="492">+AD321</f>
        <v>51.5</v>
      </c>
      <c r="AE322" s="188">
        <f t="shared" si="492"/>
        <v>145.09666666666666</v>
      </c>
      <c r="AF322" s="188">
        <f t="shared" si="486"/>
        <v>2701.0266666666666</v>
      </c>
      <c r="AG322" s="188">
        <f t="shared" si="487"/>
        <v>195615.48</v>
      </c>
      <c r="AH322" s="188">
        <f t="shared" si="488"/>
        <v>543191.37</v>
      </c>
      <c r="AI322" s="404">
        <f t="shared" si="478"/>
        <v>0</v>
      </c>
      <c r="AJ322" s="404">
        <f t="shared" si="432"/>
        <v>0</v>
      </c>
      <c r="AK322" s="404">
        <f t="shared" si="479"/>
        <v>0</v>
      </c>
      <c r="AL322" s="188">
        <f t="shared" si="489"/>
        <v>130094.51999999995</v>
      </c>
      <c r="AM322" s="317">
        <f t="shared" si="414"/>
        <v>24</v>
      </c>
      <c r="AN322" s="14">
        <f t="shared" si="480"/>
        <v>1944.5499999999997</v>
      </c>
      <c r="AO322" s="14">
        <f>IF(W322&lt;=0,0,+$AA$6-$C$2+I322-U322)</f>
        <v>65148.749999999971</v>
      </c>
      <c r="AP322" s="14">
        <f t="shared" si="481"/>
        <v>1944.5499999999997</v>
      </c>
      <c r="AS322" s="14">
        <f t="shared" si="409"/>
        <v>1944.5499999999997</v>
      </c>
      <c r="AT322" s="14">
        <f t="shared" si="415"/>
        <v>573161.68999999901</v>
      </c>
      <c r="AU322" s="188">
        <f>IF(W322&lt;=0,0,+($O$5+AV321)*$AQ$2/12)</f>
        <v>1748.2026597263014</v>
      </c>
      <c r="AV322" s="188">
        <f t="shared" si="416"/>
        <v>375319.26655024692</v>
      </c>
    </row>
    <row r="323" spans="1:48">
      <c r="A323" s="395">
        <f t="shared" si="467"/>
        <v>55080</v>
      </c>
      <c r="B323" s="188">
        <f t="shared" si="410"/>
        <v>65405.939999999922</v>
      </c>
      <c r="C323" s="14">
        <f t="shared" si="403"/>
        <v>559.88</v>
      </c>
      <c r="D323" s="14">
        <f t="shared" si="417"/>
        <v>314.61</v>
      </c>
      <c r="E323" s="14">
        <f t="shared" si="404"/>
        <v>245.27</v>
      </c>
      <c r="F323" s="14">
        <f t="shared" si="468"/>
        <v>51.5</v>
      </c>
      <c r="G323" s="14">
        <f t="shared" si="464"/>
        <v>145.09666666666666</v>
      </c>
      <c r="H323" s="14">
        <f t="shared" si="465"/>
        <v>756.47666666666669</v>
      </c>
      <c r="I323" s="188">
        <f t="shared" si="469"/>
        <v>58081.84</v>
      </c>
      <c r="J323" s="188">
        <f t="shared" si="470"/>
        <v>114821.36999999994</v>
      </c>
      <c r="K323" s="188">
        <f t="shared" si="471"/>
        <v>65091.329999999922</v>
      </c>
      <c r="L323" s="317">
        <f t="shared" si="452"/>
        <v>24</v>
      </c>
      <c r="M323" s="317">
        <f>IF(N323&lt;&gt;"",IF(N323=$O$5,0,+M322+1),0)</f>
        <v>295</v>
      </c>
      <c r="N323" s="188">
        <f t="shared" si="411"/>
        <v>130094.51999999995</v>
      </c>
      <c r="O323" s="188">
        <f>IF($O$11&lt;=A323,IF(+$W322&lt;=0,0,$O$8),0)</f>
        <v>2504.4299999999998</v>
      </c>
      <c r="P323" s="188">
        <f t="shared" si="418"/>
        <v>1582.9299999999998</v>
      </c>
      <c r="Q323" s="188">
        <f>IF($O$11&lt;=A323,ROUND(N323*($O$7/12),2),0)</f>
        <v>921.5</v>
      </c>
      <c r="R323" s="188">
        <f t="shared" si="475"/>
        <v>51.5</v>
      </c>
      <c r="S323" s="188">
        <f t="shared" si="476"/>
        <v>145.09666666666666</v>
      </c>
      <c r="T323" s="188">
        <f t="shared" si="472"/>
        <v>2701.0266666666666</v>
      </c>
      <c r="U323" s="188">
        <f t="shared" si="419"/>
        <v>197198.41</v>
      </c>
      <c r="V323" s="188">
        <f t="shared" si="420"/>
        <v>544112.87</v>
      </c>
      <c r="W323" s="188">
        <f t="shared" si="473"/>
        <v>128511.58999999995</v>
      </c>
      <c r="X323" s="395">
        <f t="shared" si="412"/>
        <v>55080</v>
      </c>
      <c r="Y323" s="188">
        <f t="shared" si="483"/>
        <v>130094.51999999995</v>
      </c>
      <c r="Z323" s="388">
        <f t="shared" si="405"/>
        <v>8.4999999999999992E-2</v>
      </c>
      <c r="AA323" s="188">
        <f t="shared" si="406"/>
        <v>2504.4299999999998</v>
      </c>
      <c r="AB323" s="188">
        <f t="shared" si="484"/>
        <v>1582.9299999999998</v>
      </c>
      <c r="AC323" s="188">
        <f t="shared" si="407"/>
        <v>921.5</v>
      </c>
      <c r="AD323" s="188">
        <f t="shared" ref="AD323:AE323" si="493">+AD322</f>
        <v>51.5</v>
      </c>
      <c r="AE323" s="188">
        <f t="shared" si="493"/>
        <v>145.09666666666666</v>
      </c>
      <c r="AF323" s="188">
        <f t="shared" si="486"/>
        <v>2701.0266666666666</v>
      </c>
      <c r="AG323" s="188">
        <f t="shared" si="487"/>
        <v>197198.41</v>
      </c>
      <c r="AH323" s="188">
        <f t="shared" si="488"/>
        <v>544112.87</v>
      </c>
      <c r="AI323" s="404">
        <f t="shared" si="478"/>
        <v>0</v>
      </c>
      <c r="AJ323" s="404">
        <f t="shared" si="432"/>
        <v>0</v>
      </c>
      <c r="AK323" s="404">
        <f t="shared" si="479"/>
        <v>0</v>
      </c>
      <c r="AL323" s="188">
        <f t="shared" si="489"/>
        <v>128511.58999999995</v>
      </c>
      <c r="AM323" s="317">
        <f t="shared" si="414"/>
        <v>24</v>
      </c>
      <c r="AN323" s="14">
        <f t="shared" si="480"/>
        <v>1944.5499999999997</v>
      </c>
      <c r="AO323" s="14">
        <f>IF(W323&lt;=0,0,+$AA$6-$C$2+I323-U323)</f>
        <v>63880.429999999993</v>
      </c>
      <c r="AP323" s="14">
        <f t="shared" si="481"/>
        <v>1944.5499999999997</v>
      </c>
      <c r="AS323" s="14">
        <f t="shared" si="409"/>
        <v>1944.5499999999997</v>
      </c>
      <c r="AT323" s="14">
        <f t="shared" si="415"/>
        <v>575106.23999999906</v>
      </c>
      <c r="AU323" s="188">
        <f>IF(W323&lt;=0,0,+($O$5+AV322)*$AQ$2/12)</f>
        <v>1752.5731663756171</v>
      </c>
      <c r="AV323" s="188">
        <f t="shared" si="416"/>
        <v>377071.83971662255</v>
      </c>
    </row>
    <row r="324" spans="1:48">
      <c r="A324" s="395">
        <f t="shared" si="467"/>
        <v>55110</v>
      </c>
      <c r="B324" s="188">
        <f t="shared" si="410"/>
        <v>65091.329999999922</v>
      </c>
      <c r="C324" s="14">
        <f t="shared" si="403"/>
        <v>559.88</v>
      </c>
      <c r="D324" s="14">
        <f t="shared" si="417"/>
        <v>315.78999999999996</v>
      </c>
      <c r="E324" s="14">
        <f t="shared" si="404"/>
        <v>244.09</v>
      </c>
      <c r="F324" s="14">
        <f t="shared" si="468"/>
        <v>51.5</v>
      </c>
      <c r="G324" s="14">
        <f t="shared" si="464"/>
        <v>145.09666666666666</v>
      </c>
      <c r="H324" s="14">
        <f t="shared" si="465"/>
        <v>756.47666666666669</v>
      </c>
      <c r="I324" s="188">
        <f t="shared" si="469"/>
        <v>58397.63</v>
      </c>
      <c r="J324" s="188">
        <f t="shared" si="470"/>
        <v>115065.45999999993</v>
      </c>
      <c r="K324" s="188">
        <f t="shared" si="471"/>
        <v>64775.539999999921</v>
      </c>
      <c r="L324" s="317">
        <f t="shared" si="452"/>
        <v>24</v>
      </c>
      <c r="M324" s="317">
        <f>IF(N324&lt;&gt;"",IF(N324=$O$5,0,+M323+1),0)</f>
        <v>296</v>
      </c>
      <c r="N324" s="188">
        <f t="shared" si="411"/>
        <v>128511.58999999995</v>
      </c>
      <c r="O324" s="188">
        <f>IF($O$11&lt;=A324,IF(+$W323&lt;=0,0,$O$8),0)</f>
        <v>2504.4299999999998</v>
      </c>
      <c r="P324" s="188">
        <f t="shared" si="418"/>
        <v>1594.1399999999999</v>
      </c>
      <c r="Q324" s="188">
        <f>IF($O$11&lt;=A324,ROUND(N324*($O$7/12),2),0)</f>
        <v>910.29</v>
      </c>
      <c r="R324" s="188">
        <f t="shared" si="475"/>
        <v>51.5</v>
      </c>
      <c r="S324" s="188">
        <f t="shared" si="476"/>
        <v>145.09666666666666</v>
      </c>
      <c r="T324" s="188">
        <f t="shared" si="472"/>
        <v>2701.0266666666666</v>
      </c>
      <c r="U324" s="188">
        <f t="shared" si="419"/>
        <v>198792.55000000002</v>
      </c>
      <c r="V324" s="188">
        <f t="shared" si="420"/>
        <v>545023.16</v>
      </c>
      <c r="W324" s="188">
        <f t="shared" si="473"/>
        <v>126917.44999999995</v>
      </c>
      <c r="X324" s="395">
        <f t="shared" si="412"/>
        <v>55110</v>
      </c>
      <c r="Y324" s="188">
        <f t="shared" si="483"/>
        <v>128511.58999999995</v>
      </c>
      <c r="Z324" s="388">
        <f t="shared" si="405"/>
        <v>8.4999999999999992E-2</v>
      </c>
      <c r="AA324" s="188">
        <f t="shared" si="406"/>
        <v>2504.4299999999998</v>
      </c>
      <c r="AB324" s="188">
        <f t="shared" si="484"/>
        <v>1594.1399999999999</v>
      </c>
      <c r="AC324" s="188">
        <f t="shared" si="407"/>
        <v>910.29</v>
      </c>
      <c r="AD324" s="188">
        <f t="shared" ref="AD324:AE324" si="494">+AD323</f>
        <v>51.5</v>
      </c>
      <c r="AE324" s="188">
        <f t="shared" si="494"/>
        <v>145.09666666666666</v>
      </c>
      <c r="AF324" s="188">
        <f t="shared" si="486"/>
        <v>2701.0266666666666</v>
      </c>
      <c r="AG324" s="188">
        <f t="shared" si="487"/>
        <v>198792.55000000002</v>
      </c>
      <c r="AH324" s="188">
        <f t="shared" si="488"/>
        <v>545023.16</v>
      </c>
      <c r="AI324" s="404">
        <f t="shared" si="478"/>
        <v>0</v>
      </c>
      <c r="AJ324" s="404">
        <f t="shared" si="432"/>
        <v>0</v>
      </c>
      <c r="AK324" s="404">
        <f t="shared" si="479"/>
        <v>0</v>
      </c>
      <c r="AL324" s="188">
        <f t="shared" si="489"/>
        <v>126917.44999999995</v>
      </c>
      <c r="AM324" s="317">
        <f t="shared" si="414"/>
        <v>24</v>
      </c>
      <c r="AN324" s="14">
        <f t="shared" si="480"/>
        <v>1944.5499999999997</v>
      </c>
      <c r="AO324" s="14">
        <f>IF(W324&lt;=0,0,+$AA$6-$C$2+I324-U324)</f>
        <v>62602.079999999987</v>
      </c>
      <c r="AP324" s="14">
        <f t="shared" si="481"/>
        <v>1944.5499999999997</v>
      </c>
      <c r="AS324" s="14">
        <f t="shared" si="409"/>
        <v>1944.5499999999997</v>
      </c>
      <c r="AT324" s="14">
        <f t="shared" si="415"/>
        <v>577050.78999999911</v>
      </c>
      <c r="AU324" s="188">
        <f>IF(W324&lt;=0,0,+($O$5+AV323)*$AQ$2/12)</f>
        <v>1756.9545992915564</v>
      </c>
      <c r="AV324" s="188">
        <f t="shared" si="416"/>
        <v>378828.7943159141</v>
      </c>
    </row>
    <row r="325" spans="1:48">
      <c r="A325" s="395">
        <f t="shared" si="467"/>
        <v>55140</v>
      </c>
      <c r="B325" s="188">
        <f t="shared" si="410"/>
        <v>64775.539999999921</v>
      </c>
      <c r="C325" s="14">
        <f t="shared" si="403"/>
        <v>559.88</v>
      </c>
      <c r="D325" s="14">
        <f t="shared" si="417"/>
        <v>316.97000000000003</v>
      </c>
      <c r="E325" s="14">
        <f t="shared" si="404"/>
        <v>242.91</v>
      </c>
      <c r="F325" s="14">
        <f t="shared" si="468"/>
        <v>51.5</v>
      </c>
      <c r="G325" s="14">
        <f t="shared" si="464"/>
        <v>145.09666666666666</v>
      </c>
      <c r="H325" s="14">
        <f t="shared" si="465"/>
        <v>756.47666666666669</v>
      </c>
      <c r="I325" s="188">
        <f t="shared" si="469"/>
        <v>58714.6</v>
      </c>
      <c r="J325" s="188">
        <f t="shared" si="470"/>
        <v>115308.36999999994</v>
      </c>
      <c r="K325" s="188">
        <f t="shared" si="471"/>
        <v>64458.56999999992</v>
      </c>
      <c r="L325" s="317">
        <f t="shared" si="452"/>
        <v>24</v>
      </c>
      <c r="M325" s="317">
        <f>IF(N325&lt;&gt;"",IF(N325=$O$5,0,+M324+1),0)</f>
        <v>297</v>
      </c>
      <c r="N325" s="188">
        <f t="shared" si="411"/>
        <v>126917.44999999995</v>
      </c>
      <c r="O325" s="188">
        <f>IF($O$11&lt;=A325,IF(+$W324&lt;=0,0,$O$8),0)</f>
        <v>2504.4299999999998</v>
      </c>
      <c r="P325" s="188">
        <f t="shared" si="418"/>
        <v>1605.4299999999998</v>
      </c>
      <c r="Q325" s="188">
        <f>IF($O$11&lt;=A325,ROUND(N325*($O$7/12),2),0)</f>
        <v>899</v>
      </c>
      <c r="R325" s="188">
        <f t="shared" si="475"/>
        <v>51.5</v>
      </c>
      <c r="S325" s="188">
        <f t="shared" si="476"/>
        <v>145.09666666666666</v>
      </c>
      <c r="T325" s="188">
        <f t="shared" si="472"/>
        <v>2701.0266666666666</v>
      </c>
      <c r="U325" s="188">
        <f t="shared" si="419"/>
        <v>200397.98</v>
      </c>
      <c r="V325" s="188">
        <f t="shared" si="420"/>
        <v>545922.16</v>
      </c>
      <c r="W325" s="188">
        <f t="shared" si="473"/>
        <v>125312.01999999996</v>
      </c>
      <c r="X325" s="395">
        <f t="shared" si="412"/>
        <v>55140</v>
      </c>
      <c r="Y325" s="188">
        <f t="shared" si="483"/>
        <v>126917.44999999995</v>
      </c>
      <c r="Z325" s="388">
        <f t="shared" si="405"/>
        <v>8.4999999999999992E-2</v>
      </c>
      <c r="AA325" s="188">
        <f t="shared" si="406"/>
        <v>2504.4299999999998</v>
      </c>
      <c r="AB325" s="188">
        <f t="shared" si="484"/>
        <v>1605.4299999999998</v>
      </c>
      <c r="AC325" s="188">
        <f t="shared" si="407"/>
        <v>899</v>
      </c>
      <c r="AD325" s="188">
        <f t="shared" ref="AD325:AE325" si="495">+AD324</f>
        <v>51.5</v>
      </c>
      <c r="AE325" s="188">
        <f t="shared" si="495"/>
        <v>145.09666666666666</v>
      </c>
      <c r="AF325" s="188">
        <f t="shared" si="486"/>
        <v>2701.0266666666666</v>
      </c>
      <c r="AG325" s="188">
        <f t="shared" si="487"/>
        <v>200397.98</v>
      </c>
      <c r="AH325" s="188">
        <f t="shared" si="488"/>
        <v>545922.16</v>
      </c>
      <c r="AI325" s="404">
        <f t="shared" si="478"/>
        <v>0</v>
      </c>
      <c r="AJ325" s="404">
        <f t="shared" si="432"/>
        <v>0</v>
      </c>
      <c r="AK325" s="404">
        <f t="shared" si="479"/>
        <v>0</v>
      </c>
      <c r="AL325" s="188">
        <f t="shared" si="489"/>
        <v>125312.01999999996</v>
      </c>
      <c r="AM325" s="317">
        <f t="shared" si="414"/>
        <v>24</v>
      </c>
      <c r="AN325" s="14">
        <f t="shared" si="480"/>
        <v>1944.5499999999997</v>
      </c>
      <c r="AO325" s="14">
        <f>IF(W325&lt;=0,0,+$AA$6-$C$2+I325-U325)</f>
        <v>61313.619999999995</v>
      </c>
      <c r="AP325" s="14">
        <f t="shared" si="481"/>
        <v>1944.5499999999997</v>
      </c>
      <c r="AS325" s="14">
        <f t="shared" si="409"/>
        <v>1944.5499999999997</v>
      </c>
      <c r="AT325" s="14">
        <f t="shared" si="415"/>
        <v>578995.33999999915</v>
      </c>
      <c r="AU325" s="188">
        <f>IF(W325&lt;=0,0,+($O$5+AV324)*$AQ$2/12)</f>
        <v>1761.3469857897853</v>
      </c>
      <c r="AV325" s="188">
        <f t="shared" si="416"/>
        <v>380590.14130170387</v>
      </c>
    </row>
    <row r="326" spans="1:48">
      <c r="A326" s="395">
        <f t="shared" si="467"/>
        <v>55170</v>
      </c>
      <c r="B326" s="188">
        <f t="shared" si="410"/>
        <v>64458.56999999992</v>
      </c>
      <c r="C326" s="14">
        <f t="shared" si="403"/>
        <v>559.88</v>
      </c>
      <c r="D326" s="14">
        <f t="shared" si="417"/>
        <v>318.15999999999997</v>
      </c>
      <c r="E326" s="14">
        <f t="shared" si="404"/>
        <v>241.72</v>
      </c>
      <c r="F326" s="14">
        <f t="shared" si="468"/>
        <v>51.5</v>
      </c>
      <c r="G326" s="14">
        <f t="shared" si="464"/>
        <v>145.09666666666666</v>
      </c>
      <c r="H326" s="14">
        <f t="shared" si="465"/>
        <v>756.47666666666669</v>
      </c>
      <c r="I326" s="188">
        <f t="shared" si="469"/>
        <v>59032.76</v>
      </c>
      <c r="J326" s="188">
        <f t="shared" si="470"/>
        <v>115550.08999999994</v>
      </c>
      <c r="K326" s="188">
        <f t="shared" si="471"/>
        <v>64140.409999999916</v>
      </c>
      <c r="L326" s="317">
        <f t="shared" si="452"/>
        <v>24</v>
      </c>
      <c r="M326" s="317">
        <f>IF(N326&lt;&gt;"",IF(N326=$O$5,0,+M325+1),0)</f>
        <v>298</v>
      </c>
      <c r="N326" s="188">
        <f t="shared" si="411"/>
        <v>125312.01999999996</v>
      </c>
      <c r="O326" s="188">
        <f>IF($O$11&lt;=A326,IF(+$W325&lt;=0,0,$O$8),0)</f>
        <v>2504.4299999999998</v>
      </c>
      <c r="P326" s="188">
        <f t="shared" si="418"/>
        <v>1616.7999999999997</v>
      </c>
      <c r="Q326" s="188">
        <f>IF($O$11&lt;=A326,ROUND(N326*($O$7/12),2),0)</f>
        <v>887.63</v>
      </c>
      <c r="R326" s="188">
        <f t="shared" si="475"/>
        <v>51.5</v>
      </c>
      <c r="S326" s="188">
        <f t="shared" si="476"/>
        <v>145.09666666666666</v>
      </c>
      <c r="T326" s="188">
        <f t="shared" si="472"/>
        <v>2701.0266666666666</v>
      </c>
      <c r="U326" s="188">
        <f t="shared" si="419"/>
        <v>202014.78</v>
      </c>
      <c r="V326" s="188">
        <f t="shared" si="420"/>
        <v>546809.79</v>
      </c>
      <c r="W326" s="188">
        <f t="shared" si="473"/>
        <v>123695.21999999996</v>
      </c>
      <c r="X326" s="395">
        <f t="shared" si="412"/>
        <v>55170</v>
      </c>
      <c r="Y326" s="188">
        <f t="shared" si="483"/>
        <v>125312.01999999996</v>
      </c>
      <c r="Z326" s="388">
        <f t="shared" si="405"/>
        <v>8.4999999999999992E-2</v>
      </c>
      <c r="AA326" s="188">
        <f t="shared" si="406"/>
        <v>2504.4299999999998</v>
      </c>
      <c r="AB326" s="188">
        <f t="shared" si="484"/>
        <v>1616.7999999999997</v>
      </c>
      <c r="AC326" s="188">
        <f t="shared" si="407"/>
        <v>887.63</v>
      </c>
      <c r="AD326" s="188">
        <f t="shared" ref="AD326:AE326" si="496">+AD325</f>
        <v>51.5</v>
      </c>
      <c r="AE326" s="188">
        <f t="shared" si="496"/>
        <v>145.09666666666666</v>
      </c>
      <c r="AF326" s="188">
        <f t="shared" si="486"/>
        <v>2701.0266666666666</v>
      </c>
      <c r="AG326" s="188">
        <f t="shared" si="487"/>
        <v>202014.78</v>
      </c>
      <c r="AH326" s="188">
        <f t="shared" si="488"/>
        <v>546809.79</v>
      </c>
      <c r="AI326" s="404">
        <f t="shared" si="478"/>
        <v>0</v>
      </c>
      <c r="AJ326" s="404">
        <f t="shared" si="432"/>
        <v>0</v>
      </c>
      <c r="AK326" s="404">
        <f t="shared" si="479"/>
        <v>0</v>
      </c>
      <c r="AL326" s="188">
        <f t="shared" si="489"/>
        <v>123695.21999999996</v>
      </c>
      <c r="AM326" s="317">
        <f t="shared" si="414"/>
        <v>24</v>
      </c>
      <c r="AN326" s="14">
        <f t="shared" si="480"/>
        <v>1944.5499999999997</v>
      </c>
      <c r="AO326" s="14">
        <f>IF(W326&lt;=0,0,+$AA$6-$C$2+I326-U326)</f>
        <v>60014.98000000001</v>
      </c>
      <c r="AP326" s="14">
        <f t="shared" si="481"/>
        <v>1944.5499999999997</v>
      </c>
      <c r="AS326" s="14">
        <f t="shared" si="409"/>
        <v>1944.5499999999997</v>
      </c>
      <c r="AT326" s="14">
        <f t="shared" si="415"/>
        <v>580939.8899999992</v>
      </c>
      <c r="AU326" s="188">
        <f>IF(W326&lt;=0,0,+($O$5+AV325)*$AQ$2/12)</f>
        <v>1765.7503532542596</v>
      </c>
      <c r="AV326" s="188">
        <f t="shared" si="416"/>
        <v>382355.89165495813</v>
      </c>
    </row>
    <row r="327" spans="1:48" ht="15.75" thickBot="1">
      <c r="A327" s="398">
        <f t="shared" si="467"/>
        <v>55200</v>
      </c>
      <c r="B327" s="237">
        <f t="shared" si="410"/>
        <v>64140.409999999916</v>
      </c>
      <c r="C327" s="21">
        <f t="shared" si="403"/>
        <v>559.88</v>
      </c>
      <c r="D327" s="21">
        <f t="shared" si="417"/>
        <v>319.35000000000002</v>
      </c>
      <c r="E327" s="21">
        <f t="shared" si="404"/>
        <v>240.53</v>
      </c>
      <c r="F327" s="21">
        <f t="shared" si="468"/>
        <v>51.5</v>
      </c>
      <c r="G327" s="21">
        <f t="shared" si="464"/>
        <v>145.09666666666666</v>
      </c>
      <c r="H327" s="21">
        <f t="shared" si="465"/>
        <v>756.47666666666669</v>
      </c>
      <c r="I327" s="237">
        <f t="shared" si="469"/>
        <v>59352.11</v>
      </c>
      <c r="J327" s="237">
        <f t="shared" si="470"/>
        <v>115790.61999999994</v>
      </c>
      <c r="K327" s="237">
        <f t="shared" si="471"/>
        <v>63821.059999999918</v>
      </c>
      <c r="L327" s="318">
        <f t="shared" si="452"/>
        <v>24</v>
      </c>
      <c r="M327" s="318">
        <f>IF(N327&lt;&gt;"",IF(N327=$O$5,0,+M326+1),0)</f>
        <v>299</v>
      </c>
      <c r="N327" s="237">
        <f t="shared" si="411"/>
        <v>123695.21999999996</v>
      </c>
      <c r="O327" s="237">
        <f>IF($O$11&lt;=A327,IF(+$W326&lt;=0,0,$O$8),0)</f>
        <v>2504.4299999999998</v>
      </c>
      <c r="P327" s="237">
        <f t="shared" si="418"/>
        <v>1628.2599999999998</v>
      </c>
      <c r="Q327" s="237">
        <f>IF($O$11&lt;=A327,ROUND(N327*($O$7/12),2),0)</f>
        <v>876.17</v>
      </c>
      <c r="R327" s="237">
        <f t="shared" si="475"/>
        <v>51.5</v>
      </c>
      <c r="S327" s="237">
        <f t="shared" si="476"/>
        <v>145.09666666666666</v>
      </c>
      <c r="T327" s="237">
        <f t="shared" si="472"/>
        <v>2701.0266666666666</v>
      </c>
      <c r="U327" s="237">
        <f t="shared" si="419"/>
        <v>203643.04</v>
      </c>
      <c r="V327" s="237">
        <f t="shared" si="420"/>
        <v>547685.96000000008</v>
      </c>
      <c r="W327" s="237">
        <f t="shared" si="473"/>
        <v>122066.95999999996</v>
      </c>
      <c r="X327" s="398">
        <f t="shared" si="412"/>
        <v>55200</v>
      </c>
      <c r="Y327" s="237">
        <f t="shared" si="483"/>
        <v>123695.21999999996</v>
      </c>
      <c r="Z327" s="389">
        <f t="shared" si="405"/>
        <v>8.4999999999999992E-2</v>
      </c>
      <c r="AA327" s="237">
        <f t="shared" si="406"/>
        <v>2504.4299999999998</v>
      </c>
      <c r="AB327" s="237">
        <f t="shared" si="484"/>
        <v>1628.2599999999998</v>
      </c>
      <c r="AC327" s="237">
        <f t="shared" si="407"/>
        <v>876.17</v>
      </c>
      <c r="AD327" s="237">
        <f t="shared" ref="AD327:AE327" si="497">+AD326</f>
        <v>51.5</v>
      </c>
      <c r="AE327" s="237">
        <f t="shared" si="497"/>
        <v>145.09666666666666</v>
      </c>
      <c r="AF327" s="237">
        <f t="shared" si="486"/>
        <v>2701.0266666666666</v>
      </c>
      <c r="AG327" s="237">
        <f t="shared" si="487"/>
        <v>203643.04</v>
      </c>
      <c r="AH327" s="237">
        <f t="shared" si="488"/>
        <v>547685.96000000008</v>
      </c>
      <c r="AI327" s="405">
        <f t="shared" si="478"/>
        <v>0</v>
      </c>
      <c r="AJ327" s="405">
        <f t="shared" si="432"/>
        <v>0</v>
      </c>
      <c r="AK327" s="404">
        <f t="shared" si="479"/>
        <v>0</v>
      </c>
      <c r="AL327" s="237">
        <f t="shared" si="489"/>
        <v>122066.95999999996</v>
      </c>
      <c r="AM327" s="318">
        <f t="shared" si="414"/>
        <v>24</v>
      </c>
      <c r="AN327" s="21">
        <f t="shared" si="480"/>
        <v>1944.5499999999997</v>
      </c>
      <c r="AO327" s="21">
        <f>IF(W327&lt;=0,0,+$AA$6-$C$2+I327-U327)</f>
        <v>58706.069999999978</v>
      </c>
      <c r="AP327" s="21">
        <f t="shared" si="481"/>
        <v>1944.5499999999997</v>
      </c>
      <c r="AQ327" s="21"/>
      <c r="AR327" s="23"/>
      <c r="AS327" s="21">
        <f t="shared" si="409"/>
        <v>1944.5499999999997</v>
      </c>
      <c r="AT327" s="21">
        <f t="shared" si="415"/>
        <v>582884.43999999925</v>
      </c>
      <c r="AU327" s="237">
        <f>IF(W327&lt;=0,0,+($O$5+AV326)*$AQ$2/12)</f>
        <v>1770.1647291373954</v>
      </c>
      <c r="AV327" s="237">
        <f t="shared" si="416"/>
        <v>384126.05638409551</v>
      </c>
    </row>
    <row r="328" spans="1:48">
      <c r="A328" s="395">
        <f t="shared" si="467"/>
        <v>55230</v>
      </c>
      <c r="B328" s="188">
        <f t="shared" si="410"/>
        <v>63821.059999999918</v>
      </c>
      <c r="C328" s="14">
        <f t="shared" si="403"/>
        <v>559.88</v>
      </c>
      <c r="D328" s="14">
        <f t="shared" si="417"/>
        <v>320.54999999999995</v>
      </c>
      <c r="E328" s="14">
        <f t="shared" si="404"/>
        <v>239.33</v>
      </c>
      <c r="F328" s="14">
        <f t="shared" si="468"/>
        <v>51.5</v>
      </c>
      <c r="G328" s="14">
        <f t="shared" si="464"/>
        <v>145.09666666666666</v>
      </c>
      <c r="H328" s="14">
        <f t="shared" si="465"/>
        <v>756.47666666666669</v>
      </c>
      <c r="I328" s="188">
        <f t="shared" si="469"/>
        <v>59672.66</v>
      </c>
      <c r="J328" s="188">
        <f t="shared" si="470"/>
        <v>116029.94999999994</v>
      </c>
      <c r="K328" s="188">
        <f t="shared" si="471"/>
        <v>63500.509999999915</v>
      </c>
      <c r="L328" s="317">
        <f t="shared" si="452"/>
        <v>25</v>
      </c>
      <c r="M328" s="317">
        <f>IF(N328&lt;&gt;"",IF(N328=$O$5,0,+M327+1),0)</f>
        <v>300</v>
      </c>
      <c r="N328" s="188">
        <f t="shared" si="411"/>
        <v>122066.95999999996</v>
      </c>
      <c r="O328" s="188">
        <f>IF($O$11&lt;=A328,IF(+$W327&lt;=0,0,$O$8),0)</f>
        <v>2504.4299999999998</v>
      </c>
      <c r="P328" s="188">
        <f t="shared" si="418"/>
        <v>1639.79</v>
      </c>
      <c r="Q328" s="188">
        <f>IF($O$11&lt;=A328,ROUND(N328*($O$7/12),2),0)</f>
        <v>864.64</v>
      </c>
      <c r="R328" s="188">
        <f t="shared" si="475"/>
        <v>51.5</v>
      </c>
      <c r="S328" s="188">
        <f t="shared" si="476"/>
        <v>145.09666666666666</v>
      </c>
      <c r="T328" s="188">
        <f t="shared" si="472"/>
        <v>2701.0266666666666</v>
      </c>
      <c r="U328" s="188">
        <f t="shared" si="419"/>
        <v>205282.83000000002</v>
      </c>
      <c r="V328" s="188">
        <f t="shared" si="420"/>
        <v>548550.60000000009</v>
      </c>
      <c r="W328" s="188">
        <f t="shared" si="473"/>
        <v>120427.16999999997</v>
      </c>
      <c r="X328" s="395">
        <f t="shared" si="412"/>
        <v>55230</v>
      </c>
      <c r="Y328" s="188">
        <f t="shared" si="483"/>
        <v>122066.95999999996</v>
      </c>
      <c r="Z328" s="388">
        <f t="shared" si="405"/>
        <v>8.4999999999999992E-2</v>
      </c>
      <c r="AA328" s="188">
        <f t="shared" si="406"/>
        <v>2504.4299999999998</v>
      </c>
      <c r="AB328" s="188">
        <f t="shared" si="484"/>
        <v>1639.79</v>
      </c>
      <c r="AC328" s="188">
        <f t="shared" si="407"/>
        <v>864.64</v>
      </c>
      <c r="AD328" s="188">
        <f t="shared" ref="AD328:AE328" si="498">+AD327</f>
        <v>51.5</v>
      </c>
      <c r="AE328" s="188">
        <f t="shared" si="498"/>
        <v>145.09666666666666</v>
      </c>
      <c r="AF328" s="188">
        <f t="shared" si="486"/>
        <v>2701.0266666666666</v>
      </c>
      <c r="AG328" s="188">
        <f t="shared" si="487"/>
        <v>205282.83000000002</v>
      </c>
      <c r="AH328" s="188">
        <f t="shared" si="488"/>
        <v>548550.60000000009</v>
      </c>
      <c r="AI328" s="404">
        <f t="shared" si="478"/>
        <v>0</v>
      </c>
      <c r="AJ328" s="404">
        <f t="shared" si="432"/>
        <v>0</v>
      </c>
      <c r="AK328" s="404">
        <f t="shared" si="479"/>
        <v>0</v>
      </c>
      <c r="AL328" s="188">
        <f t="shared" si="489"/>
        <v>120427.16999999997</v>
      </c>
      <c r="AM328" s="317">
        <f t="shared" si="414"/>
        <v>25</v>
      </c>
      <c r="AN328" s="14">
        <f t="shared" si="480"/>
        <v>1944.5499999999997</v>
      </c>
      <c r="AO328" s="14">
        <f>IF(W328&lt;=0,0,+$AA$6-$C$2+I328-U328)</f>
        <v>57386.830000000016</v>
      </c>
      <c r="AP328" s="14">
        <f t="shared" si="481"/>
        <v>1944.5499999999997</v>
      </c>
      <c r="AS328" s="14">
        <f t="shared" si="409"/>
        <v>1944.5499999999997</v>
      </c>
      <c r="AT328" s="14">
        <f t="shared" si="415"/>
        <v>584828.98999999929</v>
      </c>
      <c r="AU328" s="188">
        <f>IF(W328&lt;=0,0,+($O$5+AV327)*$AQ$2/12)</f>
        <v>1774.5901409602386</v>
      </c>
      <c r="AV328" s="188">
        <f t="shared" si="416"/>
        <v>385900.64652505575</v>
      </c>
    </row>
    <row r="329" spans="1:48">
      <c r="A329" s="395">
        <f t="shared" si="467"/>
        <v>55260</v>
      </c>
      <c r="B329" s="188">
        <f t="shared" si="410"/>
        <v>63500.509999999915</v>
      </c>
      <c r="C329" s="14">
        <f t="shared" si="403"/>
        <v>559.88</v>
      </c>
      <c r="D329" s="14">
        <f t="shared" si="417"/>
        <v>321.75</v>
      </c>
      <c r="E329" s="14">
        <f t="shared" si="404"/>
        <v>238.13</v>
      </c>
      <c r="F329" s="14">
        <f t="shared" si="468"/>
        <v>51.5</v>
      </c>
      <c r="G329" s="14">
        <f t="shared" si="464"/>
        <v>145.09666666666666</v>
      </c>
      <c r="H329" s="14">
        <f t="shared" si="465"/>
        <v>756.47666666666669</v>
      </c>
      <c r="I329" s="188">
        <f t="shared" si="469"/>
        <v>59994.41</v>
      </c>
      <c r="J329" s="188">
        <f t="shared" si="470"/>
        <v>116268.07999999994</v>
      </c>
      <c r="K329" s="188">
        <f t="shared" si="471"/>
        <v>63178.759999999915</v>
      </c>
      <c r="L329" s="317">
        <f t="shared" si="452"/>
        <v>25</v>
      </c>
      <c r="M329" s="317">
        <f>IF(N329&lt;&gt;"",IF(N329=$O$5,0,+M328+1),0)</f>
        <v>301</v>
      </c>
      <c r="N329" s="188">
        <f t="shared" si="411"/>
        <v>120427.16999999997</v>
      </c>
      <c r="O329" s="188">
        <f>IF($O$11&lt;=A329,IF(+$W328&lt;=0,0,$O$8),0)</f>
        <v>2504.4299999999998</v>
      </c>
      <c r="P329" s="188">
        <f t="shared" si="418"/>
        <v>1651.3999999999999</v>
      </c>
      <c r="Q329" s="188">
        <f>IF($O$11&lt;=A329,ROUND(N329*($O$7/12),2),0)</f>
        <v>853.03</v>
      </c>
      <c r="R329" s="188">
        <f t="shared" si="475"/>
        <v>51.5</v>
      </c>
      <c r="S329" s="188">
        <f t="shared" si="476"/>
        <v>145.09666666666666</v>
      </c>
      <c r="T329" s="188">
        <f t="shared" si="472"/>
        <v>2701.0266666666666</v>
      </c>
      <c r="U329" s="188">
        <f t="shared" si="419"/>
        <v>206934.23</v>
      </c>
      <c r="V329" s="188">
        <f t="shared" si="420"/>
        <v>549403.63000000012</v>
      </c>
      <c r="W329" s="188">
        <f t="shared" si="473"/>
        <v>118775.76999999997</v>
      </c>
      <c r="X329" s="395">
        <f t="shared" si="412"/>
        <v>55260</v>
      </c>
      <c r="Y329" s="188">
        <f t="shared" si="483"/>
        <v>120427.16999999997</v>
      </c>
      <c r="Z329" s="388">
        <f t="shared" si="405"/>
        <v>8.4999999999999992E-2</v>
      </c>
      <c r="AA329" s="188">
        <f t="shared" si="406"/>
        <v>2504.4299999999998</v>
      </c>
      <c r="AB329" s="188">
        <f t="shared" si="484"/>
        <v>1651.3999999999999</v>
      </c>
      <c r="AC329" s="188">
        <f t="shared" si="407"/>
        <v>853.03</v>
      </c>
      <c r="AD329" s="188">
        <f t="shared" ref="AD329:AE329" si="499">+AD328</f>
        <v>51.5</v>
      </c>
      <c r="AE329" s="188">
        <f t="shared" si="499"/>
        <v>145.09666666666666</v>
      </c>
      <c r="AF329" s="188">
        <f t="shared" si="486"/>
        <v>2701.0266666666666</v>
      </c>
      <c r="AG329" s="188">
        <f t="shared" si="487"/>
        <v>206934.23</v>
      </c>
      <c r="AH329" s="188">
        <f t="shared" si="488"/>
        <v>549403.63000000012</v>
      </c>
      <c r="AI329" s="404">
        <f t="shared" si="478"/>
        <v>0</v>
      </c>
      <c r="AJ329" s="404">
        <f t="shared" si="432"/>
        <v>0</v>
      </c>
      <c r="AK329" s="404">
        <f t="shared" si="479"/>
        <v>0</v>
      </c>
      <c r="AL329" s="188">
        <f t="shared" si="489"/>
        <v>118775.76999999997</v>
      </c>
      <c r="AM329" s="317">
        <f t="shared" si="414"/>
        <v>25</v>
      </c>
      <c r="AN329" s="14">
        <f t="shared" si="480"/>
        <v>1944.5499999999997</v>
      </c>
      <c r="AO329" s="14">
        <f>IF(W329&lt;=0,0,+$AA$6-$C$2+I329-U329)</f>
        <v>56057.180000000022</v>
      </c>
      <c r="AP329" s="14">
        <f t="shared" si="481"/>
        <v>1944.5499999999997</v>
      </c>
      <c r="AS329" s="14">
        <f t="shared" si="409"/>
        <v>1944.5499999999997</v>
      </c>
      <c r="AT329" s="14">
        <f t="shared" si="415"/>
        <v>586773.53999999934</v>
      </c>
      <c r="AU329" s="188">
        <f>IF(W329&lt;=0,0,+($O$5+AV328)*$AQ$2/12)</f>
        <v>1779.0266163126391</v>
      </c>
      <c r="AV329" s="188">
        <f t="shared" si="416"/>
        <v>387679.67314136837</v>
      </c>
    </row>
    <row r="330" spans="1:48">
      <c r="A330" s="395">
        <f t="shared" si="467"/>
        <v>55290</v>
      </c>
      <c r="B330" s="188">
        <f t="shared" si="410"/>
        <v>63178.759999999915</v>
      </c>
      <c r="C330" s="14">
        <f t="shared" si="403"/>
        <v>559.88</v>
      </c>
      <c r="D330" s="14">
        <f t="shared" si="417"/>
        <v>322.96000000000004</v>
      </c>
      <c r="E330" s="14">
        <f t="shared" si="404"/>
        <v>236.92</v>
      </c>
      <c r="F330" s="14">
        <f t="shared" si="468"/>
        <v>51.5</v>
      </c>
      <c r="G330" s="14">
        <f t="shared" si="464"/>
        <v>145.09666666666666</v>
      </c>
      <c r="H330" s="14">
        <f t="shared" si="465"/>
        <v>756.47666666666669</v>
      </c>
      <c r="I330" s="188">
        <f t="shared" si="469"/>
        <v>60317.37</v>
      </c>
      <c r="J330" s="188">
        <f t="shared" si="470"/>
        <v>116504.99999999994</v>
      </c>
      <c r="K330" s="188">
        <f t="shared" si="471"/>
        <v>62855.799999999916</v>
      </c>
      <c r="L330" s="317">
        <f t="shared" si="452"/>
        <v>25</v>
      </c>
      <c r="M330" s="317">
        <f>IF(N330&lt;&gt;"",IF(N330=$O$5,0,+M329+1),0)</f>
        <v>302</v>
      </c>
      <c r="N330" s="188">
        <f t="shared" si="411"/>
        <v>118775.76999999997</v>
      </c>
      <c r="O330" s="188">
        <f>IF($O$11&lt;=A330,IF(+$W329&lt;=0,0,$O$8),0)</f>
        <v>2504.4299999999998</v>
      </c>
      <c r="P330" s="188">
        <f t="shared" si="418"/>
        <v>1663.1</v>
      </c>
      <c r="Q330" s="188">
        <f>IF($O$11&lt;=A330,ROUND(N330*($O$7/12),2),0)</f>
        <v>841.33</v>
      </c>
      <c r="R330" s="188">
        <f t="shared" si="475"/>
        <v>51.5</v>
      </c>
      <c r="S330" s="188">
        <f t="shared" si="476"/>
        <v>145.09666666666666</v>
      </c>
      <c r="T330" s="188">
        <f t="shared" si="472"/>
        <v>2701.0266666666666</v>
      </c>
      <c r="U330" s="188">
        <f t="shared" si="419"/>
        <v>208597.33000000002</v>
      </c>
      <c r="V330" s="188">
        <f t="shared" si="420"/>
        <v>550244.96000000008</v>
      </c>
      <c r="W330" s="188">
        <f t="shared" si="473"/>
        <v>117112.66999999997</v>
      </c>
      <c r="X330" s="395">
        <f t="shared" si="412"/>
        <v>55290</v>
      </c>
      <c r="Y330" s="188">
        <f t="shared" si="483"/>
        <v>118775.76999999997</v>
      </c>
      <c r="Z330" s="388">
        <f t="shared" si="405"/>
        <v>8.4999999999999992E-2</v>
      </c>
      <c r="AA330" s="188">
        <f t="shared" si="406"/>
        <v>2504.4299999999998</v>
      </c>
      <c r="AB330" s="188">
        <f t="shared" si="484"/>
        <v>1663.1</v>
      </c>
      <c r="AC330" s="188">
        <f t="shared" si="407"/>
        <v>841.33</v>
      </c>
      <c r="AD330" s="188">
        <f t="shared" ref="AD330:AE330" si="500">+AD329</f>
        <v>51.5</v>
      </c>
      <c r="AE330" s="188">
        <f t="shared" si="500"/>
        <v>145.09666666666666</v>
      </c>
      <c r="AF330" s="188">
        <f t="shared" si="486"/>
        <v>2701.0266666666666</v>
      </c>
      <c r="AG330" s="188">
        <f t="shared" si="487"/>
        <v>208597.33000000002</v>
      </c>
      <c r="AH330" s="188">
        <f t="shared" si="488"/>
        <v>550244.96000000008</v>
      </c>
      <c r="AI330" s="404">
        <f t="shared" si="478"/>
        <v>0</v>
      </c>
      <c r="AJ330" s="404">
        <f t="shared" si="432"/>
        <v>0</v>
      </c>
      <c r="AK330" s="404">
        <f t="shared" si="479"/>
        <v>0</v>
      </c>
      <c r="AL330" s="188">
        <f t="shared" si="489"/>
        <v>117112.66999999997</v>
      </c>
      <c r="AM330" s="317">
        <f t="shared" si="414"/>
        <v>25</v>
      </c>
      <c r="AN330" s="14">
        <f t="shared" si="480"/>
        <v>1944.5499999999997</v>
      </c>
      <c r="AO330" s="14">
        <f>IF(W330&lt;=0,0,+$AA$6-$C$2+I330-U330)</f>
        <v>54717.039999999979</v>
      </c>
      <c r="AP330" s="14">
        <f t="shared" si="481"/>
        <v>1944.5499999999997</v>
      </c>
      <c r="AS330" s="14">
        <f t="shared" si="409"/>
        <v>1944.5499999999997</v>
      </c>
      <c r="AT330" s="14">
        <f t="shared" si="415"/>
        <v>588718.08999999939</v>
      </c>
      <c r="AU330" s="188">
        <f>IF(W330&lt;=0,0,+($O$5+AV329)*$AQ$2/12)</f>
        <v>1783.4741828534209</v>
      </c>
      <c r="AV330" s="188">
        <f t="shared" si="416"/>
        <v>389463.14732422179</v>
      </c>
    </row>
    <row r="331" spans="1:48">
      <c r="A331" s="395">
        <f t="shared" si="467"/>
        <v>55320</v>
      </c>
      <c r="B331" s="188">
        <f t="shared" si="410"/>
        <v>62855.799999999916</v>
      </c>
      <c r="C331" s="14">
        <f t="shared" si="403"/>
        <v>559.88</v>
      </c>
      <c r="D331" s="14">
        <f t="shared" si="417"/>
        <v>324.16999999999996</v>
      </c>
      <c r="E331" s="14">
        <f t="shared" si="404"/>
        <v>235.71</v>
      </c>
      <c r="F331" s="14">
        <f t="shared" si="468"/>
        <v>51.5</v>
      </c>
      <c r="G331" s="14">
        <f t="shared" si="464"/>
        <v>145.09666666666666</v>
      </c>
      <c r="H331" s="14">
        <f t="shared" si="465"/>
        <v>756.47666666666669</v>
      </c>
      <c r="I331" s="188">
        <f t="shared" si="469"/>
        <v>60641.54</v>
      </c>
      <c r="J331" s="188">
        <f t="shared" si="470"/>
        <v>116740.70999999995</v>
      </c>
      <c r="K331" s="188">
        <f t="shared" si="471"/>
        <v>62531.629999999917</v>
      </c>
      <c r="L331" s="317">
        <f t="shared" si="452"/>
        <v>25</v>
      </c>
      <c r="M331" s="317">
        <f>IF(N331&lt;&gt;"",IF(N331=$O$5,0,+M330+1),0)</f>
        <v>303</v>
      </c>
      <c r="N331" s="188">
        <f t="shared" si="411"/>
        <v>117112.66999999997</v>
      </c>
      <c r="O331" s="188">
        <f>IF($O$11&lt;=A331,IF(+$W330&lt;=0,0,$O$8),0)</f>
        <v>2504.4299999999998</v>
      </c>
      <c r="P331" s="188">
        <f t="shared" si="418"/>
        <v>1674.8799999999999</v>
      </c>
      <c r="Q331" s="188">
        <f>IF($O$11&lt;=A331,ROUND(N331*($O$7/12),2),0)</f>
        <v>829.55</v>
      </c>
      <c r="R331" s="188">
        <f t="shared" si="475"/>
        <v>51.5</v>
      </c>
      <c r="S331" s="188">
        <f t="shared" si="476"/>
        <v>145.09666666666666</v>
      </c>
      <c r="T331" s="188">
        <f t="shared" si="472"/>
        <v>2701.0266666666666</v>
      </c>
      <c r="U331" s="188">
        <f t="shared" si="419"/>
        <v>210272.21000000002</v>
      </c>
      <c r="V331" s="188">
        <f t="shared" si="420"/>
        <v>551074.51000000013</v>
      </c>
      <c r="W331" s="188">
        <f t="shared" si="473"/>
        <v>115437.78999999996</v>
      </c>
      <c r="X331" s="395">
        <f t="shared" si="412"/>
        <v>55320</v>
      </c>
      <c r="Y331" s="188">
        <f t="shared" si="483"/>
        <v>117112.66999999997</v>
      </c>
      <c r="Z331" s="388">
        <f t="shared" si="405"/>
        <v>8.4999999999999992E-2</v>
      </c>
      <c r="AA331" s="188">
        <f t="shared" si="406"/>
        <v>2504.4299999999998</v>
      </c>
      <c r="AB331" s="188">
        <f t="shared" si="484"/>
        <v>1674.8799999999999</v>
      </c>
      <c r="AC331" s="188">
        <f t="shared" si="407"/>
        <v>829.55</v>
      </c>
      <c r="AD331" s="188">
        <f t="shared" ref="AD331:AE331" si="501">+AD330</f>
        <v>51.5</v>
      </c>
      <c r="AE331" s="188">
        <f t="shared" si="501"/>
        <v>145.09666666666666</v>
      </c>
      <c r="AF331" s="188">
        <f t="shared" si="486"/>
        <v>2701.0266666666666</v>
      </c>
      <c r="AG331" s="188">
        <f t="shared" si="487"/>
        <v>210272.21000000002</v>
      </c>
      <c r="AH331" s="188">
        <f t="shared" si="488"/>
        <v>551074.51000000013</v>
      </c>
      <c r="AI331" s="404">
        <f t="shared" si="478"/>
        <v>0</v>
      </c>
      <c r="AJ331" s="404">
        <f t="shared" si="432"/>
        <v>0</v>
      </c>
      <c r="AK331" s="404">
        <f t="shared" si="479"/>
        <v>0</v>
      </c>
      <c r="AL331" s="188">
        <f t="shared" si="489"/>
        <v>115437.78999999996</v>
      </c>
      <c r="AM331" s="317">
        <f t="shared" si="414"/>
        <v>25</v>
      </c>
      <c r="AN331" s="14">
        <f t="shared" si="480"/>
        <v>1944.5499999999997</v>
      </c>
      <c r="AO331" s="14">
        <f>IF(W331&lt;=0,0,+$AA$6-$C$2+I331-U331)</f>
        <v>53366.329999999958</v>
      </c>
      <c r="AP331" s="14">
        <f t="shared" si="481"/>
        <v>1944.5499999999997</v>
      </c>
      <c r="AS331" s="14">
        <f t="shared" si="409"/>
        <v>1944.5499999999997</v>
      </c>
      <c r="AT331" s="14">
        <f t="shared" si="415"/>
        <v>590662.63999999943</v>
      </c>
      <c r="AU331" s="188">
        <f>IF(W331&lt;=0,0,+($O$5+AV330)*$AQ$2/12)</f>
        <v>1787.9328683105543</v>
      </c>
      <c r="AV331" s="188">
        <f t="shared" si="416"/>
        <v>391251.08019253233</v>
      </c>
    </row>
    <row r="332" spans="1:48">
      <c r="A332" s="395">
        <f t="shared" si="467"/>
        <v>55350</v>
      </c>
      <c r="B332" s="188">
        <f t="shared" si="410"/>
        <v>62531.629999999917</v>
      </c>
      <c r="C332" s="14">
        <f t="shared" si="403"/>
        <v>559.88</v>
      </c>
      <c r="D332" s="14">
        <f t="shared" si="417"/>
        <v>325.39</v>
      </c>
      <c r="E332" s="14">
        <f t="shared" si="404"/>
        <v>234.49</v>
      </c>
      <c r="F332" s="14">
        <f t="shared" si="468"/>
        <v>51.5</v>
      </c>
      <c r="G332" s="14">
        <f t="shared" si="464"/>
        <v>145.09666666666666</v>
      </c>
      <c r="H332" s="14">
        <f t="shared" si="465"/>
        <v>756.47666666666669</v>
      </c>
      <c r="I332" s="188">
        <f t="shared" si="469"/>
        <v>60966.93</v>
      </c>
      <c r="J332" s="188">
        <f t="shared" si="470"/>
        <v>116975.19999999995</v>
      </c>
      <c r="K332" s="188">
        <f t="shared" si="471"/>
        <v>62206.239999999918</v>
      </c>
      <c r="L332" s="317">
        <f t="shared" si="452"/>
        <v>25</v>
      </c>
      <c r="M332" s="317">
        <f>IF(N332&lt;&gt;"",IF(N332=$O$5,0,+M331+1),0)</f>
        <v>304</v>
      </c>
      <c r="N332" s="188">
        <f t="shared" si="411"/>
        <v>115437.78999999996</v>
      </c>
      <c r="O332" s="188">
        <f>IF($O$11&lt;=A332,IF(+$W331&lt;=0,0,$O$8),0)</f>
        <v>2504.4299999999998</v>
      </c>
      <c r="P332" s="188">
        <f t="shared" si="418"/>
        <v>1686.75</v>
      </c>
      <c r="Q332" s="188">
        <f>IF($O$11&lt;=A332,ROUND(N332*($O$7/12),2),0)</f>
        <v>817.68</v>
      </c>
      <c r="R332" s="188">
        <f t="shared" si="475"/>
        <v>51.5</v>
      </c>
      <c r="S332" s="188">
        <f t="shared" si="476"/>
        <v>145.09666666666666</v>
      </c>
      <c r="T332" s="188">
        <f t="shared" si="472"/>
        <v>2701.0266666666666</v>
      </c>
      <c r="U332" s="188">
        <f t="shared" si="419"/>
        <v>211958.96000000002</v>
      </c>
      <c r="V332" s="188">
        <f t="shared" si="420"/>
        <v>551892.19000000018</v>
      </c>
      <c r="W332" s="188">
        <f t="shared" si="473"/>
        <v>113751.03999999996</v>
      </c>
      <c r="X332" s="395">
        <f t="shared" si="412"/>
        <v>55350</v>
      </c>
      <c r="Y332" s="188">
        <f t="shared" si="483"/>
        <v>115437.78999999996</v>
      </c>
      <c r="Z332" s="388">
        <f t="shared" si="405"/>
        <v>8.4999999999999992E-2</v>
      </c>
      <c r="AA332" s="188">
        <f t="shared" si="406"/>
        <v>2504.4299999999998</v>
      </c>
      <c r="AB332" s="188">
        <f t="shared" si="484"/>
        <v>1686.75</v>
      </c>
      <c r="AC332" s="188">
        <f t="shared" si="407"/>
        <v>817.68</v>
      </c>
      <c r="AD332" s="188">
        <f t="shared" ref="AD332:AE332" si="502">+AD331</f>
        <v>51.5</v>
      </c>
      <c r="AE332" s="188">
        <f t="shared" si="502"/>
        <v>145.09666666666666</v>
      </c>
      <c r="AF332" s="188">
        <f t="shared" si="486"/>
        <v>2701.0266666666666</v>
      </c>
      <c r="AG332" s="188">
        <f t="shared" si="487"/>
        <v>211958.96000000002</v>
      </c>
      <c r="AH332" s="188">
        <f t="shared" si="488"/>
        <v>551892.19000000018</v>
      </c>
      <c r="AI332" s="404">
        <f t="shared" si="478"/>
        <v>0</v>
      </c>
      <c r="AJ332" s="404">
        <f t="shared" si="432"/>
        <v>0</v>
      </c>
      <c r="AK332" s="404">
        <f t="shared" si="479"/>
        <v>0</v>
      </c>
      <c r="AL332" s="188">
        <f t="shared" si="489"/>
        <v>113751.03999999996</v>
      </c>
      <c r="AM332" s="317">
        <f t="shared" si="414"/>
        <v>25</v>
      </c>
      <c r="AN332" s="14">
        <f t="shared" si="480"/>
        <v>1944.5499999999997</v>
      </c>
      <c r="AO332" s="14">
        <f>IF(W332&lt;=0,0,+$AA$6-$C$2+I332-U332)</f>
        <v>52004.969999999972</v>
      </c>
      <c r="AP332" s="14">
        <f t="shared" si="481"/>
        <v>1944.5499999999997</v>
      </c>
      <c r="AS332" s="14">
        <f t="shared" si="409"/>
        <v>1944.5499999999997</v>
      </c>
      <c r="AT332" s="14">
        <f t="shared" si="415"/>
        <v>592607.18999999948</v>
      </c>
      <c r="AU332" s="188">
        <f>IF(W332&lt;=0,0,+($O$5+AV331)*$AQ$2/12)</f>
        <v>1792.4027004813308</v>
      </c>
      <c r="AV332" s="188">
        <f t="shared" si="416"/>
        <v>393043.48289301369</v>
      </c>
    </row>
    <row r="333" spans="1:48">
      <c r="A333" s="395">
        <f t="shared" si="467"/>
        <v>55380</v>
      </c>
      <c r="B333" s="188">
        <f t="shared" si="410"/>
        <v>62206.239999999918</v>
      </c>
      <c r="C333" s="14">
        <f t="shared" si="403"/>
        <v>559.88</v>
      </c>
      <c r="D333" s="14">
        <f t="shared" si="417"/>
        <v>326.61</v>
      </c>
      <c r="E333" s="14">
        <f t="shared" si="404"/>
        <v>233.27</v>
      </c>
      <c r="F333" s="14">
        <f t="shared" si="468"/>
        <v>51.5</v>
      </c>
      <c r="G333" s="14">
        <f t="shared" si="464"/>
        <v>145.09666666666666</v>
      </c>
      <c r="H333" s="14">
        <f t="shared" si="465"/>
        <v>756.47666666666669</v>
      </c>
      <c r="I333" s="188">
        <f t="shared" si="469"/>
        <v>61293.54</v>
      </c>
      <c r="J333" s="188">
        <f t="shared" si="470"/>
        <v>117208.46999999996</v>
      </c>
      <c r="K333" s="188">
        <f t="shared" si="471"/>
        <v>61879.629999999917</v>
      </c>
      <c r="L333" s="317">
        <f t="shared" si="452"/>
        <v>25</v>
      </c>
      <c r="M333" s="317">
        <f>IF(N333&lt;&gt;"",IF(N333=$O$5,0,+M332+1),0)</f>
        <v>305</v>
      </c>
      <c r="N333" s="188">
        <f t="shared" si="411"/>
        <v>113751.03999999996</v>
      </c>
      <c r="O333" s="188">
        <f>IF($O$11&lt;=A333,IF(+$W332&lt;=0,0,$O$8),0)</f>
        <v>2504.4299999999998</v>
      </c>
      <c r="P333" s="188">
        <f t="shared" si="418"/>
        <v>1698.6899999999998</v>
      </c>
      <c r="Q333" s="188">
        <f>IF($O$11&lt;=A333,ROUND(N333*($O$7/12),2),0)</f>
        <v>805.74</v>
      </c>
      <c r="R333" s="188">
        <f t="shared" si="475"/>
        <v>51.5</v>
      </c>
      <c r="S333" s="188">
        <f t="shared" si="476"/>
        <v>145.09666666666666</v>
      </c>
      <c r="T333" s="188">
        <f t="shared" si="472"/>
        <v>2701.0266666666666</v>
      </c>
      <c r="U333" s="188">
        <f t="shared" si="419"/>
        <v>213657.65000000002</v>
      </c>
      <c r="V333" s="188">
        <f t="shared" si="420"/>
        <v>552697.93000000017</v>
      </c>
      <c r="W333" s="188">
        <f t="shared" si="473"/>
        <v>112052.34999999996</v>
      </c>
      <c r="X333" s="395">
        <f t="shared" si="412"/>
        <v>55380</v>
      </c>
      <c r="Y333" s="188">
        <f t="shared" si="483"/>
        <v>113751.03999999996</v>
      </c>
      <c r="Z333" s="388">
        <f t="shared" si="405"/>
        <v>8.4999999999999992E-2</v>
      </c>
      <c r="AA333" s="188">
        <f t="shared" si="406"/>
        <v>2504.4299999999998</v>
      </c>
      <c r="AB333" s="188">
        <f t="shared" si="484"/>
        <v>1698.6899999999998</v>
      </c>
      <c r="AC333" s="188">
        <f t="shared" si="407"/>
        <v>805.74</v>
      </c>
      <c r="AD333" s="188">
        <f t="shared" ref="AD333:AE333" si="503">+AD332</f>
        <v>51.5</v>
      </c>
      <c r="AE333" s="188">
        <f t="shared" si="503"/>
        <v>145.09666666666666</v>
      </c>
      <c r="AF333" s="188">
        <f t="shared" si="486"/>
        <v>2701.0266666666666</v>
      </c>
      <c r="AG333" s="188">
        <f t="shared" si="487"/>
        <v>213657.65000000002</v>
      </c>
      <c r="AH333" s="188">
        <f t="shared" si="488"/>
        <v>552697.93000000017</v>
      </c>
      <c r="AI333" s="404">
        <f t="shared" si="478"/>
        <v>0</v>
      </c>
      <c r="AJ333" s="404">
        <f t="shared" si="432"/>
        <v>0</v>
      </c>
      <c r="AK333" s="404">
        <f t="shared" si="479"/>
        <v>0</v>
      </c>
      <c r="AL333" s="188">
        <f t="shared" si="489"/>
        <v>112052.34999999996</v>
      </c>
      <c r="AM333" s="317">
        <f t="shared" si="414"/>
        <v>25</v>
      </c>
      <c r="AN333" s="14">
        <f t="shared" si="480"/>
        <v>1944.5499999999997</v>
      </c>
      <c r="AO333" s="14">
        <f>IF(W333&lt;=0,0,+$AA$6-$C$2+I333-U333)</f>
        <v>50632.889999999956</v>
      </c>
      <c r="AP333" s="14">
        <f t="shared" si="481"/>
        <v>1944.5499999999997</v>
      </c>
      <c r="AS333" s="14">
        <f t="shared" si="409"/>
        <v>1944.5499999999997</v>
      </c>
      <c r="AT333" s="14">
        <f t="shared" si="415"/>
        <v>594551.73999999953</v>
      </c>
      <c r="AU333" s="188">
        <f>IF(W333&lt;=0,0,+($O$5+AV332)*$AQ$2/12)</f>
        <v>1796.8837072325341</v>
      </c>
      <c r="AV333" s="188">
        <f t="shared" si="416"/>
        <v>394840.36660024623</v>
      </c>
    </row>
    <row r="334" spans="1:48">
      <c r="A334" s="395">
        <f t="shared" si="467"/>
        <v>55410</v>
      </c>
      <c r="B334" s="188">
        <f t="shared" si="410"/>
        <v>61879.629999999917</v>
      </c>
      <c r="C334" s="14">
        <f t="shared" si="403"/>
        <v>559.88</v>
      </c>
      <c r="D334" s="14">
        <f t="shared" si="417"/>
        <v>327.83</v>
      </c>
      <c r="E334" s="14">
        <f t="shared" si="404"/>
        <v>232.05</v>
      </c>
      <c r="F334" s="14">
        <f t="shared" si="468"/>
        <v>51.5</v>
      </c>
      <c r="G334" s="14">
        <f t="shared" si="464"/>
        <v>145.09666666666666</v>
      </c>
      <c r="H334" s="14">
        <f t="shared" si="465"/>
        <v>756.47666666666669</v>
      </c>
      <c r="I334" s="188">
        <f t="shared" si="469"/>
        <v>61621.37</v>
      </c>
      <c r="J334" s="188">
        <f t="shared" si="470"/>
        <v>117440.51999999996</v>
      </c>
      <c r="K334" s="188">
        <f t="shared" si="471"/>
        <v>61551.799999999916</v>
      </c>
      <c r="L334" s="317">
        <f t="shared" si="452"/>
        <v>25</v>
      </c>
      <c r="M334" s="317">
        <f>IF(N334&lt;&gt;"",IF(N334=$O$5,0,+M333+1),0)</f>
        <v>306</v>
      </c>
      <c r="N334" s="188">
        <f t="shared" si="411"/>
        <v>112052.34999999996</v>
      </c>
      <c r="O334" s="188">
        <f>IF($O$11&lt;=A334,IF(+$W333&lt;=0,0,$O$8),0)</f>
        <v>2504.4299999999998</v>
      </c>
      <c r="P334" s="188">
        <f t="shared" si="418"/>
        <v>1710.7299999999998</v>
      </c>
      <c r="Q334" s="188">
        <f>IF($O$11&lt;=A334,ROUND(N334*($O$7/12),2),0)</f>
        <v>793.7</v>
      </c>
      <c r="R334" s="188">
        <f t="shared" si="475"/>
        <v>51.5</v>
      </c>
      <c r="S334" s="188">
        <f t="shared" si="476"/>
        <v>145.09666666666666</v>
      </c>
      <c r="T334" s="188">
        <f t="shared" si="472"/>
        <v>2701.0266666666666</v>
      </c>
      <c r="U334" s="188">
        <f t="shared" si="419"/>
        <v>215368.38000000003</v>
      </c>
      <c r="V334" s="188">
        <f t="shared" si="420"/>
        <v>553491.63000000012</v>
      </c>
      <c r="W334" s="188">
        <f t="shared" si="473"/>
        <v>110341.61999999997</v>
      </c>
      <c r="X334" s="395">
        <f t="shared" si="412"/>
        <v>55410</v>
      </c>
      <c r="Y334" s="188">
        <f t="shared" si="483"/>
        <v>112052.34999999996</v>
      </c>
      <c r="Z334" s="388">
        <f t="shared" si="405"/>
        <v>8.4999999999999992E-2</v>
      </c>
      <c r="AA334" s="188">
        <f t="shared" si="406"/>
        <v>2504.4299999999998</v>
      </c>
      <c r="AB334" s="188">
        <f t="shared" si="484"/>
        <v>1710.7299999999998</v>
      </c>
      <c r="AC334" s="188">
        <f t="shared" si="407"/>
        <v>793.7</v>
      </c>
      <c r="AD334" s="188">
        <f t="shared" ref="AD334:AE334" si="504">+AD333</f>
        <v>51.5</v>
      </c>
      <c r="AE334" s="188">
        <f t="shared" si="504"/>
        <v>145.09666666666666</v>
      </c>
      <c r="AF334" s="188">
        <f t="shared" si="486"/>
        <v>2701.0266666666666</v>
      </c>
      <c r="AG334" s="188">
        <f t="shared" si="487"/>
        <v>215368.38000000003</v>
      </c>
      <c r="AH334" s="188">
        <f t="shared" si="488"/>
        <v>553491.63000000012</v>
      </c>
      <c r="AI334" s="404">
        <f t="shared" si="478"/>
        <v>0</v>
      </c>
      <c r="AJ334" s="404">
        <f t="shared" si="432"/>
        <v>0</v>
      </c>
      <c r="AK334" s="404">
        <f t="shared" si="479"/>
        <v>0</v>
      </c>
      <c r="AL334" s="188">
        <f t="shared" si="489"/>
        <v>110341.61999999997</v>
      </c>
      <c r="AM334" s="317">
        <f t="shared" si="414"/>
        <v>25</v>
      </c>
      <c r="AN334" s="14">
        <f t="shared" si="480"/>
        <v>1944.5499999999997</v>
      </c>
      <c r="AO334" s="14">
        <f>IF(W334&lt;=0,0,+$AA$6-$C$2+I334-U334)</f>
        <v>49249.989999999962</v>
      </c>
      <c r="AP334" s="14">
        <f t="shared" si="481"/>
        <v>1944.5499999999997</v>
      </c>
      <c r="AS334" s="14">
        <f t="shared" si="409"/>
        <v>1944.5499999999997</v>
      </c>
      <c r="AT334" s="14">
        <f t="shared" si="415"/>
        <v>596496.28999999957</v>
      </c>
      <c r="AU334" s="188">
        <f>IF(W334&lt;=0,0,+($O$5+AV333)*$AQ$2/12)</f>
        <v>1801.3759165006152</v>
      </c>
      <c r="AV334" s="188">
        <f t="shared" si="416"/>
        <v>396641.74251674686</v>
      </c>
    </row>
    <row r="335" spans="1:48">
      <c r="A335" s="395">
        <f t="shared" si="467"/>
        <v>55440</v>
      </c>
      <c r="B335" s="188">
        <f t="shared" si="410"/>
        <v>61551.799999999916</v>
      </c>
      <c r="C335" s="14">
        <f t="shared" si="403"/>
        <v>559.88</v>
      </c>
      <c r="D335" s="14">
        <f t="shared" si="417"/>
        <v>329.06</v>
      </c>
      <c r="E335" s="14">
        <f t="shared" si="404"/>
        <v>230.82</v>
      </c>
      <c r="F335" s="14">
        <f t="shared" si="468"/>
        <v>51.5</v>
      </c>
      <c r="G335" s="14">
        <f t="shared" si="464"/>
        <v>145.09666666666666</v>
      </c>
      <c r="H335" s="14">
        <f t="shared" si="465"/>
        <v>756.47666666666669</v>
      </c>
      <c r="I335" s="188">
        <f t="shared" si="469"/>
        <v>61950.43</v>
      </c>
      <c r="J335" s="188">
        <f t="shared" si="470"/>
        <v>117671.33999999997</v>
      </c>
      <c r="K335" s="188">
        <f t="shared" si="471"/>
        <v>61222.739999999918</v>
      </c>
      <c r="L335" s="317">
        <f t="shared" si="452"/>
        <v>25</v>
      </c>
      <c r="M335" s="317">
        <f>IF(N335&lt;&gt;"",IF(N335=$O$5,0,+M334+1),0)</f>
        <v>307</v>
      </c>
      <c r="N335" s="188">
        <f t="shared" si="411"/>
        <v>110341.61999999997</v>
      </c>
      <c r="O335" s="188">
        <f>IF($O$11&lt;=A335,IF(+$W334&lt;=0,0,$O$8),0)</f>
        <v>2504.4299999999998</v>
      </c>
      <c r="P335" s="188">
        <f t="shared" si="418"/>
        <v>1722.8399999999997</v>
      </c>
      <c r="Q335" s="188">
        <f>IF($O$11&lt;=A335,ROUND(N335*($O$7/12),2),0)</f>
        <v>781.59</v>
      </c>
      <c r="R335" s="188">
        <f t="shared" si="475"/>
        <v>51.5</v>
      </c>
      <c r="S335" s="188">
        <f t="shared" si="476"/>
        <v>145.09666666666666</v>
      </c>
      <c r="T335" s="188">
        <f t="shared" si="472"/>
        <v>2701.0266666666666</v>
      </c>
      <c r="U335" s="188">
        <f t="shared" si="419"/>
        <v>217091.22000000003</v>
      </c>
      <c r="V335" s="188">
        <f t="shared" si="420"/>
        <v>554273.22000000009</v>
      </c>
      <c r="W335" s="188">
        <f t="shared" si="473"/>
        <v>108618.77999999997</v>
      </c>
      <c r="X335" s="395">
        <f t="shared" si="412"/>
        <v>55440</v>
      </c>
      <c r="Y335" s="188">
        <f t="shared" si="483"/>
        <v>110341.61999999997</v>
      </c>
      <c r="Z335" s="388">
        <f t="shared" si="405"/>
        <v>8.4999999999999992E-2</v>
      </c>
      <c r="AA335" s="188">
        <f t="shared" si="406"/>
        <v>2504.4299999999998</v>
      </c>
      <c r="AB335" s="188">
        <f t="shared" si="484"/>
        <v>1722.8399999999997</v>
      </c>
      <c r="AC335" s="188">
        <f t="shared" si="407"/>
        <v>781.59</v>
      </c>
      <c r="AD335" s="188">
        <f t="shared" ref="AD335:AE335" si="505">+AD334</f>
        <v>51.5</v>
      </c>
      <c r="AE335" s="188">
        <f t="shared" si="505"/>
        <v>145.09666666666666</v>
      </c>
      <c r="AF335" s="188">
        <f t="shared" si="486"/>
        <v>2701.0266666666666</v>
      </c>
      <c r="AG335" s="188">
        <f t="shared" si="487"/>
        <v>217091.22000000003</v>
      </c>
      <c r="AH335" s="188">
        <f t="shared" si="488"/>
        <v>554273.22000000009</v>
      </c>
      <c r="AI335" s="404">
        <f t="shared" si="478"/>
        <v>0</v>
      </c>
      <c r="AJ335" s="404">
        <f t="shared" si="432"/>
        <v>0</v>
      </c>
      <c r="AK335" s="404">
        <f t="shared" si="479"/>
        <v>0</v>
      </c>
      <c r="AL335" s="188">
        <f t="shared" si="489"/>
        <v>108618.77999999997</v>
      </c>
      <c r="AM335" s="317">
        <f t="shared" si="414"/>
        <v>25</v>
      </c>
      <c r="AN335" s="14">
        <f t="shared" si="480"/>
        <v>1944.5499999999997</v>
      </c>
      <c r="AO335" s="14">
        <f>IF(W335&lt;=0,0,+$AA$6-$C$2+I335-U335)</f>
        <v>47856.209999999963</v>
      </c>
      <c r="AP335" s="14">
        <f t="shared" si="481"/>
        <v>1944.5499999999997</v>
      </c>
      <c r="AS335" s="14">
        <f t="shared" si="409"/>
        <v>1944.5499999999997</v>
      </c>
      <c r="AT335" s="14">
        <f t="shared" si="415"/>
        <v>598440.83999999962</v>
      </c>
      <c r="AU335" s="188">
        <f>IF(W335&lt;=0,0,+($O$5+AV334)*$AQ$2/12)</f>
        <v>1805.8793562918672</v>
      </c>
      <c r="AV335" s="188">
        <f t="shared" si="416"/>
        <v>398447.6218730387</v>
      </c>
    </row>
    <row r="336" spans="1:48">
      <c r="A336" s="395">
        <f t="shared" si="467"/>
        <v>55470</v>
      </c>
      <c r="B336" s="188">
        <f t="shared" si="410"/>
        <v>61222.739999999918</v>
      </c>
      <c r="C336" s="14">
        <f t="shared" ref="C336:C399" si="506">IF(+$K335&lt;=0,0,$C$6)</f>
        <v>559.88</v>
      </c>
      <c r="D336" s="14">
        <f t="shared" si="417"/>
        <v>330.28999999999996</v>
      </c>
      <c r="E336" s="14">
        <f t="shared" ref="E336:E399" si="507">ROUND($B336*($C$4/12), 2)</f>
        <v>229.59</v>
      </c>
      <c r="F336" s="14">
        <f t="shared" si="468"/>
        <v>51.5</v>
      </c>
      <c r="G336" s="14">
        <f t="shared" si="464"/>
        <v>145.09666666666666</v>
      </c>
      <c r="H336" s="14">
        <f t="shared" si="465"/>
        <v>756.47666666666669</v>
      </c>
      <c r="I336" s="188">
        <f t="shared" si="469"/>
        <v>62280.72</v>
      </c>
      <c r="J336" s="188">
        <f t="shared" si="470"/>
        <v>117900.92999999996</v>
      </c>
      <c r="K336" s="188">
        <f t="shared" si="471"/>
        <v>60892.449999999917</v>
      </c>
      <c r="L336" s="317">
        <f t="shared" si="452"/>
        <v>25</v>
      </c>
      <c r="M336" s="317">
        <f>IF(N336&lt;&gt;"",IF(N336=$O$5,0,+M335+1),0)</f>
        <v>308</v>
      </c>
      <c r="N336" s="188">
        <f t="shared" si="411"/>
        <v>108618.77999999997</v>
      </c>
      <c r="O336" s="188">
        <f>IF($O$11&lt;=A336,IF(+$W335&lt;=0,0,$O$8),0)</f>
        <v>2504.4299999999998</v>
      </c>
      <c r="P336" s="188">
        <f t="shared" si="418"/>
        <v>1735.0499999999997</v>
      </c>
      <c r="Q336" s="188">
        <f>IF($O$11&lt;=A336,ROUND(N336*($O$7/12),2),0)</f>
        <v>769.38</v>
      </c>
      <c r="R336" s="188">
        <f t="shared" si="475"/>
        <v>51.5</v>
      </c>
      <c r="S336" s="188">
        <f t="shared" si="476"/>
        <v>145.09666666666666</v>
      </c>
      <c r="T336" s="188">
        <f t="shared" si="472"/>
        <v>2701.0266666666666</v>
      </c>
      <c r="U336" s="188">
        <f t="shared" si="419"/>
        <v>218826.27000000002</v>
      </c>
      <c r="V336" s="188">
        <f t="shared" si="420"/>
        <v>555042.60000000009</v>
      </c>
      <c r="W336" s="188">
        <f t="shared" si="473"/>
        <v>106883.72999999997</v>
      </c>
      <c r="X336" s="395">
        <f t="shared" si="412"/>
        <v>55470</v>
      </c>
      <c r="Y336" s="188">
        <f t="shared" si="483"/>
        <v>108618.77999999997</v>
      </c>
      <c r="Z336" s="388">
        <f t="shared" ref="Z336:Z399" si="508">IF(L336&gt;4,$AA$10,$AA$9)</f>
        <v>8.4999999999999992E-2</v>
      </c>
      <c r="AA336" s="188">
        <f t="shared" ref="AA336:AA399" si="509">IF($O$11&lt;=$A336,IF(+AL335&lt;=0,0,IF(Z336=$AA$9,$Z$9,$Z$10)),0)</f>
        <v>2504.4299999999998</v>
      </c>
      <c r="AB336" s="188">
        <f t="shared" si="484"/>
        <v>1735.0499999999997</v>
      </c>
      <c r="AC336" s="188">
        <f t="shared" ref="AC336:AC399" si="510">IF($O$11&lt;=$A336,ROUND(Y336*(Z336/12),2),0)</f>
        <v>769.38</v>
      </c>
      <c r="AD336" s="188">
        <f t="shared" ref="AD336:AE336" si="511">+AD335</f>
        <v>51.5</v>
      </c>
      <c r="AE336" s="188">
        <f t="shared" si="511"/>
        <v>145.09666666666666</v>
      </c>
      <c r="AF336" s="188">
        <f t="shared" si="486"/>
        <v>2701.0266666666666</v>
      </c>
      <c r="AG336" s="188">
        <f t="shared" si="487"/>
        <v>218826.27000000002</v>
      </c>
      <c r="AH336" s="188">
        <f t="shared" si="488"/>
        <v>555042.60000000009</v>
      </c>
      <c r="AI336" s="404">
        <f t="shared" si="478"/>
        <v>0</v>
      </c>
      <c r="AJ336" s="404">
        <f t="shared" si="432"/>
        <v>0</v>
      </c>
      <c r="AK336" s="404">
        <f t="shared" si="479"/>
        <v>0</v>
      </c>
      <c r="AL336" s="188">
        <f t="shared" si="489"/>
        <v>106883.72999999997</v>
      </c>
      <c r="AM336" s="317">
        <f t="shared" si="414"/>
        <v>25</v>
      </c>
      <c r="AN336" s="14">
        <f t="shared" si="480"/>
        <v>1944.5499999999997</v>
      </c>
      <c r="AO336" s="14">
        <f>IF(W336&lt;=0,0,+$AA$6-$C$2+I336-U336)</f>
        <v>46451.449999999953</v>
      </c>
      <c r="AP336" s="14">
        <f t="shared" si="481"/>
        <v>1944.5499999999997</v>
      </c>
      <c r="AS336" s="14">
        <f t="shared" ref="AS336:AS399" si="512">+AN336-AR336</f>
        <v>1944.5499999999997</v>
      </c>
      <c r="AT336" s="14">
        <f t="shared" si="415"/>
        <v>600385.38999999966</v>
      </c>
      <c r="AU336" s="188">
        <f>IF(W336&lt;=0,0,+($O$5+AV335)*$AQ$2/12)</f>
        <v>1810.3940546825968</v>
      </c>
      <c r="AV336" s="188">
        <f t="shared" si="416"/>
        <v>400258.01592772128</v>
      </c>
    </row>
    <row r="337" spans="1:48">
      <c r="A337" s="395">
        <f t="shared" si="467"/>
        <v>55500</v>
      </c>
      <c r="B337" s="188">
        <f t="shared" ref="B337:B374" si="513">IF(+K336&lt;0,0,+K336)</f>
        <v>60892.449999999917</v>
      </c>
      <c r="C337" s="14">
        <f t="shared" si="506"/>
        <v>559.88</v>
      </c>
      <c r="D337" s="14">
        <f t="shared" si="417"/>
        <v>331.53</v>
      </c>
      <c r="E337" s="14">
        <f t="shared" si="507"/>
        <v>228.35</v>
      </c>
      <c r="F337" s="14">
        <f t="shared" si="468"/>
        <v>51.5</v>
      </c>
      <c r="G337" s="14">
        <f t="shared" si="464"/>
        <v>145.09666666666666</v>
      </c>
      <c r="H337" s="14">
        <f t="shared" si="465"/>
        <v>756.47666666666669</v>
      </c>
      <c r="I337" s="188">
        <f t="shared" si="469"/>
        <v>62612.25</v>
      </c>
      <c r="J337" s="188">
        <f t="shared" si="470"/>
        <v>118129.27999999997</v>
      </c>
      <c r="K337" s="188">
        <f t="shared" si="471"/>
        <v>60560.919999999918</v>
      </c>
      <c r="L337" s="317">
        <f t="shared" si="452"/>
        <v>25</v>
      </c>
      <c r="M337" s="317">
        <f>IF(N337&lt;&gt;"",IF(N337=$O$5,0,+M336+1),0)</f>
        <v>309</v>
      </c>
      <c r="N337" s="188">
        <f t="shared" ref="N337:N400" si="514">IF(+W336&lt;0,0,+W336)</f>
        <v>106883.72999999997</v>
      </c>
      <c r="O337" s="188">
        <f>IF($O$11&lt;=A337,IF(+$W336&lt;=0,0,$O$8),0)</f>
        <v>2504.4299999999998</v>
      </c>
      <c r="P337" s="188">
        <f t="shared" si="418"/>
        <v>1747.3399999999997</v>
      </c>
      <c r="Q337" s="188">
        <f>IF($O$11&lt;=A337,ROUND(N337*($O$7/12),2),0)</f>
        <v>757.09</v>
      </c>
      <c r="R337" s="188">
        <f t="shared" si="475"/>
        <v>51.5</v>
      </c>
      <c r="S337" s="188">
        <f t="shared" si="476"/>
        <v>145.09666666666666</v>
      </c>
      <c r="T337" s="188">
        <f t="shared" si="472"/>
        <v>2701.0266666666666</v>
      </c>
      <c r="U337" s="188">
        <f t="shared" si="419"/>
        <v>220573.61000000002</v>
      </c>
      <c r="V337" s="188">
        <f t="shared" si="420"/>
        <v>555799.69000000006</v>
      </c>
      <c r="W337" s="188">
        <f t="shared" si="473"/>
        <v>105136.38999999997</v>
      </c>
      <c r="X337" s="395">
        <f t="shared" ref="X337:X400" si="515">+A337</f>
        <v>55500</v>
      </c>
      <c r="Y337" s="188">
        <f t="shared" si="483"/>
        <v>106883.72999999997</v>
      </c>
      <c r="Z337" s="388">
        <f t="shared" si="508"/>
        <v>8.4999999999999992E-2</v>
      </c>
      <c r="AA337" s="188">
        <f t="shared" si="509"/>
        <v>2504.4299999999998</v>
      </c>
      <c r="AB337" s="188">
        <f t="shared" si="484"/>
        <v>1747.3399999999997</v>
      </c>
      <c r="AC337" s="188">
        <f t="shared" si="510"/>
        <v>757.09</v>
      </c>
      <c r="AD337" s="188">
        <f t="shared" ref="AD337:AE337" si="516">+AD336</f>
        <v>51.5</v>
      </c>
      <c r="AE337" s="188">
        <f t="shared" si="516"/>
        <v>145.09666666666666</v>
      </c>
      <c r="AF337" s="188">
        <f t="shared" si="486"/>
        <v>2701.0266666666666</v>
      </c>
      <c r="AG337" s="188">
        <f t="shared" si="487"/>
        <v>220573.61000000002</v>
      </c>
      <c r="AH337" s="188">
        <f t="shared" si="488"/>
        <v>555799.69000000006</v>
      </c>
      <c r="AI337" s="404">
        <f t="shared" si="478"/>
        <v>0</v>
      </c>
      <c r="AJ337" s="404">
        <f t="shared" si="432"/>
        <v>0</v>
      </c>
      <c r="AK337" s="404">
        <f t="shared" si="479"/>
        <v>0</v>
      </c>
      <c r="AL337" s="188">
        <f t="shared" si="489"/>
        <v>105136.38999999997</v>
      </c>
      <c r="AM337" s="317">
        <f t="shared" ref="AM337:AM400" si="517">+L337</f>
        <v>25</v>
      </c>
      <c r="AN337" s="14">
        <f t="shared" si="480"/>
        <v>1944.5499999999997</v>
      </c>
      <c r="AO337" s="14">
        <f>IF(W337&lt;=0,0,+$AA$6-$C$2+I337-U337)</f>
        <v>45035.639999999985</v>
      </c>
      <c r="AP337" s="14">
        <f t="shared" si="481"/>
        <v>1944.5499999999997</v>
      </c>
      <c r="AS337" s="14">
        <f t="shared" si="512"/>
        <v>1944.5499999999997</v>
      </c>
      <c r="AT337" s="14">
        <f t="shared" ref="AT337:AT400" si="518">IF(W337&lt;=0,0,+AS337+AT336)</f>
        <v>602329.93999999971</v>
      </c>
      <c r="AU337" s="188">
        <f>IF(W337&lt;=0,0,+($O$5+AV336)*$AQ$2/12)</f>
        <v>1814.9200398193032</v>
      </c>
      <c r="AV337" s="188">
        <f t="shared" ref="AV337:AV400" si="519">IF(W337&lt;=0,0,+AV336+AU337)</f>
        <v>402072.9359675406</v>
      </c>
    </row>
    <row r="338" spans="1:48">
      <c r="A338" s="395">
        <f t="shared" si="467"/>
        <v>55530</v>
      </c>
      <c r="B338" s="188">
        <f t="shared" si="513"/>
        <v>60560.919999999918</v>
      </c>
      <c r="C338" s="14">
        <f t="shared" si="506"/>
        <v>559.88</v>
      </c>
      <c r="D338" s="14">
        <f t="shared" ref="D338:D401" si="520">+C338-E338</f>
        <v>332.78</v>
      </c>
      <c r="E338" s="14">
        <f t="shared" si="507"/>
        <v>227.1</v>
      </c>
      <c r="F338" s="14">
        <f t="shared" si="468"/>
        <v>51.5</v>
      </c>
      <c r="G338" s="14">
        <f t="shared" si="464"/>
        <v>145.09666666666666</v>
      </c>
      <c r="H338" s="14">
        <f t="shared" si="465"/>
        <v>756.47666666666669</v>
      </c>
      <c r="I338" s="188">
        <f t="shared" si="469"/>
        <v>62945.03</v>
      </c>
      <c r="J338" s="188">
        <f t="shared" si="470"/>
        <v>118356.37999999998</v>
      </c>
      <c r="K338" s="188">
        <f t="shared" si="471"/>
        <v>60228.139999999919</v>
      </c>
      <c r="L338" s="317">
        <f t="shared" si="452"/>
        <v>25</v>
      </c>
      <c r="M338" s="317">
        <f>IF(N338&lt;&gt;"",IF(N338=$O$5,0,+M337+1),0)</f>
        <v>310</v>
      </c>
      <c r="N338" s="188">
        <f t="shared" si="514"/>
        <v>105136.38999999997</v>
      </c>
      <c r="O338" s="188">
        <f>IF($O$11&lt;=A338,IF(+$W337&lt;=0,0,$O$8),0)</f>
        <v>2504.4299999999998</v>
      </c>
      <c r="P338" s="188">
        <f t="shared" ref="P338:P401" si="521">+O338-Q338</f>
        <v>1759.7099999999998</v>
      </c>
      <c r="Q338" s="188">
        <f>IF($O$11&lt;=A338,ROUND(N338*($O$7/12),2),0)</f>
        <v>744.72</v>
      </c>
      <c r="R338" s="188">
        <f t="shared" si="475"/>
        <v>51.5</v>
      </c>
      <c r="S338" s="188">
        <f t="shared" si="476"/>
        <v>145.09666666666666</v>
      </c>
      <c r="T338" s="188">
        <f t="shared" si="472"/>
        <v>2701.0266666666666</v>
      </c>
      <c r="U338" s="188">
        <f t="shared" ref="U338:U401" si="522">+P338+U337</f>
        <v>222333.32</v>
      </c>
      <c r="V338" s="188">
        <f t="shared" ref="V338:V401" si="523">+V337+Q338</f>
        <v>556544.41</v>
      </c>
      <c r="W338" s="188">
        <f t="shared" si="473"/>
        <v>103376.67999999996</v>
      </c>
      <c r="X338" s="395">
        <f t="shared" si="515"/>
        <v>55530</v>
      </c>
      <c r="Y338" s="188">
        <f t="shared" si="483"/>
        <v>105136.38999999997</v>
      </c>
      <c r="Z338" s="388">
        <f t="shared" si="508"/>
        <v>8.4999999999999992E-2</v>
      </c>
      <c r="AA338" s="188">
        <f t="shared" si="509"/>
        <v>2504.4299999999998</v>
      </c>
      <c r="AB338" s="188">
        <f t="shared" si="484"/>
        <v>1759.7099999999998</v>
      </c>
      <c r="AC338" s="188">
        <f t="shared" si="510"/>
        <v>744.72</v>
      </c>
      <c r="AD338" s="188">
        <f t="shared" ref="AD338:AE338" si="524">+AD337</f>
        <v>51.5</v>
      </c>
      <c r="AE338" s="188">
        <f t="shared" si="524"/>
        <v>145.09666666666666</v>
      </c>
      <c r="AF338" s="188">
        <f t="shared" si="486"/>
        <v>2701.0266666666666</v>
      </c>
      <c r="AG338" s="188">
        <f t="shared" si="487"/>
        <v>222333.32</v>
      </c>
      <c r="AH338" s="188">
        <f t="shared" si="488"/>
        <v>556544.41</v>
      </c>
      <c r="AI338" s="404">
        <f t="shared" si="478"/>
        <v>0</v>
      </c>
      <c r="AJ338" s="404">
        <f t="shared" si="432"/>
        <v>0</v>
      </c>
      <c r="AK338" s="404">
        <f t="shared" si="479"/>
        <v>0</v>
      </c>
      <c r="AL338" s="188">
        <f t="shared" si="489"/>
        <v>103376.67999999996</v>
      </c>
      <c r="AM338" s="317">
        <f t="shared" si="517"/>
        <v>25</v>
      </c>
      <c r="AN338" s="14">
        <f t="shared" si="480"/>
        <v>1944.5499999999997</v>
      </c>
      <c r="AO338" s="14">
        <f>IF(W338&lt;=0,0,+$AA$6-$C$2+I338-U338)</f>
        <v>43608.710000000021</v>
      </c>
      <c r="AP338" s="14">
        <f t="shared" si="481"/>
        <v>1944.5499999999997</v>
      </c>
      <c r="AS338" s="14">
        <f t="shared" si="512"/>
        <v>1944.5499999999997</v>
      </c>
      <c r="AT338" s="14">
        <f t="shared" si="518"/>
        <v>604274.48999999976</v>
      </c>
      <c r="AU338" s="188">
        <f>IF(W338&lt;=0,0,+($O$5+AV337)*$AQ$2/12)</f>
        <v>1819.4573399188514</v>
      </c>
      <c r="AV338" s="188">
        <f t="shared" si="519"/>
        <v>403892.39330745942</v>
      </c>
    </row>
    <row r="339" spans="1:48" ht="15.75" thickBot="1">
      <c r="A339" s="398">
        <f t="shared" si="467"/>
        <v>55560</v>
      </c>
      <c r="B339" s="237">
        <f t="shared" si="513"/>
        <v>60228.139999999919</v>
      </c>
      <c r="C339" s="21">
        <f t="shared" si="506"/>
        <v>559.88</v>
      </c>
      <c r="D339" s="21">
        <f t="shared" si="520"/>
        <v>334.02</v>
      </c>
      <c r="E339" s="21">
        <f t="shared" si="507"/>
        <v>225.86</v>
      </c>
      <c r="F339" s="21">
        <f t="shared" si="468"/>
        <v>51.5</v>
      </c>
      <c r="G339" s="21">
        <f t="shared" si="464"/>
        <v>145.09666666666666</v>
      </c>
      <c r="H339" s="21">
        <f t="shared" si="465"/>
        <v>756.47666666666669</v>
      </c>
      <c r="I339" s="237">
        <f t="shared" si="469"/>
        <v>63279.049999999996</v>
      </c>
      <c r="J339" s="237">
        <f t="shared" si="470"/>
        <v>118582.23999999998</v>
      </c>
      <c r="K339" s="237">
        <f t="shared" si="471"/>
        <v>59894.119999999923</v>
      </c>
      <c r="L339" s="318">
        <f t="shared" si="452"/>
        <v>25</v>
      </c>
      <c r="M339" s="318">
        <f>IF(N339&lt;&gt;"",IF(N339=$O$5,0,+M338+1),0)</f>
        <v>311</v>
      </c>
      <c r="N339" s="237">
        <f t="shared" si="514"/>
        <v>103376.67999999996</v>
      </c>
      <c r="O339" s="237">
        <f>IF($O$11&lt;=A339,IF(+$W338&lt;=0,0,$O$8),0)</f>
        <v>2504.4299999999998</v>
      </c>
      <c r="P339" s="237">
        <f t="shared" si="521"/>
        <v>1772.1799999999998</v>
      </c>
      <c r="Q339" s="237">
        <f>IF($O$11&lt;=A339,ROUND(N339*($O$7/12),2),0)</f>
        <v>732.25</v>
      </c>
      <c r="R339" s="237">
        <f t="shared" si="475"/>
        <v>51.5</v>
      </c>
      <c r="S339" s="237">
        <f t="shared" si="476"/>
        <v>145.09666666666666</v>
      </c>
      <c r="T339" s="237">
        <f t="shared" si="472"/>
        <v>2701.0266666666666</v>
      </c>
      <c r="U339" s="237">
        <f t="shared" si="522"/>
        <v>224105.5</v>
      </c>
      <c r="V339" s="237">
        <f t="shared" si="523"/>
        <v>557276.66</v>
      </c>
      <c r="W339" s="237">
        <f t="shared" si="473"/>
        <v>101604.49999999997</v>
      </c>
      <c r="X339" s="398">
        <f t="shared" si="515"/>
        <v>55560</v>
      </c>
      <c r="Y339" s="237">
        <f t="shared" si="483"/>
        <v>103376.67999999996</v>
      </c>
      <c r="Z339" s="389">
        <f t="shared" si="508"/>
        <v>8.4999999999999992E-2</v>
      </c>
      <c r="AA339" s="237">
        <f t="shared" si="509"/>
        <v>2504.4299999999998</v>
      </c>
      <c r="AB339" s="237">
        <f t="shared" si="484"/>
        <v>1772.1799999999998</v>
      </c>
      <c r="AC339" s="237">
        <f t="shared" si="510"/>
        <v>732.25</v>
      </c>
      <c r="AD339" s="237">
        <f t="shared" ref="AD339:AE339" si="525">+AD338</f>
        <v>51.5</v>
      </c>
      <c r="AE339" s="237">
        <f t="shared" si="525"/>
        <v>145.09666666666666</v>
      </c>
      <c r="AF339" s="237">
        <f t="shared" si="486"/>
        <v>2701.0266666666666</v>
      </c>
      <c r="AG339" s="237">
        <f t="shared" si="487"/>
        <v>224105.5</v>
      </c>
      <c r="AH339" s="237">
        <f t="shared" si="488"/>
        <v>557276.66</v>
      </c>
      <c r="AI339" s="405">
        <f t="shared" si="478"/>
        <v>0</v>
      </c>
      <c r="AJ339" s="405">
        <f t="shared" si="432"/>
        <v>0</v>
      </c>
      <c r="AK339" s="404">
        <f t="shared" si="479"/>
        <v>0</v>
      </c>
      <c r="AL339" s="237">
        <f t="shared" si="489"/>
        <v>101604.49999999997</v>
      </c>
      <c r="AM339" s="318">
        <f t="shared" si="517"/>
        <v>25</v>
      </c>
      <c r="AN339" s="21">
        <f t="shared" si="480"/>
        <v>1944.5499999999997</v>
      </c>
      <c r="AO339" s="21">
        <f>IF(W339&lt;=0,0,+$AA$6-$C$2+I339-U339)</f>
        <v>42170.549999999988</v>
      </c>
      <c r="AP339" s="21">
        <f t="shared" si="481"/>
        <v>1944.5499999999997</v>
      </c>
      <c r="AQ339" s="21"/>
      <c r="AR339" s="23"/>
      <c r="AS339" s="21">
        <f t="shared" si="512"/>
        <v>1944.5499999999997</v>
      </c>
      <c r="AT339" s="21">
        <f t="shared" si="518"/>
        <v>606219.0399999998</v>
      </c>
      <c r="AU339" s="237">
        <f>IF(W339&lt;=0,0,+($O$5+AV338)*$AQ$2/12)</f>
        <v>1824.0059832686484</v>
      </c>
      <c r="AV339" s="237">
        <f t="shared" si="519"/>
        <v>405716.39929072809</v>
      </c>
    </row>
    <row r="340" spans="1:48">
      <c r="A340" s="395">
        <f t="shared" si="467"/>
        <v>55590</v>
      </c>
      <c r="B340" s="188">
        <f t="shared" si="513"/>
        <v>59894.119999999923</v>
      </c>
      <c r="C340" s="14">
        <f t="shared" si="506"/>
        <v>559.88</v>
      </c>
      <c r="D340" s="14">
        <f t="shared" si="520"/>
        <v>335.28</v>
      </c>
      <c r="E340" s="14">
        <f t="shared" si="507"/>
        <v>224.6</v>
      </c>
      <c r="F340" s="14">
        <f t="shared" si="468"/>
        <v>51.5</v>
      </c>
      <c r="G340" s="14">
        <f t="shared" si="464"/>
        <v>145.09666666666666</v>
      </c>
      <c r="H340" s="14">
        <f t="shared" si="465"/>
        <v>756.47666666666669</v>
      </c>
      <c r="I340" s="188">
        <f t="shared" si="469"/>
        <v>63614.329999999994</v>
      </c>
      <c r="J340" s="188">
        <f t="shared" si="470"/>
        <v>118806.83999999998</v>
      </c>
      <c r="K340" s="188">
        <f t="shared" si="471"/>
        <v>59558.839999999924</v>
      </c>
      <c r="L340" s="317">
        <f t="shared" si="452"/>
        <v>26</v>
      </c>
      <c r="M340" s="317">
        <f>IF(N340&lt;&gt;"",IF(N340=$O$5,0,+M339+1),0)</f>
        <v>312</v>
      </c>
      <c r="N340" s="188">
        <f t="shared" si="514"/>
        <v>101604.49999999997</v>
      </c>
      <c r="O340" s="188">
        <f>IF($O$11&lt;=A340,IF(+$W339&lt;=0,0,$O$8),0)</f>
        <v>2504.4299999999998</v>
      </c>
      <c r="P340" s="188">
        <f t="shared" si="521"/>
        <v>1784.7299999999998</v>
      </c>
      <c r="Q340" s="188">
        <f>IF($O$11&lt;=A340,ROUND(N340*($O$7/12),2),0)</f>
        <v>719.7</v>
      </c>
      <c r="R340" s="188">
        <f t="shared" si="475"/>
        <v>51.5</v>
      </c>
      <c r="S340" s="188">
        <f t="shared" si="476"/>
        <v>145.09666666666666</v>
      </c>
      <c r="T340" s="188">
        <f t="shared" si="472"/>
        <v>2701.0266666666666</v>
      </c>
      <c r="U340" s="188">
        <f t="shared" si="522"/>
        <v>225890.23</v>
      </c>
      <c r="V340" s="188">
        <f t="shared" si="523"/>
        <v>557996.36</v>
      </c>
      <c r="W340" s="188">
        <f t="shared" si="473"/>
        <v>99819.769999999975</v>
      </c>
      <c r="X340" s="395">
        <f t="shared" si="515"/>
        <v>55590</v>
      </c>
      <c r="Y340" s="188">
        <f t="shared" si="483"/>
        <v>101604.49999999997</v>
      </c>
      <c r="Z340" s="388">
        <f t="shared" si="508"/>
        <v>8.4999999999999992E-2</v>
      </c>
      <c r="AA340" s="188">
        <f t="shared" si="509"/>
        <v>2504.4299999999998</v>
      </c>
      <c r="AB340" s="188">
        <f t="shared" si="484"/>
        <v>1784.7299999999998</v>
      </c>
      <c r="AC340" s="188">
        <f t="shared" si="510"/>
        <v>719.7</v>
      </c>
      <c r="AD340" s="188">
        <f t="shared" ref="AD340:AE340" si="526">+AD339</f>
        <v>51.5</v>
      </c>
      <c r="AE340" s="188">
        <f t="shared" si="526"/>
        <v>145.09666666666666</v>
      </c>
      <c r="AF340" s="188">
        <f t="shared" si="486"/>
        <v>2701.0266666666666</v>
      </c>
      <c r="AG340" s="188">
        <f t="shared" si="487"/>
        <v>225890.23</v>
      </c>
      <c r="AH340" s="188">
        <f t="shared" si="488"/>
        <v>557996.36</v>
      </c>
      <c r="AI340" s="404">
        <f t="shared" si="478"/>
        <v>0</v>
      </c>
      <c r="AJ340" s="404">
        <f t="shared" si="432"/>
        <v>0</v>
      </c>
      <c r="AK340" s="404">
        <f t="shared" si="479"/>
        <v>0</v>
      </c>
      <c r="AL340" s="188">
        <f t="shared" si="489"/>
        <v>99819.769999999975</v>
      </c>
      <c r="AM340" s="317">
        <f t="shared" si="517"/>
        <v>26</v>
      </c>
      <c r="AN340" s="14">
        <f t="shared" si="480"/>
        <v>1944.5499999999997</v>
      </c>
      <c r="AO340" s="14">
        <f>IF(W340&lt;=0,0,+$AA$6-$C$2+I340-U340)</f>
        <v>40721.100000000006</v>
      </c>
      <c r="AP340" s="14">
        <f t="shared" si="481"/>
        <v>1944.5499999999997</v>
      </c>
      <c r="AS340" s="14">
        <f t="shared" si="512"/>
        <v>1944.5499999999997</v>
      </c>
      <c r="AT340" s="14">
        <f t="shared" si="518"/>
        <v>608163.58999999985</v>
      </c>
      <c r="AU340" s="188">
        <f>IF(W340&lt;=0,0,+($O$5+AV339)*$AQ$2/12)</f>
        <v>1828.5659982268205</v>
      </c>
      <c r="AV340" s="188">
        <f t="shared" si="519"/>
        <v>407544.9652889549</v>
      </c>
    </row>
    <row r="341" spans="1:48">
      <c r="A341" s="395">
        <f t="shared" si="467"/>
        <v>55620</v>
      </c>
      <c r="B341" s="188">
        <f t="shared" si="513"/>
        <v>59558.839999999924</v>
      </c>
      <c r="C341" s="14">
        <f t="shared" si="506"/>
        <v>559.88</v>
      </c>
      <c r="D341" s="14">
        <f t="shared" si="520"/>
        <v>336.53</v>
      </c>
      <c r="E341" s="14">
        <f t="shared" si="507"/>
        <v>223.35</v>
      </c>
      <c r="F341" s="14">
        <f t="shared" si="468"/>
        <v>51.5</v>
      </c>
      <c r="G341" s="14">
        <f t="shared" si="464"/>
        <v>145.09666666666666</v>
      </c>
      <c r="H341" s="14">
        <f t="shared" si="465"/>
        <v>756.47666666666669</v>
      </c>
      <c r="I341" s="188">
        <f t="shared" si="469"/>
        <v>63950.859999999993</v>
      </c>
      <c r="J341" s="188">
        <f t="shared" si="470"/>
        <v>119030.18999999999</v>
      </c>
      <c r="K341" s="188">
        <f t="shared" si="471"/>
        <v>59222.309999999925</v>
      </c>
      <c r="L341" s="317">
        <f t="shared" si="452"/>
        <v>26</v>
      </c>
      <c r="M341" s="317">
        <f>IF(N341&lt;&gt;"",IF(N341=$O$5,0,+M340+1),0)</f>
        <v>313</v>
      </c>
      <c r="N341" s="188">
        <f t="shared" si="514"/>
        <v>99819.769999999975</v>
      </c>
      <c r="O341" s="188">
        <f>IF($O$11&lt;=A341,IF(+$W340&lt;=0,0,$O$8),0)</f>
        <v>2504.4299999999998</v>
      </c>
      <c r="P341" s="188">
        <f t="shared" si="521"/>
        <v>1797.37</v>
      </c>
      <c r="Q341" s="188">
        <f>IF($O$11&lt;=A341,ROUND(N341*($O$7/12),2),0)</f>
        <v>707.06</v>
      </c>
      <c r="R341" s="188">
        <f t="shared" si="475"/>
        <v>51.5</v>
      </c>
      <c r="S341" s="188">
        <f t="shared" si="476"/>
        <v>145.09666666666666</v>
      </c>
      <c r="T341" s="188">
        <f t="shared" si="472"/>
        <v>2701.0266666666666</v>
      </c>
      <c r="U341" s="188">
        <f t="shared" si="522"/>
        <v>227687.6</v>
      </c>
      <c r="V341" s="188">
        <f t="shared" si="523"/>
        <v>558703.42000000004</v>
      </c>
      <c r="W341" s="188">
        <f t="shared" si="473"/>
        <v>98022.39999999998</v>
      </c>
      <c r="X341" s="395">
        <f t="shared" si="515"/>
        <v>55620</v>
      </c>
      <c r="Y341" s="188">
        <f t="shared" si="483"/>
        <v>99819.769999999975</v>
      </c>
      <c r="Z341" s="388">
        <f t="shared" si="508"/>
        <v>8.4999999999999992E-2</v>
      </c>
      <c r="AA341" s="188">
        <f t="shared" si="509"/>
        <v>2504.4299999999998</v>
      </c>
      <c r="AB341" s="188">
        <f t="shared" si="484"/>
        <v>1797.37</v>
      </c>
      <c r="AC341" s="188">
        <f t="shared" si="510"/>
        <v>707.06</v>
      </c>
      <c r="AD341" s="188">
        <f t="shared" ref="AD341:AE341" si="527">+AD340</f>
        <v>51.5</v>
      </c>
      <c r="AE341" s="188">
        <f t="shared" si="527"/>
        <v>145.09666666666666</v>
      </c>
      <c r="AF341" s="188">
        <f t="shared" si="486"/>
        <v>2701.0266666666666</v>
      </c>
      <c r="AG341" s="188">
        <f t="shared" si="487"/>
        <v>227687.6</v>
      </c>
      <c r="AH341" s="188">
        <f t="shared" si="488"/>
        <v>558703.42000000004</v>
      </c>
      <c r="AI341" s="404">
        <f t="shared" si="478"/>
        <v>0</v>
      </c>
      <c r="AJ341" s="404">
        <f t="shared" si="432"/>
        <v>0</v>
      </c>
      <c r="AK341" s="404">
        <f t="shared" si="479"/>
        <v>0</v>
      </c>
      <c r="AL341" s="188">
        <f t="shared" si="489"/>
        <v>98022.39999999998</v>
      </c>
      <c r="AM341" s="317">
        <f t="shared" si="517"/>
        <v>26</v>
      </c>
      <c r="AN341" s="14">
        <f t="shared" si="480"/>
        <v>1944.5499999999997</v>
      </c>
      <c r="AO341" s="14">
        <f>IF(W341&lt;=0,0,+$AA$6-$C$2+I341-U341)</f>
        <v>39260.25999999998</v>
      </c>
      <c r="AP341" s="14">
        <f t="shared" si="481"/>
        <v>1944.5499999999997</v>
      </c>
      <c r="AS341" s="14">
        <f t="shared" si="512"/>
        <v>1944.5499999999997</v>
      </c>
      <c r="AT341" s="14">
        <f t="shared" si="518"/>
        <v>610108.1399999999</v>
      </c>
      <c r="AU341" s="188">
        <f>IF(W341&lt;=0,0,+($O$5+AV340)*$AQ$2/12)</f>
        <v>1833.1374132223873</v>
      </c>
      <c r="AV341" s="188">
        <f t="shared" si="519"/>
        <v>409378.1027021773</v>
      </c>
    </row>
    <row r="342" spans="1:48">
      <c r="A342" s="395">
        <f t="shared" si="467"/>
        <v>55650</v>
      </c>
      <c r="B342" s="188">
        <f t="shared" si="513"/>
        <v>59222.309999999925</v>
      </c>
      <c r="C342" s="14">
        <f t="shared" si="506"/>
        <v>559.88</v>
      </c>
      <c r="D342" s="14">
        <f t="shared" si="520"/>
        <v>337.79999999999995</v>
      </c>
      <c r="E342" s="14">
        <f t="shared" si="507"/>
        <v>222.08</v>
      </c>
      <c r="F342" s="14">
        <f t="shared" si="468"/>
        <v>51.5</v>
      </c>
      <c r="G342" s="14">
        <f t="shared" si="464"/>
        <v>145.09666666666666</v>
      </c>
      <c r="H342" s="14">
        <f t="shared" si="465"/>
        <v>756.47666666666669</v>
      </c>
      <c r="I342" s="188">
        <f t="shared" si="469"/>
        <v>64288.659999999996</v>
      </c>
      <c r="J342" s="188">
        <f t="shared" si="470"/>
        <v>119252.26999999999</v>
      </c>
      <c r="K342" s="188">
        <f t="shared" si="471"/>
        <v>58884.509999999922</v>
      </c>
      <c r="L342" s="317">
        <f t="shared" si="452"/>
        <v>26</v>
      </c>
      <c r="M342" s="317">
        <f>IF(N342&lt;&gt;"",IF(N342=$O$5,0,+M341+1),0)</f>
        <v>314</v>
      </c>
      <c r="N342" s="188">
        <f t="shared" si="514"/>
        <v>98022.39999999998</v>
      </c>
      <c r="O342" s="188">
        <f>IF($O$11&lt;=A342,IF(+$W341&lt;=0,0,$O$8),0)</f>
        <v>2504.4299999999998</v>
      </c>
      <c r="P342" s="188">
        <f t="shared" si="521"/>
        <v>1810.1</v>
      </c>
      <c r="Q342" s="188">
        <f>IF($O$11&lt;=A342,ROUND(N342*($O$7/12),2),0)</f>
        <v>694.33</v>
      </c>
      <c r="R342" s="188">
        <f t="shared" si="475"/>
        <v>51.5</v>
      </c>
      <c r="S342" s="188">
        <f t="shared" si="476"/>
        <v>145.09666666666666</v>
      </c>
      <c r="T342" s="188">
        <f t="shared" si="472"/>
        <v>2701.0266666666666</v>
      </c>
      <c r="U342" s="188">
        <f t="shared" si="522"/>
        <v>229497.7</v>
      </c>
      <c r="V342" s="188">
        <f t="shared" si="523"/>
        <v>559397.75</v>
      </c>
      <c r="W342" s="188">
        <f t="shared" si="473"/>
        <v>96212.299999999974</v>
      </c>
      <c r="X342" s="395">
        <f t="shared" si="515"/>
        <v>55650</v>
      </c>
      <c r="Y342" s="188">
        <f t="shared" si="483"/>
        <v>98022.39999999998</v>
      </c>
      <c r="Z342" s="388">
        <f t="shared" si="508"/>
        <v>8.4999999999999992E-2</v>
      </c>
      <c r="AA342" s="188">
        <f t="shared" si="509"/>
        <v>2504.4299999999998</v>
      </c>
      <c r="AB342" s="188">
        <f t="shared" si="484"/>
        <v>1810.1</v>
      </c>
      <c r="AC342" s="188">
        <f t="shared" si="510"/>
        <v>694.33</v>
      </c>
      <c r="AD342" s="188">
        <f t="shared" ref="AD342:AE342" si="528">+AD341</f>
        <v>51.5</v>
      </c>
      <c r="AE342" s="188">
        <f t="shared" si="528"/>
        <v>145.09666666666666</v>
      </c>
      <c r="AF342" s="188">
        <f t="shared" si="486"/>
        <v>2701.0266666666666</v>
      </c>
      <c r="AG342" s="188">
        <f t="shared" si="487"/>
        <v>229497.7</v>
      </c>
      <c r="AH342" s="188">
        <f t="shared" si="488"/>
        <v>559397.75</v>
      </c>
      <c r="AI342" s="404">
        <f t="shared" si="478"/>
        <v>0</v>
      </c>
      <c r="AJ342" s="404">
        <f t="shared" si="432"/>
        <v>0</v>
      </c>
      <c r="AK342" s="404">
        <f t="shared" si="479"/>
        <v>0</v>
      </c>
      <c r="AL342" s="188">
        <f t="shared" si="489"/>
        <v>96212.299999999974</v>
      </c>
      <c r="AM342" s="317">
        <f t="shared" si="517"/>
        <v>26</v>
      </c>
      <c r="AN342" s="14">
        <f t="shared" si="480"/>
        <v>1944.5499999999997</v>
      </c>
      <c r="AO342" s="14">
        <f>IF(W342&lt;=0,0,+$AA$6-$C$2+I342-U342)</f>
        <v>37787.959999999963</v>
      </c>
      <c r="AP342" s="14">
        <f t="shared" si="481"/>
        <v>1944.5499999999997</v>
      </c>
      <c r="AS342" s="14">
        <f t="shared" si="512"/>
        <v>1944.5499999999997</v>
      </c>
      <c r="AT342" s="14">
        <f t="shared" si="518"/>
        <v>612052.68999999994</v>
      </c>
      <c r="AU342" s="188">
        <f>IF(W342&lt;=0,0,+($O$5+AV341)*$AQ$2/12)</f>
        <v>1837.7202567554432</v>
      </c>
      <c r="AV342" s="188">
        <f t="shared" si="519"/>
        <v>411215.82295893272</v>
      </c>
    </row>
    <row r="343" spans="1:48">
      <c r="A343" s="395">
        <f t="shared" si="467"/>
        <v>55680</v>
      </c>
      <c r="B343" s="188">
        <f t="shared" si="513"/>
        <v>58884.509999999922</v>
      </c>
      <c r="C343" s="14">
        <f t="shared" si="506"/>
        <v>559.88</v>
      </c>
      <c r="D343" s="14">
        <f t="shared" si="520"/>
        <v>339.06</v>
      </c>
      <c r="E343" s="14">
        <f t="shared" si="507"/>
        <v>220.82</v>
      </c>
      <c r="F343" s="14">
        <f t="shared" si="468"/>
        <v>51.5</v>
      </c>
      <c r="G343" s="14">
        <f t="shared" si="464"/>
        <v>145.09666666666666</v>
      </c>
      <c r="H343" s="14">
        <f t="shared" si="465"/>
        <v>756.47666666666669</v>
      </c>
      <c r="I343" s="188">
        <f t="shared" si="469"/>
        <v>64627.719999999994</v>
      </c>
      <c r="J343" s="188">
        <f t="shared" si="470"/>
        <v>119473.09</v>
      </c>
      <c r="K343" s="188">
        <f t="shared" si="471"/>
        <v>58545.449999999924</v>
      </c>
      <c r="L343" s="317">
        <f t="shared" si="452"/>
        <v>26</v>
      </c>
      <c r="M343" s="317">
        <f>IF(N343&lt;&gt;"",IF(N343=$O$5,0,+M342+1),0)</f>
        <v>315</v>
      </c>
      <c r="N343" s="188">
        <f t="shared" si="514"/>
        <v>96212.299999999974</v>
      </c>
      <c r="O343" s="188">
        <f>IF($O$11&lt;=A343,IF(+$W342&lt;=0,0,$O$8),0)</f>
        <v>2504.4299999999998</v>
      </c>
      <c r="P343" s="188">
        <f t="shared" si="521"/>
        <v>1822.9299999999998</v>
      </c>
      <c r="Q343" s="188">
        <f>IF($O$11&lt;=A343,ROUND(N343*($O$7/12),2),0)</f>
        <v>681.5</v>
      </c>
      <c r="R343" s="188">
        <f t="shared" si="475"/>
        <v>51.5</v>
      </c>
      <c r="S343" s="188">
        <f t="shared" si="476"/>
        <v>145.09666666666666</v>
      </c>
      <c r="T343" s="188">
        <f t="shared" si="472"/>
        <v>2701.0266666666666</v>
      </c>
      <c r="U343" s="188">
        <f t="shared" si="522"/>
        <v>231320.63</v>
      </c>
      <c r="V343" s="188">
        <f t="shared" si="523"/>
        <v>560079.25</v>
      </c>
      <c r="W343" s="188">
        <f t="shared" si="473"/>
        <v>94389.369999999981</v>
      </c>
      <c r="X343" s="395">
        <f t="shared" si="515"/>
        <v>55680</v>
      </c>
      <c r="Y343" s="188">
        <f t="shared" si="483"/>
        <v>96212.299999999974</v>
      </c>
      <c r="Z343" s="388">
        <f t="shared" si="508"/>
        <v>8.4999999999999992E-2</v>
      </c>
      <c r="AA343" s="188">
        <f t="shared" si="509"/>
        <v>2504.4299999999998</v>
      </c>
      <c r="AB343" s="188">
        <f t="shared" si="484"/>
        <v>1822.9299999999998</v>
      </c>
      <c r="AC343" s="188">
        <f t="shared" si="510"/>
        <v>681.5</v>
      </c>
      <c r="AD343" s="188">
        <f t="shared" ref="AD343:AE343" si="529">+AD342</f>
        <v>51.5</v>
      </c>
      <c r="AE343" s="188">
        <f t="shared" si="529"/>
        <v>145.09666666666666</v>
      </c>
      <c r="AF343" s="188">
        <f t="shared" si="486"/>
        <v>2701.0266666666666</v>
      </c>
      <c r="AG343" s="188">
        <f t="shared" si="487"/>
        <v>231320.63</v>
      </c>
      <c r="AH343" s="188">
        <f t="shared" si="488"/>
        <v>560079.25</v>
      </c>
      <c r="AI343" s="404">
        <f t="shared" si="478"/>
        <v>0</v>
      </c>
      <c r="AJ343" s="404">
        <f t="shared" si="432"/>
        <v>0</v>
      </c>
      <c r="AK343" s="404">
        <f t="shared" si="479"/>
        <v>0</v>
      </c>
      <c r="AL343" s="188">
        <f t="shared" si="489"/>
        <v>94389.369999999981</v>
      </c>
      <c r="AM343" s="317">
        <f t="shared" si="517"/>
        <v>26</v>
      </c>
      <c r="AN343" s="14">
        <f t="shared" si="480"/>
        <v>1944.5499999999997</v>
      </c>
      <c r="AO343" s="14">
        <f>IF(W343&lt;=0,0,+$AA$6-$C$2+I343-U343)</f>
        <v>36304.089999999967</v>
      </c>
      <c r="AP343" s="14">
        <f t="shared" si="481"/>
        <v>1944.5499999999997</v>
      </c>
      <c r="AS343" s="14">
        <f t="shared" si="512"/>
        <v>1944.5499999999997</v>
      </c>
      <c r="AT343" s="14">
        <f t="shared" si="518"/>
        <v>613997.24</v>
      </c>
      <c r="AU343" s="188">
        <f>IF(W343&lt;=0,0,+($O$5+AV342)*$AQ$2/12)</f>
        <v>1842.3145573973318</v>
      </c>
      <c r="AV343" s="188">
        <f t="shared" si="519"/>
        <v>413058.13751633005</v>
      </c>
    </row>
    <row r="344" spans="1:48">
      <c r="A344" s="395">
        <f t="shared" si="467"/>
        <v>55710</v>
      </c>
      <c r="B344" s="188">
        <f t="shared" si="513"/>
        <v>58545.449999999924</v>
      </c>
      <c r="C344" s="14">
        <f t="shared" si="506"/>
        <v>559.88</v>
      </c>
      <c r="D344" s="14">
        <f t="shared" si="520"/>
        <v>340.33</v>
      </c>
      <c r="E344" s="14">
        <f t="shared" si="507"/>
        <v>219.55</v>
      </c>
      <c r="F344" s="14">
        <f t="shared" si="468"/>
        <v>51.5</v>
      </c>
      <c r="G344" s="14">
        <f t="shared" si="464"/>
        <v>145.09666666666666</v>
      </c>
      <c r="H344" s="14">
        <f t="shared" si="465"/>
        <v>756.47666666666669</v>
      </c>
      <c r="I344" s="188">
        <f t="shared" si="469"/>
        <v>64968.049999999996</v>
      </c>
      <c r="J344" s="188">
        <f t="shared" si="470"/>
        <v>119692.64</v>
      </c>
      <c r="K344" s="188">
        <f t="shared" si="471"/>
        <v>58205.119999999923</v>
      </c>
      <c r="L344" s="317">
        <f t="shared" si="452"/>
        <v>26</v>
      </c>
      <c r="M344" s="317">
        <f>IF(N344&lt;&gt;"",IF(N344=$O$5,0,+M343+1),0)</f>
        <v>316</v>
      </c>
      <c r="N344" s="188">
        <f t="shared" si="514"/>
        <v>94389.369999999981</v>
      </c>
      <c r="O344" s="188">
        <f>IF($O$11&lt;=A344,IF(+$W343&lt;=0,0,$O$8),0)</f>
        <v>2504.4299999999998</v>
      </c>
      <c r="P344" s="188">
        <f t="shared" si="521"/>
        <v>1835.8399999999997</v>
      </c>
      <c r="Q344" s="188">
        <f>IF($O$11&lt;=A344,ROUND(N344*($O$7/12),2),0)</f>
        <v>668.59</v>
      </c>
      <c r="R344" s="188">
        <f t="shared" si="475"/>
        <v>51.5</v>
      </c>
      <c r="S344" s="188">
        <f t="shared" si="476"/>
        <v>145.09666666666666</v>
      </c>
      <c r="T344" s="188">
        <f t="shared" si="472"/>
        <v>2701.0266666666666</v>
      </c>
      <c r="U344" s="188">
        <f t="shared" si="522"/>
        <v>233156.47</v>
      </c>
      <c r="V344" s="188">
        <f t="shared" si="523"/>
        <v>560747.84</v>
      </c>
      <c r="W344" s="188">
        <f t="shared" si="473"/>
        <v>92553.529999999984</v>
      </c>
      <c r="X344" s="395">
        <f t="shared" si="515"/>
        <v>55710</v>
      </c>
      <c r="Y344" s="188">
        <f t="shared" si="483"/>
        <v>94389.369999999981</v>
      </c>
      <c r="Z344" s="388">
        <f t="shared" si="508"/>
        <v>8.4999999999999992E-2</v>
      </c>
      <c r="AA344" s="188">
        <f t="shared" si="509"/>
        <v>2504.4299999999998</v>
      </c>
      <c r="AB344" s="188">
        <f t="shared" si="484"/>
        <v>1835.8399999999997</v>
      </c>
      <c r="AC344" s="188">
        <f t="shared" si="510"/>
        <v>668.59</v>
      </c>
      <c r="AD344" s="188">
        <f t="shared" ref="AD344:AE344" si="530">+AD343</f>
        <v>51.5</v>
      </c>
      <c r="AE344" s="188">
        <f t="shared" si="530"/>
        <v>145.09666666666666</v>
      </c>
      <c r="AF344" s="188">
        <f t="shared" si="486"/>
        <v>2701.0266666666666</v>
      </c>
      <c r="AG344" s="188">
        <f t="shared" si="487"/>
        <v>233156.47</v>
      </c>
      <c r="AH344" s="188">
        <f t="shared" si="488"/>
        <v>560747.84</v>
      </c>
      <c r="AI344" s="404">
        <f t="shared" si="478"/>
        <v>0</v>
      </c>
      <c r="AJ344" s="404">
        <f t="shared" si="432"/>
        <v>0</v>
      </c>
      <c r="AK344" s="404">
        <f t="shared" si="479"/>
        <v>0</v>
      </c>
      <c r="AL344" s="188">
        <f t="shared" si="489"/>
        <v>92553.529999999984</v>
      </c>
      <c r="AM344" s="317">
        <f t="shared" si="517"/>
        <v>26</v>
      </c>
      <c r="AN344" s="14">
        <f t="shared" si="480"/>
        <v>1944.5499999999997</v>
      </c>
      <c r="AO344" s="14">
        <f>IF(W344&lt;=0,0,+$AA$6-$C$2+I344-U344)</f>
        <v>34808.579999999987</v>
      </c>
      <c r="AP344" s="14">
        <f t="shared" si="481"/>
        <v>1944.5499999999997</v>
      </c>
      <c r="AS344" s="14">
        <f t="shared" si="512"/>
        <v>1944.5499999999997</v>
      </c>
      <c r="AT344" s="14">
        <f t="shared" si="518"/>
        <v>615941.79</v>
      </c>
      <c r="AU344" s="188">
        <f>IF(W344&lt;=0,0,+($O$5+AV343)*$AQ$2/12)</f>
        <v>1846.9203437908247</v>
      </c>
      <c r="AV344" s="188">
        <f t="shared" si="519"/>
        <v>414905.0578601209</v>
      </c>
    </row>
    <row r="345" spans="1:48">
      <c r="A345" s="395">
        <f t="shared" si="467"/>
        <v>55740</v>
      </c>
      <c r="B345" s="188">
        <f t="shared" si="513"/>
        <v>58205.119999999923</v>
      </c>
      <c r="C345" s="14">
        <f t="shared" si="506"/>
        <v>559.88</v>
      </c>
      <c r="D345" s="14">
        <f t="shared" si="520"/>
        <v>341.61</v>
      </c>
      <c r="E345" s="14">
        <f t="shared" si="507"/>
        <v>218.27</v>
      </c>
      <c r="F345" s="14">
        <f t="shared" si="468"/>
        <v>51.5</v>
      </c>
      <c r="G345" s="14">
        <f t="shared" si="464"/>
        <v>145.09666666666666</v>
      </c>
      <c r="H345" s="14">
        <f t="shared" si="465"/>
        <v>756.47666666666669</v>
      </c>
      <c r="I345" s="188">
        <f t="shared" si="469"/>
        <v>65309.659999999996</v>
      </c>
      <c r="J345" s="188">
        <f t="shared" si="470"/>
        <v>119910.91</v>
      </c>
      <c r="K345" s="188">
        <f t="shared" si="471"/>
        <v>57863.509999999922</v>
      </c>
      <c r="L345" s="317">
        <f t="shared" si="452"/>
        <v>26</v>
      </c>
      <c r="M345" s="317">
        <f>IF(N345&lt;&gt;"",IF(N345=$O$5,0,+M344+1),0)</f>
        <v>317</v>
      </c>
      <c r="N345" s="188">
        <f t="shared" si="514"/>
        <v>92553.529999999984</v>
      </c>
      <c r="O345" s="188">
        <f>IF($O$11&lt;=A345,IF(+$W344&lt;=0,0,$O$8),0)</f>
        <v>2504.4299999999998</v>
      </c>
      <c r="P345" s="188">
        <f t="shared" si="521"/>
        <v>1848.8399999999997</v>
      </c>
      <c r="Q345" s="188">
        <f>IF($O$11&lt;=A345,ROUND(N345*($O$7/12),2),0)</f>
        <v>655.59</v>
      </c>
      <c r="R345" s="188">
        <f t="shared" si="475"/>
        <v>51.5</v>
      </c>
      <c r="S345" s="188">
        <f t="shared" si="476"/>
        <v>145.09666666666666</v>
      </c>
      <c r="T345" s="188">
        <f t="shared" si="472"/>
        <v>2701.0266666666666</v>
      </c>
      <c r="U345" s="188">
        <f t="shared" si="522"/>
        <v>235005.31</v>
      </c>
      <c r="V345" s="188">
        <f t="shared" si="523"/>
        <v>561403.42999999993</v>
      </c>
      <c r="W345" s="188">
        <f t="shared" si="473"/>
        <v>90704.689999999988</v>
      </c>
      <c r="X345" s="395">
        <f t="shared" si="515"/>
        <v>55740</v>
      </c>
      <c r="Y345" s="188">
        <f t="shared" si="483"/>
        <v>92553.529999999984</v>
      </c>
      <c r="Z345" s="388">
        <f t="shared" si="508"/>
        <v>8.4999999999999992E-2</v>
      </c>
      <c r="AA345" s="188">
        <f t="shared" si="509"/>
        <v>2504.4299999999998</v>
      </c>
      <c r="AB345" s="188">
        <f t="shared" si="484"/>
        <v>1848.8399999999997</v>
      </c>
      <c r="AC345" s="188">
        <f t="shared" si="510"/>
        <v>655.59</v>
      </c>
      <c r="AD345" s="188">
        <f t="shared" ref="AD345:AE345" si="531">+AD344</f>
        <v>51.5</v>
      </c>
      <c r="AE345" s="188">
        <f t="shared" si="531"/>
        <v>145.09666666666666</v>
      </c>
      <c r="AF345" s="188">
        <f t="shared" si="486"/>
        <v>2701.0266666666666</v>
      </c>
      <c r="AG345" s="188">
        <f t="shared" si="487"/>
        <v>235005.31</v>
      </c>
      <c r="AH345" s="188">
        <f t="shared" si="488"/>
        <v>561403.42999999993</v>
      </c>
      <c r="AI345" s="404">
        <f t="shared" si="478"/>
        <v>0</v>
      </c>
      <c r="AJ345" s="404">
        <f t="shared" si="432"/>
        <v>0</v>
      </c>
      <c r="AK345" s="404">
        <f t="shared" si="479"/>
        <v>0</v>
      </c>
      <c r="AL345" s="188">
        <f t="shared" si="489"/>
        <v>90704.689999999988</v>
      </c>
      <c r="AM345" s="317">
        <f t="shared" si="517"/>
        <v>26</v>
      </c>
      <c r="AN345" s="14">
        <f t="shared" si="480"/>
        <v>1944.5499999999997</v>
      </c>
      <c r="AO345" s="14">
        <f>IF(W345&lt;=0,0,+$AA$6-$C$2+I345-U345)</f>
        <v>33301.349999999977</v>
      </c>
      <c r="AP345" s="14">
        <f t="shared" si="481"/>
        <v>1944.5499999999997</v>
      </c>
      <c r="AS345" s="14">
        <f t="shared" si="512"/>
        <v>1944.5499999999997</v>
      </c>
      <c r="AT345" s="14">
        <f t="shared" si="518"/>
        <v>617886.34000000008</v>
      </c>
      <c r="AU345" s="188">
        <f>IF(W345&lt;=0,0,+($O$5+AV344)*$AQ$2/12)</f>
        <v>1851.5376446503021</v>
      </c>
      <c r="AV345" s="188">
        <f t="shared" si="519"/>
        <v>416756.59550477122</v>
      </c>
    </row>
    <row r="346" spans="1:48">
      <c r="A346" s="395">
        <f t="shared" si="467"/>
        <v>55770</v>
      </c>
      <c r="B346" s="188">
        <f t="shared" si="513"/>
        <v>57863.509999999922</v>
      </c>
      <c r="C346" s="14">
        <f t="shared" si="506"/>
        <v>559.88</v>
      </c>
      <c r="D346" s="14">
        <f t="shared" si="520"/>
        <v>342.89</v>
      </c>
      <c r="E346" s="14">
        <f t="shared" si="507"/>
        <v>216.99</v>
      </c>
      <c r="F346" s="14">
        <f t="shared" si="468"/>
        <v>51.5</v>
      </c>
      <c r="G346" s="14">
        <f t="shared" si="464"/>
        <v>145.09666666666666</v>
      </c>
      <c r="H346" s="14">
        <f t="shared" si="465"/>
        <v>756.47666666666669</v>
      </c>
      <c r="I346" s="188">
        <f t="shared" si="469"/>
        <v>65652.55</v>
      </c>
      <c r="J346" s="188">
        <f t="shared" si="470"/>
        <v>120127.90000000001</v>
      </c>
      <c r="K346" s="188">
        <f t="shared" si="471"/>
        <v>57520.619999999923</v>
      </c>
      <c r="L346" s="317">
        <f t="shared" si="452"/>
        <v>26</v>
      </c>
      <c r="M346" s="317">
        <f>IF(N346&lt;&gt;"",IF(N346=$O$5,0,+M345+1),0)</f>
        <v>318</v>
      </c>
      <c r="N346" s="188">
        <f t="shared" si="514"/>
        <v>90704.689999999988</v>
      </c>
      <c r="O346" s="188">
        <f>IF($O$11&lt;=A346,IF(+$W345&lt;=0,0,$O$8),0)</f>
        <v>2504.4299999999998</v>
      </c>
      <c r="P346" s="188">
        <f t="shared" si="521"/>
        <v>1861.9399999999998</v>
      </c>
      <c r="Q346" s="188">
        <f>IF($O$11&lt;=A346,ROUND(N346*($O$7/12),2),0)</f>
        <v>642.49</v>
      </c>
      <c r="R346" s="188">
        <f t="shared" si="475"/>
        <v>51.5</v>
      </c>
      <c r="S346" s="188">
        <f t="shared" si="476"/>
        <v>145.09666666666666</v>
      </c>
      <c r="T346" s="188">
        <f t="shared" si="472"/>
        <v>2701.0266666666666</v>
      </c>
      <c r="U346" s="188">
        <f t="shared" si="522"/>
        <v>236867.25</v>
      </c>
      <c r="V346" s="188">
        <f t="shared" si="523"/>
        <v>562045.91999999993</v>
      </c>
      <c r="W346" s="188">
        <f t="shared" si="473"/>
        <v>88842.749999999985</v>
      </c>
      <c r="X346" s="395">
        <f t="shared" si="515"/>
        <v>55770</v>
      </c>
      <c r="Y346" s="188">
        <f t="shared" si="483"/>
        <v>90704.689999999988</v>
      </c>
      <c r="Z346" s="388">
        <f t="shared" si="508"/>
        <v>8.4999999999999992E-2</v>
      </c>
      <c r="AA346" s="188">
        <f t="shared" si="509"/>
        <v>2504.4299999999998</v>
      </c>
      <c r="AB346" s="188">
        <f t="shared" si="484"/>
        <v>1861.9399999999998</v>
      </c>
      <c r="AC346" s="188">
        <f t="shared" si="510"/>
        <v>642.49</v>
      </c>
      <c r="AD346" s="188">
        <f t="shared" ref="AD346:AE346" si="532">+AD345</f>
        <v>51.5</v>
      </c>
      <c r="AE346" s="188">
        <f t="shared" si="532"/>
        <v>145.09666666666666</v>
      </c>
      <c r="AF346" s="188">
        <f t="shared" si="486"/>
        <v>2701.0266666666666</v>
      </c>
      <c r="AG346" s="188">
        <f t="shared" si="487"/>
        <v>236867.25</v>
      </c>
      <c r="AH346" s="188">
        <f t="shared" si="488"/>
        <v>562045.91999999993</v>
      </c>
      <c r="AI346" s="404">
        <f t="shared" si="478"/>
        <v>0</v>
      </c>
      <c r="AJ346" s="404">
        <f t="shared" si="432"/>
        <v>0</v>
      </c>
      <c r="AK346" s="404">
        <f t="shared" si="479"/>
        <v>0</v>
      </c>
      <c r="AL346" s="188">
        <f t="shared" si="489"/>
        <v>88842.749999999985</v>
      </c>
      <c r="AM346" s="317">
        <f t="shared" si="517"/>
        <v>26</v>
      </c>
      <c r="AN346" s="14">
        <f t="shared" si="480"/>
        <v>1944.5499999999997</v>
      </c>
      <c r="AO346" s="14">
        <f>IF(W346&lt;=0,0,+$AA$6-$C$2+I346-U346)</f>
        <v>31782.299999999988</v>
      </c>
      <c r="AP346" s="14">
        <f t="shared" si="481"/>
        <v>1944.5499999999997</v>
      </c>
      <c r="AS346" s="14">
        <f t="shared" si="512"/>
        <v>1944.5499999999997</v>
      </c>
      <c r="AT346" s="14">
        <f t="shared" si="518"/>
        <v>619830.89000000013</v>
      </c>
      <c r="AU346" s="188">
        <f>IF(W346&lt;=0,0,+($O$5+AV345)*$AQ$2/12)</f>
        <v>1856.1664887619281</v>
      </c>
      <c r="AV346" s="188">
        <f t="shared" si="519"/>
        <v>418612.76199353317</v>
      </c>
    </row>
    <row r="347" spans="1:48">
      <c r="A347" s="395">
        <f t="shared" si="467"/>
        <v>55800</v>
      </c>
      <c r="B347" s="188">
        <f t="shared" si="513"/>
        <v>57520.619999999923</v>
      </c>
      <c r="C347" s="14">
        <f t="shared" si="506"/>
        <v>559.88</v>
      </c>
      <c r="D347" s="14">
        <f t="shared" si="520"/>
        <v>344.18</v>
      </c>
      <c r="E347" s="14">
        <f t="shared" si="507"/>
        <v>215.7</v>
      </c>
      <c r="F347" s="14">
        <f t="shared" si="468"/>
        <v>51.5</v>
      </c>
      <c r="G347" s="14">
        <f t="shared" si="464"/>
        <v>145.09666666666666</v>
      </c>
      <c r="H347" s="14">
        <f t="shared" si="465"/>
        <v>756.47666666666669</v>
      </c>
      <c r="I347" s="188">
        <f t="shared" si="469"/>
        <v>65996.73</v>
      </c>
      <c r="J347" s="188">
        <f t="shared" si="470"/>
        <v>120343.6</v>
      </c>
      <c r="K347" s="188">
        <f t="shared" si="471"/>
        <v>57176.439999999922</v>
      </c>
      <c r="L347" s="317">
        <f t="shared" si="452"/>
        <v>26</v>
      </c>
      <c r="M347" s="317">
        <f>IF(N347&lt;&gt;"",IF(N347=$O$5,0,+M346+1),0)</f>
        <v>319</v>
      </c>
      <c r="N347" s="188">
        <f t="shared" si="514"/>
        <v>88842.749999999985</v>
      </c>
      <c r="O347" s="188">
        <f>IF($O$11&lt;=A347,IF(+$W346&lt;=0,0,$O$8),0)</f>
        <v>2504.4299999999998</v>
      </c>
      <c r="P347" s="188">
        <f t="shared" si="521"/>
        <v>1875.1299999999999</v>
      </c>
      <c r="Q347" s="188">
        <f>IF($O$11&lt;=A347,ROUND(N347*($O$7/12),2),0)</f>
        <v>629.29999999999995</v>
      </c>
      <c r="R347" s="188">
        <f t="shared" si="475"/>
        <v>51.5</v>
      </c>
      <c r="S347" s="188">
        <f t="shared" si="476"/>
        <v>145.09666666666666</v>
      </c>
      <c r="T347" s="188">
        <f t="shared" si="472"/>
        <v>2701.0266666666666</v>
      </c>
      <c r="U347" s="188">
        <f t="shared" si="522"/>
        <v>238742.38</v>
      </c>
      <c r="V347" s="188">
        <f t="shared" si="523"/>
        <v>562675.22</v>
      </c>
      <c r="W347" s="188">
        <f t="shared" si="473"/>
        <v>86967.619999999981</v>
      </c>
      <c r="X347" s="395">
        <f t="shared" si="515"/>
        <v>55800</v>
      </c>
      <c r="Y347" s="188">
        <f t="shared" si="483"/>
        <v>88842.749999999985</v>
      </c>
      <c r="Z347" s="388">
        <f t="shared" si="508"/>
        <v>8.4999999999999992E-2</v>
      </c>
      <c r="AA347" s="188">
        <f t="shared" si="509"/>
        <v>2504.4299999999998</v>
      </c>
      <c r="AB347" s="188">
        <f t="shared" si="484"/>
        <v>1875.1299999999999</v>
      </c>
      <c r="AC347" s="188">
        <f t="shared" si="510"/>
        <v>629.29999999999995</v>
      </c>
      <c r="AD347" s="188">
        <f t="shared" ref="AD347:AE347" si="533">+AD346</f>
        <v>51.5</v>
      </c>
      <c r="AE347" s="188">
        <f t="shared" si="533"/>
        <v>145.09666666666666</v>
      </c>
      <c r="AF347" s="188">
        <f t="shared" si="486"/>
        <v>2701.0266666666666</v>
      </c>
      <c r="AG347" s="188">
        <f t="shared" si="487"/>
        <v>238742.38</v>
      </c>
      <c r="AH347" s="188">
        <f t="shared" si="488"/>
        <v>562675.22</v>
      </c>
      <c r="AI347" s="404">
        <f t="shared" si="478"/>
        <v>0</v>
      </c>
      <c r="AJ347" s="404">
        <f t="shared" si="432"/>
        <v>0</v>
      </c>
      <c r="AK347" s="404">
        <f t="shared" si="479"/>
        <v>0</v>
      </c>
      <c r="AL347" s="188">
        <f t="shared" si="489"/>
        <v>86967.619999999981</v>
      </c>
      <c r="AM347" s="317">
        <f t="shared" si="517"/>
        <v>26</v>
      </c>
      <c r="AN347" s="14">
        <f t="shared" si="480"/>
        <v>1944.5499999999997</v>
      </c>
      <c r="AO347" s="14">
        <f>IF(W347&lt;=0,0,+$AA$6-$C$2+I347-U347)</f>
        <v>30251.349999999977</v>
      </c>
      <c r="AP347" s="14">
        <f t="shared" si="481"/>
        <v>1944.5499999999997</v>
      </c>
      <c r="AS347" s="14">
        <f t="shared" si="512"/>
        <v>1944.5499999999997</v>
      </c>
      <c r="AT347" s="14">
        <f t="shared" si="518"/>
        <v>621775.44000000018</v>
      </c>
      <c r="AU347" s="188">
        <f>IF(W347&lt;=0,0,+($O$5+AV346)*$AQ$2/12)</f>
        <v>1860.806904983833</v>
      </c>
      <c r="AV347" s="188">
        <f t="shared" si="519"/>
        <v>420473.568898517</v>
      </c>
    </row>
    <row r="348" spans="1:48">
      <c r="A348" s="395">
        <f t="shared" si="467"/>
        <v>55830</v>
      </c>
      <c r="B348" s="188">
        <f t="shared" si="513"/>
        <v>57176.439999999922</v>
      </c>
      <c r="C348" s="14">
        <f t="shared" si="506"/>
        <v>559.88</v>
      </c>
      <c r="D348" s="14">
        <f t="shared" si="520"/>
        <v>345.47</v>
      </c>
      <c r="E348" s="14">
        <f t="shared" si="507"/>
        <v>214.41</v>
      </c>
      <c r="F348" s="14">
        <f t="shared" si="468"/>
        <v>51.5</v>
      </c>
      <c r="G348" s="14">
        <f t="shared" si="464"/>
        <v>145.09666666666666</v>
      </c>
      <c r="H348" s="14">
        <f t="shared" si="465"/>
        <v>756.47666666666669</v>
      </c>
      <c r="I348" s="188">
        <f t="shared" si="469"/>
        <v>66342.2</v>
      </c>
      <c r="J348" s="188">
        <f t="shared" si="470"/>
        <v>120558.01000000001</v>
      </c>
      <c r="K348" s="188">
        <f t="shared" si="471"/>
        <v>56830.969999999921</v>
      </c>
      <c r="L348" s="317">
        <f t="shared" si="452"/>
        <v>26</v>
      </c>
      <c r="M348" s="317">
        <f>IF(N348&lt;&gt;"",IF(N348=$O$5,0,+M347+1),0)</f>
        <v>320</v>
      </c>
      <c r="N348" s="188">
        <f t="shared" si="514"/>
        <v>86967.619999999981</v>
      </c>
      <c r="O348" s="188">
        <f>IF($O$11&lt;=A348,IF(+$W347&lt;=0,0,$O$8),0)</f>
        <v>2504.4299999999998</v>
      </c>
      <c r="P348" s="188">
        <f t="shared" si="521"/>
        <v>1888.4099999999999</v>
      </c>
      <c r="Q348" s="188">
        <f>IF($O$11&lt;=A348,ROUND(N348*($O$7/12),2),0)</f>
        <v>616.02</v>
      </c>
      <c r="R348" s="188">
        <f t="shared" si="475"/>
        <v>51.5</v>
      </c>
      <c r="S348" s="188">
        <f t="shared" si="476"/>
        <v>145.09666666666666</v>
      </c>
      <c r="T348" s="188">
        <f t="shared" si="472"/>
        <v>2701.0266666666666</v>
      </c>
      <c r="U348" s="188">
        <f t="shared" si="522"/>
        <v>240630.79</v>
      </c>
      <c r="V348" s="188">
        <f t="shared" si="523"/>
        <v>563291.24</v>
      </c>
      <c r="W348" s="188">
        <f t="shared" si="473"/>
        <v>85079.209999999977</v>
      </c>
      <c r="X348" s="395">
        <f t="shared" si="515"/>
        <v>55830</v>
      </c>
      <c r="Y348" s="188">
        <f t="shared" si="483"/>
        <v>86967.619999999981</v>
      </c>
      <c r="Z348" s="388">
        <f t="shared" si="508"/>
        <v>8.4999999999999992E-2</v>
      </c>
      <c r="AA348" s="188">
        <f t="shared" si="509"/>
        <v>2504.4299999999998</v>
      </c>
      <c r="AB348" s="188">
        <f t="shared" si="484"/>
        <v>1888.4099999999999</v>
      </c>
      <c r="AC348" s="188">
        <f t="shared" si="510"/>
        <v>616.02</v>
      </c>
      <c r="AD348" s="188">
        <f t="shared" ref="AD348:AE348" si="534">+AD347</f>
        <v>51.5</v>
      </c>
      <c r="AE348" s="188">
        <f t="shared" si="534"/>
        <v>145.09666666666666</v>
      </c>
      <c r="AF348" s="188">
        <f t="shared" si="486"/>
        <v>2701.0266666666666</v>
      </c>
      <c r="AG348" s="188">
        <f t="shared" si="487"/>
        <v>240630.79</v>
      </c>
      <c r="AH348" s="188">
        <f t="shared" si="488"/>
        <v>563291.24</v>
      </c>
      <c r="AI348" s="404">
        <f t="shared" si="478"/>
        <v>0</v>
      </c>
      <c r="AJ348" s="404">
        <f t="shared" ref="AJ348:AJ411" si="535">+W348-AL348</f>
        <v>0</v>
      </c>
      <c r="AK348" s="404">
        <f t="shared" si="479"/>
        <v>0</v>
      </c>
      <c r="AL348" s="188">
        <f t="shared" si="489"/>
        <v>85079.209999999977</v>
      </c>
      <c r="AM348" s="317">
        <f t="shared" si="517"/>
        <v>26</v>
      </c>
      <c r="AN348" s="14">
        <f t="shared" si="480"/>
        <v>1944.5499999999997</v>
      </c>
      <c r="AO348" s="14">
        <f>IF(W348&lt;=0,0,+$AA$6-$C$2+I348-U348)</f>
        <v>28708.410000000003</v>
      </c>
      <c r="AP348" s="14">
        <f t="shared" si="481"/>
        <v>1944.5499999999997</v>
      </c>
      <c r="AS348" s="14">
        <f t="shared" si="512"/>
        <v>1944.5499999999997</v>
      </c>
      <c r="AT348" s="14">
        <f t="shared" si="518"/>
        <v>623719.99000000022</v>
      </c>
      <c r="AU348" s="188">
        <f>IF(W348&lt;=0,0,+($O$5+AV347)*$AQ$2/12)</f>
        <v>1865.4589222462921</v>
      </c>
      <c r="AV348" s="188">
        <f t="shared" si="519"/>
        <v>422339.02782076329</v>
      </c>
    </row>
    <row r="349" spans="1:48">
      <c r="A349" s="395">
        <f t="shared" si="467"/>
        <v>55860</v>
      </c>
      <c r="B349" s="188">
        <f t="shared" si="513"/>
        <v>56830.969999999921</v>
      </c>
      <c r="C349" s="14">
        <f t="shared" si="506"/>
        <v>559.88</v>
      </c>
      <c r="D349" s="14">
        <f t="shared" si="520"/>
        <v>346.76</v>
      </c>
      <c r="E349" s="14">
        <f t="shared" si="507"/>
        <v>213.12</v>
      </c>
      <c r="F349" s="14">
        <f t="shared" si="468"/>
        <v>51.5</v>
      </c>
      <c r="G349" s="14">
        <f t="shared" si="464"/>
        <v>145.09666666666666</v>
      </c>
      <c r="H349" s="14">
        <f t="shared" si="465"/>
        <v>756.47666666666669</v>
      </c>
      <c r="I349" s="188">
        <f t="shared" si="469"/>
        <v>66688.959999999992</v>
      </c>
      <c r="J349" s="188">
        <f t="shared" si="470"/>
        <v>120771.13</v>
      </c>
      <c r="K349" s="188">
        <f t="shared" si="471"/>
        <v>56484.209999999919</v>
      </c>
      <c r="L349" s="317">
        <f t="shared" si="452"/>
        <v>26</v>
      </c>
      <c r="M349" s="317">
        <f>IF(N349&lt;&gt;"",IF(N349=$O$5,0,+M348+1),0)</f>
        <v>321</v>
      </c>
      <c r="N349" s="188">
        <f t="shared" si="514"/>
        <v>85079.209999999977</v>
      </c>
      <c r="O349" s="188">
        <f>IF($O$11&lt;=A349,IF(+$W348&lt;=0,0,$O$8),0)</f>
        <v>2504.4299999999998</v>
      </c>
      <c r="P349" s="188">
        <f t="shared" si="521"/>
        <v>1901.79</v>
      </c>
      <c r="Q349" s="188">
        <f>IF($O$11&lt;=A349,ROUND(N349*($O$7/12),2),0)</f>
        <v>602.64</v>
      </c>
      <c r="R349" s="188">
        <f t="shared" si="475"/>
        <v>51.5</v>
      </c>
      <c r="S349" s="188">
        <f t="shared" si="476"/>
        <v>145.09666666666666</v>
      </c>
      <c r="T349" s="188">
        <f t="shared" si="472"/>
        <v>2701.0266666666666</v>
      </c>
      <c r="U349" s="188">
        <f t="shared" si="522"/>
        <v>242532.58000000002</v>
      </c>
      <c r="V349" s="188">
        <f t="shared" si="523"/>
        <v>563893.88</v>
      </c>
      <c r="W349" s="188">
        <f t="shared" si="473"/>
        <v>83177.419999999984</v>
      </c>
      <c r="X349" s="395">
        <f t="shared" si="515"/>
        <v>55860</v>
      </c>
      <c r="Y349" s="188">
        <f t="shared" si="483"/>
        <v>85079.209999999977</v>
      </c>
      <c r="Z349" s="388">
        <f t="shared" si="508"/>
        <v>8.4999999999999992E-2</v>
      </c>
      <c r="AA349" s="188">
        <f t="shared" si="509"/>
        <v>2504.4299999999998</v>
      </c>
      <c r="AB349" s="188">
        <f t="shared" si="484"/>
        <v>1901.79</v>
      </c>
      <c r="AC349" s="188">
        <f t="shared" si="510"/>
        <v>602.64</v>
      </c>
      <c r="AD349" s="188">
        <f t="shared" ref="AD349:AE349" si="536">+AD348</f>
        <v>51.5</v>
      </c>
      <c r="AE349" s="188">
        <f t="shared" si="536"/>
        <v>145.09666666666666</v>
      </c>
      <c r="AF349" s="188">
        <f t="shared" si="486"/>
        <v>2701.0266666666666</v>
      </c>
      <c r="AG349" s="188">
        <f t="shared" si="487"/>
        <v>242532.58000000002</v>
      </c>
      <c r="AH349" s="188">
        <f t="shared" si="488"/>
        <v>563893.88</v>
      </c>
      <c r="AI349" s="404">
        <f t="shared" si="478"/>
        <v>0</v>
      </c>
      <c r="AJ349" s="404">
        <f t="shared" si="535"/>
        <v>0</v>
      </c>
      <c r="AK349" s="404">
        <f t="shared" si="479"/>
        <v>0</v>
      </c>
      <c r="AL349" s="188">
        <f t="shared" si="489"/>
        <v>83177.419999999984</v>
      </c>
      <c r="AM349" s="317">
        <f t="shared" si="517"/>
        <v>26</v>
      </c>
      <c r="AN349" s="14">
        <f t="shared" si="480"/>
        <v>1944.5499999999997</v>
      </c>
      <c r="AO349" s="14">
        <f>IF(W349&lt;=0,0,+$AA$6-$C$2+I349-U349)</f>
        <v>27153.379999999946</v>
      </c>
      <c r="AP349" s="14">
        <f t="shared" si="481"/>
        <v>1944.5499999999997</v>
      </c>
      <c r="AS349" s="14">
        <f t="shared" si="512"/>
        <v>1944.5499999999997</v>
      </c>
      <c r="AT349" s="14">
        <f t="shared" si="518"/>
        <v>625664.54000000027</v>
      </c>
      <c r="AU349" s="188">
        <f>IF(W349&lt;=0,0,+($O$5+AV348)*$AQ$2/12)</f>
        <v>1870.1225695519081</v>
      </c>
      <c r="AV349" s="188">
        <f t="shared" si="519"/>
        <v>424209.15039031522</v>
      </c>
    </row>
    <row r="350" spans="1:48">
      <c r="A350" s="395">
        <f t="shared" si="467"/>
        <v>55890</v>
      </c>
      <c r="B350" s="188">
        <f t="shared" si="513"/>
        <v>56484.209999999919</v>
      </c>
      <c r="C350" s="14">
        <f t="shared" si="506"/>
        <v>559.88</v>
      </c>
      <c r="D350" s="14">
        <f t="shared" si="520"/>
        <v>348.06</v>
      </c>
      <c r="E350" s="14">
        <f t="shared" si="507"/>
        <v>211.82</v>
      </c>
      <c r="F350" s="14">
        <f t="shared" si="468"/>
        <v>51.5</v>
      </c>
      <c r="G350" s="14">
        <f t="shared" si="464"/>
        <v>145.09666666666666</v>
      </c>
      <c r="H350" s="14">
        <f t="shared" si="465"/>
        <v>756.47666666666669</v>
      </c>
      <c r="I350" s="188">
        <f t="shared" si="469"/>
        <v>67037.01999999999</v>
      </c>
      <c r="J350" s="188">
        <f t="shared" si="470"/>
        <v>120982.95000000001</v>
      </c>
      <c r="K350" s="188">
        <f t="shared" si="471"/>
        <v>56136.149999999921</v>
      </c>
      <c r="L350" s="317">
        <f t="shared" si="452"/>
        <v>26</v>
      </c>
      <c r="M350" s="317">
        <f>IF(N350&lt;&gt;"",IF(N350=$O$5,0,+M349+1),0)</f>
        <v>322</v>
      </c>
      <c r="N350" s="188">
        <f t="shared" si="514"/>
        <v>83177.419999999984</v>
      </c>
      <c r="O350" s="188">
        <f>IF($O$11&lt;=A350,IF(+$W349&lt;=0,0,$O$8),0)</f>
        <v>2504.4299999999998</v>
      </c>
      <c r="P350" s="188">
        <f t="shared" si="521"/>
        <v>1915.2599999999998</v>
      </c>
      <c r="Q350" s="188">
        <f>IF($O$11&lt;=A350,ROUND(N350*($O$7/12),2),0)</f>
        <v>589.16999999999996</v>
      </c>
      <c r="R350" s="188">
        <f t="shared" si="475"/>
        <v>51.5</v>
      </c>
      <c r="S350" s="188">
        <f t="shared" si="476"/>
        <v>145.09666666666666</v>
      </c>
      <c r="T350" s="188">
        <f t="shared" si="472"/>
        <v>2701.0266666666666</v>
      </c>
      <c r="U350" s="188">
        <f t="shared" si="522"/>
        <v>244447.84000000003</v>
      </c>
      <c r="V350" s="188">
        <f t="shared" si="523"/>
        <v>564483.05000000005</v>
      </c>
      <c r="W350" s="188">
        <f t="shared" si="473"/>
        <v>81262.159999999989</v>
      </c>
      <c r="X350" s="395">
        <f t="shared" si="515"/>
        <v>55890</v>
      </c>
      <c r="Y350" s="188">
        <f t="shared" si="483"/>
        <v>83177.419999999984</v>
      </c>
      <c r="Z350" s="388">
        <f t="shared" si="508"/>
        <v>8.4999999999999992E-2</v>
      </c>
      <c r="AA350" s="188">
        <f t="shared" si="509"/>
        <v>2504.4299999999998</v>
      </c>
      <c r="AB350" s="188">
        <f t="shared" si="484"/>
        <v>1915.2599999999998</v>
      </c>
      <c r="AC350" s="188">
        <f t="shared" si="510"/>
        <v>589.16999999999996</v>
      </c>
      <c r="AD350" s="188">
        <f t="shared" ref="AD350:AE350" si="537">+AD349</f>
        <v>51.5</v>
      </c>
      <c r="AE350" s="188">
        <f t="shared" si="537"/>
        <v>145.09666666666666</v>
      </c>
      <c r="AF350" s="188">
        <f t="shared" si="486"/>
        <v>2701.0266666666666</v>
      </c>
      <c r="AG350" s="188">
        <f t="shared" si="487"/>
        <v>244447.84000000003</v>
      </c>
      <c r="AH350" s="188">
        <f t="shared" si="488"/>
        <v>564483.05000000005</v>
      </c>
      <c r="AI350" s="404">
        <f t="shared" si="478"/>
        <v>0</v>
      </c>
      <c r="AJ350" s="404">
        <f t="shared" si="535"/>
        <v>0</v>
      </c>
      <c r="AK350" s="404">
        <f t="shared" si="479"/>
        <v>0</v>
      </c>
      <c r="AL350" s="188">
        <f t="shared" si="489"/>
        <v>81262.159999999989</v>
      </c>
      <c r="AM350" s="317">
        <f t="shared" si="517"/>
        <v>26</v>
      </c>
      <c r="AN350" s="14">
        <f t="shared" si="480"/>
        <v>1944.5499999999997</v>
      </c>
      <c r="AO350" s="14">
        <f>IF(W350&lt;=0,0,+$AA$6-$C$2+I350-U350)</f>
        <v>25586.179999999993</v>
      </c>
      <c r="AP350" s="14">
        <f t="shared" si="481"/>
        <v>1944.5499999999997</v>
      </c>
      <c r="AS350" s="14">
        <f t="shared" si="512"/>
        <v>1944.5499999999997</v>
      </c>
      <c r="AT350" s="14">
        <f t="shared" si="518"/>
        <v>627609.09000000032</v>
      </c>
      <c r="AU350" s="188">
        <f>IF(W350&lt;=0,0,+($O$5+AV349)*$AQ$2/12)</f>
        <v>1874.797875975788</v>
      </c>
      <c r="AV350" s="188">
        <f t="shared" si="519"/>
        <v>426083.948266291</v>
      </c>
    </row>
    <row r="351" spans="1:48" ht="15.75" thickBot="1">
      <c r="A351" s="398">
        <f t="shared" si="467"/>
        <v>55920</v>
      </c>
      <c r="B351" s="237">
        <f t="shared" si="513"/>
        <v>56136.149999999921</v>
      </c>
      <c r="C351" s="21">
        <f t="shared" si="506"/>
        <v>559.88</v>
      </c>
      <c r="D351" s="21">
        <f t="shared" si="520"/>
        <v>349.37</v>
      </c>
      <c r="E351" s="21">
        <f t="shared" si="507"/>
        <v>210.51</v>
      </c>
      <c r="F351" s="21">
        <f t="shared" si="468"/>
        <v>51.5</v>
      </c>
      <c r="G351" s="21">
        <f t="shared" si="464"/>
        <v>145.09666666666666</v>
      </c>
      <c r="H351" s="21">
        <f t="shared" si="465"/>
        <v>756.47666666666669</v>
      </c>
      <c r="I351" s="237">
        <f t="shared" si="469"/>
        <v>67386.389999999985</v>
      </c>
      <c r="J351" s="237">
        <f t="shared" si="470"/>
        <v>121193.46</v>
      </c>
      <c r="K351" s="237">
        <f t="shared" si="471"/>
        <v>55786.779999999919</v>
      </c>
      <c r="L351" s="318">
        <f t="shared" si="452"/>
        <v>26</v>
      </c>
      <c r="M351" s="318">
        <f>IF(N351&lt;&gt;"",IF(N351=$O$5,0,+M350+1),0)</f>
        <v>323</v>
      </c>
      <c r="N351" s="237">
        <f t="shared" si="514"/>
        <v>81262.159999999989</v>
      </c>
      <c r="O351" s="237">
        <f>IF($O$11&lt;=A351,IF(+$W350&lt;=0,0,$O$8),0)</f>
        <v>2504.4299999999998</v>
      </c>
      <c r="P351" s="237">
        <f t="shared" si="521"/>
        <v>1928.8199999999997</v>
      </c>
      <c r="Q351" s="237">
        <f>IF($O$11&lt;=A351,ROUND(N351*($O$7/12),2),0)</f>
        <v>575.61</v>
      </c>
      <c r="R351" s="237">
        <f t="shared" si="475"/>
        <v>51.5</v>
      </c>
      <c r="S351" s="237">
        <f t="shared" si="476"/>
        <v>145.09666666666666</v>
      </c>
      <c r="T351" s="237">
        <f t="shared" si="472"/>
        <v>2701.0266666666666</v>
      </c>
      <c r="U351" s="237">
        <f t="shared" si="522"/>
        <v>246376.66000000003</v>
      </c>
      <c r="V351" s="237">
        <f t="shared" si="523"/>
        <v>565058.66</v>
      </c>
      <c r="W351" s="237">
        <f t="shared" si="473"/>
        <v>79333.34</v>
      </c>
      <c r="X351" s="398">
        <f t="shared" si="515"/>
        <v>55920</v>
      </c>
      <c r="Y351" s="237">
        <f t="shared" si="483"/>
        <v>81262.159999999989</v>
      </c>
      <c r="Z351" s="389">
        <f t="shared" si="508"/>
        <v>8.4999999999999992E-2</v>
      </c>
      <c r="AA351" s="237">
        <f t="shared" si="509"/>
        <v>2504.4299999999998</v>
      </c>
      <c r="AB351" s="237">
        <f t="shared" si="484"/>
        <v>1928.8199999999997</v>
      </c>
      <c r="AC351" s="237">
        <f t="shared" si="510"/>
        <v>575.61</v>
      </c>
      <c r="AD351" s="237">
        <f t="shared" ref="AD351:AE351" si="538">+AD350</f>
        <v>51.5</v>
      </c>
      <c r="AE351" s="237">
        <f t="shared" si="538"/>
        <v>145.09666666666666</v>
      </c>
      <c r="AF351" s="237">
        <f t="shared" si="486"/>
        <v>2701.0266666666666</v>
      </c>
      <c r="AG351" s="237">
        <f t="shared" si="487"/>
        <v>246376.66000000003</v>
      </c>
      <c r="AH351" s="237">
        <f t="shared" si="488"/>
        <v>565058.66</v>
      </c>
      <c r="AI351" s="405">
        <f t="shared" si="478"/>
        <v>0</v>
      </c>
      <c r="AJ351" s="405">
        <f t="shared" si="535"/>
        <v>0</v>
      </c>
      <c r="AK351" s="404">
        <f t="shared" si="479"/>
        <v>0</v>
      </c>
      <c r="AL351" s="237">
        <f t="shared" si="489"/>
        <v>79333.34</v>
      </c>
      <c r="AM351" s="318">
        <f t="shared" si="517"/>
        <v>26</v>
      </c>
      <c r="AN351" s="21">
        <f t="shared" si="480"/>
        <v>1944.5499999999997</v>
      </c>
      <c r="AO351" s="21">
        <f>IF(W351&lt;=0,0,+$AA$6-$C$2+I351-U351)</f>
        <v>24006.729999999981</v>
      </c>
      <c r="AP351" s="21">
        <f t="shared" si="481"/>
        <v>1944.5499999999997</v>
      </c>
      <c r="AQ351" s="21"/>
      <c r="AR351" s="23"/>
      <c r="AS351" s="21">
        <f t="shared" si="512"/>
        <v>1944.5499999999997</v>
      </c>
      <c r="AT351" s="21">
        <f t="shared" si="518"/>
        <v>629553.64000000036</v>
      </c>
      <c r="AU351" s="237">
        <f>IF(W351&lt;=0,0,+($O$5+AV350)*$AQ$2/12)</f>
        <v>1879.4848706657276</v>
      </c>
      <c r="AV351" s="237">
        <f t="shared" si="519"/>
        <v>427963.43313695671</v>
      </c>
    </row>
    <row r="352" spans="1:48">
      <c r="A352" s="395">
        <f t="shared" si="467"/>
        <v>55950</v>
      </c>
      <c r="B352" s="188">
        <f t="shared" si="513"/>
        <v>55786.779999999919</v>
      </c>
      <c r="C352" s="14">
        <f t="shared" si="506"/>
        <v>559.88</v>
      </c>
      <c r="D352" s="14">
        <f t="shared" si="520"/>
        <v>350.68</v>
      </c>
      <c r="E352" s="14">
        <f t="shared" si="507"/>
        <v>209.2</v>
      </c>
      <c r="F352" s="14">
        <f t="shared" si="468"/>
        <v>51.5</v>
      </c>
      <c r="G352" s="14">
        <f t="shared" si="464"/>
        <v>145.09666666666666</v>
      </c>
      <c r="H352" s="14">
        <f t="shared" si="465"/>
        <v>756.47666666666669</v>
      </c>
      <c r="I352" s="188">
        <f t="shared" si="469"/>
        <v>67737.069999999978</v>
      </c>
      <c r="J352" s="188">
        <f t="shared" si="470"/>
        <v>121402.66</v>
      </c>
      <c r="K352" s="188">
        <f t="shared" si="471"/>
        <v>55436.099999999919</v>
      </c>
      <c r="L352" s="317">
        <f t="shared" si="452"/>
        <v>27</v>
      </c>
      <c r="M352" s="317">
        <f>IF(N352&lt;&gt;"",IF(N352=$O$5,0,+M351+1),0)</f>
        <v>324</v>
      </c>
      <c r="N352" s="188">
        <f t="shared" si="514"/>
        <v>79333.34</v>
      </c>
      <c r="O352" s="188">
        <f>IF($O$11&lt;=A352,IF(+$W351&lt;=0,0,$O$8),0)</f>
        <v>2504.4299999999998</v>
      </c>
      <c r="P352" s="188">
        <f t="shared" si="521"/>
        <v>1942.4899999999998</v>
      </c>
      <c r="Q352" s="188">
        <f>IF($O$11&lt;=A352,ROUND(N352*($O$7/12),2),0)</f>
        <v>561.94000000000005</v>
      </c>
      <c r="R352" s="188">
        <f t="shared" si="475"/>
        <v>51.5</v>
      </c>
      <c r="S352" s="188">
        <f t="shared" si="476"/>
        <v>145.09666666666666</v>
      </c>
      <c r="T352" s="188">
        <f t="shared" si="472"/>
        <v>2701.0266666666666</v>
      </c>
      <c r="U352" s="188">
        <f t="shared" si="522"/>
        <v>248319.15000000002</v>
      </c>
      <c r="V352" s="188">
        <f t="shared" si="523"/>
        <v>565620.6</v>
      </c>
      <c r="W352" s="188">
        <f t="shared" si="473"/>
        <v>77390.849999999991</v>
      </c>
      <c r="X352" s="395">
        <f t="shared" si="515"/>
        <v>55950</v>
      </c>
      <c r="Y352" s="188">
        <f t="shared" si="483"/>
        <v>79333.34</v>
      </c>
      <c r="Z352" s="388">
        <f t="shared" si="508"/>
        <v>8.4999999999999992E-2</v>
      </c>
      <c r="AA352" s="188">
        <f t="shared" si="509"/>
        <v>2504.4299999999998</v>
      </c>
      <c r="AB352" s="188">
        <f t="shared" si="484"/>
        <v>1942.4899999999998</v>
      </c>
      <c r="AC352" s="188">
        <f t="shared" si="510"/>
        <v>561.94000000000005</v>
      </c>
      <c r="AD352" s="188">
        <f t="shared" ref="AD352:AE352" si="539">+AD351</f>
        <v>51.5</v>
      </c>
      <c r="AE352" s="188">
        <f t="shared" si="539"/>
        <v>145.09666666666666</v>
      </c>
      <c r="AF352" s="188">
        <f t="shared" si="486"/>
        <v>2701.0266666666666</v>
      </c>
      <c r="AG352" s="188">
        <f t="shared" si="487"/>
        <v>248319.15000000002</v>
      </c>
      <c r="AH352" s="188">
        <f t="shared" si="488"/>
        <v>565620.6</v>
      </c>
      <c r="AI352" s="404">
        <f t="shared" si="478"/>
        <v>0</v>
      </c>
      <c r="AJ352" s="404">
        <f t="shared" si="535"/>
        <v>0</v>
      </c>
      <c r="AK352" s="404">
        <f t="shared" si="479"/>
        <v>0</v>
      </c>
      <c r="AL352" s="188">
        <f t="shared" si="489"/>
        <v>77390.849999999991</v>
      </c>
      <c r="AM352" s="317">
        <f t="shared" si="517"/>
        <v>27</v>
      </c>
      <c r="AN352" s="14">
        <f t="shared" si="480"/>
        <v>1944.5499999999997</v>
      </c>
      <c r="AO352" s="14">
        <f>IF(W352&lt;=0,0,+$AA$6-$C$2+I352-U352)</f>
        <v>22414.919999999925</v>
      </c>
      <c r="AP352" s="14">
        <f t="shared" si="481"/>
        <v>1944.5499999999997</v>
      </c>
      <c r="AS352" s="14">
        <f t="shared" si="512"/>
        <v>1944.5499999999997</v>
      </c>
      <c r="AT352" s="14">
        <f t="shared" si="518"/>
        <v>631498.19000000041</v>
      </c>
      <c r="AU352" s="188">
        <f>IF(W352&lt;=0,0,+($O$5+AV351)*$AQ$2/12)</f>
        <v>1884.1835828423918</v>
      </c>
      <c r="AV352" s="188">
        <f t="shared" si="519"/>
        <v>429847.61671979912</v>
      </c>
    </row>
    <row r="353" spans="1:48">
      <c r="A353" s="395">
        <f t="shared" si="467"/>
        <v>55980</v>
      </c>
      <c r="B353" s="188">
        <f t="shared" si="513"/>
        <v>55436.099999999919</v>
      </c>
      <c r="C353" s="14">
        <f t="shared" si="506"/>
        <v>559.88</v>
      </c>
      <c r="D353" s="14">
        <f t="shared" si="520"/>
        <v>351.99</v>
      </c>
      <c r="E353" s="14">
        <f t="shared" si="507"/>
        <v>207.89</v>
      </c>
      <c r="F353" s="14">
        <f t="shared" si="468"/>
        <v>51.5</v>
      </c>
      <c r="G353" s="14">
        <f t="shared" si="464"/>
        <v>145.09666666666666</v>
      </c>
      <c r="H353" s="14">
        <f t="shared" si="465"/>
        <v>756.47666666666669</v>
      </c>
      <c r="I353" s="188">
        <f t="shared" si="469"/>
        <v>68089.059999999983</v>
      </c>
      <c r="J353" s="188">
        <f t="shared" si="470"/>
        <v>121610.55</v>
      </c>
      <c r="K353" s="188">
        <f t="shared" si="471"/>
        <v>55084.109999999921</v>
      </c>
      <c r="L353" s="317">
        <f t="shared" si="452"/>
        <v>27</v>
      </c>
      <c r="M353" s="317">
        <f>IF(N353&lt;&gt;"",IF(N353=$O$5,0,+M352+1),0)</f>
        <v>325</v>
      </c>
      <c r="N353" s="188">
        <f t="shared" si="514"/>
        <v>77390.849999999991</v>
      </c>
      <c r="O353" s="188">
        <f>IF($O$11&lt;=A353,IF(+$W352&lt;=0,0,$O$8),0)</f>
        <v>2504.4299999999998</v>
      </c>
      <c r="P353" s="188">
        <f t="shared" si="521"/>
        <v>1956.2399999999998</v>
      </c>
      <c r="Q353" s="188">
        <f>IF($O$11&lt;=A353,ROUND(N353*($O$7/12),2),0)</f>
        <v>548.19000000000005</v>
      </c>
      <c r="R353" s="188">
        <f t="shared" si="475"/>
        <v>51.5</v>
      </c>
      <c r="S353" s="188">
        <f t="shared" si="476"/>
        <v>145.09666666666666</v>
      </c>
      <c r="T353" s="188">
        <f t="shared" si="472"/>
        <v>2701.0266666666666</v>
      </c>
      <c r="U353" s="188">
        <f t="shared" si="522"/>
        <v>250275.39</v>
      </c>
      <c r="V353" s="188">
        <f t="shared" si="523"/>
        <v>566168.78999999992</v>
      </c>
      <c r="W353" s="188">
        <f t="shared" si="473"/>
        <v>75434.609999999986</v>
      </c>
      <c r="X353" s="395">
        <f t="shared" si="515"/>
        <v>55980</v>
      </c>
      <c r="Y353" s="188">
        <f t="shared" si="483"/>
        <v>77390.849999999991</v>
      </c>
      <c r="Z353" s="388">
        <f t="shared" si="508"/>
        <v>8.4999999999999992E-2</v>
      </c>
      <c r="AA353" s="188">
        <f t="shared" si="509"/>
        <v>2504.4299999999998</v>
      </c>
      <c r="AB353" s="188">
        <f t="shared" si="484"/>
        <v>1956.2399999999998</v>
      </c>
      <c r="AC353" s="188">
        <f t="shared" si="510"/>
        <v>548.19000000000005</v>
      </c>
      <c r="AD353" s="188">
        <f t="shared" ref="AD353:AE353" si="540">+AD352</f>
        <v>51.5</v>
      </c>
      <c r="AE353" s="188">
        <f t="shared" si="540"/>
        <v>145.09666666666666</v>
      </c>
      <c r="AF353" s="188">
        <f t="shared" si="486"/>
        <v>2701.0266666666666</v>
      </c>
      <c r="AG353" s="188">
        <f t="shared" si="487"/>
        <v>250275.39</v>
      </c>
      <c r="AH353" s="188">
        <f t="shared" si="488"/>
        <v>566168.78999999992</v>
      </c>
      <c r="AI353" s="404">
        <f t="shared" si="478"/>
        <v>0</v>
      </c>
      <c r="AJ353" s="404">
        <f t="shared" si="535"/>
        <v>0</v>
      </c>
      <c r="AK353" s="404">
        <f t="shared" si="479"/>
        <v>0</v>
      </c>
      <c r="AL353" s="188">
        <f t="shared" si="489"/>
        <v>75434.609999999986</v>
      </c>
      <c r="AM353" s="317">
        <f t="shared" si="517"/>
        <v>27</v>
      </c>
      <c r="AN353" s="14">
        <f t="shared" si="480"/>
        <v>1944.5499999999997</v>
      </c>
      <c r="AO353" s="14">
        <f>IF(W353&lt;=0,0,+$AA$6-$C$2+I353-U353)</f>
        <v>20810.669999999984</v>
      </c>
      <c r="AP353" s="14">
        <f t="shared" si="481"/>
        <v>1944.5499999999997</v>
      </c>
      <c r="AS353" s="14">
        <f t="shared" si="512"/>
        <v>1944.5499999999997</v>
      </c>
      <c r="AT353" s="14">
        <f t="shared" si="518"/>
        <v>633442.74000000046</v>
      </c>
      <c r="AU353" s="188">
        <f>IF(W353&lt;=0,0,+($O$5+AV352)*$AQ$2/12)</f>
        <v>1888.8940417994979</v>
      </c>
      <c r="AV353" s="188">
        <f t="shared" si="519"/>
        <v>431736.51076159859</v>
      </c>
    </row>
    <row r="354" spans="1:48">
      <c r="A354" s="395">
        <f t="shared" si="467"/>
        <v>56010</v>
      </c>
      <c r="B354" s="188">
        <f t="shared" si="513"/>
        <v>55084.109999999921</v>
      </c>
      <c r="C354" s="14">
        <f t="shared" si="506"/>
        <v>559.88</v>
      </c>
      <c r="D354" s="14">
        <f t="shared" si="520"/>
        <v>353.31</v>
      </c>
      <c r="E354" s="14">
        <f t="shared" si="507"/>
        <v>206.57</v>
      </c>
      <c r="F354" s="14">
        <f t="shared" si="468"/>
        <v>51.5</v>
      </c>
      <c r="G354" s="14">
        <f t="shared" si="464"/>
        <v>145.09666666666666</v>
      </c>
      <c r="H354" s="14">
        <f t="shared" si="465"/>
        <v>756.47666666666669</v>
      </c>
      <c r="I354" s="188">
        <f t="shared" si="469"/>
        <v>68442.369999999981</v>
      </c>
      <c r="J354" s="188">
        <f t="shared" si="470"/>
        <v>121817.12000000001</v>
      </c>
      <c r="K354" s="188">
        <f t="shared" si="471"/>
        <v>54730.799999999923</v>
      </c>
      <c r="L354" s="317">
        <f t="shared" si="452"/>
        <v>27</v>
      </c>
      <c r="M354" s="317">
        <f>IF(N354&lt;&gt;"",IF(N354=$O$5,0,+M353+1),0)</f>
        <v>326</v>
      </c>
      <c r="N354" s="188">
        <f t="shared" si="514"/>
        <v>75434.609999999986</v>
      </c>
      <c r="O354" s="188">
        <f>IF($O$11&lt;=A354,IF(+$W353&lt;=0,0,$O$8),0)</f>
        <v>2504.4299999999998</v>
      </c>
      <c r="P354" s="188">
        <f t="shared" si="521"/>
        <v>1970.1</v>
      </c>
      <c r="Q354" s="188">
        <f>IF($O$11&lt;=A354,ROUND(N354*($O$7/12),2),0)</f>
        <v>534.33000000000004</v>
      </c>
      <c r="R354" s="188">
        <f t="shared" si="475"/>
        <v>51.5</v>
      </c>
      <c r="S354" s="188">
        <f t="shared" si="476"/>
        <v>145.09666666666666</v>
      </c>
      <c r="T354" s="188">
        <f t="shared" si="472"/>
        <v>2701.0266666666666</v>
      </c>
      <c r="U354" s="188">
        <f t="shared" si="522"/>
        <v>252245.49000000002</v>
      </c>
      <c r="V354" s="188">
        <f t="shared" si="523"/>
        <v>566703.11999999988</v>
      </c>
      <c r="W354" s="188">
        <f t="shared" si="473"/>
        <v>73464.50999999998</v>
      </c>
      <c r="X354" s="395">
        <f t="shared" si="515"/>
        <v>56010</v>
      </c>
      <c r="Y354" s="188">
        <f t="shared" si="483"/>
        <v>75434.609999999986</v>
      </c>
      <c r="Z354" s="388">
        <f t="shared" si="508"/>
        <v>8.4999999999999992E-2</v>
      </c>
      <c r="AA354" s="188">
        <f t="shared" si="509"/>
        <v>2504.4299999999998</v>
      </c>
      <c r="AB354" s="188">
        <f t="shared" si="484"/>
        <v>1970.1</v>
      </c>
      <c r="AC354" s="188">
        <f t="shared" si="510"/>
        <v>534.33000000000004</v>
      </c>
      <c r="AD354" s="188">
        <f t="shared" ref="AD354:AE354" si="541">+AD353</f>
        <v>51.5</v>
      </c>
      <c r="AE354" s="188">
        <f t="shared" si="541"/>
        <v>145.09666666666666</v>
      </c>
      <c r="AF354" s="188">
        <f t="shared" si="486"/>
        <v>2701.0266666666666</v>
      </c>
      <c r="AG354" s="188">
        <f t="shared" si="487"/>
        <v>252245.49000000002</v>
      </c>
      <c r="AH354" s="188">
        <f t="shared" si="488"/>
        <v>566703.11999999988</v>
      </c>
      <c r="AI354" s="404">
        <f t="shared" si="478"/>
        <v>0</v>
      </c>
      <c r="AJ354" s="404">
        <f t="shared" si="535"/>
        <v>0</v>
      </c>
      <c r="AK354" s="404">
        <f t="shared" si="479"/>
        <v>0</v>
      </c>
      <c r="AL354" s="188">
        <f t="shared" si="489"/>
        <v>73464.50999999998</v>
      </c>
      <c r="AM354" s="317">
        <f t="shared" si="517"/>
        <v>27</v>
      </c>
      <c r="AN354" s="14">
        <f t="shared" si="480"/>
        <v>1944.5499999999997</v>
      </c>
      <c r="AO354" s="14">
        <f>IF(W354&lt;=0,0,+$AA$6-$C$2+I354-U354)</f>
        <v>19193.879999999976</v>
      </c>
      <c r="AP354" s="14">
        <f t="shared" si="481"/>
        <v>1944.5499999999997</v>
      </c>
      <c r="AS354" s="14">
        <f t="shared" si="512"/>
        <v>1944.5499999999997</v>
      </c>
      <c r="AT354" s="14">
        <f t="shared" si="518"/>
        <v>635387.2900000005</v>
      </c>
      <c r="AU354" s="188">
        <f>IF(W354&lt;=0,0,+($O$5+AV353)*$AQ$2/12)</f>
        <v>1893.6162769039965</v>
      </c>
      <c r="AV354" s="188">
        <f t="shared" si="519"/>
        <v>433630.1270385026</v>
      </c>
    </row>
    <row r="355" spans="1:48">
      <c r="A355" s="395">
        <f t="shared" si="467"/>
        <v>56040</v>
      </c>
      <c r="B355" s="188">
        <f t="shared" si="513"/>
        <v>54730.799999999923</v>
      </c>
      <c r="C355" s="14">
        <f t="shared" si="506"/>
        <v>559.88</v>
      </c>
      <c r="D355" s="14">
        <f t="shared" si="520"/>
        <v>354.64</v>
      </c>
      <c r="E355" s="14">
        <f t="shared" si="507"/>
        <v>205.24</v>
      </c>
      <c r="F355" s="14">
        <f t="shared" si="468"/>
        <v>51.5</v>
      </c>
      <c r="G355" s="14">
        <f t="shared" si="464"/>
        <v>145.09666666666666</v>
      </c>
      <c r="H355" s="14">
        <f t="shared" si="465"/>
        <v>756.47666666666669</v>
      </c>
      <c r="I355" s="188">
        <f t="shared" si="469"/>
        <v>68797.00999999998</v>
      </c>
      <c r="J355" s="188">
        <f t="shared" si="470"/>
        <v>122022.36000000002</v>
      </c>
      <c r="K355" s="188">
        <f t="shared" si="471"/>
        <v>54376.159999999923</v>
      </c>
      <c r="L355" s="317">
        <f t="shared" si="452"/>
        <v>27</v>
      </c>
      <c r="M355" s="317">
        <f>IF(N355&lt;&gt;"",IF(N355=$O$5,0,+M354+1),0)</f>
        <v>327</v>
      </c>
      <c r="N355" s="188">
        <f t="shared" si="514"/>
        <v>73464.50999999998</v>
      </c>
      <c r="O355" s="188">
        <f>IF($O$11&lt;=A355,IF(+$W354&lt;=0,0,$O$8),0)</f>
        <v>2504.4299999999998</v>
      </c>
      <c r="P355" s="188">
        <f t="shared" si="521"/>
        <v>1984.06</v>
      </c>
      <c r="Q355" s="188">
        <f>IF($O$11&lt;=A355,ROUND(N355*($O$7/12),2),0)</f>
        <v>520.37</v>
      </c>
      <c r="R355" s="188">
        <f t="shared" si="475"/>
        <v>51.5</v>
      </c>
      <c r="S355" s="188">
        <f t="shared" si="476"/>
        <v>145.09666666666666</v>
      </c>
      <c r="T355" s="188">
        <f t="shared" si="472"/>
        <v>2701.0266666666666</v>
      </c>
      <c r="U355" s="188">
        <f t="shared" si="522"/>
        <v>254229.55000000002</v>
      </c>
      <c r="V355" s="188">
        <f t="shared" si="523"/>
        <v>567223.48999999987</v>
      </c>
      <c r="W355" s="188">
        <f t="shared" si="473"/>
        <v>71480.449999999983</v>
      </c>
      <c r="X355" s="395">
        <f t="shared" si="515"/>
        <v>56040</v>
      </c>
      <c r="Y355" s="188">
        <f t="shared" si="483"/>
        <v>73464.50999999998</v>
      </c>
      <c r="Z355" s="388">
        <f t="shared" si="508"/>
        <v>8.4999999999999992E-2</v>
      </c>
      <c r="AA355" s="188">
        <f t="shared" si="509"/>
        <v>2504.4299999999998</v>
      </c>
      <c r="AB355" s="188">
        <f t="shared" si="484"/>
        <v>1984.06</v>
      </c>
      <c r="AC355" s="188">
        <f t="shared" si="510"/>
        <v>520.37</v>
      </c>
      <c r="AD355" s="188">
        <f t="shared" ref="AD355:AE355" si="542">+AD354</f>
        <v>51.5</v>
      </c>
      <c r="AE355" s="188">
        <f t="shared" si="542"/>
        <v>145.09666666666666</v>
      </c>
      <c r="AF355" s="188">
        <f t="shared" si="486"/>
        <v>2701.0266666666666</v>
      </c>
      <c r="AG355" s="188">
        <f t="shared" si="487"/>
        <v>254229.55000000002</v>
      </c>
      <c r="AH355" s="188">
        <f t="shared" si="488"/>
        <v>567223.48999999987</v>
      </c>
      <c r="AI355" s="404">
        <f t="shared" si="478"/>
        <v>0</v>
      </c>
      <c r="AJ355" s="404">
        <f t="shared" si="535"/>
        <v>0</v>
      </c>
      <c r="AK355" s="404">
        <f t="shared" si="479"/>
        <v>0</v>
      </c>
      <c r="AL355" s="188">
        <f t="shared" si="489"/>
        <v>71480.449999999983</v>
      </c>
      <c r="AM355" s="317">
        <f t="shared" si="517"/>
        <v>27</v>
      </c>
      <c r="AN355" s="14">
        <f t="shared" si="480"/>
        <v>1944.5499999999997</v>
      </c>
      <c r="AO355" s="14">
        <f>IF(W355&lt;=0,0,+$AA$6-$C$2+I355-U355)</f>
        <v>17564.459999999992</v>
      </c>
      <c r="AP355" s="14">
        <f t="shared" si="481"/>
        <v>1944.5499999999997</v>
      </c>
      <c r="AS355" s="14">
        <f t="shared" si="512"/>
        <v>1944.5499999999997</v>
      </c>
      <c r="AT355" s="14">
        <f t="shared" si="518"/>
        <v>637331.84000000055</v>
      </c>
      <c r="AU355" s="188">
        <f>IF(W355&lt;=0,0,+($O$5+AV354)*$AQ$2/12)</f>
        <v>1898.3503175962562</v>
      </c>
      <c r="AV355" s="188">
        <f t="shared" si="519"/>
        <v>435528.47735609888</v>
      </c>
    </row>
    <row r="356" spans="1:48">
      <c r="A356" s="395">
        <f t="shared" si="467"/>
        <v>56070</v>
      </c>
      <c r="B356" s="188">
        <f t="shared" si="513"/>
        <v>54376.159999999923</v>
      </c>
      <c r="C356" s="14">
        <f t="shared" si="506"/>
        <v>559.88</v>
      </c>
      <c r="D356" s="14">
        <f t="shared" si="520"/>
        <v>355.97</v>
      </c>
      <c r="E356" s="14">
        <f t="shared" si="507"/>
        <v>203.91</v>
      </c>
      <c r="F356" s="14">
        <f t="shared" si="468"/>
        <v>51.5</v>
      </c>
      <c r="G356" s="14">
        <f t="shared" si="464"/>
        <v>145.09666666666666</v>
      </c>
      <c r="H356" s="14">
        <f t="shared" si="465"/>
        <v>756.47666666666669</v>
      </c>
      <c r="I356" s="188">
        <f t="shared" si="469"/>
        <v>69152.979999999981</v>
      </c>
      <c r="J356" s="188">
        <f t="shared" si="470"/>
        <v>122226.27000000002</v>
      </c>
      <c r="K356" s="188">
        <f t="shared" si="471"/>
        <v>54020.189999999922</v>
      </c>
      <c r="L356" s="317">
        <f t="shared" si="452"/>
        <v>27</v>
      </c>
      <c r="M356" s="317">
        <f>IF(N356&lt;&gt;"",IF(N356=$O$5,0,+M355+1),0)</f>
        <v>328</v>
      </c>
      <c r="N356" s="188">
        <f t="shared" si="514"/>
        <v>71480.449999999983</v>
      </c>
      <c r="O356" s="188">
        <f>IF($O$11&lt;=A356,IF(+$W355&lt;=0,0,$O$8),0)</f>
        <v>2504.4299999999998</v>
      </c>
      <c r="P356" s="188">
        <f t="shared" si="521"/>
        <v>1998.11</v>
      </c>
      <c r="Q356" s="188">
        <f>IF($O$11&lt;=A356,ROUND(N356*($O$7/12),2),0)</f>
        <v>506.32</v>
      </c>
      <c r="R356" s="188">
        <f t="shared" si="475"/>
        <v>51.5</v>
      </c>
      <c r="S356" s="188">
        <f t="shared" si="476"/>
        <v>145.09666666666666</v>
      </c>
      <c r="T356" s="188">
        <f t="shared" si="472"/>
        <v>2701.0266666666666</v>
      </c>
      <c r="U356" s="188">
        <f t="shared" si="522"/>
        <v>256227.66</v>
      </c>
      <c r="V356" s="188">
        <f t="shared" si="523"/>
        <v>567729.80999999982</v>
      </c>
      <c r="W356" s="188">
        <f t="shared" si="473"/>
        <v>69482.339999999982</v>
      </c>
      <c r="X356" s="395">
        <f t="shared" si="515"/>
        <v>56070</v>
      </c>
      <c r="Y356" s="188">
        <f t="shared" si="483"/>
        <v>71480.449999999983</v>
      </c>
      <c r="Z356" s="388">
        <f t="shared" si="508"/>
        <v>8.4999999999999992E-2</v>
      </c>
      <c r="AA356" s="188">
        <f t="shared" si="509"/>
        <v>2504.4299999999998</v>
      </c>
      <c r="AB356" s="188">
        <f t="shared" si="484"/>
        <v>1998.11</v>
      </c>
      <c r="AC356" s="188">
        <f t="shared" si="510"/>
        <v>506.32</v>
      </c>
      <c r="AD356" s="188">
        <f t="shared" ref="AD356:AE356" si="543">+AD355</f>
        <v>51.5</v>
      </c>
      <c r="AE356" s="188">
        <f t="shared" si="543"/>
        <v>145.09666666666666</v>
      </c>
      <c r="AF356" s="188">
        <f t="shared" si="486"/>
        <v>2701.0266666666666</v>
      </c>
      <c r="AG356" s="188">
        <f t="shared" si="487"/>
        <v>256227.66</v>
      </c>
      <c r="AH356" s="188">
        <f t="shared" si="488"/>
        <v>567729.80999999982</v>
      </c>
      <c r="AI356" s="404">
        <f t="shared" si="478"/>
        <v>0</v>
      </c>
      <c r="AJ356" s="404">
        <f t="shared" si="535"/>
        <v>0</v>
      </c>
      <c r="AK356" s="404">
        <f t="shared" si="479"/>
        <v>0</v>
      </c>
      <c r="AL356" s="188">
        <f t="shared" si="489"/>
        <v>69482.339999999982</v>
      </c>
      <c r="AM356" s="317">
        <f t="shared" si="517"/>
        <v>27</v>
      </c>
      <c r="AN356" s="14">
        <f t="shared" si="480"/>
        <v>1944.5499999999997</v>
      </c>
      <c r="AO356" s="14">
        <f>IF(W356&lt;=0,0,+$AA$6-$C$2+I356-U356)</f>
        <v>15922.319999999978</v>
      </c>
      <c r="AP356" s="14">
        <f t="shared" si="481"/>
        <v>1944.5499999999997</v>
      </c>
      <c r="AS356" s="14">
        <f t="shared" si="512"/>
        <v>1944.5499999999997</v>
      </c>
      <c r="AT356" s="14">
        <f t="shared" si="518"/>
        <v>639276.3900000006</v>
      </c>
      <c r="AU356" s="188">
        <f>IF(W356&lt;=0,0,+($O$5+AV355)*$AQ$2/12)</f>
        <v>1903.096193390247</v>
      </c>
      <c r="AV356" s="188">
        <f t="shared" si="519"/>
        <v>437431.57354948914</v>
      </c>
    </row>
    <row r="357" spans="1:48">
      <c r="A357" s="395">
        <f t="shared" si="467"/>
        <v>56100</v>
      </c>
      <c r="B357" s="188">
        <f t="shared" si="513"/>
        <v>54020.189999999922</v>
      </c>
      <c r="C357" s="14">
        <f t="shared" si="506"/>
        <v>559.88</v>
      </c>
      <c r="D357" s="14">
        <f t="shared" si="520"/>
        <v>357.29999999999995</v>
      </c>
      <c r="E357" s="14">
        <f t="shared" si="507"/>
        <v>202.58</v>
      </c>
      <c r="F357" s="14">
        <f t="shared" si="468"/>
        <v>51.5</v>
      </c>
      <c r="G357" s="14">
        <f t="shared" si="464"/>
        <v>145.09666666666666</v>
      </c>
      <c r="H357" s="14">
        <f t="shared" si="465"/>
        <v>756.47666666666669</v>
      </c>
      <c r="I357" s="188">
        <f t="shared" si="469"/>
        <v>69510.279999999984</v>
      </c>
      <c r="J357" s="188">
        <f t="shared" si="470"/>
        <v>122428.85000000002</v>
      </c>
      <c r="K357" s="188">
        <f t="shared" si="471"/>
        <v>53662.889999999919</v>
      </c>
      <c r="L357" s="317">
        <f t="shared" si="452"/>
        <v>27</v>
      </c>
      <c r="M357" s="317">
        <f>IF(N357&lt;&gt;"",IF(N357=$O$5,0,+M356+1),0)</f>
        <v>329</v>
      </c>
      <c r="N357" s="188">
        <f t="shared" si="514"/>
        <v>69482.339999999982</v>
      </c>
      <c r="O357" s="188">
        <f>IF($O$11&lt;=A357,IF(+$W356&lt;=0,0,$O$8),0)</f>
        <v>2504.4299999999998</v>
      </c>
      <c r="P357" s="188">
        <f t="shared" si="521"/>
        <v>2012.2599999999998</v>
      </c>
      <c r="Q357" s="188">
        <f>IF($O$11&lt;=A357,ROUND(N357*($O$7/12),2),0)</f>
        <v>492.17</v>
      </c>
      <c r="R357" s="188">
        <f t="shared" si="475"/>
        <v>51.5</v>
      </c>
      <c r="S357" s="188">
        <f t="shared" si="476"/>
        <v>145.09666666666666</v>
      </c>
      <c r="T357" s="188">
        <f t="shared" si="472"/>
        <v>2701.0266666666666</v>
      </c>
      <c r="U357" s="188">
        <f t="shared" si="522"/>
        <v>258239.92</v>
      </c>
      <c r="V357" s="188">
        <f t="shared" si="523"/>
        <v>568221.97999999986</v>
      </c>
      <c r="W357" s="188">
        <f t="shared" si="473"/>
        <v>67470.079999999987</v>
      </c>
      <c r="X357" s="395">
        <f t="shared" si="515"/>
        <v>56100</v>
      </c>
      <c r="Y357" s="188">
        <f t="shared" si="483"/>
        <v>69482.339999999982</v>
      </c>
      <c r="Z357" s="388">
        <f t="shared" si="508"/>
        <v>8.4999999999999992E-2</v>
      </c>
      <c r="AA357" s="188">
        <f t="shared" si="509"/>
        <v>2504.4299999999998</v>
      </c>
      <c r="AB357" s="188">
        <f t="shared" si="484"/>
        <v>2012.2599999999998</v>
      </c>
      <c r="AC357" s="188">
        <f t="shared" si="510"/>
        <v>492.17</v>
      </c>
      <c r="AD357" s="188">
        <f t="shared" ref="AD357:AE357" si="544">+AD356</f>
        <v>51.5</v>
      </c>
      <c r="AE357" s="188">
        <f t="shared" si="544"/>
        <v>145.09666666666666</v>
      </c>
      <c r="AF357" s="188">
        <f t="shared" si="486"/>
        <v>2701.0266666666666</v>
      </c>
      <c r="AG357" s="188">
        <f t="shared" si="487"/>
        <v>258239.92</v>
      </c>
      <c r="AH357" s="188">
        <f t="shared" si="488"/>
        <v>568221.97999999986</v>
      </c>
      <c r="AI357" s="404">
        <f t="shared" si="478"/>
        <v>0</v>
      </c>
      <c r="AJ357" s="404">
        <f t="shared" si="535"/>
        <v>0</v>
      </c>
      <c r="AK357" s="404">
        <f t="shared" si="479"/>
        <v>0</v>
      </c>
      <c r="AL357" s="188">
        <f t="shared" si="489"/>
        <v>67470.079999999987</v>
      </c>
      <c r="AM357" s="317">
        <f t="shared" si="517"/>
        <v>27</v>
      </c>
      <c r="AN357" s="14">
        <f t="shared" si="480"/>
        <v>1944.5499999999997</v>
      </c>
      <c r="AO357" s="14">
        <f>IF(W357&lt;=0,0,+$AA$6-$C$2+I357-U357)</f>
        <v>14267.359999999957</v>
      </c>
      <c r="AP357" s="14">
        <f t="shared" si="481"/>
        <v>1944.5499999999997</v>
      </c>
      <c r="AS357" s="14">
        <f t="shared" si="512"/>
        <v>1944.5499999999997</v>
      </c>
      <c r="AT357" s="14">
        <f t="shared" si="518"/>
        <v>641220.94000000064</v>
      </c>
      <c r="AU357" s="188">
        <f>IF(W357&lt;=0,0,+($O$5+AV356)*$AQ$2/12)</f>
        <v>1907.8539338737228</v>
      </c>
      <c r="AV357" s="188">
        <f t="shared" si="519"/>
        <v>439339.42748336284</v>
      </c>
    </row>
    <row r="358" spans="1:48">
      <c r="A358" s="395">
        <f t="shared" si="467"/>
        <v>56130</v>
      </c>
      <c r="B358" s="188">
        <f t="shared" si="513"/>
        <v>53662.889999999919</v>
      </c>
      <c r="C358" s="14">
        <f t="shared" si="506"/>
        <v>559.88</v>
      </c>
      <c r="D358" s="14">
        <f t="shared" si="520"/>
        <v>358.64</v>
      </c>
      <c r="E358" s="14">
        <f t="shared" si="507"/>
        <v>201.24</v>
      </c>
      <c r="F358" s="14">
        <f t="shared" si="468"/>
        <v>51.5</v>
      </c>
      <c r="G358" s="14">
        <f t="shared" si="464"/>
        <v>145.09666666666666</v>
      </c>
      <c r="H358" s="14">
        <f t="shared" si="465"/>
        <v>756.47666666666669</v>
      </c>
      <c r="I358" s="188">
        <f t="shared" si="469"/>
        <v>69868.919999999984</v>
      </c>
      <c r="J358" s="188">
        <f t="shared" si="470"/>
        <v>122630.09000000003</v>
      </c>
      <c r="K358" s="188">
        <f t="shared" si="471"/>
        <v>53304.24999999992</v>
      </c>
      <c r="L358" s="317">
        <f t="shared" si="452"/>
        <v>27</v>
      </c>
      <c r="M358" s="317">
        <f>IF(N358&lt;&gt;"",IF(N358=$O$5,0,+M357+1),0)</f>
        <v>330</v>
      </c>
      <c r="N358" s="188">
        <f t="shared" si="514"/>
        <v>67470.079999999987</v>
      </c>
      <c r="O358" s="188">
        <f>IF($O$11&lt;=A358,IF(+$W357&lt;=0,0,$O$8),0)</f>
        <v>2504.4299999999998</v>
      </c>
      <c r="P358" s="188">
        <f t="shared" si="521"/>
        <v>2026.5199999999998</v>
      </c>
      <c r="Q358" s="188">
        <f>IF($O$11&lt;=A358,ROUND(N358*($O$7/12),2),0)</f>
        <v>477.91</v>
      </c>
      <c r="R358" s="188">
        <f t="shared" si="475"/>
        <v>51.5</v>
      </c>
      <c r="S358" s="188">
        <f t="shared" si="476"/>
        <v>145.09666666666666</v>
      </c>
      <c r="T358" s="188">
        <f t="shared" si="472"/>
        <v>2701.0266666666666</v>
      </c>
      <c r="U358" s="188">
        <f t="shared" si="522"/>
        <v>260266.44</v>
      </c>
      <c r="V358" s="188">
        <f t="shared" si="523"/>
        <v>568699.8899999999</v>
      </c>
      <c r="W358" s="188">
        <f t="shared" si="473"/>
        <v>65443.55999999999</v>
      </c>
      <c r="X358" s="395">
        <f t="shared" si="515"/>
        <v>56130</v>
      </c>
      <c r="Y358" s="188">
        <f t="shared" si="483"/>
        <v>67470.079999999987</v>
      </c>
      <c r="Z358" s="388">
        <f t="shared" si="508"/>
        <v>8.4999999999999992E-2</v>
      </c>
      <c r="AA358" s="188">
        <f t="shared" si="509"/>
        <v>2504.4299999999998</v>
      </c>
      <c r="AB358" s="188">
        <f t="shared" si="484"/>
        <v>2026.5199999999998</v>
      </c>
      <c r="AC358" s="188">
        <f t="shared" si="510"/>
        <v>477.91</v>
      </c>
      <c r="AD358" s="188">
        <f t="shared" ref="AD358:AE358" si="545">+AD357</f>
        <v>51.5</v>
      </c>
      <c r="AE358" s="188">
        <f t="shared" si="545"/>
        <v>145.09666666666666</v>
      </c>
      <c r="AF358" s="188">
        <f t="shared" si="486"/>
        <v>2701.0266666666666</v>
      </c>
      <c r="AG358" s="188">
        <f t="shared" si="487"/>
        <v>260266.44</v>
      </c>
      <c r="AH358" s="188">
        <f t="shared" si="488"/>
        <v>568699.8899999999</v>
      </c>
      <c r="AI358" s="404">
        <f t="shared" si="478"/>
        <v>0</v>
      </c>
      <c r="AJ358" s="404">
        <f t="shared" si="535"/>
        <v>0</v>
      </c>
      <c r="AK358" s="404">
        <f t="shared" si="479"/>
        <v>0</v>
      </c>
      <c r="AL358" s="188">
        <f t="shared" si="489"/>
        <v>65443.55999999999</v>
      </c>
      <c r="AM358" s="317">
        <f t="shared" si="517"/>
        <v>27</v>
      </c>
      <c r="AN358" s="14">
        <f t="shared" si="480"/>
        <v>1944.5499999999997</v>
      </c>
      <c r="AO358" s="14">
        <f>IF(W358&lt;=0,0,+$AA$6-$C$2+I358-U358)</f>
        <v>12599.479999999981</v>
      </c>
      <c r="AP358" s="14">
        <f t="shared" si="481"/>
        <v>1944.5499999999997</v>
      </c>
      <c r="AS358" s="14">
        <f t="shared" si="512"/>
        <v>1944.5499999999997</v>
      </c>
      <c r="AT358" s="14">
        <f t="shared" si="518"/>
        <v>643165.49000000069</v>
      </c>
      <c r="AU358" s="188">
        <f>IF(W358&lt;=0,0,+($O$5+AV357)*$AQ$2/12)</f>
        <v>1912.623568708407</v>
      </c>
      <c r="AV358" s="188">
        <f t="shared" si="519"/>
        <v>441252.05105207127</v>
      </c>
    </row>
    <row r="359" spans="1:48">
      <c r="A359" s="395">
        <f t="shared" si="467"/>
        <v>56160</v>
      </c>
      <c r="B359" s="188">
        <f t="shared" si="513"/>
        <v>53304.24999999992</v>
      </c>
      <c r="C359" s="14">
        <f t="shared" si="506"/>
        <v>559.88</v>
      </c>
      <c r="D359" s="14">
        <f t="shared" si="520"/>
        <v>359.99</v>
      </c>
      <c r="E359" s="14">
        <f t="shared" si="507"/>
        <v>199.89</v>
      </c>
      <c r="F359" s="14">
        <f t="shared" si="468"/>
        <v>51.5</v>
      </c>
      <c r="G359" s="14">
        <f t="shared" si="464"/>
        <v>145.09666666666666</v>
      </c>
      <c r="H359" s="14">
        <f t="shared" si="465"/>
        <v>756.47666666666669</v>
      </c>
      <c r="I359" s="188">
        <f t="shared" si="469"/>
        <v>70228.909999999989</v>
      </c>
      <c r="J359" s="188">
        <f t="shared" si="470"/>
        <v>122829.98000000003</v>
      </c>
      <c r="K359" s="188">
        <f t="shared" si="471"/>
        <v>52944.259999999922</v>
      </c>
      <c r="L359" s="317">
        <f t="shared" si="452"/>
        <v>27</v>
      </c>
      <c r="M359" s="317">
        <f>IF(N359&lt;&gt;"",IF(N359=$O$5,0,+M358+1),0)</f>
        <v>331</v>
      </c>
      <c r="N359" s="188">
        <f t="shared" si="514"/>
        <v>65443.55999999999</v>
      </c>
      <c r="O359" s="188">
        <f>IF($O$11&lt;=A359,IF(+$W358&lt;=0,0,$O$8),0)</f>
        <v>2504.4299999999998</v>
      </c>
      <c r="P359" s="188">
        <f t="shared" si="521"/>
        <v>2040.87</v>
      </c>
      <c r="Q359" s="188">
        <f>IF($O$11&lt;=A359,ROUND(N359*($O$7/12),2),0)</f>
        <v>463.56</v>
      </c>
      <c r="R359" s="188">
        <f t="shared" si="475"/>
        <v>51.5</v>
      </c>
      <c r="S359" s="188">
        <f t="shared" si="476"/>
        <v>145.09666666666666</v>
      </c>
      <c r="T359" s="188">
        <f t="shared" si="472"/>
        <v>2701.0266666666666</v>
      </c>
      <c r="U359" s="188">
        <f t="shared" si="522"/>
        <v>262307.31</v>
      </c>
      <c r="V359" s="188">
        <f t="shared" si="523"/>
        <v>569163.44999999995</v>
      </c>
      <c r="W359" s="188">
        <f t="shared" si="473"/>
        <v>63402.689999999988</v>
      </c>
      <c r="X359" s="395">
        <f t="shared" si="515"/>
        <v>56160</v>
      </c>
      <c r="Y359" s="188">
        <f t="shared" si="483"/>
        <v>65443.55999999999</v>
      </c>
      <c r="Z359" s="388">
        <f t="shared" si="508"/>
        <v>8.4999999999999992E-2</v>
      </c>
      <c r="AA359" s="188">
        <f t="shared" si="509"/>
        <v>2504.4299999999998</v>
      </c>
      <c r="AB359" s="188">
        <f t="shared" si="484"/>
        <v>2040.87</v>
      </c>
      <c r="AC359" s="188">
        <f t="shared" si="510"/>
        <v>463.56</v>
      </c>
      <c r="AD359" s="188">
        <f t="shared" ref="AD359:AE359" si="546">+AD358</f>
        <v>51.5</v>
      </c>
      <c r="AE359" s="188">
        <f t="shared" si="546"/>
        <v>145.09666666666666</v>
      </c>
      <c r="AF359" s="188">
        <f t="shared" si="486"/>
        <v>2701.0266666666666</v>
      </c>
      <c r="AG359" s="188">
        <f t="shared" si="487"/>
        <v>262307.31</v>
      </c>
      <c r="AH359" s="188">
        <f t="shared" si="488"/>
        <v>569163.44999999995</v>
      </c>
      <c r="AI359" s="404">
        <f t="shared" si="478"/>
        <v>0</v>
      </c>
      <c r="AJ359" s="404">
        <f t="shared" si="535"/>
        <v>0</v>
      </c>
      <c r="AK359" s="404">
        <f t="shared" si="479"/>
        <v>0</v>
      </c>
      <c r="AL359" s="188">
        <f t="shared" si="489"/>
        <v>63402.689999999988</v>
      </c>
      <c r="AM359" s="317">
        <f t="shared" si="517"/>
        <v>27</v>
      </c>
      <c r="AN359" s="14">
        <f t="shared" si="480"/>
        <v>1944.5499999999997</v>
      </c>
      <c r="AO359" s="14">
        <f>IF(W359&lt;=0,0,+$AA$6-$C$2+I359-U359)</f>
        <v>10918.599999999977</v>
      </c>
      <c r="AP359" s="14">
        <f t="shared" si="481"/>
        <v>1944.5499999999997</v>
      </c>
      <c r="AS359" s="14">
        <f t="shared" si="512"/>
        <v>1944.5499999999997</v>
      </c>
      <c r="AT359" s="14">
        <f t="shared" si="518"/>
        <v>645110.04000000074</v>
      </c>
      <c r="AU359" s="188">
        <f>IF(W359&lt;=0,0,+($O$5+AV358)*$AQ$2/12)</f>
        <v>1917.405127630178</v>
      </c>
      <c r="AV359" s="188">
        <f t="shared" si="519"/>
        <v>443169.45617970143</v>
      </c>
    </row>
    <row r="360" spans="1:48">
      <c r="A360" s="395">
        <f t="shared" si="467"/>
        <v>56190</v>
      </c>
      <c r="B360" s="188">
        <f t="shared" si="513"/>
        <v>52944.259999999922</v>
      </c>
      <c r="C360" s="14">
        <f t="shared" si="506"/>
        <v>559.88</v>
      </c>
      <c r="D360" s="14">
        <f t="shared" si="520"/>
        <v>361.34000000000003</v>
      </c>
      <c r="E360" s="14">
        <f t="shared" si="507"/>
        <v>198.54</v>
      </c>
      <c r="F360" s="14">
        <f t="shared" si="468"/>
        <v>51.5</v>
      </c>
      <c r="G360" s="14">
        <f t="shared" si="464"/>
        <v>145.09666666666666</v>
      </c>
      <c r="H360" s="14">
        <f t="shared" si="465"/>
        <v>756.47666666666669</v>
      </c>
      <c r="I360" s="188">
        <f t="shared" si="469"/>
        <v>70590.249999999985</v>
      </c>
      <c r="J360" s="188">
        <f t="shared" si="470"/>
        <v>123028.52000000002</v>
      </c>
      <c r="K360" s="188">
        <f t="shared" si="471"/>
        <v>52582.919999999925</v>
      </c>
      <c r="L360" s="317">
        <f t="shared" si="452"/>
        <v>27</v>
      </c>
      <c r="M360" s="317">
        <f>IF(N360&lt;&gt;"",IF(N360=$O$5,0,+M359+1),0)</f>
        <v>332</v>
      </c>
      <c r="N360" s="188">
        <f t="shared" si="514"/>
        <v>63402.689999999988</v>
      </c>
      <c r="O360" s="188">
        <f>IF($O$11&lt;=A360,IF(+$W359&lt;=0,0,$O$8),0)</f>
        <v>2504.4299999999998</v>
      </c>
      <c r="P360" s="188">
        <f t="shared" si="521"/>
        <v>2055.33</v>
      </c>
      <c r="Q360" s="188">
        <f>IF($O$11&lt;=A360,ROUND(N360*($O$7/12),2),0)</f>
        <v>449.1</v>
      </c>
      <c r="R360" s="188">
        <f t="shared" si="475"/>
        <v>51.5</v>
      </c>
      <c r="S360" s="188">
        <f t="shared" si="476"/>
        <v>145.09666666666666</v>
      </c>
      <c r="T360" s="188">
        <f t="shared" si="472"/>
        <v>2701.0266666666666</v>
      </c>
      <c r="U360" s="188">
        <f t="shared" si="522"/>
        <v>264362.64</v>
      </c>
      <c r="V360" s="188">
        <f t="shared" si="523"/>
        <v>569612.54999999993</v>
      </c>
      <c r="W360" s="188">
        <f t="shared" si="473"/>
        <v>61347.359999999986</v>
      </c>
      <c r="X360" s="395">
        <f t="shared" si="515"/>
        <v>56190</v>
      </c>
      <c r="Y360" s="188">
        <f t="shared" si="483"/>
        <v>63402.689999999988</v>
      </c>
      <c r="Z360" s="388">
        <f t="shared" si="508"/>
        <v>8.4999999999999992E-2</v>
      </c>
      <c r="AA360" s="188">
        <f t="shared" si="509"/>
        <v>2504.4299999999998</v>
      </c>
      <c r="AB360" s="188">
        <f t="shared" si="484"/>
        <v>2055.33</v>
      </c>
      <c r="AC360" s="188">
        <f t="shared" si="510"/>
        <v>449.1</v>
      </c>
      <c r="AD360" s="188">
        <f t="shared" ref="AD360:AE360" si="547">+AD359</f>
        <v>51.5</v>
      </c>
      <c r="AE360" s="188">
        <f t="shared" si="547"/>
        <v>145.09666666666666</v>
      </c>
      <c r="AF360" s="188">
        <f t="shared" si="486"/>
        <v>2701.0266666666666</v>
      </c>
      <c r="AG360" s="188">
        <f t="shared" si="487"/>
        <v>264362.64</v>
      </c>
      <c r="AH360" s="188">
        <f t="shared" si="488"/>
        <v>569612.54999999993</v>
      </c>
      <c r="AI360" s="404">
        <f t="shared" si="478"/>
        <v>0</v>
      </c>
      <c r="AJ360" s="404">
        <f t="shared" si="535"/>
        <v>0</v>
      </c>
      <c r="AK360" s="404">
        <f t="shared" si="479"/>
        <v>0</v>
      </c>
      <c r="AL360" s="188">
        <f t="shared" si="489"/>
        <v>61347.359999999986</v>
      </c>
      <c r="AM360" s="317">
        <f t="shared" si="517"/>
        <v>27</v>
      </c>
      <c r="AN360" s="14">
        <f t="shared" si="480"/>
        <v>1944.5499999999997</v>
      </c>
      <c r="AO360" s="14">
        <f>IF(W360&lt;=0,0,+$AA$6-$C$2+I360-U360)</f>
        <v>9224.609999999986</v>
      </c>
      <c r="AP360" s="14">
        <f t="shared" si="481"/>
        <v>1944.5499999999997</v>
      </c>
      <c r="AS360" s="14">
        <f t="shared" si="512"/>
        <v>1944.5499999999997</v>
      </c>
      <c r="AT360" s="14">
        <f t="shared" si="518"/>
        <v>647054.59000000078</v>
      </c>
      <c r="AU360" s="188">
        <f>IF(W360&lt;=0,0,+($O$5+AV359)*$AQ$2/12)</f>
        <v>1922.1986404492536</v>
      </c>
      <c r="AV360" s="188">
        <f t="shared" si="519"/>
        <v>445091.6548201507</v>
      </c>
    </row>
    <row r="361" spans="1:48">
      <c r="A361" s="395">
        <f t="shared" si="467"/>
        <v>56220</v>
      </c>
      <c r="B361" s="188">
        <f t="shared" si="513"/>
        <v>52582.919999999925</v>
      </c>
      <c r="C361" s="14">
        <f t="shared" si="506"/>
        <v>559.88</v>
      </c>
      <c r="D361" s="14">
        <f t="shared" si="520"/>
        <v>362.69</v>
      </c>
      <c r="E361" s="14">
        <f t="shared" si="507"/>
        <v>197.19</v>
      </c>
      <c r="F361" s="14">
        <f t="shared" si="468"/>
        <v>51.5</v>
      </c>
      <c r="G361" s="14">
        <f t="shared" si="464"/>
        <v>145.09666666666666</v>
      </c>
      <c r="H361" s="14">
        <f t="shared" si="465"/>
        <v>756.47666666666669</v>
      </c>
      <c r="I361" s="188">
        <f t="shared" si="469"/>
        <v>70952.939999999988</v>
      </c>
      <c r="J361" s="188">
        <f t="shared" si="470"/>
        <v>123225.71000000002</v>
      </c>
      <c r="K361" s="188">
        <f t="shared" si="471"/>
        <v>52220.229999999923</v>
      </c>
      <c r="L361" s="317">
        <f t="shared" si="452"/>
        <v>27</v>
      </c>
      <c r="M361" s="317">
        <f>IF(N361&lt;&gt;"",IF(N361=$O$5,0,+M360+1),0)</f>
        <v>333</v>
      </c>
      <c r="N361" s="188">
        <f t="shared" si="514"/>
        <v>61347.359999999986</v>
      </c>
      <c r="O361" s="188">
        <f>IF($O$11&lt;=A361,IF(+$W360&lt;=0,0,$O$8),0)</f>
        <v>2504.4299999999998</v>
      </c>
      <c r="P361" s="188">
        <f t="shared" si="521"/>
        <v>2069.89</v>
      </c>
      <c r="Q361" s="188">
        <f>IF($O$11&lt;=A361,ROUND(N361*($O$7/12),2),0)</f>
        <v>434.54</v>
      </c>
      <c r="R361" s="188">
        <f t="shared" si="475"/>
        <v>51.5</v>
      </c>
      <c r="S361" s="188">
        <f t="shared" si="476"/>
        <v>145.09666666666666</v>
      </c>
      <c r="T361" s="188">
        <f t="shared" si="472"/>
        <v>2701.0266666666666</v>
      </c>
      <c r="U361" s="188">
        <f t="shared" si="522"/>
        <v>266432.53000000003</v>
      </c>
      <c r="V361" s="188">
        <f t="shared" si="523"/>
        <v>570047.09</v>
      </c>
      <c r="W361" s="188">
        <f t="shared" si="473"/>
        <v>59277.469999999987</v>
      </c>
      <c r="X361" s="395">
        <f t="shared" si="515"/>
        <v>56220</v>
      </c>
      <c r="Y361" s="188">
        <f t="shared" si="483"/>
        <v>61347.359999999986</v>
      </c>
      <c r="Z361" s="388">
        <f t="shared" si="508"/>
        <v>8.4999999999999992E-2</v>
      </c>
      <c r="AA361" s="188">
        <f t="shared" si="509"/>
        <v>2504.4299999999998</v>
      </c>
      <c r="AB361" s="188">
        <f t="shared" si="484"/>
        <v>2069.89</v>
      </c>
      <c r="AC361" s="188">
        <f t="shared" si="510"/>
        <v>434.54</v>
      </c>
      <c r="AD361" s="188">
        <f t="shared" ref="AD361:AE361" si="548">+AD360</f>
        <v>51.5</v>
      </c>
      <c r="AE361" s="188">
        <f t="shared" si="548"/>
        <v>145.09666666666666</v>
      </c>
      <c r="AF361" s="188">
        <f t="shared" si="486"/>
        <v>2701.0266666666666</v>
      </c>
      <c r="AG361" s="188">
        <f t="shared" si="487"/>
        <v>266432.53000000003</v>
      </c>
      <c r="AH361" s="188">
        <f t="shared" si="488"/>
        <v>570047.09</v>
      </c>
      <c r="AI361" s="404">
        <f t="shared" si="478"/>
        <v>0</v>
      </c>
      <c r="AJ361" s="404">
        <f t="shared" si="535"/>
        <v>0</v>
      </c>
      <c r="AK361" s="404">
        <f t="shared" si="479"/>
        <v>0</v>
      </c>
      <c r="AL361" s="188">
        <f t="shared" si="489"/>
        <v>59277.469999999987</v>
      </c>
      <c r="AM361" s="317">
        <f t="shared" si="517"/>
        <v>27</v>
      </c>
      <c r="AN361" s="14">
        <f t="shared" si="480"/>
        <v>1944.5499999999997</v>
      </c>
      <c r="AO361" s="14">
        <f>IF(W361&lt;=0,0,+$AA$6-$C$2+I361-U361)</f>
        <v>7517.4099999999744</v>
      </c>
      <c r="AP361" s="14">
        <f t="shared" si="481"/>
        <v>1944.5499999999997</v>
      </c>
      <c r="AS361" s="14">
        <f t="shared" si="512"/>
        <v>1944.5499999999997</v>
      </c>
      <c r="AT361" s="14">
        <f t="shared" si="518"/>
        <v>648999.14000000083</v>
      </c>
      <c r="AU361" s="188">
        <f>IF(W361&lt;=0,0,+($O$5+AV360)*$AQ$2/12)</f>
        <v>1927.0041370503768</v>
      </c>
      <c r="AV361" s="188">
        <f t="shared" si="519"/>
        <v>447018.65895720106</v>
      </c>
    </row>
    <row r="362" spans="1:48">
      <c r="A362" s="395">
        <f t="shared" si="467"/>
        <v>56250</v>
      </c>
      <c r="B362" s="188">
        <f t="shared" si="513"/>
        <v>52220.229999999923</v>
      </c>
      <c r="C362" s="14">
        <f t="shared" si="506"/>
        <v>559.88</v>
      </c>
      <c r="D362" s="14">
        <f t="shared" si="520"/>
        <v>364.04999999999995</v>
      </c>
      <c r="E362" s="14">
        <f t="shared" si="507"/>
        <v>195.83</v>
      </c>
      <c r="F362" s="14">
        <f t="shared" si="468"/>
        <v>51.5</v>
      </c>
      <c r="G362" s="14">
        <f t="shared" si="464"/>
        <v>145.09666666666666</v>
      </c>
      <c r="H362" s="14">
        <f t="shared" si="465"/>
        <v>756.47666666666669</v>
      </c>
      <c r="I362" s="188">
        <f t="shared" si="469"/>
        <v>71316.989999999991</v>
      </c>
      <c r="J362" s="188">
        <f t="shared" si="470"/>
        <v>123421.54000000002</v>
      </c>
      <c r="K362" s="188">
        <f t="shared" si="471"/>
        <v>51856.17999999992</v>
      </c>
      <c r="L362" s="317">
        <f t="shared" si="452"/>
        <v>27</v>
      </c>
      <c r="M362" s="317">
        <f>IF(N362&lt;&gt;"",IF(N362=$O$5,0,+M361+1),0)</f>
        <v>334</v>
      </c>
      <c r="N362" s="188">
        <f t="shared" si="514"/>
        <v>59277.469999999987</v>
      </c>
      <c r="O362" s="188">
        <f>IF($O$11&lt;=A362,IF(+$W361&lt;=0,0,$O$8),0)</f>
        <v>2504.4299999999998</v>
      </c>
      <c r="P362" s="188">
        <f t="shared" si="521"/>
        <v>2084.5499999999997</v>
      </c>
      <c r="Q362" s="188">
        <f>IF($O$11&lt;=A362,ROUND(N362*($O$7/12),2),0)</f>
        <v>419.88</v>
      </c>
      <c r="R362" s="188">
        <f t="shared" si="475"/>
        <v>51.5</v>
      </c>
      <c r="S362" s="188">
        <f t="shared" si="476"/>
        <v>145.09666666666666</v>
      </c>
      <c r="T362" s="188">
        <f t="shared" si="472"/>
        <v>2701.0266666666666</v>
      </c>
      <c r="U362" s="188">
        <f t="shared" si="522"/>
        <v>268517.08</v>
      </c>
      <c r="V362" s="188">
        <f t="shared" si="523"/>
        <v>570466.97</v>
      </c>
      <c r="W362" s="188">
        <f t="shared" si="473"/>
        <v>57192.919999999984</v>
      </c>
      <c r="X362" s="395">
        <f t="shared" si="515"/>
        <v>56250</v>
      </c>
      <c r="Y362" s="188">
        <f t="shared" si="483"/>
        <v>59277.469999999987</v>
      </c>
      <c r="Z362" s="388">
        <f t="shared" si="508"/>
        <v>8.4999999999999992E-2</v>
      </c>
      <c r="AA362" s="188">
        <f t="shared" si="509"/>
        <v>2504.4299999999998</v>
      </c>
      <c r="AB362" s="188">
        <f t="shared" si="484"/>
        <v>2084.5499999999997</v>
      </c>
      <c r="AC362" s="188">
        <f t="shared" si="510"/>
        <v>419.88</v>
      </c>
      <c r="AD362" s="188">
        <f t="shared" ref="AD362:AE362" si="549">+AD361</f>
        <v>51.5</v>
      </c>
      <c r="AE362" s="188">
        <f t="shared" si="549"/>
        <v>145.09666666666666</v>
      </c>
      <c r="AF362" s="188">
        <f t="shared" si="486"/>
        <v>2701.0266666666666</v>
      </c>
      <c r="AG362" s="188">
        <f t="shared" si="487"/>
        <v>268517.08</v>
      </c>
      <c r="AH362" s="188">
        <f t="shared" si="488"/>
        <v>570466.97</v>
      </c>
      <c r="AI362" s="404">
        <f t="shared" si="478"/>
        <v>0</v>
      </c>
      <c r="AJ362" s="404">
        <f t="shared" si="535"/>
        <v>0</v>
      </c>
      <c r="AK362" s="404">
        <f t="shared" si="479"/>
        <v>0</v>
      </c>
      <c r="AL362" s="188">
        <f t="shared" si="489"/>
        <v>57192.919999999984</v>
      </c>
      <c r="AM362" s="317">
        <f t="shared" si="517"/>
        <v>27</v>
      </c>
      <c r="AN362" s="14">
        <f t="shared" si="480"/>
        <v>1944.5499999999997</v>
      </c>
      <c r="AO362" s="14">
        <f>IF(W362&lt;=0,0,+$AA$6-$C$2+I362-U362)</f>
        <v>5796.9099999999744</v>
      </c>
      <c r="AP362" s="14">
        <f t="shared" si="481"/>
        <v>1944.5499999999997</v>
      </c>
      <c r="AS362" s="14">
        <f t="shared" si="512"/>
        <v>1944.5499999999997</v>
      </c>
      <c r="AT362" s="14">
        <f t="shared" si="518"/>
        <v>650943.69000000088</v>
      </c>
      <c r="AU362" s="188">
        <f>IF(W362&lt;=0,0,+($O$5+AV361)*$AQ$2/12)</f>
        <v>1931.8216473930024</v>
      </c>
      <c r="AV362" s="188">
        <f t="shared" si="519"/>
        <v>448950.48060459405</v>
      </c>
    </row>
    <row r="363" spans="1:48" ht="15.75" thickBot="1">
      <c r="A363" s="398">
        <f t="shared" si="467"/>
        <v>56280</v>
      </c>
      <c r="B363" s="237">
        <f t="shared" si="513"/>
        <v>51856.17999999992</v>
      </c>
      <c r="C363" s="21">
        <f t="shared" si="506"/>
        <v>559.88</v>
      </c>
      <c r="D363" s="21">
        <f t="shared" si="520"/>
        <v>365.41999999999996</v>
      </c>
      <c r="E363" s="21">
        <f t="shared" si="507"/>
        <v>194.46</v>
      </c>
      <c r="F363" s="21">
        <f t="shared" si="468"/>
        <v>51.5</v>
      </c>
      <c r="G363" s="21">
        <f t="shared" si="464"/>
        <v>145.09666666666666</v>
      </c>
      <c r="H363" s="21">
        <f t="shared" si="465"/>
        <v>756.47666666666669</v>
      </c>
      <c r="I363" s="237">
        <f t="shared" si="469"/>
        <v>71682.409999999989</v>
      </c>
      <c r="J363" s="237">
        <f t="shared" si="470"/>
        <v>123616.00000000003</v>
      </c>
      <c r="K363" s="237">
        <f t="shared" si="471"/>
        <v>51490.759999999922</v>
      </c>
      <c r="L363" s="318">
        <f t="shared" si="452"/>
        <v>27</v>
      </c>
      <c r="M363" s="318">
        <f>IF(N363&lt;&gt;"",IF(N363=$O$5,0,+M362+1),0)</f>
        <v>335</v>
      </c>
      <c r="N363" s="237">
        <f t="shared" si="514"/>
        <v>57192.919999999984</v>
      </c>
      <c r="O363" s="237">
        <f>IF($O$11&lt;=A363,IF(+$W362&lt;=0,0,$O$8),0)</f>
        <v>2504.4299999999998</v>
      </c>
      <c r="P363" s="237">
        <f t="shared" si="521"/>
        <v>2099.31</v>
      </c>
      <c r="Q363" s="237">
        <f>IF($O$11&lt;=A363,ROUND(N363*($O$7/12),2),0)</f>
        <v>405.12</v>
      </c>
      <c r="R363" s="237">
        <f t="shared" si="475"/>
        <v>51.5</v>
      </c>
      <c r="S363" s="237">
        <f t="shared" si="476"/>
        <v>145.09666666666666</v>
      </c>
      <c r="T363" s="237">
        <f t="shared" si="472"/>
        <v>2701.0266666666666</v>
      </c>
      <c r="U363" s="237">
        <f t="shared" si="522"/>
        <v>270616.39</v>
      </c>
      <c r="V363" s="237">
        <f t="shared" si="523"/>
        <v>570872.09</v>
      </c>
      <c r="W363" s="237">
        <f t="shared" si="473"/>
        <v>55093.609999999986</v>
      </c>
      <c r="X363" s="398">
        <f t="shared" si="515"/>
        <v>56280</v>
      </c>
      <c r="Y363" s="237">
        <f t="shared" si="483"/>
        <v>57192.919999999984</v>
      </c>
      <c r="Z363" s="389">
        <f t="shared" si="508"/>
        <v>8.4999999999999992E-2</v>
      </c>
      <c r="AA363" s="237">
        <f t="shared" si="509"/>
        <v>2504.4299999999998</v>
      </c>
      <c r="AB363" s="237">
        <f t="shared" si="484"/>
        <v>2099.31</v>
      </c>
      <c r="AC363" s="237">
        <f t="shared" si="510"/>
        <v>405.12</v>
      </c>
      <c r="AD363" s="237">
        <f t="shared" ref="AD363:AE363" si="550">+AD362</f>
        <v>51.5</v>
      </c>
      <c r="AE363" s="237">
        <f t="shared" si="550"/>
        <v>145.09666666666666</v>
      </c>
      <c r="AF363" s="237">
        <f t="shared" si="486"/>
        <v>2701.0266666666666</v>
      </c>
      <c r="AG363" s="237">
        <f t="shared" si="487"/>
        <v>270616.39</v>
      </c>
      <c r="AH363" s="237">
        <f t="shared" si="488"/>
        <v>570872.09</v>
      </c>
      <c r="AI363" s="405">
        <f t="shared" si="478"/>
        <v>0</v>
      </c>
      <c r="AJ363" s="405">
        <f t="shared" si="535"/>
        <v>0</v>
      </c>
      <c r="AK363" s="404">
        <f t="shared" si="479"/>
        <v>0</v>
      </c>
      <c r="AL363" s="237">
        <f t="shared" si="489"/>
        <v>55093.609999999986</v>
      </c>
      <c r="AM363" s="318">
        <f t="shared" si="517"/>
        <v>27</v>
      </c>
      <c r="AN363" s="21">
        <f t="shared" si="480"/>
        <v>1944.5499999999997</v>
      </c>
      <c r="AO363" s="21">
        <f>IF(W363&lt;=0,0,+$AA$6-$C$2+I363-U363)</f>
        <v>4063.0199999999604</v>
      </c>
      <c r="AP363" s="21">
        <f t="shared" si="481"/>
        <v>1944.5499999999997</v>
      </c>
      <c r="AQ363" s="21"/>
      <c r="AR363" s="23"/>
      <c r="AS363" s="21">
        <f t="shared" si="512"/>
        <v>1944.5499999999997</v>
      </c>
      <c r="AT363" s="21">
        <f t="shared" si="518"/>
        <v>652888.24000000092</v>
      </c>
      <c r="AU363" s="237">
        <f>IF(W363&lt;=0,0,+($O$5+AV362)*$AQ$2/12)</f>
        <v>1936.6512015114852</v>
      </c>
      <c r="AV363" s="237">
        <f t="shared" si="519"/>
        <v>450887.13180610555</v>
      </c>
    </row>
    <row r="364" spans="1:48">
      <c r="A364" s="395">
        <f t="shared" si="467"/>
        <v>56310</v>
      </c>
      <c r="B364" s="188">
        <f t="shared" si="513"/>
        <v>51490.759999999922</v>
      </c>
      <c r="C364" s="14">
        <f t="shared" si="506"/>
        <v>559.88</v>
      </c>
      <c r="D364" s="14">
        <f t="shared" si="520"/>
        <v>366.78999999999996</v>
      </c>
      <c r="E364" s="14">
        <f t="shared" si="507"/>
        <v>193.09</v>
      </c>
      <c r="F364" s="14">
        <f t="shared" si="468"/>
        <v>51.5</v>
      </c>
      <c r="G364" s="14">
        <f t="shared" si="464"/>
        <v>145.09666666666666</v>
      </c>
      <c r="H364" s="14">
        <f t="shared" si="465"/>
        <v>756.47666666666669</v>
      </c>
      <c r="I364" s="188">
        <f t="shared" si="469"/>
        <v>72049.199999999983</v>
      </c>
      <c r="J364" s="188">
        <f t="shared" si="470"/>
        <v>123809.09000000003</v>
      </c>
      <c r="K364" s="188">
        <f t="shared" si="471"/>
        <v>51123.969999999921</v>
      </c>
      <c r="L364" s="317">
        <f t="shared" si="452"/>
        <v>28</v>
      </c>
      <c r="M364" s="317">
        <f>IF(N364&lt;&gt;"",IF(N364=$O$5,0,+M363+1),0)</f>
        <v>336</v>
      </c>
      <c r="N364" s="188">
        <f t="shared" si="514"/>
        <v>55093.609999999986</v>
      </c>
      <c r="O364" s="188">
        <f>IF($O$11&lt;=A364,IF(+$W363&lt;=0,0,$O$8),0)</f>
        <v>2504.4299999999998</v>
      </c>
      <c r="P364" s="188">
        <f t="shared" si="521"/>
        <v>2114.1799999999998</v>
      </c>
      <c r="Q364" s="188">
        <f>IF($O$11&lt;=A364,ROUND(N364*($O$7/12),2),0)</f>
        <v>390.25</v>
      </c>
      <c r="R364" s="188">
        <f t="shared" si="475"/>
        <v>51.5</v>
      </c>
      <c r="S364" s="188">
        <f t="shared" si="476"/>
        <v>145.09666666666666</v>
      </c>
      <c r="T364" s="188">
        <f t="shared" si="472"/>
        <v>2701.0266666666666</v>
      </c>
      <c r="U364" s="188">
        <f t="shared" si="522"/>
        <v>272730.57</v>
      </c>
      <c r="V364" s="188">
        <f t="shared" si="523"/>
        <v>571262.34</v>
      </c>
      <c r="W364" s="188">
        <f t="shared" si="473"/>
        <v>52979.429999999986</v>
      </c>
      <c r="X364" s="395">
        <f t="shared" si="515"/>
        <v>56310</v>
      </c>
      <c r="Y364" s="188">
        <f t="shared" si="483"/>
        <v>55093.609999999986</v>
      </c>
      <c r="Z364" s="388">
        <f t="shared" si="508"/>
        <v>8.4999999999999992E-2</v>
      </c>
      <c r="AA364" s="188">
        <f t="shared" si="509"/>
        <v>2504.4299999999998</v>
      </c>
      <c r="AB364" s="188">
        <f t="shared" si="484"/>
        <v>2114.1799999999998</v>
      </c>
      <c r="AC364" s="188">
        <f t="shared" si="510"/>
        <v>390.25</v>
      </c>
      <c r="AD364" s="188">
        <f t="shared" ref="AD364:AE364" si="551">+AD363</f>
        <v>51.5</v>
      </c>
      <c r="AE364" s="188">
        <f t="shared" si="551"/>
        <v>145.09666666666666</v>
      </c>
      <c r="AF364" s="188">
        <f t="shared" si="486"/>
        <v>2701.0266666666666</v>
      </c>
      <c r="AG364" s="188">
        <f t="shared" si="487"/>
        <v>272730.57</v>
      </c>
      <c r="AH364" s="188">
        <f t="shared" si="488"/>
        <v>571262.34</v>
      </c>
      <c r="AI364" s="404">
        <f t="shared" si="478"/>
        <v>0</v>
      </c>
      <c r="AJ364" s="404">
        <f t="shared" si="535"/>
        <v>0</v>
      </c>
      <c r="AK364" s="404">
        <f t="shared" si="479"/>
        <v>0</v>
      </c>
      <c r="AL364" s="188">
        <f t="shared" si="489"/>
        <v>52979.429999999986</v>
      </c>
      <c r="AM364" s="317">
        <f t="shared" si="517"/>
        <v>28</v>
      </c>
      <c r="AN364" s="14">
        <f t="shared" si="480"/>
        <v>1944.5499999999997</v>
      </c>
      <c r="AO364" s="14">
        <f>IF(W364&lt;=0,0,+$AA$6-$C$2+I364-U364)</f>
        <v>2315.6299999999464</v>
      </c>
      <c r="AP364" s="14">
        <f t="shared" si="481"/>
        <v>1944.5499999999997</v>
      </c>
      <c r="AS364" s="14">
        <f t="shared" si="512"/>
        <v>1944.5499999999997</v>
      </c>
      <c r="AT364" s="14">
        <f t="shared" si="518"/>
        <v>654832.79000000097</v>
      </c>
      <c r="AU364" s="188">
        <f>IF(W364&lt;=0,0,+($O$5+AV363)*$AQ$2/12)</f>
        <v>1941.492829515264</v>
      </c>
      <c r="AV364" s="188">
        <f t="shared" si="519"/>
        <v>452828.6246356208</v>
      </c>
    </row>
    <row r="365" spans="1:48">
      <c r="A365" s="395">
        <f t="shared" si="467"/>
        <v>56340</v>
      </c>
      <c r="B365" s="188">
        <f t="shared" si="513"/>
        <v>51123.969999999921</v>
      </c>
      <c r="C365" s="14">
        <f t="shared" si="506"/>
        <v>559.88</v>
      </c>
      <c r="D365" s="14">
        <f t="shared" si="520"/>
        <v>368.16999999999996</v>
      </c>
      <c r="E365" s="14">
        <f t="shared" si="507"/>
        <v>191.71</v>
      </c>
      <c r="F365" s="14">
        <f t="shared" si="468"/>
        <v>51.5</v>
      </c>
      <c r="G365" s="14">
        <f t="shared" si="464"/>
        <v>145.09666666666666</v>
      </c>
      <c r="H365" s="14">
        <f t="shared" si="465"/>
        <v>756.47666666666669</v>
      </c>
      <c r="I365" s="188">
        <f t="shared" si="469"/>
        <v>72417.369999999981</v>
      </c>
      <c r="J365" s="188">
        <f t="shared" si="470"/>
        <v>124000.80000000003</v>
      </c>
      <c r="K365" s="188">
        <f t="shared" si="471"/>
        <v>50755.799999999923</v>
      </c>
      <c r="L365" s="317">
        <f t="shared" si="452"/>
        <v>28</v>
      </c>
      <c r="M365" s="317">
        <f>IF(N365&lt;&gt;"",IF(N365=$O$5,0,+M364+1),0)</f>
        <v>337</v>
      </c>
      <c r="N365" s="188">
        <f t="shared" si="514"/>
        <v>52979.429999999986</v>
      </c>
      <c r="O365" s="188">
        <f>IF($O$11&lt;=A365,IF(+$W364&lt;=0,0,$O$8),0)</f>
        <v>2504.4299999999998</v>
      </c>
      <c r="P365" s="188">
        <f t="shared" si="521"/>
        <v>2129.16</v>
      </c>
      <c r="Q365" s="188">
        <f>IF($O$11&lt;=A365,ROUND(N365*($O$7/12),2),0)</f>
        <v>375.27</v>
      </c>
      <c r="R365" s="188">
        <f t="shared" si="475"/>
        <v>51.5</v>
      </c>
      <c r="S365" s="188">
        <f t="shared" si="476"/>
        <v>145.09666666666666</v>
      </c>
      <c r="T365" s="188">
        <f t="shared" si="472"/>
        <v>2701.0266666666666</v>
      </c>
      <c r="U365" s="188">
        <f t="shared" si="522"/>
        <v>274859.73</v>
      </c>
      <c r="V365" s="188">
        <f t="shared" si="523"/>
        <v>571637.61</v>
      </c>
      <c r="W365" s="188">
        <f t="shared" si="473"/>
        <v>50850.26999999999</v>
      </c>
      <c r="X365" s="395">
        <f t="shared" si="515"/>
        <v>56340</v>
      </c>
      <c r="Y365" s="188">
        <f t="shared" si="483"/>
        <v>52979.429999999986</v>
      </c>
      <c r="Z365" s="388">
        <f t="shared" si="508"/>
        <v>8.4999999999999992E-2</v>
      </c>
      <c r="AA365" s="188">
        <f t="shared" si="509"/>
        <v>2504.4299999999998</v>
      </c>
      <c r="AB365" s="188">
        <f t="shared" si="484"/>
        <v>2129.16</v>
      </c>
      <c r="AC365" s="188">
        <f t="shared" si="510"/>
        <v>375.27</v>
      </c>
      <c r="AD365" s="188">
        <f t="shared" ref="AD365:AE365" si="552">+AD364</f>
        <v>51.5</v>
      </c>
      <c r="AE365" s="188">
        <f t="shared" si="552"/>
        <v>145.09666666666666</v>
      </c>
      <c r="AF365" s="188">
        <f t="shared" si="486"/>
        <v>2701.0266666666666</v>
      </c>
      <c r="AG365" s="188">
        <f t="shared" si="487"/>
        <v>274859.73</v>
      </c>
      <c r="AH365" s="188">
        <f t="shared" si="488"/>
        <v>571637.61</v>
      </c>
      <c r="AI365" s="404">
        <f t="shared" si="478"/>
        <v>0</v>
      </c>
      <c r="AJ365" s="404">
        <f t="shared" si="535"/>
        <v>0</v>
      </c>
      <c r="AK365" s="404">
        <f t="shared" si="479"/>
        <v>0</v>
      </c>
      <c r="AL365" s="188">
        <f t="shared" si="489"/>
        <v>50850.26999999999</v>
      </c>
      <c r="AM365" s="317">
        <f t="shared" si="517"/>
        <v>28</v>
      </c>
      <c r="AN365" s="14">
        <f t="shared" si="480"/>
        <v>1944.5499999999997</v>
      </c>
      <c r="AO365" s="14">
        <f>IF(W365&lt;=0,0,+$AA$6-$C$2+I365-U365)</f>
        <v>554.64000000001397</v>
      </c>
      <c r="AP365" s="14">
        <f t="shared" si="481"/>
        <v>1944.5499999999997</v>
      </c>
      <c r="AS365" s="14">
        <f t="shared" si="512"/>
        <v>1944.5499999999997</v>
      </c>
      <c r="AT365" s="14">
        <f t="shared" si="518"/>
        <v>656777.34000000102</v>
      </c>
      <c r="AU365" s="188">
        <f>IF(W365&lt;=0,0,+($O$5+AV364)*$AQ$2/12)</f>
        <v>1946.3465615890518</v>
      </c>
      <c r="AV365" s="188">
        <f t="shared" si="519"/>
        <v>454774.97119720984</v>
      </c>
    </row>
    <row r="366" spans="1:48">
      <c r="A366" s="395">
        <f t="shared" si="467"/>
        <v>56370</v>
      </c>
      <c r="B366" s="188">
        <f t="shared" si="513"/>
        <v>50755.799999999923</v>
      </c>
      <c r="C366" s="14">
        <f t="shared" si="506"/>
        <v>559.88</v>
      </c>
      <c r="D366" s="14">
        <f t="shared" si="520"/>
        <v>369.54999999999995</v>
      </c>
      <c r="E366" s="14">
        <f t="shared" si="507"/>
        <v>190.33</v>
      </c>
      <c r="F366" s="14">
        <f t="shared" si="468"/>
        <v>51.5</v>
      </c>
      <c r="G366" s="14">
        <f t="shared" si="464"/>
        <v>145.09666666666666</v>
      </c>
      <c r="H366" s="14">
        <f t="shared" si="465"/>
        <v>756.47666666666669</v>
      </c>
      <c r="I366" s="188">
        <f t="shared" si="469"/>
        <v>72786.919999999984</v>
      </c>
      <c r="J366" s="188">
        <f t="shared" si="470"/>
        <v>124191.13000000003</v>
      </c>
      <c r="K366" s="188">
        <f t="shared" si="471"/>
        <v>50386.24999999992</v>
      </c>
      <c r="L366" s="317">
        <f t="shared" si="452"/>
        <v>28</v>
      </c>
      <c r="M366" s="317">
        <f>IF(N366&lt;&gt;"",IF(N366=$O$5,0,+M365+1),0)</f>
        <v>338</v>
      </c>
      <c r="N366" s="188">
        <f t="shared" si="514"/>
        <v>50850.26999999999</v>
      </c>
      <c r="O366" s="188">
        <f>IF($O$11&lt;=A366,IF(+$W365&lt;=0,0,$O$8),0)</f>
        <v>2504.4299999999998</v>
      </c>
      <c r="P366" s="188">
        <f t="shared" si="521"/>
        <v>2144.2399999999998</v>
      </c>
      <c r="Q366" s="188">
        <f>IF($O$11&lt;=A366,ROUND(N366*($O$7/12),2),0)</f>
        <v>360.19</v>
      </c>
      <c r="R366" s="188">
        <f t="shared" si="475"/>
        <v>51.5</v>
      </c>
      <c r="S366" s="188">
        <f t="shared" si="476"/>
        <v>145.09666666666666</v>
      </c>
      <c r="T366" s="188">
        <f t="shared" si="472"/>
        <v>2701.0266666666666</v>
      </c>
      <c r="U366" s="188">
        <f t="shared" si="522"/>
        <v>277003.96999999997</v>
      </c>
      <c r="V366" s="188">
        <f t="shared" si="523"/>
        <v>571997.79999999993</v>
      </c>
      <c r="W366" s="188">
        <f t="shared" si="473"/>
        <v>48706.029999999992</v>
      </c>
      <c r="X366" s="395">
        <f t="shared" si="515"/>
        <v>56370</v>
      </c>
      <c r="Y366" s="188">
        <f t="shared" si="483"/>
        <v>50850.26999999999</v>
      </c>
      <c r="Z366" s="388">
        <f t="shared" si="508"/>
        <v>8.4999999999999992E-2</v>
      </c>
      <c r="AA366" s="188">
        <f t="shared" si="509"/>
        <v>2504.4299999999998</v>
      </c>
      <c r="AB366" s="188">
        <f t="shared" si="484"/>
        <v>2144.2399999999998</v>
      </c>
      <c r="AC366" s="188">
        <f t="shared" si="510"/>
        <v>360.19</v>
      </c>
      <c r="AD366" s="188">
        <f t="shared" ref="AD366:AE366" si="553">+AD365</f>
        <v>51.5</v>
      </c>
      <c r="AE366" s="188">
        <f t="shared" si="553"/>
        <v>145.09666666666666</v>
      </c>
      <c r="AF366" s="188">
        <f t="shared" si="486"/>
        <v>2701.0266666666666</v>
      </c>
      <c r="AG366" s="188">
        <f t="shared" si="487"/>
        <v>277003.96999999997</v>
      </c>
      <c r="AH366" s="188">
        <f t="shared" si="488"/>
        <v>571997.79999999993</v>
      </c>
      <c r="AI366" s="404">
        <f t="shared" si="478"/>
        <v>0</v>
      </c>
      <c r="AJ366" s="404">
        <f t="shared" si="535"/>
        <v>0</v>
      </c>
      <c r="AK366" s="404">
        <f t="shared" si="479"/>
        <v>0</v>
      </c>
      <c r="AL366" s="188">
        <f t="shared" si="489"/>
        <v>48706.029999999992</v>
      </c>
      <c r="AM366" s="317">
        <f t="shared" si="517"/>
        <v>28</v>
      </c>
      <c r="AN366" s="14">
        <f t="shared" si="480"/>
        <v>1944.5499999999997</v>
      </c>
      <c r="AO366" s="14">
        <f>IF(W366&lt;=0,0,+$AA$6-$C$2+I366-U366)</f>
        <v>-1220.0499999999884</v>
      </c>
      <c r="AP366" s="14">
        <f t="shared" si="481"/>
        <v>1944.5499999999997</v>
      </c>
      <c r="AS366" s="14">
        <f t="shared" si="512"/>
        <v>1944.5499999999997</v>
      </c>
      <c r="AT366" s="14">
        <f t="shared" si="518"/>
        <v>658721.89000000106</v>
      </c>
      <c r="AU366" s="188">
        <f>IF(W366&lt;=0,0,+($O$5+AV365)*$AQ$2/12)</f>
        <v>1951.2124279930242</v>
      </c>
      <c r="AV366" s="188">
        <f t="shared" si="519"/>
        <v>456726.18362520286</v>
      </c>
    </row>
    <row r="367" spans="1:48">
      <c r="A367" s="395">
        <f t="shared" si="467"/>
        <v>56400</v>
      </c>
      <c r="B367" s="188">
        <f t="shared" si="513"/>
        <v>50386.24999999992</v>
      </c>
      <c r="C367" s="14">
        <f t="shared" si="506"/>
        <v>559.88</v>
      </c>
      <c r="D367" s="14">
        <f t="shared" si="520"/>
        <v>370.93</v>
      </c>
      <c r="E367" s="14">
        <f t="shared" si="507"/>
        <v>188.95</v>
      </c>
      <c r="F367" s="14">
        <f t="shared" si="468"/>
        <v>51.5</v>
      </c>
      <c r="G367" s="14">
        <f t="shared" si="464"/>
        <v>145.09666666666666</v>
      </c>
      <c r="H367" s="14">
        <f t="shared" si="465"/>
        <v>756.47666666666669</v>
      </c>
      <c r="I367" s="188">
        <f t="shared" si="469"/>
        <v>73157.849999999977</v>
      </c>
      <c r="J367" s="188">
        <f t="shared" si="470"/>
        <v>124380.08000000003</v>
      </c>
      <c r="K367" s="188">
        <f t="shared" si="471"/>
        <v>50015.31999999992</v>
      </c>
      <c r="L367" s="317">
        <f t="shared" si="452"/>
        <v>28</v>
      </c>
      <c r="M367" s="317">
        <f>IF(N367&lt;&gt;"",IF(N367=$O$5,0,+M366+1),0)</f>
        <v>339</v>
      </c>
      <c r="N367" s="188">
        <f t="shared" si="514"/>
        <v>48706.029999999992</v>
      </c>
      <c r="O367" s="188">
        <f>IF($O$11&lt;=A367,IF(+$W366&lt;=0,0,$O$8),0)</f>
        <v>2504.4299999999998</v>
      </c>
      <c r="P367" s="188">
        <f t="shared" si="521"/>
        <v>2159.4299999999998</v>
      </c>
      <c r="Q367" s="188">
        <f>IF($O$11&lt;=A367,ROUND(N367*($O$7/12),2),0)</f>
        <v>345</v>
      </c>
      <c r="R367" s="188">
        <f t="shared" si="475"/>
        <v>51.5</v>
      </c>
      <c r="S367" s="188">
        <f t="shared" si="476"/>
        <v>145.09666666666666</v>
      </c>
      <c r="T367" s="188">
        <f t="shared" si="472"/>
        <v>2701.0266666666666</v>
      </c>
      <c r="U367" s="188">
        <f t="shared" si="522"/>
        <v>279163.39999999997</v>
      </c>
      <c r="V367" s="188">
        <f t="shared" si="523"/>
        <v>572342.79999999993</v>
      </c>
      <c r="W367" s="188">
        <f t="shared" si="473"/>
        <v>46546.599999999991</v>
      </c>
      <c r="X367" s="395">
        <f t="shared" si="515"/>
        <v>56400</v>
      </c>
      <c r="Y367" s="188">
        <f t="shared" si="483"/>
        <v>48706.029999999992</v>
      </c>
      <c r="Z367" s="388">
        <f t="shared" si="508"/>
        <v>8.4999999999999992E-2</v>
      </c>
      <c r="AA367" s="188">
        <f t="shared" si="509"/>
        <v>2504.4299999999998</v>
      </c>
      <c r="AB367" s="188">
        <f t="shared" si="484"/>
        <v>2159.4299999999998</v>
      </c>
      <c r="AC367" s="188">
        <f t="shared" si="510"/>
        <v>345</v>
      </c>
      <c r="AD367" s="188">
        <f t="shared" ref="AD367:AE367" si="554">+AD366</f>
        <v>51.5</v>
      </c>
      <c r="AE367" s="188">
        <f t="shared" si="554"/>
        <v>145.09666666666666</v>
      </c>
      <c r="AF367" s="188">
        <f t="shared" si="486"/>
        <v>2701.0266666666666</v>
      </c>
      <c r="AG367" s="188">
        <f t="shared" si="487"/>
        <v>279163.39999999997</v>
      </c>
      <c r="AH367" s="188">
        <f t="shared" si="488"/>
        <v>572342.79999999993</v>
      </c>
      <c r="AI367" s="404">
        <f t="shared" si="478"/>
        <v>0</v>
      </c>
      <c r="AJ367" s="404">
        <f t="shared" si="535"/>
        <v>0</v>
      </c>
      <c r="AK367" s="404">
        <f t="shared" si="479"/>
        <v>0</v>
      </c>
      <c r="AL367" s="188">
        <f t="shared" si="489"/>
        <v>46546.599999999991</v>
      </c>
      <c r="AM367" s="317">
        <f t="shared" si="517"/>
        <v>28</v>
      </c>
      <c r="AN367" s="14">
        <f t="shared" si="480"/>
        <v>1944.5499999999997</v>
      </c>
      <c r="AO367" s="14">
        <f>IF(W367&lt;=0,0,+$AA$6-$C$2+I367-U367)</f>
        <v>-3008.5499999999884</v>
      </c>
      <c r="AP367" s="14">
        <f t="shared" si="481"/>
        <v>1944.5499999999997</v>
      </c>
      <c r="AS367" s="14">
        <f t="shared" si="512"/>
        <v>1944.5499999999997</v>
      </c>
      <c r="AT367" s="14">
        <f t="shared" si="518"/>
        <v>660666.44000000111</v>
      </c>
      <c r="AU367" s="188">
        <f>IF(W367&lt;=0,0,+($O$5+AV366)*$AQ$2/12)</f>
        <v>1956.0904590630071</v>
      </c>
      <c r="AV367" s="188">
        <f t="shared" si="519"/>
        <v>458682.27408426587</v>
      </c>
    </row>
    <row r="368" spans="1:48">
      <c r="A368" s="395">
        <f t="shared" si="467"/>
        <v>56430</v>
      </c>
      <c r="B368" s="188">
        <f t="shared" si="513"/>
        <v>50015.31999999992</v>
      </c>
      <c r="C368" s="14">
        <f t="shared" si="506"/>
        <v>559.88</v>
      </c>
      <c r="D368" s="14">
        <f t="shared" si="520"/>
        <v>372.32</v>
      </c>
      <c r="E368" s="14">
        <f t="shared" si="507"/>
        <v>187.56</v>
      </c>
      <c r="F368" s="14">
        <f t="shared" si="468"/>
        <v>51.5</v>
      </c>
      <c r="G368" s="14">
        <f t="shared" si="464"/>
        <v>145.09666666666666</v>
      </c>
      <c r="H368" s="14">
        <f t="shared" si="465"/>
        <v>756.47666666666669</v>
      </c>
      <c r="I368" s="188">
        <f t="shared" si="469"/>
        <v>73530.169999999984</v>
      </c>
      <c r="J368" s="188">
        <f t="shared" si="470"/>
        <v>124567.64000000003</v>
      </c>
      <c r="K368" s="188">
        <f t="shared" si="471"/>
        <v>49642.99999999992</v>
      </c>
      <c r="L368" s="317">
        <f t="shared" ref="L368:L431" si="555">IF(MOD(M368,12)=0,M368/12,L367)</f>
        <v>28</v>
      </c>
      <c r="M368" s="317">
        <f>IF(N368&lt;&gt;"",IF(N368=$O$5,0,+M367+1),0)</f>
        <v>340</v>
      </c>
      <c r="N368" s="188">
        <f t="shared" si="514"/>
        <v>46546.599999999991</v>
      </c>
      <c r="O368" s="188">
        <f>IF($O$11&lt;=A368,IF(+$W367&lt;=0,0,$O$8),0)</f>
        <v>2504.4299999999998</v>
      </c>
      <c r="P368" s="188">
        <f t="shared" si="521"/>
        <v>2174.7199999999998</v>
      </c>
      <c r="Q368" s="188">
        <f>IF($O$11&lt;=A368,ROUND(N368*($O$7/12),2),0)</f>
        <v>329.71</v>
      </c>
      <c r="R368" s="188">
        <f t="shared" si="475"/>
        <v>51.5</v>
      </c>
      <c r="S368" s="188">
        <f t="shared" si="476"/>
        <v>145.09666666666666</v>
      </c>
      <c r="T368" s="188">
        <f t="shared" si="472"/>
        <v>2701.0266666666666</v>
      </c>
      <c r="U368" s="188">
        <f t="shared" si="522"/>
        <v>281338.11999999994</v>
      </c>
      <c r="V368" s="188">
        <f t="shared" si="523"/>
        <v>572672.50999999989</v>
      </c>
      <c r="W368" s="188">
        <f t="shared" si="473"/>
        <v>44371.87999999999</v>
      </c>
      <c r="X368" s="395">
        <f t="shared" si="515"/>
        <v>56430</v>
      </c>
      <c r="Y368" s="188">
        <f t="shared" si="483"/>
        <v>46546.599999999991</v>
      </c>
      <c r="Z368" s="388">
        <f t="shared" si="508"/>
        <v>8.4999999999999992E-2</v>
      </c>
      <c r="AA368" s="188">
        <f t="shared" si="509"/>
        <v>2504.4299999999998</v>
      </c>
      <c r="AB368" s="188">
        <f t="shared" si="484"/>
        <v>2174.7199999999998</v>
      </c>
      <c r="AC368" s="188">
        <f t="shared" si="510"/>
        <v>329.71</v>
      </c>
      <c r="AD368" s="188">
        <f t="shared" ref="AD368:AE368" si="556">+AD367</f>
        <v>51.5</v>
      </c>
      <c r="AE368" s="188">
        <f t="shared" si="556"/>
        <v>145.09666666666666</v>
      </c>
      <c r="AF368" s="188">
        <f t="shared" si="486"/>
        <v>2701.0266666666666</v>
      </c>
      <c r="AG368" s="188">
        <f t="shared" si="487"/>
        <v>281338.11999999994</v>
      </c>
      <c r="AH368" s="188">
        <f t="shared" si="488"/>
        <v>572672.50999999989</v>
      </c>
      <c r="AI368" s="404">
        <f t="shared" si="478"/>
        <v>0</v>
      </c>
      <c r="AJ368" s="404">
        <f t="shared" si="535"/>
        <v>0</v>
      </c>
      <c r="AK368" s="404">
        <f t="shared" si="479"/>
        <v>0</v>
      </c>
      <c r="AL368" s="188">
        <f t="shared" si="489"/>
        <v>44371.87999999999</v>
      </c>
      <c r="AM368" s="317">
        <f t="shared" si="517"/>
        <v>28</v>
      </c>
      <c r="AN368" s="14">
        <f t="shared" si="480"/>
        <v>1944.5499999999997</v>
      </c>
      <c r="AO368" s="14">
        <f>IF(W368&lt;=0,0,+$AA$6-$C$2+I368-U368)</f>
        <v>-4810.9499999999534</v>
      </c>
      <c r="AP368" s="14">
        <f t="shared" si="481"/>
        <v>1944.5499999999997</v>
      </c>
      <c r="AS368" s="14">
        <f t="shared" si="512"/>
        <v>1944.5499999999997</v>
      </c>
      <c r="AT368" s="14">
        <f t="shared" si="518"/>
        <v>662610.99000000115</v>
      </c>
      <c r="AU368" s="188">
        <f>IF(W368&lt;=0,0,+($O$5+AV367)*$AQ$2/12)</f>
        <v>1960.9806852106647</v>
      </c>
      <c r="AV368" s="188">
        <f t="shared" si="519"/>
        <v>460643.25476947654</v>
      </c>
    </row>
    <row r="369" spans="1:48">
      <c r="A369" s="395">
        <f t="shared" si="467"/>
        <v>56460</v>
      </c>
      <c r="B369" s="188">
        <f t="shared" si="513"/>
        <v>49642.99999999992</v>
      </c>
      <c r="C369" s="14">
        <f t="shared" si="506"/>
        <v>559.88</v>
      </c>
      <c r="D369" s="14">
        <f t="shared" si="520"/>
        <v>373.72</v>
      </c>
      <c r="E369" s="14">
        <f t="shared" si="507"/>
        <v>186.16</v>
      </c>
      <c r="F369" s="14">
        <f t="shared" si="468"/>
        <v>51.5</v>
      </c>
      <c r="G369" s="14">
        <f t="shared" si="464"/>
        <v>145.09666666666666</v>
      </c>
      <c r="H369" s="14">
        <f t="shared" si="465"/>
        <v>756.47666666666669</v>
      </c>
      <c r="I369" s="188">
        <f t="shared" si="469"/>
        <v>73903.889999999985</v>
      </c>
      <c r="J369" s="188">
        <f t="shared" si="470"/>
        <v>124753.80000000003</v>
      </c>
      <c r="K369" s="188">
        <f t="shared" si="471"/>
        <v>49269.279999999919</v>
      </c>
      <c r="L369" s="317">
        <f t="shared" si="555"/>
        <v>28</v>
      </c>
      <c r="M369" s="317">
        <f>IF(N369&lt;&gt;"",IF(N369=$O$5,0,+M368+1),0)</f>
        <v>341</v>
      </c>
      <c r="N369" s="188">
        <f t="shared" si="514"/>
        <v>44371.87999999999</v>
      </c>
      <c r="O369" s="188">
        <f>IF($O$11&lt;=A369,IF(+$W368&lt;=0,0,$O$8),0)</f>
        <v>2504.4299999999998</v>
      </c>
      <c r="P369" s="188">
        <f t="shared" si="521"/>
        <v>2190.1299999999997</v>
      </c>
      <c r="Q369" s="188">
        <f>IF($O$11&lt;=A369,ROUND(N369*($O$7/12),2),0)</f>
        <v>314.3</v>
      </c>
      <c r="R369" s="188">
        <f t="shared" si="475"/>
        <v>51.5</v>
      </c>
      <c r="S369" s="188">
        <f t="shared" si="476"/>
        <v>145.09666666666666</v>
      </c>
      <c r="T369" s="188">
        <f t="shared" si="472"/>
        <v>2701.0266666666666</v>
      </c>
      <c r="U369" s="188">
        <f t="shared" si="522"/>
        <v>283528.24999999994</v>
      </c>
      <c r="V369" s="188">
        <f t="shared" si="523"/>
        <v>572986.80999999994</v>
      </c>
      <c r="W369" s="188">
        <f t="shared" si="473"/>
        <v>42181.749999999993</v>
      </c>
      <c r="X369" s="395">
        <f t="shared" si="515"/>
        <v>56460</v>
      </c>
      <c r="Y369" s="188">
        <f t="shared" si="483"/>
        <v>44371.87999999999</v>
      </c>
      <c r="Z369" s="388">
        <f t="shared" si="508"/>
        <v>8.4999999999999992E-2</v>
      </c>
      <c r="AA369" s="188">
        <f t="shared" si="509"/>
        <v>2504.4299999999998</v>
      </c>
      <c r="AB369" s="188">
        <f t="shared" si="484"/>
        <v>2190.1299999999997</v>
      </c>
      <c r="AC369" s="188">
        <f t="shared" si="510"/>
        <v>314.3</v>
      </c>
      <c r="AD369" s="188">
        <f t="shared" ref="AD369:AE369" si="557">+AD368</f>
        <v>51.5</v>
      </c>
      <c r="AE369" s="188">
        <f t="shared" si="557"/>
        <v>145.09666666666666</v>
      </c>
      <c r="AF369" s="188">
        <f t="shared" si="486"/>
        <v>2701.0266666666666</v>
      </c>
      <c r="AG369" s="188">
        <f t="shared" si="487"/>
        <v>283528.24999999994</v>
      </c>
      <c r="AH369" s="188">
        <f t="shared" si="488"/>
        <v>572986.80999999994</v>
      </c>
      <c r="AI369" s="404">
        <f t="shared" si="478"/>
        <v>0</v>
      </c>
      <c r="AJ369" s="404">
        <f t="shared" si="535"/>
        <v>0</v>
      </c>
      <c r="AK369" s="404">
        <f t="shared" si="479"/>
        <v>0</v>
      </c>
      <c r="AL369" s="188">
        <f t="shared" si="489"/>
        <v>42181.749999999993</v>
      </c>
      <c r="AM369" s="317">
        <f t="shared" si="517"/>
        <v>28</v>
      </c>
      <c r="AN369" s="14">
        <f t="shared" si="480"/>
        <v>1944.5499999999997</v>
      </c>
      <c r="AO369" s="14">
        <f>IF(W369&lt;=0,0,+$AA$6-$C$2+I369-U369)</f>
        <v>-6627.3599999999278</v>
      </c>
      <c r="AP369" s="14">
        <f t="shared" si="481"/>
        <v>1944.5499999999997</v>
      </c>
      <c r="AS369" s="14">
        <f t="shared" si="512"/>
        <v>1944.5499999999997</v>
      </c>
      <c r="AT369" s="14">
        <f t="shared" si="518"/>
        <v>664555.5400000012</v>
      </c>
      <c r="AU369" s="188">
        <f>IF(W369&lt;=0,0,+($O$5+AV368)*$AQ$2/12)</f>
        <v>1965.8831369236914</v>
      </c>
      <c r="AV369" s="188">
        <f t="shared" si="519"/>
        <v>462609.13790640025</v>
      </c>
    </row>
    <row r="370" spans="1:48">
      <c r="A370" s="395">
        <f t="shared" si="467"/>
        <v>56490</v>
      </c>
      <c r="B370" s="188">
        <f t="shared" si="513"/>
        <v>49269.279999999919</v>
      </c>
      <c r="C370" s="14">
        <f t="shared" si="506"/>
        <v>559.88</v>
      </c>
      <c r="D370" s="14">
        <f t="shared" si="520"/>
        <v>375.12</v>
      </c>
      <c r="E370" s="14">
        <f t="shared" si="507"/>
        <v>184.76</v>
      </c>
      <c r="F370" s="14">
        <f t="shared" si="468"/>
        <v>51.5</v>
      </c>
      <c r="G370" s="14">
        <f t="shared" si="464"/>
        <v>145.09666666666666</v>
      </c>
      <c r="H370" s="14">
        <f t="shared" si="465"/>
        <v>756.47666666666669</v>
      </c>
      <c r="I370" s="188">
        <f t="shared" si="469"/>
        <v>74279.00999999998</v>
      </c>
      <c r="J370" s="188">
        <f t="shared" si="470"/>
        <v>124938.56000000003</v>
      </c>
      <c r="K370" s="188">
        <f t="shared" si="471"/>
        <v>48894.159999999916</v>
      </c>
      <c r="L370" s="317">
        <f t="shared" si="555"/>
        <v>28</v>
      </c>
      <c r="M370" s="317">
        <f>IF(N370&lt;&gt;"",IF(N370=$O$5,0,+M369+1),0)</f>
        <v>342</v>
      </c>
      <c r="N370" s="188">
        <f t="shared" si="514"/>
        <v>42181.749999999993</v>
      </c>
      <c r="O370" s="188">
        <f>IF($O$11&lt;=A370,IF(+$W369&lt;=0,0,$O$8),0)</f>
        <v>2504.4299999999998</v>
      </c>
      <c r="P370" s="188">
        <f t="shared" si="521"/>
        <v>2205.64</v>
      </c>
      <c r="Q370" s="188">
        <f>IF($O$11&lt;=A370,ROUND(N370*($O$7/12),2),0)</f>
        <v>298.79000000000002</v>
      </c>
      <c r="R370" s="188">
        <f t="shared" si="475"/>
        <v>51.5</v>
      </c>
      <c r="S370" s="188">
        <f t="shared" si="476"/>
        <v>145.09666666666666</v>
      </c>
      <c r="T370" s="188">
        <f t="shared" si="472"/>
        <v>2701.0266666666666</v>
      </c>
      <c r="U370" s="188">
        <f t="shared" si="522"/>
        <v>285733.88999999996</v>
      </c>
      <c r="V370" s="188">
        <f t="shared" si="523"/>
        <v>573285.6</v>
      </c>
      <c r="W370" s="188">
        <f t="shared" si="473"/>
        <v>39976.109999999993</v>
      </c>
      <c r="X370" s="395">
        <f t="shared" si="515"/>
        <v>56490</v>
      </c>
      <c r="Y370" s="188">
        <f t="shared" si="483"/>
        <v>42181.749999999993</v>
      </c>
      <c r="Z370" s="388">
        <f t="shared" si="508"/>
        <v>8.4999999999999992E-2</v>
      </c>
      <c r="AA370" s="188">
        <f t="shared" si="509"/>
        <v>2504.4299999999998</v>
      </c>
      <c r="AB370" s="188">
        <f t="shared" si="484"/>
        <v>2205.64</v>
      </c>
      <c r="AC370" s="188">
        <f t="shared" si="510"/>
        <v>298.79000000000002</v>
      </c>
      <c r="AD370" s="188">
        <f t="shared" ref="AD370:AE370" si="558">+AD369</f>
        <v>51.5</v>
      </c>
      <c r="AE370" s="188">
        <f t="shared" si="558"/>
        <v>145.09666666666666</v>
      </c>
      <c r="AF370" s="188">
        <f t="shared" si="486"/>
        <v>2701.0266666666666</v>
      </c>
      <c r="AG370" s="188">
        <f t="shared" si="487"/>
        <v>285733.88999999996</v>
      </c>
      <c r="AH370" s="188">
        <f t="shared" si="488"/>
        <v>573285.6</v>
      </c>
      <c r="AI370" s="404">
        <f t="shared" si="478"/>
        <v>0</v>
      </c>
      <c r="AJ370" s="404">
        <f t="shared" si="535"/>
        <v>0</v>
      </c>
      <c r="AK370" s="404">
        <f t="shared" si="479"/>
        <v>0</v>
      </c>
      <c r="AL370" s="188">
        <f t="shared" si="489"/>
        <v>39976.109999999993</v>
      </c>
      <c r="AM370" s="317">
        <f t="shared" si="517"/>
        <v>28</v>
      </c>
      <c r="AN370" s="14">
        <f t="shared" si="480"/>
        <v>1944.5499999999997</v>
      </c>
      <c r="AO370" s="14">
        <f>IF(W370&lt;=0,0,+$AA$6-$C$2+I370-U370)</f>
        <v>-8457.8799999999464</v>
      </c>
      <c r="AP370" s="14">
        <f t="shared" si="481"/>
        <v>1944.5499999999997</v>
      </c>
      <c r="AS370" s="14">
        <f t="shared" si="512"/>
        <v>1944.5499999999997</v>
      </c>
      <c r="AT370" s="14">
        <f t="shared" si="518"/>
        <v>666500.09000000125</v>
      </c>
      <c r="AU370" s="188">
        <f>IF(W370&lt;=0,0,+($O$5+AV369)*$AQ$2/12)</f>
        <v>1970.7978447660007</v>
      </c>
      <c r="AV370" s="188">
        <f t="shared" si="519"/>
        <v>464579.93575116625</v>
      </c>
    </row>
    <row r="371" spans="1:48">
      <c r="A371" s="395">
        <f t="shared" si="467"/>
        <v>56520</v>
      </c>
      <c r="B371" s="188">
        <f t="shared" si="513"/>
        <v>48894.159999999916</v>
      </c>
      <c r="C371" s="14">
        <f t="shared" si="506"/>
        <v>559.88</v>
      </c>
      <c r="D371" s="14">
        <f t="shared" si="520"/>
        <v>376.53</v>
      </c>
      <c r="E371" s="14">
        <f t="shared" si="507"/>
        <v>183.35</v>
      </c>
      <c r="F371" s="14">
        <f t="shared" si="468"/>
        <v>51.5</v>
      </c>
      <c r="G371" s="14">
        <f t="shared" si="464"/>
        <v>145.09666666666666</v>
      </c>
      <c r="H371" s="14">
        <f t="shared" si="465"/>
        <v>756.47666666666669</v>
      </c>
      <c r="I371" s="188">
        <f t="shared" si="469"/>
        <v>74655.539999999979</v>
      </c>
      <c r="J371" s="188">
        <f t="shared" si="470"/>
        <v>125121.91000000003</v>
      </c>
      <c r="K371" s="188">
        <f t="shared" si="471"/>
        <v>48517.629999999917</v>
      </c>
      <c r="L371" s="317">
        <f t="shared" si="555"/>
        <v>28</v>
      </c>
      <c r="M371" s="317">
        <f>IF(N371&lt;&gt;"",IF(N371=$O$5,0,+M370+1),0)</f>
        <v>343</v>
      </c>
      <c r="N371" s="188">
        <f t="shared" si="514"/>
        <v>39976.109999999993</v>
      </c>
      <c r="O371" s="188">
        <f>IF($O$11&lt;=A371,IF(+$W370&lt;=0,0,$O$8),0)</f>
        <v>2504.4299999999998</v>
      </c>
      <c r="P371" s="188">
        <f t="shared" si="521"/>
        <v>2221.27</v>
      </c>
      <c r="Q371" s="188">
        <f>IF($O$11&lt;=A371,ROUND(N371*($O$7/12),2),0)</f>
        <v>283.16000000000003</v>
      </c>
      <c r="R371" s="188">
        <f t="shared" si="475"/>
        <v>51.5</v>
      </c>
      <c r="S371" s="188">
        <f t="shared" si="476"/>
        <v>145.09666666666666</v>
      </c>
      <c r="T371" s="188">
        <f t="shared" si="472"/>
        <v>2701.0266666666666</v>
      </c>
      <c r="U371" s="188">
        <f t="shared" si="522"/>
        <v>287955.15999999997</v>
      </c>
      <c r="V371" s="188">
        <f t="shared" si="523"/>
        <v>573568.76</v>
      </c>
      <c r="W371" s="188">
        <f t="shared" si="473"/>
        <v>37754.839999999997</v>
      </c>
      <c r="X371" s="395">
        <f t="shared" si="515"/>
        <v>56520</v>
      </c>
      <c r="Y371" s="188">
        <f t="shared" si="483"/>
        <v>39976.109999999993</v>
      </c>
      <c r="Z371" s="388">
        <f t="shared" si="508"/>
        <v>8.4999999999999992E-2</v>
      </c>
      <c r="AA371" s="188">
        <f t="shared" si="509"/>
        <v>2504.4299999999998</v>
      </c>
      <c r="AB371" s="188">
        <f t="shared" si="484"/>
        <v>2221.27</v>
      </c>
      <c r="AC371" s="188">
        <f t="shared" si="510"/>
        <v>283.16000000000003</v>
      </c>
      <c r="AD371" s="188">
        <f t="shared" ref="AD371:AE371" si="559">+AD370</f>
        <v>51.5</v>
      </c>
      <c r="AE371" s="188">
        <f t="shared" si="559"/>
        <v>145.09666666666666</v>
      </c>
      <c r="AF371" s="188">
        <f t="shared" si="486"/>
        <v>2701.0266666666666</v>
      </c>
      <c r="AG371" s="188">
        <f t="shared" si="487"/>
        <v>287955.15999999997</v>
      </c>
      <c r="AH371" s="188">
        <f t="shared" si="488"/>
        <v>573568.76</v>
      </c>
      <c r="AI371" s="404">
        <f t="shared" si="478"/>
        <v>0</v>
      </c>
      <c r="AJ371" s="404">
        <f t="shared" si="535"/>
        <v>0</v>
      </c>
      <c r="AK371" s="404">
        <f t="shared" si="479"/>
        <v>0</v>
      </c>
      <c r="AL371" s="188">
        <f t="shared" si="489"/>
        <v>37754.839999999997</v>
      </c>
      <c r="AM371" s="317">
        <f t="shared" si="517"/>
        <v>28</v>
      </c>
      <c r="AN371" s="14">
        <f t="shared" si="480"/>
        <v>1944.5499999999997</v>
      </c>
      <c r="AO371" s="14">
        <f>IF(W371&lt;=0,0,+$AA$6-$C$2+I371-U371)</f>
        <v>-10302.619999999995</v>
      </c>
      <c r="AP371" s="14">
        <f t="shared" si="481"/>
        <v>1944.5499999999997</v>
      </c>
      <c r="AS371" s="14">
        <f t="shared" si="512"/>
        <v>1944.5499999999997</v>
      </c>
      <c r="AT371" s="14">
        <f t="shared" si="518"/>
        <v>668444.64000000129</v>
      </c>
      <c r="AU371" s="188">
        <f>IF(W371&lt;=0,0,+($O$5+AV370)*$AQ$2/12)</f>
        <v>1975.7248393779155</v>
      </c>
      <c r="AV371" s="188">
        <f t="shared" si="519"/>
        <v>466555.66059054417</v>
      </c>
    </row>
    <row r="372" spans="1:48">
      <c r="A372" s="395">
        <f t="shared" si="467"/>
        <v>56550</v>
      </c>
      <c r="B372" s="188">
        <f t="shared" si="513"/>
        <v>48517.629999999917</v>
      </c>
      <c r="C372" s="14">
        <f t="shared" si="506"/>
        <v>559.88</v>
      </c>
      <c r="D372" s="14">
        <f t="shared" si="520"/>
        <v>377.94</v>
      </c>
      <c r="E372" s="14">
        <f t="shared" si="507"/>
        <v>181.94</v>
      </c>
      <c r="F372" s="14">
        <f t="shared" si="468"/>
        <v>51.5</v>
      </c>
      <c r="G372" s="14">
        <f t="shared" si="464"/>
        <v>145.09666666666666</v>
      </c>
      <c r="H372" s="14">
        <f t="shared" si="465"/>
        <v>756.47666666666669</v>
      </c>
      <c r="I372" s="188">
        <f t="shared" si="469"/>
        <v>75033.479999999981</v>
      </c>
      <c r="J372" s="188">
        <f t="shared" si="470"/>
        <v>125303.85000000003</v>
      </c>
      <c r="K372" s="188">
        <f t="shared" si="471"/>
        <v>48139.689999999915</v>
      </c>
      <c r="L372" s="317">
        <f t="shared" si="555"/>
        <v>28</v>
      </c>
      <c r="M372" s="317">
        <f>IF(N372&lt;&gt;"",IF(N372=$O$5,0,+M371+1),0)</f>
        <v>344</v>
      </c>
      <c r="N372" s="188">
        <f t="shared" si="514"/>
        <v>37754.839999999997</v>
      </c>
      <c r="O372" s="188">
        <f>IF($O$11&lt;=A372,IF(+$W371&lt;=0,0,$O$8),0)</f>
        <v>2504.4299999999998</v>
      </c>
      <c r="P372" s="188">
        <f t="shared" si="521"/>
        <v>2237</v>
      </c>
      <c r="Q372" s="188">
        <f>IF($O$11&lt;=A372,ROUND(N372*($O$7/12),2),0)</f>
        <v>267.43</v>
      </c>
      <c r="R372" s="188">
        <f t="shared" si="475"/>
        <v>51.5</v>
      </c>
      <c r="S372" s="188">
        <f t="shared" si="476"/>
        <v>145.09666666666666</v>
      </c>
      <c r="T372" s="188">
        <f t="shared" si="472"/>
        <v>2701.0266666666666</v>
      </c>
      <c r="U372" s="188">
        <f t="shared" si="522"/>
        <v>290192.15999999997</v>
      </c>
      <c r="V372" s="188">
        <f t="shared" si="523"/>
        <v>573836.19000000006</v>
      </c>
      <c r="W372" s="188">
        <f t="shared" si="473"/>
        <v>35517.839999999997</v>
      </c>
      <c r="X372" s="395">
        <f t="shared" si="515"/>
        <v>56550</v>
      </c>
      <c r="Y372" s="188">
        <f t="shared" si="483"/>
        <v>37754.839999999997</v>
      </c>
      <c r="Z372" s="388">
        <f t="shared" si="508"/>
        <v>8.4999999999999992E-2</v>
      </c>
      <c r="AA372" s="188">
        <f t="shared" si="509"/>
        <v>2504.4299999999998</v>
      </c>
      <c r="AB372" s="188">
        <f t="shared" si="484"/>
        <v>2237</v>
      </c>
      <c r="AC372" s="188">
        <f t="shared" si="510"/>
        <v>267.43</v>
      </c>
      <c r="AD372" s="188">
        <f t="shared" ref="AD372:AE372" si="560">+AD371</f>
        <v>51.5</v>
      </c>
      <c r="AE372" s="188">
        <f t="shared" si="560"/>
        <v>145.09666666666666</v>
      </c>
      <c r="AF372" s="188">
        <f t="shared" si="486"/>
        <v>2701.0266666666666</v>
      </c>
      <c r="AG372" s="188">
        <f t="shared" si="487"/>
        <v>290192.15999999997</v>
      </c>
      <c r="AH372" s="188">
        <f t="shared" si="488"/>
        <v>573836.19000000006</v>
      </c>
      <c r="AI372" s="404">
        <f t="shared" si="478"/>
        <v>0</v>
      </c>
      <c r="AJ372" s="404">
        <f t="shared" si="535"/>
        <v>0</v>
      </c>
      <c r="AK372" s="404">
        <f t="shared" si="479"/>
        <v>0</v>
      </c>
      <c r="AL372" s="188">
        <f t="shared" si="489"/>
        <v>35517.839999999997</v>
      </c>
      <c r="AM372" s="317">
        <f t="shared" si="517"/>
        <v>28</v>
      </c>
      <c r="AN372" s="14">
        <f t="shared" si="480"/>
        <v>1944.5499999999997</v>
      </c>
      <c r="AO372" s="14">
        <f>IF(W372&lt;=0,0,+$AA$6-$C$2+I372-U372)</f>
        <v>-12161.679999999993</v>
      </c>
      <c r="AP372" s="14">
        <f t="shared" si="481"/>
        <v>1944.5499999999997</v>
      </c>
      <c r="AS372" s="14">
        <f t="shared" si="512"/>
        <v>1944.5499999999997</v>
      </c>
      <c r="AT372" s="14">
        <f t="shared" si="518"/>
        <v>670389.19000000134</v>
      </c>
      <c r="AU372" s="188">
        <f>IF(W372&lt;=0,0,+($O$5+AV371)*$AQ$2/12)</f>
        <v>1980.6641514763603</v>
      </c>
      <c r="AV372" s="188">
        <f t="shared" si="519"/>
        <v>468536.32474202052</v>
      </c>
    </row>
    <row r="373" spans="1:48">
      <c r="A373" s="395">
        <f t="shared" si="467"/>
        <v>56580</v>
      </c>
      <c r="B373" s="188">
        <f t="shared" si="513"/>
        <v>48139.689999999915</v>
      </c>
      <c r="C373" s="14">
        <f t="shared" si="506"/>
        <v>559.88</v>
      </c>
      <c r="D373" s="14">
        <f t="shared" si="520"/>
        <v>379.36</v>
      </c>
      <c r="E373" s="14">
        <f t="shared" si="507"/>
        <v>180.52</v>
      </c>
      <c r="F373" s="14">
        <f t="shared" si="468"/>
        <v>51.5</v>
      </c>
      <c r="G373" s="14">
        <f t="shared" si="464"/>
        <v>145.09666666666666</v>
      </c>
      <c r="H373" s="14">
        <f t="shared" si="465"/>
        <v>756.47666666666669</v>
      </c>
      <c r="I373" s="188">
        <f t="shared" si="469"/>
        <v>75412.839999999982</v>
      </c>
      <c r="J373" s="188">
        <f t="shared" si="470"/>
        <v>125484.37000000004</v>
      </c>
      <c r="K373" s="188">
        <f t="shared" si="471"/>
        <v>47760.329999999914</v>
      </c>
      <c r="L373" s="317">
        <f t="shared" si="555"/>
        <v>28</v>
      </c>
      <c r="M373" s="317">
        <f>IF(N373&lt;&gt;"",IF(N373=$O$5,0,+M372+1),0)</f>
        <v>345</v>
      </c>
      <c r="N373" s="188">
        <f t="shared" si="514"/>
        <v>35517.839999999997</v>
      </c>
      <c r="O373" s="188">
        <f>IF($O$11&lt;=A373,IF(+$W372&lt;=0,0,$O$8),0)</f>
        <v>2504.4299999999998</v>
      </c>
      <c r="P373" s="188">
        <f t="shared" si="521"/>
        <v>2252.85</v>
      </c>
      <c r="Q373" s="188">
        <f>IF($O$11&lt;=A373,ROUND(N373*($O$7/12),2),0)</f>
        <v>251.58</v>
      </c>
      <c r="R373" s="188">
        <f t="shared" si="475"/>
        <v>51.5</v>
      </c>
      <c r="S373" s="188">
        <f t="shared" si="476"/>
        <v>145.09666666666666</v>
      </c>
      <c r="T373" s="188">
        <f t="shared" si="472"/>
        <v>2701.0266666666666</v>
      </c>
      <c r="U373" s="188">
        <f t="shared" si="522"/>
        <v>292445.00999999995</v>
      </c>
      <c r="V373" s="188">
        <f t="shared" si="523"/>
        <v>574087.77</v>
      </c>
      <c r="W373" s="188">
        <f t="shared" si="473"/>
        <v>33264.99</v>
      </c>
      <c r="X373" s="395">
        <f t="shared" si="515"/>
        <v>56580</v>
      </c>
      <c r="Y373" s="188">
        <f t="shared" si="483"/>
        <v>35517.839999999997</v>
      </c>
      <c r="Z373" s="388">
        <f t="shared" si="508"/>
        <v>8.4999999999999992E-2</v>
      </c>
      <c r="AA373" s="188">
        <f t="shared" si="509"/>
        <v>2504.4299999999998</v>
      </c>
      <c r="AB373" s="188">
        <f t="shared" si="484"/>
        <v>2252.85</v>
      </c>
      <c r="AC373" s="188">
        <f t="shared" si="510"/>
        <v>251.58</v>
      </c>
      <c r="AD373" s="188">
        <f t="shared" ref="AD373:AE373" si="561">+AD372</f>
        <v>51.5</v>
      </c>
      <c r="AE373" s="188">
        <f t="shared" si="561"/>
        <v>145.09666666666666</v>
      </c>
      <c r="AF373" s="188">
        <f t="shared" si="486"/>
        <v>2701.0266666666666</v>
      </c>
      <c r="AG373" s="188">
        <f t="shared" si="487"/>
        <v>292445.00999999995</v>
      </c>
      <c r="AH373" s="188">
        <f t="shared" si="488"/>
        <v>574087.77</v>
      </c>
      <c r="AI373" s="404">
        <f t="shared" si="478"/>
        <v>0</v>
      </c>
      <c r="AJ373" s="404">
        <f t="shared" si="535"/>
        <v>0</v>
      </c>
      <c r="AK373" s="404">
        <f t="shared" si="479"/>
        <v>0</v>
      </c>
      <c r="AL373" s="188">
        <f t="shared" si="489"/>
        <v>33264.99</v>
      </c>
      <c r="AM373" s="317">
        <f t="shared" si="517"/>
        <v>28</v>
      </c>
      <c r="AN373" s="14">
        <f t="shared" si="480"/>
        <v>1944.5499999999997</v>
      </c>
      <c r="AO373" s="14">
        <f>IF(W373&lt;=0,0,+$AA$6-$C$2+I373-U373)</f>
        <v>-14035.169999999984</v>
      </c>
      <c r="AP373" s="14">
        <f t="shared" si="481"/>
        <v>1944.5499999999997</v>
      </c>
      <c r="AS373" s="14">
        <f t="shared" si="512"/>
        <v>1944.5499999999997</v>
      </c>
      <c r="AT373" s="14">
        <f t="shared" si="518"/>
        <v>672333.74000000139</v>
      </c>
      <c r="AU373" s="188">
        <f>IF(W373&lt;=0,0,+($O$5+AV372)*$AQ$2/12)</f>
        <v>1985.6158118550513</v>
      </c>
      <c r="AV373" s="188">
        <f t="shared" si="519"/>
        <v>470521.94055387558</v>
      </c>
    </row>
    <row r="374" spans="1:48">
      <c r="A374" s="395">
        <f t="shared" si="467"/>
        <v>56610</v>
      </c>
      <c r="B374" s="188">
        <f t="shared" si="513"/>
        <v>47760.329999999914</v>
      </c>
      <c r="C374" s="14">
        <f t="shared" si="506"/>
        <v>559.88</v>
      </c>
      <c r="D374" s="14">
        <f t="shared" si="520"/>
        <v>380.78</v>
      </c>
      <c r="E374" s="14">
        <f t="shared" si="507"/>
        <v>179.1</v>
      </c>
      <c r="F374" s="14">
        <f t="shared" si="468"/>
        <v>51.5</v>
      </c>
      <c r="G374" s="14">
        <f t="shared" si="464"/>
        <v>145.09666666666666</v>
      </c>
      <c r="H374" s="14">
        <f t="shared" si="465"/>
        <v>756.47666666666669</v>
      </c>
      <c r="I374" s="188">
        <f t="shared" si="469"/>
        <v>75793.619999999981</v>
      </c>
      <c r="J374" s="188">
        <f t="shared" si="470"/>
        <v>125663.47000000004</v>
      </c>
      <c r="K374" s="188">
        <f t="shared" si="471"/>
        <v>47379.549999999916</v>
      </c>
      <c r="L374" s="317">
        <f t="shared" si="555"/>
        <v>28</v>
      </c>
      <c r="M374" s="317">
        <f>IF(N374&lt;&gt;"",IF(N374=$O$5,0,+M373+1),0)</f>
        <v>346</v>
      </c>
      <c r="N374" s="188">
        <f t="shared" si="514"/>
        <v>33264.99</v>
      </c>
      <c r="O374" s="188">
        <f>IF($O$11&lt;=A374,IF(+$W373&lt;=0,0,$O$8),0)</f>
        <v>2504.4299999999998</v>
      </c>
      <c r="P374" s="188">
        <f t="shared" si="521"/>
        <v>2268.7999999999997</v>
      </c>
      <c r="Q374" s="188">
        <f>IF($O$11&lt;=A374,ROUND(N374*($O$7/12),2),0)</f>
        <v>235.63</v>
      </c>
      <c r="R374" s="188">
        <f t="shared" si="475"/>
        <v>51.5</v>
      </c>
      <c r="S374" s="188">
        <f t="shared" si="476"/>
        <v>145.09666666666666</v>
      </c>
      <c r="T374" s="188">
        <f t="shared" si="472"/>
        <v>2701.0266666666666</v>
      </c>
      <c r="U374" s="188">
        <f t="shared" si="522"/>
        <v>294713.80999999994</v>
      </c>
      <c r="V374" s="188">
        <f t="shared" si="523"/>
        <v>574323.4</v>
      </c>
      <c r="W374" s="188">
        <f t="shared" si="473"/>
        <v>30996.19</v>
      </c>
      <c r="X374" s="395">
        <f t="shared" si="515"/>
        <v>56610</v>
      </c>
      <c r="Y374" s="188">
        <f t="shared" si="483"/>
        <v>33264.99</v>
      </c>
      <c r="Z374" s="388">
        <f t="shared" si="508"/>
        <v>8.4999999999999992E-2</v>
      </c>
      <c r="AA374" s="188">
        <f t="shared" si="509"/>
        <v>2504.4299999999998</v>
      </c>
      <c r="AB374" s="188">
        <f t="shared" si="484"/>
        <v>2268.7999999999997</v>
      </c>
      <c r="AC374" s="188">
        <f t="shared" si="510"/>
        <v>235.63</v>
      </c>
      <c r="AD374" s="188">
        <f t="shared" ref="AD374:AE374" si="562">+AD373</f>
        <v>51.5</v>
      </c>
      <c r="AE374" s="188">
        <f t="shared" si="562"/>
        <v>145.09666666666666</v>
      </c>
      <c r="AF374" s="188">
        <f t="shared" si="486"/>
        <v>2701.0266666666666</v>
      </c>
      <c r="AG374" s="188">
        <f t="shared" si="487"/>
        <v>294713.80999999994</v>
      </c>
      <c r="AH374" s="188">
        <f t="shared" si="488"/>
        <v>574323.4</v>
      </c>
      <c r="AI374" s="404">
        <f t="shared" si="478"/>
        <v>0</v>
      </c>
      <c r="AJ374" s="404">
        <f t="shared" si="535"/>
        <v>0</v>
      </c>
      <c r="AK374" s="404">
        <f t="shared" si="479"/>
        <v>0</v>
      </c>
      <c r="AL374" s="188">
        <f t="shared" si="489"/>
        <v>30996.19</v>
      </c>
      <c r="AM374" s="317">
        <f t="shared" si="517"/>
        <v>28</v>
      </c>
      <c r="AN374" s="14">
        <f t="shared" si="480"/>
        <v>1944.5499999999997</v>
      </c>
      <c r="AO374" s="14">
        <f>IF(W374&lt;=0,0,+$AA$6-$C$2+I374-U374)</f>
        <v>-15923.189999999944</v>
      </c>
      <c r="AP374" s="14">
        <f t="shared" si="481"/>
        <v>1944.5499999999997</v>
      </c>
      <c r="AS374" s="14">
        <f t="shared" si="512"/>
        <v>1944.5499999999997</v>
      </c>
      <c r="AT374" s="14">
        <f t="shared" si="518"/>
        <v>674278.29000000143</v>
      </c>
      <c r="AU374" s="188">
        <f>IF(W374&lt;=0,0,+($O$5+AV373)*$AQ$2/12)</f>
        <v>1990.5798513846892</v>
      </c>
      <c r="AV374" s="188">
        <f t="shared" si="519"/>
        <v>472512.52040526026</v>
      </c>
    </row>
    <row r="375" spans="1:48" ht="15.75" thickBot="1">
      <c r="A375" s="398">
        <f t="shared" si="467"/>
        <v>56640</v>
      </c>
      <c r="B375" s="237">
        <f>IF(+K374&lt;0,0,+K374)</f>
        <v>47379.549999999916</v>
      </c>
      <c r="C375" s="21">
        <f t="shared" si="506"/>
        <v>559.88</v>
      </c>
      <c r="D375" s="21">
        <f t="shared" si="520"/>
        <v>382.21000000000004</v>
      </c>
      <c r="E375" s="21">
        <f t="shared" si="507"/>
        <v>177.67</v>
      </c>
      <c r="F375" s="21">
        <f t="shared" si="468"/>
        <v>51.5</v>
      </c>
      <c r="G375" s="21">
        <f t="shared" si="464"/>
        <v>145.09666666666666</v>
      </c>
      <c r="H375" s="21">
        <f t="shared" si="465"/>
        <v>756.47666666666669</v>
      </c>
      <c r="I375" s="237">
        <f t="shared" si="469"/>
        <v>76175.829999999987</v>
      </c>
      <c r="J375" s="237">
        <f t="shared" si="470"/>
        <v>125841.14000000004</v>
      </c>
      <c r="K375" s="237">
        <f t="shared" si="471"/>
        <v>46997.339999999916</v>
      </c>
      <c r="L375" s="318">
        <f t="shared" si="555"/>
        <v>28</v>
      </c>
      <c r="M375" s="318">
        <f>IF(N375&lt;&gt;"",IF(N375=$O$5,0,+M374+1),0)</f>
        <v>347</v>
      </c>
      <c r="N375" s="237">
        <f t="shared" si="514"/>
        <v>30996.19</v>
      </c>
      <c r="O375" s="237">
        <f>IF($O$11&lt;=A375,IF(+$W374&lt;=0,0,$O$8),0)</f>
        <v>2504.4299999999998</v>
      </c>
      <c r="P375" s="237">
        <f t="shared" si="521"/>
        <v>2284.87</v>
      </c>
      <c r="Q375" s="237">
        <f>IF($O$11&lt;=A375,ROUND(N375*($O$7/12),2),0)</f>
        <v>219.56</v>
      </c>
      <c r="R375" s="237">
        <f t="shared" si="475"/>
        <v>51.5</v>
      </c>
      <c r="S375" s="237">
        <f t="shared" si="476"/>
        <v>145.09666666666666</v>
      </c>
      <c r="T375" s="237">
        <f t="shared" si="472"/>
        <v>2701.0266666666666</v>
      </c>
      <c r="U375" s="237">
        <f t="shared" si="522"/>
        <v>296998.67999999993</v>
      </c>
      <c r="V375" s="237">
        <f t="shared" si="523"/>
        <v>574542.96000000008</v>
      </c>
      <c r="W375" s="237">
        <f t="shared" si="473"/>
        <v>28711.32</v>
      </c>
      <c r="X375" s="398">
        <f t="shared" si="515"/>
        <v>56640</v>
      </c>
      <c r="Y375" s="237">
        <f t="shared" si="483"/>
        <v>30996.19</v>
      </c>
      <c r="Z375" s="389">
        <f t="shared" si="508"/>
        <v>8.4999999999999992E-2</v>
      </c>
      <c r="AA375" s="237">
        <f t="shared" si="509"/>
        <v>2504.4299999999998</v>
      </c>
      <c r="AB375" s="237">
        <f t="shared" si="484"/>
        <v>2284.87</v>
      </c>
      <c r="AC375" s="237">
        <f t="shared" si="510"/>
        <v>219.56</v>
      </c>
      <c r="AD375" s="237">
        <f t="shared" ref="AD375:AE375" si="563">+AD374</f>
        <v>51.5</v>
      </c>
      <c r="AE375" s="237">
        <f t="shared" si="563"/>
        <v>145.09666666666666</v>
      </c>
      <c r="AF375" s="237">
        <f t="shared" si="486"/>
        <v>2701.0266666666666</v>
      </c>
      <c r="AG375" s="237">
        <f t="shared" si="487"/>
        <v>296998.67999999993</v>
      </c>
      <c r="AH375" s="237">
        <f t="shared" si="488"/>
        <v>574542.96000000008</v>
      </c>
      <c r="AI375" s="405">
        <f t="shared" si="478"/>
        <v>0</v>
      </c>
      <c r="AJ375" s="405">
        <f t="shared" si="535"/>
        <v>0</v>
      </c>
      <c r="AK375" s="404">
        <f t="shared" si="479"/>
        <v>0</v>
      </c>
      <c r="AL375" s="237">
        <f t="shared" si="489"/>
        <v>28711.32</v>
      </c>
      <c r="AM375" s="318">
        <f t="shared" si="517"/>
        <v>28</v>
      </c>
      <c r="AN375" s="21">
        <f t="shared" si="480"/>
        <v>1944.5499999999997</v>
      </c>
      <c r="AO375" s="21">
        <f>IF(W375&lt;=0,0,+$AA$6-$C$2+I375-U375)</f>
        <v>-17825.849999999977</v>
      </c>
      <c r="AP375" s="21">
        <f t="shared" si="481"/>
        <v>1944.5499999999997</v>
      </c>
      <c r="AQ375" s="21"/>
      <c r="AR375" s="23"/>
      <c r="AS375" s="21">
        <f t="shared" si="512"/>
        <v>1944.5499999999997</v>
      </c>
      <c r="AT375" s="21">
        <f t="shared" si="518"/>
        <v>676222.84000000148</v>
      </c>
      <c r="AU375" s="237">
        <f>IF(W375&lt;=0,0,+($O$5+AV374)*$AQ$2/12)</f>
        <v>1995.5563010131507</v>
      </c>
      <c r="AV375" s="237">
        <f t="shared" si="519"/>
        <v>474508.07670627342</v>
      </c>
    </row>
    <row r="376" spans="1:48">
      <c r="A376" s="395">
        <f t="shared" si="467"/>
        <v>56670</v>
      </c>
      <c r="B376" s="188">
        <f>IF(+$K375&lt;0,0,+K375)</f>
        <v>46997.339999999916</v>
      </c>
      <c r="C376" s="14">
        <f t="shared" si="506"/>
        <v>559.88</v>
      </c>
      <c r="D376" s="14">
        <f t="shared" si="520"/>
        <v>383.64</v>
      </c>
      <c r="E376" s="14">
        <f t="shared" si="507"/>
        <v>176.24</v>
      </c>
      <c r="F376" s="14">
        <f t="shared" si="468"/>
        <v>51.5</v>
      </c>
      <c r="G376" s="14">
        <f t="shared" si="464"/>
        <v>145.09666666666666</v>
      </c>
      <c r="H376" s="14">
        <f t="shared" si="465"/>
        <v>756.47666666666669</v>
      </c>
      <c r="I376" s="188">
        <f t="shared" si="469"/>
        <v>76559.469999999987</v>
      </c>
      <c r="J376" s="188">
        <f t="shared" si="470"/>
        <v>126017.38000000005</v>
      </c>
      <c r="K376" s="188">
        <f t="shared" si="471"/>
        <v>46613.699999999917</v>
      </c>
      <c r="L376" s="317">
        <f t="shared" si="555"/>
        <v>29</v>
      </c>
      <c r="M376" s="317">
        <f>IF(N376&lt;&gt;"",IF(N376=$O$5,0,+M375+1),0)</f>
        <v>348</v>
      </c>
      <c r="N376" s="188">
        <f t="shared" si="514"/>
        <v>28711.32</v>
      </c>
      <c r="O376" s="188">
        <f>IF($O$11&lt;=A376,IF(+$W375&lt;=0,0,$O$8),0)</f>
        <v>2504.4299999999998</v>
      </c>
      <c r="P376" s="188">
        <f t="shared" si="521"/>
        <v>2301.06</v>
      </c>
      <c r="Q376" s="188">
        <f>IF($O$11&lt;=A376,ROUND(N376*($O$7/12),2),0)</f>
        <v>203.37</v>
      </c>
      <c r="R376" s="188">
        <f t="shared" si="475"/>
        <v>51.5</v>
      </c>
      <c r="S376" s="188">
        <f t="shared" si="476"/>
        <v>145.09666666666666</v>
      </c>
      <c r="T376" s="188">
        <f t="shared" si="472"/>
        <v>2701.0266666666666</v>
      </c>
      <c r="U376" s="188">
        <f t="shared" si="522"/>
        <v>299299.73999999993</v>
      </c>
      <c r="V376" s="188">
        <f t="shared" si="523"/>
        <v>574746.33000000007</v>
      </c>
      <c r="W376" s="188">
        <f t="shared" si="473"/>
        <v>26410.26</v>
      </c>
      <c r="X376" s="395">
        <f t="shared" si="515"/>
        <v>56670</v>
      </c>
      <c r="Y376" s="188">
        <f t="shared" si="483"/>
        <v>28711.32</v>
      </c>
      <c r="Z376" s="388">
        <f t="shared" si="508"/>
        <v>8.4999999999999992E-2</v>
      </c>
      <c r="AA376" s="188">
        <f t="shared" si="509"/>
        <v>2504.4299999999998</v>
      </c>
      <c r="AB376" s="188">
        <f t="shared" si="484"/>
        <v>2301.06</v>
      </c>
      <c r="AC376" s="188">
        <f t="shared" si="510"/>
        <v>203.37</v>
      </c>
      <c r="AD376" s="188">
        <f t="shared" ref="AD376:AE376" si="564">+AD375</f>
        <v>51.5</v>
      </c>
      <c r="AE376" s="188">
        <f t="shared" si="564"/>
        <v>145.09666666666666</v>
      </c>
      <c r="AF376" s="188">
        <f t="shared" si="486"/>
        <v>2701.0266666666666</v>
      </c>
      <c r="AG376" s="188">
        <f t="shared" si="487"/>
        <v>299299.73999999993</v>
      </c>
      <c r="AH376" s="188">
        <f t="shared" si="488"/>
        <v>574746.33000000007</v>
      </c>
      <c r="AI376" s="404">
        <f t="shared" si="478"/>
        <v>0</v>
      </c>
      <c r="AJ376" s="404">
        <f t="shared" si="535"/>
        <v>0</v>
      </c>
      <c r="AK376" s="404">
        <f t="shared" si="479"/>
        <v>0</v>
      </c>
      <c r="AL376" s="188">
        <f t="shared" si="489"/>
        <v>26410.26</v>
      </c>
      <c r="AM376" s="317">
        <f t="shared" si="517"/>
        <v>29</v>
      </c>
      <c r="AN376" s="14">
        <f t="shared" si="480"/>
        <v>1944.5499999999997</v>
      </c>
      <c r="AO376" s="14">
        <f>IF(W376&lt;=0,0,+$AA$6-$C$2+I376-U376)</f>
        <v>-19743.26999999996</v>
      </c>
      <c r="AP376" s="14">
        <f t="shared" si="481"/>
        <v>1944.5499999999997</v>
      </c>
      <c r="AS376" s="14">
        <f t="shared" si="512"/>
        <v>1944.5499999999997</v>
      </c>
      <c r="AT376" s="14">
        <f t="shared" si="518"/>
        <v>678167.39000000153</v>
      </c>
      <c r="AU376" s="188">
        <f>IF(W376&lt;=0,0,+($O$5+AV375)*$AQ$2/12)</f>
        <v>2000.5451917656837</v>
      </c>
      <c r="AV376" s="188">
        <f t="shared" si="519"/>
        <v>476508.62189803913</v>
      </c>
    </row>
    <row r="377" spans="1:48">
      <c r="A377" s="395">
        <f t="shared" si="467"/>
        <v>56700</v>
      </c>
      <c r="B377" s="188">
        <f t="shared" ref="B377:B440" si="565">IF(+K376&lt;0,0,+K376)</f>
        <v>46613.699999999917</v>
      </c>
      <c r="C377" s="14">
        <f t="shared" si="506"/>
        <v>559.88</v>
      </c>
      <c r="D377" s="14">
        <f t="shared" si="520"/>
        <v>385.08</v>
      </c>
      <c r="E377" s="14">
        <f t="shared" si="507"/>
        <v>174.8</v>
      </c>
      <c r="F377" s="14">
        <f t="shared" si="468"/>
        <v>51.5</v>
      </c>
      <c r="G377" s="14">
        <f t="shared" si="464"/>
        <v>145.09666666666666</v>
      </c>
      <c r="H377" s="14">
        <f t="shared" si="465"/>
        <v>756.47666666666669</v>
      </c>
      <c r="I377" s="188">
        <f t="shared" si="469"/>
        <v>76944.549999999988</v>
      </c>
      <c r="J377" s="188">
        <f t="shared" si="470"/>
        <v>126192.18000000005</v>
      </c>
      <c r="K377" s="188">
        <f t="shared" si="471"/>
        <v>46228.619999999915</v>
      </c>
      <c r="L377" s="317">
        <f t="shared" si="555"/>
        <v>29</v>
      </c>
      <c r="M377" s="317">
        <f>IF(N377&lt;&gt;"",IF(N377=$O$5,0,+M376+1),0)</f>
        <v>349</v>
      </c>
      <c r="N377" s="188">
        <f t="shared" si="514"/>
        <v>26410.26</v>
      </c>
      <c r="O377" s="188">
        <f>IF($O$11&lt;=A377,IF(+$W376&lt;=0,0,$O$8),0)</f>
        <v>2504.4299999999998</v>
      </c>
      <c r="P377" s="188">
        <f t="shared" si="521"/>
        <v>2317.3599999999997</v>
      </c>
      <c r="Q377" s="188">
        <f>IF($O$11&lt;=A377,ROUND(N377*($O$7/12),2),0)</f>
        <v>187.07</v>
      </c>
      <c r="R377" s="188">
        <f t="shared" si="475"/>
        <v>51.5</v>
      </c>
      <c r="S377" s="188">
        <f t="shared" si="476"/>
        <v>145.09666666666666</v>
      </c>
      <c r="T377" s="188">
        <f t="shared" si="472"/>
        <v>2701.0266666666666</v>
      </c>
      <c r="U377" s="188">
        <f t="shared" si="522"/>
        <v>301617.09999999992</v>
      </c>
      <c r="V377" s="188">
        <f t="shared" si="523"/>
        <v>574933.4</v>
      </c>
      <c r="W377" s="188">
        <f t="shared" si="473"/>
        <v>24092.899999999998</v>
      </c>
      <c r="X377" s="395">
        <f t="shared" si="515"/>
        <v>56700</v>
      </c>
      <c r="Y377" s="188">
        <f t="shared" si="483"/>
        <v>26410.26</v>
      </c>
      <c r="Z377" s="388">
        <f t="shared" si="508"/>
        <v>8.4999999999999992E-2</v>
      </c>
      <c r="AA377" s="188">
        <f t="shared" si="509"/>
        <v>2504.4299999999998</v>
      </c>
      <c r="AB377" s="188">
        <f t="shared" si="484"/>
        <v>2317.3599999999997</v>
      </c>
      <c r="AC377" s="188">
        <f t="shared" si="510"/>
        <v>187.07</v>
      </c>
      <c r="AD377" s="188">
        <f t="shared" ref="AD377:AE377" si="566">+AD376</f>
        <v>51.5</v>
      </c>
      <c r="AE377" s="188">
        <f t="shared" si="566"/>
        <v>145.09666666666666</v>
      </c>
      <c r="AF377" s="188">
        <f t="shared" si="486"/>
        <v>2701.0266666666666</v>
      </c>
      <c r="AG377" s="188">
        <f t="shared" si="487"/>
        <v>301617.09999999992</v>
      </c>
      <c r="AH377" s="188">
        <f t="shared" si="488"/>
        <v>574933.4</v>
      </c>
      <c r="AI377" s="404">
        <f t="shared" si="478"/>
        <v>0</v>
      </c>
      <c r="AJ377" s="404">
        <f t="shared" si="535"/>
        <v>0</v>
      </c>
      <c r="AK377" s="404">
        <f t="shared" si="479"/>
        <v>0</v>
      </c>
      <c r="AL377" s="188">
        <f t="shared" si="489"/>
        <v>24092.899999999998</v>
      </c>
      <c r="AM377" s="317">
        <f t="shared" si="517"/>
        <v>29</v>
      </c>
      <c r="AN377" s="14">
        <f t="shared" si="480"/>
        <v>1944.5499999999997</v>
      </c>
      <c r="AO377" s="14">
        <f>IF(W377&lt;=0,0,+$AA$6-$C$2+I377-U377)</f>
        <v>-21675.54999999993</v>
      </c>
      <c r="AP377" s="14">
        <f t="shared" si="481"/>
        <v>1944.5499999999997</v>
      </c>
      <c r="AS377" s="14">
        <f t="shared" si="512"/>
        <v>1944.5499999999997</v>
      </c>
      <c r="AT377" s="14">
        <f t="shared" si="518"/>
        <v>680111.94000000157</v>
      </c>
      <c r="AU377" s="188">
        <f>IF(W377&lt;=0,0,+($O$5+AV376)*$AQ$2/12)</f>
        <v>2005.5465547450976</v>
      </c>
      <c r="AV377" s="188">
        <f t="shared" si="519"/>
        <v>478514.16845278424</v>
      </c>
    </row>
    <row r="378" spans="1:48">
      <c r="A378" s="395">
        <f t="shared" si="467"/>
        <v>56730</v>
      </c>
      <c r="B378" s="188">
        <f t="shared" si="565"/>
        <v>46228.619999999915</v>
      </c>
      <c r="C378" s="14">
        <f t="shared" si="506"/>
        <v>559.88</v>
      </c>
      <c r="D378" s="14">
        <f t="shared" si="520"/>
        <v>386.52</v>
      </c>
      <c r="E378" s="14">
        <f t="shared" si="507"/>
        <v>173.36</v>
      </c>
      <c r="F378" s="14">
        <f t="shared" si="468"/>
        <v>51.5</v>
      </c>
      <c r="G378" s="14">
        <f t="shared" si="464"/>
        <v>145.09666666666666</v>
      </c>
      <c r="H378" s="14">
        <f t="shared" si="465"/>
        <v>756.47666666666669</v>
      </c>
      <c r="I378" s="188">
        <f t="shared" si="469"/>
        <v>77331.069999999992</v>
      </c>
      <c r="J378" s="188">
        <f t="shared" si="470"/>
        <v>126365.54000000005</v>
      </c>
      <c r="K378" s="188">
        <f t="shared" si="471"/>
        <v>45842.099999999919</v>
      </c>
      <c r="L378" s="317">
        <f t="shared" si="555"/>
        <v>29</v>
      </c>
      <c r="M378" s="317">
        <f>IF(N378&lt;&gt;"",IF(N378=$O$5,0,+M377+1),0)</f>
        <v>350</v>
      </c>
      <c r="N378" s="188">
        <f t="shared" si="514"/>
        <v>24092.899999999998</v>
      </c>
      <c r="O378" s="188">
        <f>IF($O$11&lt;=A378,IF(+$W377&lt;=0,0,$O$8),0)</f>
        <v>2504.4299999999998</v>
      </c>
      <c r="P378" s="188">
        <f t="shared" si="521"/>
        <v>2333.77</v>
      </c>
      <c r="Q378" s="188">
        <f>IF($O$11&lt;=A378,ROUND(N378*($O$7/12),2),0)</f>
        <v>170.66</v>
      </c>
      <c r="R378" s="188">
        <f t="shared" si="475"/>
        <v>51.5</v>
      </c>
      <c r="S378" s="188">
        <f t="shared" si="476"/>
        <v>145.09666666666666</v>
      </c>
      <c r="T378" s="188">
        <f t="shared" si="472"/>
        <v>2701.0266666666666</v>
      </c>
      <c r="U378" s="188">
        <f t="shared" si="522"/>
        <v>303950.86999999994</v>
      </c>
      <c r="V378" s="188">
        <f t="shared" si="523"/>
        <v>575104.06000000006</v>
      </c>
      <c r="W378" s="188">
        <f t="shared" si="473"/>
        <v>21759.129999999997</v>
      </c>
      <c r="X378" s="395">
        <f t="shared" si="515"/>
        <v>56730</v>
      </c>
      <c r="Y378" s="188">
        <f t="shared" si="483"/>
        <v>24092.899999999998</v>
      </c>
      <c r="Z378" s="388">
        <f t="shared" si="508"/>
        <v>8.4999999999999992E-2</v>
      </c>
      <c r="AA378" s="188">
        <f t="shared" si="509"/>
        <v>2504.4299999999998</v>
      </c>
      <c r="AB378" s="188">
        <f t="shared" si="484"/>
        <v>2333.77</v>
      </c>
      <c r="AC378" s="188">
        <f t="shared" si="510"/>
        <v>170.66</v>
      </c>
      <c r="AD378" s="188">
        <f t="shared" ref="AD378:AE378" si="567">+AD377</f>
        <v>51.5</v>
      </c>
      <c r="AE378" s="188">
        <f t="shared" si="567"/>
        <v>145.09666666666666</v>
      </c>
      <c r="AF378" s="188">
        <f t="shared" si="486"/>
        <v>2701.0266666666666</v>
      </c>
      <c r="AG378" s="188">
        <f t="shared" si="487"/>
        <v>303950.86999999994</v>
      </c>
      <c r="AH378" s="188">
        <f t="shared" si="488"/>
        <v>575104.06000000006</v>
      </c>
      <c r="AI378" s="404">
        <f t="shared" si="478"/>
        <v>0</v>
      </c>
      <c r="AJ378" s="404">
        <f t="shared" si="535"/>
        <v>0</v>
      </c>
      <c r="AK378" s="404">
        <f t="shared" si="479"/>
        <v>0</v>
      </c>
      <c r="AL378" s="188">
        <f t="shared" si="489"/>
        <v>21759.129999999997</v>
      </c>
      <c r="AM378" s="317">
        <f t="shared" si="517"/>
        <v>29</v>
      </c>
      <c r="AN378" s="14">
        <f t="shared" si="480"/>
        <v>1944.5499999999997</v>
      </c>
      <c r="AO378" s="14">
        <f>IF(W378&lt;=0,0,+$AA$6-$C$2+I378-U378)</f>
        <v>-23622.79999999993</v>
      </c>
      <c r="AP378" s="14">
        <f t="shared" si="481"/>
        <v>1944.5499999999997</v>
      </c>
      <c r="AS378" s="14">
        <f t="shared" si="512"/>
        <v>1944.5499999999997</v>
      </c>
      <c r="AT378" s="14">
        <f t="shared" si="518"/>
        <v>682056.49000000162</v>
      </c>
      <c r="AU378" s="188">
        <f>IF(W378&lt;=0,0,+($O$5+AV377)*$AQ$2/12)</f>
        <v>2010.5604211319605</v>
      </c>
      <c r="AV378" s="188">
        <f t="shared" si="519"/>
        <v>480524.7288739162</v>
      </c>
    </row>
    <row r="379" spans="1:48">
      <c r="A379" s="395">
        <f t="shared" si="467"/>
        <v>56760</v>
      </c>
      <c r="B379" s="188">
        <f t="shared" si="565"/>
        <v>45842.099999999919</v>
      </c>
      <c r="C379" s="14">
        <f t="shared" si="506"/>
        <v>559.88</v>
      </c>
      <c r="D379" s="14">
        <f t="shared" si="520"/>
        <v>387.97</v>
      </c>
      <c r="E379" s="14">
        <f t="shared" si="507"/>
        <v>171.91</v>
      </c>
      <c r="F379" s="14">
        <f t="shared" si="468"/>
        <v>51.5</v>
      </c>
      <c r="G379" s="14">
        <f t="shared" ref="G379:G442" si="568">+G378</f>
        <v>145.09666666666666</v>
      </c>
      <c r="H379" s="14">
        <f t="shared" ref="H379:H442" si="569">SUM(D379:G379)</f>
        <v>756.47666666666669</v>
      </c>
      <c r="I379" s="188">
        <f t="shared" si="469"/>
        <v>77719.039999999994</v>
      </c>
      <c r="J379" s="188">
        <f t="shared" si="470"/>
        <v>126537.45000000006</v>
      </c>
      <c r="K379" s="188">
        <f t="shared" si="471"/>
        <v>45454.129999999917</v>
      </c>
      <c r="L379" s="317">
        <f t="shared" si="555"/>
        <v>29</v>
      </c>
      <c r="M379" s="317">
        <f>IF(N379&lt;&gt;"",IF(N379=$O$5,0,+M378+1),0)</f>
        <v>351</v>
      </c>
      <c r="N379" s="188">
        <f t="shared" si="514"/>
        <v>21759.129999999997</v>
      </c>
      <c r="O379" s="188">
        <f>IF($O$11&lt;=A379,IF(+$W378&lt;=0,0,$O$8),0)</f>
        <v>2504.4299999999998</v>
      </c>
      <c r="P379" s="188">
        <f t="shared" si="521"/>
        <v>2350.2999999999997</v>
      </c>
      <c r="Q379" s="188">
        <f>IF($O$11&lt;=A379,ROUND(N379*($O$7/12),2),0)</f>
        <v>154.13</v>
      </c>
      <c r="R379" s="188">
        <f t="shared" si="475"/>
        <v>51.5</v>
      </c>
      <c r="S379" s="188">
        <f t="shared" si="476"/>
        <v>145.09666666666666</v>
      </c>
      <c r="T379" s="188">
        <f t="shared" si="472"/>
        <v>2701.0266666666666</v>
      </c>
      <c r="U379" s="188">
        <f t="shared" si="522"/>
        <v>306301.16999999993</v>
      </c>
      <c r="V379" s="188">
        <f t="shared" si="523"/>
        <v>575258.19000000006</v>
      </c>
      <c r="W379" s="188">
        <f t="shared" si="473"/>
        <v>19408.829999999998</v>
      </c>
      <c r="X379" s="395">
        <f t="shared" si="515"/>
        <v>56760</v>
      </c>
      <c r="Y379" s="188">
        <f t="shared" si="483"/>
        <v>21759.129999999997</v>
      </c>
      <c r="Z379" s="388">
        <f t="shared" si="508"/>
        <v>8.4999999999999992E-2</v>
      </c>
      <c r="AA379" s="188">
        <f t="shared" si="509"/>
        <v>2504.4299999999998</v>
      </c>
      <c r="AB379" s="188">
        <f t="shared" si="484"/>
        <v>2350.2999999999997</v>
      </c>
      <c r="AC379" s="188">
        <f t="shared" si="510"/>
        <v>154.13</v>
      </c>
      <c r="AD379" s="188">
        <f t="shared" ref="AD379:AE379" si="570">+AD378</f>
        <v>51.5</v>
      </c>
      <c r="AE379" s="188">
        <f t="shared" si="570"/>
        <v>145.09666666666666</v>
      </c>
      <c r="AF379" s="188">
        <f t="shared" si="486"/>
        <v>2701.0266666666666</v>
      </c>
      <c r="AG379" s="188">
        <f t="shared" si="487"/>
        <v>306301.16999999993</v>
      </c>
      <c r="AH379" s="188">
        <f t="shared" si="488"/>
        <v>575258.19000000006</v>
      </c>
      <c r="AI379" s="404">
        <f t="shared" si="478"/>
        <v>0</v>
      </c>
      <c r="AJ379" s="404">
        <f t="shared" si="535"/>
        <v>0</v>
      </c>
      <c r="AK379" s="404">
        <f t="shared" si="479"/>
        <v>0</v>
      </c>
      <c r="AL379" s="188">
        <f t="shared" si="489"/>
        <v>19408.829999999998</v>
      </c>
      <c r="AM379" s="317">
        <f t="shared" si="517"/>
        <v>29</v>
      </c>
      <c r="AN379" s="14">
        <f t="shared" si="480"/>
        <v>1944.5499999999997</v>
      </c>
      <c r="AO379" s="14">
        <f>IF(W379&lt;=0,0,+$AA$6-$C$2+I379-U379)</f>
        <v>-25585.129999999946</v>
      </c>
      <c r="AP379" s="14">
        <f t="shared" si="481"/>
        <v>1944.5499999999997</v>
      </c>
      <c r="AS379" s="14">
        <f t="shared" si="512"/>
        <v>1944.5499999999997</v>
      </c>
      <c r="AT379" s="14">
        <f t="shared" si="518"/>
        <v>684001.04000000167</v>
      </c>
      <c r="AU379" s="188">
        <f>IF(W379&lt;=0,0,+($O$5+AV378)*$AQ$2/12)</f>
        <v>2015.5868221847904</v>
      </c>
      <c r="AV379" s="188">
        <f t="shared" si="519"/>
        <v>482540.315696101</v>
      </c>
    </row>
    <row r="380" spans="1:48">
      <c r="A380" s="395">
        <f t="shared" ref="A380:A443" si="571">IF(K380&lt;=0," ",+A379+30)</f>
        <v>56790</v>
      </c>
      <c r="B380" s="188">
        <f t="shared" si="565"/>
        <v>45454.129999999917</v>
      </c>
      <c r="C380" s="14">
        <f t="shared" si="506"/>
        <v>559.88</v>
      </c>
      <c r="D380" s="14">
        <f t="shared" si="520"/>
        <v>389.43</v>
      </c>
      <c r="E380" s="14">
        <f t="shared" si="507"/>
        <v>170.45</v>
      </c>
      <c r="F380" s="14">
        <f t="shared" ref="F380:F443" si="572">+F379</f>
        <v>51.5</v>
      </c>
      <c r="G380" s="14">
        <f t="shared" si="568"/>
        <v>145.09666666666666</v>
      </c>
      <c r="H380" s="14">
        <f t="shared" si="569"/>
        <v>756.47666666666669</v>
      </c>
      <c r="I380" s="188">
        <f t="shared" ref="I380:I443" si="573">$D380+$I379</f>
        <v>78108.469999999987</v>
      </c>
      <c r="J380" s="188">
        <f t="shared" ref="J380:J443" si="574">$E380+$J379</f>
        <v>126707.90000000005</v>
      </c>
      <c r="K380" s="188">
        <f t="shared" ref="K380:K443" si="575">+B380-D380</f>
        <v>45064.699999999917</v>
      </c>
      <c r="L380" s="317">
        <f t="shared" si="555"/>
        <v>29</v>
      </c>
      <c r="M380" s="317">
        <f>IF(N380&lt;&gt;"",IF(N380=$O$5,0,+M379+1),0)</f>
        <v>352</v>
      </c>
      <c r="N380" s="188">
        <f t="shared" si="514"/>
        <v>19408.829999999998</v>
      </c>
      <c r="O380" s="188">
        <f>IF($O$11&lt;=A380,IF(+$W379&lt;=0,0,$O$8),0)</f>
        <v>2504.4299999999998</v>
      </c>
      <c r="P380" s="188">
        <f t="shared" si="521"/>
        <v>2366.9499999999998</v>
      </c>
      <c r="Q380" s="188">
        <f>IF($O$11&lt;=A380,ROUND(N380*($O$7/12),2),0)</f>
        <v>137.47999999999999</v>
      </c>
      <c r="R380" s="188">
        <f t="shared" si="475"/>
        <v>51.5</v>
      </c>
      <c r="S380" s="188">
        <f t="shared" si="476"/>
        <v>145.09666666666666</v>
      </c>
      <c r="T380" s="188">
        <f t="shared" ref="T380:T443" si="576">SUM(P380:S380)</f>
        <v>2701.0266666666666</v>
      </c>
      <c r="U380" s="188">
        <f t="shared" si="522"/>
        <v>308668.11999999994</v>
      </c>
      <c r="V380" s="188">
        <f t="shared" si="523"/>
        <v>575395.67000000004</v>
      </c>
      <c r="W380" s="188">
        <f t="shared" ref="W380:W443" si="577">+N380-P380</f>
        <v>17041.879999999997</v>
      </c>
      <c r="X380" s="395">
        <f t="shared" si="515"/>
        <v>56790</v>
      </c>
      <c r="Y380" s="188">
        <f t="shared" si="483"/>
        <v>19408.829999999998</v>
      </c>
      <c r="Z380" s="388">
        <f t="shared" si="508"/>
        <v>8.4999999999999992E-2</v>
      </c>
      <c r="AA380" s="188">
        <f t="shared" si="509"/>
        <v>2504.4299999999998</v>
      </c>
      <c r="AB380" s="188">
        <f t="shared" si="484"/>
        <v>2366.9499999999998</v>
      </c>
      <c r="AC380" s="188">
        <f t="shared" si="510"/>
        <v>137.47999999999999</v>
      </c>
      <c r="AD380" s="188">
        <f t="shared" ref="AD380:AE380" si="578">+AD379</f>
        <v>51.5</v>
      </c>
      <c r="AE380" s="188">
        <f t="shared" si="578"/>
        <v>145.09666666666666</v>
      </c>
      <c r="AF380" s="188">
        <f t="shared" si="486"/>
        <v>2701.0266666666666</v>
      </c>
      <c r="AG380" s="188">
        <f t="shared" si="487"/>
        <v>308668.11999999994</v>
      </c>
      <c r="AH380" s="188">
        <f t="shared" si="488"/>
        <v>575395.67000000004</v>
      </c>
      <c r="AI380" s="404">
        <f t="shared" si="478"/>
        <v>0</v>
      </c>
      <c r="AJ380" s="404">
        <f t="shared" si="535"/>
        <v>0</v>
      </c>
      <c r="AK380" s="404">
        <f t="shared" si="479"/>
        <v>0</v>
      </c>
      <c r="AL380" s="188">
        <f t="shared" si="489"/>
        <v>17041.879999999997</v>
      </c>
      <c r="AM380" s="317">
        <f t="shared" si="517"/>
        <v>29</v>
      </c>
      <c r="AN380" s="14">
        <f t="shared" si="480"/>
        <v>1944.5499999999997</v>
      </c>
      <c r="AO380" s="14">
        <f>IF(W380&lt;=0,0,+$AA$6-$C$2+I380-U380)</f>
        <v>-27562.649999999965</v>
      </c>
      <c r="AP380" s="14">
        <f t="shared" si="481"/>
        <v>1944.5499999999997</v>
      </c>
      <c r="AS380" s="14">
        <f t="shared" si="512"/>
        <v>1944.5499999999997</v>
      </c>
      <c r="AT380" s="14">
        <f t="shared" si="518"/>
        <v>685945.59000000171</v>
      </c>
      <c r="AU380" s="188">
        <f>IF(W380&lt;=0,0,+($O$5+AV379)*$AQ$2/12)</f>
        <v>2020.6257892402521</v>
      </c>
      <c r="AV380" s="188">
        <f t="shared" si="519"/>
        <v>484560.94148534123</v>
      </c>
    </row>
    <row r="381" spans="1:48">
      <c r="A381" s="395">
        <f t="shared" si="571"/>
        <v>56820</v>
      </c>
      <c r="B381" s="188">
        <f t="shared" si="565"/>
        <v>45064.699999999917</v>
      </c>
      <c r="C381" s="14">
        <f t="shared" si="506"/>
        <v>559.88</v>
      </c>
      <c r="D381" s="14">
        <f t="shared" si="520"/>
        <v>390.89</v>
      </c>
      <c r="E381" s="14">
        <f t="shared" si="507"/>
        <v>168.99</v>
      </c>
      <c r="F381" s="14">
        <f t="shared" si="572"/>
        <v>51.5</v>
      </c>
      <c r="G381" s="14">
        <f t="shared" si="568"/>
        <v>145.09666666666666</v>
      </c>
      <c r="H381" s="14">
        <f t="shared" si="569"/>
        <v>756.47666666666669</v>
      </c>
      <c r="I381" s="188">
        <f t="shared" si="573"/>
        <v>78499.359999999986</v>
      </c>
      <c r="J381" s="188">
        <f t="shared" si="574"/>
        <v>126876.89000000006</v>
      </c>
      <c r="K381" s="188">
        <f t="shared" si="575"/>
        <v>44673.809999999918</v>
      </c>
      <c r="L381" s="317">
        <f t="shared" si="555"/>
        <v>29</v>
      </c>
      <c r="M381" s="317">
        <f>IF(N381&lt;&gt;"",IF(N381=$O$5,0,+M380+1),0)</f>
        <v>353</v>
      </c>
      <c r="N381" s="188">
        <f t="shared" si="514"/>
        <v>17041.879999999997</v>
      </c>
      <c r="O381" s="188">
        <f>IF($O$11&lt;=A381,IF(+$W380&lt;=0,0,$O$8),0)</f>
        <v>2504.4299999999998</v>
      </c>
      <c r="P381" s="188">
        <f t="shared" si="521"/>
        <v>2383.7199999999998</v>
      </c>
      <c r="Q381" s="188">
        <f>IF($O$11&lt;=A381,ROUND(N381*($O$7/12),2),0)</f>
        <v>120.71</v>
      </c>
      <c r="R381" s="188">
        <f t="shared" ref="R381:R444" si="579">+R380</f>
        <v>51.5</v>
      </c>
      <c r="S381" s="188">
        <f t="shared" ref="S381:S444" si="580">+S380</f>
        <v>145.09666666666666</v>
      </c>
      <c r="T381" s="188">
        <f t="shared" si="576"/>
        <v>2701.0266666666666</v>
      </c>
      <c r="U381" s="188">
        <f t="shared" si="522"/>
        <v>311051.83999999991</v>
      </c>
      <c r="V381" s="188">
        <f t="shared" si="523"/>
        <v>575516.38</v>
      </c>
      <c r="W381" s="188">
        <f t="shared" si="577"/>
        <v>14658.159999999998</v>
      </c>
      <c r="X381" s="395">
        <f t="shared" si="515"/>
        <v>56820</v>
      </c>
      <c r="Y381" s="188">
        <f t="shared" si="483"/>
        <v>17041.879999999997</v>
      </c>
      <c r="Z381" s="388">
        <f t="shared" si="508"/>
        <v>8.4999999999999992E-2</v>
      </c>
      <c r="AA381" s="188">
        <f t="shared" si="509"/>
        <v>2504.4299999999998</v>
      </c>
      <c r="AB381" s="188">
        <f t="shared" si="484"/>
        <v>2383.7199999999998</v>
      </c>
      <c r="AC381" s="188">
        <f t="shared" si="510"/>
        <v>120.71</v>
      </c>
      <c r="AD381" s="188">
        <f t="shared" ref="AD381:AE381" si="581">+AD380</f>
        <v>51.5</v>
      </c>
      <c r="AE381" s="188">
        <f t="shared" si="581"/>
        <v>145.09666666666666</v>
      </c>
      <c r="AF381" s="188">
        <f t="shared" si="486"/>
        <v>2701.0266666666666</v>
      </c>
      <c r="AG381" s="188">
        <f t="shared" si="487"/>
        <v>311051.83999999991</v>
      </c>
      <c r="AH381" s="188">
        <f t="shared" si="488"/>
        <v>575516.38</v>
      </c>
      <c r="AI381" s="404">
        <f t="shared" ref="AI381:AI444" si="582">O381-AA381+AI380</f>
        <v>0</v>
      </c>
      <c r="AJ381" s="404">
        <f t="shared" si="535"/>
        <v>0</v>
      </c>
      <c r="AK381" s="404">
        <f t="shared" ref="AK381:AK444" si="583">SUM(AI381:AJ381)</f>
        <v>0</v>
      </c>
      <c r="AL381" s="188">
        <f t="shared" si="489"/>
        <v>14658.159999999998</v>
      </c>
      <c r="AM381" s="317">
        <f t="shared" si="517"/>
        <v>29</v>
      </c>
      <c r="AN381" s="14">
        <f t="shared" ref="AN381:AN444" si="584">IF(O381=0,0,+O381-C381)</f>
        <v>1944.5499999999997</v>
      </c>
      <c r="AO381" s="14">
        <f>IF(W381&lt;=0,0,+$AA$6-$C$2+I381-U381)</f>
        <v>-29555.479999999923</v>
      </c>
      <c r="AP381" s="14">
        <f t="shared" ref="AP381:AP444" si="585">IF($O381=0,0,+AA381-$C381)</f>
        <v>1944.5499999999997</v>
      </c>
      <c r="AS381" s="14">
        <f t="shared" si="512"/>
        <v>1944.5499999999997</v>
      </c>
      <c r="AT381" s="14">
        <f t="shared" si="518"/>
        <v>687890.14000000176</v>
      </c>
      <c r="AU381" s="188">
        <f>IF(W381&lt;=0,0,+($O$5+AV380)*$AQ$2/12)</f>
        <v>2025.6773537133529</v>
      </c>
      <c r="AV381" s="188">
        <f t="shared" si="519"/>
        <v>486586.6188390546</v>
      </c>
    </row>
    <row r="382" spans="1:48">
      <c r="A382" s="395">
        <f t="shared" si="571"/>
        <v>56850</v>
      </c>
      <c r="B382" s="188">
        <f t="shared" si="565"/>
        <v>44673.809999999918</v>
      </c>
      <c r="C382" s="14">
        <f t="shared" si="506"/>
        <v>559.88</v>
      </c>
      <c r="D382" s="14">
        <f t="shared" si="520"/>
        <v>392.35</v>
      </c>
      <c r="E382" s="14">
        <f t="shared" si="507"/>
        <v>167.53</v>
      </c>
      <c r="F382" s="14">
        <f t="shared" si="572"/>
        <v>51.5</v>
      </c>
      <c r="G382" s="14">
        <f t="shared" si="568"/>
        <v>145.09666666666666</v>
      </c>
      <c r="H382" s="14">
        <f t="shared" si="569"/>
        <v>756.47666666666669</v>
      </c>
      <c r="I382" s="188">
        <f t="shared" si="573"/>
        <v>78891.709999999992</v>
      </c>
      <c r="J382" s="188">
        <f t="shared" si="574"/>
        <v>127044.42000000006</v>
      </c>
      <c r="K382" s="188">
        <f t="shared" si="575"/>
        <v>44281.459999999919</v>
      </c>
      <c r="L382" s="317">
        <f t="shared" si="555"/>
        <v>29</v>
      </c>
      <c r="M382" s="317">
        <f>IF(N382&lt;&gt;"",IF(N382=$O$5,0,+M381+1),0)</f>
        <v>354</v>
      </c>
      <c r="N382" s="188">
        <f t="shared" si="514"/>
        <v>14658.159999999998</v>
      </c>
      <c r="O382" s="188">
        <f>IF($O$11&lt;=A382,IF(+$W381&lt;=0,0,$O$8),0)</f>
        <v>2504.4299999999998</v>
      </c>
      <c r="P382" s="188">
        <f t="shared" si="521"/>
        <v>2400.6</v>
      </c>
      <c r="Q382" s="188">
        <f>IF($O$11&lt;=A382,ROUND(N382*($O$7/12),2),0)</f>
        <v>103.83</v>
      </c>
      <c r="R382" s="188">
        <f t="shared" si="579"/>
        <v>51.5</v>
      </c>
      <c r="S382" s="188">
        <f t="shared" si="580"/>
        <v>145.09666666666666</v>
      </c>
      <c r="T382" s="188">
        <f t="shared" si="576"/>
        <v>2701.0266666666666</v>
      </c>
      <c r="U382" s="188">
        <f t="shared" si="522"/>
        <v>313452.43999999989</v>
      </c>
      <c r="V382" s="188">
        <f t="shared" si="523"/>
        <v>575620.21</v>
      </c>
      <c r="W382" s="188">
        <f t="shared" si="577"/>
        <v>12257.559999999998</v>
      </c>
      <c r="X382" s="395">
        <f t="shared" si="515"/>
        <v>56850</v>
      </c>
      <c r="Y382" s="188">
        <f t="shared" si="483"/>
        <v>14658.159999999998</v>
      </c>
      <c r="Z382" s="388">
        <f t="shared" si="508"/>
        <v>8.4999999999999992E-2</v>
      </c>
      <c r="AA382" s="188">
        <f t="shared" si="509"/>
        <v>2504.4299999999998</v>
      </c>
      <c r="AB382" s="188">
        <f t="shared" si="484"/>
        <v>2400.6</v>
      </c>
      <c r="AC382" s="188">
        <f t="shared" si="510"/>
        <v>103.83</v>
      </c>
      <c r="AD382" s="188">
        <f t="shared" ref="AD382:AE382" si="586">+AD381</f>
        <v>51.5</v>
      </c>
      <c r="AE382" s="188">
        <f t="shared" si="586"/>
        <v>145.09666666666666</v>
      </c>
      <c r="AF382" s="188">
        <f t="shared" si="486"/>
        <v>2701.0266666666666</v>
      </c>
      <c r="AG382" s="188">
        <f t="shared" si="487"/>
        <v>313452.43999999989</v>
      </c>
      <c r="AH382" s="188">
        <f t="shared" si="488"/>
        <v>575620.21</v>
      </c>
      <c r="AI382" s="404">
        <f t="shared" si="582"/>
        <v>0</v>
      </c>
      <c r="AJ382" s="404">
        <f t="shared" si="535"/>
        <v>0</v>
      </c>
      <c r="AK382" s="404">
        <f t="shared" si="583"/>
        <v>0</v>
      </c>
      <c r="AL382" s="188">
        <f t="shared" si="489"/>
        <v>12257.559999999998</v>
      </c>
      <c r="AM382" s="317">
        <f t="shared" si="517"/>
        <v>29</v>
      </c>
      <c r="AN382" s="14">
        <f t="shared" si="584"/>
        <v>1944.5499999999997</v>
      </c>
      <c r="AO382" s="14">
        <f>IF(W382&lt;=0,0,+$AA$6-$C$2+I382-U382)</f>
        <v>-31563.729999999923</v>
      </c>
      <c r="AP382" s="14">
        <f t="shared" si="585"/>
        <v>1944.5499999999997</v>
      </c>
      <c r="AS382" s="14">
        <f t="shared" si="512"/>
        <v>1944.5499999999997</v>
      </c>
      <c r="AT382" s="14">
        <f t="shared" si="518"/>
        <v>689834.69000000181</v>
      </c>
      <c r="AU382" s="188">
        <f>IF(W382&lt;=0,0,+($O$5+AV381)*$AQ$2/12)</f>
        <v>2030.7415470976364</v>
      </c>
      <c r="AV382" s="188">
        <f t="shared" si="519"/>
        <v>488617.36038615223</v>
      </c>
    </row>
    <row r="383" spans="1:48">
      <c r="A383" s="395">
        <f t="shared" si="571"/>
        <v>56880</v>
      </c>
      <c r="B383" s="188">
        <f t="shared" si="565"/>
        <v>44281.459999999919</v>
      </c>
      <c r="C383" s="14">
        <f t="shared" si="506"/>
        <v>559.88</v>
      </c>
      <c r="D383" s="14">
        <f t="shared" si="520"/>
        <v>393.82</v>
      </c>
      <c r="E383" s="14">
        <f t="shared" si="507"/>
        <v>166.06</v>
      </c>
      <c r="F383" s="14">
        <f t="shared" si="572"/>
        <v>51.5</v>
      </c>
      <c r="G383" s="14">
        <f t="shared" si="568"/>
        <v>145.09666666666666</v>
      </c>
      <c r="H383" s="14">
        <f t="shared" si="569"/>
        <v>756.47666666666669</v>
      </c>
      <c r="I383" s="188">
        <f t="shared" si="573"/>
        <v>79285.53</v>
      </c>
      <c r="J383" s="188">
        <f t="shared" si="574"/>
        <v>127210.48000000005</v>
      </c>
      <c r="K383" s="188">
        <f t="shared" si="575"/>
        <v>43887.639999999919</v>
      </c>
      <c r="L383" s="317">
        <f t="shared" si="555"/>
        <v>29</v>
      </c>
      <c r="M383" s="317">
        <f>IF(N383&lt;&gt;"",IF(N383=$O$5,0,+M382+1),0)</f>
        <v>355</v>
      </c>
      <c r="N383" s="188">
        <f t="shared" si="514"/>
        <v>12257.559999999998</v>
      </c>
      <c r="O383" s="188">
        <f>IF($O$11&lt;=A383,IF(+$W382&lt;=0,0,$O$8),0)</f>
        <v>2504.4299999999998</v>
      </c>
      <c r="P383" s="188">
        <f t="shared" si="521"/>
        <v>2417.6099999999997</v>
      </c>
      <c r="Q383" s="188">
        <f>IF($O$11&lt;=A383,ROUND(N383*($O$7/12),2),0)</f>
        <v>86.82</v>
      </c>
      <c r="R383" s="188">
        <f t="shared" si="579"/>
        <v>51.5</v>
      </c>
      <c r="S383" s="188">
        <f t="shared" si="580"/>
        <v>145.09666666666666</v>
      </c>
      <c r="T383" s="188">
        <f t="shared" si="576"/>
        <v>2701.0266666666666</v>
      </c>
      <c r="U383" s="188">
        <f t="shared" si="522"/>
        <v>315870.04999999987</v>
      </c>
      <c r="V383" s="188">
        <f t="shared" si="523"/>
        <v>575707.02999999991</v>
      </c>
      <c r="W383" s="188">
        <f t="shared" si="577"/>
        <v>9839.9499999999971</v>
      </c>
      <c r="X383" s="395">
        <f t="shared" si="515"/>
        <v>56880</v>
      </c>
      <c r="Y383" s="188">
        <f t="shared" ref="Y383:Y446" si="587">IF(+AL382&lt;0,0,+AL382)</f>
        <v>12257.559999999998</v>
      </c>
      <c r="Z383" s="388">
        <f t="shared" si="508"/>
        <v>8.4999999999999992E-2</v>
      </c>
      <c r="AA383" s="188">
        <f t="shared" si="509"/>
        <v>2504.4299999999998</v>
      </c>
      <c r="AB383" s="188">
        <f t="shared" ref="AB383:AB446" si="588">+AA383-AC383</f>
        <v>2417.6099999999997</v>
      </c>
      <c r="AC383" s="188">
        <f t="shared" si="510"/>
        <v>86.82</v>
      </c>
      <c r="AD383" s="188">
        <f t="shared" ref="AD383:AE383" si="589">+AD382</f>
        <v>51.5</v>
      </c>
      <c r="AE383" s="188">
        <f t="shared" si="589"/>
        <v>145.09666666666666</v>
      </c>
      <c r="AF383" s="188">
        <f t="shared" ref="AF383:AF446" si="590">SUM(AB383:AE383)</f>
        <v>2701.0266666666666</v>
      </c>
      <c r="AG383" s="188">
        <f t="shared" ref="AG383:AG446" si="591">+AB383+AG382</f>
        <v>315870.04999999987</v>
      </c>
      <c r="AH383" s="188">
        <f t="shared" ref="AH383:AH446" si="592">+AH382+AC383</f>
        <v>575707.02999999991</v>
      </c>
      <c r="AI383" s="404">
        <f t="shared" si="582"/>
        <v>0</v>
      </c>
      <c r="AJ383" s="404">
        <f t="shared" si="535"/>
        <v>0</v>
      </c>
      <c r="AK383" s="404">
        <f t="shared" si="583"/>
        <v>0</v>
      </c>
      <c r="AL383" s="188">
        <f t="shared" ref="AL383:AL446" si="593">+Y383-AB383</f>
        <v>9839.9499999999971</v>
      </c>
      <c r="AM383" s="317">
        <f t="shared" si="517"/>
        <v>29</v>
      </c>
      <c r="AN383" s="14">
        <f t="shared" si="584"/>
        <v>1944.5499999999997</v>
      </c>
      <c r="AO383" s="14">
        <f>IF(W383&lt;=0,0,+$AA$6-$C$2+I383-U383)</f>
        <v>-33587.519999999844</v>
      </c>
      <c r="AP383" s="14">
        <f t="shared" si="585"/>
        <v>1944.5499999999997</v>
      </c>
      <c r="AS383" s="14">
        <f t="shared" si="512"/>
        <v>1944.5499999999997</v>
      </c>
      <c r="AT383" s="14">
        <f t="shared" si="518"/>
        <v>691779.24000000185</v>
      </c>
      <c r="AU383" s="188">
        <f>IF(W383&lt;=0,0,+($O$5+AV382)*$AQ$2/12)</f>
        <v>2035.8184009653805</v>
      </c>
      <c r="AV383" s="188">
        <f t="shared" si="519"/>
        <v>490653.17878711759</v>
      </c>
    </row>
    <row r="384" spans="1:48">
      <c r="A384" s="395">
        <f t="shared" si="571"/>
        <v>56910</v>
      </c>
      <c r="B384" s="188">
        <f t="shared" si="565"/>
        <v>43887.639999999919</v>
      </c>
      <c r="C384" s="14">
        <f t="shared" si="506"/>
        <v>559.88</v>
      </c>
      <c r="D384" s="14">
        <f t="shared" si="520"/>
        <v>395.29999999999995</v>
      </c>
      <c r="E384" s="14">
        <f t="shared" si="507"/>
        <v>164.58</v>
      </c>
      <c r="F384" s="14">
        <f t="shared" si="572"/>
        <v>51.5</v>
      </c>
      <c r="G384" s="14">
        <f t="shared" si="568"/>
        <v>145.09666666666666</v>
      </c>
      <c r="H384" s="14">
        <f t="shared" si="569"/>
        <v>756.47666666666669</v>
      </c>
      <c r="I384" s="188">
        <f t="shared" si="573"/>
        <v>79680.83</v>
      </c>
      <c r="J384" s="188">
        <f t="shared" si="574"/>
        <v>127375.06000000006</v>
      </c>
      <c r="K384" s="188">
        <f t="shared" si="575"/>
        <v>43492.339999999916</v>
      </c>
      <c r="L384" s="317">
        <f t="shared" si="555"/>
        <v>29</v>
      </c>
      <c r="M384" s="317">
        <f>IF(N384&lt;&gt;"",IF(N384=$O$5,0,+M383+1),0)</f>
        <v>356</v>
      </c>
      <c r="N384" s="188">
        <f t="shared" si="514"/>
        <v>9839.9499999999971</v>
      </c>
      <c r="O384" s="188">
        <f>IF($O$11&lt;=A384,IF(+$W383&lt;=0,0,$O$8),0)</f>
        <v>2504.4299999999998</v>
      </c>
      <c r="P384" s="188">
        <f t="shared" si="521"/>
        <v>2434.73</v>
      </c>
      <c r="Q384" s="188">
        <f>IF($O$11&lt;=A384,ROUND(N384*($O$7/12),2),0)</f>
        <v>69.7</v>
      </c>
      <c r="R384" s="188">
        <f t="shared" si="579"/>
        <v>51.5</v>
      </c>
      <c r="S384" s="188">
        <f t="shared" si="580"/>
        <v>145.09666666666666</v>
      </c>
      <c r="T384" s="188">
        <f t="shared" si="576"/>
        <v>2701.0266666666666</v>
      </c>
      <c r="U384" s="188">
        <f t="shared" si="522"/>
        <v>318304.77999999985</v>
      </c>
      <c r="V384" s="188">
        <f t="shared" si="523"/>
        <v>575776.72999999986</v>
      </c>
      <c r="W384" s="188">
        <f t="shared" si="577"/>
        <v>7405.2199999999975</v>
      </c>
      <c r="X384" s="395">
        <f t="shared" si="515"/>
        <v>56910</v>
      </c>
      <c r="Y384" s="188">
        <f t="shared" si="587"/>
        <v>9839.9499999999971</v>
      </c>
      <c r="Z384" s="388">
        <f t="shared" si="508"/>
        <v>8.4999999999999992E-2</v>
      </c>
      <c r="AA384" s="188">
        <f t="shared" si="509"/>
        <v>2504.4299999999998</v>
      </c>
      <c r="AB384" s="188">
        <f t="shared" si="588"/>
        <v>2434.73</v>
      </c>
      <c r="AC384" s="188">
        <f t="shared" si="510"/>
        <v>69.7</v>
      </c>
      <c r="AD384" s="188">
        <f t="shared" ref="AD384:AE384" si="594">+AD383</f>
        <v>51.5</v>
      </c>
      <c r="AE384" s="188">
        <f t="shared" si="594"/>
        <v>145.09666666666666</v>
      </c>
      <c r="AF384" s="188">
        <f t="shared" si="590"/>
        <v>2701.0266666666666</v>
      </c>
      <c r="AG384" s="188">
        <f t="shared" si="591"/>
        <v>318304.77999999985</v>
      </c>
      <c r="AH384" s="188">
        <f t="shared" si="592"/>
        <v>575776.72999999986</v>
      </c>
      <c r="AI384" s="404">
        <f t="shared" si="582"/>
        <v>0</v>
      </c>
      <c r="AJ384" s="404">
        <f t="shared" si="535"/>
        <v>0</v>
      </c>
      <c r="AK384" s="404">
        <f t="shared" si="583"/>
        <v>0</v>
      </c>
      <c r="AL384" s="188">
        <f t="shared" si="593"/>
        <v>7405.2199999999975</v>
      </c>
      <c r="AM384" s="317">
        <f t="shared" si="517"/>
        <v>29</v>
      </c>
      <c r="AN384" s="14">
        <f t="shared" si="584"/>
        <v>1944.5499999999997</v>
      </c>
      <c r="AO384" s="14">
        <f>IF(W384&lt;=0,0,+$AA$6-$C$2+I384-U384)</f>
        <v>-35626.949999999837</v>
      </c>
      <c r="AP384" s="14">
        <f t="shared" si="585"/>
        <v>1944.5499999999997</v>
      </c>
      <c r="AS384" s="14">
        <f t="shared" si="512"/>
        <v>1944.5499999999997</v>
      </c>
      <c r="AT384" s="14">
        <f t="shared" si="518"/>
        <v>693723.7900000019</v>
      </c>
      <c r="AU384" s="188">
        <f>IF(W384&lt;=0,0,+($O$5+AV383)*$AQ$2/12)</f>
        <v>2040.9079469677938</v>
      </c>
      <c r="AV384" s="188">
        <f t="shared" si="519"/>
        <v>492694.0867340854</v>
      </c>
    </row>
    <row r="385" spans="1:48">
      <c r="A385" s="395">
        <f t="shared" si="571"/>
        <v>56940</v>
      </c>
      <c r="B385" s="188">
        <f t="shared" si="565"/>
        <v>43492.339999999916</v>
      </c>
      <c r="C385" s="14">
        <f t="shared" si="506"/>
        <v>559.88</v>
      </c>
      <c r="D385" s="14">
        <f t="shared" si="520"/>
        <v>396.78</v>
      </c>
      <c r="E385" s="14">
        <f t="shared" si="507"/>
        <v>163.1</v>
      </c>
      <c r="F385" s="14">
        <f t="shared" si="572"/>
        <v>51.5</v>
      </c>
      <c r="G385" s="14">
        <f t="shared" si="568"/>
        <v>145.09666666666666</v>
      </c>
      <c r="H385" s="14">
        <f t="shared" si="569"/>
        <v>756.47666666666669</v>
      </c>
      <c r="I385" s="188">
        <f t="shared" si="573"/>
        <v>80077.61</v>
      </c>
      <c r="J385" s="188">
        <f t="shared" si="574"/>
        <v>127538.16000000006</v>
      </c>
      <c r="K385" s="188">
        <f t="shared" si="575"/>
        <v>43095.559999999918</v>
      </c>
      <c r="L385" s="317">
        <f t="shared" si="555"/>
        <v>29</v>
      </c>
      <c r="M385" s="317">
        <f>IF(N385&lt;&gt;"",IF(N385=$O$5,0,+M384+1),0)</f>
        <v>357</v>
      </c>
      <c r="N385" s="188">
        <f t="shared" si="514"/>
        <v>7405.2199999999975</v>
      </c>
      <c r="O385" s="188">
        <f>IF($O$11&lt;=A385,IF(+$W384&lt;=0,0,$O$8),0)</f>
        <v>2504.4299999999998</v>
      </c>
      <c r="P385" s="188">
        <f t="shared" si="521"/>
        <v>2451.98</v>
      </c>
      <c r="Q385" s="188">
        <f>IF($O$11&lt;=A385,ROUND(N385*($O$7/12),2),0)</f>
        <v>52.45</v>
      </c>
      <c r="R385" s="188">
        <f t="shared" si="579"/>
        <v>51.5</v>
      </c>
      <c r="S385" s="188">
        <f t="shared" si="580"/>
        <v>145.09666666666666</v>
      </c>
      <c r="T385" s="188">
        <f t="shared" si="576"/>
        <v>2701.0266666666666</v>
      </c>
      <c r="U385" s="188">
        <f t="shared" si="522"/>
        <v>320756.75999999983</v>
      </c>
      <c r="V385" s="188">
        <f t="shared" si="523"/>
        <v>575829.17999999982</v>
      </c>
      <c r="W385" s="188">
        <f t="shared" si="577"/>
        <v>4953.239999999998</v>
      </c>
      <c r="X385" s="395">
        <f t="shared" si="515"/>
        <v>56940</v>
      </c>
      <c r="Y385" s="188">
        <f t="shared" si="587"/>
        <v>7405.2199999999975</v>
      </c>
      <c r="Z385" s="388">
        <f t="shared" si="508"/>
        <v>8.4999999999999992E-2</v>
      </c>
      <c r="AA385" s="188">
        <f t="shared" si="509"/>
        <v>2504.4299999999998</v>
      </c>
      <c r="AB385" s="188">
        <f t="shared" si="588"/>
        <v>2451.98</v>
      </c>
      <c r="AC385" s="188">
        <f t="shared" si="510"/>
        <v>52.45</v>
      </c>
      <c r="AD385" s="188">
        <f t="shared" ref="AD385:AE385" si="595">+AD384</f>
        <v>51.5</v>
      </c>
      <c r="AE385" s="188">
        <f t="shared" si="595"/>
        <v>145.09666666666666</v>
      </c>
      <c r="AF385" s="188">
        <f t="shared" si="590"/>
        <v>2701.0266666666666</v>
      </c>
      <c r="AG385" s="188">
        <f t="shared" si="591"/>
        <v>320756.75999999983</v>
      </c>
      <c r="AH385" s="188">
        <f t="shared" si="592"/>
        <v>575829.17999999982</v>
      </c>
      <c r="AI385" s="404">
        <f t="shared" si="582"/>
        <v>0</v>
      </c>
      <c r="AJ385" s="404">
        <f t="shared" si="535"/>
        <v>0</v>
      </c>
      <c r="AK385" s="404">
        <f t="shared" si="583"/>
        <v>0</v>
      </c>
      <c r="AL385" s="188">
        <f t="shared" si="593"/>
        <v>4953.239999999998</v>
      </c>
      <c r="AM385" s="317">
        <f t="shared" si="517"/>
        <v>29</v>
      </c>
      <c r="AN385" s="14">
        <f t="shared" si="584"/>
        <v>1944.5499999999997</v>
      </c>
      <c r="AO385" s="14">
        <f>IF(W385&lt;=0,0,+$AA$6-$C$2+I385-U385)</f>
        <v>-37682.149999999849</v>
      </c>
      <c r="AP385" s="14">
        <f t="shared" si="585"/>
        <v>1944.5499999999997</v>
      </c>
      <c r="AS385" s="14">
        <f t="shared" si="512"/>
        <v>1944.5499999999997</v>
      </c>
      <c r="AT385" s="14">
        <f t="shared" si="518"/>
        <v>695668.34000000195</v>
      </c>
      <c r="AU385" s="188">
        <f>IF(W385&lt;=0,0,+($O$5+AV384)*$AQ$2/12)</f>
        <v>2046.0102168352132</v>
      </c>
      <c r="AV385" s="188">
        <f t="shared" si="519"/>
        <v>494740.09695092059</v>
      </c>
    </row>
    <row r="386" spans="1:48">
      <c r="A386" s="395">
        <f t="shared" si="571"/>
        <v>56970</v>
      </c>
      <c r="B386" s="188">
        <f t="shared" si="565"/>
        <v>43095.559999999918</v>
      </c>
      <c r="C386" s="14">
        <f t="shared" si="506"/>
        <v>559.88</v>
      </c>
      <c r="D386" s="14">
        <f t="shared" si="520"/>
        <v>398.27</v>
      </c>
      <c r="E386" s="14">
        <f t="shared" si="507"/>
        <v>161.61000000000001</v>
      </c>
      <c r="F386" s="14">
        <f t="shared" si="572"/>
        <v>51.5</v>
      </c>
      <c r="G386" s="14">
        <f t="shared" si="568"/>
        <v>145.09666666666666</v>
      </c>
      <c r="H386" s="14">
        <f t="shared" si="569"/>
        <v>756.47666666666669</v>
      </c>
      <c r="I386" s="188">
        <f t="shared" si="573"/>
        <v>80475.88</v>
      </c>
      <c r="J386" s="188">
        <f t="shared" si="574"/>
        <v>127699.77000000006</v>
      </c>
      <c r="K386" s="188">
        <f t="shared" si="575"/>
        <v>42697.289999999921</v>
      </c>
      <c r="L386" s="317">
        <f t="shared" si="555"/>
        <v>29</v>
      </c>
      <c r="M386" s="317">
        <f>IF(N386&lt;&gt;"",IF(N386=$O$5,0,+M385+1),0)</f>
        <v>358</v>
      </c>
      <c r="N386" s="188">
        <f t="shared" si="514"/>
        <v>4953.239999999998</v>
      </c>
      <c r="O386" s="188">
        <f>IF($O$11&lt;=A386,IF(+$W385&lt;=0,0,$O$8),0)</f>
        <v>2504.4299999999998</v>
      </c>
      <c r="P386" s="188">
        <f t="shared" si="521"/>
        <v>2469.3399999999997</v>
      </c>
      <c r="Q386" s="188">
        <f>IF($O$11&lt;=A386,ROUND(N386*($O$7/12),2),0)</f>
        <v>35.090000000000003</v>
      </c>
      <c r="R386" s="188">
        <f t="shared" si="579"/>
        <v>51.5</v>
      </c>
      <c r="S386" s="188">
        <f t="shared" si="580"/>
        <v>145.09666666666666</v>
      </c>
      <c r="T386" s="188">
        <f t="shared" si="576"/>
        <v>2701.0266666666666</v>
      </c>
      <c r="U386" s="188">
        <f t="shared" si="522"/>
        <v>323226.09999999986</v>
      </c>
      <c r="V386" s="188">
        <f t="shared" si="523"/>
        <v>575864.26999999979</v>
      </c>
      <c r="W386" s="188">
        <f t="shared" si="577"/>
        <v>2483.8999999999983</v>
      </c>
      <c r="X386" s="395">
        <f t="shared" si="515"/>
        <v>56970</v>
      </c>
      <c r="Y386" s="188">
        <f t="shared" si="587"/>
        <v>4953.239999999998</v>
      </c>
      <c r="Z386" s="388">
        <f t="shared" si="508"/>
        <v>8.4999999999999992E-2</v>
      </c>
      <c r="AA386" s="188">
        <f t="shared" si="509"/>
        <v>2504.4299999999998</v>
      </c>
      <c r="AB386" s="188">
        <f t="shared" si="588"/>
        <v>2469.3399999999997</v>
      </c>
      <c r="AC386" s="188">
        <f t="shared" si="510"/>
        <v>35.090000000000003</v>
      </c>
      <c r="AD386" s="188">
        <f t="shared" ref="AD386:AE386" si="596">+AD385</f>
        <v>51.5</v>
      </c>
      <c r="AE386" s="188">
        <f t="shared" si="596"/>
        <v>145.09666666666666</v>
      </c>
      <c r="AF386" s="188">
        <f t="shared" si="590"/>
        <v>2701.0266666666666</v>
      </c>
      <c r="AG386" s="188">
        <f t="shared" si="591"/>
        <v>323226.09999999986</v>
      </c>
      <c r="AH386" s="188">
        <f t="shared" si="592"/>
        <v>575864.26999999979</v>
      </c>
      <c r="AI386" s="404">
        <f t="shared" si="582"/>
        <v>0</v>
      </c>
      <c r="AJ386" s="404">
        <f t="shared" si="535"/>
        <v>0</v>
      </c>
      <c r="AK386" s="404">
        <f t="shared" si="583"/>
        <v>0</v>
      </c>
      <c r="AL386" s="188">
        <f t="shared" si="593"/>
        <v>2483.8999999999983</v>
      </c>
      <c r="AM386" s="317">
        <f t="shared" si="517"/>
        <v>29</v>
      </c>
      <c r="AN386" s="14">
        <f t="shared" si="584"/>
        <v>1944.5499999999997</v>
      </c>
      <c r="AO386" s="14">
        <f>IF(W386&lt;=0,0,+$AA$6-$C$2+I386-U386)</f>
        <v>-39753.219999999856</v>
      </c>
      <c r="AP386" s="14">
        <f t="shared" si="585"/>
        <v>1944.5499999999997</v>
      </c>
      <c r="AS386" s="14">
        <f t="shared" si="512"/>
        <v>1944.5499999999997</v>
      </c>
      <c r="AT386" s="14">
        <f t="shared" si="518"/>
        <v>697612.89000000199</v>
      </c>
      <c r="AU386" s="188">
        <f>IF(W386&lt;=0,0,+($O$5+AV385)*$AQ$2/12)</f>
        <v>2051.1252423773012</v>
      </c>
      <c r="AV386" s="188">
        <f t="shared" si="519"/>
        <v>496791.22219329787</v>
      </c>
    </row>
    <row r="387" spans="1:48" ht="15.75" thickBot="1">
      <c r="A387" s="398">
        <f t="shared" si="571"/>
        <v>57000</v>
      </c>
      <c r="B387" s="237">
        <f t="shared" si="565"/>
        <v>42697.289999999921</v>
      </c>
      <c r="C387" s="21">
        <f t="shared" si="506"/>
        <v>559.88</v>
      </c>
      <c r="D387" s="21">
        <f t="shared" si="520"/>
        <v>399.77</v>
      </c>
      <c r="E387" s="21">
        <f t="shared" si="507"/>
        <v>160.11000000000001</v>
      </c>
      <c r="F387" s="21">
        <f t="shared" si="572"/>
        <v>51.5</v>
      </c>
      <c r="G387" s="21">
        <f t="shared" si="568"/>
        <v>145.09666666666666</v>
      </c>
      <c r="H387" s="21">
        <f t="shared" si="569"/>
        <v>756.47666666666669</v>
      </c>
      <c r="I387" s="237">
        <f t="shared" si="573"/>
        <v>80875.650000000009</v>
      </c>
      <c r="J387" s="237">
        <f t="shared" si="574"/>
        <v>127859.88000000006</v>
      </c>
      <c r="K387" s="237">
        <f t="shared" si="575"/>
        <v>42297.519999999924</v>
      </c>
      <c r="L387" s="318">
        <f t="shared" si="555"/>
        <v>29</v>
      </c>
      <c r="M387" s="318">
        <f>IF(N387&lt;&gt;"",IF(N387=$O$5,0,+M386+1),0)</f>
        <v>359</v>
      </c>
      <c r="N387" s="237">
        <f t="shared" si="514"/>
        <v>2483.8999999999983</v>
      </c>
      <c r="O387" s="237">
        <f>IF($O$11&lt;=A387,IF(+$W386&lt;=0,0,$O$8),0)</f>
        <v>2504.4299999999998</v>
      </c>
      <c r="P387" s="237">
        <f t="shared" si="521"/>
        <v>2486.8399999999997</v>
      </c>
      <c r="Q387" s="237">
        <f>IF($O$11&lt;=A387,ROUND(N387*($O$7/12),2),0)</f>
        <v>17.59</v>
      </c>
      <c r="R387" s="237">
        <f t="shared" si="579"/>
        <v>51.5</v>
      </c>
      <c r="S387" s="237">
        <f t="shared" si="580"/>
        <v>145.09666666666666</v>
      </c>
      <c r="T387" s="237">
        <f t="shared" si="576"/>
        <v>2701.0266666666666</v>
      </c>
      <c r="U387" s="237">
        <f t="shared" si="522"/>
        <v>325712.93999999989</v>
      </c>
      <c r="V387" s="237">
        <f t="shared" si="523"/>
        <v>575881.85999999975</v>
      </c>
      <c r="W387" s="237">
        <f t="shared" si="577"/>
        <v>-2.9400000000014188</v>
      </c>
      <c r="X387" s="398">
        <f t="shared" si="515"/>
        <v>57000</v>
      </c>
      <c r="Y387" s="237">
        <f t="shared" si="587"/>
        <v>2483.8999999999983</v>
      </c>
      <c r="Z387" s="389">
        <f t="shared" si="508"/>
        <v>8.4999999999999992E-2</v>
      </c>
      <c r="AA387" s="237">
        <f t="shared" si="509"/>
        <v>2504.4299999999998</v>
      </c>
      <c r="AB387" s="237">
        <f t="shared" si="588"/>
        <v>2486.8399999999997</v>
      </c>
      <c r="AC387" s="237">
        <f t="shared" si="510"/>
        <v>17.59</v>
      </c>
      <c r="AD387" s="237">
        <f t="shared" ref="AD387:AE387" si="597">+AD386</f>
        <v>51.5</v>
      </c>
      <c r="AE387" s="237">
        <f t="shared" si="597"/>
        <v>145.09666666666666</v>
      </c>
      <c r="AF387" s="237">
        <f t="shared" si="590"/>
        <v>2701.0266666666666</v>
      </c>
      <c r="AG387" s="237">
        <f t="shared" si="591"/>
        <v>325712.93999999989</v>
      </c>
      <c r="AH387" s="237">
        <f t="shared" si="592"/>
        <v>575881.85999999975</v>
      </c>
      <c r="AI387" s="405">
        <f t="shared" si="582"/>
        <v>0</v>
      </c>
      <c r="AJ387" s="405">
        <f t="shared" si="535"/>
        <v>0</v>
      </c>
      <c r="AK387" s="404">
        <f t="shared" si="583"/>
        <v>0</v>
      </c>
      <c r="AL387" s="237">
        <f t="shared" si="593"/>
        <v>-2.9400000000014188</v>
      </c>
      <c r="AM387" s="318">
        <f t="shared" si="517"/>
        <v>29</v>
      </c>
      <c r="AN387" s="21">
        <f t="shared" si="584"/>
        <v>1944.5499999999997</v>
      </c>
      <c r="AO387" s="21">
        <f>IF(W387&lt;=0,0,+$AA$6-$C$2+I387-U387)</f>
        <v>0</v>
      </c>
      <c r="AP387" s="21">
        <f t="shared" si="585"/>
        <v>1944.5499999999997</v>
      </c>
      <c r="AQ387" s="21"/>
      <c r="AR387" s="23"/>
      <c r="AS387" s="21">
        <f t="shared" si="512"/>
        <v>1944.5499999999997</v>
      </c>
      <c r="AT387" s="21">
        <f t="shared" si="518"/>
        <v>0</v>
      </c>
      <c r="AU387" s="237">
        <f>IF(W387&lt;=0,0,+($O$5+AV386)*$AQ$2/12)</f>
        <v>0</v>
      </c>
      <c r="AV387" s="237">
        <f t="shared" si="519"/>
        <v>0</v>
      </c>
    </row>
    <row r="388" spans="1:48">
      <c r="A388" s="395">
        <f t="shared" si="571"/>
        <v>57030</v>
      </c>
      <c r="B388" s="188">
        <f t="shared" si="565"/>
        <v>42297.519999999924</v>
      </c>
      <c r="C388" s="14">
        <f t="shared" si="506"/>
        <v>559.88</v>
      </c>
      <c r="D388" s="14">
        <f t="shared" si="520"/>
        <v>401.26</v>
      </c>
      <c r="E388" s="14">
        <f t="shared" si="507"/>
        <v>158.62</v>
      </c>
      <c r="F388" s="14">
        <f t="shared" si="572"/>
        <v>51.5</v>
      </c>
      <c r="G388" s="14">
        <f t="shared" si="568"/>
        <v>145.09666666666666</v>
      </c>
      <c r="H388" s="14">
        <f t="shared" si="569"/>
        <v>756.47666666666669</v>
      </c>
      <c r="I388" s="188">
        <f t="shared" si="573"/>
        <v>81276.91</v>
      </c>
      <c r="J388" s="188">
        <f t="shared" si="574"/>
        <v>128018.50000000006</v>
      </c>
      <c r="K388" s="188">
        <f t="shared" si="575"/>
        <v>41896.259999999922</v>
      </c>
      <c r="L388" s="317">
        <f t="shared" si="555"/>
        <v>30</v>
      </c>
      <c r="M388" s="317">
        <f>IF(N388&lt;&gt;"",IF(N388=$O$5,0,+M387+1),0)</f>
        <v>360</v>
      </c>
      <c r="N388" s="188">
        <f t="shared" si="514"/>
        <v>0</v>
      </c>
      <c r="O388" s="188">
        <f>IF($O$11&lt;=A388,IF(+$W387&lt;=0,0,$O$8),0)</f>
        <v>0</v>
      </c>
      <c r="P388" s="188">
        <f t="shared" si="521"/>
        <v>0</v>
      </c>
      <c r="Q388" s="188">
        <f>IF($O$11&lt;=A388,ROUND(N388*($O$7/12),2),0)</f>
        <v>0</v>
      </c>
      <c r="R388" s="188">
        <f t="shared" si="579"/>
        <v>51.5</v>
      </c>
      <c r="S388" s="188">
        <f t="shared" si="580"/>
        <v>145.09666666666666</v>
      </c>
      <c r="T388" s="188">
        <f t="shared" si="576"/>
        <v>196.59666666666666</v>
      </c>
      <c r="U388" s="188">
        <f t="shared" si="522"/>
        <v>325712.93999999989</v>
      </c>
      <c r="V388" s="188">
        <f t="shared" si="523"/>
        <v>575881.85999999975</v>
      </c>
      <c r="W388" s="188">
        <f t="shared" si="577"/>
        <v>0</v>
      </c>
      <c r="X388" s="395">
        <f t="shared" si="515"/>
        <v>57030</v>
      </c>
      <c r="Y388" s="188">
        <f t="shared" si="587"/>
        <v>0</v>
      </c>
      <c r="Z388" s="388">
        <f t="shared" si="508"/>
        <v>8.4999999999999992E-2</v>
      </c>
      <c r="AA388" s="188">
        <f t="shared" si="509"/>
        <v>0</v>
      </c>
      <c r="AB388" s="188">
        <f t="shared" si="588"/>
        <v>0</v>
      </c>
      <c r="AC388" s="188">
        <f t="shared" si="510"/>
        <v>0</v>
      </c>
      <c r="AD388" s="188">
        <f t="shared" ref="AD388:AE388" si="598">+AD387</f>
        <v>51.5</v>
      </c>
      <c r="AE388" s="188">
        <f t="shared" si="598"/>
        <v>145.09666666666666</v>
      </c>
      <c r="AF388" s="188">
        <f t="shared" si="590"/>
        <v>196.59666666666666</v>
      </c>
      <c r="AG388" s="188">
        <f t="shared" si="591"/>
        <v>325712.93999999989</v>
      </c>
      <c r="AH388" s="188">
        <f t="shared" si="592"/>
        <v>575881.85999999975</v>
      </c>
      <c r="AI388" s="404">
        <f t="shared" si="582"/>
        <v>0</v>
      </c>
      <c r="AJ388" s="404">
        <f t="shared" si="535"/>
        <v>0</v>
      </c>
      <c r="AK388" s="404">
        <f t="shared" si="583"/>
        <v>0</v>
      </c>
      <c r="AL388" s="188">
        <f t="shared" si="593"/>
        <v>0</v>
      </c>
      <c r="AM388" s="317">
        <f t="shared" si="517"/>
        <v>30</v>
      </c>
      <c r="AN388" s="14">
        <f t="shared" si="584"/>
        <v>0</v>
      </c>
      <c r="AO388" s="14">
        <f>IF(W388&lt;=0,0,+$AA$6-$C$2+I388-U388)</f>
        <v>0</v>
      </c>
      <c r="AP388" s="14">
        <f t="shared" si="585"/>
        <v>0</v>
      </c>
      <c r="AS388" s="14">
        <f t="shared" si="512"/>
        <v>0</v>
      </c>
      <c r="AT388" s="14">
        <f t="shared" si="518"/>
        <v>0</v>
      </c>
      <c r="AU388" s="188">
        <f>IF(W388&lt;=0,0,+($O$5+AV387)*$AQ$2/12)</f>
        <v>0</v>
      </c>
      <c r="AV388" s="188">
        <f t="shared" si="519"/>
        <v>0</v>
      </c>
    </row>
    <row r="389" spans="1:48">
      <c r="A389" s="395">
        <f t="shared" si="571"/>
        <v>57060</v>
      </c>
      <c r="B389" s="188">
        <f t="shared" si="565"/>
        <v>41896.259999999922</v>
      </c>
      <c r="C389" s="14">
        <f t="shared" si="506"/>
        <v>559.88</v>
      </c>
      <c r="D389" s="14">
        <f t="shared" si="520"/>
        <v>402.77</v>
      </c>
      <c r="E389" s="14">
        <f t="shared" si="507"/>
        <v>157.11000000000001</v>
      </c>
      <c r="F389" s="14">
        <f t="shared" si="572"/>
        <v>51.5</v>
      </c>
      <c r="G389" s="14">
        <f t="shared" si="568"/>
        <v>145.09666666666666</v>
      </c>
      <c r="H389" s="14">
        <f t="shared" si="569"/>
        <v>756.47666666666669</v>
      </c>
      <c r="I389" s="188">
        <f t="shared" si="573"/>
        <v>81679.680000000008</v>
      </c>
      <c r="J389" s="188">
        <f t="shared" si="574"/>
        <v>128175.61000000006</v>
      </c>
      <c r="K389" s="188">
        <f t="shared" si="575"/>
        <v>41493.489999999925</v>
      </c>
      <c r="L389" s="317">
        <f t="shared" si="555"/>
        <v>30</v>
      </c>
      <c r="M389" s="317">
        <f>IF(N389&lt;&gt;"",IF(N389=$O$5,0,+M388+1),0)</f>
        <v>361</v>
      </c>
      <c r="N389" s="188">
        <f t="shared" si="514"/>
        <v>0</v>
      </c>
      <c r="O389" s="188">
        <f>IF($O$11&lt;=A389,IF(+$W388&lt;=0,0,$O$8),0)</f>
        <v>0</v>
      </c>
      <c r="P389" s="188">
        <f t="shared" si="521"/>
        <v>0</v>
      </c>
      <c r="Q389" s="188">
        <f>IF($O$11&lt;=A389,ROUND(N389*($O$7/12),2),0)</f>
        <v>0</v>
      </c>
      <c r="R389" s="188">
        <f t="shared" si="579"/>
        <v>51.5</v>
      </c>
      <c r="S389" s="188">
        <f t="shared" si="580"/>
        <v>145.09666666666666</v>
      </c>
      <c r="T389" s="188">
        <f t="shared" si="576"/>
        <v>196.59666666666666</v>
      </c>
      <c r="U389" s="188">
        <f t="shared" si="522"/>
        <v>325712.93999999989</v>
      </c>
      <c r="V389" s="188">
        <f t="shared" si="523"/>
        <v>575881.85999999975</v>
      </c>
      <c r="W389" s="188">
        <f t="shared" si="577"/>
        <v>0</v>
      </c>
      <c r="X389" s="395">
        <f t="shared" si="515"/>
        <v>57060</v>
      </c>
      <c r="Y389" s="188">
        <f t="shared" si="587"/>
        <v>0</v>
      </c>
      <c r="Z389" s="388">
        <f t="shared" si="508"/>
        <v>8.4999999999999992E-2</v>
      </c>
      <c r="AA389" s="188">
        <f t="shared" si="509"/>
        <v>0</v>
      </c>
      <c r="AB389" s="188">
        <f t="shared" si="588"/>
        <v>0</v>
      </c>
      <c r="AC389" s="188">
        <f t="shared" si="510"/>
        <v>0</v>
      </c>
      <c r="AD389" s="188">
        <f t="shared" ref="AD389:AE389" si="599">+AD388</f>
        <v>51.5</v>
      </c>
      <c r="AE389" s="188">
        <f t="shared" si="599"/>
        <v>145.09666666666666</v>
      </c>
      <c r="AF389" s="188">
        <f t="shared" si="590"/>
        <v>196.59666666666666</v>
      </c>
      <c r="AG389" s="188">
        <f t="shared" si="591"/>
        <v>325712.93999999989</v>
      </c>
      <c r="AH389" s="188">
        <f t="shared" si="592"/>
        <v>575881.85999999975</v>
      </c>
      <c r="AI389" s="404">
        <f t="shared" si="582"/>
        <v>0</v>
      </c>
      <c r="AJ389" s="404">
        <f t="shared" si="535"/>
        <v>0</v>
      </c>
      <c r="AK389" s="404">
        <f t="shared" si="583"/>
        <v>0</v>
      </c>
      <c r="AL389" s="188">
        <f t="shared" si="593"/>
        <v>0</v>
      </c>
      <c r="AM389" s="317">
        <f t="shared" si="517"/>
        <v>30</v>
      </c>
      <c r="AN389" s="14">
        <f t="shared" si="584"/>
        <v>0</v>
      </c>
      <c r="AO389" s="14">
        <f>IF(W389&lt;=0,0,+$AA$6-$C$2+I389-U389)</f>
        <v>0</v>
      </c>
      <c r="AP389" s="14">
        <f t="shared" si="585"/>
        <v>0</v>
      </c>
      <c r="AS389" s="14">
        <f t="shared" si="512"/>
        <v>0</v>
      </c>
      <c r="AT389" s="14">
        <f t="shared" si="518"/>
        <v>0</v>
      </c>
      <c r="AU389" s="188">
        <f>IF(W389&lt;=0,0,+($O$5+AV388)*$AQ$2/12)</f>
        <v>0</v>
      </c>
      <c r="AV389" s="188">
        <f t="shared" si="519"/>
        <v>0</v>
      </c>
    </row>
    <row r="390" spans="1:48">
      <c r="A390" s="395">
        <f t="shared" si="571"/>
        <v>57090</v>
      </c>
      <c r="B390" s="188">
        <f t="shared" si="565"/>
        <v>41493.489999999925</v>
      </c>
      <c r="C390" s="14">
        <f t="shared" si="506"/>
        <v>559.88</v>
      </c>
      <c r="D390" s="14">
        <f t="shared" si="520"/>
        <v>404.28</v>
      </c>
      <c r="E390" s="14">
        <f t="shared" si="507"/>
        <v>155.6</v>
      </c>
      <c r="F390" s="14">
        <f t="shared" si="572"/>
        <v>51.5</v>
      </c>
      <c r="G390" s="14">
        <f t="shared" si="568"/>
        <v>145.09666666666666</v>
      </c>
      <c r="H390" s="14">
        <f t="shared" si="569"/>
        <v>756.47666666666669</v>
      </c>
      <c r="I390" s="188">
        <f t="shared" si="573"/>
        <v>82083.960000000006</v>
      </c>
      <c r="J390" s="188">
        <f t="shared" si="574"/>
        <v>128331.21000000006</v>
      </c>
      <c r="K390" s="188">
        <f t="shared" si="575"/>
        <v>41089.209999999926</v>
      </c>
      <c r="L390" s="317">
        <f t="shared" si="555"/>
        <v>30</v>
      </c>
      <c r="M390" s="317">
        <f>IF(N390&lt;&gt;"",IF(N390=$O$5,0,+M389+1),0)</f>
        <v>362</v>
      </c>
      <c r="N390" s="188">
        <f t="shared" si="514"/>
        <v>0</v>
      </c>
      <c r="O390" s="188">
        <f>IF($O$11&lt;=A390,IF(+$W389&lt;=0,0,$O$8),0)</f>
        <v>0</v>
      </c>
      <c r="P390" s="188">
        <f t="shared" si="521"/>
        <v>0</v>
      </c>
      <c r="Q390" s="188">
        <f>IF($O$11&lt;=A390,ROUND(N390*($O$7/12),2),0)</f>
        <v>0</v>
      </c>
      <c r="R390" s="188">
        <f t="shared" si="579"/>
        <v>51.5</v>
      </c>
      <c r="S390" s="188">
        <f t="shared" si="580"/>
        <v>145.09666666666666</v>
      </c>
      <c r="T390" s="188">
        <f t="shared" si="576"/>
        <v>196.59666666666666</v>
      </c>
      <c r="U390" s="188">
        <f t="shared" si="522"/>
        <v>325712.93999999989</v>
      </c>
      <c r="V390" s="188">
        <f t="shared" si="523"/>
        <v>575881.85999999975</v>
      </c>
      <c r="W390" s="188">
        <f t="shared" si="577"/>
        <v>0</v>
      </c>
      <c r="X390" s="395">
        <f t="shared" si="515"/>
        <v>57090</v>
      </c>
      <c r="Y390" s="188">
        <f t="shared" si="587"/>
        <v>0</v>
      </c>
      <c r="Z390" s="388">
        <f t="shared" si="508"/>
        <v>8.4999999999999992E-2</v>
      </c>
      <c r="AA390" s="188">
        <f t="shared" si="509"/>
        <v>0</v>
      </c>
      <c r="AB390" s="188">
        <f t="shared" si="588"/>
        <v>0</v>
      </c>
      <c r="AC390" s="188">
        <f t="shared" si="510"/>
        <v>0</v>
      </c>
      <c r="AD390" s="188">
        <f t="shared" ref="AD390:AE390" si="600">+AD389</f>
        <v>51.5</v>
      </c>
      <c r="AE390" s="188">
        <f t="shared" si="600"/>
        <v>145.09666666666666</v>
      </c>
      <c r="AF390" s="188">
        <f t="shared" si="590"/>
        <v>196.59666666666666</v>
      </c>
      <c r="AG390" s="188">
        <f t="shared" si="591"/>
        <v>325712.93999999989</v>
      </c>
      <c r="AH390" s="188">
        <f t="shared" si="592"/>
        <v>575881.85999999975</v>
      </c>
      <c r="AI390" s="404">
        <f t="shared" si="582"/>
        <v>0</v>
      </c>
      <c r="AJ390" s="404">
        <f t="shared" si="535"/>
        <v>0</v>
      </c>
      <c r="AK390" s="404">
        <f t="shared" si="583"/>
        <v>0</v>
      </c>
      <c r="AL390" s="188">
        <f t="shared" si="593"/>
        <v>0</v>
      </c>
      <c r="AM390" s="317">
        <f t="shared" si="517"/>
        <v>30</v>
      </c>
      <c r="AN390" s="14">
        <f t="shared" si="584"/>
        <v>0</v>
      </c>
      <c r="AO390" s="14">
        <f>IF(W390&lt;=0,0,+$AA$6-$C$2+I390-U390)</f>
        <v>0</v>
      </c>
      <c r="AP390" s="14">
        <f t="shared" si="585"/>
        <v>0</v>
      </c>
      <c r="AS390" s="14">
        <f t="shared" si="512"/>
        <v>0</v>
      </c>
      <c r="AT390" s="14">
        <f t="shared" si="518"/>
        <v>0</v>
      </c>
      <c r="AU390" s="188">
        <f>IF(W390&lt;=0,0,+($O$5+AV389)*$AQ$2/12)</f>
        <v>0</v>
      </c>
      <c r="AV390" s="188">
        <f t="shared" si="519"/>
        <v>0</v>
      </c>
    </row>
    <row r="391" spans="1:48">
      <c r="A391" s="395">
        <f t="shared" si="571"/>
        <v>57120</v>
      </c>
      <c r="B391" s="188">
        <f t="shared" si="565"/>
        <v>41089.209999999926</v>
      </c>
      <c r="C391" s="14">
        <f t="shared" si="506"/>
        <v>559.88</v>
      </c>
      <c r="D391" s="14">
        <f t="shared" si="520"/>
        <v>405.79999999999995</v>
      </c>
      <c r="E391" s="14">
        <f t="shared" si="507"/>
        <v>154.08000000000001</v>
      </c>
      <c r="F391" s="14">
        <f t="shared" si="572"/>
        <v>51.5</v>
      </c>
      <c r="G391" s="14">
        <f t="shared" si="568"/>
        <v>145.09666666666666</v>
      </c>
      <c r="H391" s="14">
        <f t="shared" si="569"/>
        <v>756.47666666666669</v>
      </c>
      <c r="I391" s="188">
        <f t="shared" si="573"/>
        <v>82489.760000000009</v>
      </c>
      <c r="J391" s="188">
        <f t="shared" si="574"/>
        <v>128485.29000000007</v>
      </c>
      <c r="K391" s="188">
        <f t="shared" si="575"/>
        <v>40683.409999999923</v>
      </c>
      <c r="L391" s="317">
        <f t="shared" si="555"/>
        <v>30</v>
      </c>
      <c r="M391" s="317">
        <f>IF(N391&lt;&gt;"",IF(N391=$O$5,0,+M390+1),0)</f>
        <v>363</v>
      </c>
      <c r="N391" s="188">
        <f t="shared" si="514"/>
        <v>0</v>
      </c>
      <c r="O391" s="188">
        <f>IF($O$11&lt;=A391,IF(+$W390&lt;=0,0,$O$8),0)</f>
        <v>0</v>
      </c>
      <c r="P391" s="188">
        <f t="shared" si="521"/>
        <v>0</v>
      </c>
      <c r="Q391" s="188">
        <f>IF($O$11&lt;=A391,ROUND(N391*($O$7/12),2),0)</f>
        <v>0</v>
      </c>
      <c r="R391" s="188">
        <f t="shared" si="579"/>
        <v>51.5</v>
      </c>
      <c r="S391" s="188">
        <f t="shared" si="580"/>
        <v>145.09666666666666</v>
      </c>
      <c r="T391" s="188">
        <f t="shared" si="576"/>
        <v>196.59666666666666</v>
      </c>
      <c r="U391" s="188">
        <f t="shared" si="522"/>
        <v>325712.93999999989</v>
      </c>
      <c r="V391" s="188">
        <f t="shared" si="523"/>
        <v>575881.85999999975</v>
      </c>
      <c r="W391" s="188">
        <f t="shared" si="577"/>
        <v>0</v>
      </c>
      <c r="X391" s="395">
        <f t="shared" si="515"/>
        <v>57120</v>
      </c>
      <c r="Y391" s="188">
        <f t="shared" si="587"/>
        <v>0</v>
      </c>
      <c r="Z391" s="388">
        <f t="shared" si="508"/>
        <v>8.4999999999999992E-2</v>
      </c>
      <c r="AA391" s="188">
        <f t="shared" si="509"/>
        <v>0</v>
      </c>
      <c r="AB391" s="188">
        <f t="shared" si="588"/>
        <v>0</v>
      </c>
      <c r="AC391" s="188">
        <f t="shared" si="510"/>
        <v>0</v>
      </c>
      <c r="AD391" s="188">
        <f t="shared" ref="AD391:AE391" si="601">+AD390</f>
        <v>51.5</v>
      </c>
      <c r="AE391" s="188">
        <f t="shared" si="601"/>
        <v>145.09666666666666</v>
      </c>
      <c r="AF391" s="188">
        <f t="shared" si="590"/>
        <v>196.59666666666666</v>
      </c>
      <c r="AG391" s="188">
        <f t="shared" si="591"/>
        <v>325712.93999999989</v>
      </c>
      <c r="AH391" s="188">
        <f t="shared" si="592"/>
        <v>575881.85999999975</v>
      </c>
      <c r="AI391" s="404">
        <f t="shared" si="582"/>
        <v>0</v>
      </c>
      <c r="AJ391" s="404">
        <f t="shared" si="535"/>
        <v>0</v>
      </c>
      <c r="AK391" s="404">
        <f t="shared" si="583"/>
        <v>0</v>
      </c>
      <c r="AL391" s="188">
        <f t="shared" si="593"/>
        <v>0</v>
      </c>
      <c r="AM391" s="317">
        <f t="shared" si="517"/>
        <v>30</v>
      </c>
      <c r="AN391" s="14">
        <f t="shared" si="584"/>
        <v>0</v>
      </c>
      <c r="AO391" s="14">
        <f>IF(W391&lt;=0,0,+$AA$6-$C$2+I391-U391)</f>
        <v>0</v>
      </c>
      <c r="AP391" s="14">
        <f t="shared" si="585"/>
        <v>0</v>
      </c>
      <c r="AS391" s="14">
        <f t="shared" si="512"/>
        <v>0</v>
      </c>
      <c r="AT391" s="14">
        <f t="shared" si="518"/>
        <v>0</v>
      </c>
      <c r="AU391" s="188">
        <f>IF(W391&lt;=0,0,+($O$5+AV390)*$AQ$2/12)</f>
        <v>0</v>
      </c>
      <c r="AV391" s="188">
        <f t="shared" si="519"/>
        <v>0</v>
      </c>
    </row>
    <row r="392" spans="1:48">
      <c r="A392" s="395">
        <f t="shared" si="571"/>
        <v>57150</v>
      </c>
      <c r="B392" s="188">
        <f t="shared" si="565"/>
        <v>40683.409999999923</v>
      </c>
      <c r="C392" s="14">
        <f t="shared" si="506"/>
        <v>559.88</v>
      </c>
      <c r="D392" s="14">
        <f t="shared" si="520"/>
        <v>407.32</v>
      </c>
      <c r="E392" s="14">
        <f t="shared" si="507"/>
        <v>152.56</v>
      </c>
      <c r="F392" s="14">
        <f t="shared" si="572"/>
        <v>51.5</v>
      </c>
      <c r="G392" s="14">
        <f t="shared" si="568"/>
        <v>145.09666666666666</v>
      </c>
      <c r="H392" s="14">
        <f t="shared" si="569"/>
        <v>756.47666666666669</v>
      </c>
      <c r="I392" s="188">
        <f t="shared" si="573"/>
        <v>82897.080000000016</v>
      </c>
      <c r="J392" s="188">
        <f t="shared" si="574"/>
        <v>128637.85000000006</v>
      </c>
      <c r="K392" s="188">
        <f t="shared" si="575"/>
        <v>40276.089999999924</v>
      </c>
      <c r="L392" s="317">
        <f t="shared" si="555"/>
        <v>30</v>
      </c>
      <c r="M392" s="317">
        <f>IF(N392&lt;&gt;"",IF(N392=$O$5,0,+M391+1),0)</f>
        <v>364</v>
      </c>
      <c r="N392" s="188">
        <f t="shared" si="514"/>
        <v>0</v>
      </c>
      <c r="O392" s="188">
        <f>IF($O$11&lt;=A392,IF(+$W391&lt;=0,0,$O$8),0)</f>
        <v>0</v>
      </c>
      <c r="P392" s="188">
        <f t="shared" si="521"/>
        <v>0</v>
      </c>
      <c r="Q392" s="188">
        <f>IF($O$11&lt;=A392,ROUND(N392*($O$7/12),2),0)</f>
        <v>0</v>
      </c>
      <c r="R392" s="188">
        <f t="shared" si="579"/>
        <v>51.5</v>
      </c>
      <c r="S392" s="188">
        <f t="shared" si="580"/>
        <v>145.09666666666666</v>
      </c>
      <c r="T392" s="188">
        <f t="shared" si="576"/>
        <v>196.59666666666666</v>
      </c>
      <c r="U392" s="188">
        <f t="shared" si="522"/>
        <v>325712.93999999989</v>
      </c>
      <c r="V392" s="188">
        <f t="shared" si="523"/>
        <v>575881.85999999975</v>
      </c>
      <c r="W392" s="188">
        <f t="shared" si="577"/>
        <v>0</v>
      </c>
      <c r="X392" s="395">
        <f t="shared" si="515"/>
        <v>57150</v>
      </c>
      <c r="Y392" s="188">
        <f t="shared" si="587"/>
        <v>0</v>
      </c>
      <c r="Z392" s="388">
        <f t="shared" si="508"/>
        <v>8.4999999999999992E-2</v>
      </c>
      <c r="AA392" s="188">
        <f t="shared" si="509"/>
        <v>0</v>
      </c>
      <c r="AB392" s="188">
        <f t="shared" si="588"/>
        <v>0</v>
      </c>
      <c r="AC392" s="188">
        <f t="shared" si="510"/>
        <v>0</v>
      </c>
      <c r="AD392" s="188">
        <f t="shared" ref="AD392:AE392" si="602">+AD391</f>
        <v>51.5</v>
      </c>
      <c r="AE392" s="188">
        <f t="shared" si="602"/>
        <v>145.09666666666666</v>
      </c>
      <c r="AF392" s="188">
        <f t="shared" si="590"/>
        <v>196.59666666666666</v>
      </c>
      <c r="AG392" s="188">
        <f t="shared" si="591"/>
        <v>325712.93999999989</v>
      </c>
      <c r="AH392" s="188">
        <f t="shared" si="592"/>
        <v>575881.85999999975</v>
      </c>
      <c r="AI392" s="404">
        <f t="shared" si="582"/>
        <v>0</v>
      </c>
      <c r="AJ392" s="404">
        <f t="shared" si="535"/>
        <v>0</v>
      </c>
      <c r="AK392" s="404">
        <f t="shared" si="583"/>
        <v>0</v>
      </c>
      <c r="AL392" s="188">
        <f t="shared" si="593"/>
        <v>0</v>
      </c>
      <c r="AM392" s="317">
        <f t="shared" si="517"/>
        <v>30</v>
      </c>
      <c r="AN392" s="14">
        <f t="shared" si="584"/>
        <v>0</v>
      </c>
      <c r="AO392" s="14">
        <f>IF(W392&lt;=0,0,+$AA$6-$C$2+I392-U392)</f>
        <v>0</v>
      </c>
      <c r="AP392" s="14">
        <f t="shared" si="585"/>
        <v>0</v>
      </c>
      <c r="AS392" s="14">
        <f t="shared" si="512"/>
        <v>0</v>
      </c>
      <c r="AT392" s="14">
        <f t="shared" si="518"/>
        <v>0</v>
      </c>
      <c r="AU392" s="188">
        <f>IF(W392&lt;=0,0,+($O$5+AV391)*$AQ$2/12)</f>
        <v>0</v>
      </c>
      <c r="AV392" s="188">
        <f t="shared" si="519"/>
        <v>0</v>
      </c>
    </row>
    <row r="393" spans="1:48">
      <c r="A393" s="395">
        <f t="shared" si="571"/>
        <v>57180</v>
      </c>
      <c r="B393" s="188">
        <f t="shared" si="565"/>
        <v>40276.089999999924</v>
      </c>
      <c r="C393" s="14">
        <f t="shared" si="506"/>
        <v>559.88</v>
      </c>
      <c r="D393" s="14">
        <f t="shared" si="520"/>
        <v>408.84000000000003</v>
      </c>
      <c r="E393" s="14">
        <f t="shared" si="507"/>
        <v>151.04</v>
      </c>
      <c r="F393" s="14">
        <f t="shared" si="572"/>
        <v>51.5</v>
      </c>
      <c r="G393" s="14">
        <f t="shared" si="568"/>
        <v>145.09666666666666</v>
      </c>
      <c r="H393" s="14">
        <f t="shared" si="569"/>
        <v>756.47666666666669</v>
      </c>
      <c r="I393" s="188">
        <f t="shared" si="573"/>
        <v>83305.920000000013</v>
      </c>
      <c r="J393" s="188">
        <f t="shared" si="574"/>
        <v>128788.89000000006</v>
      </c>
      <c r="K393" s="188">
        <f t="shared" si="575"/>
        <v>39867.249999999927</v>
      </c>
      <c r="L393" s="317">
        <f t="shared" si="555"/>
        <v>30</v>
      </c>
      <c r="M393" s="317">
        <f>IF(N393&lt;&gt;"",IF(N393=$O$5,0,+M392+1),0)</f>
        <v>365</v>
      </c>
      <c r="N393" s="188">
        <f t="shared" si="514"/>
        <v>0</v>
      </c>
      <c r="O393" s="188">
        <f>IF($O$11&lt;=A393,IF(+$W392&lt;=0,0,$O$8),0)</f>
        <v>0</v>
      </c>
      <c r="P393" s="188">
        <f t="shared" si="521"/>
        <v>0</v>
      </c>
      <c r="Q393" s="188">
        <f>IF($O$11&lt;=A393,ROUND(N393*($O$7/12),2),0)</f>
        <v>0</v>
      </c>
      <c r="R393" s="188">
        <f t="shared" si="579"/>
        <v>51.5</v>
      </c>
      <c r="S393" s="188">
        <f t="shared" si="580"/>
        <v>145.09666666666666</v>
      </c>
      <c r="T393" s="188">
        <f t="shared" si="576"/>
        <v>196.59666666666666</v>
      </c>
      <c r="U393" s="188">
        <f t="shared" si="522"/>
        <v>325712.93999999989</v>
      </c>
      <c r="V393" s="188">
        <f t="shared" si="523"/>
        <v>575881.85999999975</v>
      </c>
      <c r="W393" s="188">
        <f t="shared" si="577"/>
        <v>0</v>
      </c>
      <c r="X393" s="395">
        <f t="shared" si="515"/>
        <v>57180</v>
      </c>
      <c r="Y393" s="188">
        <f t="shared" si="587"/>
        <v>0</v>
      </c>
      <c r="Z393" s="388">
        <f t="shared" si="508"/>
        <v>8.4999999999999992E-2</v>
      </c>
      <c r="AA393" s="188">
        <f t="shared" si="509"/>
        <v>0</v>
      </c>
      <c r="AB393" s="188">
        <f t="shared" si="588"/>
        <v>0</v>
      </c>
      <c r="AC393" s="188">
        <f t="shared" si="510"/>
        <v>0</v>
      </c>
      <c r="AD393" s="188">
        <f t="shared" ref="AD393:AE393" si="603">+AD392</f>
        <v>51.5</v>
      </c>
      <c r="AE393" s="188">
        <f t="shared" si="603"/>
        <v>145.09666666666666</v>
      </c>
      <c r="AF393" s="188">
        <f t="shared" si="590"/>
        <v>196.59666666666666</v>
      </c>
      <c r="AG393" s="188">
        <f t="shared" si="591"/>
        <v>325712.93999999989</v>
      </c>
      <c r="AH393" s="188">
        <f t="shared" si="592"/>
        <v>575881.85999999975</v>
      </c>
      <c r="AI393" s="404">
        <f t="shared" si="582"/>
        <v>0</v>
      </c>
      <c r="AJ393" s="404">
        <f t="shared" si="535"/>
        <v>0</v>
      </c>
      <c r="AK393" s="404">
        <f t="shared" si="583"/>
        <v>0</v>
      </c>
      <c r="AL393" s="188">
        <f t="shared" si="593"/>
        <v>0</v>
      </c>
      <c r="AM393" s="317">
        <f t="shared" si="517"/>
        <v>30</v>
      </c>
      <c r="AN393" s="14">
        <f t="shared" si="584"/>
        <v>0</v>
      </c>
      <c r="AO393" s="14">
        <f>IF(W393&lt;=0,0,+$AA$6-$C$2+I393-U393)</f>
        <v>0</v>
      </c>
      <c r="AP393" s="14">
        <f t="shared" si="585"/>
        <v>0</v>
      </c>
      <c r="AS393" s="14">
        <f t="shared" si="512"/>
        <v>0</v>
      </c>
      <c r="AT393" s="14">
        <f t="shared" si="518"/>
        <v>0</v>
      </c>
      <c r="AU393" s="188">
        <f>IF(W393&lt;=0,0,+($O$5+AV392)*$AQ$2/12)</f>
        <v>0</v>
      </c>
      <c r="AV393" s="188">
        <f t="shared" si="519"/>
        <v>0</v>
      </c>
    </row>
    <row r="394" spans="1:48">
      <c r="A394" s="395">
        <f t="shared" si="571"/>
        <v>57210</v>
      </c>
      <c r="B394" s="188">
        <f t="shared" si="565"/>
        <v>39867.249999999927</v>
      </c>
      <c r="C394" s="14">
        <f t="shared" si="506"/>
        <v>559.88</v>
      </c>
      <c r="D394" s="14">
        <f t="shared" si="520"/>
        <v>410.38</v>
      </c>
      <c r="E394" s="14">
        <f t="shared" si="507"/>
        <v>149.5</v>
      </c>
      <c r="F394" s="14">
        <f t="shared" si="572"/>
        <v>51.5</v>
      </c>
      <c r="G394" s="14">
        <f t="shared" si="568"/>
        <v>145.09666666666666</v>
      </c>
      <c r="H394" s="14">
        <f t="shared" si="569"/>
        <v>756.47666666666669</v>
      </c>
      <c r="I394" s="188">
        <f t="shared" si="573"/>
        <v>83716.300000000017</v>
      </c>
      <c r="J394" s="188">
        <f t="shared" si="574"/>
        <v>128938.39000000006</v>
      </c>
      <c r="K394" s="188">
        <f t="shared" si="575"/>
        <v>39456.86999999993</v>
      </c>
      <c r="L394" s="317">
        <f t="shared" si="555"/>
        <v>30</v>
      </c>
      <c r="M394" s="317">
        <f>IF(N394&lt;&gt;"",IF(N394=$O$5,0,+M393+1),0)</f>
        <v>366</v>
      </c>
      <c r="N394" s="188">
        <f t="shared" si="514"/>
        <v>0</v>
      </c>
      <c r="O394" s="188">
        <f>IF($O$11&lt;=A394,IF(+$W393&lt;=0,0,$O$8),0)</f>
        <v>0</v>
      </c>
      <c r="P394" s="188">
        <f t="shared" si="521"/>
        <v>0</v>
      </c>
      <c r="Q394" s="188">
        <f>IF($O$11&lt;=A394,ROUND(N394*($O$7/12),2),0)</f>
        <v>0</v>
      </c>
      <c r="R394" s="188">
        <f t="shared" si="579"/>
        <v>51.5</v>
      </c>
      <c r="S394" s="188">
        <f t="shared" si="580"/>
        <v>145.09666666666666</v>
      </c>
      <c r="T394" s="188">
        <f t="shared" si="576"/>
        <v>196.59666666666666</v>
      </c>
      <c r="U394" s="188">
        <f t="shared" si="522"/>
        <v>325712.93999999989</v>
      </c>
      <c r="V394" s="188">
        <f t="shared" si="523"/>
        <v>575881.85999999975</v>
      </c>
      <c r="W394" s="188">
        <f t="shared" si="577"/>
        <v>0</v>
      </c>
      <c r="X394" s="395">
        <f t="shared" si="515"/>
        <v>57210</v>
      </c>
      <c r="Y394" s="188">
        <f t="shared" si="587"/>
        <v>0</v>
      </c>
      <c r="Z394" s="388">
        <f t="shared" si="508"/>
        <v>8.4999999999999992E-2</v>
      </c>
      <c r="AA394" s="188">
        <f t="shared" si="509"/>
        <v>0</v>
      </c>
      <c r="AB394" s="188">
        <f t="shared" si="588"/>
        <v>0</v>
      </c>
      <c r="AC394" s="188">
        <f t="shared" si="510"/>
        <v>0</v>
      </c>
      <c r="AD394" s="188">
        <f t="shared" ref="AD394:AE394" si="604">+AD393</f>
        <v>51.5</v>
      </c>
      <c r="AE394" s="188">
        <f t="shared" si="604"/>
        <v>145.09666666666666</v>
      </c>
      <c r="AF394" s="188">
        <f t="shared" si="590"/>
        <v>196.59666666666666</v>
      </c>
      <c r="AG394" s="188">
        <f t="shared" si="591"/>
        <v>325712.93999999989</v>
      </c>
      <c r="AH394" s="188">
        <f t="shared" si="592"/>
        <v>575881.85999999975</v>
      </c>
      <c r="AI394" s="404">
        <f t="shared" si="582"/>
        <v>0</v>
      </c>
      <c r="AJ394" s="404">
        <f t="shared" si="535"/>
        <v>0</v>
      </c>
      <c r="AK394" s="404">
        <f t="shared" si="583"/>
        <v>0</v>
      </c>
      <c r="AL394" s="188">
        <f t="shared" si="593"/>
        <v>0</v>
      </c>
      <c r="AM394" s="317">
        <f t="shared" si="517"/>
        <v>30</v>
      </c>
      <c r="AN394" s="14">
        <f t="shared" si="584"/>
        <v>0</v>
      </c>
      <c r="AO394" s="14">
        <f>IF(W394&lt;=0,0,+$AA$6-$C$2+I394-U394)</f>
        <v>0</v>
      </c>
      <c r="AP394" s="14">
        <f t="shared" si="585"/>
        <v>0</v>
      </c>
      <c r="AS394" s="14">
        <f t="shared" si="512"/>
        <v>0</v>
      </c>
      <c r="AT394" s="14">
        <f t="shared" si="518"/>
        <v>0</v>
      </c>
      <c r="AU394" s="188">
        <f>IF(W394&lt;=0,0,+($O$5+AV393)*$AQ$2/12)</f>
        <v>0</v>
      </c>
      <c r="AV394" s="188">
        <f t="shared" si="519"/>
        <v>0</v>
      </c>
    </row>
    <row r="395" spans="1:48">
      <c r="A395" s="395">
        <f t="shared" si="571"/>
        <v>57240</v>
      </c>
      <c r="B395" s="188">
        <f t="shared" si="565"/>
        <v>39456.86999999993</v>
      </c>
      <c r="C395" s="14">
        <f t="shared" si="506"/>
        <v>559.88</v>
      </c>
      <c r="D395" s="14">
        <f t="shared" si="520"/>
        <v>411.91999999999996</v>
      </c>
      <c r="E395" s="14">
        <f t="shared" si="507"/>
        <v>147.96</v>
      </c>
      <c r="F395" s="14">
        <f t="shared" si="572"/>
        <v>51.5</v>
      </c>
      <c r="G395" s="14">
        <f t="shared" si="568"/>
        <v>145.09666666666666</v>
      </c>
      <c r="H395" s="14">
        <f t="shared" si="569"/>
        <v>756.47666666666669</v>
      </c>
      <c r="I395" s="188">
        <f t="shared" si="573"/>
        <v>84128.220000000016</v>
      </c>
      <c r="J395" s="188">
        <f t="shared" si="574"/>
        <v>129086.35000000006</v>
      </c>
      <c r="K395" s="188">
        <f t="shared" si="575"/>
        <v>39044.949999999932</v>
      </c>
      <c r="L395" s="317">
        <f t="shared" si="555"/>
        <v>30</v>
      </c>
      <c r="M395" s="317">
        <f>IF(N395&lt;&gt;"",IF(N395=$O$5,0,+M394+1),0)</f>
        <v>367</v>
      </c>
      <c r="N395" s="188">
        <f t="shared" si="514"/>
        <v>0</v>
      </c>
      <c r="O395" s="188">
        <f>IF($O$11&lt;=A395,IF(+$W394&lt;=0,0,$O$8),0)</f>
        <v>0</v>
      </c>
      <c r="P395" s="188">
        <f t="shared" si="521"/>
        <v>0</v>
      </c>
      <c r="Q395" s="188">
        <f>IF($O$11&lt;=A395,ROUND(N395*($O$7/12),2),0)</f>
        <v>0</v>
      </c>
      <c r="R395" s="188">
        <f t="shared" si="579"/>
        <v>51.5</v>
      </c>
      <c r="S395" s="188">
        <f t="shared" si="580"/>
        <v>145.09666666666666</v>
      </c>
      <c r="T395" s="188">
        <f t="shared" si="576"/>
        <v>196.59666666666666</v>
      </c>
      <c r="U395" s="188">
        <f t="shared" si="522"/>
        <v>325712.93999999989</v>
      </c>
      <c r="V395" s="188">
        <f t="shared" si="523"/>
        <v>575881.85999999975</v>
      </c>
      <c r="W395" s="188">
        <f t="shared" si="577"/>
        <v>0</v>
      </c>
      <c r="X395" s="395">
        <f t="shared" si="515"/>
        <v>57240</v>
      </c>
      <c r="Y395" s="188">
        <f t="shared" si="587"/>
        <v>0</v>
      </c>
      <c r="Z395" s="388">
        <f t="shared" si="508"/>
        <v>8.4999999999999992E-2</v>
      </c>
      <c r="AA395" s="188">
        <f t="shared" si="509"/>
        <v>0</v>
      </c>
      <c r="AB395" s="188">
        <f t="shared" si="588"/>
        <v>0</v>
      </c>
      <c r="AC395" s="188">
        <f t="shared" si="510"/>
        <v>0</v>
      </c>
      <c r="AD395" s="188">
        <f t="shared" ref="AD395:AE395" si="605">+AD394</f>
        <v>51.5</v>
      </c>
      <c r="AE395" s="188">
        <f t="shared" si="605"/>
        <v>145.09666666666666</v>
      </c>
      <c r="AF395" s="188">
        <f t="shared" si="590"/>
        <v>196.59666666666666</v>
      </c>
      <c r="AG395" s="188">
        <f t="shared" si="591"/>
        <v>325712.93999999989</v>
      </c>
      <c r="AH395" s="188">
        <f t="shared" si="592"/>
        <v>575881.85999999975</v>
      </c>
      <c r="AI395" s="404">
        <f t="shared" si="582"/>
        <v>0</v>
      </c>
      <c r="AJ395" s="404">
        <f t="shared" si="535"/>
        <v>0</v>
      </c>
      <c r="AK395" s="404">
        <f t="shared" si="583"/>
        <v>0</v>
      </c>
      <c r="AL395" s="188">
        <f t="shared" si="593"/>
        <v>0</v>
      </c>
      <c r="AM395" s="317">
        <f t="shared" si="517"/>
        <v>30</v>
      </c>
      <c r="AN395" s="14">
        <f t="shared" si="584"/>
        <v>0</v>
      </c>
      <c r="AO395" s="14">
        <f>IF(W395&lt;=0,0,+$AA$6-$C$2+I395-U395)</f>
        <v>0</v>
      </c>
      <c r="AP395" s="14">
        <f t="shared" si="585"/>
        <v>0</v>
      </c>
      <c r="AS395" s="14">
        <f t="shared" si="512"/>
        <v>0</v>
      </c>
      <c r="AT395" s="14">
        <f t="shared" si="518"/>
        <v>0</v>
      </c>
      <c r="AU395" s="188">
        <f>IF(W395&lt;=0,0,+($O$5+AV394)*$AQ$2/12)</f>
        <v>0</v>
      </c>
      <c r="AV395" s="188">
        <f t="shared" si="519"/>
        <v>0</v>
      </c>
    </row>
    <row r="396" spans="1:48">
      <c r="A396" s="395">
        <f t="shared" si="571"/>
        <v>57270</v>
      </c>
      <c r="B396" s="188">
        <f t="shared" si="565"/>
        <v>39044.949999999932</v>
      </c>
      <c r="C396" s="14">
        <f t="shared" si="506"/>
        <v>559.88</v>
      </c>
      <c r="D396" s="14">
        <f t="shared" si="520"/>
        <v>413.46000000000004</v>
      </c>
      <c r="E396" s="14">
        <f t="shared" si="507"/>
        <v>146.41999999999999</v>
      </c>
      <c r="F396" s="14">
        <f t="shared" si="572"/>
        <v>51.5</v>
      </c>
      <c r="G396" s="14">
        <f t="shared" si="568"/>
        <v>145.09666666666666</v>
      </c>
      <c r="H396" s="14">
        <f t="shared" si="569"/>
        <v>756.47666666666669</v>
      </c>
      <c r="I396" s="188">
        <f t="shared" si="573"/>
        <v>84541.680000000022</v>
      </c>
      <c r="J396" s="188">
        <f t="shared" si="574"/>
        <v>129232.77000000006</v>
      </c>
      <c r="K396" s="188">
        <f t="shared" si="575"/>
        <v>38631.489999999932</v>
      </c>
      <c r="L396" s="317">
        <f t="shared" si="555"/>
        <v>30</v>
      </c>
      <c r="M396" s="317">
        <f>IF(N396&lt;&gt;"",IF(N396=$O$5,0,+M395+1),0)</f>
        <v>368</v>
      </c>
      <c r="N396" s="188">
        <f t="shared" si="514"/>
        <v>0</v>
      </c>
      <c r="O396" s="188">
        <f>IF($O$11&lt;=A396,IF(+$W395&lt;=0,0,$O$8),0)</f>
        <v>0</v>
      </c>
      <c r="P396" s="188">
        <f t="shared" si="521"/>
        <v>0</v>
      </c>
      <c r="Q396" s="188">
        <f>IF($O$11&lt;=A396,ROUND(N396*($O$7/12),2),0)</f>
        <v>0</v>
      </c>
      <c r="R396" s="188">
        <f t="shared" si="579"/>
        <v>51.5</v>
      </c>
      <c r="S396" s="188">
        <f t="shared" si="580"/>
        <v>145.09666666666666</v>
      </c>
      <c r="T396" s="188">
        <f t="shared" si="576"/>
        <v>196.59666666666666</v>
      </c>
      <c r="U396" s="188">
        <f t="shared" si="522"/>
        <v>325712.93999999989</v>
      </c>
      <c r="V396" s="188">
        <f t="shared" si="523"/>
        <v>575881.85999999975</v>
      </c>
      <c r="W396" s="188">
        <f t="shared" si="577"/>
        <v>0</v>
      </c>
      <c r="X396" s="395">
        <f t="shared" si="515"/>
        <v>57270</v>
      </c>
      <c r="Y396" s="188">
        <f t="shared" si="587"/>
        <v>0</v>
      </c>
      <c r="Z396" s="388">
        <f t="shared" si="508"/>
        <v>8.4999999999999992E-2</v>
      </c>
      <c r="AA396" s="188">
        <f t="shared" si="509"/>
        <v>0</v>
      </c>
      <c r="AB396" s="188">
        <f t="shared" si="588"/>
        <v>0</v>
      </c>
      <c r="AC396" s="188">
        <f t="shared" si="510"/>
        <v>0</v>
      </c>
      <c r="AD396" s="188">
        <f t="shared" ref="AD396:AE396" si="606">+AD395</f>
        <v>51.5</v>
      </c>
      <c r="AE396" s="188">
        <f t="shared" si="606"/>
        <v>145.09666666666666</v>
      </c>
      <c r="AF396" s="188">
        <f t="shared" si="590"/>
        <v>196.59666666666666</v>
      </c>
      <c r="AG396" s="188">
        <f t="shared" si="591"/>
        <v>325712.93999999989</v>
      </c>
      <c r="AH396" s="188">
        <f t="shared" si="592"/>
        <v>575881.85999999975</v>
      </c>
      <c r="AI396" s="404">
        <f t="shared" si="582"/>
        <v>0</v>
      </c>
      <c r="AJ396" s="404">
        <f t="shared" si="535"/>
        <v>0</v>
      </c>
      <c r="AK396" s="404">
        <f t="shared" si="583"/>
        <v>0</v>
      </c>
      <c r="AL396" s="188">
        <f t="shared" si="593"/>
        <v>0</v>
      </c>
      <c r="AM396" s="317">
        <f t="shared" si="517"/>
        <v>30</v>
      </c>
      <c r="AN396" s="14">
        <f t="shared" si="584"/>
        <v>0</v>
      </c>
      <c r="AO396" s="14">
        <f>IF(W396&lt;=0,0,+$AA$6-$C$2+I396-U396)</f>
        <v>0</v>
      </c>
      <c r="AP396" s="14">
        <f t="shared" si="585"/>
        <v>0</v>
      </c>
      <c r="AS396" s="14">
        <f t="shared" si="512"/>
        <v>0</v>
      </c>
      <c r="AT396" s="14">
        <f t="shared" si="518"/>
        <v>0</v>
      </c>
      <c r="AU396" s="188">
        <f>IF(W396&lt;=0,0,+($O$5+AV395)*$AQ$2/12)</f>
        <v>0</v>
      </c>
      <c r="AV396" s="188">
        <f t="shared" si="519"/>
        <v>0</v>
      </c>
    </row>
    <row r="397" spans="1:48">
      <c r="A397" s="395">
        <f t="shared" si="571"/>
        <v>57300</v>
      </c>
      <c r="B397" s="188">
        <f t="shared" si="565"/>
        <v>38631.489999999932</v>
      </c>
      <c r="C397" s="14">
        <f t="shared" si="506"/>
        <v>559.88</v>
      </c>
      <c r="D397" s="14">
        <f t="shared" si="520"/>
        <v>415.01</v>
      </c>
      <c r="E397" s="14">
        <f t="shared" si="507"/>
        <v>144.87</v>
      </c>
      <c r="F397" s="14">
        <f t="shared" si="572"/>
        <v>51.5</v>
      </c>
      <c r="G397" s="14">
        <f t="shared" si="568"/>
        <v>145.09666666666666</v>
      </c>
      <c r="H397" s="14">
        <f t="shared" si="569"/>
        <v>756.47666666666669</v>
      </c>
      <c r="I397" s="188">
        <f t="shared" si="573"/>
        <v>84956.690000000017</v>
      </c>
      <c r="J397" s="188">
        <f t="shared" si="574"/>
        <v>129377.64000000006</v>
      </c>
      <c r="K397" s="188">
        <f t="shared" si="575"/>
        <v>38216.47999999993</v>
      </c>
      <c r="L397" s="317">
        <f t="shared" si="555"/>
        <v>30</v>
      </c>
      <c r="M397" s="317">
        <f>IF(N397&lt;&gt;"",IF(N397=$O$5,0,+M396+1),0)</f>
        <v>369</v>
      </c>
      <c r="N397" s="188">
        <f t="shared" si="514"/>
        <v>0</v>
      </c>
      <c r="O397" s="188">
        <f>IF($O$11&lt;=A397,IF(+$W396&lt;=0,0,$O$8),0)</f>
        <v>0</v>
      </c>
      <c r="P397" s="188">
        <f t="shared" si="521"/>
        <v>0</v>
      </c>
      <c r="Q397" s="188">
        <f>IF($O$11&lt;=A397,ROUND(N397*($O$7/12),2),0)</f>
        <v>0</v>
      </c>
      <c r="R397" s="188">
        <f t="shared" si="579"/>
        <v>51.5</v>
      </c>
      <c r="S397" s="188">
        <f t="shared" si="580"/>
        <v>145.09666666666666</v>
      </c>
      <c r="T397" s="188">
        <f t="shared" si="576"/>
        <v>196.59666666666666</v>
      </c>
      <c r="U397" s="188">
        <f t="shared" si="522"/>
        <v>325712.93999999989</v>
      </c>
      <c r="V397" s="188">
        <f t="shared" si="523"/>
        <v>575881.85999999975</v>
      </c>
      <c r="W397" s="188">
        <f t="shared" si="577"/>
        <v>0</v>
      </c>
      <c r="X397" s="395">
        <f t="shared" si="515"/>
        <v>57300</v>
      </c>
      <c r="Y397" s="188">
        <f t="shared" si="587"/>
        <v>0</v>
      </c>
      <c r="Z397" s="388">
        <f t="shared" si="508"/>
        <v>8.4999999999999992E-2</v>
      </c>
      <c r="AA397" s="188">
        <f t="shared" si="509"/>
        <v>0</v>
      </c>
      <c r="AB397" s="188">
        <f t="shared" si="588"/>
        <v>0</v>
      </c>
      <c r="AC397" s="188">
        <f t="shared" si="510"/>
        <v>0</v>
      </c>
      <c r="AD397" s="188">
        <f t="shared" ref="AD397:AE397" si="607">+AD396</f>
        <v>51.5</v>
      </c>
      <c r="AE397" s="188">
        <f t="shared" si="607"/>
        <v>145.09666666666666</v>
      </c>
      <c r="AF397" s="188">
        <f t="shared" si="590"/>
        <v>196.59666666666666</v>
      </c>
      <c r="AG397" s="188">
        <f t="shared" si="591"/>
        <v>325712.93999999989</v>
      </c>
      <c r="AH397" s="188">
        <f t="shared" si="592"/>
        <v>575881.85999999975</v>
      </c>
      <c r="AI397" s="404">
        <f t="shared" si="582"/>
        <v>0</v>
      </c>
      <c r="AJ397" s="404">
        <f t="shared" si="535"/>
        <v>0</v>
      </c>
      <c r="AK397" s="404">
        <f t="shared" si="583"/>
        <v>0</v>
      </c>
      <c r="AL397" s="188">
        <f t="shared" si="593"/>
        <v>0</v>
      </c>
      <c r="AM397" s="317">
        <f t="shared" si="517"/>
        <v>30</v>
      </c>
      <c r="AN397" s="14">
        <f t="shared" si="584"/>
        <v>0</v>
      </c>
      <c r="AO397" s="14">
        <f>IF(W397&lt;=0,0,+$AA$6-$C$2+I397-U397)</f>
        <v>0</v>
      </c>
      <c r="AP397" s="14">
        <f t="shared" si="585"/>
        <v>0</v>
      </c>
      <c r="AS397" s="14">
        <f t="shared" si="512"/>
        <v>0</v>
      </c>
      <c r="AT397" s="14">
        <f t="shared" si="518"/>
        <v>0</v>
      </c>
      <c r="AU397" s="188">
        <f>IF(W397&lt;=0,0,+($O$5+AV396)*$AQ$2/12)</f>
        <v>0</v>
      </c>
      <c r="AV397" s="188">
        <f t="shared" si="519"/>
        <v>0</v>
      </c>
    </row>
    <row r="398" spans="1:48">
      <c r="A398" s="395">
        <f t="shared" si="571"/>
        <v>57330</v>
      </c>
      <c r="B398" s="188">
        <f t="shared" si="565"/>
        <v>38216.47999999993</v>
      </c>
      <c r="C398" s="14">
        <f t="shared" si="506"/>
        <v>559.88</v>
      </c>
      <c r="D398" s="14">
        <f t="shared" si="520"/>
        <v>416.57</v>
      </c>
      <c r="E398" s="14">
        <f t="shared" si="507"/>
        <v>143.31</v>
      </c>
      <c r="F398" s="14">
        <f t="shared" si="572"/>
        <v>51.5</v>
      </c>
      <c r="G398" s="14">
        <f t="shared" si="568"/>
        <v>145.09666666666666</v>
      </c>
      <c r="H398" s="14">
        <f t="shared" si="569"/>
        <v>756.47666666666669</v>
      </c>
      <c r="I398" s="188">
        <f t="shared" si="573"/>
        <v>85373.260000000024</v>
      </c>
      <c r="J398" s="188">
        <f t="shared" si="574"/>
        <v>129520.95000000006</v>
      </c>
      <c r="K398" s="188">
        <f t="shared" si="575"/>
        <v>37799.909999999931</v>
      </c>
      <c r="L398" s="317">
        <f t="shared" si="555"/>
        <v>30</v>
      </c>
      <c r="M398" s="317">
        <f>IF(N398&lt;&gt;"",IF(N398=$O$5,0,+M397+1),0)</f>
        <v>370</v>
      </c>
      <c r="N398" s="188">
        <f t="shared" si="514"/>
        <v>0</v>
      </c>
      <c r="O398" s="188">
        <f>IF($O$11&lt;=A398,IF(+$W397&lt;=0,0,$O$8),0)</f>
        <v>0</v>
      </c>
      <c r="P398" s="188">
        <f t="shared" si="521"/>
        <v>0</v>
      </c>
      <c r="Q398" s="188">
        <f>IF($O$11&lt;=A398,ROUND(N398*($O$7/12),2),0)</f>
        <v>0</v>
      </c>
      <c r="R398" s="188">
        <f t="shared" si="579"/>
        <v>51.5</v>
      </c>
      <c r="S398" s="188">
        <f t="shared" si="580"/>
        <v>145.09666666666666</v>
      </c>
      <c r="T398" s="188">
        <f t="shared" si="576"/>
        <v>196.59666666666666</v>
      </c>
      <c r="U398" s="188">
        <f t="shared" si="522"/>
        <v>325712.93999999989</v>
      </c>
      <c r="V398" s="188">
        <f t="shared" si="523"/>
        <v>575881.85999999975</v>
      </c>
      <c r="W398" s="188">
        <f t="shared" si="577"/>
        <v>0</v>
      </c>
      <c r="X398" s="395">
        <f t="shared" si="515"/>
        <v>57330</v>
      </c>
      <c r="Y398" s="188">
        <f t="shared" si="587"/>
        <v>0</v>
      </c>
      <c r="Z398" s="388">
        <f t="shared" si="508"/>
        <v>8.4999999999999992E-2</v>
      </c>
      <c r="AA398" s="188">
        <f t="shared" si="509"/>
        <v>0</v>
      </c>
      <c r="AB398" s="188">
        <f t="shared" si="588"/>
        <v>0</v>
      </c>
      <c r="AC398" s="188">
        <f t="shared" si="510"/>
        <v>0</v>
      </c>
      <c r="AD398" s="188">
        <f t="shared" ref="AD398:AE398" si="608">+AD397</f>
        <v>51.5</v>
      </c>
      <c r="AE398" s="188">
        <f t="shared" si="608"/>
        <v>145.09666666666666</v>
      </c>
      <c r="AF398" s="188">
        <f t="shared" si="590"/>
        <v>196.59666666666666</v>
      </c>
      <c r="AG398" s="188">
        <f t="shared" si="591"/>
        <v>325712.93999999989</v>
      </c>
      <c r="AH398" s="188">
        <f t="shared" si="592"/>
        <v>575881.85999999975</v>
      </c>
      <c r="AI398" s="404">
        <f t="shared" si="582"/>
        <v>0</v>
      </c>
      <c r="AJ398" s="404">
        <f t="shared" si="535"/>
        <v>0</v>
      </c>
      <c r="AK398" s="404">
        <f t="shared" si="583"/>
        <v>0</v>
      </c>
      <c r="AL398" s="188">
        <f t="shared" si="593"/>
        <v>0</v>
      </c>
      <c r="AM398" s="317">
        <f t="shared" si="517"/>
        <v>30</v>
      </c>
      <c r="AN398" s="14">
        <f t="shared" si="584"/>
        <v>0</v>
      </c>
      <c r="AO398" s="14">
        <f>IF(W398&lt;=0,0,+$AA$6-$C$2+I398-U398)</f>
        <v>0</v>
      </c>
      <c r="AP398" s="14">
        <f t="shared" si="585"/>
        <v>0</v>
      </c>
      <c r="AS398" s="14">
        <f t="shared" si="512"/>
        <v>0</v>
      </c>
      <c r="AT398" s="14">
        <f t="shared" si="518"/>
        <v>0</v>
      </c>
      <c r="AU398" s="188">
        <f>IF(W398&lt;=0,0,+($O$5+AV397)*$AQ$2/12)</f>
        <v>0</v>
      </c>
      <c r="AV398" s="188">
        <f t="shared" si="519"/>
        <v>0</v>
      </c>
    </row>
    <row r="399" spans="1:48" ht="15.75" thickBot="1">
      <c r="A399" s="398">
        <f t="shared" si="571"/>
        <v>57360</v>
      </c>
      <c r="B399" s="237">
        <f t="shared" si="565"/>
        <v>37799.909999999931</v>
      </c>
      <c r="C399" s="21">
        <f t="shared" si="506"/>
        <v>559.88</v>
      </c>
      <c r="D399" s="21">
        <f t="shared" si="520"/>
        <v>418.13</v>
      </c>
      <c r="E399" s="21">
        <f t="shared" si="507"/>
        <v>141.75</v>
      </c>
      <c r="F399" s="21">
        <f t="shared" si="572"/>
        <v>51.5</v>
      </c>
      <c r="G399" s="21">
        <f t="shared" si="568"/>
        <v>145.09666666666666</v>
      </c>
      <c r="H399" s="21">
        <f t="shared" si="569"/>
        <v>756.47666666666669</v>
      </c>
      <c r="I399" s="237">
        <f t="shared" si="573"/>
        <v>85791.390000000029</v>
      </c>
      <c r="J399" s="237">
        <f t="shared" si="574"/>
        <v>129662.70000000006</v>
      </c>
      <c r="K399" s="237">
        <f t="shared" si="575"/>
        <v>37381.779999999933</v>
      </c>
      <c r="L399" s="318">
        <f t="shared" si="555"/>
        <v>30</v>
      </c>
      <c r="M399" s="318">
        <f>IF(N399&lt;&gt;"",IF(N399=$O$5,0,+M398+1),0)</f>
        <v>371</v>
      </c>
      <c r="N399" s="237">
        <f t="shared" si="514"/>
        <v>0</v>
      </c>
      <c r="O399" s="237">
        <f>IF($O$11&lt;=A399,IF(+$W398&lt;=0,0,$O$8),0)</f>
        <v>0</v>
      </c>
      <c r="P399" s="237">
        <f t="shared" si="521"/>
        <v>0</v>
      </c>
      <c r="Q399" s="237">
        <f>IF($O$11&lt;=A399,ROUND(N399*($O$7/12),2),0)</f>
        <v>0</v>
      </c>
      <c r="R399" s="237">
        <f t="shared" si="579"/>
        <v>51.5</v>
      </c>
      <c r="S399" s="237">
        <f t="shared" si="580"/>
        <v>145.09666666666666</v>
      </c>
      <c r="T399" s="237">
        <f t="shared" si="576"/>
        <v>196.59666666666666</v>
      </c>
      <c r="U399" s="237">
        <f t="shared" si="522"/>
        <v>325712.93999999989</v>
      </c>
      <c r="V399" s="237">
        <f t="shared" si="523"/>
        <v>575881.85999999975</v>
      </c>
      <c r="W399" s="237">
        <f t="shared" si="577"/>
        <v>0</v>
      </c>
      <c r="X399" s="398">
        <f t="shared" si="515"/>
        <v>57360</v>
      </c>
      <c r="Y399" s="237">
        <f t="shared" si="587"/>
        <v>0</v>
      </c>
      <c r="Z399" s="389">
        <f t="shared" si="508"/>
        <v>8.4999999999999992E-2</v>
      </c>
      <c r="AA399" s="237">
        <f t="shared" si="509"/>
        <v>0</v>
      </c>
      <c r="AB399" s="237">
        <f t="shared" si="588"/>
        <v>0</v>
      </c>
      <c r="AC399" s="237">
        <f t="shared" si="510"/>
        <v>0</v>
      </c>
      <c r="AD399" s="237">
        <f t="shared" ref="AD399:AE399" si="609">+AD398</f>
        <v>51.5</v>
      </c>
      <c r="AE399" s="237">
        <f t="shared" si="609"/>
        <v>145.09666666666666</v>
      </c>
      <c r="AF399" s="237">
        <f t="shared" si="590"/>
        <v>196.59666666666666</v>
      </c>
      <c r="AG399" s="237">
        <f t="shared" si="591"/>
        <v>325712.93999999989</v>
      </c>
      <c r="AH399" s="237">
        <f t="shared" si="592"/>
        <v>575881.85999999975</v>
      </c>
      <c r="AI399" s="405">
        <f t="shared" si="582"/>
        <v>0</v>
      </c>
      <c r="AJ399" s="405">
        <f t="shared" si="535"/>
        <v>0</v>
      </c>
      <c r="AK399" s="404">
        <f t="shared" si="583"/>
        <v>0</v>
      </c>
      <c r="AL399" s="237">
        <f t="shared" si="593"/>
        <v>0</v>
      </c>
      <c r="AM399" s="318">
        <f t="shared" si="517"/>
        <v>30</v>
      </c>
      <c r="AN399" s="21">
        <f t="shared" si="584"/>
        <v>0</v>
      </c>
      <c r="AO399" s="21">
        <f>IF(W399&lt;=0,0,+$AA$6-$C$2+I399-U399)</f>
        <v>0</v>
      </c>
      <c r="AP399" s="21">
        <f t="shared" si="585"/>
        <v>0</v>
      </c>
      <c r="AQ399" s="21"/>
      <c r="AR399" s="23"/>
      <c r="AS399" s="21">
        <f t="shared" si="512"/>
        <v>0</v>
      </c>
      <c r="AT399" s="21">
        <f t="shared" si="518"/>
        <v>0</v>
      </c>
      <c r="AU399" s="237">
        <f>IF(W399&lt;=0,0,+($O$5+AV398)*$AQ$2/12)</f>
        <v>0</v>
      </c>
      <c r="AV399" s="237">
        <f t="shared" si="519"/>
        <v>0</v>
      </c>
    </row>
    <row r="400" spans="1:48">
      <c r="A400" s="395">
        <f t="shared" si="571"/>
        <v>57390</v>
      </c>
      <c r="B400" s="188">
        <f t="shared" si="565"/>
        <v>37381.779999999933</v>
      </c>
      <c r="C400" s="14">
        <f t="shared" ref="C400:C463" si="610">IF(+$K399&lt;=0,0,$C$6)</f>
        <v>559.88</v>
      </c>
      <c r="D400" s="14">
        <f t="shared" si="520"/>
        <v>419.7</v>
      </c>
      <c r="E400" s="14">
        <f t="shared" ref="E400:E463" si="611">ROUND($B400*($C$4/12), 2)</f>
        <v>140.18</v>
      </c>
      <c r="F400" s="14">
        <f t="shared" si="572"/>
        <v>51.5</v>
      </c>
      <c r="G400" s="14">
        <f t="shared" si="568"/>
        <v>145.09666666666666</v>
      </c>
      <c r="H400" s="14">
        <f t="shared" si="569"/>
        <v>756.47666666666669</v>
      </c>
      <c r="I400" s="188">
        <f t="shared" si="573"/>
        <v>86211.090000000026</v>
      </c>
      <c r="J400" s="188">
        <f t="shared" si="574"/>
        <v>129802.88000000005</v>
      </c>
      <c r="K400" s="188">
        <f t="shared" si="575"/>
        <v>36962.079999999936</v>
      </c>
      <c r="L400" s="317">
        <f t="shared" si="555"/>
        <v>31</v>
      </c>
      <c r="M400" s="317">
        <f>IF(N400&lt;&gt;"",IF(N400=$O$5,0,+M399+1),0)</f>
        <v>372</v>
      </c>
      <c r="N400" s="188">
        <f t="shared" si="514"/>
        <v>0</v>
      </c>
      <c r="O400" s="188">
        <f>IF($O$11&lt;=A400,IF(+$W399&lt;=0,0,$O$8),0)</f>
        <v>0</v>
      </c>
      <c r="P400" s="188">
        <f t="shared" si="521"/>
        <v>0</v>
      </c>
      <c r="Q400" s="188">
        <f>IF($O$11&lt;=A400,ROUND(N400*($O$7/12),2),0)</f>
        <v>0</v>
      </c>
      <c r="R400" s="188">
        <f t="shared" si="579"/>
        <v>51.5</v>
      </c>
      <c r="S400" s="188">
        <f t="shared" si="580"/>
        <v>145.09666666666666</v>
      </c>
      <c r="T400" s="188">
        <f t="shared" si="576"/>
        <v>196.59666666666666</v>
      </c>
      <c r="U400" s="188">
        <f t="shared" si="522"/>
        <v>325712.93999999989</v>
      </c>
      <c r="V400" s="188">
        <f t="shared" si="523"/>
        <v>575881.85999999975</v>
      </c>
      <c r="W400" s="188">
        <f t="shared" si="577"/>
        <v>0</v>
      </c>
      <c r="X400" s="395">
        <f t="shared" si="515"/>
        <v>57390</v>
      </c>
      <c r="Y400" s="188">
        <f t="shared" si="587"/>
        <v>0</v>
      </c>
      <c r="Z400" s="388">
        <f t="shared" ref="Z400:Z463" si="612">IF(L400&gt;4,$AA$10,$AA$9)</f>
        <v>8.4999999999999992E-2</v>
      </c>
      <c r="AA400" s="188">
        <f t="shared" ref="AA400:AA463" si="613">IF($O$11&lt;=$A400,IF(+AL399&lt;=0,0,IF(Z400=$AA$9,$Z$9,$Z$10)),0)</f>
        <v>0</v>
      </c>
      <c r="AB400" s="188">
        <f t="shared" si="588"/>
        <v>0</v>
      </c>
      <c r="AC400" s="188">
        <f t="shared" ref="AC400:AC463" si="614">IF($O$11&lt;=$A400,ROUND(Y400*(Z400/12),2),0)</f>
        <v>0</v>
      </c>
      <c r="AD400" s="188">
        <f t="shared" ref="AD400:AE400" si="615">+AD399</f>
        <v>51.5</v>
      </c>
      <c r="AE400" s="188">
        <f t="shared" si="615"/>
        <v>145.09666666666666</v>
      </c>
      <c r="AF400" s="188">
        <f t="shared" si="590"/>
        <v>196.59666666666666</v>
      </c>
      <c r="AG400" s="188">
        <f t="shared" si="591"/>
        <v>325712.93999999989</v>
      </c>
      <c r="AH400" s="188">
        <f t="shared" si="592"/>
        <v>575881.85999999975</v>
      </c>
      <c r="AI400" s="404">
        <f t="shared" si="582"/>
        <v>0</v>
      </c>
      <c r="AJ400" s="404">
        <f t="shared" si="535"/>
        <v>0</v>
      </c>
      <c r="AK400" s="404">
        <f t="shared" si="583"/>
        <v>0</v>
      </c>
      <c r="AL400" s="188">
        <f t="shared" si="593"/>
        <v>0</v>
      </c>
      <c r="AM400" s="317">
        <f t="shared" si="517"/>
        <v>31</v>
      </c>
      <c r="AN400" s="14">
        <f t="shared" si="584"/>
        <v>0</v>
      </c>
      <c r="AO400" s="14">
        <f>IF(W400&lt;=0,0,+$AA$6-$C$2+I400-U400)</f>
        <v>0</v>
      </c>
      <c r="AP400" s="14">
        <f t="shared" si="585"/>
        <v>0</v>
      </c>
      <c r="AS400" s="14">
        <f t="shared" ref="AS400:AS463" si="616">+AN400-AR400</f>
        <v>0</v>
      </c>
      <c r="AT400" s="14">
        <f t="shared" si="518"/>
        <v>0</v>
      </c>
      <c r="AU400" s="188">
        <f>IF(W400&lt;=0,0,+($O$5+AV399)*$AQ$2/12)</f>
        <v>0</v>
      </c>
      <c r="AV400" s="188">
        <f t="shared" si="519"/>
        <v>0</v>
      </c>
    </row>
    <row r="401" spans="1:48">
      <c r="A401" s="395">
        <f t="shared" si="571"/>
        <v>57420</v>
      </c>
      <c r="B401" s="188">
        <f t="shared" si="565"/>
        <v>36962.079999999936</v>
      </c>
      <c r="C401" s="14">
        <f t="shared" si="610"/>
        <v>559.88</v>
      </c>
      <c r="D401" s="14">
        <f t="shared" si="520"/>
        <v>421.27</v>
      </c>
      <c r="E401" s="14">
        <f t="shared" si="611"/>
        <v>138.61000000000001</v>
      </c>
      <c r="F401" s="14">
        <f t="shared" si="572"/>
        <v>51.5</v>
      </c>
      <c r="G401" s="14">
        <f t="shared" si="568"/>
        <v>145.09666666666666</v>
      </c>
      <c r="H401" s="14">
        <f t="shared" si="569"/>
        <v>756.47666666666669</v>
      </c>
      <c r="I401" s="188">
        <f t="shared" si="573"/>
        <v>86632.36000000003</v>
      </c>
      <c r="J401" s="188">
        <f t="shared" si="574"/>
        <v>129941.49000000005</v>
      </c>
      <c r="K401" s="188">
        <f t="shared" si="575"/>
        <v>36540.809999999939</v>
      </c>
      <c r="L401" s="317">
        <f t="shared" si="555"/>
        <v>31</v>
      </c>
      <c r="M401" s="317">
        <f>IF(N401&lt;&gt;"",IF(N401=$O$5,0,+M400+1),0)</f>
        <v>373</v>
      </c>
      <c r="N401" s="188">
        <f t="shared" ref="N401:N418" si="617">IF(+W400&lt;0,0,+W400)</f>
        <v>0</v>
      </c>
      <c r="O401" s="188">
        <f>IF($O$11&lt;=A401,IF(+$W400&lt;=0,0,$O$8),0)</f>
        <v>0</v>
      </c>
      <c r="P401" s="188">
        <f t="shared" si="521"/>
        <v>0</v>
      </c>
      <c r="Q401" s="188">
        <f>IF($O$11&lt;=A401,ROUND(N401*($O$7/12),2),0)</f>
        <v>0</v>
      </c>
      <c r="R401" s="188">
        <f t="shared" si="579"/>
        <v>51.5</v>
      </c>
      <c r="S401" s="188">
        <f t="shared" si="580"/>
        <v>145.09666666666666</v>
      </c>
      <c r="T401" s="188">
        <f t="shared" si="576"/>
        <v>196.59666666666666</v>
      </c>
      <c r="U401" s="188">
        <f t="shared" si="522"/>
        <v>325712.93999999989</v>
      </c>
      <c r="V401" s="188">
        <f t="shared" si="523"/>
        <v>575881.85999999975</v>
      </c>
      <c r="W401" s="188">
        <f t="shared" si="577"/>
        <v>0</v>
      </c>
      <c r="X401" s="395">
        <f t="shared" ref="X401:X464" si="618">+A401</f>
        <v>57420</v>
      </c>
      <c r="Y401" s="188">
        <f t="shared" si="587"/>
        <v>0</v>
      </c>
      <c r="Z401" s="388">
        <f t="shared" si="612"/>
        <v>8.4999999999999992E-2</v>
      </c>
      <c r="AA401" s="188">
        <f t="shared" si="613"/>
        <v>0</v>
      </c>
      <c r="AB401" s="188">
        <f t="shared" si="588"/>
        <v>0</v>
      </c>
      <c r="AC401" s="188">
        <f t="shared" si="614"/>
        <v>0</v>
      </c>
      <c r="AD401" s="188">
        <f t="shared" ref="AD401:AE401" si="619">+AD400</f>
        <v>51.5</v>
      </c>
      <c r="AE401" s="188">
        <f t="shared" si="619"/>
        <v>145.09666666666666</v>
      </c>
      <c r="AF401" s="188">
        <f t="shared" si="590"/>
        <v>196.59666666666666</v>
      </c>
      <c r="AG401" s="188">
        <f t="shared" si="591"/>
        <v>325712.93999999989</v>
      </c>
      <c r="AH401" s="188">
        <f t="shared" si="592"/>
        <v>575881.85999999975</v>
      </c>
      <c r="AI401" s="404">
        <f t="shared" si="582"/>
        <v>0</v>
      </c>
      <c r="AJ401" s="404">
        <f t="shared" si="535"/>
        <v>0</v>
      </c>
      <c r="AK401" s="404">
        <f t="shared" si="583"/>
        <v>0</v>
      </c>
      <c r="AL401" s="188">
        <f t="shared" si="593"/>
        <v>0</v>
      </c>
      <c r="AM401" s="317">
        <f t="shared" ref="AM401:AM464" si="620">+L401</f>
        <v>31</v>
      </c>
      <c r="AN401" s="14">
        <f t="shared" si="584"/>
        <v>0</v>
      </c>
      <c r="AO401" s="14">
        <f>IF(W401&lt;=0,0,+$AA$6-$C$2+I401-U401)</f>
        <v>0</v>
      </c>
      <c r="AP401" s="14">
        <f t="shared" si="585"/>
        <v>0</v>
      </c>
      <c r="AS401" s="14">
        <f t="shared" si="616"/>
        <v>0</v>
      </c>
      <c r="AT401" s="14">
        <f t="shared" ref="AT401:AT464" si="621">IF(W401&lt;=0,0,+AS401+AT400)</f>
        <v>0</v>
      </c>
      <c r="AU401" s="188">
        <f>IF(W401&lt;=0,0,+($O$5+AV400)*$AQ$2/12)</f>
        <v>0</v>
      </c>
      <c r="AV401" s="188">
        <f t="shared" ref="AV401:AV464" si="622">IF(W401&lt;=0,0,+AV400+AU401)</f>
        <v>0</v>
      </c>
    </row>
    <row r="402" spans="1:48">
      <c r="A402" s="395">
        <f t="shared" si="571"/>
        <v>57450</v>
      </c>
      <c r="B402" s="188">
        <f t="shared" si="565"/>
        <v>36540.809999999939</v>
      </c>
      <c r="C402" s="14">
        <f t="shared" si="610"/>
        <v>559.88</v>
      </c>
      <c r="D402" s="14">
        <f t="shared" ref="D402:D465" si="623">+C402-E402</f>
        <v>422.85</v>
      </c>
      <c r="E402" s="14">
        <f t="shared" si="611"/>
        <v>137.03</v>
      </c>
      <c r="F402" s="14">
        <f t="shared" si="572"/>
        <v>51.5</v>
      </c>
      <c r="G402" s="14">
        <f t="shared" si="568"/>
        <v>145.09666666666666</v>
      </c>
      <c r="H402" s="14">
        <f t="shared" si="569"/>
        <v>756.47666666666669</v>
      </c>
      <c r="I402" s="188">
        <f t="shared" si="573"/>
        <v>87055.210000000036</v>
      </c>
      <c r="J402" s="188">
        <f t="shared" si="574"/>
        <v>130078.52000000005</v>
      </c>
      <c r="K402" s="188">
        <f t="shared" si="575"/>
        <v>36117.959999999941</v>
      </c>
      <c r="L402" s="317">
        <f t="shared" si="555"/>
        <v>31</v>
      </c>
      <c r="M402" s="317">
        <f>IF(N402&lt;&gt;"",IF(N402=$O$5,0,+M401+1),0)</f>
        <v>374</v>
      </c>
      <c r="N402" s="188">
        <f t="shared" si="617"/>
        <v>0</v>
      </c>
      <c r="O402" s="188">
        <f>IF($O$11&lt;=A402,IF(+$W401&lt;=0,0,$O$8),0)</f>
        <v>0</v>
      </c>
      <c r="P402" s="188">
        <f t="shared" ref="P402:P465" si="624">+O402-Q402</f>
        <v>0</v>
      </c>
      <c r="Q402" s="188">
        <f>IF($O$11&lt;=A402,ROUND(N402*($O$7/12),2),0)</f>
        <v>0</v>
      </c>
      <c r="R402" s="188">
        <f t="shared" si="579"/>
        <v>51.5</v>
      </c>
      <c r="S402" s="188">
        <f t="shared" si="580"/>
        <v>145.09666666666666</v>
      </c>
      <c r="T402" s="188">
        <f t="shared" si="576"/>
        <v>196.59666666666666</v>
      </c>
      <c r="U402" s="188">
        <f t="shared" ref="U402:U465" si="625">+P402+U401</f>
        <v>325712.93999999989</v>
      </c>
      <c r="V402" s="188">
        <f t="shared" ref="V402:V465" si="626">+V401+Q402</f>
        <v>575881.85999999975</v>
      </c>
      <c r="W402" s="188">
        <f t="shared" si="577"/>
        <v>0</v>
      </c>
      <c r="X402" s="395">
        <f t="shared" si="618"/>
        <v>57450</v>
      </c>
      <c r="Y402" s="188">
        <f t="shared" si="587"/>
        <v>0</v>
      </c>
      <c r="Z402" s="388">
        <f t="shared" si="612"/>
        <v>8.4999999999999992E-2</v>
      </c>
      <c r="AA402" s="188">
        <f t="shared" si="613"/>
        <v>0</v>
      </c>
      <c r="AB402" s="188">
        <f t="shared" si="588"/>
        <v>0</v>
      </c>
      <c r="AC402" s="188">
        <f t="shared" si="614"/>
        <v>0</v>
      </c>
      <c r="AD402" s="188">
        <f t="shared" ref="AD402:AE402" si="627">+AD401</f>
        <v>51.5</v>
      </c>
      <c r="AE402" s="188">
        <f t="shared" si="627"/>
        <v>145.09666666666666</v>
      </c>
      <c r="AF402" s="188">
        <f t="shared" si="590"/>
        <v>196.59666666666666</v>
      </c>
      <c r="AG402" s="188">
        <f t="shared" si="591"/>
        <v>325712.93999999989</v>
      </c>
      <c r="AH402" s="188">
        <f t="shared" si="592"/>
        <v>575881.85999999975</v>
      </c>
      <c r="AI402" s="404">
        <f t="shared" si="582"/>
        <v>0</v>
      </c>
      <c r="AJ402" s="404">
        <f t="shared" si="535"/>
        <v>0</v>
      </c>
      <c r="AK402" s="404">
        <f t="shared" si="583"/>
        <v>0</v>
      </c>
      <c r="AL402" s="188">
        <f t="shared" si="593"/>
        <v>0</v>
      </c>
      <c r="AM402" s="317">
        <f t="shared" si="620"/>
        <v>31</v>
      </c>
      <c r="AN402" s="14">
        <f t="shared" si="584"/>
        <v>0</v>
      </c>
      <c r="AO402" s="14">
        <f>IF(W402&lt;=0,0,+$AA$6-$C$2+I402-U402)</f>
        <v>0</v>
      </c>
      <c r="AP402" s="14">
        <f t="shared" si="585"/>
        <v>0</v>
      </c>
      <c r="AS402" s="14">
        <f t="shared" si="616"/>
        <v>0</v>
      </c>
      <c r="AT402" s="14">
        <f t="shared" si="621"/>
        <v>0</v>
      </c>
      <c r="AU402" s="188">
        <f>IF(W402&lt;=0,0,+($O$5+AV401)*$AQ$2/12)</f>
        <v>0</v>
      </c>
      <c r="AV402" s="188">
        <f t="shared" si="622"/>
        <v>0</v>
      </c>
    </row>
    <row r="403" spans="1:48">
      <c r="A403" s="395">
        <f t="shared" si="571"/>
        <v>57480</v>
      </c>
      <c r="B403" s="188">
        <f t="shared" si="565"/>
        <v>36117.959999999941</v>
      </c>
      <c r="C403" s="14">
        <f t="shared" si="610"/>
        <v>559.88</v>
      </c>
      <c r="D403" s="14">
        <f t="shared" si="623"/>
        <v>424.44</v>
      </c>
      <c r="E403" s="14">
        <f t="shared" si="611"/>
        <v>135.44</v>
      </c>
      <c r="F403" s="14">
        <f t="shared" si="572"/>
        <v>51.5</v>
      </c>
      <c r="G403" s="14">
        <f t="shared" si="568"/>
        <v>145.09666666666666</v>
      </c>
      <c r="H403" s="14">
        <f t="shared" si="569"/>
        <v>756.47666666666669</v>
      </c>
      <c r="I403" s="188">
        <f t="shared" si="573"/>
        <v>87479.650000000038</v>
      </c>
      <c r="J403" s="188">
        <f t="shared" si="574"/>
        <v>130213.96000000005</v>
      </c>
      <c r="K403" s="188">
        <f t="shared" si="575"/>
        <v>35693.519999999939</v>
      </c>
      <c r="L403" s="317">
        <f t="shared" si="555"/>
        <v>31</v>
      </c>
      <c r="M403" s="317">
        <f>IF(N403&lt;&gt;"",IF(N403=$O$5,0,+M402+1),0)</f>
        <v>375</v>
      </c>
      <c r="N403" s="188">
        <f t="shared" si="617"/>
        <v>0</v>
      </c>
      <c r="O403" s="188">
        <f>IF($O$11&lt;=A403,IF(+$W402&lt;=0,0,$O$8),0)</f>
        <v>0</v>
      </c>
      <c r="P403" s="188">
        <f t="shared" si="624"/>
        <v>0</v>
      </c>
      <c r="Q403" s="188">
        <f>IF($O$11&lt;=A403,ROUND(N403*($O$7/12),2),0)</f>
        <v>0</v>
      </c>
      <c r="R403" s="188">
        <f t="shared" si="579"/>
        <v>51.5</v>
      </c>
      <c r="S403" s="188">
        <f t="shared" si="580"/>
        <v>145.09666666666666</v>
      </c>
      <c r="T403" s="188">
        <f t="shared" si="576"/>
        <v>196.59666666666666</v>
      </c>
      <c r="U403" s="188">
        <f t="shared" si="625"/>
        <v>325712.93999999989</v>
      </c>
      <c r="V403" s="188">
        <f t="shared" si="626"/>
        <v>575881.85999999975</v>
      </c>
      <c r="W403" s="188">
        <f t="shared" si="577"/>
        <v>0</v>
      </c>
      <c r="X403" s="395">
        <f t="shared" si="618"/>
        <v>57480</v>
      </c>
      <c r="Y403" s="188">
        <f t="shared" si="587"/>
        <v>0</v>
      </c>
      <c r="Z403" s="388">
        <f t="shared" si="612"/>
        <v>8.4999999999999992E-2</v>
      </c>
      <c r="AA403" s="188">
        <f t="shared" si="613"/>
        <v>0</v>
      </c>
      <c r="AB403" s="188">
        <f t="shared" si="588"/>
        <v>0</v>
      </c>
      <c r="AC403" s="188">
        <f t="shared" si="614"/>
        <v>0</v>
      </c>
      <c r="AD403" s="188">
        <f t="shared" ref="AD403:AE403" si="628">+AD402</f>
        <v>51.5</v>
      </c>
      <c r="AE403" s="188">
        <f t="shared" si="628"/>
        <v>145.09666666666666</v>
      </c>
      <c r="AF403" s="188">
        <f t="shared" si="590"/>
        <v>196.59666666666666</v>
      </c>
      <c r="AG403" s="188">
        <f t="shared" si="591"/>
        <v>325712.93999999989</v>
      </c>
      <c r="AH403" s="188">
        <f t="shared" si="592"/>
        <v>575881.85999999975</v>
      </c>
      <c r="AI403" s="404">
        <f t="shared" si="582"/>
        <v>0</v>
      </c>
      <c r="AJ403" s="404">
        <f t="shared" si="535"/>
        <v>0</v>
      </c>
      <c r="AK403" s="404">
        <f t="shared" si="583"/>
        <v>0</v>
      </c>
      <c r="AL403" s="188">
        <f t="shared" si="593"/>
        <v>0</v>
      </c>
      <c r="AM403" s="317">
        <f t="shared" si="620"/>
        <v>31</v>
      </c>
      <c r="AN403" s="14">
        <f t="shared" si="584"/>
        <v>0</v>
      </c>
      <c r="AO403" s="14">
        <f>IF(W403&lt;=0,0,+$AA$6-$C$2+I403-U403)</f>
        <v>0</v>
      </c>
      <c r="AP403" s="14">
        <f t="shared" si="585"/>
        <v>0</v>
      </c>
      <c r="AS403" s="14">
        <f t="shared" si="616"/>
        <v>0</v>
      </c>
      <c r="AT403" s="14">
        <f t="shared" si="621"/>
        <v>0</v>
      </c>
      <c r="AU403" s="188">
        <f>IF(W403&lt;=0,0,+($O$5+AV402)*$AQ$2/12)</f>
        <v>0</v>
      </c>
      <c r="AV403" s="188">
        <f t="shared" si="622"/>
        <v>0</v>
      </c>
    </row>
    <row r="404" spans="1:48">
      <c r="A404" s="395">
        <f t="shared" si="571"/>
        <v>57510</v>
      </c>
      <c r="B404" s="188">
        <f t="shared" si="565"/>
        <v>35693.519999999939</v>
      </c>
      <c r="C404" s="14">
        <f t="shared" si="610"/>
        <v>559.88</v>
      </c>
      <c r="D404" s="14">
        <f t="shared" si="623"/>
        <v>426.03</v>
      </c>
      <c r="E404" s="14">
        <f t="shared" si="611"/>
        <v>133.85</v>
      </c>
      <c r="F404" s="14">
        <f t="shared" si="572"/>
        <v>51.5</v>
      </c>
      <c r="G404" s="14">
        <f t="shared" si="568"/>
        <v>145.09666666666666</v>
      </c>
      <c r="H404" s="14">
        <f t="shared" si="569"/>
        <v>756.47666666666669</v>
      </c>
      <c r="I404" s="188">
        <f t="shared" si="573"/>
        <v>87905.680000000037</v>
      </c>
      <c r="J404" s="188">
        <f t="shared" si="574"/>
        <v>130347.81000000006</v>
      </c>
      <c r="K404" s="188">
        <f t="shared" si="575"/>
        <v>35267.48999999994</v>
      </c>
      <c r="L404" s="317">
        <f t="shared" si="555"/>
        <v>31</v>
      </c>
      <c r="M404" s="317">
        <f>IF(N404&lt;&gt;"",IF(N404=$O$5,0,+M403+1),0)</f>
        <v>376</v>
      </c>
      <c r="N404" s="188">
        <f t="shared" si="617"/>
        <v>0</v>
      </c>
      <c r="O404" s="188">
        <f>IF($O$11&lt;=A404,IF(+$W403&lt;=0,0,$O$8),0)</f>
        <v>0</v>
      </c>
      <c r="P404" s="188">
        <f t="shared" si="624"/>
        <v>0</v>
      </c>
      <c r="Q404" s="188">
        <f>IF($O$11&lt;=A404,ROUND(N404*($O$7/12),2),0)</f>
        <v>0</v>
      </c>
      <c r="R404" s="188">
        <f t="shared" si="579"/>
        <v>51.5</v>
      </c>
      <c r="S404" s="188">
        <f t="shared" si="580"/>
        <v>145.09666666666666</v>
      </c>
      <c r="T404" s="188">
        <f t="shared" si="576"/>
        <v>196.59666666666666</v>
      </c>
      <c r="U404" s="188">
        <f t="shared" si="625"/>
        <v>325712.93999999989</v>
      </c>
      <c r="V404" s="188">
        <f t="shared" si="626"/>
        <v>575881.85999999975</v>
      </c>
      <c r="W404" s="188">
        <f t="shared" si="577"/>
        <v>0</v>
      </c>
      <c r="X404" s="395">
        <f t="shared" si="618"/>
        <v>57510</v>
      </c>
      <c r="Y404" s="188">
        <f t="shared" si="587"/>
        <v>0</v>
      </c>
      <c r="Z404" s="388">
        <f t="shared" si="612"/>
        <v>8.4999999999999992E-2</v>
      </c>
      <c r="AA404" s="188">
        <f t="shared" si="613"/>
        <v>0</v>
      </c>
      <c r="AB404" s="188">
        <f t="shared" si="588"/>
        <v>0</v>
      </c>
      <c r="AC404" s="188">
        <f t="shared" si="614"/>
        <v>0</v>
      </c>
      <c r="AD404" s="188">
        <f t="shared" ref="AD404:AE404" si="629">+AD403</f>
        <v>51.5</v>
      </c>
      <c r="AE404" s="188">
        <f t="shared" si="629"/>
        <v>145.09666666666666</v>
      </c>
      <c r="AF404" s="188">
        <f t="shared" si="590"/>
        <v>196.59666666666666</v>
      </c>
      <c r="AG404" s="188">
        <f t="shared" si="591"/>
        <v>325712.93999999989</v>
      </c>
      <c r="AH404" s="188">
        <f t="shared" si="592"/>
        <v>575881.85999999975</v>
      </c>
      <c r="AI404" s="404">
        <f t="shared" si="582"/>
        <v>0</v>
      </c>
      <c r="AJ404" s="404">
        <f t="shared" si="535"/>
        <v>0</v>
      </c>
      <c r="AK404" s="404">
        <f t="shared" si="583"/>
        <v>0</v>
      </c>
      <c r="AL404" s="188">
        <f t="shared" si="593"/>
        <v>0</v>
      </c>
      <c r="AM404" s="317">
        <f t="shared" si="620"/>
        <v>31</v>
      </c>
      <c r="AN404" s="14">
        <f t="shared" si="584"/>
        <v>0</v>
      </c>
      <c r="AO404" s="14">
        <f>IF(W404&lt;=0,0,+$AA$6-$C$2+I404-U404)</f>
        <v>0</v>
      </c>
      <c r="AP404" s="14">
        <f t="shared" si="585"/>
        <v>0</v>
      </c>
      <c r="AS404" s="14">
        <f t="shared" si="616"/>
        <v>0</v>
      </c>
      <c r="AT404" s="14">
        <f t="shared" si="621"/>
        <v>0</v>
      </c>
      <c r="AU404" s="188">
        <f>IF(W404&lt;=0,0,+($O$5+AV403)*$AQ$2/12)</f>
        <v>0</v>
      </c>
      <c r="AV404" s="188">
        <f t="shared" si="622"/>
        <v>0</v>
      </c>
    </row>
    <row r="405" spans="1:48">
      <c r="A405" s="395">
        <f t="shared" si="571"/>
        <v>57540</v>
      </c>
      <c r="B405" s="188">
        <f t="shared" si="565"/>
        <v>35267.48999999994</v>
      </c>
      <c r="C405" s="14">
        <f t="shared" si="610"/>
        <v>559.88</v>
      </c>
      <c r="D405" s="14">
        <f t="shared" si="623"/>
        <v>427.63</v>
      </c>
      <c r="E405" s="14">
        <f t="shared" si="611"/>
        <v>132.25</v>
      </c>
      <c r="F405" s="14">
        <f t="shared" si="572"/>
        <v>51.5</v>
      </c>
      <c r="G405" s="14">
        <f t="shared" si="568"/>
        <v>145.09666666666666</v>
      </c>
      <c r="H405" s="14">
        <f t="shared" si="569"/>
        <v>756.47666666666669</v>
      </c>
      <c r="I405" s="188">
        <f t="shared" si="573"/>
        <v>88333.310000000041</v>
      </c>
      <c r="J405" s="188">
        <f t="shared" si="574"/>
        <v>130480.06000000006</v>
      </c>
      <c r="K405" s="188">
        <f t="shared" si="575"/>
        <v>34839.859999999942</v>
      </c>
      <c r="L405" s="317">
        <f t="shared" si="555"/>
        <v>31</v>
      </c>
      <c r="M405" s="317">
        <f>IF(N405&lt;&gt;"",IF(N405=$O$5,0,+M404+1),0)</f>
        <v>377</v>
      </c>
      <c r="N405" s="188">
        <f t="shared" si="617"/>
        <v>0</v>
      </c>
      <c r="O405" s="188">
        <f>IF($O$11&lt;=A405,IF(+$W404&lt;=0,0,$O$8),0)</f>
        <v>0</v>
      </c>
      <c r="P405" s="188">
        <f t="shared" si="624"/>
        <v>0</v>
      </c>
      <c r="Q405" s="188">
        <f>IF($O$11&lt;=A405,ROUND(N405*($O$7/12),2),0)</f>
        <v>0</v>
      </c>
      <c r="R405" s="188">
        <f t="shared" si="579"/>
        <v>51.5</v>
      </c>
      <c r="S405" s="188">
        <f t="shared" si="580"/>
        <v>145.09666666666666</v>
      </c>
      <c r="T405" s="188">
        <f t="shared" si="576"/>
        <v>196.59666666666666</v>
      </c>
      <c r="U405" s="188">
        <f t="shared" si="625"/>
        <v>325712.93999999989</v>
      </c>
      <c r="V405" s="188">
        <f t="shared" si="626"/>
        <v>575881.85999999975</v>
      </c>
      <c r="W405" s="188">
        <f t="shared" si="577"/>
        <v>0</v>
      </c>
      <c r="X405" s="395">
        <f t="shared" si="618"/>
        <v>57540</v>
      </c>
      <c r="Y405" s="188">
        <f t="shared" si="587"/>
        <v>0</v>
      </c>
      <c r="Z405" s="388">
        <f t="shared" si="612"/>
        <v>8.4999999999999992E-2</v>
      </c>
      <c r="AA405" s="188">
        <f t="shared" si="613"/>
        <v>0</v>
      </c>
      <c r="AB405" s="188">
        <f t="shared" si="588"/>
        <v>0</v>
      </c>
      <c r="AC405" s="188">
        <f t="shared" si="614"/>
        <v>0</v>
      </c>
      <c r="AD405" s="188">
        <f t="shared" ref="AD405:AE405" si="630">+AD404</f>
        <v>51.5</v>
      </c>
      <c r="AE405" s="188">
        <f t="shared" si="630"/>
        <v>145.09666666666666</v>
      </c>
      <c r="AF405" s="188">
        <f t="shared" si="590"/>
        <v>196.59666666666666</v>
      </c>
      <c r="AG405" s="188">
        <f t="shared" si="591"/>
        <v>325712.93999999989</v>
      </c>
      <c r="AH405" s="188">
        <f t="shared" si="592"/>
        <v>575881.85999999975</v>
      </c>
      <c r="AI405" s="404">
        <f t="shared" si="582"/>
        <v>0</v>
      </c>
      <c r="AJ405" s="404">
        <f t="shared" si="535"/>
        <v>0</v>
      </c>
      <c r="AK405" s="404">
        <f t="shared" si="583"/>
        <v>0</v>
      </c>
      <c r="AL405" s="188">
        <f t="shared" si="593"/>
        <v>0</v>
      </c>
      <c r="AM405" s="317">
        <f t="shared" si="620"/>
        <v>31</v>
      </c>
      <c r="AN405" s="14">
        <f t="shared" si="584"/>
        <v>0</v>
      </c>
      <c r="AO405" s="14">
        <f>IF(W405&lt;=0,0,+$AA$6-$C$2+I405-U405)</f>
        <v>0</v>
      </c>
      <c r="AP405" s="14">
        <f t="shared" si="585"/>
        <v>0</v>
      </c>
      <c r="AS405" s="14">
        <f t="shared" si="616"/>
        <v>0</v>
      </c>
      <c r="AT405" s="14">
        <f t="shared" si="621"/>
        <v>0</v>
      </c>
      <c r="AU405" s="188">
        <f>IF(W405&lt;=0,0,+($O$5+AV404)*$AQ$2/12)</f>
        <v>0</v>
      </c>
      <c r="AV405" s="188">
        <f t="shared" si="622"/>
        <v>0</v>
      </c>
    </row>
    <row r="406" spans="1:48">
      <c r="A406" s="395">
        <f t="shared" si="571"/>
        <v>57570</v>
      </c>
      <c r="B406" s="188">
        <f t="shared" si="565"/>
        <v>34839.859999999942</v>
      </c>
      <c r="C406" s="14">
        <f t="shared" si="610"/>
        <v>559.88</v>
      </c>
      <c r="D406" s="14">
        <f t="shared" si="623"/>
        <v>429.23</v>
      </c>
      <c r="E406" s="14">
        <f t="shared" si="611"/>
        <v>130.65</v>
      </c>
      <c r="F406" s="14">
        <f t="shared" si="572"/>
        <v>51.5</v>
      </c>
      <c r="G406" s="14">
        <f t="shared" si="568"/>
        <v>145.09666666666666</v>
      </c>
      <c r="H406" s="14">
        <f t="shared" si="569"/>
        <v>756.47666666666669</v>
      </c>
      <c r="I406" s="188">
        <f t="shared" si="573"/>
        <v>88762.540000000037</v>
      </c>
      <c r="J406" s="188">
        <f t="shared" si="574"/>
        <v>130610.71000000005</v>
      </c>
      <c r="K406" s="188">
        <f t="shared" si="575"/>
        <v>34410.629999999939</v>
      </c>
      <c r="L406" s="317">
        <f t="shared" si="555"/>
        <v>31</v>
      </c>
      <c r="M406" s="317">
        <f>IF(N406&lt;&gt;"",IF(N406=$O$5,0,+M405+1),0)</f>
        <v>378</v>
      </c>
      <c r="N406" s="188">
        <f t="shared" si="617"/>
        <v>0</v>
      </c>
      <c r="O406" s="188">
        <f>IF($O$11&lt;=A406,IF(+$W405&lt;=0,0,$O$8),0)</f>
        <v>0</v>
      </c>
      <c r="P406" s="188">
        <f t="shared" si="624"/>
        <v>0</v>
      </c>
      <c r="Q406" s="188">
        <f>IF($O$11&lt;=A406,ROUND(N406*($O$7/12),2),0)</f>
        <v>0</v>
      </c>
      <c r="R406" s="188">
        <f t="shared" si="579"/>
        <v>51.5</v>
      </c>
      <c r="S406" s="188">
        <f t="shared" si="580"/>
        <v>145.09666666666666</v>
      </c>
      <c r="T406" s="188">
        <f t="shared" si="576"/>
        <v>196.59666666666666</v>
      </c>
      <c r="U406" s="188">
        <f t="shared" si="625"/>
        <v>325712.93999999989</v>
      </c>
      <c r="V406" s="188">
        <f t="shared" si="626"/>
        <v>575881.85999999975</v>
      </c>
      <c r="W406" s="188">
        <f t="shared" si="577"/>
        <v>0</v>
      </c>
      <c r="X406" s="395">
        <f t="shared" si="618"/>
        <v>57570</v>
      </c>
      <c r="Y406" s="188">
        <f t="shared" si="587"/>
        <v>0</v>
      </c>
      <c r="Z406" s="388">
        <f t="shared" si="612"/>
        <v>8.4999999999999992E-2</v>
      </c>
      <c r="AA406" s="188">
        <f t="shared" si="613"/>
        <v>0</v>
      </c>
      <c r="AB406" s="188">
        <f t="shared" si="588"/>
        <v>0</v>
      </c>
      <c r="AC406" s="188">
        <f t="shared" si="614"/>
        <v>0</v>
      </c>
      <c r="AD406" s="188">
        <f t="shared" ref="AD406:AE406" si="631">+AD405</f>
        <v>51.5</v>
      </c>
      <c r="AE406" s="188">
        <f t="shared" si="631"/>
        <v>145.09666666666666</v>
      </c>
      <c r="AF406" s="188">
        <f t="shared" si="590"/>
        <v>196.59666666666666</v>
      </c>
      <c r="AG406" s="188">
        <f t="shared" si="591"/>
        <v>325712.93999999989</v>
      </c>
      <c r="AH406" s="188">
        <f t="shared" si="592"/>
        <v>575881.85999999975</v>
      </c>
      <c r="AI406" s="404">
        <f t="shared" si="582"/>
        <v>0</v>
      </c>
      <c r="AJ406" s="404">
        <f t="shared" si="535"/>
        <v>0</v>
      </c>
      <c r="AK406" s="404">
        <f t="shared" si="583"/>
        <v>0</v>
      </c>
      <c r="AL406" s="188">
        <f t="shared" si="593"/>
        <v>0</v>
      </c>
      <c r="AM406" s="317">
        <f t="shared" si="620"/>
        <v>31</v>
      </c>
      <c r="AN406" s="14">
        <f t="shared" si="584"/>
        <v>0</v>
      </c>
      <c r="AO406" s="14">
        <f>IF(W406&lt;=0,0,+$AA$6-$C$2+I406-U406)</f>
        <v>0</v>
      </c>
      <c r="AP406" s="14">
        <f t="shared" si="585"/>
        <v>0</v>
      </c>
      <c r="AS406" s="14">
        <f t="shared" si="616"/>
        <v>0</v>
      </c>
      <c r="AT406" s="14">
        <f t="shared" si="621"/>
        <v>0</v>
      </c>
      <c r="AU406" s="188">
        <f>IF(W406&lt;=0,0,+($O$5+AV405)*$AQ$2/12)</f>
        <v>0</v>
      </c>
      <c r="AV406" s="188">
        <f t="shared" si="622"/>
        <v>0</v>
      </c>
    </row>
    <row r="407" spans="1:48">
      <c r="A407" s="395">
        <f t="shared" si="571"/>
        <v>57600</v>
      </c>
      <c r="B407" s="188">
        <f t="shared" si="565"/>
        <v>34410.629999999939</v>
      </c>
      <c r="C407" s="14">
        <f t="shared" si="610"/>
        <v>559.88</v>
      </c>
      <c r="D407" s="14">
        <f t="shared" si="623"/>
        <v>430.84000000000003</v>
      </c>
      <c r="E407" s="14">
        <f t="shared" si="611"/>
        <v>129.04</v>
      </c>
      <c r="F407" s="14">
        <f t="shared" si="572"/>
        <v>51.5</v>
      </c>
      <c r="G407" s="14">
        <f t="shared" si="568"/>
        <v>145.09666666666666</v>
      </c>
      <c r="H407" s="14">
        <f t="shared" si="569"/>
        <v>756.47666666666669</v>
      </c>
      <c r="I407" s="188">
        <f t="shared" si="573"/>
        <v>89193.380000000034</v>
      </c>
      <c r="J407" s="188">
        <f t="shared" si="574"/>
        <v>130739.75000000004</v>
      </c>
      <c r="K407" s="188">
        <f t="shared" si="575"/>
        <v>33979.789999999943</v>
      </c>
      <c r="L407" s="317">
        <f t="shared" si="555"/>
        <v>31</v>
      </c>
      <c r="M407" s="317">
        <f>IF(N407&lt;&gt;"",IF(N407=$O$5,0,+M406+1),0)</f>
        <v>379</v>
      </c>
      <c r="N407" s="188">
        <f t="shared" si="617"/>
        <v>0</v>
      </c>
      <c r="O407" s="188">
        <f>IF($O$11&lt;=A407,IF(+$W406&lt;=0,0,$O$8),0)</f>
        <v>0</v>
      </c>
      <c r="P407" s="188">
        <f t="shared" si="624"/>
        <v>0</v>
      </c>
      <c r="Q407" s="188">
        <f>IF($O$11&lt;=A407,ROUND(N407*($O$7/12),2),0)</f>
        <v>0</v>
      </c>
      <c r="R407" s="188">
        <f t="shared" si="579"/>
        <v>51.5</v>
      </c>
      <c r="S407" s="188">
        <f t="shared" si="580"/>
        <v>145.09666666666666</v>
      </c>
      <c r="T407" s="188">
        <f t="shared" si="576"/>
        <v>196.59666666666666</v>
      </c>
      <c r="U407" s="188">
        <f t="shared" si="625"/>
        <v>325712.93999999989</v>
      </c>
      <c r="V407" s="188">
        <f t="shared" si="626"/>
        <v>575881.85999999975</v>
      </c>
      <c r="W407" s="188">
        <f t="shared" si="577"/>
        <v>0</v>
      </c>
      <c r="X407" s="395">
        <f t="shared" si="618"/>
        <v>57600</v>
      </c>
      <c r="Y407" s="188">
        <f t="shared" si="587"/>
        <v>0</v>
      </c>
      <c r="Z407" s="388">
        <f t="shared" si="612"/>
        <v>8.4999999999999992E-2</v>
      </c>
      <c r="AA407" s="188">
        <f t="shared" si="613"/>
        <v>0</v>
      </c>
      <c r="AB407" s="188">
        <f t="shared" si="588"/>
        <v>0</v>
      </c>
      <c r="AC407" s="188">
        <f t="shared" si="614"/>
        <v>0</v>
      </c>
      <c r="AD407" s="188">
        <f t="shared" ref="AD407:AE407" si="632">+AD406</f>
        <v>51.5</v>
      </c>
      <c r="AE407" s="188">
        <f t="shared" si="632"/>
        <v>145.09666666666666</v>
      </c>
      <c r="AF407" s="188">
        <f t="shared" si="590"/>
        <v>196.59666666666666</v>
      </c>
      <c r="AG407" s="188">
        <f t="shared" si="591"/>
        <v>325712.93999999989</v>
      </c>
      <c r="AH407" s="188">
        <f t="shared" si="592"/>
        <v>575881.85999999975</v>
      </c>
      <c r="AI407" s="404">
        <f t="shared" si="582"/>
        <v>0</v>
      </c>
      <c r="AJ407" s="404">
        <f t="shared" si="535"/>
        <v>0</v>
      </c>
      <c r="AK407" s="404">
        <f t="shared" si="583"/>
        <v>0</v>
      </c>
      <c r="AL407" s="188">
        <f t="shared" si="593"/>
        <v>0</v>
      </c>
      <c r="AM407" s="317">
        <f t="shared" si="620"/>
        <v>31</v>
      </c>
      <c r="AN407" s="14">
        <f t="shared" si="584"/>
        <v>0</v>
      </c>
      <c r="AO407" s="14">
        <f>IF(W407&lt;=0,0,+$AA$6-$C$2+I407-U407)</f>
        <v>0</v>
      </c>
      <c r="AP407" s="14">
        <f t="shared" si="585"/>
        <v>0</v>
      </c>
      <c r="AS407" s="14">
        <f t="shared" si="616"/>
        <v>0</v>
      </c>
      <c r="AT407" s="14">
        <f t="shared" si="621"/>
        <v>0</v>
      </c>
      <c r="AU407" s="188">
        <f>IF(W407&lt;=0,0,+($O$5+AV406)*$AQ$2/12)</f>
        <v>0</v>
      </c>
      <c r="AV407" s="188">
        <f t="shared" si="622"/>
        <v>0</v>
      </c>
    </row>
    <row r="408" spans="1:48">
      <c r="A408" s="395">
        <f t="shared" si="571"/>
        <v>57630</v>
      </c>
      <c r="B408" s="188">
        <f t="shared" si="565"/>
        <v>33979.789999999943</v>
      </c>
      <c r="C408" s="14">
        <f t="shared" si="610"/>
        <v>559.88</v>
      </c>
      <c r="D408" s="14">
        <f t="shared" si="623"/>
        <v>432.46</v>
      </c>
      <c r="E408" s="14">
        <f t="shared" si="611"/>
        <v>127.42</v>
      </c>
      <c r="F408" s="14">
        <f t="shared" si="572"/>
        <v>51.5</v>
      </c>
      <c r="G408" s="14">
        <f t="shared" si="568"/>
        <v>145.09666666666666</v>
      </c>
      <c r="H408" s="14">
        <f t="shared" si="569"/>
        <v>756.47666666666669</v>
      </c>
      <c r="I408" s="188">
        <f t="shared" si="573"/>
        <v>89625.84000000004</v>
      </c>
      <c r="J408" s="188">
        <f t="shared" si="574"/>
        <v>130867.17000000004</v>
      </c>
      <c r="K408" s="188">
        <f t="shared" si="575"/>
        <v>33547.329999999944</v>
      </c>
      <c r="L408" s="317">
        <f t="shared" si="555"/>
        <v>31</v>
      </c>
      <c r="M408" s="317">
        <f>IF(N408&lt;&gt;"",IF(N408=$O$5,0,+M407+1),0)</f>
        <v>380</v>
      </c>
      <c r="N408" s="188">
        <f t="shared" si="617"/>
        <v>0</v>
      </c>
      <c r="O408" s="188">
        <f>IF($O$11&lt;=A408,IF(+$W407&lt;=0,0,$O$8),0)</f>
        <v>0</v>
      </c>
      <c r="P408" s="188">
        <f t="shared" si="624"/>
        <v>0</v>
      </c>
      <c r="Q408" s="188">
        <f>IF($O$11&lt;=A408,ROUND(N408*($O$7/12),2),0)</f>
        <v>0</v>
      </c>
      <c r="R408" s="188">
        <f t="shared" si="579"/>
        <v>51.5</v>
      </c>
      <c r="S408" s="188">
        <f t="shared" si="580"/>
        <v>145.09666666666666</v>
      </c>
      <c r="T408" s="188">
        <f t="shared" si="576"/>
        <v>196.59666666666666</v>
      </c>
      <c r="U408" s="188">
        <f t="shared" si="625"/>
        <v>325712.93999999989</v>
      </c>
      <c r="V408" s="188">
        <f t="shared" si="626"/>
        <v>575881.85999999975</v>
      </c>
      <c r="W408" s="188">
        <f t="shared" si="577"/>
        <v>0</v>
      </c>
      <c r="X408" s="395">
        <f t="shared" si="618"/>
        <v>57630</v>
      </c>
      <c r="Y408" s="188">
        <f t="shared" si="587"/>
        <v>0</v>
      </c>
      <c r="Z408" s="388">
        <f t="shared" si="612"/>
        <v>8.4999999999999992E-2</v>
      </c>
      <c r="AA408" s="188">
        <f t="shared" si="613"/>
        <v>0</v>
      </c>
      <c r="AB408" s="188">
        <f t="shared" si="588"/>
        <v>0</v>
      </c>
      <c r="AC408" s="188">
        <f t="shared" si="614"/>
        <v>0</v>
      </c>
      <c r="AD408" s="188">
        <f t="shared" ref="AD408:AE408" si="633">+AD407</f>
        <v>51.5</v>
      </c>
      <c r="AE408" s="188">
        <f t="shared" si="633"/>
        <v>145.09666666666666</v>
      </c>
      <c r="AF408" s="188">
        <f t="shared" si="590"/>
        <v>196.59666666666666</v>
      </c>
      <c r="AG408" s="188">
        <f t="shared" si="591"/>
        <v>325712.93999999989</v>
      </c>
      <c r="AH408" s="188">
        <f t="shared" si="592"/>
        <v>575881.85999999975</v>
      </c>
      <c r="AI408" s="404">
        <f t="shared" si="582"/>
        <v>0</v>
      </c>
      <c r="AJ408" s="404">
        <f t="shared" si="535"/>
        <v>0</v>
      </c>
      <c r="AK408" s="404">
        <f t="shared" si="583"/>
        <v>0</v>
      </c>
      <c r="AL408" s="188">
        <f t="shared" si="593"/>
        <v>0</v>
      </c>
      <c r="AM408" s="317">
        <f t="shared" si="620"/>
        <v>31</v>
      </c>
      <c r="AN408" s="14">
        <f t="shared" si="584"/>
        <v>0</v>
      </c>
      <c r="AO408" s="14">
        <f>IF(W408&lt;=0,0,+$AA$6-$C$2+I408-U408)</f>
        <v>0</v>
      </c>
      <c r="AP408" s="14">
        <f t="shared" si="585"/>
        <v>0</v>
      </c>
      <c r="AS408" s="14">
        <f t="shared" si="616"/>
        <v>0</v>
      </c>
      <c r="AT408" s="14">
        <f t="shared" si="621"/>
        <v>0</v>
      </c>
      <c r="AU408" s="188">
        <f>IF(W408&lt;=0,0,+($O$5+AV407)*$AQ$2/12)</f>
        <v>0</v>
      </c>
      <c r="AV408" s="188">
        <f t="shared" si="622"/>
        <v>0</v>
      </c>
    </row>
    <row r="409" spans="1:48">
      <c r="A409" s="395">
        <f t="shared" si="571"/>
        <v>57660</v>
      </c>
      <c r="B409" s="188">
        <f t="shared" si="565"/>
        <v>33547.329999999944</v>
      </c>
      <c r="C409" s="14">
        <f t="shared" si="610"/>
        <v>559.88</v>
      </c>
      <c r="D409" s="14">
        <f t="shared" si="623"/>
        <v>434.08</v>
      </c>
      <c r="E409" s="14">
        <f t="shared" si="611"/>
        <v>125.8</v>
      </c>
      <c r="F409" s="14">
        <f t="shared" si="572"/>
        <v>51.5</v>
      </c>
      <c r="G409" s="14">
        <f t="shared" si="568"/>
        <v>145.09666666666666</v>
      </c>
      <c r="H409" s="14">
        <f t="shared" si="569"/>
        <v>756.47666666666669</v>
      </c>
      <c r="I409" s="188">
        <f t="shared" si="573"/>
        <v>90059.920000000042</v>
      </c>
      <c r="J409" s="188">
        <f t="shared" si="574"/>
        <v>130992.97000000004</v>
      </c>
      <c r="K409" s="188">
        <f t="shared" si="575"/>
        <v>33113.249999999942</v>
      </c>
      <c r="L409" s="317">
        <f t="shared" si="555"/>
        <v>31</v>
      </c>
      <c r="M409" s="317">
        <f>IF(N409&lt;&gt;"",IF(N409=$O$5,0,+M408+1),0)</f>
        <v>381</v>
      </c>
      <c r="N409" s="188">
        <f t="shared" si="617"/>
        <v>0</v>
      </c>
      <c r="O409" s="188">
        <f>IF($O$11&lt;=A409,IF(+$W408&lt;=0,0,$O$8),0)</f>
        <v>0</v>
      </c>
      <c r="P409" s="188">
        <f t="shared" si="624"/>
        <v>0</v>
      </c>
      <c r="Q409" s="188">
        <f>IF($O$11&lt;=A409,ROUND(N409*($O$7/12),2),0)</f>
        <v>0</v>
      </c>
      <c r="R409" s="188">
        <f t="shared" si="579"/>
        <v>51.5</v>
      </c>
      <c r="S409" s="188">
        <f t="shared" si="580"/>
        <v>145.09666666666666</v>
      </c>
      <c r="T409" s="188">
        <f t="shared" si="576"/>
        <v>196.59666666666666</v>
      </c>
      <c r="U409" s="188">
        <f t="shared" si="625"/>
        <v>325712.93999999989</v>
      </c>
      <c r="V409" s="188">
        <f t="shared" si="626"/>
        <v>575881.85999999975</v>
      </c>
      <c r="W409" s="188">
        <f t="shared" si="577"/>
        <v>0</v>
      </c>
      <c r="X409" s="395">
        <f t="shared" si="618"/>
        <v>57660</v>
      </c>
      <c r="Y409" s="188">
        <f t="shared" si="587"/>
        <v>0</v>
      </c>
      <c r="Z409" s="388">
        <f t="shared" si="612"/>
        <v>8.4999999999999992E-2</v>
      </c>
      <c r="AA409" s="188">
        <f t="shared" si="613"/>
        <v>0</v>
      </c>
      <c r="AB409" s="188">
        <f t="shared" si="588"/>
        <v>0</v>
      </c>
      <c r="AC409" s="188">
        <f t="shared" si="614"/>
        <v>0</v>
      </c>
      <c r="AD409" s="188">
        <f t="shared" ref="AD409:AE409" si="634">+AD408</f>
        <v>51.5</v>
      </c>
      <c r="AE409" s="188">
        <f t="shared" si="634"/>
        <v>145.09666666666666</v>
      </c>
      <c r="AF409" s="188">
        <f t="shared" si="590"/>
        <v>196.59666666666666</v>
      </c>
      <c r="AG409" s="188">
        <f t="shared" si="591"/>
        <v>325712.93999999989</v>
      </c>
      <c r="AH409" s="188">
        <f t="shared" si="592"/>
        <v>575881.85999999975</v>
      </c>
      <c r="AI409" s="404">
        <f t="shared" si="582"/>
        <v>0</v>
      </c>
      <c r="AJ409" s="404">
        <f t="shared" si="535"/>
        <v>0</v>
      </c>
      <c r="AK409" s="404">
        <f t="shared" si="583"/>
        <v>0</v>
      </c>
      <c r="AL409" s="188">
        <f t="shared" si="593"/>
        <v>0</v>
      </c>
      <c r="AM409" s="317">
        <f t="shared" si="620"/>
        <v>31</v>
      </c>
      <c r="AN409" s="14">
        <f t="shared" si="584"/>
        <v>0</v>
      </c>
      <c r="AO409" s="14">
        <f>IF(W409&lt;=0,0,+$AA$6-$C$2+I409-U409)</f>
        <v>0</v>
      </c>
      <c r="AP409" s="14">
        <f t="shared" si="585"/>
        <v>0</v>
      </c>
      <c r="AS409" s="14">
        <f t="shared" si="616"/>
        <v>0</v>
      </c>
      <c r="AT409" s="14">
        <f t="shared" si="621"/>
        <v>0</v>
      </c>
      <c r="AU409" s="188">
        <f>IF(W409&lt;=0,0,+($O$5+AV408)*$AQ$2/12)</f>
        <v>0</v>
      </c>
      <c r="AV409" s="188">
        <f t="shared" si="622"/>
        <v>0</v>
      </c>
    </row>
    <row r="410" spans="1:48">
      <c r="A410" s="395">
        <f t="shared" si="571"/>
        <v>57690</v>
      </c>
      <c r="B410" s="188">
        <f t="shared" si="565"/>
        <v>33113.249999999942</v>
      </c>
      <c r="C410" s="14">
        <f t="shared" si="610"/>
        <v>559.88</v>
      </c>
      <c r="D410" s="14">
        <f t="shared" si="623"/>
        <v>435.71</v>
      </c>
      <c r="E410" s="14">
        <f t="shared" si="611"/>
        <v>124.17</v>
      </c>
      <c r="F410" s="14">
        <f t="shared" si="572"/>
        <v>51.5</v>
      </c>
      <c r="G410" s="14">
        <f t="shared" si="568"/>
        <v>145.09666666666666</v>
      </c>
      <c r="H410" s="14">
        <f t="shared" si="569"/>
        <v>756.47666666666669</v>
      </c>
      <c r="I410" s="188">
        <f t="shared" si="573"/>
        <v>90495.630000000048</v>
      </c>
      <c r="J410" s="188">
        <f t="shared" si="574"/>
        <v>131117.14000000004</v>
      </c>
      <c r="K410" s="188">
        <f t="shared" si="575"/>
        <v>32677.539999999943</v>
      </c>
      <c r="L410" s="317">
        <f t="shared" si="555"/>
        <v>31</v>
      </c>
      <c r="M410" s="317">
        <f>IF(N410&lt;&gt;"",IF(N410=$O$5,0,+M409+1),0)</f>
        <v>382</v>
      </c>
      <c r="N410" s="188">
        <f t="shared" si="617"/>
        <v>0</v>
      </c>
      <c r="O410" s="188">
        <f>IF($O$11&lt;=A410,IF(+$W409&lt;=0,0,$O$8),0)</f>
        <v>0</v>
      </c>
      <c r="P410" s="188">
        <f t="shared" si="624"/>
        <v>0</v>
      </c>
      <c r="Q410" s="188">
        <f>IF($O$11&lt;=A410,ROUND(N410*($O$7/12),2),0)</f>
        <v>0</v>
      </c>
      <c r="R410" s="188">
        <f t="shared" si="579"/>
        <v>51.5</v>
      </c>
      <c r="S410" s="188">
        <f t="shared" si="580"/>
        <v>145.09666666666666</v>
      </c>
      <c r="T410" s="188">
        <f t="shared" si="576"/>
        <v>196.59666666666666</v>
      </c>
      <c r="U410" s="188">
        <f t="shared" si="625"/>
        <v>325712.93999999989</v>
      </c>
      <c r="V410" s="188">
        <f t="shared" si="626"/>
        <v>575881.85999999975</v>
      </c>
      <c r="W410" s="188">
        <f t="shared" si="577"/>
        <v>0</v>
      </c>
      <c r="X410" s="395">
        <f t="shared" si="618"/>
        <v>57690</v>
      </c>
      <c r="Y410" s="188">
        <f t="shared" si="587"/>
        <v>0</v>
      </c>
      <c r="Z410" s="388">
        <f t="shared" si="612"/>
        <v>8.4999999999999992E-2</v>
      </c>
      <c r="AA410" s="188">
        <f t="shared" si="613"/>
        <v>0</v>
      </c>
      <c r="AB410" s="188">
        <f t="shared" si="588"/>
        <v>0</v>
      </c>
      <c r="AC410" s="188">
        <f t="shared" si="614"/>
        <v>0</v>
      </c>
      <c r="AD410" s="188">
        <f t="shared" ref="AD410:AE410" si="635">+AD409</f>
        <v>51.5</v>
      </c>
      <c r="AE410" s="188">
        <f t="shared" si="635"/>
        <v>145.09666666666666</v>
      </c>
      <c r="AF410" s="188">
        <f t="shared" si="590"/>
        <v>196.59666666666666</v>
      </c>
      <c r="AG410" s="188">
        <f t="shared" si="591"/>
        <v>325712.93999999989</v>
      </c>
      <c r="AH410" s="188">
        <f t="shared" si="592"/>
        <v>575881.85999999975</v>
      </c>
      <c r="AI410" s="404">
        <f t="shared" si="582"/>
        <v>0</v>
      </c>
      <c r="AJ410" s="404">
        <f t="shared" si="535"/>
        <v>0</v>
      </c>
      <c r="AK410" s="404">
        <f t="shared" si="583"/>
        <v>0</v>
      </c>
      <c r="AL410" s="188">
        <f t="shared" si="593"/>
        <v>0</v>
      </c>
      <c r="AM410" s="317">
        <f t="shared" si="620"/>
        <v>31</v>
      </c>
      <c r="AN410" s="14">
        <f t="shared" si="584"/>
        <v>0</v>
      </c>
      <c r="AO410" s="14">
        <f>IF(W410&lt;=0,0,+$AA$6-$C$2+I410-U410)</f>
        <v>0</v>
      </c>
      <c r="AP410" s="14">
        <f t="shared" si="585"/>
        <v>0</v>
      </c>
      <c r="AS410" s="14">
        <f t="shared" si="616"/>
        <v>0</v>
      </c>
      <c r="AT410" s="14">
        <f t="shared" si="621"/>
        <v>0</v>
      </c>
      <c r="AU410" s="188">
        <f>IF(W410&lt;=0,0,+($O$5+AV409)*$AQ$2/12)</f>
        <v>0</v>
      </c>
      <c r="AV410" s="188">
        <f t="shared" si="622"/>
        <v>0</v>
      </c>
    </row>
    <row r="411" spans="1:48" ht="15.75" thickBot="1">
      <c r="A411" s="398">
        <f t="shared" si="571"/>
        <v>57720</v>
      </c>
      <c r="B411" s="237">
        <f t="shared" si="565"/>
        <v>32677.539999999943</v>
      </c>
      <c r="C411" s="21">
        <f t="shared" si="610"/>
        <v>559.88</v>
      </c>
      <c r="D411" s="21">
        <f t="shared" si="623"/>
        <v>437.34</v>
      </c>
      <c r="E411" s="21">
        <f t="shared" si="611"/>
        <v>122.54</v>
      </c>
      <c r="F411" s="21">
        <f t="shared" si="572"/>
        <v>51.5</v>
      </c>
      <c r="G411" s="21">
        <f t="shared" si="568"/>
        <v>145.09666666666666</v>
      </c>
      <c r="H411" s="21">
        <f t="shared" si="569"/>
        <v>756.47666666666669</v>
      </c>
      <c r="I411" s="237">
        <f t="shared" si="573"/>
        <v>90932.970000000045</v>
      </c>
      <c r="J411" s="237">
        <f t="shared" si="574"/>
        <v>131239.68000000005</v>
      </c>
      <c r="K411" s="237">
        <f t="shared" si="575"/>
        <v>32240.199999999943</v>
      </c>
      <c r="L411" s="318">
        <f t="shared" si="555"/>
        <v>31</v>
      </c>
      <c r="M411" s="318">
        <f>IF(N411&lt;&gt;"",IF(N411=$O$5,0,+M410+1),0)</f>
        <v>383</v>
      </c>
      <c r="N411" s="237">
        <f t="shared" si="617"/>
        <v>0</v>
      </c>
      <c r="O411" s="237">
        <f>IF($O$11&lt;=A411,IF(+$W410&lt;=0,0,$O$8),0)</f>
        <v>0</v>
      </c>
      <c r="P411" s="237">
        <f t="shared" si="624"/>
        <v>0</v>
      </c>
      <c r="Q411" s="237">
        <f>IF($O$11&lt;=A411,ROUND(N411*($O$7/12),2),0)</f>
        <v>0</v>
      </c>
      <c r="R411" s="237">
        <f t="shared" si="579"/>
        <v>51.5</v>
      </c>
      <c r="S411" s="237">
        <f t="shared" si="580"/>
        <v>145.09666666666666</v>
      </c>
      <c r="T411" s="237">
        <f t="shared" si="576"/>
        <v>196.59666666666666</v>
      </c>
      <c r="U411" s="237">
        <f t="shared" si="625"/>
        <v>325712.93999999989</v>
      </c>
      <c r="V411" s="237">
        <f t="shared" si="626"/>
        <v>575881.85999999975</v>
      </c>
      <c r="W411" s="237">
        <f t="shared" si="577"/>
        <v>0</v>
      </c>
      <c r="X411" s="398">
        <f t="shared" si="618"/>
        <v>57720</v>
      </c>
      <c r="Y411" s="237">
        <f t="shared" si="587"/>
        <v>0</v>
      </c>
      <c r="Z411" s="389">
        <f t="shared" si="612"/>
        <v>8.4999999999999992E-2</v>
      </c>
      <c r="AA411" s="237">
        <f t="shared" si="613"/>
        <v>0</v>
      </c>
      <c r="AB411" s="237">
        <f t="shared" si="588"/>
        <v>0</v>
      </c>
      <c r="AC411" s="237">
        <f t="shared" si="614"/>
        <v>0</v>
      </c>
      <c r="AD411" s="237">
        <f t="shared" ref="AD411:AE411" si="636">+AD410</f>
        <v>51.5</v>
      </c>
      <c r="AE411" s="237">
        <f t="shared" si="636"/>
        <v>145.09666666666666</v>
      </c>
      <c r="AF411" s="237">
        <f t="shared" si="590"/>
        <v>196.59666666666666</v>
      </c>
      <c r="AG411" s="237">
        <f t="shared" si="591"/>
        <v>325712.93999999989</v>
      </c>
      <c r="AH411" s="237">
        <f t="shared" si="592"/>
        <v>575881.85999999975</v>
      </c>
      <c r="AI411" s="405">
        <f t="shared" si="582"/>
        <v>0</v>
      </c>
      <c r="AJ411" s="405">
        <f t="shared" si="535"/>
        <v>0</v>
      </c>
      <c r="AK411" s="404">
        <f t="shared" si="583"/>
        <v>0</v>
      </c>
      <c r="AL411" s="237">
        <f t="shared" si="593"/>
        <v>0</v>
      </c>
      <c r="AM411" s="318">
        <f t="shared" si="620"/>
        <v>31</v>
      </c>
      <c r="AN411" s="21">
        <f t="shared" si="584"/>
        <v>0</v>
      </c>
      <c r="AO411" s="21">
        <f>IF(W411&lt;=0,0,+$AA$6-$C$2+I411-U411)</f>
        <v>0</v>
      </c>
      <c r="AP411" s="21">
        <f t="shared" si="585"/>
        <v>0</v>
      </c>
      <c r="AQ411" s="21"/>
      <c r="AR411" s="23"/>
      <c r="AS411" s="21">
        <f t="shared" si="616"/>
        <v>0</v>
      </c>
      <c r="AT411" s="21">
        <f t="shared" si="621"/>
        <v>0</v>
      </c>
      <c r="AU411" s="237">
        <f>IF(W411&lt;=0,0,+($O$5+AV410)*$AQ$2/12)</f>
        <v>0</v>
      </c>
      <c r="AV411" s="237">
        <f t="shared" si="622"/>
        <v>0</v>
      </c>
    </row>
    <row r="412" spans="1:48">
      <c r="A412" s="395">
        <f t="shared" si="571"/>
        <v>57750</v>
      </c>
      <c r="B412" s="188">
        <f t="shared" si="565"/>
        <v>32240.199999999943</v>
      </c>
      <c r="C412" s="14">
        <f t="shared" si="610"/>
        <v>559.88</v>
      </c>
      <c r="D412" s="14">
        <f t="shared" si="623"/>
        <v>438.98</v>
      </c>
      <c r="E412" s="14">
        <f t="shared" si="611"/>
        <v>120.9</v>
      </c>
      <c r="F412" s="14">
        <f t="shared" si="572"/>
        <v>51.5</v>
      </c>
      <c r="G412" s="14">
        <f t="shared" si="568"/>
        <v>145.09666666666666</v>
      </c>
      <c r="H412" s="14">
        <f t="shared" si="569"/>
        <v>756.47666666666669</v>
      </c>
      <c r="I412" s="188">
        <f t="shared" si="573"/>
        <v>91371.950000000041</v>
      </c>
      <c r="J412" s="188">
        <f t="shared" si="574"/>
        <v>131360.58000000005</v>
      </c>
      <c r="K412" s="188">
        <f t="shared" si="575"/>
        <v>31801.219999999943</v>
      </c>
      <c r="L412" s="317">
        <f t="shared" si="555"/>
        <v>32</v>
      </c>
      <c r="M412" s="317">
        <f>IF(N412&lt;&gt;"",IF(N412=$O$5,0,+M411+1),0)</f>
        <v>384</v>
      </c>
      <c r="N412" s="188">
        <f t="shared" si="617"/>
        <v>0</v>
      </c>
      <c r="O412" s="188">
        <f>IF($O$11&lt;=A412,IF(+$W411&lt;=0,0,$O$8),0)</f>
        <v>0</v>
      </c>
      <c r="P412" s="188">
        <f t="shared" si="624"/>
        <v>0</v>
      </c>
      <c r="Q412" s="188">
        <f>IF($O$11&lt;=A412,ROUND(N412*($O$7/12),2),0)</f>
        <v>0</v>
      </c>
      <c r="R412" s="188">
        <f t="shared" si="579"/>
        <v>51.5</v>
      </c>
      <c r="S412" s="188">
        <f t="shared" si="580"/>
        <v>145.09666666666666</v>
      </c>
      <c r="T412" s="188">
        <f t="shared" si="576"/>
        <v>196.59666666666666</v>
      </c>
      <c r="U412" s="188">
        <f t="shared" si="625"/>
        <v>325712.93999999989</v>
      </c>
      <c r="V412" s="188">
        <f t="shared" si="626"/>
        <v>575881.85999999975</v>
      </c>
      <c r="W412" s="188">
        <f t="shared" si="577"/>
        <v>0</v>
      </c>
      <c r="X412" s="395">
        <f t="shared" si="618"/>
        <v>57750</v>
      </c>
      <c r="Y412" s="188">
        <f t="shared" si="587"/>
        <v>0</v>
      </c>
      <c r="Z412" s="388">
        <f t="shared" si="612"/>
        <v>8.4999999999999992E-2</v>
      </c>
      <c r="AA412" s="188">
        <f t="shared" si="613"/>
        <v>0</v>
      </c>
      <c r="AB412" s="188">
        <f t="shared" si="588"/>
        <v>0</v>
      </c>
      <c r="AC412" s="188">
        <f t="shared" si="614"/>
        <v>0</v>
      </c>
      <c r="AD412" s="188">
        <f t="shared" ref="AD412:AE412" si="637">+AD411</f>
        <v>51.5</v>
      </c>
      <c r="AE412" s="188">
        <f t="shared" si="637"/>
        <v>145.09666666666666</v>
      </c>
      <c r="AF412" s="188">
        <f t="shared" si="590"/>
        <v>196.59666666666666</v>
      </c>
      <c r="AG412" s="188">
        <f t="shared" si="591"/>
        <v>325712.93999999989</v>
      </c>
      <c r="AH412" s="188">
        <f t="shared" si="592"/>
        <v>575881.85999999975</v>
      </c>
      <c r="AI412" s="404">
        <f t="shared" si="582"/>
        <v>0</v>
      </c>
      <c r="AJ412" s="404">
        <f t="shared" ref="AJ412:AJ475" si="638">+W412-AL412</f>
        <v>0</v>
      </c>
      <c r="AK412" s="404">
        <f t="shared" si="583"/>
        <v>0</v>
      </c>
      <c r="AL412" s="188">
        <f t="shared" si="593"/>
        <v>0</v>
      </c>
      <c r="AM412" s="317">
        <f t="shared" si="620"/>
        <v>32</v>
      </c>
      <c r="AN412" s="14">
        <f t="shared" si="584"/>
        <v>0</v>
      </c>
      <c r="AO412" s="14">
        <f>IF(W412&lt;=0,0,+$AA$6-$C$2+I412-U412)</f>
        <v>0</v>
      </c>
      <c r="AP412" s="14">
        <f t="shared" si="585"/>
        <v>0</v>
      </c>
      <c r="AS412" s="14">
        <f t="shared" si="616"/>
        <v>0</v>
      </c>
      <c r="AT412" s="14">
        <f t="shared" si="621"/>
        <v>0</v>
      </c>
      <c r="AU412" s="188">
        <f>IF(W412&lt;=0,0,+($O$5+AV411)*$AQ$2/12)</f>
        <v>0</v>
      </c>
      <c r="AV412" s="188">
        <f t="shared" si="622"/>
        <v>0</v>
      </c>
    </row>
    <row r="413" spans="1:48">
      <c r="A413" s="395">
        <f t="shared" si="571"/>
        <v>57780</v>
      </c>
      <c r="B413" s="188">
        <f t="shared" si="565"/>
        <v>31801.219999999943</v>
      </c>
      <c r="C413" s="14">
        <f t="shared" si="610"/>
        <v>559.88</v>
      </c>
      <c r="D413" s="14">
        <f t="shared" si="623"/>
        <v>440.63</v>
      </c>
      <c r="E413" s="14">
        <f t="shared" si="611"/>
        <v>119.25</v>
      </c>
      <c r="F413" s="14">
        <f t="shared" si="572"/>
        <v>51.5</v>
      </c>
      <c r="G413" s="14">
        <f t="shared" si="568"/>
        <v>145.09666666666666</v>
      </c>
      <c r="H413" s="14">
        <f t="shared" si="569"/>
        <v>756.47666666666669</v>
      </c>
      <c r="I413" s="188">
        <f t="shared" si="573"/>
        <v>91812.580000000045</v>
      </c>
      <c r="J413" s="188">
        <f t="shared" si="574"/>
        <v>131479.83000000005</v>
      </c>
      <c r="K413" s="188">
        <f t="shared" si="575"/>
        <v>31360.589999999942</v>
      </c>
      <c r="L413" s="317">
        <f t="shared" si="555"/>
        <v>32</v>
      </c>
      <c r="M413" s="317">
        <f>IF(N413&lt;&gt;"",IF(N413=$O$5,0,+M412+1),0)</f>
        <v>385</v>
      </c>
      <c r="N413" s="188">
        <f t="shared" si="617"/>
        <v>0</v>
      </c>
      <c r="O413" s="188">
        <f>IF($O$11&lt;=A413,IF(+$W412&lt;=0,0,$O$8),0)</f>
        <v>0</v>
      </c>
      <c r="P413" s="188">
        <f t="shared" si="624"/>
        <v>0</v>
      </c>
      <c r="Q413" s="188">
        <f>IF($O$11&lt;=A413,ROUND(N413*($O$7/12),2),0)</f>
        <v>0</v>
      </c>
      <c r="R413" s="188">
        <f t="shared" si="579"/>
        <v>51.5</v>
      </c>
      <c r="S413" s="188">
        <f t="shared" si="580"/>
        <v>145.09666666666666</v>
      </c>
      <c r="T413" s="188">
        <f t="shared" si="576"/>
        <v>196.59666666666666</v>
      </c>
      <c r="U413" s="188">
        <f t="shared" si="625"/>
        <v>325712.93999999989</v>
      </c>
      <c r="V413" s="188">
        <f t="shared" si="626"/>
        <v>575881.85999999975</v>
      </c>
      <c r="W413" s="188">
        <f t="shared" si="577"/>
        <v>0</v>
      </c>
      <c r="X413" s="395">
        <f t="shared" si="618"/>
        <v>57780</v>
      </c>
      <c r="Y413" s="188">
        <f t="shared" si="587"/>
        <v>0</v>
      </c>
      <c r="Z413" s="388">
        <f t="shared" si="612"/>
        <v>8.4999999999999992E-2</v>
      </c>
      <c r="AA413" s="188">
        <f t="shared" si="613"/>
        <v>0</v>
      </c>
      <c r="AB413" s="188">
        <f t="shared" si="588"/>
        <v>0</v>
      </c>
      <c r="AC413" s="188">
        <f t="shared" si="614"/>
        <v>0</v>
      </c>
      <c r="AD413" s="188">
        <f t="shared" ref="AD413:AE413" si="639">+AD412</f>
        <v>51.5</v>
      </c>
      <c r="AE413" s="188">
        <f t="shared" si="639"/>
        <v>145.09666666666666</v>
      </c>
      <c r="AF413" s="188">
        <f t="shared" si="590"/>
        <v>196.59666666666666</v>
      </c>
      <c r="AG413" s="188">
        <f t="shared" si="591"/>
        <v>325712.93999999989</v>
      </c>
      <c r="AH413" s="188">
        <f t="shared" si="592"/>
        <v>575881.85999999975</v>
      </c>
      <c r="AI413" s="404">
        <f t="shared" si="582"/>
        <v>0</v>
      </c>
      <c r="AJ413" s="404">
        <f t="shared" si="638"/>
        <v>0</v>
      </c>
      <c r="AK413" s="404">
        <f t="shared" si="583"/>
        <v>0</v>
      </c>
      <c r="AL413" s="188">
        <f t="shared" si="593"/>
        <v>0</v>
      </c>
      <c r="AM413" s="317">
        <f t="shared" si="620"/>
        <v>32</v>
      </c>
      <c r="AN413" s="14">
        <f t="shared" si="584"/>
        <v>0</v>
      </c>
      <c r="AO413" s="14">
        <f>IF(W413&lt;=0,0,+$AA$6-$C$2+I413-U413)</f>
        <v>0</v>
      </c>
      <c r="AP413" s="14">
        <f t="shared" si="585"/>
        <v>0</v>
      </c>
      <c r="AS413" s="14">
        <f t="shared" si="616"/>
        <v>0</v>
      </c>
      <c r="AT413" s="14">
        <f t="shared" si="621"/>
        <v>0</v>
      </c>
      <c r="AU413" s="188">
        <f>IF(W413&lt;=0,0,+($O$5+AV412)*$AQ$2/12)</f>
        <v>0</v>
      </c>
      <c r="AV413" s="188">
        <f t="shared" si="622"/>
        <v>0</v>
      </c>
    </row>
    <row r="414" spans="1:48">
      <c r="A414" s="395">
        <f t="shared" si="571"/>
        <v>57810</v>
      </c>
      <c r="B414" s="188">
        <f t="shared" si="565"/>
        <v>31360.589999999942</v>
      </c>
      <c r="C414" s="14">
        <f t="shared" si="610"/>
        <v>559.88</v>
      </c>
      <c r="D414" s="14">
        <f t="shared" si="623"/>
        <v>442.28</v>
      </c>
      <c r="E414" s="14">
        <f t="shared" si="611"/>
        <v>117.6</v>
      </c>
      <c r="F414" s="14">
        <f t="shared" si="572"/>
        <v>51.5</v>
      </c>
      <c r="G414" s="14">
        <f t="shared" si="568"/>
        <v>145.09666666666666</v>
      </c>
      <c r="H414" s="14">
        <f t="shared" si="569"/>
        <v>756.47666666666669</v>
      </c>
      <c r="I414" s="188">
        <f t="shared" si="573"/>
        <v>92254.860000000044</v>
      </c>
      <c r="J414" s="188">
        <f t="shared" si="574"/>
        <v>131597.43000000005</v>
      </c>
      <c r="K414" s="188">
        <f t="shared" si="575"/>
        <v>30918.309999999943</v>
      </c>
      <c r="L414" s="317">
        <f t="shared" si="555"/>
        <v>32</v>
      </c>
      <c r="M414" s="317">
        <f>IF(N414&lt;&gt;"",IF(N414=$O$5,0,+M413+1),0)</f>
        <v>386</v>
      </c>
      <c r="N414" s="188">
        <f t="shared" si="617"/>
        <v>0</v>
      </c>
      <c r="O414" s="188">
        <f>IF($O$11&lt;=A414,IF(+$W413&lt;=0,0,$O$8),0)</f>
        <v>0</v>
      </c>
      <c r="P414" s="188">
        <f t="shared" si="624"/>
        <v>0</v>
      </c>
      <c r="Q414" s="188">
        <f>IF($O$11&lt;=A414,ROUND(N414*($O$7/12),2),0)</f>
        <v>0</v>
      </c>
      <c r="R414" s="188">
        <f t="shared" si="579"/>
        <v>51.5</v>
      </c>
      <c r="S414" s="188">
        <f t="shared" si="580"/>
        <v>145.09666666666666</v>
      </c>
      <c r="T414" s="188">
        <f t="shared" si="576"/>
        <v>196.59666666666666</v>
      </c>
      <c r="U414" s="188">
        <f t="shared" si="625"/>
        <v>325712.93999999989</v>
      </c>
      <c r="V414" s="188">
        <f t="shared" si="626"/>
        <v>575881.85999999975</v>
      </c>
      <c r="W414" s="188">
        <f t="shared" si="577"/>
        <v>0</v>
      </c>
      <c r="X414" s="395">
        <f t="shared" si="618"/>
        <v>57810</v>
      </c>
      <c r="Y414" s="188">
        <f t="shared" si="587"/>
        <v>0</v>
      </c>
      <c r="Z414" s="388">
        <f t="shared" si="612"/>
        <v>8.4999999999999992E-2</v>
      </c>
      <c r="AA414" s="188">
        <f t="shared" si="613"/>
        <v>0</v>
      </c>
      <c r="AB414" s="188">
        <f t="shared" si="588"/>
        <v>0</v>
      </c>
      <c r="AC414" s="188">
        <f t="shared" si="614"/>
        <v>0</v>
      </c>
      <c r="AD414" s="188">
        <f t="shared" ref="AD414:AE414" si="640">+AD413</f>
        <v>51.5</v>
      </c>
      <c r="AE414" s="188">
        <f t="shared" si="640"/>
        <v>145.09666666666666</v>
      </c>
      <c r="AF414" s="188">
        <f t="shared" si="590"/>
        <v>196.59666666666666</v>
      </c>
      <c r="AG414" s="188">
        <f t="shared" si="591"/>
        <v>325712.93999999989</v>
      </c>
      <c r="AH414" s="188">
        <f t="shared" si="592"/>
        <v>575881.85999999975</v>
      </c>
      <c r="AI414" s="404">
        <f t="shared" si="582"/>
        <v>0</v>
      </c>
      <c r="AJ414" s="404">
        <f t="shared" si="638"/>
        <v>0</v>
      </c>
      <c r="AK414" s="404">
        <f t="shared" si="583"/>
        <v>0</v>
      </c>
      <c r="AL414" s="188">
        <f t="shared" si="593"/>
        <v>0</v>
      </c>
      <c r="AM414" s="317">
        <f t="shared" si="620"/>
        <v>32</v>
      </c>
      <c r="AN414" s="14">
        <f t="shared" si="584"/>
        <v>0</v>
      </c>
      <c r="AO414" s="14">
        <f>IF(W414&lt;=0,0,+$AA$6-$C$2+I414-U414)</f>
        <v>0</v>
      </c>
      <c r="AP414" s="14">
        <f t="shared" si="585"/>
        <v>0</v>
      </c>
      <c r="AS414" s="14">
        <f t="shared" si="616"/>
        <v>0</v>
      </c>
      <c r="AT414" s="14">
        <f t="shared" si="621"/>
        <v>0</v>
      </c>
      <c r="AU414" s="188">
        <f>IF(W414&lt;=0,0,+($O$5+AV413)*$AQ$2/12)</f>
        <v>0</v>
      </c>
      <c r="AV414" s="188">
        <f t="shared" si="622"/>
        <v>0</v>
      </c>
    </row>
    <row r="415" spans="1:48">
      <c r="A415" s="395">
        <f t="shared" si="571"/>
        <v>57840</v>
      </c>
      <c r="B415" s="188">
        <f t="shared" si="565"/>
        <v>30918.309999999943</v>
      </c>
      <c r="C415" s="14">
        <f t="shared" si="610"/>
        <v>559.88</v>
      </c>
      <c r="D415" s="14">
        <f t="shared" si="623"/>
        <v>443.94</v>
      </c>
      <c r="E415" s="14">
        <f t="shared" si="611"/>
        <v>115.94</v>
      </c>
      <c r="F415" s="14">
        <f t="shared" si="572"/>
        <v>51.5</v>
      </c>
      <c r="G415" s="14">
        <f t="shared" si="568"/>
        <v>145.09666666666666</v>
      </c>
      <c r="H415" s="14">
        <f t="shared" si="569"/>
        <v>756.47666666666669</v>
      </c>
      <c r="I415" s="188">
        <f t="shared" si="573"/>
        <v>92698.800000000047</v>
      </c>
      <c r="J415" s="188">
        <f t="shared" si="574"/>
        <v>131713.37000000005</v>
      </c>
      <c r="K415" s="188">
        <f t="shared" si="575"/>
        <v>30474.369999999944</v>
      </c>
      <c r="L415" s="317">
        <f t="shared" si="555"/>
        <v>32</v>
      </c>
      <c r="M415" s="317">
        <f>IF(N415&lt;&gt;"",IF(N415=$O$5,0,+M414+1),0)</f>
        <v>387</v>
      </c>
      <c r="N415" s="188">
        <f t="shared" si="617"/>
        <v>0</v>
      </c>
      <c r="O415" s="188">
        <f>IF($O$11&lt;=A415,IF(+$W414&lt;=0,0,$O$8),0)</f>
        <v>0</v>
      </c>
      <c r="P415" s="188">
        <f t="shared" si="624"/>
        <v>0</v>
      </c>
      <c r="Q415" s="188">
        <f>IF($O$11&lt;=A415,ROUND(N415*($O$7/12),2),0)</f>
        <v>0</v>
      </c>
      <c r="R415" s="188">
        <f t="shared" si="579"/>
        <v>51.5</v>
      </c>
      <c r="S415" s="188">
        <f t="shared" si="580"/>
        <v>145.09666666666666</v>
      </c>
      <c r="T415" s="188">
        <f t="shared" si="576"/>
        <v>196.59666666666666</v>
      </c>
      <c r="U415" s="188">
        <f t="shared" si="625"/>
        <v>325712.93999999989</v>
      </c>
      <c r="V415" s="188">
        <f t="shared" si="626"/>
        <v>575881.85999999975</v>
      </c>
      <c r="W415" s="188">
        <f t="shared" si="577"/>
        <v>0</v>
      </c>
      <c r="X415" s="395">
        <f t="shared" si="618"/>
        <v>57840</v>
      </c>
      <c r="Y415" s="188">
        <f t="shared" si="587"/>
        <v>0</v>
      </c>
      <c r="Z415" s="388">
        <f t="shared" si="612"/>
        <v>8.4999999999999992E-2</v>
      </c>
      <c r="AA415" s="188">
        <f t="shared" si="613"/>
        <v>0</v>
      </c>
      <c r="AB415" s="188">
        <f t="shared" si="588"/>
        <v>0</v>
      </c>
      <c r="AC415" s="188">
        <f t="shared" si="614"/>
        <v>0</v>
      </c>
      <c r="AD415" s="188">
        <f t="shared" ref="AD415:AE415" si="641">+AD414</f>
        <v>51.5</v>
      </c>
      <c r="AE415" s="188">
        <f t="shared" si="641"/>
        <v>145.09666666666666</v>
      </c>
      <c r="AF415" s="188">
        <f t="shared" si="590"/>
        <v>196.59666666666666</v>
      </c>
      <c r="AG415" s="188">
        <f t="shared" si="591"/>
        <v>325712.93999999989</v>
      </c>
      <c r="AH415" s="188">
        <f t="shared" si="592"/>
        <v>575881.85999999975</v>
      </c>
      <c r="AI415" s="404">
        <f t="shared" si="582"/>
        <v>0</v>
      </c>
      <c r="AJ415" s="404">
        <f t="shared" si="638"/>
        <v>0</v>
      </c>
      <c r="AK415" s="404">
        <f t="shared" si="583"/>
        <v>0</v>
      </c>
      <c r="AL415" s="188">
        <f t="shared" si="593"/>
        <v>0</v>
      </c>
      <c r="AM415" s="317">
        <f t="shared" si="620"/>
        <v>32</v>
      </c>
      <c r="AN415" s="14">
        <f t="shared" si="584"/>
        <v>0</v>
      </c>
      <c r="AO415" s="14">
        <f>IF(W415&lt;=0,0,+$AA$6-$C$2+I415-U415)</f>
        <v>0</v>
      </c>
      <c r="AP415" s="14">
        <f t="shared" si="585"/>
        <v>0</v>
      </c>
      <c r="AS415" s="14">
        <f t="shared" si="616"/>
        <v>0</v>
      </c>
      <c r="AT415" s="14">
        <f t="shared" si="621"/>
        <v>0</v>
      </c>
      <c r="AU415" s="188">
        <f>IF(W415&lt;=0,0,+($O$5+AV414)*$AQ$2/12)</f>
        <v>0</v>
      </c>
      <c r="AV415" s="188">
        <f t="shared" si="622"/>
        <v>0</v>
      </c>
    </row>
    <row r="416" spans="1:48">
      <c r="A416" s="395">
        <f t="shared" si="571"/>
        <v>57870</v>
      </c>
      <c r="B416" s="188">
        <f t="shared" si="565"/>
        <v>30474.369999999944</v>
      </c>
      <c r="C416" s="14">
        <f t="shared" si="610"/>
        <v>559.88</v>
      </c>
      <c r="D416" s="14">
        <f t="shared" si="623"/>
        <v>445.6</v>
      </c>
      <c r="E416" s="14">
        <f t="shared" si="611"/>
        <v>114.28</v>
      </c>
      <c r="F416" s="14">
        <f t="shared" si="572"/>
        <v>51.5</v>
      </c>
      <c r="G416" s="14">
        <f t="shared" si="568"/>
        <v>145.09666666666666</v>
      </c>
      <c r="H416" s="14">
        <f t="shared" si="569"/>
        <v>756.47666666666669</v>
      </c>
      <c r="I416" s="188">
        <f t="shared" si="573"/>
        <v>93144.400000000052</v>
      </c>
      <c r="J416" s="188">
        <f t="shared" si="574"/>
        <v>131827.65000000005</v>
      </c>
      <c r="K416" s="188">
        <f t="shared" si="575"/>
        <v>30028.769999999946</v>
      </c>
      <c r="L416" s="317">
        <f t="shared" si="555"/>
        <v>32</v>
      </c>
      <c r="M416" s="317">
        <f>IF(N416&lt;&gt;"",IF(N416=$O$5,0,+M415+1),0)</f>
        <v>388</v>
      </c>
      <c r="N416" s="188">
        <f t="shared" si="617"/>
        <v>0</v>
      </c>
      <c r="O416" s="188">
        <f>IF($O$11&lt;=A416,IF(+$W415&lt;=0,0,$O$8),0)</f>
        <v>0</v>
      </c>
      <c r="P416" s="188">
        <f t="shared" si="624"/>
        <v>0</v>
      </c>
      <c r="Q416" s="188">
        <f>IF($O$11&lt;=A416,ROUND(N416*($O$7/12),2),0)</f>
        <v>0</v>
      </c>
      <c r="R416" s="188">
        <f t="shared" si="579"/>
        <v>51.5</v>
      </c>
      <c r="S416" s="188">
        <f t="shared" si="580"/>
        <v>145.09666666666666</v>
      </c>
      <c r="T416" s="188">
        <f t="shared" si="576"/>
        <v>196.59666666666666</v>
      </c>
      <c r="U416" s="188">
        <f t="shared" si="625"/>
        <v>325712.93999999989</v>
      </c>
      <c r="V416" s="188">
        <f t="shared" si="626"/>
        <v>575881.85999999975</v>
      </c>
      <c r="W416" s="188">
        <f t="shared" si="577"/>
        <v>0</v>
      </c>
      <c r="X416" s="395">
        <f t="shared" si="618"/>
        <v>57870</v>
      </c>
      <c r="Y416" s="188">
        <f t="shared" si="587"/>
        <v>0</v>
      </c>
      <c r="Z416" s="388">
        <f t="shared" si="612"/>
        <v>8.4999999999999992E-2</v>
      </c>
      <c r="AA416" s="188">
        <f t="shared" si="613"/>
        <v>0</v>
      </c>
      <c r="AB416" s="188">
        <f t="shared" si="588"/>
        <v>0</v>
      </c>
      <c r="AC416" s="188">
        <f t="shared" si="614"/>
        <v>0</v>
      </c>
      <c r="AD416" s="188">
        <f t="shared" ref="AD416:AE416" si="642">+AD415</f>
        <v>51.5</v>
      </c>
      <c r="AE416" s="188">
        <f t="shared" si="642"/>
        <v>145.09666666666666</v>
      </c>
      <c r="AF416" s="188">
        <f t="shared" si="590"/>
        <v>196.59666666666666</v>
      </c>
      <c r="AG416" s="188">
        <f t="shared" si="591"/>
        <v>325712.93999999989</v>
      </c>
      <c r="AH416" s="188">
        <f t="shared" si="592"/>
        <v>575881.85999999975</v>
      </c>
      <c r="AI416" s="404">
        <f t="shared" si="582"/>
        <v>0</v>
      </c>
      <c r="AJ416" s="404">
        <f t="shared" si="638"/>
        <v>0</v>
      </c>
      <c r="AK416" s="404">
        <f t="shared" si="583"/>
        <v>0</v>
      </c>
      <c r="AL416" s="188">
        <f t="shared" si="593"/>
        <v>0</v>
      </c>
      <c r="AM416" s="317">
        <f t="shared" si="620"/>
        <v>32</v>
      </c>
      <c r="AN416" s="14">
        <f t="shared" si="584"/>
        <v>0</v>
      </c>
      <c r="AO416" s="14">
        <f>IF(W416&lt;=0,0,+$AA$6-$C$2+I416-U416)</f>
        <v>0</v>
      </c>
      <c r="AP416" s="14">
        <f t="shared" si="585"/>
        <v>0</v>
      </c>
      <c r="AS416" s="14">
        <f t="shared" si="616"/>
        <v>0</v>
      </c>
      <c r="AT416" s="14">
        <f t="shared" si="621"/>
        <v>0</v>
      </c>
      <c r="AU416" s="188">
        <f>IF(W416&lt;=0,0,+($O$5+AV415)*$AQ$2/12)</f>
        <v>0</v>
      </c>
      <c r="AV416" s="188">
        <f t="shared" si="622"/>
        <v>0</v>
      </c>
    </row>
    <row r="417" spans="1:48">
      <c r="A417" s="395">
        <f t="shared" si="571"/>
        <v>57900</v>
      </c>
      <c r="B417" s="188">
        <f t="shared" si="565"/>
        <v>30028.769999999946</v>
      </c>
      <c r="C417" s="14">
        <f t="shared" si="610"/>
        <v>559.88</v>
      </c>
      <c r="D417" s="14">
        <f t="shared" si="623"/>
        <v>447.27</v>
      </c>
      <c r="E417" s="14">
        <f t="shared" si="611"/>
        <v>112.61</v>
      </c>
      <c r="F417" s="14">
        <f t="shared" si="572"/>
        <v>51.5</v>
      </c>
      <c r="G417" s="14">
        <f t="shared" si="568"/>
        <v>145.09666666666666</v>
      </c>
      <c r="H417" s="14">
        <f t="shared" si="569"/>
        <v>756.47666666666669</v>
      </c>
      <c r="I417" s="188">
        <f t="shared" si="573"/>
        <v>93591.670000000056</v>
      </c>
      <c r="J417" s="188">
        <f t="shared" si="574"/>
        <v>131940.26000000004</v>
      </c>
      <c r="K417" s="188">
        <f t="shared" si="575"/>
        <v>29581.499999999945</v>
      </c>
      <c r="L417" s="317">
        <f t="shared" si="555"/>
        <v>32</v>
      </c>
      <c r="M417" s="317">
        <f>IF(N417&lt;&gt;"",IF(N417=$O$5,0,+M416+1),0)</f>
        <v>389</v>
      </c>
      <c r="N417" s="188">
        <f t="shared" si="617"/>
        <v>0</v>
      </c>
      <c r="O417" s="188">
        <f>IF($O$11&lt;=A417,IF(+$W416&lt;=0,0,$O$8),0)</f>
        <v>0</v>
      </c>
      <c r="P417" s="188">
        <f t="shared" si="624"/>
        <v>0</v>
      </c>
      <c r="Q417" s="188">
        <f>IF($O$11&lt;=A417,ROUND(N417*($O$7/12),2),0)</f>
        <v>0</v>
      </c>
      <c r="R417" s="188">
        <f t="shared" si="579"/>
        <v>51.5</v>
      </c>
      <c r="S417" s="188">
        <f t="shared" si="580"/>
        <v>145.09666666666666</v>
      </c>
      <c r="T417" s="188">
        <f t="shared" si="576"/>
        <v>196.59666666666666</v>
      </c>
      <c r="U417" s="188">
        <f t="shared" si="625"/>
        <v>325712.93999999989</v>
      </c>
      <c r="V417" s="188">
        <f t="shared" si="626"/>
        <v>575881.85999999975</v>
      </c>
      <c r="W417" s="188">
        <f t="shared" si="577"/>
        <v>0</v>
      </c>
      <c r="X417" s="395">
        <f t="shared" si="618"/>
        <v>57900</v>
      </c>
      <c r="Y417" s="188">
        <f t="shared" si="587"/>
        <v>0</v>
      </c>
      <c r="Z417" s="388">
        <f t="shared" si="612"/>
        <v>8.4999999999999992E-2</v>
      </c>
      <c r="AA417" s="188">
        <f t="shared" si="613"/>
        <v>0</v>
      </c>
      <c r="AB417" s="188">
        <f t="shared" si="588"/>
        <v>0</v>
      </c>
      <c r="AC417" s="188">
        <f t="shared" si="614"/>
        <v>0</v>
      </c>
      <c r="AD417" s="188">
        <f t="shared" ref="AD417:AE417" si="643">+AD416</f>
        <v>51.5</v>
      </c>
      <c r="AE417" s="188">
        <f t="shared" si="643"/>
        <v>145.09666666666666</v>
      </c>
      <c r="AF417" s="188">
        <f t="shared" si="590"/>
        <v>196.59666666666666</v>
      </c>
      <c r="AG417" s="188">
        <f t="shared" si="591"/>
        <v>325712.93999999989</v>
      </c>
      <c r="AH417" s="188">
        <f t="shared" si="592"/>
        <v>575881.85999999975</v>
      </c>
      <c r="AI417" s="404">
        <f t="shared" si="582"/>
        <v>0</v>
      </c>
      <c r="AJ417" s="404">
        <f t="shared" si="638"/>
        <v>0</v>
      </c>
      <c r="AK417" s="404">
        <f t="shared" si="583"/>
        <v>0</v>
      </c>
      <c r="AL417" s="188">
        <f t="shared" si="593"/>
        <v>0</v>
      </c>
      <c r="AM417" s="317">
        <f t="shared" si="620"/>
        <v>32</v>
      </c>
      <c r="AN417" s="14">
        <f t="shared" si="584"/>
        <v>0</v>
      </c>
      <c r="AO417" s="14">
        <f>IF(W417&lt;=0,0,+$AA$6-$C$2+I417-U417)</f>
        <v>0</v>
      </c>
      <c r="AP417" s="14">
        <f t="shared" si="585"/>
        <v>0</v>
      </c>
      <c r="AS417" s="14">
        <f t="shared" si="616"/>
        <v>0</v>
      </c>
      <c r="AT417" s="14">
        <f t="shared" si="621"/>
        <v>0</v>
      </c>
      <c r="AU417" s="188">
        <f>IF(W417&lt;=0,0,+($O$5+AV416)*$AQ$2/12)</f>
        <v>0</v>
      </c>
      <c r="AV417" s="188">
        <f t="shared" si="622"/>
        <v>0</v>
      </c>
    </row>
    <row r="418" spans="1:48">
      <c r="A418" s="395">
        <f t="shared" si="571"/>
        <v>57930</v>
      </c>
      <c r="B418" s="188">
        <f t="shared" si="565"/>
        <v>29581.499999999945</v>
      </c>
      <c r="C418" s="14">
        <f t="shared" si="610"/>
        <v>559.88</v>
      </c>
      <c r="D418" s="14">
        <f t="shared" si="623"/>
        <v>448.95</v>
      </c>
      <c r="E418" s="14">
        <f t="shared" si="611"/>
        <v>110.93</v>
      </c>
      <c r="F418" s="14">
        <f t="shared" si="572"/>
        <v>51.5</v>
      </c>
      <c r="G418" s="14">
        <f t="shared" si="568"/>
        <v>145.09666666666666</v>
      </c>
      <c r="H418" s="14">
        <f t="shared" si="569"/>
        <v>756.47666666666669</v>
      </c>
      <c r="I418" s="188">
        <f t="shared" si="573"/>
        <v>94040.620000000054</v>
      </c>
      <c r="J418" s="188">
        <f t="shared" si="574"/>
        <v>132051.19000000003</v>
      </c>
      <c r="K418" s="188">
        <f t="shared" si="575"/>
        <v>29132.549999999945</v>
      </c>
      <c r="L418" s="317">
        <f t="shared" si="555"/>
        <v>32</v>
      </c>
      <c r="M418" s="317">
        <f>IF(N418&lt;&gt;"",IF(N418=$O$5,0,+M417+1),0)</f>
        <v>390</v>
      </c>
      <c r="N418" s="188">
        <f t="shared" si="617"/>
        <v>0</v>
      </c>
      <c r="O418" s="188">
        <f>IF($O$11&lt;=A418,IF(+$W417&lt;=0,0,$O$8),0)</f>
        <v>0</v>
      </c>
      <c r="P418" s="188">
        <f t="shared" si="624"/>
        <v>0</v>
      </c>
      <c r="Q418" s="188">
        <f>IF($O$11&lt;=A418,ROUND(N418*($O$7/12),2),0)</f>
        <v>0</v>
      </c>
      <c r="R418" s="188">
        <f t="shared" si="579"/>
        <v>51.5</v>
      </c>
      <c r="S418" s="188">
        <f t="shared" si="580"/>
        <v>145.09666666666666</v>
      </c>
      <c r="T418" s="188">
        <f t="shared" si="576"/>
        <v>196.59666666666666</v>
      </c>
      <c r="U418" s="188">
        <f t="shared" si="625"/>
        <v>325712.93999999989</v>
      </c>
      <c r="V418" s="188">
        <f t="shared" si="626"/>
        <v>575881.85999999975</v>
      </c>
      <c r="W418" s="188">
        <f t="shared" si="577"/>
        <v>0</v>
      </c>
      <c r="X418" s="395">
        <f t="shared" si="618"/>
        <v>57930</v>
      </c>
      <c r="Y418" s="188">
        <f t="shared" si="587"/>
        <v>0</v>
      </c>
      <c r="Z418" s="388">
        <f t="shared" si="612"/>
        <v>8.4999999999999992E-2</v>
      </c>
      <c r="AA418" s="188">
        <f t="shared" si="613"/>
        <v>0</v>
      </c>
      <c r="AB418" s="188">
        <f t="shared" si="588"/>
        <v>0</v>
      </c>
      <c r="AC418" s="188">
        <f t="shared" si="614"/>
        <v>0</v>
      </c>
      <c r="AD418" s="188">
        <f t="shared" ref="AD418:AE418" si="644">+AD417</f>
        <v>51.5</v>
      </c>
      <c r="AE418" s="188">
        <f t="shared" si="644"/>
        <v>145.09666666666666</v>
      </c>
      <c r="AF418" s="188">
        <f t="shared" si="590"/>
        <v>196.59666666666666</v>
      </c>
      <c r="AG418" s="188">
        <f t="shared" si="591"/>
        <v>325712.93999999989</v>
      </c>
      <c r="AH418" s="188">
        <f t="shared" si="592"/>
        <v>575881.85999999975</v>
      </c>
      <c r="AI418" s="404">
        <f t="shared" si="582"/>
        <v>0</v>
      </c>
      <c r="AJ418" s="404">
        <f t="shared" si="638"/>
        <v>0</v>
      </c>
      <c r="AK418" s="404">
        <f t="shared" si="583"/>
        <v>0</v>
      </c>
      <c r="AL418" s="188">
        <f t="shared" si="593"/>
        <v>0</v>
      </c>
      <c r="AM418" s="317">
        <f t="shared" si="620"/>
        <v>32</v>
      </c>
      <c r="AN418" s="14">
        <f t="shared" si="584"/>
        <v>0</v>
      </c>
      <c r="AO418" s="14">
        <f>IF(W418&lt;=0,0,+$AA$6-$C$2+I418-U418)</f>
        <v>0</v>
      </c>
      <c r="AP418" s="14">
        <f t="shared" si="585"/>
        <v>0</v>
      </c>
      <c r="AS418" s="14">
        <f t="shared" si="616"/>
        <v>0</v>
      </c>
      <c r="AT418" s="14">
        <f t="shared" si="621"/>
        <v>0</v>
      </c>
      <c r="AU418" s="188">
        <f>IF(W418&lt;=0,0,+($O$5+AV417)*$AQ$2/12)</f>
        <v>0</v>
      </c>
      <c r="AV418" s="188">
        <f t="shared" si="622"/>
        <v>0</v>
      </c>
    </row>
    <row r="419" spans="1:48">
      <c r="A419" s="395">
        <f t="shared" si="571"/>
        <v>57960</v>
      </c>
      <c r="B419" s="188">
        <f t="shared" si="565"/>
        <v>29132.549999999945</v>
      </c>
      <c r="C419" s="14">
        <f t="shared" si="610"/>
        <v>559.88</v>
      </c>
      <c r="D419" s="14">
        <f t="shared" si="623"/>
        <v>450.63</v>
      </c>
      <c r="E419" s="14">
        <f t="shared" si="611"/>
        <v>109.25</v>
      </c>
      <c r="F419" s="14">
        <f t="shared" si="572"/>
        <v>51.5</v>
      </c>
      <c r="G419" s="14">
        <f t="shared" si="568"/>
        <v>145.09666666666666</v>
      </c>
      <c r="H419" s="14">
        <f t="shared" si="569"/>
        <v>756.47666666666669</v>
      </c>
      <c r="I419" s="188">
        <f t="shared" si="573"/>
        <v>94491.250000000058</v>
      </c>
      <c r="J419" s="188">
        <f t="shared" si="574"/>
        <v>132160.44000000003</v>
      </c>
      <c r="K419" s="188">
        <f t="shared" si="575"/>
        <v>28681.919999999944</v>
      </c>
      <c r="L419" s="317">
        <f t="shared" si="555"/>
        <v>32</v>
      </c>
      <c r="M419" s="317">
        <f>IF(N419&lt;&gt;"",IF(N419=$O$5,0,+M418+1),0)</f>
        <v>391</v>
      </c>
      <c r="N419" s="188">
        <f t="shared" ref="N419:N482" si="645">IF(+W418&lt;0,0,+W418)</f>
        <v>0</v>
      </c>
      <c r="O419" s="188">
        <f>IF($O$11&lt;=A419,IF(+$W418&lt;=0,0,$O$8),0)</f>
        <v>0</v>
      </c>
      <c r="P419" s="188">
        <f t="shared" si="624"/>
        <v>0</v>
      </c>
      <c r="Q419" s="188">
        <f>IF($O$11&lt;=A419,ROUND(N419*($O$7/12),2),0)</f>
        <v>0</v>
      </c>
      <c r="R419" s="188">
        <f t="shared" si="579"/>
        <v>51.5</v>
      </c>
      <c r="S419" s="188">
        <f t="shared" si="580"/>
        <v>145.09666666666666</v>
      </c>
      <c r="T419" s="188">
        <f t="shared" si="576"/>
        <v>196.59666666666666</v>
      </c>
      <c r="U419" s="188">
        <f t="shared" si="625"/>
        <v>325712.93999999989</v>
      </c>
      <c r="V419" s="188">
        <f t="shared" si="626"/>
        <v>575881.85999999975</v>
      </c>
      <c r="W419" s="188">
        <f t="shared" si="577"/>
        <v>0</v>
      </c>
      <c r="X419" s="395">
        <f t="shared" si="618"/>
        <v>57960</v>
      </c>
      <c r="Y419" s="188">
        <f t="shared" si="587"/>
        <v>0</v>
      </c>
      <c r="Z419" s="388">
        <f t="shared" si="612"/>
        <v>8.4999999999999992E-2</v>
      </c>
      <c r="AA419" s="188">
        <f t="shared" si="613"/>
        <v>0</v>
      </c>
      <c r="AB419" s="188">
        <f t="shared" si="588"/>
        <v>0</v>
      </c>
      <c r="AC419" s="188">
        <f t="shared" si="614"/>
        <v>0</v>
      </c>
      <c r="AD419" s="188">
        <f t="shared" ref="AD419:AE419" si="646">+AD418</f>
        <v>51.5</v>
      </c>
      <c r="AE419" s="188">
        <f t="shared" si="646"/>
        <v>145.09666666666666</v>
      </c>
      <c r="AF419" s="188">
        <f t="shared" si="590"/>
        <v>196.59666666666666</v>
      </c>
      <c r="AG419" s="188">
        <f t="shared" si="591"/>
        <v>325712.93999999989</v>
      </c>
      <c r="AH419" s="188">
        <f t="shared" si="592"/>
        <v>575881.85999999975</v>
      </c>
      <c r="AI419" s="404">
        <f t="shared" si="582"/>
        <v>0</v>
      </c>
      <c r="AJ419" s="404">
        <f t="shared" si="638"/>
        <v>0</v>
      </c>
      <c r="AK419" s="404">
        <f t="shared" si="583"/>
        <v>0</v>
      </c>
      <c r="AL419" s="188">
        <f t="shared" si="593"/>
        <v>0</v>
      </c>
      <c r="AM419" s="317">
        <f t="shared" si="620"/>
        <v>32</v>
      </c>
      <c r="AN419" s="14">
        <f t="shared" si="584"/>
        <v>0</v>
      </c>
      <c r="AO419" s="14">
        <f>IF(W419&lt;=0,0,+$AA$6-$C$2+I419-U419)</f>
        <v>0</v>
      </c>
      <c r="AP419" s="14">
        <f t="shared" si="585"/>
        <v>0</v>
      </c>
      <c r="AS419" s="14">
        <f t="shared" si="616"/>
        <v>0</v>
      </c>
      <c r="AT419" s="14">
        <f t="shared" si="621"/>
        <v>0</v>
      </c>
      <c r="AU419" s="188">
        <f>IF(W419&lt;=0,0,+($O$5+AV418)*$AQ$2/12)</f>
        <v>0</v>
      </c>
      <c r="AV419" s="188">
        <f t="shared" si="622"/>
        <v>0</v>
      </c>
    </row>
    <row r="420" spans="1:48">
      <c r="A420" s="395">
        <f t="shared" si="571"/>
        <v>57990</v>
      </c>
      <c r="B420" s="188">
        <f t="shared" si="565"/>
        <v>28681.919999999944</v>
      </c>
      <c r="C420" s="14">
        <f t="shared" si="610"/>
        <v>559.88</v>
      </c>
      <c r="D420" s="14">
        <f t="shared" si="623"/>
        <v>452.32</v>
      </c>
      <c r="E420" s="14">
        <f t="shared" si="611"/>
        <v>107.56</v>
      </c>
      <c r="F420" s="14">
        <f t="shared" si="572"/>
        <v>51.5</v>
      </c>
      <c r="G420" s="14">
        <f t="shared" si="568"/>
        <v>145.09666666666666</v>
      </c>
      <c r="H420" s="14">
        <f t="shared" si="569"/>
        <v>756.47666666666669</v>
      </c>
      <c r="I420" s="188">
        <f t="shared" si="573"/>
        <v>94943.570000000065</v>
      </c>
      <c r="J420" s="188">
        <f t="shared" si="574"/>
        <v>132268.00000000003</v>
      </c>
      <c r="K420" s="188">
        <f t="shared" si="575"/>
        <v>28229.599999999944</v>
      </c>
      <c r="L420" s="317">
        <f t="shared" si="555"/>
        <v>32</v>
      </c>
      <c r="M420" s="317">
        <f>IF(N420&lt;&gt;"",IF(N420=$O$5,0,+M419+1),0)</f>
        <v>392</v>
      </c>
      <c r="N420" s="188">
        <f t="shared" si="645"/>
        <v>0</v>
      </c>
      <c r="O420" s="188">
        <f>IF($O$11&lt;=A420,IF(+$W419&lt;=0,0,$O$8),0)</f>
        <v>0</v>
      </c>
      <c r="P420" s="188">
        <f t="shared" si="624"/>
        <v>0</v>
      </c>
      <c r="Q420" s="188">
        <f>IF($O$11&lt;=A420,ROUND(N420*($O$7/12),2),0)</f>
        <v>0</v>
      </c>
      <c r="R420" s="188">
        <f t="shared" si="579"/>
        <v>51.5</v>
      </c>
      <c r="S420" s="188">
        <f t="shared" si="580"/>
        <v>145.09666666666666</v>
      </c>
      <c r="T420" s="188">
        <f t="shared" si="576"/>
        <v>196.59666666666666</v>
      </c>
      <c r="U420" s="188">
        <f t="shared" si="625"/>
        <v>325712.93999999989</v>
      </c>
      <c r="V420" s="188">
        <f t="shared" si="626"/>
        <v>575881.85999999975</v>
      </c>
      <c r="W420" s="188">
        <f t="shared" si="577"/>
        <v>0</v>
      </c>
      <c r="X420" s="395">
        <f t="shared" si="618"/>
        <v>57990</v>
      </c>
      <c r="Y420" s="188">
        <f t="shared" si="587"/>
        <v>0</v>
      </c>
      <c r="Z420" s="388">
        <f t="shared" si="612"/>
        <v>8.4999999999999992E-2</v>
      </c>
      <c r="AA420" s="188">
        <f t="shared" si="613"/>
        <v>0</v>
      </c>
      <c r="AB420" s="188">
        <f t="shared" si="588"/>
        <v>0</v>
      </c>
      <c r="AC420" s="188">
        <f t="shared" si="614"/>
        <v>0</v>
      </c>
      <c r="AD420" s="188">
        <f t="shared" ref="AD420:AE420" si="647">+AD419</f>
        <v>51.5</v>
      </c>
      <c r="AE420" s="188">
        <f t="shared" si="647"/>
        <v>145.09666666666666</v>
      </c>
      <c r="AF420" s="188">
        <f t="shared" si="590"/>
        <v>196.59666666666666</v>
      </c>
      <c r="AG420" s="188">
        <f t="shared" si="591"/>
        <v>325712.93999999989</v>
      </c>
      <c r="AH420" s="188">
        <f t="shared" si="592"/>
        <v>575881.85999999975</v>
      </c>
      <c r="AI420" s="404">
        <f t="shared" si="582"/>
        <v>0</v>
      </c>
      <c r="AJ420" s="404">
        <f t="shared" si="638"/>
        <v>0</v>
      </c>
      <c r="AK420" s="404">
        <f t="shared" si="583"/>
        <v>0</v>
      </c>
      <c r="AL420" s="188">
        <f t="shared" si="593"/>
        <v>0</v>
      </c>
      <c r="AM420" s="317">
        <f t="shared" si="620"/>
        <v>32</v>
      </c>
      <c r="AN420" s="14">
        <f t="shared" si="584"/>
        <v>0</v>
      </c>
      <c r="AO420" s="14">
        <f>IF(W420&lt;=0,0,+$AA$6-$C$2+I420-U420)</f>
        <v>0</v>
      </c>
      <c r="AP420" s="14">
        <f t="shared" si="585"/>
        <v>0</v>
      </c>
      <c r="AS420" s="14">
        <f t="shared" si="616"/>
        <v>0</v>
      </c>
      <c r="AT420" s="14">
        <f t="shared" si="621"/>
        <v>0</v>
      </c>
      <c r="AU420" s="188">
        <f>IF(W420&lt;=0,0,+($O$5+AV419)*$AQ$2/12)</f>
        <v>0</v>
      </c>
      <c r="AV420" s="188">
        <f t="shared" si="622"/>
        <v>0</v>
      </c>
    </row>
    <row r="421" spans="1:48">
      <c r="A421" s="395">
        <f t="shared" si="571"/>
        <v>58020</v>
      </c>
      <c r="B421" s="188">
        <f t="shared" si="565"/>
        <v>28229.599999999944</v>
      </c>
      <c r="C421" s="14">
        <f t="shared" si="610"/>
        <v>559.88</v>
      </c>
      <c r="D421" s="14">
        <f t="shared" si="623"/>
        <v>454.02</v>
      </c>
      <c r="E421" s="14">
        <f t="shared" si="611"/>
        <v>105.86</v>
      </c>
      <c r="F421" s="14">
        <f t="shared" si="572"/>
        <v>51.5</v>
      </c>
      <c r="G421" s="14">
        <f t="shared" si="568"/>
        <v>145.09666666666666</v>
      </c>
      <c r="H421" s="14">
        <f t="shared" si="569"/>
        <v>756.47666666666669</v>
      </c>
      <c r="I421" s="188">
        <f t="shared" si="573"/>
        <v>95397.590000000069</v>
      </c>
      <c r="J421" s="188">
        <f t="shared" si="574"/>
        <v>132373.86000000002</v>
      </c>
      <c r="K421" s="188">
        <f t="shared" si="575"/>
        <v>27775.579999999944</v>
      </c>
      <c r="L421" s="317">
        <f t="shared" si="555"/>
        <v>32</v>
      </c>
      <c r="M421" s="317">
        <f>IF(N421&lt;&gt;"",IF(N421=$O$5,0,+M420+1),0)</f>
        <v>393</v>
      </c>
      <c r="N421" s="188">
        <f t="shared" si="645"/>
        <v>0</v>
      </c>
      <c r="O421" s="188">
        <f>IF($O$11&lt;=A421,IF(+$W420&lt;=0,0,$O$8),0)</f>
        <v>0</v>
      </c>
      <c r="P421" s="188">
        <f t="shared" si="624"/>
        <v>0</v>
      </c>
      <c r="Q421" s="188">
        <f>IF($O$11&lt;=A421,ROUND(N421*($O$7/12),2),0)</f>
        <v>0</v>
      </c>
      <c r="R421" s="188">
        <f t="shared" si="579"/>
        <v>51.5</v>
      </c>
      <c r="S421" s="188">
        <f t="shared" si="580"/>
        <v>145.09666666666666</v>
      </c>
      <c r="T421" s="188">
        <f t="shared" si="576"/>
        <v>196.59666666666666</v>
      </c>
      <c r="U421" s="188">
        <f t="shared" si="625"/>
        <v>325712.93999999989</v>
      </c>
      <c r="V421" s="188">
        <f t="shared" si="626"/>
        <v>575881.85999999975</v>
      </c>
      <c r="W421" s="188">
        <f t="shared" si="577"/>
        <v>0</v>
      </c>
      <c r="X421" s="395">
        <f t="shared" si="618"/>
        <v>58020</v>
      </c>
      <c r="Y421" s="188">
        <f t="shared" si="587"/>
        <v>0</v>
      </c>
      <c r="Z421" s="388">
        <f t="shared" si="612"/>
        <v>8.4999999999999992E-2</v>
      </c>
      <c r="AA421" s="188">
        <f t="shared" si="613"/>
        <v>0</v>
      </c>
      <c r="AB421" s="188">
        <f t="shared" si="588"/>
        <v>0</v>
      </c>
      <c r="AC421" s="188">
        <f t="shared" si="614"/>
        <v>0</v>
      </c>
      <c r="AD421" s="188">
        <f t="shared" ref="AD421:AE421" si="648">+AD420</f>
        <v>51.5</v>
      </c>
      <c r="AE421" s="188">
        <f t="shared" si="648"/>
        <v>145.09666666666666</v>
      </c>
      <c r="AF421" s="188">
        <f t="shared" si="590"/>
        <v>196.59666666666666</v>
      </c>
      <c r="AG421" s="188">
        <f t="shared" si="591"/>
        <v>325712.93999999989</v>
      </c>
      <c r="AH421" s="188">
        <f t="shared" si="592"/>
        <v>575881.85999999975</v>
      </c>
      <c r="AI421" s="404">
        <f t="shared" si="582"/>
        <v>0</v>
      </c>
      <c r="AJ421" s="404">
        <f t="shared" si="638"/>
        <v>0</v>
      </c>
      <c r="AK421" s="404">
        <f t="shared" si="583"/>
        <v>0</v>
      </c>
      <c r="AL421" s="188">
        <f>+Y421-AB421</f>
        <v>0</v>
      </c>
      <c r="AM421" s="317">
        <f t="shared" si="620"/>
        <v>32</v>
      </c>
      <c r="AN421" s="14">
        <f t="shared" si="584"/>
        <v>0</v>
      </c>
      <c r="AO421" s="14">
        <f>IF(W421&lt;=0,0,+$AA$6-$C$2+I421-U421)</f>
        <v>0</v>
      </c>
      <c r="AP421" s="14">
        <f t="shared" si="585"/>
        <v>0</v>
      </c>
      <c r="AS421" s="14">
        <f t="shared" si="616"/>
        <v>0</v>
      </c>
      <c r="AT421" s="14">
        <f t="shared" si="621"/>
        <v>0</v>
      </c>
      <c r="AU421" s="188">
        <f>IF(W421&lt;=0,0,+($O$5+AV420)*$AQ$2/12)</f>
        <v>0</v>
      </c>
      <c r="AV421" s="188">
        <f t="shared" si="622"/>
        <v>0</v>
      </c>
    </row>
    <row r="422" spans="1:48">
      <c r="A422" s="395">
        <f t="shared" si="571"/>
        <v>58050</v>
      </c>
      <c r="B422" s="188">
        <f t="shared" si="565"/>
        <v>27775.579999999944</v>
      </c>
      <c r="C422" s="14">
        <f t="shared" si="610"/>
        <v>559.88</v>
      </c>
      <c r="D422" s="14">
        <f t="shared" si="623"/>
        <v>455.72</v>
      </c>
      <c r="E422" s="14">
        <f t="shared" si="611"/>
        <v>104.16</v>
      </c>
      <c r="F422" s="14">
        <f t="shared" si="572"/>
        <v>51.5</v>
      </c>
      <c r="G422" s="14">
        <f t="shared" si="568"/>
        <v>145.09666666666666</v>
      </c>
      <c r="H422" s="14">
        <f t="shared" si="569"/>
        <v>756.47666666666669</v>
      </c>
      <c r="I422" s="188">
        <f t="shared" si="573"/>
        <v>95853.31000000007</v>
      </c>
      <c r="J422" s="188">
        <f t="shared" si="574"/>
        <v>132478.02000000002</v>
      </c>
      <c r="K422" s="188">
        <f t="shared" si="575"/>
        <v>27319.859999999942</v>
      </c>
      <c r="L422" s="317">
        <f t="shared" si="555"/>
        <v>32</v>
      </c>
      <c r="M422" s="317">
        <f>IF(N422&lt;&gt;"",IF(N422=$O$5,0,+M421+1),0)</f>
        <v>394</v>
      </c>
      <c r="N422" s="188">
        <f t="shared" si="645"/>
        <v>0</v>
      </c>
      <c r="O422" s="188">
        <f>IF($O$11&lt;=A422,IF(+$W421&lt;=0,0,$O$8),0)</f>
        <v>0</v>
      </c>
      <c r="P422" s="188">
        <f t="shared" si="624"/>
        <v>0</v>
      </c>
      <c r="Q422" s="188">
        <f>IF($O$11&lt;=A422,ROUND(N422*($O$7/12),2),0)</f>
        <v>0</v>
      </c>
      <c r="R422" s="188">
        <f t="shared" si="579"/>
        <v>51.5</v>
      </c>
      <c r="S422" s="188">
        <f t="shared" si="580"/>
        <v>145.09666666666666</v>
      </c>
      <c r="T422" s="188">
        <f t="shared" si="576"/>
        <v>196.59666666666666</v>
      </c>
      <c r="U422" s="188">
        <f t="shared" si="625"/>
        <v>325712.93999999989</v>
      </c>
      <c r="V422" s="188">
        <f t="shared" si="626"/>
        <v>575881.85999999975</v>
      </c>
      <c r="W422" s="188">
        <f t="shared" si="577"/>
        <v>0</v>
      </c>
      <c r="X422" s="395">
        <f t="shared" si="618"/>
        <v>58050</v>
      </c>
      <c r="Y422" s="188">
        <f t="shared" si="587"/>
        <v>0</v>
      </c>
      <c r="Z422" s="388">
        <f t="shared" si="612"/>
        <v>8.4999999999999992E-2</v>
      </c>
      <c r="AA422" s="188">
        <f t="shared" si="613"/>
        <v>0</v>
      </c>
      <c r="AB422" s="188">
        <f t="shared" si="588"/>
        <v>0</v>
      </c>
      <c r="AC422" s="188">
        <f t="shared" si="614"/>
        <v>0</v>
      </c>
      <c r="AD422" s="188">
        <f t="shared" ref="AD422:AE422" si="649">+AD421</f>
        <v>51.5</v>
      </c>
      <c r="AE422" s="188">
        <f t="shared" si="649"/>
        <v>145.09666666666666</v>
      </c>
      <c r="AF422" s="188">
        <f t="shared" si="590"/>
        <v>196.59666666666666</v>
      </c>
      <c r="AG422" s="188">
        <f t="shared" si="591"/>
        <v>325712.93999999989</v>
      </c>
      <c r="AH422" s="188">
        <f t="shared" si="592"/>
        <v>575881.85999999975</v>
      </c>
      <c r="AI422" s="404">
        <f t="shared" si="582"/>
        <v>0</v>
      </c>
      <c r="AJ422" s="404">
        <f t="shared" si="638"/>
        <v>0</v>
      </c>
      <c r="AK422" s="404">
        <f t="shared" si="583"/>
        <v>0</v>
      </c>
      <c r="AL422" s="188">
        <f t="shared" si="593"/>
        <v>0</v>
      </c>
      <c r="AM422" s="317">
        <f t="shared" si="620"/>
        <v>32</v>
      </c>
      <c r="AN422" s="14">
        <f t="shared" si="584"/>
        <v>0</v>
      </c>
      <c r="AO422" s="14">
        <f>IF(W422&lt;=0,0,+$AA$6-$C$2+I422-U422)</f>
        <v>0</v>
      </c>
      <c r="AP422" s="14">
        <f t="shared" si="585"/>
        <v>0</v>
      </c>
      <c r="AS422" s="14">
        <f t="shared" si="616"/>
        <v>0</v>
      </c>
      <c r="AT422" s="14">
        <f t="shared" si="621"/>
        <v>0</v>
      </c>
      <c r="AU422" s="188">
        <f>IF(W422&lt;=0,0,+($O$5+AV421)*$AQ$2/12)</f>
        <v>0</v>
      </c>
      <c r="AV422" s="188">
        <f t="shared" si="622"/>
        <v>0</v>
      </c>
    </row>
    <row r="423" spans="1:48" ht="15.75" thickBot="1">
      <c r="A423" s="398">
        <f t="shared" si="571"/>
        <v>58080</v>
      </c>
      <c r="B423" s="237">
        <f t="shared" si="565"/>
        <v>27319.859999999942</v>
      </c>
      <c r="C423" s="21">
        <f t="shared" si="610"/>
        <v>559.88</v>
      </c>
      <c r="D423" s="21">
        <f t="shared" si="623"/>
        <v>457.43</v>
      </c>
      <c r="E423" s="21">
        <f t="shared" si="611"/>
        <v>102.45</v>
      </c>
      <c r="F423" s="21">
        <f t="shared" si="572"/>
        <v>51.5</v>
      </c>
      <c r="G423" s="21">
        <f t="shared" si="568"/>
        <v>145.09666666666666</v>
      </c>
      <c r="H423" s="21">
        <f t="shared" si="569"/>
        <v>756.47666666666669</v>
      </c>
      <c r="I423" s="237">
        <f t="shared" si="573"/>
        <v>96310.740000000063</v>
      </c>
      <c r="J423" s="237">
        <f t="shared" si="574"/>
        <v>132580.47000000003</v>
      </c>
      <c r="K423" s="237">
        <f t="shared" si="575"/>
        <v>26862.429999999942</v>
      </c>
      <c r="L423" s="318">
        <f t="shared" si="555"/>
        <v>32</v>
      </c>
      <c r="M423" s="318">
        <f>IF(N423&lt;&gt;"",IF(N423=$O$5,0,+M422+1),0)</f>
        <v>395</v>
      </c>
      <c r="N423" s="237">
        <f t="shared" si="645"/>
        <v>0</v>
      </c>
      <c r="O423" s="237">
        <f>IF($O$11&lt;=A423,IF(+$W422&lt;=0,0,$O$8),0)</f>
        <v>0</v>
      </c>
      <c r="P423" s="237">
        <f t="shared" si="624"/>
        <v>0</v>
      </c>
      <c r="Q423" s="237">
        <f>IF($O$11&lt;=A423,ROUND(N423*($O$7/12),2),0)</f>
        <v>0</v>
      </c>
      <c r="R423" s="237">
        <f t="shared" si="579"/>
        <v>51.5</v>
      </c>
      <c r="S423" s="237">
        <f t="shared" si="580"/>
        <v>145.09666666666666</v>
      </c>
      <c r="T423" s="237">
        <f t="shared" si="576"/>
        <v>196.59666666666666</v>
      </c>
      <c r="U423" s="237">
        <f t="shared" si="625"/>
        <v>325712.93999999989</v>
      </c>
      <c r="V423" s="237">
        <f t="shared" si="626"/>
        <v>575881.85999999975</v>
      </c>
      <c r="W423" s="237">
        <f t="shared" si="577"/>
        <v>0</v>
      </c>
      <c r="X423" s="398">
        <f t="shared" si="618"/>
        <v>58080</v>
      </c>
      <c r="Y423" s="237">
        <f t="shared" si="587"/>
        <v>0</v>
      </c>
      <c r="Z423" s="389">
        <f t="shared" si="612"/>
        <v>8.4999999999999992E-2</v>
      </c>
      <c r="AA423" s="237">
        <f t="shared" si="613"/>
        <v>0</v>
      </c>
      <c r="AB423" s="237">
        <f t="shared" si="588"/>
        <v>0</v>
      </c>
      <c r="AC423" s="237">
        <f t="shared" si="614"/>
        <v>0</v>
      </c>
      <c r="AD423" s="237">
        <f t="shared" ref="AD423:AE423" si="650">+AD422</f>
        <v>51.5</v>
      </c>
      <c r="AE423" s="237">
        <f t="shared" si="650"/>
        <v>145.09666666666666</v>
      </c>
      <c r="AF423" s="237">
        <f t="shared" si="590"/>
        <v>196.59666666666666</v>
      </c>
      <c r="AG423" s="237">
        <f t="shared" si="591"/>
        <v>325712.93999999989</v>
      </c>
      <c r="AH423" s="237">
        <f t="shared" si="592"/>
        <v>575881.85999999975</v>
      </c>
      <c r="AI423" s="405">
        <f t="shared" si="582"/>
        <v>0</v>
      </c>
      <c r="AJ423" s="405">
        <f t="shared" si="638"/>
        <v>0</v>
      </c>
      <c r="AK423" s="404">
        <f t="shared" si="583"/>
        <v>0</v>
      </c>
      <c r="AL423" s="237">
        <f t="shared" si="593"/>
        <v>0</v>
      </c>
      <c r="AM423" s="318">
        <f t="shared" si="620"/>
        <v>32</v>
      </c>
      <c r="AN423" s="21">
        <f t="shared" si="584"/>
        <v>0</v>
      </c>
      <c r="AO423" s="21">
        <f>IF(W423&lt;=0,0,+$AA$6-$C$2+I423-U423)</f>
        <v>0</v>
      </c>
      <c r="AP423" s="21">
        <f t="shared" si="585"/>
        <v>0</v>
      </c>
      <c r="AQ423" s="21"/>
      <c r="AR423" s="23"/>
      <c r="AS423" s="21">
        <f t="shared" si="616"/>
        <v>0</v>
      </c>
      <c r="AT423" s="21">
        <f t="shared" si="621"/>
        <v>0</v>
      </c>
      <c r="AU423" s="237">
        <f>IF(W423&lt;=0,0,+($O$5+AV422)*$AQ$2/12)</f>
        <v>0</v>
      </c>
      <c r="AV423" s="237">
        <f t="shared" si="622"/>
        <v>0</v>
      </c>
    </row>
    <row r="424" spans="1:48">
      <c r="A424" s="395">
        <f t="shared" si="571"/>
        <v>58110</v>
      </c>
      <c r="B424" s="188">
        <f t="shared" si="565"/>
        <v>26862.429999999942</v>
      </c>
      <c r="C424" s="14">
        <f t="shared" si="610"/>
        <v>559.88</v>
      </c>
      <c r="D424" s="14">
        <f t="shared" si="623"/>
        <v>459.15</v>
      </c>
      <c r="E424" s="14">
        <f t="shared" si="611"/>
        <v>100.73</v>
      </c>
      <c r="F424" s="14">
        <f t="shared" si="572"/>
        <v>51.5</v>
      </c>
      <c r="G424" s="14">
        <f t="shared" si="568"/>
        <v>145.09666666666666</v>
      </c>
      <c r="H424" s="14">
        <f t="shared" si="569"/>
        <v>756.47666666666669</v>
      </c>
      <c r="I424" s="188">
        <f t="shared" si="573"/>
        <v>96769.890000000058</v>
      </c>
      <c r="J424" s="188">
        <f t="shared" si="574"/>
        <v>132681.20000000004</v>
      </c>
      <c r="K424" s="188">
        <f t="shared" si="575"/>
        <v>26403.279999999941</v>
      </c>
      <c r="L424" s="317">
        <f t="shared" si="555"/>
        <v>33</v>
      </c>
      <c r="M424" s="317">
        <f>IF(N424&lt;&gt;"",IF(N424=$O$5,0,+M423+1),0)</f>
        <v>396</v>
      </c>
      <c r="N424" s="188">
        <f t="shared" si="645"/>
        <v>0</v>
      </c>
      <c r="O424" s="188">
        <f>IF($O$11&lt;=A424,IF(+$W423&lt;=0,0,$O$8),0)</f>
        <v>0</v>
      </c>
      <c r="P424" s="188">
        <f t="shared" si="624"/>
        <v>0</v>
      </c>
      <c r="Q424" s="188">
        <f>IF($O$11&lt;=A424,ROUND(N424*($O$7/12),2),0)</f>
        <v>0</v>
      </c>
      <c r="R424" s="188">
        <f t="shared" si="579"/>
        <v>51.5</v>
      </c>
      <c r="S424" s="188">
        <f t="shared" si="580"/>
        <v>145.09666666666666</v>
      </c>
      <c r="T424" s="188">
        <f t="shared" si="576"/>
        <v>196.59666666666666</v>
      </c>
      <c r="U424" s="188">
        <f t="shared" si="625"/>
        <v>325712.93999999989</v>
      </c>
      <c r="V424" s="188">
        <f t="shared" si="626"/>
        <v>575881.85999999975</v>
      </c>
      <c r="W424" s="188">
        <f t="shared" si="577"/>
        <v>0</v>
      </c>
      <c r="X424" s="395">
        <f t="shared" si="618"/>
        <v>58110</v>
      </c>
      <c r="Y424" s="188">
        <f t="shared" si="587"/>
        <v>0</v>
      </c>
      <c r="Z424" s="388">
        <f t="shared" si="612"/>
        <v>8.4999999999999992E-2</v>
      </c>
      <c r="AA424" s="188">
        <f t="shared" si="613"/>
        <v>0</v>
      </c>
      <c r="AB424" s="188">
        <f t="shared" si="588"/>
        <v>0</v>
      </c>
      <c r="AC424" s="188">
        <f t="shared" si="614"/>
        <v>0</v>
      </c>
      <c r="AD424" s="188">
        <f t="shared" ref="AD424:AE424" si="651">+AD423</f>
        <v>51.5</v>
      </c>
      <c r="AE424" s="188">
        <f t="shared" si="651"/>
        <v>145.09666666666666</v>
      </c>
      <c r="AF424" s="188">
        <f t="shared" si="590"/>
        <v>196.59666666666666</v>
      </c>
      <c r="AG424" s="188">
        <f t="shared" si="591"/>
        <v>325712.93999999989</v>
      </c>
      <c r="AH424" s="188">
        <f t="shared" si="592"/>
        <v>575881.85999999975</v>
      </c>
      <c r="AI424" s="404">
        <f t="shared" si="582"/>
        <v>0</v>
      </c>
      <c r="AJ424" s="404">
        <f t="shared" si="638"/>
        <v>0</v>
      </c>
      <c r="AK424" s="404">
        <f t="shared" si="583"/>
        <v>0</v>
      </c>
      <c r="AL424" s="188">
        <f t="shared" si="593"/>
        <v>0</v>
      </c>
      <c r="AM424" s="317">
        <f t="shared" si="620"/>
        <v>33</v>
      </c>
      <c r="AN424" s="14">
        <f t="shared" si="584"/>
        <v>0</v>
      </c>
      <c r="AO424" s="14">
        <f>IF(W424&lt;=0,0,+$AA$6-$C$2+I424-U424)</f>
        <v>0</v>
      </c>
      <c r="AP424" s="14">
        <f t="shared" si="585"/>
        <v>0</v>
      </c>
      <c r="AS424" s="14">
        <f t="shared" si="616"/>
        <v>0</v>
      </c>
      <c r="AT424" s="14">
        <f t="shared" si="621"/>
        <v>0</v>
      </c>
      <c r="AU424" s="188">
        <f>IF(W424&lt;=0,0,+($O$5+AV423)*$AQ$2/12)</f>
        <v>0</v>
      </c>
      <c r="AV424" s="188">
        <f t="shared" si="622"/>
        <v>0</v>
      </c>
    </row>
    <row r="425" spans="1:48">
      <c r="A425" s="395">
        <f t="shared" si="571"/>
        <v>58140</v>
      </c>
      <c r="B425" s="188">
        <f t="shared" si="565"/>
        <v>26403.279999999941</v>
      </c>
      <c r="C425" s="14">
        <f t="shared" si="610"/>
        <v>559.88</v>
      </c>
      <c r="D425" s="14">
        <f t="shared" si="623"/>
        <v>460.87</v>
      </c>
      <c r="E425" s="14">
        <f t="shared" si="611"/>
        <v>99.01</v>
      </c>
      <c r="F425" s="14">
        <f t="shared" si="572"/>
        <v>51.5</v>
      </c>
      <c r="G425" s="14">
        <f t="shared" si="568"/>
        <v>145.09666666666666</v>
      </c>
      <c r="H425" s="14">
        <f t="shared" si="569"/>
        <v>756.47666666666669</v>
      </c>
      <c r="I425" s="188">
        <f t="shared" si="573"/>
        <v>97230.760000000053</v>
      </c>
      <c r="J425" s="188">
        <f t="shared" si="574"/>
        <v>132780.21000000005</v>
      </c>
      <c r="K425" s="188">
        <f t="shared" si="575"/>
        <v>25942.409999999942</v>
      </c>
      <c r="L425" s="317">
        <f t="shared" si="555"/>
        <v>33</v>
      </c>
      <c r="M425" s="317">
        <f>IF(N425&lt;&gt;"",IF(N425=$O$5,0,+M424+1),0)</f>
        <v>397</v>
      </c>
      <c r="N425" s="188">
        <f t="shared" si="645"/>
        <v>0</v>
      </c>
      <c r="O425" s="188">
        <f>IF($O$11&lt;=A425,IF(+$W424&lt;=0,0,$O$8),0)</f>
        <v>0</v>
      </c>
      <c r="P425" s="188">
        <f t="shared" si="624"/>
        <v>0</v>
      </c>
      <c r="Q425" s="188">
        <f>IF($O$11&lt;=A425,ROUND(N425*($O$7/12),2),0)</f>
        <v>0</v>
      </c>
      <c r="R425" s="188">
        <f t="shared" si="579"/>
        <v>51.5</v>
      </c>
      <c r="S425" s="188">
        <f t="shared" si="580"/>
        <v>145.09666666666666</v>
      </c>
      <c r="T425" s="188">
        <f t="shared" si="576"/>
        <v>196.59666666666666</v>
      </c>
      <c r="U425" s="188">
        <f t="shared" si="625"/>
        <v>325712.93999999989</v>
      </c>
      <c r="V425" s="188">
        <f t="shared" si="626"/>
        <v>575881.85999999975</v>
      </c>
      <c r="W425" s="188">
        <f t="shared" si="577"/>
        <v>0</v>
      </c>
      <c r="X425" s="395">
        <f t="shared" si="618"/>
        <v>58140</v>
      </c>
      <c r="Y425" s="188">
        <f t="shared" si="587"/>
        <v>0</v>
      </c>
      <c r="Z425" s="388">
        <f t="shared" si="612"/>
        <v>8.4999999999999992E-2</v>
      </c>
      <c r="AA425" s="188">
        <f t="shared" si="613"/>
        <v>0</v>
      </c>
      <c r="AB425" s="188">
        <f t="shared" si="588"/>
        <v>0</v>
      </c>
      <c r="AC425" s="188">
        <f t="shared" si="614"/>
        <v>0</v>
      </c>
      <c r="AD425" s="188">
        <f t="shared" ref="AD425:AE425" si="652">+AD424</f>
        <v>51.5</v>
      </c>
      <c r="AE425" s="188">
        <f t="shared" si="652"/>
        <v>145.09666666666666</v>
      </c>
      <c r="AF425" s="188">
        <f t="shared" si="590"/>
        <v>196.59666666666666</v>
      </c>
      <c r="AG425" s="188">
        <f t="shared" si="591"/>
        <v>325712.93999999989</v>
      </c>
      <c r="AH425" s="188">
        <f t="shared" si="592"/>
        <v>575881.85999999975</v>
      </c>
      <c r="AI425" s="404">
        <f t="shared" si="582"/>
        <v>0</v>
      </c>
      <c r="AJ425" s="404">
        <f t="shared" si="638"/>
        <v>0</v>
      </c>
      <c r="AK425" s="404">
        <f t="shared" si="583"/>
        <v>0</v>
      </c>
      <c r="AL425" s="188">
        <f t="shared" si="593"/>
        <v>0</v>
      </c>
      <c r="AM425" s="317">
        <f t="shared" si="620"/>
        <v>33</v>
      </c>
      <c r="AN425" s="14">
        <f t="shared" si="584"/>
        <v>0</v>
      </c>
      <c r="AO425" s="14">
        <f>IF(W425&lt;=0,0,+$AA$6-$C$2+I425-U425)</f>
        <v>0</v>
      </c>
      <c r="AP425" s="14">
        <f t="shared" si="585"/>
        <v>0</v>
      </c>
      <c r="AS425" s="14">
        <f t="shared" si="616"/>
        <v>0</v>
      </c>
      <c r="AT425" s="14">
        <f t="shared" si="621"/>
        <v>0</v>
      </c>
      <c r="AU425" s="188">
        <f>IF(W425&lt;=0,0,+($O$5+AV424)*$AQ$2/12)</f>
        <v>0</v>
      </c>
      <c r="AV425" s="188">
        <f t="shared" si="622"/>
        <v>0</v>
      </c>
    </row>
    <row r="426" spans="1:48">
      <c r="A426" s="395">
        <f t="shared" si="571"/>
        <v>58170</v>
      </c>
      <c r="B426" s="188">
        <f t="shared" si="565"/>
        <v>25942.409999999942</v>
      </c>
      <c r="C426" s="14">
        <f t="shared" si="610"/>
        <v>559.88</v>
      </c>
      <c r="D426" s="14">
        <f t="shared" si="623"/>
        <v>462.6</v>
      </c>
      <c r="E426" s="14">
        <f t="shared" si="611"/>
        <v>97.28</v>
      </c>
      <c r="F426" s="14">
        <f t="shared" si="572"/>
        <v>51.5</v>
      </c>
      <c r="G426" s="14">
        <f t="shared" si="568"/>
        <v>145.09666666666666</v>
      </c>
      <c r="H426" s="14">
        <f t="shared" si="569"/>
        <v>756.47666666666669</v>
      </c>
      <c r="I426" s="188">
        <f t="shared" si="573"/>
        <v>97693.360000000059</v>
      </c>
      <c r="J426" s="188">
        <f t="shared" si="574"/>
        <v>132877.49000000005</v>
      </c>
      <c r="K426" s="188">
        <f t="shared" si="575"/>
        <v>25479.809999999943</v>
      </c>
      <c r="L426" s="317">
        <f t="shared" si="555"/>
        <v>33</v>
      </c>
      <c r="M426" s="317">
        <f>IF(N426&lt;&gt;"",IF(N426=$O$5,0,+M425+1),0)</f>
        <v>398</v>
      </c>
      <c r="N426" s="188">
        <f t="shared" si="645"/>
        <v>0</v>
      </c>
      <c r="O426" s="188">
        <f>IF($O$11&lt;=A426,IF(+$W425&lt;=0,0,$O$8),0)</f>
        <v>0</v>
      </c>
      <c r="P426" s="188">
        <f t="shared" si="624"/>
        <v>0</v>
      </c>
      <c r="Q426" s="188">
        <f>IF($O$11&lt;=A426,ROUND(N426*($O$7/12),2),0)</f>
        <v>0</v>
      </c>
      <c r="R426" s="188">
        <f t="shared" si="579"/>
        <v>51.5</v>
      </c>
      <c r="S426" s="188">
        <f t="shared" si="580"/>
        <v>145.09666666666666</v>
      </c>
      <c r="T426" s="188">
        <f t="shared" si="576"/>
        <v>196.59666666666666</v>
      </c>
      <c r="U426" s="188">
        <f t="shared" si="625"/>
        <v>325712.93999999989</v>
      </c>
      <c r="V426" s="188">
        <f t="shared" si="626"/>
        <v>575881.85999999975</v>
      </c>
      <c r="W426" s="188">
        <f t="shared" si="577"/>
        <v>0</v>
      </c>
      <c r="X426" s="395">
        <f t="shared" si="618"/>
        <v>58170</v>
      </c>
      <c r="Y426" s="188">
        <f t="shared" si="587"/>
        <v>0</v>
      </c>
      <c r="Z426" s="388">
        <f t="shared" si="612"/>
        <v>8.4999999999999992E-2</v>
      </c>
      <c r="AA426" s="188">
        <f t="shared" si="613"/>
        <v>0</v>
      </c>
      <c r="AB426" s="188">
        <f t="shared" si="588"/>
        <v>0</v>
      </c>
      <c r="AC426" s="188">
        <f t="shared" si="614"/>
        <v>0</v>
      </c>
      <c r="AD426" s="188">
        <f t="shared" ref="AD426:AE426" si="653">+AD425</f>
        <v>51.5</v>
      </c>
      <c r="AE426" s="188">
        <f t="shared" si="653"/>
        <v>145.09666666666666</v>
      </c>
      <c r="AF426" s="188">
        <f t="shared" si="590"/>
        <v>196.59666666666666</v>
      </c>
      <c r="AG426" s="188">
        <f t="shared" si="591"/>
        <v>325712.93999999989</v>
      </c>
      <c r="AH426" s="188">
        <f t="shared" si="592"/>
        <v>575881.85999999975</v>
      </c>
      <c r="AI426" s="404">
        <f t="shared" si="582"/>
        <v>0</v>
      </c>
      <c r="AJ426" s="404">
        <f t="shared" si="638"/>
        <v>0</v>
      </c>
      <c r="AK426" s="404">
        <f t="shared" si="583"/>
        <v>0</v>
      </c>
      <c r="AL426" s="188">
        <f t="shared" si="593"/>
        <v>0</v>
      </c>
      <c r="AM426" s="317">
        <f t="shared" si="620"/>
        <v>33</v>
      </c>
      <c r="AN426" s="14">
        <f t="shared" si="584"/>
        <v>0</v>
      </c>
      <c r="AO426" s="14">
        <f>IF(W426&lt;=0,0,+$AA$6-$C$2+I426-U426)</f>
        <v>0</v>
      </c>
      <c r="AP426" s="14">
        <f t="shared" si="585"/>
        <v>0</v>
      </c>
      <c r="AS426" s="14">
        <f t="shared" si="616"/>
        <v>0</v>
      </c>
      <c r="AT426" s="14">
        <f t="shared" si="621"/>
        <v>0</v>
      </c>
      <c r="AU426" s="188">
        <f>IF(W426&lt;=0,0,+($O$5+AV425)*$AQ$2/12)</f>
        <v>0</v>
      </c>
      <c r="AV426" s="188">
        <f t="shared" si="622"/>
        <v>0</v>
      </c>
    </row>
    <row r="427" spans="1:48">
      <c r="A427" s="395">
        <f t="shared" si="571"/>
        <v>58200</v>
      </c>
      <c r="B427" s="188">
        <f t="shared" si="565"/>
        <v>25479.809999999943</v>
      </c>
      <c r="C427" s="14">
        <f t="shared" si="610"/>
        <v>559.88</v>
      </c>
      <c r="D427" s="14">
        <f t="shared" si="623"/>
        <v>464.33</v>
      </c>
      <c r="E427" s="14">
        <f t="shared" si="611"/>
        <v>95.55</v>
      </c>
      <c r="F427" s="14">
        <f t="shared" si="572"/>
        <v>51.5</v>
      </c>
      <c r="G427" s="14">
        <f t="shared" si="568"/>
        <v>145.09666666666666</v>
      </c>
      <c r="H427" s="14">
        <f t="shared" si="569"/>
        <v>756.47666666666669</v>
      </c>
      <c r="I427" s="188">
        <f t="shared" si="573"/>
        <v>98157.690000000061</v>
      </c>
      <c r="J427" s="188">
        <f t="shared" si="574"/>
        <v>132973.04000000004</v>
      </c>
      <c r="K427" s="188">
        <f t="shared" si="575"/>
        <v>25015.479999999941</v>
      </c>
      <c r="L427" s="317">
        <f t="shared" si="555"/>
        <v>33</v>
      </c>
      <c r="M427" s="317">
        <f>IF(N427&lt;&gt;"",IF(N427=$O$5,0,+M426+1),0)</f>
        <v>399</v>
      </c>
      <c r="N427" s="188">
        <f t="shared" si="645"/>
        <v>0</v>
      </c>
      <c r="O427" s="188">
        <f>IF($O$11&lt;=A427,IF(+$W426&lt;=0,0,$O$8),0)</f>
        <v>0</v>
      </c>
      <c r="P427" s="188">
        <f t="shared" si="624"/>
        <v>0</v>
      </c>
      <c r="Q427" s="188">
        <f>IF($O$11&lt;=A427,ROUND(N427*($O$7/12),2),0)</f>
        <v>0</v>
      </c>
      <c r="R427" s="188">
        <f t="shared" si="579"/>
        <v>51.5</v>
      </c>
      <c r="S427" s="188">
        <f t="shared" si="580"/>
        <v>145.09666666666666</v>
      </c>
      <c r="T427" s="188">
        <f t="shared" si="576"/>
        <v>196.59666666666666</v>
      </c>
      <c r="U427" s="188">
        <f t="shared" si="625"/>
        <v>325712.93999999989</v>
      </c>
      <c r="V427" s="188">
        <f t="shared" si="626"/>
        <v>575881.85999999975</v>
      </c>
      <c r="W427" s="188">
        <f t="shared" si="577"/>
        <v>0</v>
      </c>
      <c r="X427" s="395">
        <f t="shared" si="618"/>
        <v>58200</v>
      </c>
      <c r="Y427" s="188">
        <f t="shared" si="587"/>
        <v>0</v>
      </c>
      <c r="Z427" s="388">
        <f t="shared" si="612"/>
        <v>8.4999999999999992E-2</v>
      </c>
      <c r="AA427" s="188">
        <f t="shared" si="613"/>
        <v>0</v>
      </c>
      <c r="AB427" s="188">
        <f t="shared" si="588"/>
        <v>0</v>
      </c>
      <c r="AC427" s="188">
        <f t="shared" si="614"/>
        <v>0</v>
      </c>
      <c r="AD427" s="188">
        <f t="shared" ref="AD427:AE427" si="654">+AD426</f>
        <v>51.5</v>
      </c>
      <c r="AE427" s="188">
        <f t="shared" si="654"/>
        <v>145.09666666666666</v>
      </c>
      <c r="AF427" s="188">
        <f t="shared" si="590"/>
        <v>196.59666666666666</v>
      </c>
      <c r="AG427" s="188">
        <f t="shared" si="591"/>
        <v>325712.93999999989</v>
      </c>
      <c r="AH427" s="188">
        <f t="shared" si="592"/>
        <v>575881.85999999975</v>
      </c>
      <c r="AI427" s="404">
        <f t="shared" si="582"/>
        <v>0</v>
      </c>
      <c r="AJ427" s="404">
        <f t="shared" si="638"/>
        <v>0</v>
      </c>
      <c r="AK427" s="404">
        <f t="shared" si="583"/>
        <v>0</v>
      </c>
      <c r="AL427" s="188">
        <f t="shared" si="593"/>
        <v>0</v>
      </c>
      <c r="AM427" s="317">
        <f t="shared" si="620"/>
        <v>33</v>
      </c>
      <c r="AN427" s="14">
        <f t="shared" si="584"/>
        <v>0</v>
      </c>
      <c r="AO427" s="14">
        <f>IF(W427&lt;=0,0,+$AA$6-$C$2+I427-U427)</f>
        <v>0</v>
      </c>
      <c r="AP427" s="14">
        <f t="shared" si="585"/>
        <v>0</v>
      </c>
      <c r="AS427" s="14">
        <f t="shared" si="616"/>
        <v>0</v>
      </c>
      <c r="AT427" s="14">
        <f t="shared" si="621"/>
        <v>0</v>
      </c>
      <c r="AU427" s="188">
        <f>IF(W427&lt;=0,0,+($O$5+AV426)*$AQ$2/12)</f>
        <v>0</v>
      </c>
      <c r="AV427" s="188">
        <f t="shared" si="622"/>
        <v>0</v>
      </c>
    </row>
    <row r="428" spans="1:48">
      <c r="A428" s="395">
        <f t="shared" si="571"/>
        <v>58230</v>
      </c>
      <c r="B428" s="188">
        <f t="shared" si="565"/>
        <v>25015.479999999941</v>
      </c>
      <c r="C428" s="14">
        <f t="shared" si="610"/>
        <v>559.88</v>
      </c>
      <c r="D428" s="14">
        <f t="shared" si="623"/>
        <v>466.07</v>
      </c>
      <c r="E428" s="14">
        <f t="shared" si="611"/>
        <v>93.81</v>
      </c>
      <c r="F428" s="14">
        <f t="shared" si="572"/>
        <v>51.5</v>
      </c>
      <c r="G428" s="14">
        <f t="shared" si="568"/>
        <v>145.09666666666666</v>
      </c>
      <c r="H428" s="14">
        <f t="shared" si="569"/>
        <v>756.47666666666669</v>
      </c>
      <c r="I428" s="188">
        <f t="shared" si="573"/>
        <v>98623.760000000068</v>
      </c>
      <c r="J428" s="188">
        <f t="shared" si="574"/>
        <v>133066.85000000003</v>
      </c>
      <c r="K428" s="188">
        <f t="shared" si="575"/>
        <v>24549.409999999942</v>
      </c>
      <c r="L428" s="317">
        <f t="shared" si="555"/>
        <v>33</v>
      </c>
      <c r="M428" s="317">
        <f>IF(N428&lt;&gt;"",IF(N428=$O$5,0,+M427+1),0)</f>
        <v>400</v>
      </c>
      <c r="N428" s="188">
        <f t="shared" si="645"/>
        <v>0</v>
      </c>
      <c r="O428" s="188">
        <f>IF($O$11&lt;=A428,IF(+$W427&lt;=0,0,$O$8),0)</f>
        <v>0</v>
      </c>
      <c r="P428" s="188">
        <f t="shared" si="624"/>
        <v>0</v>
      </c>
      <c r="Q428" s="188">
        <f>IF($O$11&lt;=A428,ROUND(N428*($O$7/12),2),0)</f>
        <v>0</v>
      </c>
      <c r="R428" s="188">
        <f t="shared" si="579"/>
        <v>51.5</v>
      </c>
      <c r="S428" s="188">
        <f t="shared" si="580"/>
        <v>145.09666666666666</v>
      </c>
      <c r="T428" s="188">
        <f t="shared" si="576"/>
        <v>196.59666666666666</v>
      </c>
      <c r="U428" s="188">
        <f t="shared" si="625"/>
        <v>325712.93999999989</v>
      </c>
      <c r="V428" s="188">
        <f t="shared" si="626"/>
        <v>575881.85999999975</v>
      </c>
      <c r="W428" s="188">
        <f t="shared" si="577"/>
        <v>0</v>
      </c>
      <c r="X428" s="395">
        <f t="shared" si="618"/>
        <v>58230</v>
      </c>
      <c r="Y428" s="188">
        <f t="shared" si="587"/>
        <v>0</v>
      </c>
      <c r="Z428" s="388">
        <f t="shared" si="612"/>
        <v>8.4999999999999992E-2</v>
      </c>
      <c r="AA428" s="188">
        <f t="shared" si="613"/>
        <v>0</v>
      </c>
      <c r="AB428" s="188">
        <f t="shared" si="588"/>
        <v>0</v>
      </c>
      <c r="AC428" s="188">
        <f t="shared" si="614"/>
        <v>0</v>
      </c>
      <c r="AD428" s="188">
        <f t="shared" ref="AD428:AE428" si="655">+AD427</f>
        <v>51.5</v>
      </c>
      <c r="AE428" s="188">
        <f t="shared" si="655"/>
        <v>145.09666666666666</v>
      </c>
      <c r="AF428" s="188">
        <f t="shared" si="590"/>
        <v>196.59666666666666</v>
      </c>
      <c r="AG428" s="188">
        <f t="shared" si="591"/>
        <v>325712.93999999989</v>
      </c>
      <c r="AH428" s="188">
        <f t="shared" si="592"/>
        <v>575881.85999999975</v>
      </c>
      <c r="AI428" s="404">
        <f t="shared" si="582"/>
        <v>0</v>
      </c>
      <c r="AJ428" s="404">
        <f t="shared" si="638"/>
        <v>0</v>
      </c>
      <c r="AK428" s="404">
        <f t="shared" si="583"/>
        <v>0</v>
      </c>
      <c r="AL428" s="188">
        <f t="shared" si="593"/>
        <v>0</v>
      </c>
      <c r="AM428" s="317">
        <f t="shared" si="620"/>
        <v>33</v>
      </c>
      <c r="AN428" s="14">
        <f t="shared" si="584"/>
        <v>0</v>
      </c>
      <c r="AO428" s="14">
        <f>IF(W428&lt;=0,0,+$AA$6-$C$2+I428-U428)</f>
        <v>0</v>
      </c>
      <c r="AP428" s="14">
        <f t="shared" si="585"/>
        <v>0</v>
      </c>
      <c r="AS428" s="14">
        <f t="shared" si="616"/>
        <v>0</v>
      </c>
      <c r="AT428" s="14">
        <f t="shared" si="621"/>
        <v>0</v>
      </c>
      <c r="AU428" s="188">
        <f>IF(W428&lt;=0,0,+($O$5+AV427)*$AQ$2/12)</f>
        <v>0</v>
      </c>
      <c r="AV428" s="188">
        <f t="shared" si="622"/>
        <v>0</v>
      </c>
    </row>
    <row r="429" spans="1:48">
      <c r="A429" s="395">
        <f t="shared" si="571"/>
        <v>58260</v>
      </c>
      <c r="B429" s="188">
        <f t="shared" si="565"/>
        <v>24549.409999999942</v>
      </c>
      <c r="C429" s="14">
        <f t="shared" si="610"/>
        <v>559.88</v>
      </c>
      <c r="D429" s="14">
        <f t="shared" si="623"/>
        <v>467.82</v>
      </c>
      <c r="E429" s="14">
        <f t="shared" si="611"/>
        <v>92.06</v>
      </c>
      <c r="F429" s="14">
        <f t="shared" si="572"/>
        <v>51.5</v>
      </c>
      <c r="G429" s="14">
        <f t="shared" si="568"/>
        <v>145.09666666666666</v>
      </c>
      <c r="H429" s="14">
        <f t="shared" si="569"/>
        <v>756.47666666666669</v>
      </c>
      <c r="I429" s="188">
        <f t="shared" si="573"/>
        <v>99091.580000000075</v>
      </c>
      <c r="J429" s="188">
        <f t="shared" si="574"/>
        <v>133158.91000000003</v>
      </c>
      <c r="K429" s="188">
        <f t="shared" si="575"/>
        <v>24081.589999999942</v>
      </c>
      <c r="L429" s="317">
        <f t="shared" si="555"/>
        <v>33</v>
      </c>
      <c r="M429" s="317">
        <f>IF(N429&lt;&gt;"",IF(N429=$O$5,0,+M428+1),0)</f>
        <v>401</v>
      </c>
      <c r="N429" s="188">
        <f t="shared" si="645"/>
        <v>0</v>
      </c>
      <c r="O429" s="188">
        <f>IF($O$11&lt;=A429,IF(+$W428&lt;=0,0,$O$8),0)</f>
        <v>0</v>
      </c>
      <c r="P429" s="188">
        <f t="shared" si="624"/>
        <v>0</v>
      </c>
      <c r="Q429" s="188">
        <f>IF($O$11&lt;=A429,ROUND(N429*($O$7/12),2),0)</f>
        <v>0</v>
      </c>
      <c r="R429" s="188">
        <f t="shared" si="579"/>
        <v>51.5</v>
      </c>
      <c r="S429" s="188">
        <f t="shared" si="580"/>
        <v>145.09666666666666</v>
      </c>
      <c r="T429" s="188">
        <f t="shared" si="576"/>
        <v>196.59666666666666</v>
      </c>
      <c r="U429" s="188">
        <f t="shared" si="625"/>
        <v>325712.93999999989</v>
      </c>
      <c r="V429" s="188">
        <f t="shared" si="626"/>
        <v>575881.85999999975</v>
      </c>
      <c r="W429" s="188">
        <f t="shared" si="577"/>
        <v>0</v>
      </c>
      <c r="X429" s="395">
        <f t="shared" si="618"/>
        <v>58260</v>
      </c>
      <c r="Y429" s="188">
        <f t="shared" si="587"/>
        <v>0</v>
      </c>
      <c r="Z429" s="388">
        <f t="shared" si="612"/>
        <v>8.4999999999999992E-2</v>
      </c>
      <c r="AA429" s="188">
        <f t="shared" si="613"/>
        <v>0</v>
      </c>
      <c r="AB429" s="188">
        <f t="shared" si="588"/>
        <v>0</v>
      </c>
      <c r="AC429" s="188">
        <f t="shared" si="614"/>
        <v>0</v>
      </c>
      <c r="AD429" s="188">
        <f t="shared" ref="AD429:AE429" si="656">+AD428</f>
        <v>51.5</v>
      </c>
      <c r="AE429" s="188">
        <f t="shared" si="656"/>
        <v>145.09666666666666</v>
      </c>
      <c r="AF429" s="188">
        <f t="shared" si="590"/>
        <v>196.59666666666666</v>
      </c>
      <c r="AG429" s="188">
        <f t="shared" si="591"/>
        <v>325712.93999999989</v>
      </c>
      <c r="AH429" s="188">
        <f t="shared" si="592"/>
        <v>575881.85999999975</v>
      </c>
      <c r="AI429" s="404">
        <f t="shared" si="582"/>
        <v>0</v>
      </c>
      <c r="AJ429" s="404">
        <f t="shared" si="638"/>
        <v>0</v>
      </c>
      <c r="AK429" s="404">
        <f t="shared" si="583"/>
        <v>0</v>
      </c>
      <c r="AL429" s="188">
        <f t="shared" si="593"/>
        <v>0</v>
      </c>
      <c r="AM429" s="317">
        <f t="shared" si="620"/>
        <v>33</v>
      </c>
      <c r="AN429" s="14">
        <f t="shared" si="584"/>
        <v>0</v>
      </c>
      <c r="AO429" s="14">
        <f>IF(W429&lt;=0,0,+$AA$6-$C$2+I429-U429)</f>
        <v>0</v>
      </c>
      <c r="AP429" s="14">
        <f t="shared" si="585"/>
        <v>0</v>
      </c>
      <c r="AS429" s="14">
        <f t="shared" si="616"/>
        <v>0</v>
      </c>
      <c r="AT429" s="14">
        <f t="shared" si="621"/>
        <v>0</v>
      </c>
      <c r="AU429" s="188">
        <f>IF(W429&lt;=0,0,+($O$5+AV428)*$AQ$2/12)</f>
        <v>0</v>
      </c>
      <c r="AV429" s="188">
        <f t="shared" si="622"/>
        <v>0</v>
      </c>
    </row>
    <row r="430" spans="1:48">
      <c r="A430" s="395">
        <f t="shared" si="571"/>
        <v>58290</v>
      </c>
      <c r="B430" s="188">
        <f t="shared" si="565"/>
        <v>24081.589999999942</v>
      </c>
      <c r="C430" s="14">
        <f t="shared" si="610"/>
        <v>559.88</v>
      </c>
      <c r="D430" s="14">
        <f t="shared" si="623"/>
        <v>469.57</v>
      </c>
      <c r="E430" s="14">
        <f t="shared" si="611"/>
        <v>90.31</v>
      </c>
      <c r="F430" s="14">
        <f t="shared" si="572"/>
        <v>51.5</v>
      </c>
      <c r="G430" s="14">
        <f t="shared" si="568"/>
        <v>145.09666666666666</v>
      </c>
      <c r="H430" s="14">
        <f t="shared" si="569"/>
        <v>756.47666666666669</v>
      </c>
      <c r="I430" s="188">
        <f t="shared" si="573"/>
        <v>99561.150000000081</v>
      </c>
      <c r="J430" s="188">
        <f t="shared" si="574"/>
        <v>133249.22000000003</v>
      </c>
      <c r="K430" s="188">
        <f t="shared" si="575"/>
        <v>23612.019999999942</v>
      </c>
      <c r="L430" s="317">
        <f t="shared" si="555"/>
        <v>33</v>
      </c>
      <c r="M430" s="317">
        <f>IF(N430&lt;&gt;"",IF(N430=$O$5,0,+M429+1),0)</f>
        <v>402</v>
      </c>
      <c r="N430" s="188">
        <f t="shared" si="645"/>
        <v>0</v>
      </c>
      <c r="O430" s="188">
        <f>IF($O$11&lt;=A430,IF(+$W429&lt;=0,0,$O$8),0)</f>
        <v>0</v>
      </c>
      <c r="P430" s="188">
        <f t="shared" si="624"/>
        <v>0</v>
      </c>
      <c r="Q430" s="188">
        <f>IF($O$11&lt;=A430,ROUND(N430*($O$7/12),2),0)</f>
        <v>0</v>
      </c>
      <c r="R430" s="188">
        <f t="shared" si="579"/>
        <v>51.5</v>
      </c>
      <c r="S430" s="188">
        <f t="shared" si="580"/>
        <v>145.09666666666666</v>
      </c>
      <c r="T430" s="188">
        <f t="shared" si="576"/>
        <v>196.59666666666666</v>
      </c>
      <c r="U430" s="188">
        <f t="shared" si="625"/>
        <v>325712.93999999989</v>
      </c>
      <c r="V430" s="188">
        <f t="shared" si="626"/>
        <v>575881.85999999975</v>
      </c>
      <c r="W430" s="188">
        <f t="shared" si="577"/>
        <v>0</v>
      </c>
      <c r="X430" s="395">
        <f t="shared" si="618"/>
        <v>58290</v>
      </c>
      <c r="Y430" s="188">
        <f t="shared" si="587"/>
        <v>0</v>
      </c>
      <c r="Z430" s="388">
        <f t="shared" si="612"/>
        <v>8.4999999999999992E-2</v>
      </c>
      <c r="AA430" s="188">
        <f t="shared" si="613"/>
        <v>0</v>
      </c>
      <c r="AB430" s="188">
        <f t="shared" si="588"/>
        <v>0</v>
      </c>
      <c r="AC430" s="188">
        <f t="shared" si="614"/>
        <v>0</v>
      </c>
      <c r="AD430" s="188">
        <f t="shared" ref="AD430:AE430" si="657">+AD429</f>
        <v>51.5</v>
      </c>
      <c r="AE430" s="188">
        <f t="shared" si="657"/>
        <v>145.09666666666666</v>
      </c>
      <c r="AF430" s="188">
        <f t="shared" si="590"/>
        <v>196.59666666666666</v>
      </c>
      <c r="AG430" s="188">
        <f t="shared" si="591"/>
        <v>325712.93999999989</v>
      </c>
      <c r="AH430" s="188">
        <f t="shared" si="592"/>
        <v>575881.85999999975</v>
      </c>
      <c r="AI430" s="404">
        <f t="shared" si="582"/>
        <v>0</v>
      </c>
      <c r="AJ430" s="404">
        <f t="shared" si="638"/>
        <v>0</v>
      </c>
      <c r="AK430" s="404">
        <f t="shared" si="583"/>
        <v>0</v>
      </c>
      <c r="AL430" s="188">
        <f t="shared" si="593"/>
        <v>0</v>
      </c>
      <c r="AM430" s="317">
        <f t="shared" si="620"/>
        <v>33</v>
      </c>
      <c r="AN430" s="14">
        <f t="shared" si="584"/>
        <v>0</v>
      </c>
      <c r="AO430" s="14">
        <f>IF(W430&lt;=0,0,+$AA$6-$C$2+I430-U430)</f>
        <v>0</v>
      </c>
      <c r="AP430" s="14">
        <f t="shared" si="585"/>
        <v>0</v>
      </c>
      <c r="AS430" s="14">
        <f t="shared" si="616"/>
        <v>0</v>
      </c>
      <c r="AT430" s="14">
        <f t="shared" si="621"/>
        <v>0</v>
      </c>
      <c r="AU430" s="188">
        <f>IF(W430&lt;=0,0,+($O$5+AV429)*$AQ$2/12)</f>
        <v>0</v>
      </c>
      <c r="AV430" s="188">
        <f t="shared" si="622"/>
        <v>0</v>
      </c>
    </row>
    <row r="431" spans="1:48">
      <c r="A431" s="395">
        <f t="shared" si="571"/>
        <v>58320</v>
      </c>
      <c r="B431" s="188">
        <f t="shared" si="565"/>
        <v>23612.019999999942</v>
      </c>
      <c r="C431" s="14">
        <f t="shared" si="610"/>
        <v>559.88</v>
      </c>
      <c r="D431" s="14">
        <f t="shared" si="623"/>
        <v>471.33</v>
      </c>
      <c r="E431" s="14">
        <f t="shared" si="611"/>
        <v>88.55</v>
      </c>
      <c r="F431" s="14">
        <f t="shared" si="572"/>
        <v>51.5</v>
      </c>
      <c r="G431" s="14">
        <f t="shared" si="568"/>
        <v>145.09666666666666</v>
      </c>
      <c r="H431" s="14">
        <f t="shared" si="569"/>
        <v>756.47666666666669</v>
      </c>
      <c r="I431" s="188">
        <f t="shared" si="573"/>
        <v>100032.48000000008</v>
      </c>
      <c r="J431" s="188">
        <f t="shared" si="574"/>
        <v>133337.77000000002</v>
      </c>
      <c r="K431" s="188">
        <f t="shared" si="575"/>
        <v>23140.68999999994</v>
      </c>
      <c r="L431" s="317">
        <f t="shared" si="555"/>
        <v>33</v>
      </c>
      <c r="M431" s="317">
        <f>IF(N431&lt;&gt;"",IF(N431=$O$5,0,+M430+1),0)</f>
        <v>403</v>
      </c>
      <c r="N431" s="188">
        <f t="shared" si="645"/>
        <v>0</v>
      </c>
      <c r="O431" s="188">
        <f>IF($O$11&lt;=A431,IF(+$W430&lt;=0,0,$O$8),0)</f>
        <v>0</v>
      </c>
      <c r="P431" s="188">
        <f t="shared" si="624"/>
        <v>0</v>
      </c>
      <c r="Q431" s="188">
        <f>IF($O$11&lt;=A431,ROUND(N431*($O$7/12),2),0)</f>
        <v>0</v>
      </c>
      <c r="R431" s="188">
        <f t="shared" si="579"/>
        <v>51.5</v>
      </c>
      <c r="S431" s="188">
        <f t="shared" si="580"/>
        <v>145.09666666666666</v>
      </c>
      <c r="T431" s="188">
        <f t="shared" si="576"/>
        <v>196.59666666666666</v>
      </c>
      <c r="U431" s="188">
        <f t="shared" si="625"/>
        <v>325712.93999999989</v>
      </c>
      <c r="V431" s="188">
        <f t="shared" si="626"/>
        <v>575881.85999999975</v>
      </c>
      <c r="W431" s="188">
        <f t="shared" si="577"/>
        <v>0</v>
      </c>
      <c r="X431" s="395">
        <f t="shared" si="618"/>
        <v>58320</v>
      </c>
      <c r="Y431" s="188">
        <f t="shared" si="587"/>
        <v>0</v>
      </c>
      <c r="Z431" s="388">
        <f t="shared" si="612"/>
        <v>8.4999999999999992E-2</v>
      </c>
      <c r="AA431" s="188">
        <f t="shared" si="613"/>
        <v>0</v>
      </c>
      <c r="AB431" s="188">
        <f t="shared" si="588"/>
        <v>0</v>
      </c>
      <c r="AC431" s="188">
        <f t="shared" si="614"/>
        <v>0</v>
      </c>
      <c r="AD431" s="188">
        <f t="shared" ref="AD431:AE431" si="658">+AD430</f>
        <v>51.5</v>
      </c>
      <c r="AE431" s="188">
        <f t="shared" si="658"/>
        <v>145.09666666666666</v>
      </c>
      <c r="AF431" s="188">
        <f t="shared" si="590"/>
        <v>196.59666666666666</v>
      </c>
      <c r="AG431" s="188">
        <f t="shared" si="591"/>
        <v>325712.93999999989</v>
      </c>
      <c r="AH431" s="188">
        <f t="shared" si="592"/>
        <v>575881.85999999975</v>
      </c>
      <c r="AI431" s="404">
        <f t="shared" si="582"/>
        <v>0</v>
      </c>
      <c r="AJ431" s="404">
        <f t="shared" si="638"/>
        <v>0</v>
      </c>
      <c r="AK431" s="404">
        <f t="shared" si="583"/>
        <v>0</v>
      </c>
      <c r="AL431" s="188">
        <f t="shared" si="593"/>
        <v>0</v>
      </c>
      <c r="AM431" s="317">
        <f t="shared" si="620"/>
        <v>33</v>
      </c>
      <c r="AN431" s="14">
        <f t="shared" si="584"/>
        <v>0</v>
      </c>
      <c r="AO431" s="14">
        <f>IF(W431&lt;=0,0,+$AA$6-$C$2+I431-U431)</f>
        <v>0</v>
      </c>
      <c r="AP431" s="14">
        <f t="shared" si="585"/>
        <v>0</v>
      </c>
      <c r="AS431" s="14">
        <f t="shared" si="616"/>
        <v>0</v>
      </c>
      <c r="AT431" s="14">
        <f t="shared" si="621"/>
        <v>0</v>
      </c>
      <c r="AU431" s="188">
        <f>IF(W431&lt;=0,0,+($O$5+AV430)*$AQ$2/12)</f>
        <v>0</v>
      </c>
      <c r="AV431" s="188">
        <f t="shared" si="622"/>
        <v>0</v>
      </c>
    </row>
    <row r="432" spans="1:48">
      <c r="A432" s="395">
        <f t="shared" si="571"/>
        <v>58350</v>
      </c>
      <c r="B432" s="188">
        <f t="shared" si="565"/>
        <v>23140.68999999994</v>
      </c>
      <c r="C432" s="14">
        <f t="shared" si="610"/>
        <v>559.88</v>
      </c>
      <c r="D432" s="14">
        <f t="shared" si="623"/>
        <v>473.1</v>
      </c>
      <c r="E432" s="14">
        <f t="shared" si="611"/>
        <v>86.78</v>
      </c>
      <c r="F432" s="14">
        <f t="shared" si="572"/>
        <v>51.5</v>
      </c>
      <c r="G432" s="14">
        <f t="shared" si="568"/>
        <v>145.09666666666666</v>
      </c>
      <c r="H432" s="14">
        <f t="shared" si="569"/>
        <v>756.47666666666669</v>
      </c>
      <c r="I432" s="188">
        <f t="shared" si="573"/>
        <v>100505.58000000009</v>
      </c>
      <c r="J432" s="188">
        <f t="shared" si="574"/>
        <v>133424.55000000002</v>
      </c>
      <c r="K432" s="188">
        <f t="shared" si="575"/>
        <v>22667.589999999942</v>
      </c>
      <c r="L432" s="317">
        <f t="shared" ref="L432:L495" si="659">IF(MOD(M432,12)=0,M432/12,L431)</f>
        <v>33</v>
      </c>
      <c r="M432" s="317">
        <f>IF(N432&lt;&gt;"",IF(N432=$O$5,0,+M431+1),0)</f>
        <v>404</v>
      </c>
      <c r="N432" s="188">
        <f t="shared" si="645"/>
        <v>0</v>
      </c>
      <c r="O432" s="188">
        <f>IF($O$11&lt;=A432,IF(+$W431&lt;=0,0,$O$8),0)</f>
        <v>0</v>
      </c>
      <c r="P432" s="188">
        <f t="shared" si="624"/>
        <v>0</v>
      </c>
      <c r="Q432" s="188">
        <f>IF($O$11&lt;=A432,ROUND(N432*($O$7/12),2),0)</f>
        <v>0</v>
      </c>
      <c r="R432" s="188">
        <f t="shared" si="579"/>
        <v>51.5</v>
      </c>
      <c r="S432" s="188">
        <f t="shared" si="580"/>
        <v>145.09666666666666</v>
      </c>
      <c r="T432" s="188">
        <f t="shared" si="576"/>
        <v>196.59666666666666</v>
      </c>
      <c r="U432" s="188">
        <f t="shared" si="625"/>
        <v>325712.93999999989</v>
      </c>
      <c r="V432" s="188">
        <f t="shared" si="626"/>
        <v>575881.85999999975</v>
      </c>
      <c r="W432" s="188">
        <f t="shared" si="577"/>
        <v>0</v>
      </c>
      <c r="X432" s="395">
        <f t="shared" si="618"/>
        <v>58350</v>
      </c>
      <c r="Y432" s="188">
        <f t="shared" si="587"/>
        <v>0</v>
      </c>
      <c r="Z432" s="388">
        <f t="shared" si="612"/>
        <v>8.4999999999999992E-2</v>
      </c>
      <c r="AA432" s="188">
        <f t="shared" si="613"/>
        <v>0</v>
      </c>
      <c r="AB432" s="188">
        <f t="shared" si="588"/>
        <v>0</v>
      </c>
      <c r="AC432" s="188">
        <f t="shared" si="614"/>
        <v>0</v>
      </c>
      <c r="AD432" s="188">
        <f t="shared" ref="AD432:AE432" si="660">+AD431</f>
        <v>51.5</v>
      </c>
      <c r="AE432" s="188">
        <f t="shared" si="660"/>
        <v>145.09666666666666</v>
      </c>
      <c r="AF432" s="188">
        <f t="shared" si="590"/>
        <v>196.59666666666666</v>
      </c>
      <c r="AG432" s="188">
        <f t="shared" si="591"/>
        <v>325712.93999999989</v>
      </c>
      <c r="AH432" s="188">
        <f t="shared" si="592"/>
        <v>575881.85999999975</v>
      </c>
      <c r="AI432" s="404">
        <f t="shared" si="582"/>
        <v>0</v>
      </c>
      <c r="AJ432" s="404">
        <f t="shared" si="638"/>
        <v>0</v>
      </c>
      <c r="AK432" s="404">
        <f t="shared" si="583"/>
        <v>0</v>
      </c>
      <c r="AL432" s="188">
        <f t="shared" si="593"/>
        <v>0</v>
      </c>
      <c r="AM432" s="317">
        <f t="shared" si="620"/>
        <v>33</v>
      </c>
      <c r="AN432" s="14">
        <f t="shared" si="584"/>
        <v>0</v>
      </c>
      <c r="AO432" s="14">
        <f>IF(W432&lt;=0,0,+$AA$6-$C$2+I432-U432)</f>
        <v>0</v>
      </c>
      <c r="AP432" s="14">
        <f t="shared" si="585"/>
        <v>0</v>
      </c>
      <c r="AS432" s="14">
        <f t="shared" si="616"/>
        <v>0</v>
      </c>
      <c r="AT432" s="14">
        <f t="shared" si="621"/>
        <v>0</v>
      </c>
      <c r="AU432" s="188">
        <f>IF(W432&lt;=0,0,+($O$5+AV431)*$AQ$2/12)</f>
        <v>0</v>
      </c>
      <c r="AV432" s="188">
        <f t="shared" si="622"/>
        <v>0</v>
      </c>
    </row>
    <row r="433" spans="1:48">
      <c r="A433" s="395">
        <f t="shared" si="571"/>
        <v>58380</v>
      </c>
      <c r="B433" s="188">
        <f t="shared" si="565"/>
        <v>22667.589999999942</v>
      </c>
      <c r="C433" s="14">
        <f t="shared" si="610"/>
        <v>559.88</v>
      </c>
      <c r="D433" s="14">
        <f t="shared" si="623"/>
        <v>474.88</v>
      </c>
      <c r="E433" s="14">
        <f t="shared" si="611"/>
        <v>85</v>
      </c>
      <c r="F433" s="14">
        <f t="shared" si="572"/>
        <v>51.5</v>
      </c>
      <c r="G433" s="14">
        <f t="shared" si="568"/>
        <v>145.09666666666666</v>
      </c>
      <c r="H433" s="14">
        <f t="shared" si="569"/>
        <v>756.47666666666669</v>
      </c>
      <c r="I433" s="188">
        <f t="shared" si="573"/>
        <v>100980.46000000009</v>
      </c>
      <c r="J433" s="188">
        <f t="shared" si="574"/>
        <v>133509.55000000002</v>
      </c>
      <c r="K433" s="188">
        <f t="shared" si="575"/>
        <v>22192.709999999941</v>
      </c>
      <c r="L433" s="317">
        <f t="shared" si="659"/>
        <v>33</v>
      </c>
      <c r="M433" s="317">
        <f>IF(N433&lt;&gt;"",IF(N433=$O$5,0,+M432+1),0)</f>
        <v>405</v>
      </c>
      <c r="N433" s="188">
        <f t="shared" si="645"/>
        <v>0</v>
      </c>
      <c r="O433" s="188">
        <f>IF($O$11&lt;=A433,IF(+$W432&lt;=0,0,$O$8),0)</f>
        <v>0</v>
      </c>
      <c r="P433" s="188">
        <f t="shared" si="624"/>
        <v>0</v>
      </c>
      <c r="Q433" s="188">
        <f>IF($O$11&lt;=A433,ROUND(N433*($O$7/12),2),0)</f>
        <v>0</v>
      </c>
      <c r="R433" s="188">
        <f t="shared" si="579"/>
        <v>51.5</v>
      </c>
      <c r="S433" s="188">
        <f t="shared" si="580"/>
        <v>145.09666666666666</v>
      </c>
      <c r="T433" s="188">
        <f t="shared" si="576"/>
        <v>196.59666666666666</v>
      </c>
      <c r="U433" s="188">
        <f t="shared" si="625"/>
        <v>325712.93999999989</v>
      </c>
      <c r="V433" s="188">
        <f t="shared" si="626"/>
        <v>575881.85999999975</v>
      </c>
      <c r="W433" s="188">
        <f t="shared" si="577"/>
        <v>0</v>
      </c>
      <c r="X433" s="395">
        <f t="shared" si="618"/>
        <v>58380</v>
      </c>
      <c r="Y433" s="188">
        <f t="shared" si="587"/>
        <v>0</v>
      </c>
      <c r="Z433" s="388">
        <f t="shared" si="612"/>
        <v>8.4999999999999992E-2</v>
      </c>
      <c r="AA433" s="188">
        <f t="shared" si="613"/>
        <v>0</v>
      </c>
      <c r="AB433" s="188">
        <f t="shared" si="588"/>
        <v>0</v>
      </c>
      <c r="AC433" s="188">
        <f t="shared" si="614"/>
        <v>0</v>
      </c>
      <c r="AD433" s="188">
        <f t="shared" ref="AD433:AE433" si="661">+AD432</f>
        <v>51.5</v>
      </c>
      <c r="AE433" s="188">
        <f t="shared" si="661"/>
        <v>145.09666666666666</v>
      </c>
      <c r="AF433" s="188">
        <f t="shared" si="590"/>
        <v>196.59666666666666</v>
      </c>
      <c r="AG433" s="188">
        <f t="shared" si="591"/>
        <v>325712.93999999989</v>
      </c>
      <c r="AH433" s="188">
        <f t="shared" si="592"/>
        <v>575881.85999999975</v>
      </c>
      <c r="AI433" s="404">
        <f t="shared" si="582"/>
        <v>0</v>
      </c>
      <c r="AJ433" s="404">
        <f t="shared" si="638"/>
        <v>0</v>
      </c>
      <c r="AK433" s="404">
        <f t="shared" si="583"/>
        <v>0</v>
      </c>
      <c r="AL433" s="188">
        <f t="shared" si="593"/>
        <v>0</v>
      </c>
      <c r="AM433" s="317">
        <f t="shared" si="620"/>
        <v>33</v>
      </c>
      <c r="AN433" s="14">
        <f t="shared" si="584"/>
        <v>0</v>
      </c>
      <c r="AO433" s="14">
        <f>IF(W433&lt;=0,0,+$AA$6-$C$2+I433-U433)</f>
        <v>0</v>
      </c>
      <c r="AP433" s="14">
        <f t="shared" si="585"/>
        <v>0</v>
      </c>
      <c r="AS433" s="14">
        <f t="shared" si="616"/>
        <v>0</v>
      </c>
      <c r="AT433" s="14">
        <f t="shared" si="621"/>
        <v>0</v>
      </c>
      <c r="AU433" s="188">
        <f>IF(W433&lt;=0,0,+($O$5+AV432)*$AQ$2/12)</f>
        <v>0</v>
      </c>
      <c r="AV433" s="188">
        <f t="shared" si="622"/>
        <v>0</v>
      </c>
    </row>
    <row r="434" spans="1:48">
      <c r="A434" s="395">
        <f t="shared" si="571"/>
        <v>58410</v>
      </c>
      <c r="B434" s="188">
        <f t="shared" si="565"/>
        <v>22192.709999999941</v>
      </c>
      <c r="C434" s="14">
        <f t="shared" si="610"/>
        <v>559.88</v>
      </c>
      <c r="D434" s="14">
        <f t="shared" si="623"/>
        <v>476.65999999999997</v>
      </c>
      <c r="E434" s="14">
        <f t="shared" si="611"/>
        <v>83.22</v>
      </c>
      <c r="F434" s="14">
        <f t="shared" si="572"/>
        <v>51.5</v>
      </c>
      <c r="G434" s="14">
        <f t="shared" si="568"/>
        <v>145.09666666666666</v>
      </c>
      <c r="H434" s="14">
        <f t="shared" si="569"/>
        <v>756.47666666666669</v>
      </c>
      <c r="I434" s="188">
        <f t="shared" si="573"/>
        <v>101457.1200000001</v>
      </c>
      <c r="J434" s="188">
        <f t="shared" si="574"/>
        <v>133592.77000000002</v>
      </c>
      <c r="K434" s="188">
        <f t="shared" si="575"/>
        <v>21716.049999999941</v>
      </c>
      <c r="L434" s="317">
        <f t="shared" si="659"/>
        <v>33</v>
      </c>
      <c r="M434" s="317">
        <f>IF(N434&lt;&gt;"",IF(N434=$O$5,0,+M433+1),0)</f>
        <v>406</v>
      </c>
      <c r="N434" s="188">
        <f t="shared" si="645"/>
        <v>0</v>
      </c>
      <c r="O434" s="188">
        <f>IF($O$11&lt;=A434,IF(+$W433&lt;=0,0,$O$8),0)</f>
        <v>0</v>
      </c>
      <c r="P434" s="188">
        <f t="shared" si="624"/>
        <v>0</v>
      </c>
      <c r="Q434" s="188">
        <f>IF($O$11&lt;=A434,ROUND(N434*($O$7/12),2),0)</f>
        <v>0</v>
      </c>
      <c r="R434" s="188">
        <f t="shared" si="579"/>
        <v>51.5</v>
      </c>
      <c r="S434" s="188">
        <f t="shared" si="580"/>
        <v>145.09666666666666</v>
      </c>
      <c r="T434" s="188">
        <f t="shared" si="576"/>
        <v>196.59666666666666</v>
      </c>
      <c r="U434" s="188">
        <f t="shared" si="625"/>
        <v>325712.93999999989</v>
      </c>
      <c r="V434" s="188">
        <f t="shared" si="626"/>
        <v>575881.85999999975</v>
      </c>
      <c r="W434" s="188">
        <f t="shared" si="577"/>
        <v>0</v>
      </c>
      <c r="X434" s="395">
        <f t="shared" si="618"/>
        <v>58410</v>
      </c>
      <c r="Y434" s="188">
        <f t="shared" si="587"/>
        <v>0</v>
      </c>
      <c r="Z434" s="388">
        <f t="shared" si="612"/>
        <v>8.4999999999999992E-2</v>
      </c>
      <c r="AA434" s="188">
        <f t="shared" si="613"/>
        <v>0</v>
      </c>
      <c r="AB434" s="188">
        <f t="shared" si="588"/>
        <v>0</v>
      </c>
      <c r="AC434" s="188">
        <f t="shared" si="614"/>
        <v>0</v>
      </c>
      <c r="AD434" s="188">
        <f t="shared" ref="AD434:AE434" si="662">+AD433</f>
        <v>51.5</v>
      </c>
      <c r="AE434" s="188">
        <f t="shared" si="662"/>
        <v>145.09666666666666</v>
      </c>
      <c r="AF434" s="188">
        <f t="shared" si="590"/>
        <v>196.59666666666666</v>
      </c>
      <c r="AG434" s="188">
        <f t="shared" si="591"/>
        <v>325712.93999999989</v>
      </c>
      <c r="AH434" s="188">
        <f t="shared" si="592"/>
        <v>575881.85999999975</v>
      </c>
      <c r="AI434" s="404">
        <f t="shared" si="582"/>
        <v>0</v>
      </c>
      <c r="AJ434" s="404">
        <f t="shared" si="638"/>
        <v>0</v>
      </c>
      <c r="AK434" s="404">
        <f t="shared" si="583"/>
        <v>0</v>
      </c>
      <c r="AL434" s="188">
        <f t="shared" si="593"/>
        <v>0</v>
      </c>
      <c r="AM434" s="317">
        <f t="shared" si="620"/>
        <v>33</v>
      </c>
      <c r="AN434" s="14">
        <f t="shared" si="584"/>
        <v>0</v>
      </c>
      <c r="AO434" s="14">
        <f>IF(W434&lt;=0,0,+$AA$6-$C$2+I434-U434)</f>
        <v>0</v>
      </c>
      <c r="AP434" s="14">
        <f t="shared" si="585"/>
        <v>0</v>
      </c>
      <c r="AS434" s="14">
        <f t="shared" si="616"/>
        <v>0</v>
      </c>
      <c r="AT434" s="14">
        <f t="shared" si="621"/>
        <v>0</v>
      </c>
      <c r="AU434" s="188">
        <f>IF(W434&lt;=0,0,+($O$5+AV433)*$AQ$2/12)</f>
        <v>0</v>
      </c>
      <c r="AV434" s="188">
        <f t="shared" si="622"/>
        <v>0</v>
      </c>
    </row>
    <row r="435" spans="1:48" ht="15.75" thickBot="1">
      <c r="A435" s="398">
        <f t="shared" si="571"/>
        <v>58440</v>
      </c>
      <c r="B435" s="237">
        <f t="shared" si="565"/>
        <v>21716.049999999941</v>
      </c>
      <c r="C435" s="21">
        <f t="shared" si="610"/>
        <v>559.88</v>
      </c>
      <c r="D435" s="21">
        <f t="shared" si="623"/>
        <v>478.44</v>
      </c>
      <c r="E435" s="21">
        <f t="shared" si="611"/>
        <v>81.44</v>
      </c>
      <c r="F435" s="21">
        <f t="shared" si="572"/>
        <v>51.5</v>
      </c>
      <c r="G435" s="21">
        <f t="shared" si="568"/>
        <v>145.09666666666666</v>
      </c>
      <c r="H435" s="21">
        <f t="shared" si="569"/>
        <v>756.47666666666669</v>
      </c>
      <c r="I435" s="237">
        <f t="shared" si="573"/>
        <v>101935.5600000001</v>
      </c>
      <c r="J435" s="237">
        <f t="shared" si="574"/>
        <v>133674.21000000002</v>
      </c>
      <c r="K435" s="237">
        <f t="shared" si="575"/>
        <v>21237.609999999942</v>
      </c>
      <c r="L435" s="318">
        <f t="shared" si="659"/>
        <v>33</v>
      </c>
      <c r="M435" s="318">
        <f>IF(N435&lt;&gt;"",IF(N435=$O$5,0,+M434+1),0)</f>
        <v>407</v>
      </c>
      <c r="N435" s="237">
        <f t="shared" si="645"/>
        <v>0</v>
      </c>
      <c r="O435" s="237">
        <f>IF($O$11&lt;=A435,IF(+$W434&lt;=0,0,$O$8),0)</f>
        <v>0</v>
      </c>
      <c r="P435" s="237">
        <f t="shared" si="624"/>
        <v>0</v>
      </c>
      <c r="Q435" s="237">
        <f>IF($O$11&lt;=A435,ROUND(N435*($O$7/12),2),0)</f>
        <v>0</v>
      </c>
      <c r="R435" s="237">
        <f t="shared" si="579"/>
        <v>51.5</v>
      </c>
      <c r="S435" s="237">
        <f t="shared" si="580"/>
        <v>145.09666666666666</v>
      </c>
      <c r="T435" s="237">
        <f t="shared" si="576"/>
        <v>196.59666666666666</v>
      </c>
      <c r="U435" s="237">
        <f t="shared" si="625"/>
        <v>325712.93999999989</v>
      </c>
      <c r="V435" s="237">
        <f t="shared" si="626"/>
        <v>575881.85999999975</v>
      </c>
      <c r="W435" s="237">
        <f t="shared" si="577"/>
        <v>0</v>
      </c>
      <c r="X435" s="398">
        <f t="shared" si="618"/>
        <v>58440</v>
      </c>
      <c r="Y435" s="237">
        <f t="shared" si="587"/>
        <v>0</v>
      </c>
      <c r="Z435" s="389">
        <f t="shared" si="612"/>
        <v>8.4999999999999992E-2</v>
      </c>
      <c r="AA435" s="237">
        <f t="shared" si="613"/>
        <v>0</v>
      </c>
      <c r="AB435" s="237">
        <f t="shared" si="588"/>
        <v>0</v>
      </c>
      <c r="AC435" s="237">
        <f t="shared" si="614"/>
        <v>0</v>
      </c>
      <c r="AD435" s="237">
        <f t="shared" ref="AD435:AE435" si="663">+AD434</f>
        <v>51.5</v>
      </c>
      <c r="AE435" s="237">
        <f t="shared" si="663"/>
        <v>145.09666666666666</v>
      </c>
      <c r="AF435" s="237">
        <f t="shared" si="590"/>
        <v>196.59666666666666</v>
      </c>
      <c r="AG435" s="237">
        <f t="shared" si="591"/>
        <v>325712.93999999989</v>
      </c>
      <c r="AH435" s="237">
        <f t="shared" si="592"/>
        <v>575881.85999999975</v>
      </c>
      <c r="AI435" s="405">
        <f t="shared" si="582"/>
        <v>0</v>
      </c>
      <c r="AJ435" s="405">
        <f t="shared" si="638"/>
        <v>0</v>
      </c>
      <c r="AK435" s="404">
        <f t="shared" si="583"/>
        <v>0</v>
      </c>
      <c r="AL435" s="237">
        <f t="shared" si="593"/>
        <v>0</v>
      </c>
      <c r="AM435" s="318">
        <f t="shared" si="620"/>
        <v>33</v>
      </c>
      <c r="AN435" s="21">
        <f t="shared" si="584"/>
        <v>0</v>
      </c>
      <c r="AO435" s="21">
        <f>IF(W435&lt;=0,0,+$AA$6-$C$2+I435-U435)</f>
        <v>0</v>
      </c>
      <c r="AP435" s="21">
        <f t="shared" si="585"/>
        <v>0</v>
      </c>
      <c r="AQ435" s="21"/>
      <c r="AR435" s="23"/>
      <c r="AS435" s="21">
        <f t="shared" si="616"/>
        <v>0</v>
      </c>
      <c r="AT435" s="21">
        <f t="shared" si="621"/>
        <v>0</v>
      </c>
      <c r="AU435" s="237">
        <f>IF(W435&lt;=0,0,+($O$5+AV434)*$AQ$2/12)</f>
        <v>0</v>
      </c>
      <c r="AV435" s="237">
        <f t="shared" si="622"/>
        <v>0</v>
      </c>
    </row>
    <row r="436" spans="1:48">
      <c r="A436" s="395">
        <f t="shared" si="571"/>
        <v>58470</v>
      </c>
      <c r="B436" s="188">
        <f t="shared" si="565"/>
        <v>21237.609999999942</v>
      </c>
      <c r="C436" s="14">
        <f t="shared" si="610"/>
        <v>559.88</v>
      </c>
      <c r="D436" s="14">
        <f t="shared" si="623"/>
        <v>480.24</v>
      </c>
      <c r="E436" s="14">
        <f t="shared" si="611"/>
        <v>79.64</v>
      </c>
      <c r="F436" s="14">
        <f t="shared" si="572"/>
        <v>51.5</v>
      </c>
      <c r="G436" s="14">
        <f t="shared" si="568"/>
        <v>145.09666666666666</v>
      </c>
      <c r="H436" s="14">
        <f t="shared" si="569"/>
        <v>756.47666666666669</v>
      </c>
      <c r="I436" s="188">
        <f t="shared" si="573"/>
        <v>102415.8000000001</v>
      </c>
      <c r="J436" s="188">
        <f t="shared" si="574"/>
        <v>133753.85000000003</v>
      </c>
      <c r="K436" s="188">
        <f t="shared" si="575"/>
        <v>20757.369999999941</v>
      </c>
      <c r="L436" s="317">
        <f t="shared" si="659"/>
        <v>34</v>
      </c>
      <c r="M436" s="317">
        <f>IF(N436&lt;&gt;"",IF(N436=$O$5,0,+M435+1),0)</f>
        <v>408</v>
      </c>
      <c r="N436" s="188">
        <f t="shared" si="645"/>
        <v>0</v>
      </c>
      <c r="O436" s="188">
        <f>IF($O$11&lt;=A436,IF(+$W435&lt;=0,0,$O$8),0)</f>
        <v>0</v>
      </c>
      <c r="P436" s="188">
        <f t="shared" si="624"/>
        <v>0</v>
      </c>
      <c r="Q436" s="188">
        <f>IF($O$11&lt;=A436,ROUND(N436*($O$7/12),2),0)</f>
        <v>0</v>
      </c>
      <c r="R436" s="188">
        <f t="shared" si="579"/>
        <v>51.5</v>
      </c>
      <c r="S436" s="188">
        <f t="shared" si="580"/>
        <v>145.09666666666666</v>
      </c>
      <c r="T436" s="188">
        <f t="shared" si="576"/>
        <v>196.59666666666666</v>
      </c>
      <c r="U436" s="188">
        <f t="shared" si="625"/>
        <v>325712.93999999989</v>
      </c>
      <c r="V436" s="188">
        <f t="shared" si="626"/>
        <v>575881.85999999975</v>
      </c>
      <c r="W436" s="188">
        <f t="shared" si="577"/>
        <v>0</v>
      </c>
      <c r="X436" s="395">
        <f t="shared" si="618"/>
        <v>58470</v>
      </c>
      <c r="Y436" s="188">
        <f t="shared" si="587"/>
        <v>0</v>
      </c>
      <c r="Z436" s="388">
        <f t="shared" si="612"/>
        <v>8.4999999999999992E-2</v>
      </c>
      <c r="AA436" s="188">
        <f t="shared" si="613"/>
        <v>0</v>
      </c>
      <c r="AB436" s="188">
        <f t="shared" si="588"/>
        <v>0</v>
      </c>
      <c r="AC436" s="188">
        <f t="shared" si="614"/>
        <v>0</v>
      </c>
      <c r="AD436" s="188">
        <f t="shared" ref="AD436:AE436" si="664">+AD435</f>
        <v>51.5</v>
      </c>
      <c r="AE436" s="188">
        <f t="shared" si="664"/>
        <v>145.09666666666666</v>
      </c>
      <c r="AF436" s="188">
        <f t="shared" si="590"/>
        <v>196.59666666666666</v>
      </c>
      <c r="AG436" s="188">
        <f t="shared" si="591"/>
        <v>325712.93999999989</v>
      </c>
      <c r="AH436" s="188">
        <f t="shared" si="592"/>
        <v>575881.85999999975</v>
      </c>
      <c r="AI436" s="404">
        <f t="shared" si="582"/>
        <v>0</v>
      </c>
      <c r="AJ436" s="404">
        <f t="shared" si="638"/>
        <v>0</v>
      </c>
      <c r="AK436" s="404">
        <f t="shared" si="583"/>
        <v>0</v>
      </c>
      <c r="AL436" s="188">
        <f t="shared" si="593"/>
        <v>0</v>
      </c>
      <c r="AM436" s="317">
        <f t="shared" si="620"/>
        <v>34</v>
      </c>
      <c r="AN436" s="14">
        <f t="shared" si="584"/>
        <v>0</v>
      </c>
      <c r="AO436" s="14">
        <f>IF(W436&lt;=0,0,+$AA$6-$C$2+I436-U436)</f>
        <v>0</v>
      </c>
      <c r="AP436" s="14">
        <f t="shared" si="585"/>
        <v>0</v>
      </c>
      <c r="AS436" s="14">
        <f t="shared" si="616"/>
        <v>0</v>
      </c>
      <c r="AT436" s="14">
        <f t="shared" si="621"/>
        <v>0</v>
      </c>
      <c r="AU436" s="188">
        <f>IF(W436&lt;=0,0,+($O$5+AV435)*$AQ$2/12)</f>
        <v>0</v>
      </c>
      <c r="AV436" s="188">
        <f t="shared" si="622"/>
        <v>0</v>
      </c>
    </row>
    <row r="437" spans="1:48">
      <c r="A437" s="395">
        <f t="shared" si="571"/>
        <v>58500</v>
      </c>
      <c r="B437" s="188">
        <f t="shared" si="565"/>
        <v>20757.369999999941</v>
      </c>
      <c r="C437" s="14">
        <f t="shared" si="610"/>
        <v>559.88</v>
      </c>
      <c r="D437" s="14">
        <f t="shared" si="623"/>
        <v>482.03999999999996</v>
      </c>
      <c r="E437" s="14">
        <f t="shared" si="611"/>
        <v>77.84</v>
      </c>
      <c r="F437" s="14">
        <f t="shared" si="572"/>
        <v>51.5</v>
      </c>
      <c r="G437" s="14">
        <f t="shared" si="568"/>
        <v>145.09666666666666</v>
      </c>
      <c r="H437" s="14">
        <f t="shared" si="569"/>
        <v>756.47666666666669</v>
      </c>
      <c r="I437" s="188">
        <f t="shared" si="573"/>
        <v>102897.8400000001</v>
      </c>
      <c r="J437" s="188">
        <f t="shared" si="574"/>
        <v>133831.69000000003</v>
      </c>
      <c r="K437" s="188">
        <f t="shared" si="575"/>
        <v>20275.32999999994</v>
      </c>
      <c r="L437" s="317">
        <f t="shared" si="659"/>
        <v>34</v>
      </c>
      <c r="M437" s="317">
        <f>IF(N437&lt;&gt;"",IF(N437=$O$5,0,+M436+1),0)</f>
        <v>409</v>
      </c>
      <c r="N437" s="188">
        <f t="shared" si="645"/>
        <v>0</v>
      </c>
      <c r="O437" s="188">
        <f>IF($O$11&lt;=A437,IF(+$W436&lt;=0,0,$O$8),0)</f>
        <v>0</v>
      </c>
      <c r="P437" s="188">
        <f t="shared" si="624"/>
        <v>0</v>
      </c>
      <c r="Q437" s="188">
        <f>IF($O$11&lt;=A437,ROUND(N437*($O$7/12),2),0)</f>
        <v>0</v>
      </c>
      <c r="R437" s="188">
        <f t="shared" si="579"/>
        <v>51.5</v>
      </c>
      <c r="S437" s="188">
        <f t="shared" si="580"/>
        <v>145.09666666666666</v>
      </c>
      <c r="T437" s="188">
        <f t="shared" si="576"/>
        <v>196.59666666666666</v>
      </c>
      <c r="U437" s="188">
        <f t="shared" si="625"/>
        <v>325712.93999999989</v>
      </c>
      <c r="V437" s="188">
        <f t="shared" si="626"/>
        <v>575881.85999999975</v>
      </c>
      <c r="W437" s="188">
        <f t="shared" si="577"/>
        <v>0</v>
      </c>
      <c r="X437" s="395">
        <f t="shared" si="618"/>
        <v>58500</v>
      </c>
      <c r="Y437" s="188">
        <f t="shared" si="587"/>
        <v>0</v>
      </c>
      <c r="Z437" s="388">
        <f t="shared" si="612"/>
        <v>8.4999999999999992E-2</v>
      </c>
      <c r="AA437" s="188">
        <f t="shared" si="613"/>
        <v>0</v>
      </c>
      <c r="AB437" s="188">
        <f t="shared" si="588"/>
        <v>0</v>
      </c>
      <c r="AC437" s="188">
        <f t="shared" si="614"/>
        <v>0</v>
      </c>
      <c r="AD437" s="188">
        <f t="shared" ref="AD437:AE437" si="665">+AD436</f>
        <v>51.5</v>
      </c>
      <c r="AE437" s="188">
        <f t="shared" si="665"/>
        <v>145.09666666666666</v>
      </c>
      <c r="AF437" s="188">
        <f t="shared" si="590"/>
        <v>196.59666666666666</v>
      </c>
      <c r="AG437" s="188">
        <f t="shared" si="591"/>
        <v>325712.93999999989</v>
      </c>
      <c r="AH437" s="188">
        <f t="shared" si="592"/>
        <v>575881.85999999975</v>
      </c>
      <c r="AI437" s="404">
        <f t="shared" si="582"/>
        <v>0</v>
      </c>
      <c r="AJ437" s="404">
        <f t="shared" si="638"/>
        <v>0</v>
      </c>
      <c r="AK437" s="404">
        <f t="shared" si="583"/>
        <v>0</v>
      </c>
      <c r="AL437" s="188">
        <f t="shared" si="593"/>
        <v>0</v>
      </c>
      <c r="AM437" s="317">
        <f t="shared" si="620"/>
        <v>34</v>
      </c>
      <c r="AN437" s="14">
        <f t="shared" si="584"/>
        <v>0</v>
      </c>
      <c r="AO437" s="14">
        <f>IF(W437&lt;=0,0,+$AA$6-$C$2+I437-U437)</f>
        <v>0</v>
      </c>
      <c r="AP437" s="14">
        <f t="shared" si="585"/>
        <v>0</v>
      </c>
      <c r="AS437" s="14">
        <f t="shared" si="616"/>
        <v>0</v>
      </c>
      <c r="AT437" s="14">
        <f t="shared" si="621"/>
        <v>0</v>
      </c>
      <c r="AU437" s="188">
        <f>IF(W437&lt;=0,0,+($O$5+AV436)*$AQ$2/12)</f>
        <v>0</v>
      </c>
      <c r="AV437" s="188">
        <f t="shared" si="622"/>
        <v>0</v>
      </c>
    </row>
    <row r="438" spans="1:48">
      <c r="A438" s="395">
        <f t="shared" si="571"/>
        <v>58530</v>
      </c>
      <c r="B438" s="188">
        <f t="shared" si="565"/>
        <v>20275.32999999994</v>
      </c>
      <c r="C438" s="14">
        <f t="shared" si="610"/>
        <v>559.88</v>
      </c>
      <c r="D438" s="14">
        <f t="shared" si="623"/>
        <v>483.85</v>
      </c>
      <c r="E438" s="14">
        <f t="shared" si="611"/>
        <v>76.03</v>
      </c>
      <c r="F438" s="14">
        <f t="shared" si="572"/>
        <v>51.5</v>
      </c>
      <c r="G438" s="14">
        <f t="shared" si="568"/>
        <v>145.09666666666666</v>
      </c>
      <c r="H438" s="14">
        <f t="shared" si="569"/>
        <v>756.47666666666669</v>
      </c>
      <c r="I438" s="188">
        <f t="shared" si="573"/>
        <v>103381.6900000001</v>
      </c>
      <c r="J438" s="188">
        <f t="shared" si="574"/>
        <v>133907.72000000003</v>
      </c>
      <c r="K438" s="188">
        <f t="shared" si="575"/>
        <v>19791.479999999941</v>
      </c>
      <c r="L438" s="317">
        <f t="shared" si="659"/>
        <v>34</v>
      </c>
      <c r="M438" s="317">
        <f>IF(N438&lt;&gt;"",IF(N438=$O$5,0,+M437+1),0)</f>
        <v>410</v>
      </c>
      <c r="N438" s="188">
        <f t="shared" si="645"/>
        <v>0</v>
      </c>
      <c r="O438" s="188">
        <f>IF($O$11&lt;=A438,IF(+$W437&lt;=0,0,$O$8),0)</f>
        <v>0</v>
      </c>
      <c r="P438" s="188">
        <f t="shared" si="624"/>
        <v>0</v>
      </c>
      <c r="Q438" s="188">
        <f>IF($O$11&lt;=A438,ROUND(N438*($O$7/12),2),0)</f>
        <v>0</v>
      </c>
      <c r="R438" s="188">
        <f t="shared" si="579"/>
        <v>51.5</v>
      </c>
      <c r="S438" s="188">
        <f t="shared" si="580"/>
        <v>145.09666666666666</v>
      </c>
      <c r="T438" s="188">
        <f t="shared" si="576"/>
        <v>196.59666666666666</v>
      </c>
      <c r="U438" s="188">
        <f t="shared" si="625"/>
        <v>325712.93999999989</v>
      </c>
      <c r="V438" s="188">
        <f t="shared" si="626"/>
        <v>575881.85999999975</v>
      </c>
      <c r="W438" s="188">
        <f t="shared" si="577"/>
        <v>0</v>
      </c>
      <c r="X438" s="395">
        <f t="shared" si="618"/>
        <v>58530</v>
      </c>
      <c r="Y438" s="188">
        <f t="shared" si="587"/>
        <v>0</v>
      </c>
      <c r="Z438" s="388">
        <f t="shared" si="612"/>
        <v>8.4999999999999992E-2</v>
      </c>
      <c r="AA438" s="188">
        <f t="shared" si="613"/>
        <v>0</v>
      </c>
      <c r="AB438" s="188">
        <f t="shared" si="588"/>
        <v>0</v>
      </c>
      <c r="AC438" s="188">
        <f t="shared" si="614"/>
        <v>0</v>
      </c>
      <c r="AD438" s="188">
        <f t="shared" ref="AD438:AE438" si="666">+AD437</f>
        <v>51.5</v>
      </c>
      <c r="AE438" s="188">
        <f t="shared" si="666"/>
        <v>145.09666666666666</v>
      </c>
      <c r="AF438" s="188">
        <f t="shared" si="590"/>
        <v>196.59666666666666</v>
      </c>
      <c r="AG438" s="188">
        <f t="shared" si="591"/>
        <v>325712.93999999989</v>
      </c>
      <c r="AH438" s="188">
        <f t="shared" si="592"/>
        <v>575881.85999999975</v>
      </c>
      <c r="AI438" s="404">
        <f t="shared" si="582"/>
        <v>0</v>
      </c>
      <c r="AJ438" s="404">
        <f t="shared" si="638"/>
        <v>0</v>
      </c>
      <c r="AK438" s="404">
        <f t="shared" si="583"/>
        <v>0</v>
      </c>
      <c r="AL438" s="188">
        <f t="shared" si="593"/>
        <v>0</v>
      </c>
      <c r="AM438" s="317">
        <f t="shared" si="620"/>
        <v>34</v>
      </c>
      <c r="AN438" s="14">
        <f t="shared" si="584"/>
        <v>0</v>
      </c>
      <c r="AO438" s="14">
        <f>IF(W438&lt;=0,0,+$AA$6-$C$2+I438-U438)</f>
        <v>0</v>
      </c>
      <c r="AP438" s="14">
        <f t="shared" si="585"/>
        <v>0</v>
      </c>
      <c r="AS438" s="14">
        <f t="shared" si="616"/>
        <v>0</v>
      </c>
      <c r="AT438" s="14">
        <f t="shared" si="621"/>
        <v>0</v>
      </c>
      <c r="AU438" s="188">
        <f>IF(W438&lt;=0,0,+($O$5+AV437)*$AQ$2/12)</f>
        <v>0</v>
      </c>
      <c r="AV438" s="188">
        <f t="shared" si="622"/>
        <v>0</v>
      </c>
    </row>
    <row r="439" spans="1:48">
      <c r="A439" s="395">
        <f t="shared" si="571"/>
        <v>58560</v>
      </c>
      <c r="B439" s="188">
        <f t="shared" si="565"/>
        <v>19791.479999999941</v>
      </c>
      <c r="C439" s="14">
        <f t="shared" si="610"/>
        <v>559.88</v>
      </c>
      <c r="D439" s="14">
        <f t="shared" si="623"/>
        <v>485.65999999999997</v>
      </c>
      <c r="E439" s="14">
        <f t="shared" si="611"/>
        <v>74.22</v>
      </c>
      <c r="F439" s="14">
        <f t="shared" si="572"/>
        <v>51.5</v>
      </c>
      <c r="G439" s="14">
        <f t="shared" si="568"/>
        <v>145.09666666666666</v>
      </c>
      <c r="H439" s="14">
        <f t="shared" si="569"/>
        <v>756.47666666666669</v>
      </c>
      <c r="I439" s="188">
        <f t="shared" si="573"/>
        <v>103867.35000000011</v>
      </c>
      <c r="J439" s="188">
        <f t="shared" si="574"/>
        <v>133981.94000000003</v>
      </c>
      <c r="K439" s="188">
        <f t="shared" si="575"/>
        <v>19305.819999999942</v>
      </c>
      <c r="L439" s="317">
        <f t="shared" si="659"/>
        <v>34</v>
      </c>
      <c r="M439" s="317">
        <f>IF(N439&lt;&gt;"",IF(N439=$O$5,0,+M438+1),0)</f>
        <v>411</v>
      </c>
      <c r="N439" s="188">
        <f t="shared" si="645"/>
        <v>0</v>
      </c>
      <c r="O439" s="188">
        <f>IF($O$11&lt;=A439,IF(+$W438&lt;=0,0,$O$8),0)</f>
        <v>0</v>
      </c>
      <c r="P439" s="188">
        <f t="shared" si="624"/>
        <v>0</v>
      </c>
      <c r="Q439" s="188">
        <f>IF($O$11&lt;=A439,ROUND(N439*($O$7/12),2),0)</f>
        <v>0</v>
      </c>
      <c r="R439" s="188">
        <f t="shared" si="579"/>
        <v>51.5</v>
      </c>
      <c r="S439" s="188">
        <f t="shared" si="580"/>
        <v>145.09666666666666</v>
      </c>
      <c r="T439" s="188">
        <f t="shared" si="576"/>
        <v>196.59666666666666</v>
      </c>
      <c r="U439" s="188">
        <f t="shared" si="625"/>
        <v>325712.93999999989</v>
      </c>
      <c r="V439" s="188">
        <f t="shared" si="626"/>
        <v>575881.85999999975</v>
      </c>
      <c r="W439" s="188">
        <f t="shared" si="577"/>
        <v>0</v>
      </c>
      <c r="X439" s="395">
        <f t="shared" si="618"/>
        <v>58560</v>
      </c>
      <c r="Y439" s="188">
        <f t="shared" si="587"/>
        <v>0</v>
      </c>
      <c r="Z439" s="388">
        <f t="shared" si="612"/>
        <v>8.4999999999999992E-2</v>
      </c>
      <c r="AA439" s="188">
        <f t="shared" si="613"/>
        <v>0</v>
      </c>
      <c r="AB439" s="188">
        <f t="shared" si="588"/>
        <v>0</v>
      </c>
      <c r="AC439" s="188">
        <f t="shared" si="614"/>
        <v>0</v>
      </c>
      <c r="AD439" s="188">
        <f t="shared" ref="AD439:AE439" si="667">+AD438</f>
        <v>51.5</v>
      </c>
      <c r="AE439" s="188">
        <f t="shared" si="667"/>
        <v>145.09666666666666</v>
      </c>
      <c r="AF439" s="188">
        <f t="shared" si="590"/>
        <v>196.59666666666666</v>
      </c>
      <c r="AG439" s="188">
        <f t="shared" si="591"/>
        <v>325712.93999999989</v>
      </c>
      <c r="AH439" s="188">
        <f t="shared" si="592"/>
        <v>575881.85999999975</v>
      </c>
      <c r="AI439" s="404">
        <f t="shared" si="582"/>
        <v>0</v>
      </c>
      <c r="AJ439" s="404">
        <f t="shared" si="638"/>
        <v>0</v>
      </c>
      <c r="AK439" s="404">
        <f t="shared" si="583"/>
        <v>0</v>
      </c>
      <c r="AL439" s="188">
        <f t="shared" si="593"/>
        <v>0</v>
      </c>
      <c r="AM439" s="317">
        <f t="shared" si="620"/>
        <v>34</v>
      </c>
      <c r="AN439" s="14">
        <f t="shared" si="584"/>
        <v>0</v>
      </c>
      <c r="AO439" s="14">
        <f>IF(W439&lt;=0,0,+$AA$6-$C$2+I439-U439)</f>
        <v>0</v>
      </c>
      <c r="AP439" s="14">
        <f t="shared" si="585"/>
        <v>0</v>
      </c>
      <c r="AS439" s="14">
        <f t="shared" si="616"/>
        <v>0</v>
      </c>
      <c r="AT439" s="14">
        <f t="shared" si="621"/>
        <v>0</v>
      </c>
      <c r="AU439" s="188">
        <f>IF(W439&lt;=0,0,+($O$5+AV438)*$AQ$2/12)</f>
        <v>0</v>
      </c>
      <c r="AV439" s="188">
        <f t="shared" si="622"/>
        <v>0</v>
      </c>
    </row>
    <row r="440" spans="1:48">
      <c r="A440" s="395">
        <f t="shared" si="571"/>
        <v>58590</v>
      </c>
      <c r="B440" s="188">
        <f t="shared" si="565"/>
        <v>19305.819999999942</v>
      </c>
      <c r="C440" s="14">
        <f t="shared" si="610"/>
        <v>559.88</v>
      </c>
      <c r="D440" s="14">
        <f t="shared" si="623"/>
        <v>487.48</v>
      </c>
      <c r="E440" s="14">
        <f t="shared" si="611"/>
        <v>72.400000000000006</v>
      </c>
      <c r="F440" s="14">
        <f t="shared" si="572"/>
        <v>51.5</v>
      </c>
      <c r="G440" s="14">
        <f t="shared" si="568"/>
        <v>145.09666666666666</v>
      </c>
      <c r="H440" s="14">
        <f t="shared" si="569"/>
        <v>756.47666666666669</v>
      </c>
      <c r="I440" s="188">
        <f t="shared" si="573"/>
        <v>104354.8300000001</v>
      </c>
      <c r="J440" s="188">
        <f t="shared" si="574"/>
        <v>134054.34000000003</v>
      </c>
      <c r="K440" s="188">
        <f t="shared" si="575"/>
        <v>18818.339999999942</v>
      </c>
      <c r="L440" s="317">
        <f t="shared" si="659"/>
        <v>34</v>
      </c>
      <c r="M440" s="317">
        <f>IF(N440&lt;&gt;"",IF(N440=$O$5,0,+M439+1),0)</f>
        <v>412</v>
      </c>
      <c r="N440" s="188">
        <f t="shared" si="645"/>
        <v>0</v>
      </c>
      <c r="O440" s="188">
        <f>IF($O$11&lt;=A440,IF(+$W439&lt;=0,0,$O$8),0)</f>
        <v>0</v>
      </c>
      <c r="P440" s="188">
        <f t="shared" si="624"/>
        <v>0</v>
      </c>
      <c r="Q440" s="188">
        <f>IF($O$11&lt;=A440,ROUND(N440*($O$7/12),2),0)</f>
        <v>0</v>
      </c>
      <c r="R440" s="188">
        <f t="shared" si="579"/>
        <v>51.5</v>
      </c>
      <c r="S440" s="188">
        <f t="shared" si="580"/>
        <v>145.09666666666666</v>
      </c>
      <c r="T440" s="188">
        <f t="shared" si="576"/>
        <v>196.59666666666666</v>
      </c>
      <c r="U440" s="188">
        <f t="shared" si="625"/>
        <v>325712.93999999989</v>
      </c>
      <c r="V440" s="188">
        <f t="shared" si="626"/>
        <v>575881.85999999975</v>
      </c>
      <c r="W440" s="188">
        <f t="shared" si="577"/>
        <v>0</v>
      </c>
      <c r="X440" s="395">
        <f t="shared" si="618"/>
        <v>58590</v>
      </c>
      <c r="Y440" s="188">
        <f t="shared" si="587"/>
        <v>0</v>
      </c>
      <c r="Z440" s="388">
        <f t="shared" si="612"/>
        <v>8.4999999999999992E-2</v>
      </c>
      <c r="AA440" s="188">
        <f t="shared" si="613"/>
        <v>0</v>
      </c>
      <c r="AB440" s="188">
        <f t="shared" si="588"/>
        <v>0</v>
      </c>
      <c r="AC440" s="188">
        <f t="shared" si="614"/>
        <v>0</v>
      </c>
      <c r="AD440" s="188">
        <f t="shared" ref="AD440:AE440" si="668">+AD439</f>
        <v>51.5</v>
      </c>
      <c r="AE440" s="188">
        <f t="shared" si="668"/>
        <v>145.09666666666666</v>
      </c>
      <c r="AF440" s="188">
        <f t="shared" si="590"/>
        <v>196.59666666666666</v>
      </c>
      <c r="AG440" s="188">
        <f t="shared" si="591"/>
        <v>325712.93999999989</v>
      </c>
      <c r="AH440" s="188">
        <f t="shared" si="592"/>
        <v>575881.85999999975</v>
      </c>
      <c r="AI440" s="404">
        <f t="shared" si="582"/>
        <v>0</v>
      </c>
      <c r="AJ440" s="404">
        <f t="shared" si="638"/>
        <v>0</v>
      </c>
      <c r="AK440" s="404">
        <f t="shared" si="583"/>
        <v>0</v>
      </c>
      <c r="AL440" s="188">
        <f t="shared" si="593"/>
        <v>0</v>
      </c>
      <c r="AM440" s="317">
        <f t="shared" si="620"/>
        <v>34</v>
      </c>
      <c r="AN440" s="14">
        <f t="shared" si="584"/>
        <v>0</v>
      </c>
      <c r="AO440" s="14">
        <f>IF(W440&lt;=0,0,+$AA$6-$C$2+I440-U440)</f>
        <v>0</v>
      </c>
      <c r="AP440" s="14">
        <f t="shared" si="585"/>
        <v>0</v>
      </c>
      <c r="AS440" s="14">
        <f t="shared" si="616"/>
        <v>0</v>
      </c>
      <c r="AT440" s="14">
        <f t="shared" si="621"/>
        <v>0</v>
      </c>
      <c r="AU440" s="188">
        <f>IF(W440&lt;=0,0,+($O$5+AV439)*$AQ$2/12)</f>
        <v>0</v>
      </c>
      <c r="AV440" s="188">
        <f t="shared" si="622"/>
        <v>0</v>
      </c>
    </row>
    <row r="441" spans="1:48">
      <c r="A441" s="395">
        <f t="shared" si="571"/>
        <v>58620</v>
      </c>
      <c r="B441" s="188">
        <f t="shared" ref="B441:B491" si="669">IF(+K440&lt;0,0,+K440)</f>
        <v>18818.339999999942</v>
      </c>
      <c r="C441" s="14">
        <f t="shared" si="610"/>
        <v>559.88</v>
      </c>
      <c r="D441" s="14">
        <f t="shared" si="623"/>
        <v>489.31</v>
      </c>
      <c r="E441" s="14">
        <f t="shared" si="611"/>
        <v>70.569999999999993</v>
      </c>
      <c r="F441" s="14">
        <f t="shared" si="572"/>
        <v>51.5</v>
      </c>
      <c r="G441" s="14">
        <f t="shared" si="568"/>
        <v>145.09666666666666</v>
      </c>
      <c r="H441" s="14">
        <f t="shared" si="569"/>
        <v>756.47666666666669</v>
      </c>
      <c r="I441" s="188">
        <f t="shared" si="573"/>
        <v>104844.1400000001</v>
      </c>
      <c r="J441" s="188">
        <f t="shared" si="574"/>
        <v>134124.91000000003</v>
      </c>
      <c r="K441" s="188">
        <f t="shared" si="575"/>
        <v>18329.029999999941</v>
      </c>
      <c r="L441" s="317">
        <f t="shared" si="659"/>
        <v>34</v>
      </c>
      <c r="M441" s="317">
        <f>IF(N441&lt;&gt;"",IF(N441=$O$5,0,+M440+1),0)</f>
        <v>413</v>
      </c>
      <c r="N441" s="188">
        <f t="shared" si="645"/>
        <v>0</v>
      </c>
      <c r="O441" s="188">
        <f>IF($O$11&lt;=A441,IF(+$W440&lt;=0,0,$O$8),0)</f>
        <v>0</v>
      </c>
      <c r="P441" s="188">
        <f t="shared" si="624"/>
        <v>0</v>
      </c>
      <c r="Q441" s="188">
        <f>IF($O$11&lt;=A441,ROUND(N441*($O$7/12),2),0)</f>
        <v>0</v>
      </c>
      <c r="R441" s="188">
        <f t="shared" si="579"/>
        <v>51.5</v>
      </c>
      <c r="S441" s="188">
        <f t="shared" si="580"/>
        <v>145.09666666666666</v>
      </c>
      <c r="T441" s="188">
        <f t="shared" si="576"/>
        <v>196.59666666666666</v>
      </c>
      <c r="U441" s="188">
        <f t="shared" si="625"/>
        <v>325712.93999999989</v>
      </c>
      <c r="V441" s="188">
        <f t="shared" si="626"/>
        <v>575881.85999999975</v>
      </c>
      <c r="W441" s="188">
        <f t="shared" si="577"/>
        <v>0</v>
      </c>
      <c r="X441" s="395">
        <f t="shared" si="618"/>
        <v>58620</v>
      </c>
      <c r="Y441" s="188">
        <f t="shared" si="587"/>
        <v>0</v>
      </c>
      <c r="Z441" s="388">
        <f t="shared" si="612"/>
        <v>8.4999999999999992E-2</v>
      </c>
      <c r="AA441" s="188">
        <f t="shared" si="613"/>
        <v>0</v>
      </c>
      <c r="AB441" s="188">
        <f t="shared" si="588"/>
        <v>0</v>
      </c>
      <c r="AC441" s="188">
        <f t="shared" si="614"/>
        <v>0</v>
      </c>
      <c r="AD441" s="188">
        <f t="shared" ref="AD441:AE441" si="670">+AD440</f>
        <v>51.5</v>
      </c>
      <c r="AE441" s="188">
        <f t="shared" si="670"/>
        <v>145.09666666666666</v>
      </c>
      <c r="AF441" s="188">
        <f t="shared" si="590"/>
        <v>196.59666666666666</v>
      </c>
      <c r="AG441" s="188">
        <f t="shared" si="591"/>
        <v>325712.93999999989</v>
      </c>
      <c r="AH441" s="188">
        <f t="shared" si="592"/>
        <v>575881.85999999975</v>
      </c>
      <c r="AI441" s="404">
        <f t="shared" si="582"/>
        <v>0</v>
      </c>
      <c r="AJ441" s="404">
        <f t="shared" si="638"/>
        <v>0</v>
      </c>
      <c r="AK441" s="404">
        <f t="shared" si="583"/>
        <v>0</v>
      </c>
      <c r="AL441" s="188">
        <f t="shared" si="593"/>
        <v>0</v>
      </c>
      <c r="AM441" s="317">
        <f t="shared" si="620"/>
        <v>34</v>
      </c>
      <c r="AN441" s="14">
        <f t="shared" si="584"/>
        <v>0</v>
      </c>
      <c r="AO441" s="14">
        <f>IF(W441&lt;=0,0,+$AA$6-$C$2+I441-U441)</f>
        <v>0</v>
      </c>
      <c r="AP441" s="14">
        <f t="shared" si="585"/>
        <v>0</v>
      </c>
      <c r="AS441" s="14">
        <f t="shared" si="616"/>
        <v>0</v>
      </c>
      <c r="AT441" s="14">
        <f t="shared" si="621"/>
        <v>0</v>
      </c>
      <c r="AU441" s="188">
        <f>IF(W441&lt;=0,0,+($O$5+AV440)*$AQ$2/12)</f>
        <v>0</v>
      </c>
      <c r="AV441" s="188">
        <f t="shared" si="622"/>
        <v>0</v>
      </c>
    </row>
    <row r="442" spans="1:48">
      <c r="A442" s="395">
        <f t="shared" si="571"/>
        <v>58650</v>
      </c>
      <c r="B442" s="188">
        <f t="shared" si="669"/>
        <v>18329.029999999941</v>
      </c>
      <c r="C442" s="14">
        <f t="shared" si="610"/>
        <v>559.88</v>
      </c>
      <c r="D442" s="14">
        <f t="shared" si="623"/>
        <v>491.15</v>
      </c>
      <c r="E442" s="14">
        <f t="shared" si="611"/>
        <v>68.73</v>
      </c>
      <c r="F442" s="14">
        <f t="shared" si="572"/>
        <v>51.5</v>
      </c>
      <c r="G442" s="14">
        <f t="shared" si="568"/>
        <v>145.09666666666666</v>
      </c>
      <c r="H442" s="14">
        <f t="shared" si="569"/>
        <v>756.47666666666669</v>
      </c>
      <c r="I442" s="188">
        <f t="shared" si="573"/>
        <v>105335.2900000001</v>
      </c>
      <c r="J442" s="188">
        <f t="shared" si="574"/>
        <v>134193.64000000004</v>
      </c>
      <c r="K442" s="188">
        <f t="shared" si="575"/>
        <v>17837.879999999939</v>
      </c>
      <c r="L442" s="317">
        <f t="shared" si="659"/>
        <v>34</v>
      </c>
      <c r="M442" s="317">
        <f>IF(N442&lt;&gt;"",IF(N442=$O$5,0,+M441+1),0)</f>
        <v>414</v>
      </c>
      <c r="N442" s="188">
        <f t="shared" si="645"/>
        <v>0</v>
      </c>
      <c r="O442" s="188">
        <f>IF($O$11&lt;=A442,IF(+$W441&lt;=0,0,$O$8),0)</f>
        <v>0</v>
      </c>
      <c r="P442" s="188">
        <f t="shared" si="624"/>
        <v>0</v>
      </c>
      <c r="Q442" s="188">
        <f>IF($O$11&lt;=A442,ROUND(N442*($O$7/12),2),0)</f>
        <v>0</v>
      </c>
      <c r="R442" s="188">
        <f t="shared" si="579"/>
        <v>51.5</v>
      </c>
      <c r="S442" s="188">
        <f t="shared" si="580"/>
        <v>145.09666666666666</v>
      </c>
      <c r="T442" s="188">
        <f t="shared" si="576"/>
        <v>196.59666666666666</v>
      </c>
      <c r="U442" s="188">
        <f t="shared" si="625"/>
        <v>325712.93999999989</v>
      </c>
      <c r="V442" s="188">
        <f t="shared" si="626"/>
        <v>575881.85999999975</v>
      </c>
      <c r="W442" s="188">
        <f t="shared" si="577"/>
        <v>0</v>
      </c>
      <c r="X442" s="395">
        <f t="shared" si="618"/>
        <v>58650</v>
      </c>
      <c r="Y442" s="188">
        <f t="shared" si="587"/>
        <v>0</v>
      </c>
      <c r="Z442" s="388">
        <f t="shared" si="612"/>
        <v>8.4999999999999992E-2</v>
      </c>
      <c r="AA442" s="188">
        <f t="shared" si="613"/>
        <v>0</v>
      </c>
      <c r="AB442" s="188">
        <f t="shared" si="588"/>
        <v>0</v>
      </c>
      <c r="AC442" s="188">
        <f t="shared" si="614"/>
        <v>0</v>
      </c>
      <c r="AD442" s="188">
        <f t="shared" ref="AD442:AE442" si="671">+AD441</f>
        <v>51.5</v>
      </c>
      <c r="AE442" s="188">
        <f t="shared" si="671"/>
        <v>145.09666666666666</v>
      </c>
      <c r="AF442" s="188">
        <f t="shared" si="590"/>
        <v>196.59666666666666</v>
      </c>
      <c r="AG442" s="188">
        <f t="shared" si="591"/>
        <v>325712.93999999989</v>
      </c>
      <c r="AH442" s="188">
        <f t="shared" si="592"/>
        <v>575881.85999999975</v>
      </c>
      <c r="AI442" s="404">
        <f t="shared" si="582"/>
        <v>0</v>
      </c>
      <c r="AJ442" s="404">
        <f t="shared" si="638"/>
        <v>0</v>
      </c>
      <c r="AK442" s="404">
        <f t="shared" si="583"/>
        <v>0</v>
      </c>
      <c r="AL442" s="188">
        <f t="shared" si="593"/>
        <v>0</v>
      </c>
      <c r="AM442" s="317">
        <f t="shared" si="620"/>
        <v>34</v>
      </c>
      <c r="AN442" s="14">
        <f t="shared" si="584"/>
        <v>0</v>
      </c>
      <c r="AO442" s="14">
        <f>IF(W442&lt;=0,0,+$AA$6-$C$2+I442-U442)</f>
        <v>0</v>
      </c>
      <c r="AP442" s="14">
        <f t="shared" si="585"/>
        <v>0</v>
      </c>
      <c r="AS442" s="14">
        <f t="shared" si="616"/>
        <v>0</v>
      </c>
      <c r="AT442" s="14">
        <f t="shared" si="621"/>
        <v>0</v>
      </c>
      <c r="AU442" s="188">
        <f>IF(W442&lt;=0,0,+($O$5+AV441)*$AQ$2/12)</f>
        <v>0</v>
      </c>
      <c r="AV442" s="188">
        <f t="shared" si="622"/>
        <v>0</v>
      </c>
    </row>
    <row r="443" spans="1:48">
      <c r="A443" s="395">
        <f t="shared" si="571"/>
        <v>58680</v>
      </c>
      <c r="B443" s="188">
        <f t="shared" si="669"/>
        <v>17837.879999999939</v>
      </c>
      <c r="C443" s="14">
        <f t="shared" si="610"/>
        <v>559.88</v>
      </c>
      <c r="D443" s="14">
        <f t="shared" si="623"/>
        <v>492.99</v>
      </c>
      <c r="E443" s="14">
        <f t="shared" si="611"/>
        <v>66.89</v>
      </c>
      <c r="F443" s="14">
        <f t="shared" si="572"/>
        <v>51.5</v>
      </c>
      <c r="G443" s="14">
        <f t="shared" ref="G443:G491" si="672">+G442</f>
        <v>145.09666666666666</v>
      </c>
      <c r="H443" s="14">
        <f t="shared" ref="H443:H491" si="673">SUM(D443:G443)</f>
        <v>756.47666666666669</v>
      </c>
      <c r="I443" s="188">
        <f t="shared" si="573"/>
        <v>105828.2800000001</v>
      </c>
      <c r="J443" s="188">
        <f t="shared" si="574"/>
        <v>134260.53000000006</v>
      </c>
      <c r="K443" s="188">
        <f t="shared" si="575"/>
        <v>17344.889999999938</v>
      </c>
      <c r="L443" s="317">
        <f t="shared" si="659"/>
        <v>34</v>
      </c>
      <c r="M443" s="317">
        <f>IF(N443&lt;&gt;"",IF(N443=$O$5,0,+M442+1),0)</f>
        <v>415</v>
      </c>
      <c r="N443" s="188">
        <f t="shared" si="645"/>
        <v>0</v>
      </c>
      <c r="O443" s="188">
        <f>IF($O$11&lt;=A443,IF(+$W442&lt;=0,0,$O$8),0)</f>
        <v>0</v>
      </c>
      <c r="P443" s="188">
        <f t="shared" si="624"/>
        <v>0</v>
      </c>
      <c r="Q443" s="188">
        <f>IF($O$11&lt;=A443,ROUND(N443*($O$7/12),2),0)</f>
        <v>0</v>
      </c>
      <c r="R443" s="188">
        <f t="shared" si="579"/>
        <v>51.5</v>
      </c>
      <c r="S443" s="188">
        <f t="shared" si="580"/>
        <v>145.09666666666666</v>
      </c>
      <c r="T443" s="188">
        <f t="shared" si="576"/>
        <v>196.59666666666666</v>
      </c>
      <c r="U443" s="188">
        <f t="shared" si="625"/>
        <v>325712.93999999989</v>
      </c>
      <c r="V443" s="188">
        <f t="shared" si="626"/>
        <v>575881.85999999975</v>
      </c>
      <c r="W443" s="188">
        <f t="shared" si="577"/>
        <v>0</v>
      </c>
      <c r="X443" s="395">
        <f t="shared" si="618"/>
        <v>58680</v>
      </c>
      <c r="Y443" s="188">
        <f t="shared" si="587"/>
        <v>0</v>
      </c>
      <c r="Z443" s="388">
        <f t="shared" si="612"/>
        <v>8.4999999999999992E-2</v>
      </c>
      <c r="AA443" s="188">
        <f t="shared" si="613"/>
        <v>0</v>
      </c>
      <c r="AB443" s="188">
        <f t="shared" si="588"/>
        <v>0</v>
      </c>
      <c r="AC443" s="188">
        <f t="shared" si="614"/>
        <v>0</v>
      </c>
      <c r="AD443" s="188">
        <f t="shared" ref="AD443:AE443" si="674">+AD442</f>
        <v>51.5</v>
      </c>
      <c r="AE443" s="188">
        <f t="shared" si="674"/>
        <v>145.09666666666666</v>
      </c>
      <c r="AF443" s="188">
        <f t="shared" si="590"/>
        <v>196.59666666666666</v>
      </c>
      <c r="AG443" s="188">
        <f t="shared" si="591"/>
        <v>325712.93999999989</v>
      </c>
      <c r="AH443" s="188">
        <f t="shared" si="592"/>
        <v>575881.85999999975</v>
      </c>
      <c r="AI443" s="404">
        <f t="shared" si="582"/>
        <v>0</v>
      </c>
      <c r="AJ443" s="404">
        <f t="shared" si="638"/>
        <v>0</v>
      </c>
      <c r="AK443" s="404">
        <f t="shared" si="583"/>
        <v>0</v>
      </c>
      <c r="AL443" s="188">
        <f t="shared" si="593"/>
        <v>0</v>
      </c>
      <c r="AM443" s="317">
        <f t="shared" si="620"/>
        <v>34</v>
      </c>
      <c r="AN443" s="14">
        <f t="shared" si="584"/>
        <v>0</v>
      </c>
      <c r="AO443" s="14">
        <f>IF(W443&lt;=0,0,+$AA$6-$C$2+I443-U443)</f>
        <v>0</v>
      </c>
      <c r="AP443" s="14">
        <f t="shared" si="585"/>
        <v>0</v>
      </c>
      <c r="AS443" s="14">
        <f t="shared" si="616"/>
        <v>0</v>
      </c>
      <c r="AT443" s="14">
        <f t="shared" si="621"/>
        <v>0</v>
      </c>
      <c r="AU443" s="188">
        <f>IF(W443&lt;=0,0,+($O$5+AV442)*$AQ$2/12)</f>
        <v>0</v>
      </c>
      <c r="AV443" s="188">
        <f t="shared" si="622"/>
        <v>0</v>
      </c>
    </row>
    <row r="444" spans="1:48">
      <c r="A444" s="395">
        <f t="shared" ref="A444:A491" si="675">IF(K444&lt;=0," ",+A443+30)</f>
        <v>58710</v>
      </c>
      <c r="B444" s="188">
        <f t="shared" si="669"/>
        <v>17344.889999999938</v>
      </c>
      <c r="C444" s="14">
        <f t="shared" si="610"/>
        <v>559.88</v>
      </c>
      <c r="D444" s="14">
        <f t="shared" si="623"/>
        <v>494.84</v>
      </c>
      <c r="E444" s="14">
        <f t="shared" si="611"/>
        <v>65.040000000000006</v>
      </c>
      <c r="F444" s="14">
        <f t="shared" ref="F444:F491" si="676">+F443</f>
        <v>51.5</v>
      </c>
      <c r="G444" s="14">
        <f t="shared" si="672"/>
        <v>145.09666666666666</v>
      </c>
      <c r="H444" s="14">
        <f t="shared" si="673"/>
        <v>756.47666666666669</v>
      </c>
      <c r="I444" s="188">
        <f t="shared" ref="I444:I491" si="677">$D444+$I443</f>
        <v>106323.1200000001</v>
      </c>
      <c r="J444" s="188">
        <f t="shared" ref="J444:J491" si="678">$E444+$J443</f>
        <v>134325.57000000007</v>
      </c>
      <c r="K444" s="188">
        <f t="shared" ref="K444:K491" si="679">+B444-D444</f>
        <v>16850.049999999937</v>
      </c>
      <c r="L444" s="317">
        <f t="shared" si="659"/>
        <v>34</v>
      </c>
      <c r="M444" s="317">
        <f>IF(N444&lt;&gt;"",IF(N444=$O$5,0,+M443+1),0)</f>
        <v>416</v>
      </c>
      <c r="N444" s="188">
        <f t="shared" si="645"/>
        <v>0</v>
      </c>
      <c r="O444" s="188">
        <f>IF($O$11&lt;=A444,IF(+$W443&lt;=0,0,$O$8),0)</f>
        <v>0</v>
      </c>
      <c r="P444" s="188">
        <f t="shared" si="624"/>
        <v>0</v>
      </c>
      <c r="Q444" s="188">
        <f>IF($O$11&lt;=A444,ROUND(N444*($O$7/12),2),0)</f>
        <v>0</v>
      </c>
      <c r="R444" s="188">
        <f t="shared" si="579"/>
        <v>51.5</v>
      </c>
      <c r="S444" s="188">
        <f t="shared" si="580"/>
        <v>145.09666666666666</v>
      </c>
      <c r="T444" s="188">
        <f t="shared" ref="T444:T491" si="680">SUM(P444:S444)</f>
        <v>196.59666666666666</v>
      </c>
      <c r="U444" s="188">
        <f t="shared" si="625"/>
        <v>325712.93999999989</v>
      </c>
      <c r="V444" s="188">
        <f t="shared" si="626"/>
        <v>575881.85999999975</v>
      </c>
      <c r="W444" s="188">
        <f t="shared" ref="W444:W491" si="681">+N444-P444</f>
        <v>0</v>
      </c>
      <c r="X444" s="395">
        <f t="shared" si="618"/>
        <v>58710</v>
      </c>
      <c r="Y444" s="188">
        <f t="shared" si="587"/>
        <v>0</v>
      </c>
      <c r="Z444" s="388">
        <f t="shared" si="612"/>
        <v>8.4999999999999992E-2</v>
      </c>
      <c r="AA444" s="188">
        <f t="shared" si="613"/>
        <v>0</v>
      </c>
      <c r="AB444" s="188">
        <f t="shared" si="588"/>
        <v>0</v>
      </c>
      <c r="AC444" s="188">
        <f t="shared" si="614"/>
        <v>0</v>
      </c>
      <c r="AD444" s="188">
        <f t="shared" ref="AD444:AE444" si="682">+AD443</f>
        <v>51.5</v>
      </c>
      <c r="AE444" s="188">
        <f t="shared" si="682"/>
        <v>145.09666666666666</v>
      </c>
      <c r="AF444" s="188">
        <f t="shared" si="590"/>
        <v>196.59666666666666</v>
      </c>
      <c r="AG444" s="188">
        <f t="shared" si="591"/>
        <v>325712.93999999989</v>
      </c>
      <c r="AH444" s="188">
        <f t="shared" si="592"/>
        <v>575881.85999999975</v>
      </c>
      <c r="AI444" s="404">
        <f t="shared" si="582"/>
        <v>0</v>
      </c>
      <c r="AJ444" s="404">
        <f t="shared" si="638"/>
        <v>0</v>
      </c>
      <c r="AK444" s="404">
        <f t="shared" si="583"/>
        <v>0</v>
      </c>
      <c r="AL444" s="188">
        <f t="shared" si="593"/>
        <v>0</v>
      </c>
      <c r="AM444" s="317">
        <f t="shared" si="620"/>
        <v>34</v>
      </c>
      <c r="AN444" s="14">
        <f t="shared" si="584"/>
        <v>0</v>
      </c>
      <c r="AO444" s="14">
        <f>IF(W444&lt;=0,0,+$AA$6-$C$2+I444-U444)</f>
        <v>0</v>
      </c>
      <c r="AP444" s="14">
        <f t="shared" si="585"/>
        <v>0</v>
      </c>
      <c r="AS444" s="14">
        <f t="shared" si="616"/>
        <v>0</v>
      </c>
      <c r="AT444" s="14">
        <f t="shared" si="621"/>
        <v>0</v>
      </c>
      <c r="AU444" s="188">
        <f>IF(W444&lt;=0,0,+($O$5+AV443)*$AQ$2/12)</f>
        <v>0</v>
      </c>
      <c r="AV444" s="188">
        <f t="shared" si="622"/>
        <v>0</v>
      </c>
    </row>
    <row r="445" spans="1:48">
      <c r="A445" s="395">
        <f t="shared" si="675"/>
        <v>58740</v>
      </c>
      <c r="B445" s="188">
        <f t="shared" si="669"/>
        <v>16850.049999999937</v>
      </c>
      <c r="C445" s="14">
        <f t="shared" si="610"/>
        <v>559.88</v>
      </c>
      <c r="D445" s="14">
        <f t="shared" si="623"/>
        <v>496.69</v>
      </c>
      <c r="E445" s="14">
        <f t="shared" si="611"/>
        <v>63.19</v>
      </c>
      <c r="F445" s="14">
        <f t="shared" si="676"/>
        <v>51.5</v>
      </c>
      <c r="G445" s="14">
        <f t="shared" si="672"/>
        <v>145.09666666666666</v>
      </c>
      <c r="H445" s="14">
        <f t="shared" si="673"/>
        <v>756.47666666666669</v>
      </c>
      <c r="I445" s="188">
        <f t="shared" si="677"/>
        <v>106819.8100000001</v>
      </c>
      <c r="J445" s="188">
        <f t="shared" si="678"/>
        <v>134388.76000000007</v>
      </c>
      <c r="K445" s="188">
        <f t="shared" si="679"/>
        <v>16353.359999999937</v>
      </c>
      <c r="L445" s="317">
        <f t="shared" si="659"/>
        <v>34</v>
      </c>
      <c r="M445" s="317">
        <f>IF(N445&lt;&gt;"",IF(N445=$O$5,0,+M444+1),0)</f>
        <v>417</v>
      </c>
      <c r="N445" s="188">
        <f t="shared" si="645"/>
        <v>0</v>
      </c>
      <c r="O445" s="188">
        <f>IF($O$11&lt;=A445,IF(+$W444&lt;=0,0,$O$8),0)</f>
        <v>0</v>
      </c>
      <c r="P445" s="188">
        <f t="shared" si="624"/>
        <v>0</v>
      </c>
      <c r="Q445" s="188">
        <f>IF($O$11&lt;=A445,ROUND(N445*($O$7/12),2),0)</f>
        <v>0</v>
      </c>
      <c r="R445" s="188">
        <f t="shared" ref="R445:R491" si="683">+R444</f>
        <v>51.5</v>
      </c>
      <c r="S445" s="188">
        <f t="shared" ref="S445:S491" si="684">+S444</f>
        <v>145.09666666666666</v>
      </c>
      <c r="T445" s="188">
        <f t="shared" si="680"/>
        <v>196.59666666666666</v>
      </c>
      <c r="U445" s="188">
        <f t="shared" si="625"/>
        <v>325712.93999999989</v>
      </c>
      <c r="V445" s="188">
        <f t="shared" si="626"/>
        <v>575881.85999999975</v>
      </c>
      <c r="W445" s="188">
        <f t="shared" si="681"/>
        <v>0</v>
      </c>
      <c r="X445" s="395">
        <f t="shared" si="618"/>
        <v>58740</v>
      </c>
      <c r="Y445" s="188">
        <f t="shared" si="587"/>
        <v>0</v>
      </c>
      <c r="Z445" s="388">
        <f t="shared" si="612"/>
        <v>8.4999999999999992E-2</v>
      </c>
      <c r="AA445" s="188">
        <f t="shared" si="613"/>
        <v>0</v>
      </c>
      <c r="AB445" s="188">
        <f t="shared" si="588"/>
        <v>0</v>
      </c>
      <c r="AC445" s="188">
        <f t="shared" si="614"/>
        <v>0</v>
      </c>
      <c r="AD445" s="188">
        <f t="shared" ref="AD445:AE445" si="685">+AD444</f>
        <v>51.5</v>
      </c>
      <c r="AE445" s="188">
        <f t="shared" si="685"/>
        <v>145.09666666666666</v>
      </c>
      <c r="AF445" s="188">
        <f t="shared" si="590"/>
        <v>196.59666666666666</v>
      </c>
      <c r="AG445" s="188">
        <f t="shared" si="591"/>
        <v>325712.93999999989</v>
      </c>
      <c r="AH445" s="188">
        <f t="shared" si="592"/>
        <v>575881.85999999975</v>
      </c>
      <c r="AI445" s="404">
        <f t="shared" ref="AI445:AI508" si="686">O445-AA445+AI444</f>
        <v>0</v>
      </c>
      <c r="AJ445" s="404">
        <f t="shared" si="638"/>
        <v>0</v>
      </c>
      <c r="AK445" s="404">
        <f t="shared" ref="AK445:AK508" si="687">SUM(AI445:AJ445)</f>
        <v>0</v>
      </c>
      <c r="AL445" s="188">
        <f t="shared" si="593"/>
        <v>0</v>
      </c>
      <c r="AM445" s="317">
        <f t="shared" si="620"/>
        <v>34</v>
      </c>
      <c r="AN445" s="14">
        <f t="shared" ref="AN445:AN491" si="688">IF(O445=0,0,+O445-C445)</f>
        <v>0</v>
      </c>
      <c r="AO445" s="14">
        <f>IF(W445&lt;=0,0,+$AA$6-$C$2+I445-U445)</f>
        <v>0</v>
      </c>
      <c r="AP445" s="14">
        <f t="shared" ref="AP445:AP491" si="689">IF($O445=0,0,+AA445-$C445)</f>
        <v>0</v>
      </c>
      <c r="AS445" s="14">
        <f t="shared" si="616"/>
        <v>0</v>
      </c>
      <c r="AT445" s="14">
        <f t="shared" si="621"/>
        <v>0</v>
      </c>
      <c r="AU445" s="188">
        <f>IF(W445&lt;=0,0,+($O$5+AV444)*$AQ$2/12)</f>
        <v>0</v>
      </c>
      <c r="AV445" s="188">
        <f t="shared" si="622"/>
        <v>0</v>
      </c>
    </row>
    <row r="446" spans="1:48">
      <c r="A446" s="395">
        <f t="shared" si="675"/>
        <v>58770</v>
      </c>
      <c r="B446" s="188">
        <f t="shared" si="669"/>
        <v>16353.359999999937</v>
      </c>
      <c r="C446" s="14">
        <f t="shared" si="610"/>
        <v>559.88</v>
      </c>
      <c r="D446" s="14">
        <f t="shared" si="623"/>
        <v>498.55</v>
      </c>
      <c r="E446" s="14">
        <f t="shared" si="611"/>
        <v>61.33</v>
      </c>
      <c r="F446" s="14">
        <f t="shared" si="676"/>
        <v>51.5</v>
      </c>
      <c r="G446" s="14">
        <f t="shared" si="672"/>
        <v>145.09666666666666</v>
      </c>
      <c r="H446" s="14">
        <f t="shared" si="673"/>
        <v>756.47666666666669</v>
      </c>
      <c r="I446" s="188">
        <f t="shared" si="677"/>
        <v>107318.3600000001</v>
      </c>
      <c r="J446" s="188">
        <f t="shared" si="678"/>
        <v>134450.09000000005</v>
      </c>
      <c r="K446" s="188">
        <f t="shared" si="679"/>
        <v>15854.809999999938</v>
      </c>
      <c r="L446" s="317">
        <f t="shared" si="659"/>
        <v>34</v>
      </c>
      <c r="M446" s="317">
        <f>IF(N446&lt;&gt;"",IF(N446=$O$5,0,+M445+1),0)</f>
        <v>418</v>
      </c>
      <c r="N446" s="188">
        <f t="shared" si="645"/>
        <v>0</v>
      </c>
      <c r="O446" s="188">
        <f>IF($O$11&lt;=A446,IF(+$W445&lt;=0,0,$O$8),0)</f>
        <v>0</v>
      </c>
      <c r="P446" s="188">
        <f t="shared" si="624"/>
        <v>0</v>
      </c>
      <c r="Q446" s="188">
        <f>IF($O$11&lt;=A446,ROUND(N446*($O$7/12),2),0)</f>
        <v>0</v>
      </c>
      <c r="R446" s="188">
        <f t="shared" si="683"/>
        <v>51.5</v>
      </c>
      <c r="S446" s="188">
        <f t="shared" si="684"/>
        <v>145.09666666666666</v>
      </c>
      <c r="T446" s="188">
        <f t="shared" si="680"/>
        <v>196.59666666666666</v>
      </c>
      <c r="U446" s="188">
        <f t="shared" si="625"/>
        <v>325712.93999999989</v>
      </c>
      <c r="V446" s="188">
        <f t="shared" si="626"/>
        <v>575881.85999999975</v>
      </c>
      <c r="W446" s="188">
        <f t="shared" si="681"/>
        <v>0</v>
      </c>
      <c r="X446" s="395">
        <f t="shared" si="618"/>
        <v>58770</v>
      </c>
      <c r="Y446" s="188">
        <f t="shared" si="587"/>
        <v>0</v>
      </c>
      <c r="Z446" s="388">
        <f t="shared" si="612"/>
        <v>8.4999999999999992E-2</v>
      </c>
      <c r="AA446" s="188">
        <f t="shared" si="613"/>
        <v>0</v>
      </c>
      <c r="AB446" s="188">
        <f t="shared" si="588"/>
        <v>0</v>
      </c>
      <c r="AC446" s="188">
        <f t="shared" si="614"/>
        <v>0</v>
      </c>
      <c r="AD446" s="188">
        <f t="shared" ref="AD446:AE446" si="690">+AD445</f>
        <v>51.5</v>
      </c>
      <c r="AE446" s="188">
        <f t="shared" si="690"/>
        <v>145.09666666666666</v>
      </c>
      <c r="AF446" s="188">
        <f t="shared" si="590"/>
        <v>196.59666666666666</v>
      </c>
      <c r="AG446" s="188">
        <f t="shared" si="591"/>
        <v>325712.93999999989</v>
      </c>
      <c r="AH446" s="188">
        <f t="shared" si="592"/>
        <v>575881.85999999975</v>
      </c>
      <c r="AI446" s="404">
        <f t="shared" si="686"/>
        <v>0</v>
      </c>
      <c r="AJ446" s="404">
        <f t="shared" si="638"/>
        <v>0</v>
      </c>
      <c r="AK446" s="404">
        <f t="shared" si="687"/>
        <v>0</v>
      </c>
      <c r="AL446" s="188">
        <f t="shared" si="593"/>
        <v>0</v>
      </c>
      <c r="AM446" s="317">
        <f t="shared" si="620"/>
        <v>34</v>
      </c>
      <c r="AN446" s="14">
        <f t="shared" si="688"/>
        <v>0</v>
      </c>
      <c r="AO446" s="14">
        <f>IF(W446&lt;=0,0,+$AA$6-$C$2+I446-U446)</f>
        <v>0</v>
      </c>
      <c r="AP446" s="14">
        <f t="shared" si="689"/>
        <v>0</v>
      </c>
      <c r="AS446" s="14">
        <f t="shared" si="616"/>
        <v>0</v>
      </c>
      <c r="AT446" s="14">
        <f t="shared" si="621"/>
        <v>0</v>
      </c>
      <c r="AU446" s="188">
        <f>IF(W446&lt;=0,0,+($O$5+AV445)*$AQ$2/12)</f>
        <v>0</v>
      </c>
      <c r="AV446" s="188">
        <f t="shared" si="622"/>
        <v>0</v>
      </c>
    </row>
    <row r="447" spans="1:48" ht="15.75" thickBot="1">
      <c r="A447" s="398">
        <f t="shared" si="675"/>
        <v>58800</v>
      </c>
      <c r="B447" s="237">
        <f t="shared" si="669"/>
        <v>15854.809999999938</v>
      </c>
      <c r="C447" s="21">
        <f t="shared" si="610"/>
        <v>559.88</v>
      </c>
      <c r="D447" s="21">
        <f t="shared" si="623"/>
        <v>500.42</v>
      </c>
      <c r="E447" s="21">
        <f t="shared" si="611"/>
        <v>59.46</v>
      </c>
      <c r="F447" s="21">
        <f t="shared" si="676"/>
        <v>51.5</v>
      </c>
      <c r="G447" s="21">
        <f t="shared" si="672"/>
        <v>145.09666666666666</v>
      </c>
      <c r="H447" s="21">
        <f t="shared" si="673"/>
        <v>756.47666666666669</v>
      </c>
      <c r="I447" s="237">
        <f t="shared" si="677"/>
        <v>107818.7800000001</v>
      </c>
      <c r="J447" s="237">
        <f t="shared" si="678"/>
        <v>134509.55000000005</v>
      </c>
      <c r="K447" s="237">
        <f t="shared" si="679"/>
        <v>15354.389999999938</v>
      </c>
      <c r="L447" s="318">
        <f t="shared" si="659"/>
        <v>34</v>
      </c>
      <c r="M447" s="318">
        <f>IF(N447&lt;&gt;"",IF(N447=$O$5,0,+M446+1),0)</f>
        <v>419</v>
      </c>
      <c r="N447" s="237">
        <f t="shared" si="645"/>
        <v>0</v>
      </c>
      <c r="O447" s="237">
        <f>IF($O$11&lt;=A447,IF(+$W446&lt;=0,0,$O$8),0)</f>
        <v>0</v>
      </c>
      <c r="P447" s="237">
        <f t="shared" si="624"/>
        <v>0</v>
      </c>
      <c r="Q447" s="237">
        <f>IF($O$11&lt;=A447,ROUND(N447*($O$7/12),2),0)</f>
        <v>0</v>
      </c>
      <c r="R447" s="237">
        <f t="shared" si="683"/>
        <v>51.5</v>
      </c>
      <c r="S447" s="237">
        <f t="shared" si="684"/>
        <v>145.09666666666666</v>
      </c>
      <c r="T447" s="237">
        <f t="shared" si="680"/>
        <v>196.59666666666666</v>
      </c>
      <c r="U447" s="237">
        <f t="shared" si="625"/>
        <v>325712.93999999989</v>
      </c>
      <c r="V447" s="237">
        <f t="shared" si="626"/>
        <v>575881.85999999975</v>
      </c>
      <c r="W447" s="237">
        <f t="shared" si="681"/>
        <v>0</v>
      </c>
      <c r="X447" s="398">
        <f t="shared" si="618"/>
        <v>58800</v>
      </c>
      <c r="Y447" s="237">
        <f t="shared" ref="Y447:Y510" si="691">IF(+AL446&lt;0,0,+AL446)</f>
        <v>0</v>
      </c>
      <c r="Z447" s="389">
        <f t="shared" si="612"/>
        <v>8.4999999999999992E-2</v>
      </c>
      <c r="AA447" s="237">
        <f t="shared" si="613"/>
        <v>0</v>
      </c>
      <c r="AB447" s="237">
        <f t="shared" ref="AB447:AB510" si="692">+AA447-AC447</f>
        <v>0</v>
      </c>
      <c r="AC447" s="237">
        <f t="shared" si="614"/>
        <v>0</v>
      </c>
      <c r="AD447" s="237">
        <f t="shared" ref="AD447:AE447" si="693">+AD446</f>
        <v>51.5</v>
      </c>
      <c r="AE447" s="237">
        <f t="shared" si="693"/>
        <v>145.09666666666666</v>
      </c>
      <c r="AF447" s="237">
        <f t="shared" ref="AF447:AF510" si="694">SUM(AB447:AE447)</f>
        <v>196.59666666666666</v>
      </c>
      <c r="AG447" s="237">
        <f t="shared" ref="AG447:AG510" si="695">+AB447+AG446</f>
        <v>325712.93999999989</v>
      </c>
      <c r="AH447" s="237">
        <f t="shared" ref="AH447:AH510" si="696">+AH446+AC447</f>
        <v>575881.85999999975</v>
      </c>
      <c r="AI447" s="405">
        <f t="shared" si="686"/>
        <v>0</v>
      </c>
      <c r="AJ447" s="405">
        <f t="shared" si="638"/>
        <v>0</v>
      </c>
      <c r="AK447" s="404">
        <f t="shared" si="687"/>
        <v>0</v>
      </c>
      <c r="AL447" s="237">
        <f t="shared" ref="AL447:AL510" si="697">+Y447-AB447</f>
        <v>0</v>
      </c>
      <c r="AM447" s="318">
        <f t="shared" si="620"/>
        <v>34</v>
      </c>
      <c r="AN447" s="21">
        <f t="shared" si="688"/>
        <v>0</v>
      </c>
      <c r="AO447" s="21">
        <f>IF(W447&lt;=0,0,+$AA$6-$C$2+I447-U447)</f>
        <v>0</v>
      </c>
      <c r="AP447" s="21">
        <f t="shared" si="689"/>
        <v>0</v>
      </c>
      <c r="AQ447" s="21"/>
      <c r="AR447" s="23"/>
      <c r="AS447" s="21">
        <f t="shared" si="616"/>
        <v>0</v>
      </c>
      <c r="AT447" s="21">
        <f t="shared" si="621"/>
        <v>0</v>
      </c>
      <c r="AU447" s="237">
        <f>IF(W447&lt;=0,0,+($O$5+AV446)*$AQ$2/12)</f>
        <v>0</v>
      </c>
      <c r="AV447" s="237">
        <f t="shared" si="622"/>
        <v>0</v>
      </c>
    </row>
    <row r="448" spans="1:48">
      <c r="A448" s="395">
        <f t="shared" si="675"/>
        <v>58830</v>
      </c>
      <c r="B448" s="188">
        <f t="shared" si="669"/>
        <v>15354.389999999938</v>
      </c>
      <c r="C448" s="14">
        <f t="shared" si="610"/>
        <v>559.88</v>
      </c>
      <c r="D448" s="14">
        <f t="shared" si="623"/>
        <v>502.3</v>
      </c>
      <c r="E448" s="14">
        <f t="shared" si="611"/>
        <v>57.58</v>
      </c>
      <c r="F448" s="14">
        <f t="shared" si="676"/>
        <v>51.5</v>
      </c>
      <c r="G448" s="14">
        <f t="shared" si="672"/>
        <v>145.09666666666666</v>
      </c>
      <c r="H448" s="14">
        <f t="shared" si="673"/>
        <v>756.47666666666669</v>
      </c>
      <c r="I448" s="188">
        <f t="shared" si="677"/>
        <v>108321.0800000001</v>
      </c>
      <c r="J448" s="188">
        <f t="shared" si="678"/>
        <v>134567.13000000003</v>
      </c>
      <c r="K448" s="188">
        <f t="shared" si="679"/>
        <v>14852.089999999938</v>
      </c>
      <c r="L448" s="317">
        <f t="shared" si="659"/>
        <v>35</v>
      </c>
      <c r="M448" s="317">
        <f>IF(N448&lt;&gt;"",IF(N448=$O$5,0,+M447+1),0)</f>
        <v>420</v>
      </c>
      <c r="N448" s="188">
        <f t="shared" si="645"/>
        <v>0</v>
      </c>
      <c r="O448" s="188">
        <f>IF($O$11&lt;=A448,IF(+$W447&lt;=0,0,$O$8),0)</f>
        <v>0</v>
      </c>
      <c r="P448" s="188">
        <f t="shared" si="624"/>
        <v>0</v>
      </c>
      <c r="Q448" s="188">
        <f>IF($O$11&lt;=A448,ROUND(N448*($O$7/12),2),0)</f>
        <v>0</v>
      </c>
      <c r="R448" s="188">
        <f t="shared" si="683"/>
        <v>51.5</v>
      </c>
      <c r="S448" s="188">
        <f t="shared" si="684"/>
        <v>145.09666666666666</v>
      </c>
      <c r="T448" s="188">
        <f t="shared" si="680"/>
        <v>196.59666666666666</v>
      </c>
      <c r="U448" s="188">
        <f t="shared" si="625"/>
        <v>325712.93999999989</v>
      </c>
      <c r="V448" s="188">
        <f t="shared" si="626"/>
        <v>575881.85999999975</v>
      </c>
      <c r="W448" s="188">
        <f t="shared" si="681"/>
        <v>0</v>
      </c>
      <c r="X448" s="395">
        <f t="shared" si="618"/>
        <v>58830</v>
      </c>
      <c r="Y448" s="188">
        <f t="shared" si="691"/>
        <v>0</v>
      </c>
      <c r="Z448" s="388">
        <f t="shared" si="612"/>
        <v>8.4999999999999992E-2</v>
      </c>
      <c r="AA448" s="188">
        <f t="shared" si="613"/>
        <v>0</v>
      </c>
      <c r="AB448" s="188">
        <f t="shared" si="692"/>
        <v>0</v>
      </c>
      <c r="AC448" s="188">
        <f t="shared" si="614"/>
        <v>0</v>
      </c>
      <c r="AD448" s="188">
        <f t="shared" ref="AD448:AE448" si="698">+AD447</f>
        <v>51.5</v>
      </c>
      <c r="AE448" s="188">
        <f t="shared" si="698"/>
        <v>145.09666666666666</v>
      </c>
      <c r="AF448" s="188">
        <f t="shared" si="694"/>
        <v>196.59666666666666</v>
      </c>
      <c r="AG448" s="188">
        <f t="shared" si="695"/>
        <v>325712.93999999989</v>
      </c>
      <c r="AH448" s="188">
        <f t="shared" si="696"/>
        <v>575881.85999999975</v>
      </c>
      <c r="AI448" s="404">
        <f t="shared" si="686"/>
        <v>0</v>
      </c>
      <c r="AJ448" s="404">
        <f t="shared" si="638"/>
        <v>0</v>
      </c>
      <c r="AK448" s="404">
        <f t="shared" si="687"/>
        <v>0</v>
      </c>
      <c r="AL448" s="188">
        <f t="shared" si="697"/>
        <v>0</v>
      </c>
      <c r="AM448" s="317">
        <f t="shared" si="620"/>
        <v>35</v>
      </c>
      <c r="AN448" s="14">
        <f t="shared" si="688"/>
        <v>0</v>
      </c>
      <c r="AO448" s="14">
        <f>IF(W448&lt;=0,0,+$AA$6-$C$2+I448-U448)</f>
        <v>0</v>
      </c>
      <c r="AP448" s="14">
        <f t="shared" si="689"/>
        <v>0</v>
      </c>
      <c r="AS448" s="14">
        <f t="shared" si="616"/>
        <v>0</v>
      </c>
      <c r="AT448" s="14">
        <f t="shared" si="621"/>
        <v>0</v>
      </c>
      <c r="AU448" s="188">
        <f>IF(W448&lt;=0,0,+($O$5+AV447)*$AQ$2/12)</f>
        <v>0</v>
      </c>
      <c r="AV448" s="188">
        <f t="shared" si="622"/>
        <v>0</v>
      </c>
    </row>
    <row r="449" spans="1:48">
      <c r="A449" s="395">
        <f t="shared" si="675"/>
        <v>58860</v>
      </c>
      <c r="B449" s="188">
        <f t="shared" si="669"/>
        <v>14852.089999999938</v>
      </c>
      <c r="C449" s="14">
        <f t="shared" si="610"/>
        <v>559.88</v>
      </c>
      <c r="D449" s="14">
        <f t="shared" si="623"/>
        <v>504.18</v>
      </c>
      <c r="E449" s="14">
        <f t="shared" si="611"/>
        <v>55.7</v>
      </c>
      <c r="F449" s="14">
        <f t="shared" si="676"/>
        <v>51.5</v>
      </c>
      <c r="G449" s="14">
        <f t="shared" si="672"/>
        <v>145.09666666666666</v>
      </c>
      <c r="H449" s="14">
        <f t="shared" si="673"/>
        <v>756.47666666666669</v>
      </c>
      <c r="I449" s="188">
        <f t="shared" si="677"/>
        <v>108825.2600000001</v>
      </c>
      <c r="J449" s="188">
        <f t="shared" si="678"/>
        <v>134622.83000000005</v>
      </c>
      <c r="K449" s="188">
        <f t="shared" si="679"/>
        <v>14347.909999999938</v>
      </c>
      <c r="L449" s="317">
        <f t="shared" si="659"/>
        <v>35</v>
      </c>
      <c r="M449" s="317">
        <f>IF(N449&lt;&gt;"",IF(N449=$O$5,0,+M448+1),0)</f>
        <v>421</v>
      </c>
      <c r="N449" s="188">
        <f t="shared" si="645"/>
        <v>0</v>
      </c>
      <c r="O449" s="188">
        <f>IF($O$11&lt;=A449,IF(+$W448&lt;=0,0,$O$8),0)</f>
        <v>0</v>
      </c>
      <c r="P449" s="188">
        <f t="shared" si="624"/>
        <v>0</v>
      </c>
      <c r="Q449" s="188">
        <f>IF($O$11&lt;=A449,ROUND(N449*($O$7/12),2),0)</f>
        <v>0</v>
      </c>
      <c r="R449" s="188">
        <f t="shared" si="683"/>
        <v>51.5</v>
      </c>
      <c r="S449" s="188">
        <f t="shared" si="684"/>
        <v>145.09666666666666</v>
      </c>
      <c r="T449" s="188">
        <f t="shared" si="680"/>
        <v>196.59666666666666</v>
      </c>
      <c r="U449" s="188">
        <f t="shared" si="625"/>
        <v>325712.93999999989</v>
      </c>
      <c r="V449" s="188">
        <f t="shared" si="626"/>
        <v>575881.85999999975</v>
      </c>
      <c r="W449" s="188">
        <f t="shared" si="681"/>
        <v>0</v>
      </c>
      <c r="X449" s="395">
        <f t="shared" si="618"/>
        <v>58860</v>
      </c>
      <c r="Y449" s="188">
        <f t="shared" si="691"/>
        <v>0</v>
      </c>
      <c r="Z449" s="388">
        <f t="shared" si="612"/>
        <v>8.4999999999999992E-2</v>
      </c>
      <c r="AA449" s="188">
        <f t="shared" si="613"/>
        <v>0</v>
      </c>
      <c r="AB449" s="188">
        <f t="shared" si="692"/>
        <v>0</v>
      </c>
      <c r="AC449" s="188">
        <f t="shared" si="614"/>
        <v>0</v>
      </c>
      <c r="AD449" s="188">
        <f t="shared" ref="AD449:AE449" si="699">+AD448</f>
        <v>51.5</v>
      </c>
      <c r="AE449" s="188">
        <f t="shared" si="699"/>
        <v>145.09666666666666</v>
      </c>
      <c r="AF449" s="188">
        <f t="shared" si="694"/>
        <v>196.59666666666666</v>
      </c>
      <c r="AG449" s="188">
        <f t="shared" si="695"/>
        <v>325712.93999999989</v>
      </c>
      <c r="AH449" s="188">
        <f t="shared" si="696"/>
        <v>575881.85999999975</v>
      </c>
      <c r="AI449" s="404">
        <f t="shared" si="686"/>
        <v>0</v>
      </c>
      <c r="AJ449" s="404">
        <f t="shared" si="638"/>
        <v>0</v>
      </c>
      <c r="AK449" s="404">
        <f t="shared" si="687"/>
        <v>0</v>
      </c>
      <c r="AL449" s="188">
        <f t="shared" si="697"/>
        <v>0</v>
      </c>
      <c r="AM449" s="317">
        <f t="shared" si="620"/>
        <v>35</v>
      </c>
      <c r="AN449" s="14">
        <f t="shared" si="688"/>
        <v>0</v>
      </c>
      <c r="AO449" s="14">
        <f>IF(W449&lt;=0,0,+$AA$6-$C$2+I449-U449)</f>
        <v>0</v>
      </c>
      <c r="AP449" s="14">
        <f t="shared" si="689"/>
        <v>0</v>
      </c>
      <c r="AS449" s="14">
        <f t="shared" si="616"/>
        <v>0</v>
      </c>
      <c r="AT449" s="14">
        <f t="shared" si="621"/>
        <v>0</v>
      </c>
      <c r="AU449" s="188">
        <f>IF(W449&lt;=0,0,+($O$5+AV448)*$AQ$2/12)</f>
        <v>0</v>
      </c>
      <c r="AV449" s="188">
        <f t="shared" si="622"/>
        <v>0</v>
      </c>
    </row>
    <row r="450" spans="1:48">
      <c r="A450" s="395">
        <f t="shared" si="675"/>
        <v>58890</v>
      </c>
      <c r="B450" s="188">
        <f t="shared" si="669"/>
        <v>14347.909999999938</v>
      </c>
      <c r="C450" s="14">
        <f t="shared" si="610"/>
        <v>559.88</v>
      </c>
      <c r="D450" s="14">
        <f t="shared" si="623"/>
        <v>506.08</v>
      </c>
      <c r="E450" s="14">
        <f t="shared" si="611"/>
        <v>53.8</v>
      </c>
      <c r="F450" s="14">
        <f t="shared" si="676"/>
        <v>51.5</v>
      </c>
      <c r="G450" s="14">
        <f t="shared" si="672"/>
        <v>145.09666666666666</v>
      </c>
      <c r="H450" s="14">
        <f t="shared" si="673"/>
        <v>756.47666666666669</v>
      </c>
      <c r="I450" s="188">
        <f t="shared" si="677"/>
        <v>109331.3400000001</v>
      </c>
      <c r="J450" s="188">
        <f t="shared" si="678"/>
        <v>134676.63000000003</v>
      </c>
      <c r="K450" s="188">
        <f t="shared" si="679"/>
        <v>13841.829999999938</v>
      </c>
      <c r="L450" s="317">
        <f t="shared" si="659"/>
        <v>35</v>
      </c>
      <c r="M450" s="317">
        <f>IF(N450&lt;&gt;"",IF(N450=$O$5,0,+M449+1),0)</f>
        <v>422</v>
      </c>
      <c r="N450" s="188">
        <f t="shared" si="645"/>
        <v>0</v>
      </c>
      <c r="O450" s="188">
        <f>IF($O$11&lt;=A450,IF(+$W449&lt;=0,0,$O$8),0)</f>
        <v>0</v>
      </c>
      <c r="P450" s="188">
        <f t="shared" si="624"/>
        <v>0</v>
      </c>
      <c r="Q450" s="188">
        <f>IF($O$11&lt;=A450,ROUND(N450*($O$7/12),2),0)</f>
        <v>0</v>
      </c>
      <c r="R450" s="188">
        <f t="shared" si="683"/>
        <v>51.5</v>
      </c>
      <c r="S450" s="188">
        <f t="shared" si="684"/>
        <v>145.09666666666666</v>
      </c>
      <c r="T450" s="188">
        <f t="shared" si="680"/>
        <v>196.59666666666666</v>
      </c>
      <c r="U450" s="188">
        <f t="shared" si="625"/>
        <v>325712.93999999989</v>
      </c>
      <c r="V450" s="188">
        <f t="shared" si="626"/>
        <v>575881.85999999975</v>
      </c>
      <c r="W450" s="188">
        <f t="shared" si="681"/>
        <v>0</v>
      </c>
      <c r="X450" s="395">
        <f t="shared" si="618"/>
        <v>58890</v>
      </c>
      <c r="Y450" s="188">
        <f t="shared" si="691"/>
        <v>0</v>
      </c>
      <c r="Z450" s="388">
        <f t="shared" si="612"/>
        <v>8.4999999999999992E-2</v>
      </c>
      <c r="AA450" s="188">
        <f t="shared" si="613"/>
        <v>0</v>
      </c>
      <c r="AB450" s="188">
        <f t="shared" si="692"/>
        <v>0</v>
      </c>
      <c r="AC450" s="188">
        <f t="shared" si="614"/>
        <v>0</v>
      </c>
      <c r="AD450" s="188">
        <f t="shared" ref="AD450:AE450" si="700">+AD449</f>
        <v>51.5</v>
      </c>
      <c r="AE450" s="188">
        <f t="shared" si="700"/>
        <v>145.09666666666666</v>
      </c>
      <c r="AF450" s="188">
        <f t="shared" si="694"/>
        <v>196.59666666666666</v>
      </c>
      <c r="AG450" s="188">
        <f t="shared" si="695"/>
        <v>325712.93999999989</v>
      </c>
      <c r="AH450" s="188">
        <f t="shared" si="696"/>
        <v>575881.85999999975</v>
      </c>
      <c r="AI450" s="404">
        <f t="shared" si="686"/>
        <v>0</v>
      </c>
      <c r="AJ450" s="404">
        <f t="shared" si="638"/>
        <v>0</v>
      </c>
      <c r="AK450" s="404">
        <f t="shared" si="687"/>
        <v>0</v>
      </c>
      <c r="AL450" s="188">
        <f t="shared" si="697"/>
        <v>0</v>
      </c>
      <c r="AM450" s="317">
        <f t="shared" si="620"/>
        <v>35</v>
      </c>
      <c r="AN450" s="14">
        <f t="shared" si="688"/>
        <v>0</v>
      </c>
      <c r="AO450" s="14">
        <f>IF(W450&lt;=0,0,+$AA$6-$C$2+I450-U450)</f>
        <v>0</v>
      </c>
      <c r="AP450" s="14">
        <f t="shared" si="689"/>
        <v>0</v>
      </c>
      <c r="AS450" s="14">
        <f t="shared" si="616"/>
        <v>0</v>
      </c>
      <c r="AT450" s="14">
        <f t="shared" si="621"/>
        <v>0</v>
      </c>
      <c r="AU450" s="188">
        <f>IF(W450&lt;=0,0,+($O$5+AV449)*$AQ$2/12)</f>
        <v>0</v>
      </c>
      <c r="AV450" s="188">
        <f t="shared" si="622"/>
        <v>0</v>
      </c>
    </row>
    <row r="451" spans="1:48">
      <c r="A451" s="395">
        <f t="shared" si="675"/>
        <v>58920</v>
      </c>
      <c r="B451" s="188">
        <f t="shared" si="669"/>
        <v>13841.829999999938</v>
      </c>
      <c r="C451" s="14">
        <f t="shared" si="610"/>
        <v>559.88</v>
      </c>
      <c r="D451" s="14">
        <f t="shared" si="623"/>
        <v>507.97</v>
      </c>
      <c r="E451" s="14">
        <f t="shared" si="611"/>
        <v>51.91</v>
      </c>
      <c r="F451" s="14">
        <f t="shared" si="676"/>
        <v>51.5</v>
      </c>
      <c r="G451" s="14">
        <f t="shared" si="672"/>
        <v>145.09666666666666</v>
      </c>
      <c r="H451" s="14">
        <f t="shared" si="673"/>
        <v>756.47666666666669</v>
      </c>
      <c r="I451" s="188">
        <f t="shared" si="677"/>
        <v>109839.3100000001</v>
      </c>
      <c r="J451" s="188">
        <f t="shared" si="678"/>
        <v>134728.54000000004</v>
      </c>
      <c r="K451" s="188">
        <f t="shared" si="679"/>
        <v>13333.859999999939</v>
      </c>
      <c r="L451" s="317">
        <f t="shared" si="659"/>
        <v>35</v>
      </c>
      <c r="M451" s="317">
        <f>IF(N451&lt;&gt;"",IF(N451=$O$5,0,+M450+1),0)</f>
        <v>423</v>
      </c>
      <c r="N451" s="188">
        <f t="shared" si="645"/>
        <v>0</v>
      </c>
      <c r="O451" s="188">
        <f>IF($O$11&lt;=A451,IF(+$W450&lt;=0,0,$O$8),0)</f>
        <v>0</v>
      </c>
      <c r="P451" s="188">
        <f t="shared" si="624"/>
        <v>0</v>
      </c>
      <c r="Q451" s="188">
        <f>IF($O$11&lt;=A451,ROUND(N451*($O$7/12),2),0)</f>
        <v>0</v>
      </c>
      <c r="R451" s="188">
        <f t="shared" si="683"/>
        <v>51.5</v>
      </c>
      <c r="S451" s="188">
        <f t="shared" si="684"/>
        <v>145.09666666666666</v>
      </c>
      <c r="T451" s="188">
        <f t="shared" si="680"/>
        <v>196.59666666666666</v>
      </c>
      <c r="U451" s="188">
        <f t="shared" si="625"/>
        <v>325712.93999999989</v>
      </c>
      <c r="V451" s="188">
        <f t="shared" si="626"/>
        <v>575881.85999999975</v>
      </c>
      <c r="W451" s="188">
        <f t="shared" si="681"/>
        <v>0</v>
      </c>
      <c r="X451" s="395">
        <f t="shared" si="618"/>
        <v>58920</v>
      </c>
      <c r="Y451" s="188">
        <f t="shared" si="691"/>
        <v>0</v>
      </c>
      <c r="Z451" s="388">
        <f t="shared" si="612"/>
        <v>8.4999999999999992E-2</v>
      </c>
      <c r="AA451" s="188">
        <f t="shared" si="613"/>
        <v>0</v>
      </c>
      <c r="AB451" s="188">
        <f t="shared" si="692"/>
        <v>0</v>
      </c>
      <c r="AC451" s="188">
        <f t="shared" si="614"/>
        <v>0</v>
      </c>
      <c r="AD451" s="188">
        <f t="shared" ref="AD451:AE451" si="701">+AD450</f>
        <v>51.5</v>
      </c>
      <c r="AE451" s="188">
        <f t="shared" si="701"/>
        <v>145.09666666666666</v>
      </c>
      <c r="AF451" s="188">
        <f t="shared" si="694"/>
        <v>196.59666666666666</v>
      </c>
      <c r="AG451" s="188">
        <f t="shared" si="695"/>
        <v>325712.93999999989</v>
      </c>
      <c r="AH451" s="188">
        <f t="shared" si="696"/>
        <v>575881.85999999975</v>
      </c>
      <c r="AI451" s="404">
        <f t="shared" si="686"/>
        <v>0</v>
      </c>
      <c r="AJ451" s="404">
        <f t="shared" si="638"/>
        <v>0</v>
      </c>
      <c r="AK451" s="404">
        <f t="shared" si="687"/>
        <v>0</v>
      </c>
      <c r="AL451" s="188">
        <f t="shared" si="697"/>
        <v>0</v>
      </c>
      <c r="AM451" s="317">
        <f t="shared" si="620"/>
        <v>35</v>
      </c>
      <c r="AN451" s="14">
        <f t="shared" si="688"/>
        <v>0</v>
      </c>
      <c r="AO451" s="14">
        <f>IF(W451&lt;=0,0,+$AA$6-$C$2+I451-U451)</f>
        <v>0</v>
      </c>
      <c r="AP451" s="14">
        <f t="shared" si="689"/>
        <v>0</v>
      </c>
      <c r="AS451" s="14">
        <f t="shared" si="616"/>
        <v>0</v>
      </c>
      <c r="AT451" s="14">
        <f t="shared" si="621"/>
        <v>0</v>
      </c>
      <c r="AU451" s="188">
        <f>IF(W451&lt;=0,0,+($O$5+AV450)*$AQ$2/12)</f>
        <v>0</v>
      </c>
      <c r="AV451" s="188">
        <f t="shared" si="622"/>
        <v>0</v>
      </c>
    </row>
    <row r="452" spans="1:48">
      <c r="A452" s="395">
        <f t="shared" si="675"/>
        <v>58950</v>
      </c>
      <c r="B452" s="188">
        <f t="shared" si="669"/>
        <v>13333.859999999939</v>
      </c>
      <c r="C452" s="14">
        <f t="shared" si="610"/>
        <v>559.88</v>
      </c>
      <c r="D452" s="14">
        <f t="shared" si="623"/>
        <v>509.88</v>
      </c>
      <c r="E452" s="14">
        <f t="shared" si="611"/>
        <v>50</v>
      </c>
      <c r="F452" s="14">
        <f t="shared" si="676"/>
        <v>51.5</v>
      </c>
      <c r="G452" s="14">
        <f t="shared" si="672"/>
        <v>145.09666666666666</v>
      </c>
      <c r="H452" s="14">
        <f t="shared" si="673"/>
        <v>756.47666666666669</v>
      </c>
      <c r="I452" s="188">
        <f t="shared" si="677"/>
        <v>110349.1900000001</v>
      </c>
      <c r="J452" s="188">
        <f t="shared" si="678"/>
        <v>134778.54000000004</v>
      </c>
      <c r="K452" s="188">
        <f t="shared" si="679"/>
        <v>12823.97999999994</v>
      </c>
      <c r="L452" s="317">
        <f t="shared" si="659"/>
        <v>35</v>
      </c>
      <c r="M452" s="317">
        <f>IF(N452&lt;&gt;"",IF(N452=$O$5,0,+M451+1),0)</f>
        <v>424</v>
      </c>
      <c r="N452" s="188">
        <f t="shared" si="645"/>
        <v>0</v>
      </c>
      <c r="O452" s="188">
        <f>IF($O$11&lt;=A452,IF(+$W451&lt;=0,0,$O$8),0)</f>
        <v>0</v>
      </c>
      <c r="P452" s="188">
        <f t="shared" si="624"/>
        <v>0</v>
      </c>
      <c r="Q452" s="188">
        <f>IF($O$11&lt;=A452,ROUND(N452*($O$7/12),2),0)</f>
        <v>0</v>
      </c>
      <c r="R452" s="188">
        <f t="shared" si="683"/>
        <v>51.5</v>
      </c>
      <c r="S452" s="188">
        <f t="shared" si="684"/>
        <v>145.09666666666666</v>
      </c>
      <c r="T452" s="188">
        <f t="shared" si="680"/>
        <v>196.59666666666666</v>
      </c>
      <c r="U452" s="188">
        <f t="shared" si="625"/>
        <v>325712.93999999989</v>
      </c>
      <c r="V452" s="188">
        <f t="shared" si="626"/>
        <v>575881.85999999975</v>
      </c>
      <c r="W452" s="188">
        <f t="shared" si="681"/>
        <v>0</v>
      </c>
      <c r="X452" s="395">
        <f t="shared" si="618"/>
        <v>58950</v>
      </c>
      <c r="Y452" s="188">
        <f t="shared" si="691"/>
        <v>0</v>
      </c>
      <c r="Z452" s="388">
        <f t="shared" si="612"/>
        <v>8.4999999999999992E-2</v>
      </c>
      <c r="AA452" s="188">
        <f t="shared" si="613"/>
        <v>0</v>
      </c>
      <c r="AB452" s="188">
        <f t="shared" si="692"/>
        <v>0</v>
      </c>
      <c r="AC452" s="188">
        <f t="shared" si="614"/>
        <v>0</v>
      </c>
      <c r="AD452" s="188">
        <f t="shared" ref="AD452:AE452" si="702">+AD451</f>
        <v>51.5</v>
      </c>
      <c r="AE452" s="188">
        <f t="shared" si="702"/>
        <v>145.09666666666666</v>
      </c>
      <c r="AF452" s="188">
        <f t="shared" si="694"/>
        <v>196.59666666666666</v>
      </c>
      <c r="AG452" s="188">
        <f t="shared" si="695"/>
        <v>325712.93999999989</v>
      </c>
      <c r="AH452" s="188">
        <f t="shared" si="696"/>
        <v>575881.85999999975</v>
      </c>
      <c r="AI452" s="404">
        <f t="shared" si="686"/>
        <v>0</v>
      </c>
      <c r="AJ452" s="404">
        <f t="shared" si="638"/>
        <v>0</v>
      </c>
      <c r="AK452" s="404">
        <f t="shared" si="687"/>
        <v>0</v>
      </c>
      <c r="AL452" s="188">
        <f t="shared" si="697"/>
        <v>0</v>
      </c>
      <c r="AM452" s="317">
        <f t="shared" si="620"/>
        <v>35</v>
      </c>
      <c r="AN452" s="14">
        <f t="shared" si="688"/>
        <v>0</v>
      </c>
      <c r="AO452" s="14">
        <f>IF(W452&lt;=0,0,+$AA$6-$C$2+I452-U452)</f>
        <v>0</v>
      </c>
      <c r="AP452" s="14">
        <f t="shared" si="689"/>
        <v>0</v>
      </c>
      <c r="AS452" s="14">
        <f t="shared" si="616"/>
        <v>0</v>
      </c>
      <c r="AT452" s="14">
        <f t="shared" si="621"/>
        <v>0</v>
      </c>
      <c r="AU452" s="188">
        <f>IF(W452&lt;=0,0,+($O$5+AV451)*$AQ$2/12)</f>
        <v>0</v>
      </c>
      <c r="AV452" s="188">
        <f t="shared" si="622"/>
        <v>0</v>
      </c>
    </row>
    <row r="453" spans="1:48">
      <c r="A453" s="395">
        <f t="shared" si="675"/>
        <v>58980</v>
      </c>
      <c r="B453" s="188">
        <f t="shared" si="669"/>
        <v>12823.97999999994</v>
      </c>
      <c r="C453" s="14">
        <f t="shared" si="610"/>
        <v>559.88</v>
      </c>
      <c r="D453" s="14">
        <f t="shared" si="623"/>
        <v>511.78999999999996</v>
      </c>
      <c r="E453" s="14">
        <f t="shared" si="611"/>
        <v>48.09</v>
      </c>
      <c r="F453" s="14">
        <f t="shared" si="676"/>
        <v>51.5</v>
      </c>
      <c r="G453" s="14">
        <f t="shared" si="672"/>
        <v>145.09666666666666</v>
      </c>
      <c r="H453" s="14">
        <f t="shared" si="673"/>
        <v>756.47666666666669</v>
      </c>
      <c r="I453" s="188">
        <f t="shared" si="677"/>
        <v>110860.9800000001</v>
      </c>
      <c r="J453" s="188">
        <f t="shared" si="678"/>
        <v>134826.63000000003</v>
      </c>
      <c r="K453" s="188">
        <f t="shared" si="679"/>
        <v>12312.18999999994</v>
      </c>
      <c r="L453" s="317">
        <f t="shared" si="659"/>
        <v>35</v>
      </c>
      <c r="M453" s="317">
        <f>IF(N453&lt;&gt;"",IF(N453=$O$5,0,+M452+1),0)</f>
        <v>425</v>
      </c>
      <c r="N453" s="188">
        <f t="shared" si="645"/>
        <v>0</v>
      </c>
      <c r="O453" s="188">
        <f>IF($O$11&lt;=A453,IF(+$W452&lt;=0,0,$O$8),0)</f>
        <v>0</v>
      </c>
      <c r="P453" s="188">
        <f t="shared" si="624"/>
        <v>0</v>
      </c>
      <c r="Q453" s="188">
        <f>IF($O$11&lt;=A453,ROUND(N453*($O$7/12),2),0)</f>
        <v>0</v>
      </c>
      <c r="R453" s="188">
        <f t="shared" si="683"/>
        <v>51.5</v>
      </c>
      <c r="S453" s="188">
        <f t="shared" si="684"/>
        <v>145.09666666666666</v>
      </c>
      <c r="T453" s="188">
        <f t="shared" si="680"/>
        <v>196.59666666666666</v>
      </c>
      <c r="U453" s="188">
        <f t="shared" si="625"/>
        <v>325712.93999999989</v>
      </c>
      <c r="V453" s="188">
        <f t="shared" si="626"/>
        <v>575881.85999999975</v>
      </c>
      <c r="W453" s="188">
        <f t="shared" si="681"/>
        <v>0</v>
      </c>
      <c r="X453" s="395">
        <f t="shared" si="618"/>
        <v>58980</v>
      </c>
      <c r="Y453" s="188">
        <f t="shared" si="691"/>
        <v>0</v>
      </c>
      <c r="Z453" s="388">
        <f t="shared" si="612"/>
        <v>8.4999999999999992E-2</v>
      </c>
      <c r="AA453" s="188">
        <f t="shared" si="613"/>
        <v>0</v>
      </c>
      <c r="AB453" s="188">
        <f t="shared" si="692"/>
        <v>0</v>
      </c>
      <c r="AC453" s="188">
        <f t="shared" si="614"/>
        <v>0</v>
      </c>
      <c r="AD453" s="188">
        <f t="shared" ref="AD453:AE453" si="703">+AD452</f>
        <v>51.5</v>
      </c>
      <c r="AE453" s="188">
        <f t="shared" si="703"/>
        <v>145.09666666666666</v>
      </c>
      <c r="AF453" s="188">
        <f t="shared" si="694"/>
        <v>196.59666666666666</v>
      </c>
      <c r="AG453" s="188">
        <f t="shared" si="695"/>
        <v>325712.93999999989</v>
      </c>
      <c r="AH453" s="188">
        <f t="shared" si="696"/>
        <v>575881.85999999975</v>
      </c>
      <c r="AI453" s="404">
        <f t="shared" si="686"/>
        <v>0</v>
      </c>
      <c r="AJ453" s="404">
        <f t="shared" si="638"/>
        <v>0</v>
      </c>
      <c r="AK453" s="404">
        <f t="shared" si="687"/>
        <v>0</v>
      </c>
      <c r="AL453" s="188">
        <f t="shared" si="697"/>
        <v>0</v>
      </c>
      <c r="AM453" s="317">
        <f t="shared" si="620"/>
        <v>35</v>
      </c>
      <c r="AN453" s="14">
        <f t="shared" si="688"/>
        <v>0</v>
      </c>
      <c r="AO453" s="14">
        <f>IF(W453&lt;=0,0,+$AA$6-$C$2+I453-U453)</f>
        <v>0</v>
      </c>
      <c r="AP453" s="14">
        <f t="shared" si="689"/>
        <v>0</v>
      </c>
      <c r="AS453" s="14">
        <f t="shared" si="616"/>
        <v>0</v>
      </c>
      <c r="AT453" s="14">
        <f t="shared" si="621"/>
        <v>0</v>
      </c>
      <c r="AU453" s="188">
        <f>IF(W453&lt;=0,0,+($O$5+AV452)*$AQ$2/12)</f>
        <v>0</v>
      </c>
      <c r="AV453" s="188">
        <f t="shared" si="622"/>
        <v>0</v>
      </c>
    </row>
    <row r="454" spans="1:48">
      <c r="A454" s="395">
        <f t="shared" si="675"/>
        <v>59010</v>
      </c>
      <c r="B454" s="188">
        <f t="shared" si="669"/>
        <v>12312.18999999994</v>
      </c>
      <c r="C454" s="14">
        <f t="shared" si="610"/>
        <v>559.88</v>
      </c>
      <c r="D454" s="14">
        <f t="shared" si="623"/>
        <v>513.71</v>
      </c>
      <c r="E454" s="14">
        <f t="shared" si="611"/>
        <v>46.17</v>
      </c>
      <c r="F454" s="14">
        <f t="shared" si="676"/>
        <v>51.5</v>
      </c>
      <c r="G454" s="14">
        <f t="shared" si="672"/>
        <v>145.09666666666666</v>
      </c>
      <c r="H454" s="14">
        <f t="shared" si="673"/>
        <v>756.47666666666669</v>
      </c>
      <c r="I454" s="188">
        <f t="shared" si="677"/>
        <v>111374.6900000001</v>
      </c>
      <c r="J454" s="188">
        <f t="shared" si="678"/>
        <v>134872.80000000005</v>
      </c>
      <c r="K454" s="188">
        <f t="shared" si="679"/>
        <v>11798.479999999941</v>
      </c>
      <c r="L454" s="317">
        <f t="shared" si="659"/>
        <v>35</v>
      </c>
      <c r="M454" s="317">
        <f>IF(N454&lt;&gt;"",IF(N454=$O$5,0,+M453+1),0)</f>
        <v>426</v>
      </c>
      <c r="N454" s="188">
        <f t="shared" si="645"/>
        <v>0</v>
      </c>
      <c r="O454" s="188">
        <f>IF($O$11&lt;=A454,IF(+$W453&lt;=0,0,$O$8),0)</f>
        <v>0</v>
      </c>
      <c r="P454" s="188">
        <f t="shared" si="624"/>
        <v>0</v>
      </c>
      <c r="Q454" s="188">
        <f>IF($O$11&lt;=A454,ROUND(N454*($O$7/12),2),0)</f>
        <v>0</v>
      </c>
      <c r="R454" s="188">
        <f t="shared" si="683"/>
        <v>51.5</v>
      </c>
      <c r="S454" s="188">
        <f t="shared" si="684"/>
        <v>145.09666666666666</v>
      </c>
      <c r="T454" s="188">
        <f t="shared" si="680"/>
        <v>196.59666666666666</v>
      </c>
      <c r="U454" s="188">
        <f t="shared" si="625"/>
        <v>325712.93999999989</v>
      </c>
      <c r="V454" s="188">
        <f t="shared" si="626"/>
        <v>575881.85999999975</v>
      </c>
      <c r="W454" s="188">
        <f t="shared" si="681"/>
        <v>0</v>
      </c>
      <c r="X454" s="395">
        <f t="shared" si="618"/>
        <v>59010</v>
      </c>
      <c r="Y454" s="188">
        <f t="shared" si="691"/>
        <v>0</v>
      </c>
      <c r="Z454" s="388">
        <f t="shared" si="612"/>
        <v>8.4999999999999992E-2</v>
      </c>
      <c r="AA454" s="188">
        <f t="shared" si="613"/>
        <v>0</v>
      </c>
      <c r="AB454" s="188">
        <f t="shared" si="692"/>
        <v>0</v>
      </c>
      <c r="AC454" s="188">
        <f t="shared" si="614"/>
        <v>0</v>
      </c>
      <c r="AD454" s="188">
        <f t="shared" ref="AD454:AE454" si="704">+AD453</f>
        <v>51.5</v>
      </c>
      <c r="AE454" s="188">
        <f t="shared" si="704"/>
        <v>145.09666666666666</v>
      </c>
      <c r="AF454" s="188">
        <f t="shared" si="694"/>
        <v>196.59666666666666</v>
      </c>
      <c r="AG454" s="188">
        <f t="shared" si="695"/>
        <v>325712.93999999989</v>
      </c>
      <c r="AH454" s="188">
        <f t="shared" si="696"/>
        <v>575881.85999999975</v>
      </c>
      <c r="AI454" s="404">
        <f t="shared" si="686"/>
        <v>0</v>
      </c>
      <c r="AJ454" s="404">
        <f t="shared" si="638"/>
        <v>0</v>
      </c>
      <c r="AK454" s="404">
        <f t="shared" si="687"/>
        <v>0</v>
      </c>
      <c r="AL454" s="188">
        <f t="shared" si="697"/>
        <v>0</v>
      </c>
      <c r="AM454" s="317">
        <f t="shared" si="620"/>
        <v>35</v>
      </c>
      <c r="AN454" s="14">
        <f t="shared" si="688"/>
        <v>0</v>
      </c>
      <c r="AO454" s="14">
        <f>IF(W454&lt;=0,0,+$AA$6-$C$2+I454-U454)</f>
        <v>0</v>
      </c>
      <c r="AP454" s="14">
        <f t="shared" si="689"/>
        <v>0</v>
      </c>
      <c r="AS454" s="14">
        <f t="shared" si="616"/>
        <v>0</v>
      </c>
      <c r="AT454" s="14">
        <f t="shared" si="621"/>
        <v>0</v>
      </c>
      <c r="AU454" s="188">
        <f>IF(W454&lt;=0,0,+($O$5+AV453)*$AQ$2/12)</f>
        <v>0</v>
      </c>
      <c r="AV454" s="188">
        <f t="shared" si="622"/>
        <v>0</v>
      </c>
    </row>
    <row r="455" spans="1:48">
      <c r="A455" s="395">
        <f t="shared" si="675"/>
        <v>59040</v>
      </c>
      <c r="B455" s="188">
        <f t="shared" si="669"/>
        <v>11798.479999999941</v>
      </c>
      <c r="C455" s="14">
        <f t="shared" si="610"/>
        <v>559.88</v>
      </c>
      <c r="D455" s="14">
        <f t="shared" si="623"/>
        <v>515.64</v>
      </c>
      <c r="E455" s="14">
        <f t="shared" si="611"/>
        <v>44.24</v>
      </c>
      <c r="F455" s="14">
        <f t="shared" si="676"/>
        <v>51.5</v>
      </c>
      <c r="G455" s="14">
        <f t="shared" si="672"/>
        <v>145.09666666666666</v>
      </c>
      <c r="H455" s="14">
        <f t="shared" si="673"/>
        <v>756.47666666666669</v>
      </c>
      <c r="I455" s="188">
        <f t="shared" si="677"/>
        <v>111890.3300000001</v>
      </c>
      <c r="J455" s="188">
        <f t="shared" si="678"/>
        <v>134917.04000000004</v>
      </c>
      <c r="K455" s="188">
        <f t="shared" si="679"/>
        <v>11282.839999999942</v>
      </c>
      <c r="L455" s="317">
        <f t="shared" si="659"/>
        <v>35</v>
      </c>
      <c r="M455" s="317">
        <f>IF(N455&lt;&gt;"",IF(N455=$O$5,0,+M454+1),0)</f>
        <v>427</v>
      </c>
      <c r="N455" s="188">
        <f t="shared" si="645"/>
        <v>0</v>
      </c>
      <c r="O455" s="188">
        <f>IF($O$11&lt;=A455,IF(+$W454&lt;=0,0,$O$8),0)</f>
        <v>0</v>
      </c>
      <c r="P455" s="188">
        <f t="shared" si="624"/>
        <v>0</v>
      </c>
      <c r="Q455" s="188">
        <f>IF($O$11&lt;=A455,ROUND(N455*($O$7/12),2),0)</f>
        <v>0</v>
      </c>
      <c r="R455" s="188">
        <f t="shared" si="683"/>
        <v>51.5</v>
      </c>
      <c r="S455" s="188">
        <f t="shared" si="684"/>
        <v>145.09666666666666</v>
      </c>
      <c r="T455" s="188">
        <f t="shared" si="680"/>
        <v>196.59666666666666</v>
      </c>
      <c r="U455" s="188">
        <f t="shared" si="625"/>
        <v>325712.93999999989</v>
      </c>
      <c r="V455" s="188">
        <f t="shared" si="626"/>
        <v>575881.85999999975</v>
      </c>
      <c r="W455" s="188">
        <f t="shared" si="681"/>
        <v>0</v>
      </c>
      <c r="X455" s="395">
        <f t="shared" si="618"/>
        <v>59040</v>
      </c>
      <c r="Y455" s="188">
        <f t="shared" si="691"/>
        <v>0</v>
      </c>
      <c r="Z455" s="388">
        <f t="shared" si="612"/>
        <v>8.4999999999999992E-2</v>
      </c>
      <c r="AA455" s="188">
        <f t="shared" si="613"/>
        <v>0</v>
      </c>
      <c r="AB455" s="188">
        <f t="shared" si="692"/>
        <v>0</v>
      </c>
      <c r="AC455" s="188">
        <f t="shared" si="614"/>
        <v>0</v>
      </c>
      <c r="AD455" s="188">
        <f t="shared" ref="AD455:AE455" si="705">+AD454</f>
        <v>51.5</v>
      </c>
      <c r="AE455" s="188">
        <f t="shared" si="705"/>
        <v>145.09666666666666</v>
      </c>
      <c r="AF455" s="188">
        <f t="shared" si="694"/>
        <v>196.59666666666666</v>
      </c>
      <c r="AG455" s="188">
        <f t="shared" si="695"/>
        <v>325712.93999999989</v>
      </c>
      <c r="AH455" s="188">
        <f t="shared" si="696"/>
        <v>575881.85999999975</v>
      </c>
      <c r="AI455" s="404">
        <f t="shared" si="686"/>
        <v>0</v>
      </c>
      <c r="AJ455" s="404">
        <f t="shared" si="638"/>
        <v>0</v>
      </c>
      <c r="AK455" s="404">
        <f t="shared" si="687"/>
        <v>0</v>
      </c>
      <c r="AL455" s="188">
        <f t="shared" si="697"/>
        <v>0</v>
      </c>
      <c r="AM455" s="317">
        <f t="shared" si="620"/>
        <v>35</v>
      </c>
      <c r="AN455" s="14">
        <f t="shared" si="688"/>
        <v>0</v>
      </c>
      <c r="AO455" s="14">
        <f>IF(W455&lt;=0,0,+$AA$6-$C$2+I455-U455)</f>
        <v>0</v>
      </c>
      <c r="AP455" s="14">
        <f t="shared" si="689"/>
        <v>0</v>
      </c>
      <c r="AS455" s="14">
        <f t="shared" si="616"/>
        <v>0</v>
      </c>
      <c r="AT455" s="14">
        <f t="shared" si="621"/>
        <v>0</v>
      </c>
      <c r="AU455" s="188">
        <f>IF(W455&lt;=0,0,+($O$5+AV454)*$AQ$2/12)</f>
        <v>0</v>
      </c>
      <c r="AV455" s="188">
        <f t="shared" si="622"/>
        <v>0</v>
      </c>
    </row>
    <row r="456" spans="1:48">
      <c r="A456" s="395">
        <f t="shared" si="675"/>
        <v>59070</v>
      </c>
      <c r="B456" s="188">
        <f t="shared" si="669"/>
        <v>11282.839999999942</v>
      </c>
      <c r="C456" s="14">
        <f t="shared" si="610"/>
        <v>559.88</v>
      </c>
      <c r="D456" s="14">
        <f t="shared" si="623"/>
        <v>517.56999999999994</v>
      </c>
      <c r="E456" s="14">
        <f t="shared" si="611"/>
        <v>42.31</v>
      </c>
      <c r="F456" s="14">
        <f t="shared" si="676"/>
        <v>51.5</v>
      </c>
      <c r="G456" s="14">
        <f t="shared" si="672"/>
        <v>145.09666666666666</v>
      </c>
      <c r="H456" s="14">
        <f t="shared" si="673"/>
        <v>756.47666666666657</v>
      </c>
      <c r="I456" s="188">
        <f t="shared" si="677"/>
        <v>112407.90000000011</v>
      </c>
      <c r="J456" s="188">
        <f t="shared" si="678"/>
        <v>134959.35000000003</v>
      </c>
      <c r="K456" s="188">
        <f t="shared" si="679"/>
        <v>10765.269999999942</v>
      </c>
      <c r="L456" s="317">
        <f t="shared" si="659"/>
        <v>35</v>
      </c>
      <c r="M456" s="317">
        <f>IF(N456&lt;&gt;"",IF(N456=$O$5,0,+M455+1),0)</f>
        <v>428</v>
      </c>
      <c r="N456" s="188">
        <f t="shared" si="645"/>
        <v>0</v>
      </c>
      <c r="O456" s="188">
        <f>IF($O$11&lt;=A456,IF(+$W455&lt;=0,0,$O$8),0)</f>
        <v>0</v>
      </c>
      <c r="P456" s="188">
        <f t="shared" si="624"/>
        <v>0</v>
      </c>
      <c r="Q456" s="188">
        <f>IF($O$11&lt;=A456,ROUND(N456*($O$7/12),2),0)</f>
        <v>0</v>
      </c>
      <c r="R456" s="188">
        <f t="shared" si="683"/>
        <v>51.5</v>
      </c>
      <c r="S456" s="188">
        <f t="shared" si="684"/>
        <v>145.09666666666666</v>
      </c>
      <c r="T456" s="188">
        <f t="shared" si="680"/>
        <v>196.59666666666666</v>
      </c>
      <c r="U456" s="188">
        <f t="shared" si="625"/>
        <v>325712.93999999989</v>
      </c>
      <c r="V456" s="188">
        <f t="shared" si="626"/>
        <v>575881.85999999975</v>
      </c>
      <c r="W456" s="188">
        <f t="shared" si="681"/>
        <v>0</v>
      </c>
      <c r="X456" s="395">
        <f t="shared" si="618"/>
        <v>59070</v>
      </c>
      <c r="Y456" s="188">
        <f t="shared" si="691"/>
        <v>0</v>
      </c>
      <c r="Z456" s="388">
        <f t="shared" si="612"/>
        <v>8.4999999999999992E-2</v>
      </c>
      <c r="AA456" s="188">
        <f t="shared" si="613"/>
        <v>0</v>
      </c>
      <c r="AB456" s="188">
        <f t="shared" si="692"/>
        <v>0</v>
      </c>
      <c r="AC456" s="188">
        <f t="shared" si="614"/>
        <v>0</v>
      </c>
      <c r="AD456" s="188">
        <f t="shared" ref="AD456:AE456" si="706">+AD455</f>
        <v>51.5</v>
      </c>
      <c r="AE456" s="188">
        <f t="shared" si="706"/>
        <v>145.09666666666666</v>
      </c>
      <c r="AF456" s="188">
        <f t="shared" si="694"/>
        <v>196.59666666666666</v>
      </c>
      <c r="AG456" s="188">
        <f t="shared" si="695"/>
        <v>325712.93999999989</v>
      </c>
      <c r="AH456" s="188">
        <f t="shared" si="696"/>
        <v>575881.85999999975</v>
      </c>
      <c r="AI456" s="404">
        <f t="shared" si="686"/>
        <v>0</v>
      </c>
      <c r="AJ456" s="404">
        <f t="shared" si="638"/>
        <v>0</v>
      </c>
      <c r="AK456" s="404">
        <f t="shared" si="687"/>
        <v>0</v>
      </c>
      <c r="AL456" s="188">
        <f t="shared" si="697"/>
        <v>0</v>
      </c>
      <c r="AM456" s="317">
        <f t="shared" si="620"/>
        <v>35</v>
      </c>
      <c r="AN456" s="14">
        <f t="shared" si="688"/>
        <v>0</v>
      </c>
      <c r="AO456" s="14">
        <f>IF(W456&lt;=0,0,+$AA$6-$C$2+I456-U456)</f>
        <v>0</v>
      </c>
      <c r="AP456" s="14">
        <f t="shared" si="689"/>
        <v>0</v>
      </c>
      <c r="AS456" s="14">
        <f t="shared" si="616"/>
        <v>0</v>
      </c>
      <c r="AT456" s="14">
        <f t="shared" si="621"/>
        <v>0</v>
      </c>
      <c r="AU456" s="188">
        <f>IF(W456&lt;=0,0,+($O$5+AV455)*$AQ$2/12)</f>
        <v>0</v>
      </c>
      <c r="AV456" s="188">
        <f t="shared" si="622"/>
        <v>0</v>
      </c>
    </row>
    <row r="457" spans="1:48">
      <c r="A457" s="395">
        <f t="shared" si="675"/>
        <v>59100</v>
      </c>
      <c r="B457" s="188">
        <f t="shared" si="669"/>
        <v>10765.269999999942</v>
      </c>
      <c r="C457" s="14">
        <f t="shared" si="610"/>
        <v>559.88</v>
      </c>
      <c r="D457" s="14">
        <f t="shared" si="623"/>
        <v>519.51</v>
      </c>
      <c r="E457" s="14">
        <f t="shared" si="611"/>
        <v>40.369999999999997</v>
      </c>
      <c r="F457" s="14">
        <f t="shared" si="676"/>
        <v>51.5</v>
      </c>
      <c r="G457" s="14">
        <f t="shared" si="672"/>
        <v>145.09666666666666</v>
      </c>
      <c r="H457" s="14">
        <f t="shared" si="673"/>
        <v>756.47666666666669</v>
      </c>
      <c r="I457" s="188">
        <f t="shared" si="677"/>
        <v>112927.41000000011</v>
      </c>
      <c r="J457" s="188">
        <f t="shared" si="678"/>
        <v>134999.72000000003</v>
      </c>
      <c r="K457" s="188">
        <f t="shared" si="679"/>
        <v>10245.759999999942</v>
      </c>
      <c r="L457" s="317">
        <f t="shared" si="659"/>
        <v>35</v>
      </c>
      <c r="M457" s="317">
        <f>IF(N457&lt;&gt;"",IF(N457=$O$5,0,+M456+1),0)</f>
        <v>429</v>
      </c>
      <c r="N457" s="188">
        <f t="shared" si="645"/>
        <v>0</v>
      </c>
      <c r="O457" s="188">
        <f>IF($O$11&lt;=A457,IF(+$W456&lt;=0,0,$O$8),0)</f>
        <v>0</v>
      </c>
      <c r="P457" s="188">
        <f t="shared" si="624"/>
        <v>0</v>
      </c>
      <c r="Q457" s="188">
        <f>IF($O$11&lt;=A457,ROUND(N457*($O$7/12),2),0)</f>
        <v>0</v>
      </c>
      <c r="R457" s="188">
        <f t="shared" si="683"/>
        <v>51.5</v>
      </c>
      <c r="S457" s="188">
        <f t="shared" si="684"/>
        <v>145.09666666666666</v>
      </c>
      <c r="T457" s="188">
        <f t="shared" si="680"/>
        <v>196.59666666666666</v>
      </c>
      <c r="U457" s="188">
        <f t="shared" si="625"/>
        <v>325712.93999999989</v>
      </c>
      <c r="V457" s="188">
        <f t="shared" si="626"/>
        <v>575881.85999999975</v>
      </c>
      <c r="W457" s="188">
        <f t="shared" si="681"/>
        <v>0</v>
      </c>
      <c r="X457" s="395">
        <f t="shared" si="618"/>
        <v>59100</v>
      </c>
      <c r="Y457" s="188">
        <f t="shared" si="691"/>
        <v>0</v>
      </c>
      <c r="Z457" s="388">
        <f t="shared" si="612"/>
        <v>8.4999999999999992E-2</v>
      </c>
      <c r="AA457" s="188">
        <f t="shared" si="613"/>
        <v>0</v>
      </c>
      <c r="AB457" s="188">
        <f t="shared" si="692"/>
        <v>0</v>
      </c>
      <c r="AC457" s="188">
        <f t="shared" si="614"/>
        <v>0</v>
      </c>
      <c r="AD457" s="188">
        <f t="shared" ref="AD457:AE457" si="707">+AD456</f>
        <v>51.5</v>
      </c>
      <c r="AE457" s="188">
        <f t="shared" si="707"/>
        <v>145.09666666666666</v>
      </c>
      <c r="AF457" s="188">
        <f t="shared" si="694"/>
        <v>196.59666666666666</v>
      </c>
      <c r="AG457" s="188">
        <f t="shared" si="695"/>
        <v>325712.93999999989</v>
      </c>
      <c r="AH457" s="188">
        <f t="shared" si="696"/>
        <v>575881.85999999975</v>
      </c>
      <c r="AI457" s="404">
        <f t="shared" si="686"/>
        <v>0</v>
      </c>
      <c r="AJ457" s="404">
        <f t="shared" si="638"/>
        <v>0</v>
      </c>
      <c r="AK457" s="404">
        <f t="shared" si="687"/>
        <v>0</v>
      </c>
      <c r="AL457" s="188">
        <f t="shared" si="697"/>
        <v>0</v>
      </c>
      <c r="AM457" s="317">
        <f t="shared" si="620"/>
        <v>35</v>
      </c>
      <c r="AN457" s="14">
        <f t="shared" si="688"/>
        <v>0</v>
      </c>
      <c r="AO457" s="14">
        <f>IF(W457&lt;=0,0,+$AA$6-$C$2+I457-U457)</f>
        <v>0</v>
      </c>
      <c r="AP457" s="14">
        <f t="shared" si="689"/>
        <v>0</v>
      </c>
      <c r="AS457" s="14">
        <f t="shared" si="616"/>
        <v>0</v>
      </c>
      <c r="AT457" s="14">
        <f t="shared" si="621"/>
        <v>0</v>
      </c>
      <c r="AU457" s="188">
        <f>IF(W457&lt;=0,0,+($O$5+AV456)*$AQ$2/12)</f>
        <v>0</v>
      </c>
      <c r="AV457" s="188">
        <f t="shared" si="622"/>
        <v>0</v>
      </c>
    </row>
    <row r="458" spans="1:48">
      <c r="A458" s="395">
        <f t="shared" si="675"/>
        <v>59130</v>
      </c>
      <c r="B458" s="188">
        <f t="shared" si="669"/>
        <v>10245.759999999942</v>
      </c>
      <c r="C458" s="14">
        <f t="shared" si="610"/>
        <v>559.88</v>
      </c>
      <c r="D458" s="14">
        <f t="shared" si="623"/>
        <v>521.46</v>
      </c>
      <c r="E458" s="14">
        <f t="shared" si="611"/>
        <v>38.42</v>
      </c>
      <c r="F458" s="14">
        <f t="shared" si="676"/>
        <v>51.5</v>
      </c>
      <c r="G458" s="14">
        <f t="shared" si="672"/>
        <v>145.09666666666666</v>
      </c>
      <c r="H458" s="14">
        <f t="shared" si="673"/>
        <v>756.47666666666669</v>
      </c>
      <c r="I458" s="188">
        <f t="shared" si="677"/>
        <v>113448.87000000011</v>
      </c>
      <c r="J458" s="188">
        <f t="shared" si="678"/>
        <v>135038.14000000004</v>
      </c>
      <c r="K458" s="188">
        <f t="shared" si="679"/>
        <v>9724.2999999999411</v>
      </c>
      <c r="L458" s="317">
        <f t="shared" si="659"/>
        <v>35</v>
      </c>
      <c r="M458" s="317">
        <f>IF(N458&lt;&gt;"",IF(N458=$O$5,0,+M457+1),0)</f>
        <v>430</v>
      </c>
      <c r="N458" s="188">
        <f t="shared" si="645"/>
        <v>0</v>
      </c>
      <c r="O458" s="188">
        <f>IF($O$11&lt;=A458,IF(+$W457&lt;=0,0,$O$8),0)</f>
        <v>0</v>
      </c>
      <c r="P458" s="188">
        <f t="shared" si="624"/>
        <v>0</v>
      </c>
      <c r="Q458" s="188">
        <f>IF($O$11&lt;=A458,ROUND(N458*($O$7/12),2),0)</f>
        <v>0</v>
      </c>
      <c r="R458" s="188">
        <f t="shared" si="683"/>
        <v>51.5</v>
      </c>
      <c r="S458" s="188">
        <f t="shared" si="684"/>
        <v>145.09666666666666</v>
      </c>
      <c r="T458" s="188">
        <f t="shared" si="680"/>
        <v>196.59666666666666</v>
      </c>
      <c r="U458" s="188">
        <f t="shared" si="625"/>
        <v>325712.93999999989</v>
      </c>
      <c r="V458" s="188">
        <f t="shared" si="626"/>
        <v>575881.85999999975</v>
      </c>
      <c r="W458" s="188">
        <f t="shared" si="681"/>
        <v>0</v>
      </c>
      <c r="X458" s="395">
        <f t="shared" si="618"/>
        <v>59130</v>
      </c>
      <c r="Y458" s="188">
        <f t="shared" si="691"/>
        <v>0</v>
      </c>
      <c r="Z458" s="388">
        <f t="shared" si="612"/>
        <v>8.4999999999999992E-2</v>
      </c>
      <c r="AA458" s="188">
        <f t="shared" si="613"/>
        <v>0</v>
      </c>
      <c r="AB458" s="188">
        <f t="shared" si="692"/>
        <v>0</v>
      </c>
      <c r="AC458" s="188">
        <f t="shared" si="614"/>
        <v>0</v>
      </c>
      <c r="AD458" s="188">
        <f t="shared" ref="AD458:AE458" si="708">+AD457</f>
        <v>51.5</v>
      </c>
      <c r="AE458" s="188">
        <f t="shared" si="708"/>
        <v>145.09666666666666</v>
      </c>
      <c r="AF458" s="188">
        <f t="shared" si="694"/>
        <v>196.59666666666666</v>
      </c>
      <c r="AG458" s="188">
        <f t="shared" si="695"/>
        <v>325712.93999999989</v>
      </c>
      <c r="AH458" s="188">
        <f t="shared" si="696"/>
        <v>575881.85999999975</v>
      </c>
      <c r="AI458" s="404">
        <f t="shared" si="686"/>
        <v>0</v>
      </c>
      <c r="AJ458" s="404">
        <f t="shared" si="638"/>
        <v>0</v>
      </c>
      <c r="AK458" s="404">
        <f t="shared" si="687"/>
        <v>0</v>
      </c>
      <c r="AL458" s="188">
        <f t="shared" si="697"/>
        <v>0</v>
      </c>
      <c r="AM458" s="317">
        <f t="shared" si="620"/>
        <v>35</v>
      </c>
      <c r="AN458" s="14">
        <f t="shared" si="688"/>
        <v>0</v>
      </c>
      <c r="AO458" s="14">
        <f>IF(W458&lt;=0,0,+$AA$6-$C$2+I458-U458)</f>
        <v>0</v>
      </c>
      <c r="AP458" s="14">
        <f t="shared" si="689"/>
        <v>0</v>
      </c>
      <c r="AS458" s="14">
        <f t="shared" si="616"/>
        <v>0</v>
      </c>
      <c r="AT458" s="14">
        <f t="shared" si="621"/>
        <v>0</v>
      </c>
      <c r="AU458" s="188">
        <f>IF(W458&lt;=0,0,+($O$5+AV457)*$AQ$2/12)</f>
        <v>0</v>
      </c>
      <c r="AV458" s="188">
        <f t="shared" si="622"/>
        <v>0</v>
      </c>
    </row>
    <row r="459" spans="1:48" ht="15.75" thickBot="1">
      <c r="A459" s="398">
        <f t="shared" si="675"/>
        <v>59160</v>
      </c>
      <c r="B459" s="237">
        <f t="shared" si="669"/>
        <v>9724.2999999999411</v>
      </c>
      <c r="C459" s="21">
        <f t="shared" si="610"/>
        <v>559.88</v>
      </c>
      <c r="D459" s="21">
        <f t="shared" si="623"/>
        <v>523.41</v>
      </c>
      <c r="E459" s="21">
        <f t="shared" si="611"/>
        <v>36.47</v>
      </c>
      <c r="F459" s="21">
        <f t="shared" si="676"/>
        <v>51.5</v>
      </c>
      <c r="G459" s="21">
        <f t="shared" si="672"/>
        <v>145.09666666666666</v>
      </c>
      <c r="H459" s="21">
        <f t="shared" si="673"/>
        <v>756.47666666666669</v>
      </c>
      <c r="I459" s="237">
        <f t="shared" si="677"/>
        <v>113972.28000000012</v>
      </c>
      <c r="J459" s="237">
        <f t="shared" si="678"/>
        <v>135074.61000000004</v>
      </c>
      <c r="K459" s="237">
        <f t="shared" si="679"/>
        <v>9200.8899999999412</v>
      </c>
      <c r="L459" s="318">
        <f t="shared" si="659"/>
        <v>35</v>
      </c>
      <c r="M459" s="318">
        <f>IF(N459&lt;&gt;"",IF(N459=$O$5,0,+M458+1),0)</f>
        <v>431</v>
      </c>
      <c r="N459" s="237">
        <f t="shared" si="645"/>
        <v>0</v>
      </c>
      <c r="O459" s="237">
        <f>IF($O$11&lt;=A459,IF(+$W458&lt;=0,0,$O$8),0)</f>
        <v>0</v>
      </c>
      <c r="P459" s="237">
        <f t="shared" si="624"/>
        <v>0</v>
      </c>
      <c r="Q459" s="237">
        <f>IF($O$11&lt;=A459,ROUND(N459*($O$7/12),2),0)</f>
        <v>0</v>
      </c>
      <c r="R459" s="237">
        <f t="shared" si="683"/>
        <v>51.5</v>
      </c>
      <c r="S459" s="237">
        <f t="shared" si="684"/>
        <v>145.09666666666666</v>
      </c>
      <c r="T459" s="237">
        <f t="shared" si="680"/>
        <v>196.59666666666666</v>
      </c>
      <c r="U459" s="237">
        <f t="shared" si="625"/>
        <v>325712.93999999989</v>
      </c>
      <c r="V459" s="237">
        <f t="shared" si="626"/>
        <v>575881.85999999975</v>
      </c>
      <c r="W459" s="237">
        <f t="shared" si="681"/>
        <v>0</v>
      </c>
      <c r="X459" s="398">
        <f t="shared" si="618"/>
        <v>59160</v>
      </c>
      <c r="Y459" s="237">
        <f t="shared" si="691"/>
        <v>0</v>
      </c>
      <c r="Z459" s="389">
        <f t="shared" si="612"/>
        <v>8.4999999999999992E-2</v>
      </c>
      <c r="AA459" s="237">
        <f t="shared" si="613"/>
        <v>0</v>
      </c>
      <c r="AB459" s="237">
        <f t="shared" si="692"/>
        <v>0</v>
      </c>
      <c r="AC459" s="237">
        <f t="shared" si="614"/>
        <v>0</v>
      </c>
      <c r="AD459" s="237">
        <f t="shared" ref="AD459:AE459" si="709">+AD458</f>
        <v>51.5</v>
      </c>
      <c r="AE459" s="237">
        <f t="shared" si="709"/>
        <v>145.09666666666666</v>
      </c>
      <c r="AF459" s="237">
        <f t="shared" si="694"/>
        <v>196.59666666666666</v>
      </c>
      <c r="AG459" s="237">
        <f t="shared" si="695"/>
        <v>325712.93999999989</v>
      </c>
      <c r="AH459" s="237">
        <f t="shared" si="696"/>
        <v>575881.85999999975</v>
      </c>
      <c r="AI459" s="405">
        <f t="shared" si="686"/>
        <v>0</v>
      </c>
      <c r="AJ459" s="405">
        <f t="shared" si="638"/>
        <v>0</v>
      </c>
      <c r="AK459" s="404">
        <f t="shared" si="687"/>
        <v>0</v>
      </c>
      <c r="AL459" s="237">
        <f t="shared" si="697"/>
        <v>0</v>
      </c>
      <c r="AM459" s="318">
        <f t="shared" si="620"/>
        <v>35</v>
      </c>
      <c r="AN459" s="21">
        <f t="shared" si="688"/>
        <v>0</v>
      </c>
      <c r="AO459" s="21">
        <f>IF(W459&lt;=0,0,+$AA$6-$C$2+I459-U459)</f>
        <v>0</v>
      </c>
      <c r="AP459" s="21">
        <f t="shared" si="689"/>
        <v>0</v>
      </c>
      <c r="AQ459" s="21"/>
      <c r="AR459" s="23"/>
      <c r="AS459" s="21">
        <f t="shared" si="616"/>
        <v>0</v>
      </c>
      <c r="AT459" s="21">
        <f t="shared" si="621"/>
        <v>0</v>
      </c>
      <c r="AU459" s="237">
        <f>IF(W459&lt;=0,0,+($O$5+AV458)*$AQ$2/12)</f>
        <v>0</v>
      </c>
      <c r="AV459" s="237">
        <f t="shared" si="622"/>
        <v>0</v>
      </c>
    </row>
    <row r="460" spans="1:48">
      <c r="A460" s="395">
        <f t="shared" si="675"/>
        <v>59190</v>
      </c>
      <c r="B460" s="188">
        <f t="shared" si="669"/>
        <v>9200.8899999999412</v>
      </c>
      <c r="C460" s="14">
        <f t="shared" si="610"/>
        <v>559.88</v>
      </c>
      <c r="D460" s="14">
        <f t="shared" si="623"/>
        <v>525.38</v>
      </c>
      <c r="E460" s="14">
        <f t="shared" si="611"/>
        <v>34.5</v>
      </c>
      <c r="F460" s="14">
        <f t="shared" si="676"/>
        <v>51.5</v>
      </c>
      <c r="G460" s="14">
        <f t="shared" si="672"/>
        <v>145.09666666666666</v>
      </c>
      <c r="H460" s="14">
        <f t="shared" si="673"/>
        <v>756.47666666666669</v>
      </c>
      <c r="I460" s="188">
        <f t="shared" si="677"/>
        <v>114497.66000000012</v>
      </c>
      <c r="J460" s="188">
        <f t="shared" si="678"/>
        <v>135109.11000000004</v>
      </c>
      <c r="K460" s="188">
        <f t="shared" si="679"/>
        <v>8675.509999999942</v>
      </c>
      <c r="L460" s="317">
        <f t="shared" si="659"/>
        <v>36</v>
      </c>
      <c r="M460" s="317">
        <f>IF(N460&lt;&gt;"",IF(N460=$O$5,0,+M459+1),0)</f>
        <v>432</v>
      </c>
      <c r="N460" s="188">
        <f t="shared" si="645"/>
        <v>0</v>
      </c>
      <c r="O460" s="188">
        <f>IF($O$11&lt;=A460,IF(+$W459&lt;=0,0,$O$8),0)</f>
        <v>0</v>
      </c>
      <c r="P460" s="188">
        <f t="shared" si="624"/>
        <v>0</v>
      </c>
      <c r="Q460" s="188">
        <f>IF($O$11&lt;=A460,ROUND(N460*($O$7/12),2),0)</f>
        <v>0</v>
      </c>
      <c r="R460" s="188">
        <f t="shared" si="683"/>
        <v>51.5</v>
      </c>
      <c r="S460" s="188">
        <f t="shared" si="684"/>
        <v>145.09666666666666</v>
      </c>
      <c r="T460" s="188">
        <f t="shared" si="680"/>
        <v>196.59666666666666</v>
      </c>
      <c r="U460" s="188">
        <f t="shared" si="625"/>
        <v>325712.93999999989</v>
      </c>
      <c r="V460" s="188">
        <f t="shared" si="626"/>
        <v>575881.85999999975</v>
      </c>
      <c r="W460" s="188">
        <f t="shared" si="681"/>
        <v>0</v>
      </c>
      <c r="X460" s="395">
        <f t="shared" si="618"/>
        <v>59190</v>
      </c>
      <c r="Y460" s="188">
        <f t="shared" si="691"/>
        <v>0</v>
      </c>
      <c r="Z460" s="388">
        <f t="shared" si="612"/>
        <v>8.4999999999999992E-2</v>
      </c>
      <c r="AA460" s="188">
        <f t="shared" si="613"/>
        <v>0</v>
      </c>
      <c r="AB460" s="188">
        <f t="shared" si="692"/>
        <v>0</v>
      </c>
      <c r="AC460" s="188">
        <f t="shared" si="614"/>
        <v>0</v>
      </c>
      <c r="AD460" s="188">
        <f t="shared" ref="AD460:AE460" si="710">+AD459</f>
        <v>51.5</v>
      </c>
      <c r="AE460" s="188">
        <f t="shared" si="710"/>
        <v>145.09666666666666</v>
      </c>
      <c r="AF460" s="188">
        <f t="shared" si="694"/>
        <v>196.59666666666666</v>
      </c>
      <c r="AG460" s="188">
        <f t="shared" si="695"/>
        <v>325712.93999999989</v>
      </c>
      <c r="AH460" s="188">
        <f t="shared" si="696"/>
        <v>575881.85999999975</v>
      </c>
      <c r="AI460" s="404">
        <f t="shared" si="686"/>
        <v>0</v>
      </c>
      <c r="AJ460" s="404">
        <f t="shared" si="638"/>
        <v>0</v>
      </c>
      <c r="AK460" s="404">
        <f t="shared" si="687"/>
        <v>0</v>
      </c>
      <c r="AL460" s="188">
        <f t="shared" si="697"/>
        <v>0</v>
      </c>
      <c r="AM460" s="317">
        <f t="shared" si="620"/>
        <v>36</v>
      </c>
      <c r="AN460" s="14">
        <f t="shared" si="688"/>
        <v>0</v>
      </c>
      <c r="AO460" s="14">
        <f>IF(W460&lt;=0,0,+$AA$6-$C$2+I460-U460)</f>
        <v>0</v>
      </c>
      <c r="AP460" s="14">
        <f t="shared" si="689"/>
        <v>0</v>
      </c>
      <c r="AS460" s="14">
        <f t="shared" si="616"/>
        <v>0</v>
      </c>
      <c r="AT460" s="14">
        <f t="shared" si="621"/>
        <v>0</v>
      </c>
      <c r="AU460" s="188">
        <f>IF(W460&lt;=0,0,+($O$5+AV459)*$AQ$2/12)</f>
        <v>0</v>
      </c>
      <c r="AV460" s="188">
        <f t="shared" si="622"/>
        <v>0</v>
      </c>
    </row>
    <row r="461" spans="1:48">
      <c r="A461" s="395">
        <f t="shared" si="675"/>
        <v>59220</v>
      </c>
      <c r="B461" s="188">
        <f t="shared" si="669"/>
        <v>8675.509999999942</v>
      </c>
      <c r="C461" s="14">
        <f t="shared" si="610"/>
        <v>559.88</v>
      </c>
      <c r="D461" s="14">
        <f t="shared" si="623"/>
        <v>527.35</v>
      </c>
      <c r="E461" s="14">
        <f t="shared" si="611"/>
        <v>32.53</v>
      </c>
      <c r="F461" s="14">
        <f t="shared" si="676"/>
        <v>51.5</v>
      </c>
      <c r="G461" s="14">
        <f t="shared" si="672"/>
        <v>145.09666666666666</v>
      </c>
      <c r="H461" s="14">
        <f t="shared" si="673"/>
        <v>756.47666666666669</v>
      </c>
      <c r="I461" s="188">
        <f t="shared" si="677"/>
        <v>115025.01000000013</v>
      </c>
      <c r="J461" s="188">
        <f t="shared" si="678"/>
        <v>135141.64000000004</v>
      </c>
      <c r="K461" s="188">
        <f t="shared" si="679"/>
        <v>8148.1599999999416</v>
      </c>
      <c r="L461" s="317">
        <f t="shared" si="659"/>
        <v>36</v>
      </c>
      <c r="M461" s="317">
        <f>IF(N461&lt;&gt;"",IF(N461=$O$5,0,+M460+1),0)</f>
        <v>433</v>
      </c>
      <c r="N461" s="188">
        <f t="shared" si="645"/>
        <v>0</v>
      </c>
      <c r="O461" s="188">
        <f>IF($O$11&lt;=A461,IF(+$W460&lt;=0,0,$O$8),0)</f>
        <v>0</v>
      </c>
      <c r="P461" s="188">
        <f t="shared" si="624"/>
        <v>0</v>
      </c>
      <c r="Q461" s="188">
        <f>IF($O$11&lt;=A461,ROUND(N461*($O$7/12),2),0)</f>
        <v>0</v>
      </c>
      <c r="R461" s="188">
        <f t="shared" si="683"/>
        <v>51.5</v>
      </c>
      <c r="S461" s="188">
        <f t="shared" si="684"/>
        <v>145.09666666666666</v>
      </c>
      <c r="T461" s="188">
        <f t="shared" si="680"/>
        <v>196.59666666666666</v>
      </c>
      <c r="U461" s="188">
        <f t="shared" si="625"/>
        <v>325712.93999999989</v>
      </c>
      <c r="V461" s="188">
        <f t="shared" si="626"/>
        <v>575881.85999999975</v>
      </c>
      <c r="W461" s="188">
        <f t="shared" si="681"/>
        <v>0</v>
      </c>
      <c r="X461" s="395">
        <f t="shared" si="618"/>
        <v>59220</v>
      </c>
      <c r="Y461" s="188">
        <f t="shared" si="691"/>
        <v>0</v>
      </c>
      <c r="Z461" s="388">
        <f t="shared" si="612"/>
        <v>8.4999999999999992E-2</v>
      </c>
      <c r="AA461" s="188">
        <f t="shared" si="613"/>
        <v>0</v>
      </c>
      <c r="AB461" s="188">
        <f t="shared" si="692"/>
        <v>0</v>
      </c>
      <c r="AC461" s="188">
        <f t="shared" si="614"/>
        <v>0</v>
      </c>
      <c r="AD461" s="188">
        <f t="shared" ref="AD461:AE461" si="711">+AD460</f>
        <v>51.5</v>
      </c>
      <c r="AE461" s="188">
        <f t="shared" si="711"/>
        <v>145.09666666666666</v>
      </c>
      <c r="AF461" s="188">
        <f t="shared" si="694"/>
        <v>196.59666666666666</v>
      </c>
      <c r="AG461" s="188">
        <f t="shared" si="695"/>
        <v>325712.93999999989</v>
      </c>
      <c r="AH461" s="188">
        <f t="shared" si="696"/>
        <v>575881.85999999975</v>
      </c>
      <c r="AI461" s="404">
        <f t="shared" si="686"/>
        <v>0</v>
      </c>
      <c r="AJ461" s="404">
        <f t="shared" si="638"/>
        <v>0</v>
      </c>
      <c r="AK461" s="404">
        <f t="shared" si="687"/>
        <v>0</v>
      </c>
      <c r="AL461" s="188">
        <f t="shared" si="697"/>
        <v>0</v>
      </c>
      <c r="AM461" s="317">
        <f t="shared" si="620"/>
        <v>36</v>
      </c>
      <c r="AN461" s="14">
        <f t="shared" si="688"/>
        <v>0</v>
      </c>
      <c r="AO461" s="14">
        <f>IF(W461&lt;=0,0,+$AA$6-$C$2+I461-U461)</f>
        <v>0</v>
      </c>
      <c r="AP461" s="14">
        <f t="shared" si="689"/>
        <v>0</v>
      </c>
      <c r="AS461" s="14">
        <f t="shared" si="616"/>
        <v>0</v>
      </c>
      <c r="AT461" s="14">
        <f t="shared" si="621"/>
        <v>0</v>
      </c>
      <c r="AU461" s="188">
        <f>IF(W461&lt;=0,0,+($O$5+AV460)*$AQ$2/12)</f>
        <v>0</v>
      </c>
      <c r="AV461" s="188">
        <f t="shared" si="622"/>
        <v>0</v>
      </c>
    </row>
    <row r="462" spans="1:48">
      <c r="A462" s="395">
        <f t="shared" si="675"/>
        <v>59250</v>
      </c>
      <c r="B462" s="188">
        <f t="shared" si="669"/>
        <v>8148.1599999999416</v>
      </c>
      <c r="C462" s="14">
        <f t="shared" si="610"/>
        <v>559.88</v>
      </c>
      <c r="D462" s="14">
        <f t="shared" si="623"/>
        <v>529.32000000000005</v>
      </c>
      <c r="E462" s="14">
        <f t="shared" si="611"/>
        <v>30.56</v>
      </c>
      <c r="F462" s="14">
        <f t="shared" si="676"/>
        <v>51.5</v>
      </c>
      <c r="G462" s="14">
        <f t="shared" si="672"/>
        <v>145.09666666666666</v>
      </c>
      <c r="H462" s="14">
        <f t="shared" si="673"/>
        <v>756.47666666666669</v>
      </c>
      <c r="I462" s="188">
        <f t="shared" si="677"/>
        <v>115554.33000000013</v>
      </c>
      <c r="J462" s="188">
        <f t="shared" si="678"/>
        <v>135172.20000000004</v>
      </c>
      <c r="K462" s="188">
        <f t="shared" si="679"/>
        <v>7618.8399999999419</v>
      </c>
      <c r="L462" s="317">
        <f t="shared" si="659"/>
        <v>36</v>
      </c>
      <c r="M462" s="317">
        <f>IF(N462&lt;&gt;"",IF(N462=$O$5,0,+M461+1),0)</f>
        <v>434</v>
      </c>
      <c r="N462" s="188">
        <f t="shared" si="645"/>
        <v>0</v>
      </c>
      <c r="O462" s="188">
        <f>IF($O$11&lt;=A462,IF(+$W461&lt;=0,0,$O$8),0)</f>
        <v>0</v>
      </c>
      <c r="P462" s="188">
        <f t="shared" si="624"/>
        <v>0</v>
      </c>
      <c r="Q462" s="188">
        <f>IF($O$11&lt;=A462,ROUND(N462*($O$7/12),2),0)</f>
        <v>0</v>
      </c>
      <c r="R462" s="188">
        <f t="shared" si="683"/>
        <v>51.5</v>
      </c>
      <c r="S462" s="188">
        <f t="shared" si="684"/>
        <v>145.09666666666666</v>
      </c>
      <c r="T462" s="188">
        <f t="shared" si="680"/>
        <v>196.59666666666666</v>
      </c>
      <c r="U462" s="188">
        <f t="shared" si="625"/>
        <v>325712.93999999989</v>
      </c>
      <c r="V462" s="188">
        <f t="shared" si="626"/>
        <v>575881.85999999975</v>
      </c>
      <c r="W462" s="188">
        <f t="shared" si="681"/>
        <v>0</v>
      </c>
      <c r="X462" s="395">
        <f t="shared" si="618"/>
        <v>59250</v>
      </c>
      <c r="Y462" s="188">
        <f t="shared" si="691"/>
        <v>0</v>
      </c>
      <c r="Z462" s="388">
        <f t="shared" si="612"/>
        <v>8.4999999999999992E-2</v>
      </c>
      <c r="AA462" s="188">
        <f t="shared" si="613"/>
        <v>0</v>
      </c>
      <c r="AB462" s="188">
        <f t="shared" si="692"/>
        <v>0</v>
      </c>
      <c r="AC462" s="188">
        <f t="shared" si="614"/>
        <v>0</v>
      </c>
      <c r="AD462" s="188">
        <f t="shared" ref="AD462:AE462" si="712">+AD461</f>
        <v>51.5</v>
      </c>
      <c r="AE462" s="188">
        <f t="shared" si="712"/>
        <v>145.09666666666666</v>
      </c>
      <c r="AF462" s="188">
        <f t="shared" si="694"/>
        <v>196.59666666666666</v>
      </c>
      <c r="AG462" s="188">
        <f t="shared" si="695"/>
        <v>325712.93999999989</v>
      </c>
      <c r="AH462" s="188">
        <f t="shared" si="696"/>
        <v>575881.85999999975</v>
      </c>
      <c r="AI462" s="404">
        <f t="shared" si="686"/>
        <v>0</v>
      </c>
      <c r="AJ462" s="404">
        <f t="shared" si="638"/>
        <v>0</v>
      </c>
      <c r="AK462" s="404">
        <f t="shared" si="687"/>
        <v>0</v>
      </c>
      <c r="AL462" s="188">
        <f t="shared" si="697"/>
        <v>0</v>
      </c>
      <c r="AM462" s="317">
        <f t="shared" si="620"/>
        <v>36</v>
      </c>
      <c r="AN462" s="14">
        <f t="shared" si="688"/>
        <v>0</v>
      </c>
      <c r="AO462" s="14">
        <f>IF(W462&lt;=0,0,+$AA$6-$C$2+I462-U462)</f>
        <v>0</v>
      </c>
      <c r="AP462" s="14">
        <f t="shared" si="689"/>
        <v>0</v>
      </c>
      <c r="AS462" s="14">
        <f t="shared" si="616"/>
        <v>0</v>
      </c>
      <c r="AT462" s="14">
        <f t="shared" si="621"/>
        <v>0</v>
      </c>
      <c r="AU462" s="188">
        <f>IF(W462&lt;=0,0,+($O$5+AV461)*$AQ$2/12)</f>
        <v>0</v>
      </c>
      <c r="AV462" s="188">
        <f t="shared" si="622"/>
        <v>0</v>
      </c>
    </row>
    <row r="463" spans="1:48">
      <c r="A463" s="395">
        <f t="shared" si="675"/>
        <v>59280</v>
      </c>
      <c r="B463" s="188">
        <f t="shared" si="669"/>
        <v>7618.8399999999419</v>
      </c>
      <c r="C463" s="14">
        <f t="shared" si="610"/>
        <v>559.88</v>
      </c>
      <c r="D463" s="14">
        <f t="shared" si="623"/>
        <v>531.30999999999995</v>
      </c>
      <c r="E463" s="14">
        <f t="shared" si="611"/>
        <v>28.57</v>
      </c>
      <c r="F463" s="14">
        <f t="shared" si="676"/>
        <v>51.5</v>
      </c>
      <c r="G463" s="14">
        <f t="shared" si="672"/>
        <v>145.09666666666666</v>
      </c>
      <c r="H463" s="14">
        <f t="shared" si="673"/>
        <v>756.47666666666669</v>
      </c>
      <c r="I463" s="188">
        <f t="shared" si="677"/>
        <v>116085.64000000013</v>
      </c>
      <c r="J463" s="188">
        <f t="shared" si="678"/>
        <v>135200.77000000005</v>
      </c>
      <c r="K463" s="188">
        <f t="shared" si="679"/>
        <v>7087.5299999999424</v>
      </c>
      <c r="L463" s="317">
        <f t="shared" si="659"/>
        <v>36</v>
      </c>
      <c r="M463" s="317">
        <f>IF(N463&lt;&gt;"",IF(N463=$O$5,0,+M462+1),0)</f>
        <v>435</v>
      </c>
      <c r="N463" s="188">
        <f t="shared" si="645"/>
        <v>0</v>
      </c>
      <c r="O463" s="188">
        <f>IF($O$11&lt;=A463,IF(+$W462&lt;=0,0,$O$8),0)</f>
        <v>0</v>
      </c>
      <c r="P463" s="188">
        <f t="shared" si="624"/>
        <v>0</v>
      </c>
      <c r="Q463" s="188">
        <f>IF($O$11&lt;=A463,ROUND(N463*($O$7/12),2),0)</f>
        <v>0</v>
      </c>
      <c r="R463" s="188">
        <f t="shared" si="683"/>
        <v>51.5</v>
      </c>
      <c r="S463" s="188">
        <f t="shared" si="684"/>
        <v>145.09666666666666</v>
      </c>
      <c r="T463" s="188">
        <f t="shared" si="680"/>
        <v>196.59666666666666</v>
      </c>
      <c r="U463" s="188">
        <f t="shared" si="625"/>
        <v>325712.93999999989</v>
      </c>
      <c r="V463" s="188">
        <f t="shared" si="626"/>
        <v>575881.85999999975</v>
      </c>
      <c r="W463" s="188">
        <f t="shared" si="681"/>
        <v>0</v>
      </c>
      <c r="X463" s="395">
        <f t="shared" si="618"/>
        <v>59280</v>
      </c>
      <c r="Y463" s="188">
        <f t="shared" si="691"/>
        <v>0</v>
      </c>
      <c r="Z463" s="388">
        <f t="shared" si="612"/>
        <v>8.4999999999999992E-2</v>
      </c>
      <c r="AA463" s="188">
        <f t="shared" si="613"/>
        <v>0</v>
      </c>
      <c r="AB463" s="188">
        <f t="shared" si="692"/>
        <v>0</v>
      </c>
      <c r="AC463" s="188">
        <f t="shared" si="614"/>
        <v>0</v>
      </c>
      <c r="AD463" s="188">
        <f t="shared" ref="AD463:AE463" si="713">+AD462</f>
        <v>51.5</v>
      </c>
      <c r="AE463" s="188">
        <f t="shared" si="713"/>
        <v>145.09666666666666</v>
      </c>
      <c r="AF463" s="188">
        <f t="shared" si="694"/>
        <v>196.59666666666666</v>
      </c>
      <c r="AG463" s="188">
        <f t="shared" si="695"/>
        <v>325712.93999999989</v>
      </c>
      <c r="AH463" s="188">
        <f t="shared" si="696"/>
        <v>575881.85999999975</v>
      </c>
      <c r="AI463" s="404">
        <f t="shared" si="686"/>
        <v>0</v>
      </c>
      <c r="AJ463" s="404">
        <f t="shared" si="638"/>
        <v>0</v>
      </c>
      <c r="AK463" s="404">
        <f t="shared" si="687"/>
        <v>0</v>
      </c>
      <c r="AL463" s="188">
        <f t="shared" si="697"/>
        <v>0</v>
      </c>
      <c r="AM463" s="317">
        <f t="shared" si="620"/>
        <v>36</v>
      </c>
      <c r="AN463" s="14">
        <f t="shared" si="688"/>
        <v>0</v>
      </c>
      <c r="AO463" s="14">
        <f>IF(W463&lt;=0,0,+$AA$6-$C$2+I463-U463)</f>
        <v>0</v>
      </c>
      <c r="AP463" s="14">
        <f t="shared" si="689"/>
        <v>0</v>
      </c>
      <c r="AS463" s="14">
        <f t="shared" si="616"/>
        <v>0</v>
      </c>
      <c r="AT463" s="14">
        <f t="shared" si="621"/>
        <v>0</v>
      </c>
      <c r="AU463" s="188">
        <f>IF(W463&lt;=0,0,+($O$5+AV462)*$AQ$2/12)</f>
        <v>0</v>
      </c>
      <c r="AV463" s="188">
        <f t="shared" si="622"/>
        <v>0</v>
      </c>
    </row>
    <row r="464" spans="1:48">
      <c r="A464" s="395">
        <f t="shared" si="675"/>
        <v>59310</v>
      </c>
      <c r="B464" s="188">
        <f t="shared" si="669"/>
        <v>7087.5299999999424</v>
      </c>
      <c r="C464" s="14">
        <f t="shared" ref="C464:C491" si="714">IF(+$K463&lt;=0,0,$C$6)</f>
        <v>559.88</v>
      </c>
      <c r="D464" s="14">
        <f t="shared" si="623"/>
        <v>533.29999999999995</v>
      </c>
      <c r="E464" s="14">
        <f t="shared" ref="E464:E491" si="715">ROUND($B464*($C$4/12), 2)</f>
        <v>26.58</v>
      </c>
      <c r="F464" s="14">
        <f t="shared" si="676"/>
        <v>51.5</v>
      </c>
      <c r="G464" s="14">
        <f t="shared" si="672"/>
        <v>145.09666666666666</v>
      </c>
      <c r="H464" s="14">
        <f t="shared" si="673"/>
        <v>756.47666666666669</v>
      </c>
      <c r="I464" s="188">
        <f t="shared" si="677"/>
        <v>116618.94000000013</v>
      </c>
      <c r="J464" s="188">
        <f t="shared" si="678"/>
        <v>135227.35000000003</v>
      </c>
      <c r="K464" s="188">
        <f t="shared" si="679"/>
        <v>6554.2299999999423</v>
      </c>
      <c r="L464" s="317">
        <f t="shared" si="659"/>
        <v>36</v>
      </c>
      <c r="M464" s="317">
        <f>IF(N464&lt;&gt;"",IF(N464=$O$5,0,+M463+1),0)</f>
        <v>436</v>
      </c>
      <c r="N464" s="188">
        <f t="shared" si="645"/>
        <v>0</v>
      </c>
      <c r="O464" s="188">
        <f>IF($O$11&lt;=A464,IF(+$W463&lt;=0,0,$O$8),0)</f>
        <v>0</v>
      </c>
      <c r="P464" s="188">
        <f t="shared" si="624"/>
        <v>0</v>
      </c>
      <c r="Q464" s="188">
        <f>IF($O$11&lt;=A464,ROUND(N464*($O$7/12),2),0)</f>
        <v>0</v>
      </c>
      <c r="R464" s="188">
        <f t="shared" si="683"/>
        <v>51.5</v>
      </c>
      <c r="S464" s="188">
        <f t="shared" si="684"/>
        <v>145.09666666666666</v>
      </c>
      <c r="T464" s="188">
        <f t="shared" si="680"/>
        <v>196.59666666666666</v>
      </c>
      <c r="U464" s="188">
        <f t="shared" si="625"/>
        <v>325712.93999999989</v>
      </c>
      <c r="V464" s="188">
        <f t="shared" si="626"/>
        <v>575881.85999999975</v>
      </c>
      <c r="W464" s="188">
        <f t="shared" si="681"/>
        <v>0</v>
      </c>
      <c r="X464" s="395">
        <f t="shared" si="618"/>
        <v>59310</v>
      </c>
      <c r="Y464" s="188">
        <f t="shared" si="691"/>
        <v>0</v>
      </c>
      <c r="Z464" s="388">
        <f t="shared" ref="Z464:Z527" si="716">IF(L464&gt;4,$AA$10,$AA$9)</f>
        <v>8.4999999999999992E-2</v>
      </c>
      <c r="AA464" s="188">
        <f t="shared" ref="AA464:AA527" si="717">IF($O$11&lt;=$A464,IF(+AL463&lt;=0,0,IF(Z464=$AA$9,$Z$9,$Z$10)),0)</f>
        <v>0</v>
      </c>
      <c r="AB464" s="188">
        <f t="shared" si="692"/>
        <v>0</v>
      </c>
      <c r="AC464" s="188">
        <f t="shared" ref="AC464:AC527" si="718">IF($O$11&lt;=$A464,ROUND(Y464*(Z464/12),2),0)</f>
        <v>0</v>
      </c>
      <c r="AD464" s="188">
        <f t="shared" ref="AD464:AE464" si="719">+AD463</f>
        <v>51.5</v>
      </c>
      <c r="AE464" s="188">
        <f t="shared" si="719"/>
        <v>145.09666666666666</v>
      </c>
      <c r="AF464" s="188">
        <f t="shared" si="694"/>
        <v>196.59666666666666</v>
      </c>
      <c r="AG464" s="188">
        <f t="shared" si="695"/>
        <v>325712.93999999989</v>
      </c>
      <c r="AH464" s="188">
        <f t="shared" si="696"/>
        <v>575881.85999999975</v>
      </c>
      <c r="AI464" s="404">
        <f t="shared" si="686"/>
        <v>0</v>
      </c>
      <c r="AJ464" s="404">
        <f t="shared" si="638"/>
        <v>0</v>
      </c>
      <c r="AK464" s="404">
        <f t="shared" si="687"/>
        <v>0</v>
      </c>
      <c r="AL464" s="188">
        <f t="shared" si="697"/>
        <v>0</v>
      </c>
      <c r="AM464" s="317">
        <f t="shared" si="620"/>
        <v>36</v>
      </c>
      <c r="AN464" s="14">
        <f t="shared" si="688"/>
        <v>0</v>
      </c>
      <c r="AO464" s="14">
        <f>IF(W464&lt;=0,0,+$AA$6-$C$2+I464-U464)</f>
        <v>0</v>
      </c>
      <c r="AP464" s="14">
        <f t="shared" si="689"/>
        <v>0</v>
      </c>
      <c r="AS464" s="14">
        <f t="shared" ref="AS464:AS491" si="720">+AN464-AR464</f>
        <v>0</v>
      </c>
      <c r="AT464" s="14">
        <f t="shared" si="621"/>
        <v>0</v>
      </c>
      <c r="AU464" s="188">
        <f>IF(W464&lt;=0,0,+($O$5+AV463)*$AQ$2/12)</f>
        <v>0</v>
      </c>
      <c r="AV464" s="188">
        <f t="shared" si="622"/>
        <v>0</v>
      </c>
    </row>
    <row r="465" spans="1:48">
      <c r="A465" s="395">
        <f t="shared" si="675"/>
        <v>59340</v>
      </c>
      <c r="B465" s="188">
        <f t="shared" si="669"/>
        <v>6554.2299999999423</v>
      </c>
      <c r="C465" s="14">
        <f t="shared" si="714"/>
        <v>559.88</v>
      </c>
      <c r="D465" s="14">
        <f t="shared" si="623"/>
        <v>535.29999999999995</v>
      </c>
      <c r="E465" s="14">
        <f t="shared" si="715"/>
        <v>24.58</v>
      </c>
      <c r="F465" s="14">
        <f t="shared" si="676"/>
        <v>51.5</v>
      </c>
      <c r="G465" s="14">
        <f t="shared" si="672"/>
        <v>145.09666666666666</v>
      </c>
      <c r="H465" s="14">
        <f t="shared" si="673"/>
        <v>756.47666666666669</v>
      </c>
      <c r="I465" s="188">
        <f t="shared" si="677"/>
        <v>117154.24000000014</v>
      </c>
      <c r="J465" s="188">
        <f t="shared" si="678"/>
        <v>135251.93000000002</v>
      </c>
      <c r="K465" s="188">
        <f t="shared" si="679"/>
        <v>6018.9299999999421</v>
      </c>
      <c r="L465" s="317">
        <f t="shared" si="659"/>
        <v>36</v>
      </c>
      <c r="M465" s="317">
        <f>IF(N465&lt;&gt;"",IF(N465=$O$5,0,+M464+1),0)</f>
        <v>437</v>
      </c>
      <c r="N465" s="188">
        <f t="shared" si="645"/>
        <v>0</v>
      </c>
      <c r="O465" s="188">
        <f>IF($O$11&lt;=A465,IF(+$W464&lt;=0,0,$O$8),0)</f>
        <v>0</v>
      </c>
      <c r="P465" s="188">
        <f t="shared" si="624"/>
        <v>0</v>
      </c>
      <c r="Q465" s="188">
        <f>IF($O$11&lt;=A465,ROUND(N465*($O$7/12),2),0)</f>
        <v>0</v>
      </c>
      <c r="R465" s="188">
        <f t="shared" si="683"/>
        <v>51.5</v>
      </c>
      <c r="S465" s="188">
        <f t="shared" si="684"/>
        <v>145.09666666666666</v>
      </c>
      <c r="T465" s="188">
        <f t="shared" si="680"/>
        <v>196.59666666666666</v>
      </c>
      <c r="U465" s="188">
        <f t="shared" si="625"/>
        <v>325712.93999999989</v>
      </c>
      <c r="V465" s="188">
        <f t="shared" si="626"/>
        <v>575881.85999999975</v>
      </c>
      <c r="W465" s="188">
        <f t="shared" si="681"/>
        <v>0</v>
      </c>
      <c r="X465" s="395">
        <f t="shared" ref="X465:X528" si="721">+A465</f>
        <v>59340</v>
      </c>
      <c r="Y465" s="188">
        <f t="shared" si="691"/>
        <v>0</v>
      </c>
      <c r="Z465" s="388">
        <f t="shared" si="716"/>
        <v>8.4999999999999992E-2</v>
      </c>
      <c r="AA465" s="188">
        <f t="shared" si="717"/>
        <v>0</v>
      </c>
      <c r="AB465" s="188">
        <f t="shared" si="692"/>
        <v>0</v>
      </c>
      <c r="AC465" s="188">
        <f t="shared" si="718"/>
        <v>0</v>
      </c>
      <c r="AD465" s="188">
        <f t="shared" ref="AD465:AE465" si="722">+AD464</f>
        <v>51.5</v>
      </c>
      <c r="AE465" s="188">
        <f t="shared" si="722"/>
        <v>145.09666666666666</v>
      </c>
      <c r="AF465" s="188">
        <f t="shared" si="694"/>
        <v>196.59666666666666</v>
      </c>
      <c r="AG465" s="188">
        <f t="shared" si="695"/>
        <v>325712.93999999989</v>
      </c>
      <c r="AH465" s="188">
        <f t="shared" si="696"/>
        <v>575881.85999999975</v>
      </c>
      <c r="AI465" s="404">
        <f t="shared" si="686"/>
        <v>0</v>
      </c>
      <c r="AJ465" s="404">
        <f t="shared" si="638"/>
        <v>0</v>
      </c>
      <c r="AK465" s="404">
        <f t="shared" si="687"/>
        <v>0</v>
      </c>
      <c r="AL465" s="188">
        <f t="shared" si="697"/>
        <v>0</v>
      </c>
      <c r="AM465" s="317">
        <f t="shared" ref="AM465:AM528" si="723">+L465</f>
        <v>36</v>
      </c>
      <c r="AN465" s="14">
        <f t="shared" si="688"/>
        <v>0</v>
      </c>
      <c r="AO465" s="14">
        <f>IF(W465&lt;=0,0,+$AA$6-$C$2+I465-U465)</f>
        <v>0</v>
      </c>
      <c r="AP465" s="14">
        <f t="shared" si="689"/>
        <v>0</v>
      </c>
      <c r="AS465" s="14">
        <f t="shared" si="720"/>
        <v>0</v>
      </c>
      <c r="AT465" s="14">
        <f t="shared" ref="AT465:AT491" si="724">IF(W465&lt;=0,0,+AS465+AT464)</f>
        <v>0</v>
      </c>
      <c r="AU465" s="188">
        <f>IF(W465&lt;=0,0,+($O$5+AV464)*$AQ$2/12)</f>
        <v>0</v>
      </c>
      <c r="AV465" s="188">
        <f t="shared" ref="AV465:AV491" si="725">IF(W465&lt;=0,0,+AV464+AU465)</f>
        <v>0</v>
      </c>
    </row>
    <row r="466" spans="1:48">
      <c r="A466" s="395">
        <f t="shared" si="675"/>
        <v>59370</v>
      </c>
      <c r="B466" s="188">
        <f t="shared" si="669"/>
        <v>6018.9299999999421</v>
      </c>
      <c r="C466" s="14">
        <f t="shared" si="714"/>
        <v>559.88</v>
      </c>
      <c r="D466" s="14">
        <f t="shared" ref="D466:D491" si="726">+C466-E466</f>
        <v>537.30999999999995</v>
      </c>
      <c r="E466" s="14">
        <f t="shared" si="715"/>
        <v>22.57</v>
      </c>
      <c r="F466" s="14">
        <f t="shared" si="676"/>
        <v>51.5</v>
      </c>
      <c r="G466" s="14">
        <f t="shared" si="672"/>
        <v>145.09666666666666</v>
      </c>
      <c r="H466" s="14">
        <f t="shared" si="673"/>
        <v>756.47666666666669</v>
      </c>
      <c r="I466" s="188">
        <f t="shared" si="677"/>
        <v>117691.55000000013</v>
      </c>
      <c r="J466" s="188">
        <f t="shared" si="678"/>
        <v>135274.50000000003</v>
      </c>
      <c r="K466" s="188">
        <f t="shared" si="679"/>
        <v>5481.6199999999426</v>
      </c>
      <c r="L466" s="317">
        <f t="shared" si="659"/>
        <v>36</v>
      </c>
      <c r="M466" s="317">
        <f>IF(N466&lt;&gt;"",IF(N466=$O$5,0,+M465+1),0)</f>
        <v>438</v>
      </c>
      <c r="N466" s="188">
        <f t="shared" si="645"/>
        <v>0</v>
      </c>
      <c r="O466" s="188">
        <f>IF($O$11&lt;=A466,IF(+$W465&lt;=0,0,$O$8),0)</f>
        <v>0</v>
      </c>
      <c r="P466" s="188">
        <f t="shared" ref="P466:P491" si="727">+O466-Q466</f>
        <v>0</v>
      </c>
      <c r="Q466" s="188">
        <f>IF($O$11&lt;=A466,ROUND(N466*($O$7/12),2),0)</f>
        <v>0</v>
      </c>
      <c r="R466" s="188">
        <f t="shared" si="683"/>
        <v>51.5</v>
      </c>
      <c r="S466" s="188">
        <f t="shared" si="684"/>
        <v>145.09666666666666</v>
      </c>
      <c r="T466" s="188">
        <f t="shared" si="680"/>
        <v>196.59666666666666</v>
      </c>
      <c r="U466" s="188">
        <f t="shared" ref="U466:U491" si="728">+P466+U465</f>
        <v>325712.93999999989</v>
      </c>
      <c r="V466" s="188">
        <f t="shared" ref="V466:V491" si="729">+V465+Q466</f>
        <v>575881.85999999975</v>
      </c>
      <c r="W466" s="188">
        <f t="shared" si="681"/>
        <v>0</v>
      </c>
      <c r="X466" s="395">
        <f t="shared" si="721"/>
        <v>59370</v>
      </c>
      <c r="Y466" s="188">
        <f t="shared" si="691"/>
        <v>0</v>
      </c>
      <c r="Z466" s="388">
        <f t="shared" si="716"/>
        <v>8.4999999999999992E-2</v>
      </c>
      <c r="AA466" s="188">
        <f t="shared" si="717"/>
        <v>0</v>
      </c>
      <c r="AB466" s="188">
        <f t="shared" si="692"/>
        <v>0</v>
      </c>
      <c r="AC466" s="188">
        <f t="shared" si="718"/>
        <v>0</v>
      </c>
      <c r="AD466" s="188">
        <f t="shared" ref="AD466:AE466" si="730">+AD465</f>
        <v>51.5</v>
      </c>
      <c r="AE466" s="188">
        <f t="shared" si="730"/>
        <v>145.09666666666666</v>
      </c>
      <c r="AF466" s="188">
        <f t="shared" si="694"/>
        <v>196.59666666666666</v>
      </c>
      <c r="AG466" s="188">
        <f t="shared" si="695"/>
        <v>325712.93999999989</v>
      </c>
      <c r="AH466" s="188">
        <f t="shared" si="696"/>
        <v>575881.85999999975</v>
      </c>
      <c r="AI466" s="404">
        <f t="shared" si="686"/>
        <v>0</v>
      </c>
      <c r="AJ466" s="404">
        <f t="shared" si="638"/>
        <v>0</v>
      </c>
      <c r="AK466" s="404">
        <f t="shared" si="687"/>
        <v>0</v>
      </c>
      <c r="AL466" s="188">
        <f t="shared" si="697"/>
        <v>0</v>
      </c>
      <c r="AM466" s="317">
        <f t="shared" si="723"/>
        <v>36</v>
      </c>
      <c r="AN466" s="14">
        <f t="shared" si="688"/>
        <v>0</v>
      </c>
      <c r="AO466" s="14">
        <f>IF(W466&lt;=0,0,+$AA$6-$C$2+I466-U466)</f>
        <v>0</v>
      </c>
      <c r="AP466" s="14">
        <f t="shared" si="689"/>
        <v>0</v>
      </c>
      <c r="AS466" s="14">
        <f t="shared" si="720"/>
        <v>0</v>
      </c>
      <c r="AT466" s="14">
        <f t="shared" si="724"/>
        <v>0</v>
      </c>
      <c r="AU466" s="188">
        <f>IF(W466&lt;=0,0,+($O$5+AV465)*$AQ$2/12)</f>
        <v>0</v>
      </c>
      <c r="AV466" s="188">
        <f t="shared" si="725"/>
        <v>0</v>
      </c>
    </row>
    <row r="467" spans="1:48">
      <c r="A467" s="395">
        <f t="shared" si="675"/>
        <v>59400</v>
      </c>
      <c r="B467" s="188">
        <f t="shared" si="669"/>
        <v>5481.6199999999426</v>
      </c>
      <c r="C467" s="14">
        <f t="shared" si="714"/>
        <v>559.88</v>
      </c>
      <c r="D467" s="14">
        <f t="shared" si="726"/>
        <v>539.32000000000005</v>
      </c>
      <c r="E467" s="14">
        <f t="shared" si="715"/>
        <v>20.56</v>
      </c>
      <c r="F467" s="14">
        <f t="shared" si="676"/>
        <v>51.5</v>
      </c>
      <c r="G467" s="14">
        <f t="shared" si="672"/>
        <v>145.09666666666666</v>
      </c>
      <c r="H467" s="14">
        <f t="shared" si="673"/>
        <v>756.47666666666669</v>
      </c>
      <c r="I467" s="188">
        <f t="shared" si="677"/>
        <v>118230.87000000014</v>
      </c>
      <c r="J467" s="188">
        <f t="shared" si="678"/>
        <v>135295.06000000003</v>
      </c>
      <c r="K467" s="188">
        <f t="shared" si="679"/>
        <v>4942.2999999999429</v>
      </c>
      <c r="L467" s="317">
        <f t="shared" si="659"/>
        <v>36</v>
      </c>
      <c r="M467" s="317">
        <f>IF(N467&lt;&gt;"",IF(N467=$O$5,0,+M466+1),0)</f>
        <v>439</v>
      </c>
      <c r="N467" s="188">
        <f t="shared" si="645"/>
        <v>0</v>
      </c>
      <c r="O467" s="188">
        <f>IF($O$11&lt;=A467,IF(+$W466&lt;=0,0,$O$8),0)</f>
        <v>0</v>
      </c>
      <c r="P467" s="188">
        <f t="shared" si="727"/>
        <v>0</v>
      </c>
      <c r="Q467" s="188">
        <f>IF($O$11&lt;=A467,ROUND(N467*($O$7/12),2),0)</f>
        <v>0</v>
      </c>
      <c r="R467" s="188">
        <f t="shared" si="683"/>
        <v>51.5</v>
      </c>
      <c r="S467" s="188">
        <f t="shared" si="684"/>
        <v>145.09666666666666</v>
      </c>
      <c r="T467" s="188">
        <f t="shared" si="680"/>
        <v>196.59666666666666</v>
      </c>
      <c r="U467" s="188">
        <f t="shared" si="728"/>
        <v>325712.93999999989</v>
      </c>
      <c r="V467" s="188">
        <f t="shared" si="729"/>
        <v>575881.85999999975</v>
      </c>
      <c r="W467" s="188">
        <f t="shared" si="681"/>
        <v>0</v>
      </c>
      <c r="X467" s="395">
        <f t="shared" si="721"/>
        <v>59400</v>
      </c>
      <c r="Y467" s="188">
        <f t="shared" si="691"/>
        <v>0</v>
      </c>
      <c r="Z467" s="388">
        <f t="shared" si="716"/>
        <v>8.4999999999999992E-2</v>
      </c>
      <c r="AA467" s="188">
        <f t="shared" si="717"/>
        <v>0</v>
      </c>
      <c r="AB467" s="188">
        <f t="shared" si="692"/>
        <v>0</v>
      </c>
      <c r="AC467" s="188">
        <f t="shared" si="718"/>
        <v>0</v>
      </c>
      <c r="AD467" s="188">
        <f t="shared" ref="AD467:AE467" si="731">+AD466</f>
        <v>51.5</v>
      </c>
      <c r="AE467" s="188">
        <f t="shared" si="731"/>
        <v>145.09666666666666</v>
      </c>
      <c r="AF467" s="188">
        <f t="shared" si="694"/>
        <v>196.59666666666666</v>
      </c>
      <c r="AG467" s="188">
        <f t="shared" si="695"/>
        <v>325712.93999999989</v>
      </c>
      <c r="AH467" s="188">
        <f t="shared" si="696"/>
        <v>575881.85999999975</v>
      </c>
      <c r="AI467" s="404">
        <f t="shared" si="686"/>
        <v>0</v>
      </c>
      <c r="AJ467" s="404">
        <f t="shared" si="638"/>
        <v>0</v>
      </c>
      <c r="AK467" s="404">
        <f t="shared" si="687"/>
        <v>0</v>
      </c>
      <c r="AL467" s="188">
        <f t="shared" si="697"/>
        <v>0</v>
      </c>
      <c r="AM467" s="317">
        <f t="shared" si="723"/>
        <v>36</v>
      </c>
      <c r="AN467" s="14">
        <f t="shared" si="688"/>
        <v>0</v>
      </c>
      <c r="AO467" s="14">
        <f>IF(W467&lt;=0,0,+$AA$6-$C$2+I467-U467)</f>
        <v>0</v>
      </c>
      <c r="AP467" s="14">
        <f t="shared" si="689"/>
        <v>0</v>
      </c>
      <c r="AS467" s="14">
        <f t="shared" si="720"/>
        <v>0</v>
      </c>
      <c r="AT467" s="14">
        <f t="shared" si="724"/>
        <v>0</v>
      </c>
      <c r="AU467" s="188">
        <f>IF(W467&lt;=0,0,+($O$5+AV466)*$AQ$2/12)</f>
        <v>0</v>
      </c>
      <c r="AV467" s="188">
        <f t="shared" si="725"/>
        <v>0</v>
      </c>
    </row>
    <row r="468" spans="1:48">
      <c r="A468" s="395">
        <f t="shared" si="675"/>
        <v>59430</v>
      </c>
      <c r="B468" s="188">
        <f t="shared" si="669"/>
        <v>4942.2999999999429</v>
      </c>
      <c r="C468" s="14">
        <f t="shared" si="714"/>
        <v>559.88</v>
      </c>
      <c r="D468" s="14">
        <f t="shared" si="726"/>
        <v>541.35</v>
      </c>
      <c r="E468" s="14">
        <f t="shared" si="715"/>
        <v>18.53</v>
      </c>
      <c r="F468" s="14">
        <f t="shared" si="676"/>
        <v>51.5</v>
      </c>
      <c r="G468" s="14">
        <f t="shared" si="672"/>
        <v>145.09666666666666</v>
      </c>
      <c r="H468" s="14">
        <f t="shared" si="673"/>
        <v>756.47666666666669</v>
      </c>
      <c r="I468" s="188">
        <f t="shared" si="677"/>
        <v>118772.22000000015</v>
      </c>
      <c r="J468" s="188">
        <f t="shared" si="678"/>
        <v>135313.59000000003</v>
      </c>
      <c r="K468" s="188">
        <f t="shared" si="679"/>
        <v>4400.9499999999425</v>
      </c>
      <c r="L468" s="317">
        <f t="shared" si="659"/>
        <v>36</v>
      </c>
      <c r="M468" s="317">
        <f>IF(N468&lt;&gt;"",IF(N468=$O$5,0,+M467+1),0)</f>
        <v>440</v>
      </c>
      <c r="N468" s="188">
        <f t="shared" si="645"/>
        <v>0</v>
      </c>
      <c r="O468" s="188">
        <f>IF($O$11&lt;=A468,IF(+$W467&lt;=0,0,$O$8),0)</f>
        <v>0</v>
      </c>
      <c r="P468" s="188">
        <f t="shared" si="727"/>
        <v>0</v>
      </c>
      <c r="Q468" s="188">
        <f>IF($O$11&lt;=A468,ROUND(N468*($O$7/12),2),0)</f>
        <v>0</v>
      </c>
      <c r="R468" s="188">
        <f t="shared" si="683"/>
        <v>51.5</v>
      </c>
      <c r="S468" s="188">
        <f t="shared" si="684"/>
        <v>145.09666666666666</v>
      </c>
      <c r="T468" s="188">
        <f t="shared" si="680"/>
        <v>196.59666666666666</v>
      </c>
      <c r="U468" s="188">
        <f t="shared" si="728"/>
        <v>325712.93999999989</v>
      </c>
      <c r="V468" s="188">
        <f t="shared" si="729"/>
        <v>575881.85999999975</v>
      </c>
      <c r="W468" s="188">
        <f t="shared" si="681"/>
        <v>0</v>
      </c>
      <c r="X468" s="395">
        <f t="shared" si="721"/>
        <v>59430</v>
      </c>
      <c r="Y468" s="188">
        <f t="shared" si="691"/>
        <v>0</v>
      </c>
      <c r="Z468" s="388">
        <f t="shared" si="716"/>
        <v>8.4999999999999992E-2</v>
      </c>
      <c r="AA468" s="188">
        <f t="shared" si="717"/>
        <v>0</v>
      </c>
      <c r="AB468" s="188">
        <f t="shared" si="692"/>
        <v>0</v>
      </c>
      <c r="AC468" s="188">
        <f t="shared" si="718"/>
        <v>0</v>
      </c>
      <c r="AD468" s="188">
        <f t="shared" ref="AD468:AE468" si="732">+AD467</f>
        <v>51.5</v>
      </c>
      <c r="AE468" s="188">
        <f t="shared" si="732"/>
        <v>145.09666666666666</v>
      </c>
      <c r="AF468" s="188">
        <f t="shared" si="694"/>
        <v>196.59666666666666</v>
      </c>
      <c r="AG468" s="188">
        <f t="shared" si="695"/>
        <v>325712.93999999989</v>
      </c>
      <c r="AH468" s="188">
        <f t="shared" si="696"/>
        <v>575881.85999999975</v>
      </c>
      <c r="AI468" s="404">
        <f t="shared" si="686"/>
        <v>0</v>
      </c>
      <c r="AJ468" s="404">
        <f t="shared" si="638"/>
        <v>0</v>
      </c>
      <c r="AK468" s="404">
        <f t="shared" si="687"/>
        <v>0</v>
      </c>
      <c r="AL468" s="188">
        <f t="shared" si="697"/>
        <v>0</v>
      </c>
      <c r="AM468" s="317">
        <f t="shared" si="723"/>
        <v>36</v>
      </c>
      <c r="AN468" s="14">
        <f t="shared" si="688"/>
        <v>0</v>
      </c>
      <c r="AO468" s="14">
        <f>IF(W468&lt;=0,0,+$AA$6-$C$2+I468-U468)</f>
        <v>0</v>
      </c>
      <c r="AP468" s="14">
        <f t="shared" si="689"/>
        <v>0</v>
      </c>
      <c r="AS468" s="14">
        <f t="shared" si="720"/>
        <v>0</v>
      </c>
      <c r="AT468" s="14">
        <f t="shared" si="724"/>
        <v>0</v>
      </c>
      <c r="AU468" s="188">
        <f>IF(W468&lt;=0,0,+($O$5+AV467)*$AQ$2/12)</f>
        <v>0</v>
      </c>
      <c r="AV468" s="188">
        <f t="shared" si="725"/>
        <v>0</v>
      </c>
    </row>
    <row r="469" spans="1:48">
      <c r="A469" s="395">
        <f t="shared" si="675"/>
        <v>59460</v>
      </c>
      <c r="B469" s="188">
        <f t="shared" si="669"/>
        <v>4400.9499999999425</v>
      </c>
      <c r="C469" s="14">
        <f t="shared" si="714"/>
        <v>559.88</v>
      </c>
      <c r="D469" s="14">
        <f t="shared" si="726"/>
        <v>543.38</v>
      </c>
      <c r="E469" s="14">
        <f t="shared" si="715"/>
        <v>16.5</v>
      </c>
      <c r="F469" s="14">
        <f t="shared" si="676"/>
        <v>51.5</v>
      </c>
      <c r="G469" s="14">
        <f t="shared" si="672"/>
        <v>145.09666666666666</v>
      </c>
      <c r="H469" s="14">
        <f t="shared" si="673"/>
        <v>756.47666666666669</v>
      </c>
      <c r="I469" s="188">
        <f t="shared" si="677"/>
        <v>119315.60000000015</v>
      </c>
      <c r="J469" s="188">
        <f t="shared" si="678"/>
        <v>135330.09000000003</v>
      </c>
      <c r="K469" s="188">
        <f t="shared" si="679"/>
        <v>3857.5699999999424</v>
      </c>
      <c r="L469" s="317">
        <f t="shared" si="659"/>
        <v>36</v>
      </c>
      <c r="M469" s="317">
        <f>IF(N469&lt;&gt;"",IF(N469=$O$5,0,+M468+1),0)</f>
        <v>441</v>
      </c>
      <c r="N469" s="188">
        <f t="shared" si="645"/>
        <v>0</v>
      </c>
      <c r="O469" s="188">
        <f>IF($O$11&lt;=A469,IF(+$W468&lt;=0,0,$O$8),0)</f>
        <v>0</v>
      </c>
      <c r="P469" s="188">
        <f t="shared" si="727"/>
        <v>0</v>
      </c>
      <c r="Q469" s="188">
        <f>IF($O$11&lt;=A469,ROUND(N469*($O$7/12),2),0)</f>
        <v>0</v>
      </c>
      <c r="R469" s="188">
        <f t="shared" si="683"/>
        <v>51.5</v>
      </c>
      <c r="S469" s="188">
        <f t="shared" si="684"/>
        <v>145.09666666666666</v>
      </c>
      <c r="T469" s="188">
        <f t="shared" si="680"/>
        <v>196.59666666666666</v>
      </c>
      <c r="U469" s="188">
        <f t="shared" si="728"/>
        <v>325712.93999999989</v>
      </c>
      <c r="V469" s="188">
        <f t="shared" si="729"/>
        <v>575881.85999999975</v>
      </c>
      <c r="W469" s="188">
        <f t="shared" si="681"/>
        <v>0</v>
      </c>
      <c r="X469" s="395">
        <f t="shared" si="721"/>
        <v>59460</v>
      </c>
      <c r="Y469" s="188">
        <f t="shared" si="691"/>
        <v>0</v>
      </c>
      <c r="Z469" s="388">
        <f t="shared" si="716"/>
        <v>8.4999999999999992E-2</v>
      </c>
      <c r="AA469" s="188">
        <f t="shared" si="717"/>
        <v>0</v>
      </c>
      <c r="AB469" s="188">
        <f t="shared" si="692"/>
        <v>0</v>
      </c>
      <c r="AC469" s="188">
        <f t="shared" si="718"/>
        <v>0</v>
      </c>
      <c r="AD469" s="188">
        <f t="shared" ref="AD469:AE469" si="733">+AD468</f>
        <v>51.5</v>
      </c>
      <c r="AE469" s="188">
        <f t="shared" si="733"/>
        <v>145.09666666666666</v>
      </c>
      <c r="AF469" s="188">
        <f t="shared" si="694"/>
        <v>196.59666666666666</v>
      </c>
      <c r="AG469" s="188">
        <f t="shared" si="695"/>
        <v>325712.93999999989</v>
      </c>
      <c r="AH469" s="188">
        <f t="shared" si="696"/>
        <v>575881.85999999975</v>
      </c>
      <c r="AI469" s="404">
        <f t="shared" si="686"/>
        <v>0</v>
      </c>
      <c r="AJ469" s="404">
        <f t="shared" si="638"/>
        <v>0</v>
      </c>
      <c r="AK469" s="404">
        <f t="shared" si="687"/>
        <v>0</v>
      </c>
      <c r="AL469" s="188">
        <f t="shared" si="697"/>
        <v>0</v>
      </c>
      <c r="AM469" s="317">
        <f t="shared" si="723"/>
        <v>36</v>
      </c>
      <c r="AN469" s="14">
        <f t="shared" si="688"/>
        <v>0</v>
      </c>
      <c r="AO469" s="14">
        <f>IF(W469&lt;=0,0,+$AA$6-$C$2+I469-U469)</f>
        <v>0</v>
      </c>
      <c r="AP469" s="14">
        <f t="shared" si="689"/>
        <v>0</v>
      </c>
      <c r="AS469" s="14">
        <f t="shared" si="720"/>
        <v>0</v>
      </c>
      <c r="AT469" s="14">
        <f t="shared" si="724"/>
        <v>0</v>
      </c>
      <c r="AU469" s="188">
        <f>IF(W469&lt;=0,0,+($O$5+AV468)*$AQ$2/12)</f>
        <v>0</v>
      </c>
      <c r="AV469" s="188">
        <f t="shared" si="725"/>
        <v>0</v>
      </c>
    </row>
    <row r="470" spans="1:48">
      <c r="A470" s="395">
        <f t="shared" si="675"/>
        <v>59490</v>
      </c>
      <c r="B470" s="188">
        <f t="shared" si="669"/>
        <v>3857.5699999999424</v>
      </c>
      <c r="C470" s="14">
        <f t="shared" si="714"/>
        <v>559.88</v>
      </c>
      <c r="D470" s="14">
        <f t="shared" si="726"/>
        <v>545.41</v>
      </c>
      <c r="E470" s="14">
        <f t="shared" si="715"/>
        <v>14.47</v>
      </c>
      <c r="F470" s="14">
        <f t="shared" si="676"/>
        <v>51.5</v>
      </c>
      <c r="G470" s="14">
        <f t="shared" si="672"/>
        <v>145.09666666666666</v>
      </c>
      <c r="H470" s="14">
        <f t="shared" si="673"/>
        <v>756.47666666666669</v>
      </c>
      <c r="I470" s="188">
        <f t="shared" si="677"/>
        <v>119861.01000000015</v>
      </c>
      <c r="J470" s="188">
        <f t="shared" si="678"/>
        <v>135344.56000000003</v>
      </c>
      <c r="K470" s="188">
        <f t="shared" si="679"/>
        <v>3312.1599999999426</v>
      </c>
      <c r="L470" s="317">
        <f t="shared" si="659"/>
        <v>36</v>
      </c>
      <c r="M470" s="317">
        <f>IF(N470&lt;&gt;"",IF(N470=$O$5,0,+M469+1),0)</f>
        <v>442</v>
      </c>
      <c r="N470" s="188">
        <f t="shared" si="645"/>
        <v>0</v>
      </c>
      <c r="O470" s="188">
        <f>IF($O$11&lt;=A470,IF(+$W469&lt;=0,0,$O$8),0)</f>
        <v>0</v>
      </c>
      <c r="P470" s="188">
        <f t="shared" si="727"/>
        <v>0</v>
      </c>
      <c r="Q470" s="188">
        <f>IF($O$11&lt;=A470,ROUND(N470*($O$7/12),2),0)</f>
        <v>0</v>
      </c>
      <c r="R470" s="188">
        <f t="shared" si="683"/>
        <v>51.5</v>
      </c>
      <c r="S470" s="188">
        <f t="shared" si="684"/>
        <v>145.09666666666666</v>
      </c>
      <c r="T470" s="188">
        <f t="shared" si="680"/>
        <v>196.59666666666666</v>
      </c>
      <c r="U470" s="188">
        <f t="shared" si="728"/>
        <v>325712.93999999989</v>
      </c>
      <c r="V470" s="188">
        <f t="shared" si="729"/>
        <v>575881.85999999975</v>
      </c>
      <c r="W470" s="188">
        <f t="shared" si="681"/>
        <v>0</v>
      </c>
      <c r="X470" s="395">
        <f t="shared" si="721"/>
        <v>59490</v>
      </c>
      <c r="Y470" s="188">
        <f t="shared" si="691"/>
        <v>0</v>
      </c>
      <c r="Z470" s="388">
        <f t="shared" si="716"/>
        <v>8.4999999999999992E-2</v>
      </c>
      <c r="AA470" s="188">
        <f t="shared" si="717"/>
        <v>0</v>
      </c>
      <c r="AB470" s="188">
        <f t="shared" si="692"/>
        <v>0</v>
      </c>
      <c r="AC470" s="188">
        <f t="shared" si="718"/>
        <v>0</v>
      </c>
      <c r="AD470" s="188">
        <f t="shared" ref="AD470:AE470" si="734">+AD469</f>
        <v>51.5</v>
      </c>
      <c r="AE470" s="188">
        <f t="shared" si="734"/>
        <v>145.09666666666666</v>
      </c>
      <c r="AF470" s="188">
        <f t="shared" si="694"/>
        <v>196.59666666666666</v>
      </c>
      <c r="AG470" s="188">
        <f t="shared" si="695"/>
        <v>325712.93999999989</v>
      </c>
      <c r="AH470" s="188">
        <f t="shared" si="696"/>
        <v>575881.85999999975</v>
      </c>
      <c r="AI470" s="404">
        <f t="shared" si="686"/>
        <v>0</v>
      </c>
      <c r="AJ470" s="404">
        <f t="shared" si="638"/>
        <v>0</v>
      </c>
      <c r="AK470" s="404">
        <f t="shared" si="687"/>
        <v>0</v>
      </c>
      <c r="AL470" s="188">
        <f t="shared" si="697"/>
        <v>0</v>
      </c>
      <c r="AM470" s="317">
        <f t="shared" si="723"/>
        <v>36</v>
      </c>
      <c r="AN470" s="14">
        <f t="shared" si="688"/>
        <v>0</v>
      </c>
      <c r="AO470" s="14">
        <f>IF(W470&lt;=0,0,+$AA$6-$C$2+I470-U470)</f>
        <v>0</v>
      </c>
      <c r="AP470" s="14">
        <f t="shared" si="689"/>
        <v>0</v>
      </c>
      <c r="AS470" s="14">
        <f t="shared" si="720"/>
        <v>0</v>
      </c>
      <c r="AT470" s="14">
        <f t="shared" si="724"/>
        <v>0</v>
      </c>
      <c r="AU470" s="188">
        <f>IF(W470&lt;=0,0,+($O$5+AV469)*$AQ$2/12)</f>
        <v>0</v>
      </c>
      <c r="AV470" s="188">
        <f t="shared" si="725"/>
        <v>0</v>
      </c>
    </row>
    <row r="471" spans="1:48" ht="15.75" thickBot="1">
      <c r="A471" s="398">
        <f t="shared" si="675"/>
        <v>59520</v>
      </c>
      <c r="B471" s="237">
        <f t="shared" si="669"/>
        <v>3312.1599999999426</v>
      </c>
      <c r="C471" s="21">
        <f t="shared" si="714"/>
        <v>559.88</v>
      </c>
      <c r="D471" s="21">
        <f t="shared" si="726"/>
        <v>547.46</v>
      </c>
      <c r="E471" s="21">
        <f t="shared" si="715"/>
        <v>12.42</v>
      </c>
      <c r="F471" s="21">
        <f t="shared" si="676"/>
        <v>51.5</v>
      </c>
      <c r="G471" s="21">
        <f t="shared" si="672"/>
        <v>145.09666666666666</v>
      </c>
      <c r="H471" s="21">
        <f t="shared" si="673"/>
        <v>756.47666666666669</v>
      </c>
      <c r="I471" s="237">
        <f t="shared" si="677"/>
        <v>120408.47000000016</v>
      </c>
      <c r="J471" s="237">
        <f t="shared" si="678"/>
        <v>135356.98000000004</v>
      </c>
      <c r="K471" s="237">
        <f t="shared" si="679"/>
        <v>2764.6999999999425</v>
      </c>
      <c r="L471" s="318">
        <f t="shared" si="659"/>
        <v>36</v>
      </c>
      <c r="M471" s="318">
        <f>IF(N471&lt;&gt;"",IF(N471=$O$5,0,+M470+1),0)</f>
        <v>443</v>
      </c>
      <c r="N471" s="237">
        <f t="shared" si="645"/>
        <v>0</v>
      </c>
      <c r="O471" s="237">
        <f>IF($O$11&lt;=A471,IF(+$W470&lt;=0,0,$O$8),0)</f>
        <v>0</v>
      </c>
      <c r="P471" s="237">
        <f t="shared" si="727"/>
        <v>0</v>
      </c>
      <c r="Q471" s="237">
        <f>IF($O$11&lt;=A471,ROUND(N471*($O$7/12),2),0)</f>
        <v>0</v>
      </c>
      <c r="R471" s="237">
        <f t="shared" si="683"/>
        <v>51.5</v>
      </c>
      <c r="S471" s="237">
        <f t="shared" si="684"/>
        <v>145.09666666666666</v>
      </c>
      <c r="T471" s="237">
        <f t="shared" si="680"/>
        <v>196.59666666666666</v>
      </c>
      <c r="U471" s="237">
        <f t="shared" si="728"/>
        <v>325712.93999999989</v>
      </c>
      <c r="V471" s="237">
        <f t="shared" si="729"/>
        <v>575881.85999999975</v>
      </c>
      <c r="W471" s="237">
        <f t="shared" si="681"/>
        <v>0</v>
      </c>
      <c r="X471" s="398">
        <f t="shared" si="721"/>
        <v>59520</v>
      </c>
      <c r="Y471" s="237">
        <f t="shared" si="691"/>
        <v>0</v>
      </c>
      <c r="Z471" s="389">
        <f t="shared" si="716"/>
        <v>8.4999999999999992E-2</v>
      </c>
      <c r="AA471" s="237">
        <f t="shared" si="717"/>
        <v>0</v>
      </c>
      <c r="AB471" s="237">
        <f t="shared" si="692"/>
        <v>0</v>
      </c>
      <c r="AC471" s="237">
        <f t="shared" si="718"/>
        <v>0</v>
      </c>
      <c r="AD471" s="237">
        <f t="shared" ref="AD471:AE471" si="735">+AD470</f>
        <v>51.5</v>
      </c>
      <c r="AE471" s="237">
        <f t="shared" si="735"/>
        <v>145.09666666666666</v>
      </c>
      <c r="AF471" s="237">
        <f t="shared" si="694"/>
        <v>196.59666666666666</v>
      </c>
      <c r="AG471" s="237">
        <f t="shared" si="695"/>
        <v>325712.93999999989</v>
      </c>
      <c r="AH471" s="237">
        <f t="shared" si="696"/>
        <v>575881.85999999975</v>
      </c>
      <c r="AI471" s="405">
        <f t="shared" si="686"/>
        <v>0</v>
      </c>
      <c r="AJ471" s="405">
        <f t="shared" si="638"/>
        <v>0</v>
      </c>
      <c r="AK471" s="404">
        <f t="shared" si="687"/>
        <v>0</v>
      </c>
      <c r="AL471" s="237">
        <f t="shared" si="697"/>
        <v>0</v>
      </c>
      <c r="AM471" s="318">
        <f t="shared" si="723"/>
        <v>36</v>
      </c>
      <c r="AN471" s="21">
        <f t="shared" si="688"/>
        <v>0</v>
      </c>
      <c r="AO471" s="21">
        <f>IF(W471&lt;=0,0,+$AA$6-$C$2+I471-U471)</f>
        <v>0</v>
      </c>
      <c r="AP471" s="21">
        <f t="shared" si="689"/>
        <v>0</v>
      </c>
      <c r="AQ471" s="21"/>
      <c r="AR471" s="23"/>
      <c r="AS471" s="21">
        <f t="shared" si="720"/>
        <v>0</v>
      </c>
      <c r="AT471" s="21">
        <f t="shared" si="724"/>
        <v>0</v>
      </c>
      <c r="AU471" s="237">
        <f>IF(W471&lt;=0,0,+($O$5+AV470)*$AQ$2/12)</f>
        <v>0</v>
      </c>
      <c r="AV471" s="237">
        <f t="shared" si="725"/>
        <v>0</v>
      </c>
    </row>
    <row r="472" spans="1:48">
      <c r="A472" s="395">
        <f t="shared" si="675"/>
        <v>59550</v>
      </c>
      <c r="B472" s="188">
        <f t="shared" si="669"/>
        <v>2764.6999999999425</v>
      </c>
      <c r="C472" s="14">
        <f t="shared" si="714"/>
        <v>559.88</v>
      </c>
      <c r="D472" s="14">
        <f t="shared" si="726"/>
        <v>549.51</v>
      </c>
      <c r="E472" s="14">
        <f t="shared" si="715"/>
        <v>10.37</v>
      </c>
      <c r="F472" s="14">
        <f t="shared" si="676"/>
        <v>51.5</v>
      </c>
      <c r="G472" s="14">
        <f t="shared" si="672"/>
        <v>145.09666666666666</v>
      </c>
      <c r="H472" s="14">
        <f t="shared" si="673"/>
        <v>756.47666666666669</v>
      </c>
      <c r="I472" s="188">
        <f t="shared" si="677"/>
        <v>120957.98000000016</v>
      </c>
      <c r="J472" s="188">
        <f t="shared" si="678"/>
        <v>135367.35000000003</v>
      </c>
      <c r="K472" s="188">
        <f t="shared" si="679"/>
        <v>2215.1899999999423</v>
      </c>
      <c r="L472" s="317">
        <f t="shared" si="659"/>
        <v>37</v>
      </c>
      <c r="M472" s="317">
        <f>IF(N472&lt;&gt;"",IF(N472=$O$5,0,+M471+1),0)</f>
        <v>444</v>
      </c>
      <c r="N472" s="188">
        <f t="shared" si="645"/>
        <v>0</v>
      </c>
      <c r="O472" s="188">
        <f>IF($O$11&lt;=A472,IF(+$W471&lt;=0,0,$O$8),0)</f>
        <v>0</v>
      </c>
      <c r="P472" s="188">
        <f t="shared" si="727"/>
        <v>0</v>
      </c>
      <c r="Q472" s="188">
        <f>IF($O$11&lt;=A472,ROUND(N472*($O$7/12),2),0)</f>
        <v>0</v>
      </c>
      <c r="R472" s="188">
        <f t="shared" si="683"/>
        <v>51.5</v>
      </c>
      <c r="S472" s="188">
        <f t="shared" si="684"/>
        <v>145.09666666666666</v>
      </c>
      <c r="T472" s="188">
        <f t="shared" si="680"/>
        <v>196.59666666666666</v>
      </c>
      <c r="U472" s="188">
        <f t="shared" si="728"/>
        <v>325712.93999999989</v>
      </c>
      <c r="V472" s="188">
        <f t="shared" si="729"/>
        <v>575881.85999999975</v>
      </c>
      <c r="W472" s="188">
        <f t="shared" si="681"/>
        <v>0</v>
      </c>
      <c r="X472" s="395">
        <f t="shared" si="721"/>
        <v>59550</v>
      </c>
      <c r="Y472" s="188">
        <f t="shared" si="691"/>
        <v>0</v>
      </c>
      <c r="Z472" s="388">
        <f t="shared" si="716"/>
        <v>8.4999999999999992E-2</v>
      </c>
      <c r="AA472" s="188">
        <f t="shared" si="717"/>
        <v>0</v>
      </c>
      <c r="AB472" s="188">
        <f t="shared" si="692"/>
        <v>0</v>
      </c>
      <c r="AC472" s="188">
        <f t="shared" si="718"/>
        <v>0</v>
      </c>
      <c r="AD472" s="188">
        <f t="shared" ref="AD472:AE472" si="736">+AD471</f>
        <v>51.5</v>
      </c>
      <c r="AE472" s="188">
        <f t="shared" si="736"/>
        <v>145.09666666666666</v>
      </c>
      <c r="AF472" s="188">
        <f t="shared" si="694"/>
        <v>196.59666666666666</v>
      </c>
      <c r="AG472" s="188">
        <f t="shared" si="695"/>
        <v>325712.93999999989</v>
      </c>
      <c r="AH472" s="188">
        <f t="shared" si="696"/>
        <v>575881.85999999975</v>
      </c>
      <c r="AI472" s="404">
        <f t="shared" si="686"/>
        <v>0</v>
      </c>
      <c r="AJ472" s="404">
        <f t="shared" si="638"/>
        <v>0</v>
      </c>
      <c r="AK472" s="404">
        <f t="shared" si="687"/>
        <v>0</v>
      </c>
      <c r="AL472" s="188">
        <f t="shared" si="697"/>
        <v>0</v>
      </c>
      <c r="AM472" s="317">
        <f t="shared" si="723"/>
        <v>37</v>
      </c>
      <c r="AN472" s="14">
        <f t="shared" si="688"/>
        <v>0</v>
      </c>
      <c r="AO472" s="14">
        <f>IF(W472&lt;=0,0,+$AA$6-$C$2+I472-U472)</f>
        <v>0</v>
      </c>
      <c r="AP472" s="14">
        <f t="shared" si="689"/>
        <v>0</v>
      </c>
      <c r="AS472" s="14">
        <f t="shared" si="720"/>
        <v>0</v>
      </c>
      <c r="AT472" s="14">
        <f t="shared" si="724"/>
        <v>0</v>
      </c>
      <c r="AU472" s="188">
        <f>IF(W472&lt;=0,0,+($O$5+AV471)*$AQ$2/12)</f>
        <v>0</v>
      </c>
      <c r="AV472" s="188">
        <f t="shared" si="725"/>
        <v>0</v>
      </c>
    </row>
    <row r="473" spans="1:48">
      <c r="A473" s="395">
        <f t="shared" si="675"/>
        <v>59580</v>
      </c>
      <c r="B473" s="188">
        <f t="shared" si="669"/>
        <v>2215.1899999999423</v>
      </c>
      <c r="C473" s="14">
        <f t="shared" si="714"/>
        <v>559.88</v>
      </c>
      <c r="D473" s="14">
        <f t="shared" si="726"/>
        <v>551.57000000000005</v>
      </c>
      <c r="E473" s="14">
        <f t="shared" si="715"/>
        <v>8.31</v>
      </c>
      <c r="F473" s="14">
        <f t="shared" si="676"/>
        <v>51.5</v>
      </c>
      <c r="G473" s="14">
        <f t="shared" si="672"/>
        <v>145.09666666666666</v>
      </c>
      <c r="H473" s="14">
        <f t="shared" si="673"/>
        <v>756.47666666666669</v>
      </c>
      <c r="I473" s="188">
        <f t="shared" si="677"/>
        <v>121509.55000000016</v>
      </c>
      <c r="J473" s="188">
        <f t="shared" si="678"/>
        <v>135375.66000000003</v>
      </c>
      <c r="K473" s="188">
        <f t="shared" si="679"/>
        <v>1663.6199999999421</v>
      </c>
      <c r="L473" s="317">
        <f t="shared" si="659"/>
        <v>37</v>
      </c>
      <c r="M473" s="317">
        <f>IF(N473&lt;&gt;"",IF(N473=$O$5,0,+M472+1),0)</f>
        <v>445</v>
      </c>
      <c r="N473" s="188">
        <f t="shared" si="645"/>
        <v>0</v>
      </c>
      <c r="O473" s="188">
        <f>IF($O$11&lt;=A473,IF(+$W472&lt;=0,0,$O$8),0)</f>
        <v>0</v>
      </c>
      <c r="P473" s="188">
        <f t="shared" si="727"/>
        <v>0</v>
      </c>
      <c r="Q473" s="188">
        <f>IF($O$11&lt;=A473,ROUND(N473*($O$7/12),2),0)</f>
        <v>0</v>
      </c>
      <c r="R473" s="188">
        <f t="shared" si="683"/>
        <v>51.5</v>
      </c>
      <c r="S473" s="188">
        <f t="shared" si="684"/>
        <v>145.09666666666666</v>
      </c>
      <c r="T473" s="188">
        <f t="shared" si="680"/>
        <v>196.59666666666666</v>
      </c>
      <c r="U473" s="188">
        <f t="shared" si="728"/>
        <v>325712.93999999989</v>
      </c>
      <c r="V473" s="188">
        <f t="shared" si="729"/>
        <v>575881.85999999975</v>
      </c>
      <c r="W473" s="188">
        <f t="shared" si="681"/>
        <v>0</v>
      </c>
      <c r="X473" s="395">
        <f t="shared" si="721"/>
        <v>59580</v>
      </c>
      <c r="Y473" s="188">
        <f t="shared" si="691"/>
        <v>0</v>
      </c>
      <c r="Z473" s="388">
        <f t="shared" si="716"/>
        <v>8.4999999999999992E-2</v>
      </c>
      <c r="AA473" s="188">
        <f t="shared" si="717"/>
        <v>0</v>
      </c>
      <c r="AB473" s="188">
        <f t="shared" si="692"/>
        <v>0</v>
      </c>
      <c r="AC473" s="188">
        <f t="shared" si="718"/>
        <v>0</v>
      </c>
      <c r="AD473" s="188">
        <f t="shared" ref="AD473:AE473" si="737">+AD472</f>
        <v>51.5</v>
      </c>
      <c r="AE473" s="188">
        <f t="shared" si="737"/>
        <v>145.09666666666666</v>
      </c>
      <c r="AF473" s="188">
        <f t="shared" si="694"/>
        <v>196.59666666666666</v>
      </c>
      <c r="AG473" s="188">
        <f t="shared" si="695"/>
        <v>325712.93999999989</v>
      </c>
      <c r="AH473" s="188">
        <f t="shared" si="696"/>
        <v>575881.85999999975</v>
      </c>
      <c r="AI473" s="404">
        <f t="shared" si="686"/>
        <v>0</v>
      </c>
      <c r="AJ473" s="404">
        <f t="shared" si="638"/>
        <v>0</v>
      </c>
      <c r="AK473" s="404">
        <f t="shared" si="687"/>
        <v>0</v>
      </c>
      <c r="AL473" s="188">
        <f t="shared" si="697"/>
        <v>0</v>
      </c>
      <c r="AM473" s="317">
        <f t="shared" si="723"/>
        <v>37</v>
      </c>
      <c r="AN473" s="14">
        <f t="shared" si="688"/>
        <v>0</v>
      </c>
      <c r="AO473" s="14">
        <f>IF(W473&lt;=0,0,+$AA$6-$C$2+I473-U473)</f>
        <v>0</v>
      </c>
      <c r="AP473" s="14">
        <f t="shared" si="689"/>
        <v>0</v>
      </c>
      <c r="AS473" s="14">
        <f t="shared" si="720"/>
        <v>0</v>
      </c>
      <c r="AT473" s="14">
        <f t="shared" si="724"/>
        <v>0</v>
      </c>
      <c r="AU473" s="188">
        <f>IF(W473&lt;=0,0,+($O$5+AV472)*$AQ$2/12)</f>
        <v>0</v>
      </c>
      <c r="AV473" s="188">
        <f t="shared" si="725"/>
        <v>0</v>
      </c>
    </row>
    <row r="474" spans="1:48">
      <c r="A474" s="395">
        <f t="shared" si="675"/>
        <v>59610</v>
      </c>
      <c r="B474" s="188">
        <f t="shared" si="669"/>
        <v>1663.6199999999421</v>
      </c>
      <c r="C474" s="14">
        <f t="shared" si="714"/>
        <v>559.88</v>
      </c>
      <c r="D474" s="14">
        <f t="shared" si="726"/>
        <v>553.64</v>
      </c>
      <c r="E474" s="14">
        <f t="shared" si="715"/>
        <v>6.24</v>
      </c>
      <c r="F474" s="14">
        <f t="shared" si="676"/>
        <v>51.5</v>
      </c>
      <c r="G474" s="14">
        <f t="shared" si="672"/>
        <v>145.09666666666666</v>
      </c>
      <c r="H474" s="14">
        <f t="shared" si="673"/>
        <v>756.47666666666669</v>
      </c>
      <c r="I474" s="188">
        <f t="shared" si="677"/>
        <v>122063.19000000016</v>
      </c>
      <c r="J474" s="188">
        <f t="shared" si="678"/>
        <v>135381.90000000002</v>
      </c>
      <c r="K474" s="188">
        <f t="shared" si="679"/>
        <v>1109.9799999999423</v>
      </c>
      <c r="L474" s="317">
        <f t="shared" si="659"/>
        <v>37</v>
      </c>
      <c r="M474" s="317">
        <f>IF(N474&lt;&gt;"",IF(N474=$O$5,0,+M473+1),0)</f>
        <v>446</v>
      </c>
      <c r="N474" s="188">
        <f t="shared" si="645"/>
        <v>0</v>
      </c>
      <c r="O474" s="188">
        <f>IF($O$11&lt;=A474,IF(+$W473&lt;=0,0,$O$8),0)</f>
        <v>0</v>
      </c>
      <c r="P474" s="188">
        <f t="shared" si="727"/>
        <v>0</v>
      </c>
      <c r="Q474" s="188">
        <f>IF($O$11&lt;=A474,ROUND(N474*($O$7/12),2),0)</f>
        <v>0</v>
      </c>
      <c r="R474" s="188">
        <f t="shared" si="683"/>
        <v>51.5</v>
      </c>
      <c r="S474" s="188">
        <f t="shared" si="684"/>
        <v>145.09666666666666</v>
      </c>
      <c r="T474" s="188">
        <f t="shared" si="680"/>
        <v>196.59666666666666</v>
      </c>
      <c r="U474" s="188">
        <f t="shared" si="728"/>
        <v>325712.93999999989</v>
      </c>
      <c r="V474" s="188">
        <f t="shared" si="729"/>
        <v>575881.85999999975</v>
      </c>
      <c r="W474" s="188">
        <f t="shared" si="681"/>
        <v>0</v>
      </c>
      <c r="X474" s="395">
        <f t="shared" si="721"/>
        <v>59610</v>
      </c>
      <c r="Y474" s="188">
        <f t="shared" si="691"/>
        <v>0</v>
      </c>
      <c r="Z474" s="388">
        <f t="shared" si="716"/>
        <v>8.4999999999999992E-2</v>
      </c>
      <c r="AA474" s="188">
        <f t="shared" si="717"/>
        <v>0</v>
      </c>
      <c r="AB474" s="188">
        <f t="shared" si="692"/>
        <v>0</v>
      </c>
      <c r="AC474" s="188">
        <f t="shared" si="718"/>
        <v>0</v>
      </c>
      <c r="AD474" s="188">
        <f t="shared" ref="AD474:AE474" si="738">+AD473</f>
        <v>51.5</v>
      </c>
      <c r="AE474" s="188">
        <f t="shared" si="738"/>
        <v>145.09666666666666</v>
      </c>
      <c r="AF474" s="188">
        <f t="shared" si="694"/>
        <v>196.59666666666666</v>
      </c>
      <c r="AG474" s="188">
        <f t="shared" si="695"/>
        <v>325712.93999999989</v>
      </c>
      <c r="AH474" s="188">
        <f t="shared" si="696"/>
        <v>575881.85999999975</v>
      </c>
      <c r="AI474" s="404">
        <f t="shared" si="686"/>
        <v>0</v>
      </c>
      <c r="AJ474" s="404">
        <f t="shared" si="638"/>
        <v>0</v>
      </c>
      <c r="AK474" s="404">
        <f t="shared" si="687"/>
        <v>0</v>
      </c>
      <c r="AL474" s="188">
        <f t="shared" si="697"/>
        <v>0</v>
      </c>
      <c r="AM474" s="317">
        <f t="shared" si="723"/>
        <v>37</v>
      </c>
      <c r="AN474" s="14">
        <f t="shared" si="688"/>
        <v>0</v>
      </c>
      <c r="AO474" s="14">
        <f>IF(W474&lt;=0,0,+$AA$6-$C$2+I474-U474)</f>
        <v>0</v>
      </c>
      <c r="AP474" s="14">
        <f t="shared" si="689"/>
        <v>0</v>
      </c>
      <c r="AS474" s="14">
        <f t="shared" si="720"/>
        <v>0</v>
      </c>
      <c r="AT474" s="14">
        <f t="shared" si="724"/>
        <v>0</v>
      </c>
      <c r="AU474" s="188">
        <f>IF(W474&lt;=0,0,+($O$5+AV473)*$AQ$2/12)</f>
        <v>0</v>
      </c>
      <c r="AV474" s="188">
        <f t="shared" si="725"/>
        <v>0</v>
      </c>
    </row>
    <row r="475" spans="1:48">
      <c r="A475" s="395">
        <f t="shared" si="675"/>
        <v>59640</v>
      </c>
      <c r="B475" s="188">
        <f t="shared" si="669"/>
        <v>1109.9799999999423</v>
      </c>
      <c r="C475" s="14">
        <f t="shared" si="714"/>
        <v>559.88</v>
      </c>
      <c r="D475" s="14">
        <f t="shared" si="726"/>
        <v>555.72</v>
      </c>
      <c r="E475" s="14">
        <f t="shared" si="715"/>
        <v>4.16</v>
      </c>
      <c r="F475" s="14">
        <f t="shared" si="676"/>
        <v>51.5</v>
      </c>
      <c r="G475" s="14">
        <f t="shared" si="672"/>
        <v>145.09666666666666</v>
      </c>
      <c r="H475" s="14">
        <f t="shared" si="673"/>
        <v>756.47666666666669</v>
      </c>
      <c r="I475" s="188">
        <f t="shared" si="677"/>
        <v>122618.91000000016</v>
      </c>
      <c r="J475" s="188">
        <f t="shared" si="678"/>
        <v>135386.06000000003</v>
      </c>
      <c r="K475" s="188">
        <f t="shared" si="679"/>
        <v>554.25999999994224</v>
      </c>
      <c r="L475" s="317">
        <f t="shared" si="659"/>
        <v>37</v>
      </c>
      <c r="M475" s="317">
        <f>IF(N475&lt;&gt;"",IF(N475=$O$5,0,+M474+1),0)</f>
        <v>447</v>
      </c>
      <c r="N475" s="188">
        <f t="shared" si="645"/>
        <v>0</v>
      </c>
      <c r="O475" s="188">
        <f>IF($O$11&lt;=A475,IF(+$W474&lt;=0,0,$O$8),0)</f>
        <v>0</v>
      </c>
      <c r="P475" s="188">
        <f t="shared" si="727"/>
        <v>0</v>
      </c>
      <c r="Q475" s="188">
        <f>IF($O$11&lt;=A475,ROUND(N475*($O$7/12),2),0)</f>
        <v>0</v>
      </c>
      <c r="R475" s="188">
        <f t="shared" si="683"/>
        <v>51.5</v>
      </c>
      <c r="S475" s="188">
        <f t="shared" si="684"/>
        <v>145.09666666666666</v>
      </c>
      <c r="T475" s="188">
        <f t="shared" si="680"/>
        <v>196.59666666666666</v>
      </c>
      <c r="U475" s="188">
        <f t="shared" si="728"/>
        <v>325712.93999999989</v>
      </c>
      <c r="V475" s="188">
        <f t="shared" si="729"/>
        <v>575881.85999999975</v>
      </c>
      <c r="W475" s="188">
        <f t="shared" si="681"/>
        <v>0</v>
      </c>
      <c r="X475" s="395">
        <f t="shared" si="721"/>
        <v>59640</v>
      </c>
      <c r="Y475" s="188">
        <f t="shared" si="691"/>
        <v>0</v>
      </c>
      <c r="Z475" s="388">
        <f t="shared" si="716"/>
        <v>8.4999999999999992E-2</v>
      </c>
      <c r="AA475" s="188">
        <f t="shared" si="717"/>
        <v>0</v>
      </c>
      <c r="AB475" s="188">
        <f t="shared" si="692"/>
        <v>0</v>
      </c>
      <c r="AC475" s="188">
        <f t="shared" si="718"/>
        <v>0</v>
      </c>
      <c r="AD475" s="188">
        <f t="shared" ref="AD475:AE475" si="739">+AD474</f>
        <v>51.5</v>
      </c>
      <c r="AE475" s="188">
        <f t="shared" si="739"/>
        <v>145.09666666666666</v>
      </c>
      <c r="AF475" s="188">
        <f t="shared" si="694"/>
        <v>196.59666666666666</v>
      </c>
      <c r="AG475" s="188">
        <f t="shared" si="695"/>
        <v>325712.93999999989</v>
      </c>
      <c r="AH475" s="188">
        <f t="shared" si="696"/>
        <v>575881.85999999975</v>
      </c>
      <c r="AI475" s="404">
        <f t="shared" si="686"/>
        <v>0</v>
      </c>
      <c r="AJ475" s="404">
        <f t="shared" si="638"/>
        <v>0</v>
      </c>
      <c r="AK475" s="404">
        <f t="shared" si="687"/>
        <v>0</v>
      </c>
      <c r="AL475" s="188">
        <f t="shared" si="697"/>
        <v>0</v>
      </c>
      <c r="AM475" s="317">
        <f t="shared" si="723"/>
        <v>37</v>
      </c>
      <c r="AN475" s="14">
        <f t="shared" si="688"/>
        <v>0</v>
      </c>
      <c r="AO475" s="14">
        <f>IF(W475&lt;=0,0,+$AA$6-$C$2+I475-U475)</f>
        <v>0</v>
      </c>
      <c r="AP475" s="14">
        <f t="shared" si="689"/>
        <v>0</v>
      </c>
      <c r="AS475" s="14">
        <f t="shared" si="720"/>
        <v>0</v>
      </c>
      <c r="AT475" s="14">
        <f t="shared" si="724"/>
        <v>0</v>
      </c>
      <c r="AU475" s="188">
        <f>IF(W475&lt;=0,0,+($O$5+AV474)*$AQ$2/12)</f>
        <v>0</v>
      </c>
      <c r="AV475" s="188">
        <f t="shared" si="725"/>
        <v>0</v>
      </c>
    </row>
    <row r="476" spans="1:48">
      <c r="A476" s="395" t="str">
        <f t="shared" si="675"/>
        <v xml:space="preserve"> </v>
      </c>
      <c r="B476" s="188">
        <f t="shared" si="669"/>
        <v>554.25999999994224</v>
      </c>
      <c r="C476" s="14">
        <f t="shared" si="714"/>
        <v>559.88</v>
      </c>
      <c r="D476" s="14">
        <f t="shared" si="726"/>
        <v>557.79999999999995</v>
      </c>
      <c r="E476" s="14">
        <f t="shared" si="715"/>
        <v>2.08</v>
      </c>
      <c r="F476" s="14">
        <f t="shared" si="676"/>
        <v>51.5</v>
      </c>
      <c r="G476" s="14">
        <f t="shared" si="672"/>
        <v>145.09666666666666</v>
      </c>
      <c r="H476" s="14">
        <f t="shared" si="673"/>
        <v>756.47666666666669</v>
      </c>
      <c r="I476" s="188">
        <f t="shared" si="677"/>
        <v>123176.71000000017</v>
      </c>
      <c r="J476" s="188">
        <f t="shared" si="678"/>
        <v>135388.14000000001</v>
      </c>
      <c r="K476" s="188">
        <f t="shared" si="679"/>
        <v>-3.5400000000577165</v>
      </c>
      <c r="L476" s="317">
        <f t="shared" si="659"/>
        <v>37</v>
      </c>
      <c r="M476" s="317">
        <f>IF(N476&lt;&gt;"",IF(N476=$O$5,0,+M475+1),0)</f>
        <v>448</v>
      </c>
      <c r="N476" s="188">
        <f t="shared" si="645"/>
        <v>0</v>
      </c>
      <c r="O476" s="188">
        <f>IF($O$11&lt;=A476,IF(+$W475&lt;=0,0,$O$8),0)</f>
        <v>0</v>
      </c>
      <c r="P476" s="188">
        <f t="shared" si="727"/>
        <v>0</v>
      </c>
      <c r="Q476" s="188">
        <f>IF($O$11&lt;=A476,ROUND(N476*($O$7/12),2),0)</f>
        <v>0</v>
      </c>
      <c r="R476" s="188">
        <f t="shared" si="683"/>
        <v>51.5</v>
      </c>
      <c r="S476" s="188">
        <f t="shared" si="684"/>
        <v>145.09666666666666</v>
      </c>
      <c r="T476" s="188">
        <f t="shared" si="680"/>
        <v>196.59666666666666</v>
      </c>
      <c r="U476" s="188">
        <f t="shared" si="728"/>
        <v>325712.93999999989</v>
      </c>
      <c r="V476" s="188">
        <f t="shared" si="729"/>
        <v>575881.85999999975</v>
      </c>
      <c r="W476" s="188">
        <f t="shared" si="681"/>
        <v>0</v>
      </c>
      <c r="X476" s="395" t="str">
        <f t="shared" si="721"/>
        <v xml:space="preserve"> </v>
      </c>
      <c r="Y476" s="188">
        <f t="shared" si="691"/>
        <v>0</v>
      </c>
      <c r="Z476" s="388">
        <f t="shared" si="716"/>
        <v>8.4999999999999992E-2</v>
      </c>
      <c r="AA476" s="188">
        <f t="shared" si="717"/>
        <v>0</v>
      </c>
      <c r="AB476" s="188">
        <f t="shared" si="692"/>
        <v>0</v>
      </c>
      <c r="AC476" s="188">
        <f t="shared" si="718"/>
        <v>0</v>
      </c>
      <c r="AD476" s="188">
        <f t="shared" ref="AD476:AE476" si="740">+AD475</f>
        <v>51.5</v>
      </c>
      <c r="AE476" s="188">
        <f t="shared" si="740"/>
        <v>145.09666666666666</v>
      </c>
      <c r="AF476" s="188">
        <f t="shared" si="694"/>
        <v>196.59666666666666</v>
      </c>
      <c r="AG476" s="188">
        <f t="shared" si="695"/>
        <v>325712.93999999989</v>
      </c>
      <c r="AH476" s="188">
        <f t="shared" si="696"/>
        <v>575881.85999999975</v>
      </c>
      <c r="AI476" s="404">
        <f t="shared" si="686"/>
        <v>0</v>
      </c>
      <c r="AJ476" s="404">
        <f t="shared" ref="AJ476:AJ539" si="741">+W476-AL476</f>
        <v>0</v>
      </c>
      <c r="AK476" s="404">
        <f t="shared" si="687"/>
        <v>0</v>
      </c>
      <c r="AL476" s="188">
        <f t="shared" si="697"/>
        <v>0</v>
      </c>
      <c r="AM476" s="317">
        <f t="shared" si="723"/>
        <v>37</v>
      </c>
      <c r="AN476" s="14">
        <f t="shared" si="688"/>
        <v>0</v>
      </c>
      <c r="AO476" s="14">
        <f>IF(W476&lt;=0,0,+$AA$6-$C$2+I476-U476)</f>
        <v>0</v>
      </c>
      <c r="AP476" s="14">
        <f t="shared" si="689"/>
        <v>0</v>
      </c>
      <c r="AS476" s="14">
        <f t="shared" si="720"/>
        <v>0</v>
      </c>
      <c r="AT476" s="14">
        <f t="shared" si="724"/>
        <v>0</v>
      </c>
      <c r="AU476" s="188">
        <f>IF(W476&lt;=0,0,+($O$5+AV475)*$AQ$2/12)</f>
        <v>0</v>
      </c>
      <c r="AV476" s="188">
        <f t="shared" si="725"/>
        <v>0</v>
      </c>
    </row>
    <row r="477" spans="1:48">
      <c r="A477" s="395" t="str">
        <f t="shared" si="675"/>
        <v xml:space="preserve"> </v>
      </c>
      <c r="B477" s="188">
        <f t="shared" si="669"/>
        <v>0</v>
      </c>
      <c r="C477" s="14">
        <f t="shared" si="714"/>
        <v>0</v>
      </c>
      <c r="D477" s="14">
        <f t="shared" si="726"/>
        <v>0</v>
      </c>
      <c r="E477" s="14">
        <f t="shared" si="715"/>
        <v>0</v>
      </c>
      <c r="F477" s="14">
        <f t="shared" si="676"/>
        <v>51.5</v>
      </c>
      <c r="G477" s="14">
        <f t="shared" si="672"/>
        <v>145.09666666666666</v>
      </c>
      <c r="H477" s="14">
        <f t="shared" si="673"/>
        <v>196.59666666666666</v>
      </c>
      <c r="I477" s="188">
        <f t="shared" si="677"/>
        <v>123176.71000000017</v>
      </c>
      <c r="J477" s="188">
        <f t="shared" si="678"/>
        <v>135388.14000000001</v>
      </c>
      <c r="K477" s="188">
        <f t="shared" si="679"/>
        <v>0</v>
      </c>
      <c r="L477" s="317">
        <f t="shared" si="659"/>
        <v>37</v>
      </c>
      <c r="M477" s="317">
        <f>IF(N477&lt;&gt;"",IF(N477=$O$5,0,+M476+1),0)</f>
        <v>449</v>
      </c>
      <c r="N477" s="188">
        <f t="shared" si="645"/>
        <v>0</v>
      </c>
      <c r="O477" s="188">
        <f>IF($O$11&lt;=A477,IF(+$W476&lt;=0,0,$O$8),0)</f>
        <v>0</v>
      </c>
      <c r="P477" s="188">
        <f t="shared" si="727"/>
        <v>0</v>
      </c>
      <c r="Q477" s="188">
        <f>IF($O$11&lt;=A477,ROUND(N477*($O$7/12),2),0)</f>
        <v>0</v>
      </c>
      <c r="R477" s="188">
        <f t="shared" si="683"/>
        <v>51.5</v>
      </c>
      <c r="S477" s="188">
        <f t="shared" si="684"/>
        <v>145.09666666666666</v>
      </c>
      <c r="T477" s="188">
        <f t="shared" si="680"/>
        <v>196.59666666666666</v>
      </c>
      <c r="U477" s="188">
        <f t="shared" si="728"/>
        <v>325712.93999999989</v>
      </c>
      <c r="V477" s="188">
        <f t="shared" si="729"/>
        <v>575881.85999999975</v>
      </c>
      <c r="W477" s="188">
        <f t="shared" si="681"/>
        <v>0</v>
      </c>
      <c r="X477" s="395" t="str">
        <f t="shared" si="721"/>
        <v xml:space="preserve"> </v>
      </c>
      <c r="Y477" s="188">
        <f t="shared" si="691"/>
        <v>0</v>
      </c>
      <c r="Z477" s="388">
        <f t="shared" si="716"/>
        <v>8.4999999999999992E-2</v>
      </c>
      <c r="AA477" s="188">
        <f t="shared" si="717"/>
        <v>0</v>
      </c>
      <c r="AB477" s="188">
        <f t="shared" si="692"/>
        <v>0</v>
      </c>
      <c r="AC477" s="188">
        <f t="shared" si="718"/>
        <v>0</v>
      </c>
      <c r="AD477" s="188">
        <f t="shared" ref="AD477:AE477" si="742">+AD476</f>
        <v>51.5</v>
      </c>
      <c r="AE477" s="188">
        <f t="shared" si="742"/>
        <v>145.09666666666666</v>
      </c>
      <c r="AF477" s="188">
        <f t="shared" si="694"/>
        <v>196.59666666666666</v>
      </c>
      <c r="AG477" s="188">
        <f t="shared" si="695"/>
        <v>325712.93999999989</v>
      </c>
      <c r="AH477" s="188">
        <f t="shared" si="696"/>
        <v>575881.85999999975</v>
      </c>
      <c r="AI477" s="404">
        <f t="shared" si="686"/>
        <v>0</v>
      </c>
      <c r="AJ477" s="404">
        <f t="shared" si="741"/>
        <v>0</v>
      </c>
      <c r="AK477" s="404">
        <f t="shared" si="687"/>
        <v>0</v>
      </c>
      <c r="AL477" s="188">
        <f t="shared" si="697"/>
        <v>0</v>
      </c>
      <c r="AM477" s="317">
        <f t="shared" si="723"/>
        <v>37</v>
      </c>
      <c r="AN477" s="14">
        <f t="shared" si="688"/>
        <v>0</v>
      </c>
      <c r="AO477" s="14">
        <f>IF(W477&lt;=0,0,+$AA$6-$C$2+I477-U477)</f>
        <v>0</v>
      </c>
      <c r="AP477" s="14">
        <f t="shared" si="689"/>
        <v>0</v>
      </c>
      <c r="AS477" s="14">
        <f t="shared" si="720"/>
        <v>0</v>
      </c>
      <c r="AT477" s="14">
        <f t="shared" si="724"/>
        <v>0</v>
      </c>
      <c r="AU477" s="188">
        <f>IF(W477&lt;=0,0,+($O$5+AV476)*$AQ$2/12)</f>
        <v>0</v>
      </c>
      <c r="AV477" s="188">
        <f t="shared" si="725"/>
        <v>0</v>
      </c>
    </row>
    <row r="478" spans="1:48">
      <c r="A478" s="395" t="str">
        <f t="shared" si="675"/>
        <v xml:space="preserve"> </v>
      </c>
      <c r="B478" s="188">
        <f t="shared" si="669"/>
        <v>0</v>
      </c>
      <c r="C478" s="14">
        <f t="shared" si="714"/>
        <v>0</v>
      </c>
      <c r="D478" s="14">
        <f t="shared" si="726"/>
        <v>0</v>
      </c>
      <c r="E478" s="14">
        <f t="shared" si="715"/>
        <v>0</v>
      </c>
      <c r="F478" s="14">
        <f t="shared" si="676"/>
        <v>51.5</v>
      </c>
      <c r="G478" s="14">
        <f t="shared" si="672"/>
        <v>145.09666666666666</v>
      </c>
      <c r="H478" s="14">
        <f t="shared" si="673"/>
        <v>196.59666666666666</v>
      </c>
      <c r="I478" s="188">
        <f t="shared" si="677"/>
        <v>123176.71000000017</v>
      </c>
      <c r="J478" s="188">
        <f t="shared" si="678"/>
        <v>135388.14000000001</v>
      </c>
      <c r="K478" s="188">
        <f t="shared" si="679"/>
        <v>0</v>
      </c>
      <c r="L478" s="317">
        <f t="shared" si="659"/>
        <v>37</v>
      </c>
      <c r="M478" s="317">
        <f>IF(N478&lt;&gt;"",IF(N478=$O$5,0,+M477+1),0)</f>
        <v>450</v>
      </c>
      <c r="N478" s="188">
        <f t="shared" si="645"/>
        <v>0</v>
      </c>
      <c r="O478" s="188">
        <f>IF($O$11&lt;=A478,IF(+$W477&lt;=0,0,$O$8),0)</f>
        <v>0</v>
      </c>
      <c r="P478" s="188">
        <f t="shared" si="727"/>
        <v>0</v>
      </c>
      <c r="Q478" s="188">
        <f>IF($O$11&lt;=A478,ROUND(N478*($O$7/12),2),0)</f>
        <v>0</v>
      </c>
      <c r="R478" s="188">
        <f t="shared" si="683"/>
        <v>51.5</v>
      </c>
      <c r="S478" s="188">
        <f t="shared" si="684"/>
        <v>145.09666666666666</v>
      </c>
      <c r="T478" s="188">
        <f t="shared" si="680"/>
        <v>196.59666666666666</v>
      </c>
      <c r="U478" s="188">
        <f t="shared" si="728"/>
        <v>325712.93999999989</v>
      </c>
      <c r="V478" s="188">
        <f t="shared" si="729"/>
        <v>575881.85999999975</v>
      </c>
      <c r="W478" s="188">
        <f t="shared" si="681"/>
        <v>0</v>
      </c>
      <c r="X478" s="395" t="str">
        <f t="shared" si="721"/>
        <v xml:space="preserve"> </v>
      </c>
      <c r="Y478" s="188">
        <f t="shared" si="691"/>
        <v>0</v>
      </c>
      <c r="Z478" s="388">
        <f t="shared" si="716"/>
        <v>8.4999999999999992E-2</v>
      </c>
      <c r="AA478" s="188">
        <f t="shared" si="717"/>
        <v>0</v>
      </c>
      <c r="AB478" s="188">
        <f t="shared" si="692"/>
        <v>0</v>
      </c>
      <c r="AC478" s="188">
        <f t="shared" si="718"/>
        <v>0</v>
      </c>
      <c r="AD478" s="188">
        <f t="shared" ref="AD478:AE478" si="743">+AD477</f>
        <v>51.5</v>
      </c>
      <c r="AE478" s="188">
        <f t="shared" si="743"/>
        <v>145.09666666666666</v>
      </c>
      <c r="AF478" s="188">
        <f t="shared" si="694"/>
        <v>196.59666666666666</v>
      </c>
      <c r="AG478" s="188">
        <f t="shared" si="695"/>
        <v>325712.93999999989</v>
      </c>
      <c r="AH478" s="188">
        <f t="shared" si="696"/>
        <v>575881.85999999975</v>
      </c>
      <c r="AI478" s="404">
        <f t="shared" si="686"/>
        <v>0</v>
      </c>
      <c r="AJ478" s="404">
        <f t="shared" si="741"/>
        <v>0</v>
      </c>
      <c r="AK478" s="404">
        <f t="shared" si="687"/>
        <v>0</v>
      </c>
      <c r="AL478" s="188">
        <f t="shared" si="697"/>
        <v>0</v>
      </c>
      <c r="AM478" s="317">
        <f t="shared" si="723"/>
        <v>37</v>
      </c>
      <c r="AN478" s="14">
        <f t="shared" si="688"/>
        <v>0</v>
      </c>
      <c r="AO478" s="14">
        <f>IF(W478&lt;=0,0,+$AA$6-$C$2+I478-U478)</f>
        <v>0</v>
      </c>
      <c r="AP478" s="14">
        <f t="shared" si="689"/>
        <v>0</v>
      </c>
      <c r="AS478" s="14">
        <f t="shared" si="720"/>
        <v>0</v>
      </c>
      <c r="AT478" s="14">
        <f t="shared" si="724"/>
        <v>0</v>
      </c>
      <c r="AU478" s="188">
        <f>IF(W478&lt;=0,0,+($O$5+AV477)*$AQ$2/12)</f>
        <v>0</v>
      </c>
      <c r="AV478" s="188">
        <f t="shared" si="725"/>
        <v>0</v>
      </c>
    </row>
    <row r="479" spans="1:48">
      <c r="A479" s="395" t="str">
        <f t="shared" si="675"/>
        <v xml:space="preserve"> </v>
      </c>
      <c r="B479" s="188">
        <f t="shared" si="669"/>
        <v>0</v>
      </c>
      <c r="C479" s="14">
        <f t="shared" si="714"/>
        <v>0</v>
      </c>
      <c r="D479" s="14">
        <f t="shared" si="726"/>
        <v>0</v>
      </c>
      <c r="E479" s="14">
        <f t="shared" si="715"/>
        <v>0</v>
      </c>
      <c r="F479" s="14">
        <f t="shared" si="676"/>
        <v>51.5</v>
      </c>
      <c r="G479" s="14">
        <f t="shared" si="672"/>
        <v>145.09666666666666</v>
      </c>
      <c r="H479" s="14">
        <f t="shared" si="673"/>
        <v>196.59666666666666</v>
      </c>
      <c r="I479" s="188">
        <f t="shared" si="677"/>
        <v>123176.71000000017</v>
      </c>
      <c r="J479" s="188">
        <f t="shared" si="678"/>
        <v>135388.14000000001</v>
      </c>
      <c r="K479" s="188">
        <f t="shared" si="679"/>
        <v>0</v>
      </c>
      <c r="L479" s="317">
        <f t="shared" si="659"/>
        <v>37</v>
      </c>
      <c r="M479" s="317">
        <f>IF(N479&lt;&gt;"",IF(N479=$O$5,0,+M478+1),0)</f>
        <v>451</v>
      </c>
      <c r="N479" s="188">
        <f t="shared" si="645"/>
        <v>0</v>
      </c>
      <c r="O479" s="188">
        <f>IF($O$11&lt;=A479,IF(+$W478&lt;=0,0,$O$8),0)</f>
        <v>0</v>
      </c>
      <c r="P479" s="188">
        <f t="shared" si="727"/>
        <v>0</v>
      </c>
      <c r="Q479" s="188">
        <f>IF($O$11&lt;=A479,ROUND(N479*($O$7/12),2),0)</f>
        <v>0</v>
      </c>
      <c r="R479" s="188">
        <f t="shared" si="683"/>
        <v>51.5</v>
      </c>
      <c r="S479" s="188">
        <f t="shared" si="684"/>
        <v>145.09666666666666</v>
      </c>
      <c r="T479" s="188">
        <f t="shared" si="680"/>
        <v>196.59666666666666</v>
      </c>
      <c r="U479" s="188">
        <f t="shared" si="728"/>
        <v>325712.93999999989</v>
      </c>
      <c r="V479" s="188">
        <f t="shared" si="729"/>
        <v>575881.85999999975</v>
      </c>
      <c r="W479" s="188">
        <f t="shared" si="681"/>
        <v>0</v>
      </c>
      <c r="X479" s="395" t="str">
        <f t="shared" si="721"/>
        <v xml:space="preserve"> </v>
      </c>
      <c r="Y479" s="188">
        <f t="shared" si="691"/>
        <v>0</v>
      </c>
      <c r="Z479" s="388">
        <f t="shared" si="716"/>
        <v>8.4999999999999992E-2</v>
      </c>
      <c r="AA479" s="188">
        <f t="shared" si="717"/>
        <v>0</v>
      </c>
      <c r="AB479" s="188">
        <f t="shared" si="692"/>
        <v>0</v>
      </c>
      <c r="AC479" s="188">
        <f t="shared" si="718"/>
        <v>0</v>
      </c>
      <c r="AD479" s="188">
        <f t="shared" ref="AD479:AE479" si="744">+AD478</f>
        <v>51.5</v>
      </c>
      <c r="AE479" s="188">
        <f t="shared" si="744"/>
        <v>145.09666666666666</v>
      </c>
      <c r="AF479" s="188">
        <f t="shared" si="694"/>
        <v>196.59666666666666</v>
      </c>
      <c r="AG479" s="188">
        <f t="shared" si="695"/>
        <v>325712.93999999989</v>
      </c>
      <c r="AH479" s="188">
        <f t="shared" si="696"/>
        <v>575881.85999999975</v>
      </c>
      <c r="AI479" s="404">
        <f t="shared" si="686"/>
        <v>0</v>
      </c>
      <c r="AJ479" s="404">
        <f t="shared" si="741"/>
        <v>0</v>
      </c>
      <c r="AK479" s="404">
        <f t="shared" si="687"/>
        <v>0</v>
      </c>
      <c r="AL479" s="188">
        <f t="shared" si="697"/>
        <v>0</v>
      </c>
      <c r="AM479" s="317">
        <f t="shared" si="723"/>
        <v>37</v>
      </c>
      <c r="AN479" s="14">
        <f t="shared" si="688"/>
        <v>0</v>
      </c>
      <c r="AO479" s="14">
        <f>IF(W479&lt;=0,0,+$AA$6-$C$2+I479-U479)</f>
        <v>0</v>
      </c>
      <c r="AP479" s="14">
        <f t="shared" si="689"/>
        <v>0</v>
      </c>
      <c r="AS479" s="14">
        <f t="shared" si="720"/>
        <v>0</v>
      </c>
      <c r="AT479" s="14">
        <f t="shared" si="724"/>
        <v>0</v>
      </c>
      <c r="AU479" s="188">
        <f>IF(W479&lt;=0,0,+($O$5+AV478)*$AQ$2/12)</f>
        <v>0</v>
      </c>
      <c r="AV479" s="188">
        <f t="shared" si="725"/>
        <v>0</v>
      </c>
    </row>
    <row r="480" spans="1:48">
      <c r="A480" s="395" t="str">
        <f t="shared" si="675"/>
        <v xml:space="preserve"> </v>
      </c>
      <c r="B480" s="188">
        <f t="shared" si="669"/>
        <v>0</v>
      </c>
      <c r="C480" s="14">
        <f t="shared" si="714"/>
        <v>0</v>
      </c>
      <c r="D480" s="14">
        <f t="shared" si="726"/>
        <v>0</v>
      </c>
      <c r="E480" s="14">
        <f t="shared" si="715"/>
        <v>0</v>
      </c>
      <c r="F480" s="14">
        <f t="shared" si="676"/>
        <v>51.5</v>
      </c>
      <c r="G480" s="14">
        <f t="shared" si="672"/>
        <v>145.09666666666666</v>
      </c>
      <c r="H480" s="14">
        <f t="shared" si="673"/>
        <v>196.59666666666666</v>
      </c>
      <c r="I480" s="188">
        <f t="shared" si="677"/>
        <v>123176.71000000017</v>
      </c>
      <c r="J480" s="188">
        <f t="shared" si="678"/>
        <v>135388.14000000001</v>
      </c>
      <c r="K480" s="188">
        <f t="shared" si="679"/>
        <v>0</v>
      </c>
      <c r="L480" s="317">
        <f t="shared" si="659"/>
        <v>37</v>
      </c>
      <c r="M480" s="317">
        <f>IF(N480&lt;&gt;"",IF(N480=$O$5,0,+M479+1),0)</f>
        <v>452</v>
      </c>
      <c r="N480" s="188">
        <f t="shared" si="645"/>
        <v>0</v>
      </c>
      <c r="O480" s="188">
        <f>IF($O$11&lt;=A480,IF(+$W479&lt;=0,0,$O$8),0)</f>
        <v>0</v>
      </c>
      <c r="P480" s="188">
        <f t="shared" si="727"/>
        <v>0</v>
      </c>
      <c r="Q480" s="188">
        <f>IF($O$11&lt;=A480,ROUND(N480*($O$7/12),2),0)</f>
        <v>0</v>
      </c>
      <c r="R480" s="188">
        <f t="shared" si="683"/>
        <v>51.5</v>
      </c>
      <c r="S480" s="188">
        <f t="shared" si="684"/>
        <v>145.09666666666666</v>
      </c>
      <c r="T480" s="188">
        <f t="shared" si="680"/>
        <v>196.59666666666666</v>
      </c>
      <c r="U480" s="188">
        <f t="shared" si="728"/>
        <v>325712.93999999989</v>
      </c>
      <c r="V480" s="188">
        <f t="shared" si="729"/>
        <v>575881.85999999975</v>
      </c>
      <c r="W480" s="188">
        <f t="shared" si="681"/>
        <v>0</v>
      </c>
      <c r="X480" s="395" t="str">
        <f t="shared" si="721"/>
        <v xml:space="preserve"> </v>
      </c>
      <c r="Y480" s="188">
        <f t="shared" si="691"/>
        <v>0</v>
      </c>
      <c r="Z480" s="388">
        <f t="shared" si="716"/>
        <v>8.4999999999999992E-2</v>
      </c>
      <c r="AA480" s="188">
        <f t="shared" si="717"/>
        <v>0</v>
      </c>
      <c r="AB480" s="188">
        <f t="shared" si="692"/>
        <v>0</v>
      </c>
      <c r="AC480" s="188">
        <f t="shared" si="718"/>
        <v>0</v>
      </c>
      <c r="AD480" s="188">
        <f t="shared" ref="AD480:AE480" si="745">+AD479</f>
        <v>51.5</v>
      </c>
      <c r="AE480" s="188">
        <f t="shared" si="745"/>
        <v>145.09666666666666</v>
      </c>
      <c r="AF480" s="188">
        <f t="shared" si="694"/>
        <v>196.59666666666666</v>
      </c>
      <c r="AG480" s="188">
        <f t="shared" si="695"/>
        <v>325712.93999999989</v>
      </c>
      <c r="AH480" s="188">
        <f t="shared" si="696"/>
        <v>575881.85999999975</v>
      </c>
      <c r="AI480" s="404">
        <f t="shared" si="686"/>
        <v>0</v>
      </c>
      <c r="AJ480" s="404">
        <f t="shared" si="741"/>
        <v>0</v>
      </c>
      <c r="AK480" s="404">
        <f t="shared" si="687"/>
        <v>0</v>
      </c>
      <c r="AL480" s="188">
        <f t="shared" si="697"/>
        <v>0</v>
      </c>
      <c r="AM480" s="317">
        <f t="shared" si="723"/>
        <v>37</v>
      </c>
      <c r="AN480" s="14">
        <f t="shared" si="688"/>
        <v>0</v>
      </c>
      <c r="AO480" s="14">
        <f>IF(W480&lt;=0,0,+$AA$6-$C$2+I480-U480)</f>
        <v>0</v>
      </c>
      <c r="AP480" s="14">
        <f t="shared" si="689"/>
        <v>0</v>
      </c>
      <c r="AS480" s="14">
        <f t="shared" si="720"/>
        <v>0</v>
      </c>
      <c r="AT480" s="14">
        <f t="shared" si="724"/>
        <v>0</v>
      </c>
      <c r="AU480" s="188">
        <f>IF(W480&lt;=0,0,+($O$5+AV479)*$AQ$2/12)</f>
        <v>0</v>
      </c>
      <c r="AV480" s="188">
        <f t="shared" si="725"/>
        <v>0</v>
      </c>
    </row>
    <row r="481" spans="1:49">
      <c r="A481" s="395" t="str">
        <f t="shared" si="675"/>
        <v xml:space="preserve"> </v>
      </c>
      <c r="B481" s="188">
        <f t="shared" si="669"/>
        <v>0</v>
      </c>
      <c r="C481" s="14">
        <f t="shared" si="714"/>
        <v>0</v>
      </c>
      <c r="D481" s="14">
        <f t="shared" si="726"/>
        <v>0</v>
      </c>
      <c r="E481" s="14">
        <f t="shared" si="715"/>
        <v>0</v>
      </c>
      <c r="F481" s="14">
        <f t="shared" si="676"/>
        <v>51.5</v>
      </c>
      <c r="G481" s="14">
        <f t="shared" si="672"/>
        <v>145.09666666666666</v>
      </c>
      <c r="H481" s="14">
        <f t="shared" si="673"/>
        <v>196.59666666666666</v>
      </c>
      <c r="I481" s="188">
        <f t="shared" si="677"/>
        <v>123176.71000000017</v>
      </c>
      <c r="J481" s="188">
        <f t="shared" si="678"/>
        <v>135388.14000000001</v>
      </c>
      <c r="K481" s="188">
        <f t="shared" si="679"/>
        <v>0</v>
      </c>
      <c r="L481" s="317">
        <f t="shared" si="659"/>
        <v>37</v>
      </c>
      <c r="M481" s="317">
        <f>IF(N481&lt;&gt;"",IF(N481=$O$5,0,+M480+1),0)</f>
        <v>453</v>
      </c>
      <c r="N481" s="188">
        <f t="shared" si="645"/>
        <v>0</v>
      </c>
      <c r="O481" s="188">
        <f>IF($O$11&lt;=A481,IF(+$W480&lt;=0,0,$O$8),0)</f>
        <v>0</v>
      </c>
      <c r="P481" s="188">
        <f t="shared" si="727"/>
        <v>0</v>
      </c>
      <c r="Q481" s="188">
        <f>IF($O$11&lt;=A481,ROUND(N481*($O$7/12),2),0)</f>
        <v>0</v>
      </c>
      <c r="R481" s="188">
        <f t="shared" si="683"/>
        <v>51.5</v>
      </c>
      <c r="S481" s="188">
        <f t="shared" si="684"/>
        <v>145.09666666666666</v>
      </c>
      <c r="T481" s="188">
        <f t="shared" si="680"/>
        <v>196.59666666666666</v>
      </c>
      <c r="U481" s="188">
        <f t="shared" si="728"/>
        <v>325712.93999999989</v>
      </c>
      <c r="V481" s="188">
        <f t="shared" si="729"/>
        <v>575881.85999999975</v>
      </c>
      <c r="W481" s="188">
        <f t="shared" si="681"/>
        <v>0</v>
      </c>
      <c r="X481" s="395" t="str">
        <f t="shared" si="721"/>
        <v xml:space="preserve"> </v>
      </c>
      <c r="Y481" s="188">
        <f t="shared" si="691"/>
        <v>0</v>
      </c>
      <c r="Z481" s="388">
        <f t="shared" si="716"/>
        <v>8.4999999999999992E-2</v>
      </c>
      <c r="AA481" s="188">
        <f t="shared" si="717"/>
        <v>0</v>
      </c>
      <c r="AB481" s="188">
        <f t="shared" si="692"/>
        <v>0</v>
      </c>
      <c r="AC481" s="188">
        <f t="shared" si="718"/>
        <v>0</v>
      </c>
      <c r="AD481" s="188">
        <f t="shared" ref="AD481:AE481" si="746">+AD480</f>
        <v>51.5</v>
      </c>
      <c r="AE481" s="188">
        <f t="shared" si="746"/>
        <v>145.09666666666666</v>
      </c>
      <c r="AF481" s="188">
        <f t="shared" si="694"/>
        <v>196.59666666666666</v>
      </c>
      <c r="AG481" s="188">
        <f t="shared" si="695"/>
        <v>325712.93999999989</v>
      </c>
      <c r="AH481" s="188">
        <f t="shared" si="696"/>
        <v>575881.85999999975</v>
      </c>
      <c r="AI481" s="404">
        <f t="shared" si="686"/>
        <v>0</v>
      </c>
      <c r="AJ481" s="404">
        <f t="shared" si="741"/>
        <v>0</v>
      </c>
      <c r="AK481" s="404">
        <f t="shared" si="687"/>
        <v>0</v>
      </c>
      <c r="AL481" s="188">
        <f t="shared" si="697"/>
        <v>0</v>
      </c>
      <c r="AM481" s="317">
        <f t="shared" si="723"/>
        <v>37</v>
      </c>
      <c r="AN481" s="14">
        <f t="shared" si="688"/>
        <v>0</v>
      </c>
      <c r="AO481" s="14">
        <f>IF(W481&lt;=0,0,+$AA$6-$C$2+I481-U481)</f>
        <v>0</v>
      </c>
      <c r="AP481" s="14">
        <f t="shared" si="689"/>
        <v>0</v>
      </c>
      <c r="AS481" s="14">
        <f t="shared" si="720"/>
        <v>0</v>
      </c>
      <c r="AT481" s="14">
        <f t="shared" si="724"/>
        <v>0</v>
      </c>
      <c r="AU481" s="188">
        <f>IF(W481&lt;=0,0,+($O$5+AV480)*$AQ$2/12)</f>
        <v>0</v>
      </c>
      <c r="AV481" s="188">
        <f t="shared" si="725"/>
        <v>0</v>
      </c>
    </row>
    <row r="482" spans="1:49">
      <c r="A482" s="395" t="str">
        <f t="shared" si="675"/>
        <v xml:space="preserve"> </v>
      </c>
      <c r="B482" s="188">
        <f t="shared" si="669"/>
        <v>0</v>
      </c>
      <c r="C482" s="14">
        <f t="shared" si="714"/>
        <v>0</v>
      </c>
      <c r="D482" s="14">
        <f t="shared" si="726"/>
        <v>0</v>
      </c>
      <c r="E482" s="14">
        <f t="shared" si="715"/>
        <v>0</v>
      </c>
      <c r="F482" s="14">
        <f t="shared" si="676"/>
        <v>51.5</v>
      </c>
      <c r="G482" s="14">
        <f t="shared" si="672"/>
        <v>145.09666666666666</v>
      </c>
      <c r="H482" s="14">
        <f t="shared" si="673"/>
        <v>196.59666666666666</v>
      </c>
      <c r="I482" s="188">
        <f t="shared" si="677"/>
        <v>123176.71000000017</v>
      </c>
      <c r="J482" s="188">
        <f t="shared" si="678"/>
        <v>135388.14000000001</v>
      </c>
      <c r="K482" s="188">
        <f t="shared" si="679"/>
        <v>0</v>
      </c>
      <c r="L482" s="317">
        <f t="shared" si="659"/>
        <v>37</v>
      </c>
      <c r="M482" s="317">
        <f>IF(N482&lt;&gt;"",IF(N482=$O$5,0,+M481+1),0)</f>
        <v>454</v>
      </c>
      <c r="N482" s="188">
        <f t="shared" si="645"/>
        <v>0</v>
      </c>
      <c r="O482" s="188">
        <f>IF($O$11&lt;=A482,IF(+$W481&lt;=0,0,$O$8),0)</f>
        <v>0</v>
      </c>
      <c r="P482" s="188">
        <f t="shared" si="727"/>
        <v>0</v>
      </c>
      <c r="Q482" s="188">
        <f>IF($O$11&lt;=A482,ROUND(N482*($O$7/12),2),0)</f>
        <v>0</v>
      </c>
      <c r="R482" s="188">
        <f t="shared" si="683"/>
        <v>51.5</v>
      </c>
      <c r="S482" s="188">
        <f t="shared" si="684"/>
        <v>145.09666666666666</v>
      </c>
      <c r="T482" s="188">
        <f t="shared" si="680"/>
        <v>196.59666666666666</v>
      </c>
      <c r="U482" s="188">
        <f t="shared" si="728"/>
        <v>325712.93999999989</v>
      </c>
      <c r="V482" s="188">
        <f t="shared" si="729"/>
        <v>575881.85999999975</v>
      </c>
      <c r="W482" s="188">
        <f t="shared" si="681"/>
        <v>0</v>
      </c>
      <c r="X482" s="395" t="str">
        <f t="shared" si="721"/>
        <v xml:space="preserve"> </v>
      </c>
      <c r="Y482" s="188">
        <f t="shared" si="691"/>
        <v>0</v>
      </c>
      <c r="Z482" s="388">
        <f t="shared" si="716"/>
        <v>8.4999999999999992E-2</v>
      </c>
      <c r="AA482" s="188">
        <f t="shared" si="717"/>
        <v>0</v>
      </c>
      <c r="AB482" s="188">
        <f t="shared" si="692"/>
        <v>0</v>
      </c>
      <c r="AC482" s="188">
        <f t="shared" si="718"/>
        <v>0</v>
      </c>
      <c r="AD482" s="188">
        <f t="shared" ref="AD482:AE482" si="747">+AD481</f>
        <v>51.5</v>
      </c>
      <c r="AE482" s="188">
        <f t="shared" si="747"/>
        <v>145.09666666666666</v>
      </c>
      <c r="AF482" s="188">
        <f t="shared" si="694"/>
        <v>196.59666666666666</v>
      </c>
      <c r="AG482" s="188">
        <f t="shared" si="695"/>
        <v>325712.93999999989</v>
      </c>
      <c r="AH482" s="188">
        <f t="shared" si="696"/>
        <v>575881.85999999975</v>
      </c>
      <c r="AI482" s="404">
        <f t="shared" si="686"/>
        <v>0</v>
      </c>
      <c r="AJ482" s="404">
        <f t="shared" si="741"/>
        <v>0</v>
      </c>
      <c r="AK482" s="404">
        <f t="shared" si="687"/>
        <v>0</v>
      </c>
      <c r="AL482" s="188">
        <f t="shared" si="697"/>
        <v>0</v>
      </c>
      <c r="AM482" s="317">
        <f t="shared" si="723"/>
        <v>37</v>
      </c>
      <c r="AN482" s="14">
        <f t="shared" si="688"/>
        <v>0</v>
      </c>
      <c r="AO482" s="14">
        <f>IF(W482&lt;=0,0,+$AA$6-$C$2+I482-U482)</f>
        <v>0</v>
      </c>
      <c r="AP482" s="14">
        <f t="shared" si="689"/>
        <v>0</v>
      </c>
      <c r="AS482" s="14">
        <f t="shared" si="720"/>
        <v>0</v>
      </c>
      <c r="AT482" s="14">
        <f t="shared" si="724"/>
        <v>0</v>
      </c>
      <c r="AU482" s="188">
        <f>IF(W482&lt;=0,0,+($O$5+AV481)*$AQ$2/12)</f>
        <v>0</v>
      </c>
      <c r="AV482" s="188">
        <f t="shared" si="725"/>
        <v>0</v>
      </c>
    </row>
    <row r="483" spans="1:49" ht="15.75" thickBot="1">
      <c r="A483" s="398" t="str">
        <f t="shared" si="675"/>
        <v xml:space="preserve"> </v>
      </c>
      <c r="B483" s="237">
        <f t="shared" si="669"/>
        <v>0</v>
      </c>
      <c r="C483" s="21">
        <f t="shared" si="714"/>
        <v>0</v>
      </c>
      <c r="D483" s="21">
        <f t="shared" si="726"/>
        <v>0</v>
      </c>
      <c r="E483" s="21">
        <f t="shared" si="715"/>
        <v>0</v>
      </c>
      <c r="F483" s="21">
        <f t="shared" si="676"/>
        <v>51.5</v>
      </c>
      <c r="G483" s="21">
        <f t="shared" si="672"/>
        <v>145.09666666666666</v>
      </c>
      <c r="H483" s="21">
        <f t="shared" si="673"/>
        <v>196.59666666666666</v>
      </c>
      <c r="I483" s="237">
        <f t="shared" si="677"/>
        <v>123176.71000000017</v>
      </c>
      <c r="J483" s="237">
        <f t="shared" si="678"/>
        <v>135388.14000000001</v>
      </c>
      <c r="K483" s="237">
        <f t="shared" si="679"/>
        <v>0</v>
      </c>
      <c r="L483" s="318">
        <f t="shared" si="659"/>
        <v>37</v>
      </c>
      <c r="M483" s="318">
        <f>IF(N483&lt;&gt;"",IF(N483=$O$5,0,+M482+1),0)</f>
        <v>455</v>
      </c>
      <c r="N483" s="237">
        <f t="shared" ref="N483:N491" si="748">IF(+W482&lt;0,0,+W482)</f>
        <v>0</v>
      </c>
      <c r="O483" s="237">
        <f>IF($O$11&lt;=A483,IF(+$W482&lt;=0,0,$O$8),0)</f>
        <v>0</v>
      </c>
      <c r="P483" s="237">
        <f t="shared" si="727"/>
        <v>0</v>
      </c>
      <c r="Q483" s="237">
        <f>IF($O$11&lt;=A483,ROUND(N483*($O$7/12),2),0)</f>
        <v>0</v>
      </c>
      <c r="R483" s="237">
        <f t="shared" si="683"/>
        <v>51.5</v>
      </c>
      <c r="S483" s="237">
        <f t="shared" si="684"/>
        <v>145.09666666666666</v>
      </c>
      <c r="T483" s="237">
        <f t="shared" si="680"/>
        <v>196.59666666666666</v>
      </c>
      <c r="U483" s="237">
        <f t="shared" si="728"/>
        <v>325712.93999999989</v>
      </c>
      <c r="V483" s="237">
        <f t="shared" si="729"/>
        <v>575881.85999999975</v>
      </c>
      <c r="W483" s="237">
        <f t="shared" si="681"/>
        <v>0</v>
      </c>
      <c r="X483" s="398" t="str">
        <f t="shared" si="721"/>
        <v xml:space="preserve"> </v>
      </c>
      <c r="Y483" s="237">
        <f t="shared" si="691"/>
        <v>0</v>
      </c>
      <c r="Z483" s="389">
        <f t="shared" si="716"/>
        <v>8.4999999999999992E-2</v>
      </c>
      <c r="AA483" s="237">
        <f t="shared" si="717"/>
        <v>0</v>
      </c>
      <c r="AB483" s="237">
        <f t="shared" si="692"/>
        <v>0</v>
      </c>
      <c r="AC483" s="237">
        <f t="shared" si="718"/>
        <v>0</v>
      </c>
      <c r="AD483" s="237">
        <f t="shared" ref="AD483:AE483" si="749">+AD482</f>
        <v>51.5</v>
      </c>
      <c r="AE483" s="237">
        <f t="shared" si="749"/>
        <v>145.09666666666666</v>
      </c>
      <c r="AF483" s="237">
        <f t="shared" si="694"/>
        <v>196.59666666666666</v>
      </c>
      <c r="AG483" s="237">
        <f t="shared" si="695"/>
        <v>325712.93999999989</v>
      </c>
      <c r="AH483" s="237">
        <f t="shared" si="696"/>
        <v>575881.85999999975</v>
      </c>
      <c r="AI483" s="405">
        <f t="shared" si="686"/>
        <v>0</v>
      </c>
      <c r="AJ483" s="405">
        <f t="shared" si="741"/>
        <v>0</v>
      </c>
      <c r="AK483" s="404">
        <f t="shared" si="687"/>
        <v>0</v>
      </c>
      <c r="AL483" s="237">
        <f t="shared" si="697"/>
        <v>0</v>
      </c>
      <c r="AM483" s="318">
        <f t="shared" si="723"/>
        <v>37</v>
      </c>
      <c r="AN483" s="21">
        <f t="shared" si="688"/>
        <v>0</v>
      </c>
      <c r="AO483" s="21">
        <f>IF(W483&lt;=0,0,+$AA$6-$C$2+I483-U483)</f>
        <v>0</v>
      </c>
      <c r="AP483" s="21">
        <f t="shared" si="689"/>
        <v>0</v>
      </c>
      <c r="AQ483" s="21"/>
      <c r="AR483" s="23"/>
      <c r="AS483" s="21">
        <f t="shared" si="720"/>
        <v>0</v>
      </c>
      <c r="AT483" s="21">
        <f t="shared" si="724"/>
        <v>0</v>
      </c>
      <c r="AU483" s="237">
        <f>IF(W483&lt;=0,0,+($O$5+AV482)*$AQ$2/12)</f>
        <v>0</v>
      </c>
      <c r="AV483" s="237">
        <f t="shared" si="725"/>
        <v>0</v>
      </c>
    </row>
    <row r="484" spans="1:49">
      <c r="A484" s="395" t="str">
        <f t="shared" si="675"/>
        <v xml:space="preserve"> </v>
      </c>
      <c r="B484" s="188">
        <f t="shared" si="669"/>
        <v>0</v>
      </c>
      <c r="C484" s="14">
        <f t="shared" si="714"/>
        <v>0</v>
      </c>
      <c r="D484" s="14">
        <f t="shared" si="726"/>
        <v>0</v>
      </c>
      <c r="E484" s="14">
        <f t="shared" si="715"/>
        <v>0</v>
      </c>
      <c r="F484" s="14">
        <f t="shared" si="676"/>
        <v>51.5</v>
      </c>
      <c r="G484" s="14">
        <f t="shared" si="672"/>
        <v>145.09666666666666</v>
      </c>
      <c r="H484" s="14">
        <f t="shared" si="673"/>
        <v>196.59666666666666</v>
      </c>
      <c r="I484" s="188">
        <f t="shared" si="677"/>
        <v>123176.71000000017</v>
      </c>
      <c r="J484" s="188">
        <f t="shared" si="678"/>
        <v>135388.14000000001</v>
      </c>
      <c r="K484" s="188">
        <f t="shared" si="679"/>
        <v>0</v>
      </c>
      <c r="L484" s="317">
        <f t="shared" si="659"/>
        <v>38</v>
      </c>
      <c r="M484" s="317">
        <f>IF(N484&lt;&gt;"",IF(N484=$O$5,0,+M483+1),0)</f>
        <v>456</v>
      </c>
      <c r="N484" s="188">
        <f t="shared" si="748"/>
        <v>0</v>
      </c>
      <c r="O484" s="188">
        <f>IF($O$11&lt;=A484,IF(+$W483&lt;=0,0,$O$8),0)</f>
        <v>0</v>
      </c>
      <c r="P484" s="188">
        <f t="shared" si="727"/>
        <v>0</v>
      </c>
      <c r="Q484" s="188">
        <f>IF($O$11&lt;=A484,ROUND(N484*($O$7/12),2),0)</f>
        <v>0</v>
      </c>
      <c r="R484" s="188">
        <f t="shared" si="683"/>
        <v>51.5</v>
      </c>
      <c r="S484" s="188">
        <f t="shared" si="684"/>
        <v>145.09666666666666</v>
      </c>
      <c r="T484" s="188">
        <f t="shared" si="680"/>
        <v>196.59666666666666</v>
      </c>
      <c r="U484" s="188">
        <f t="shared" si="728"/>
        <v>325712.93999999989</v>
      </c>
      <c r="V484" s="188">
        <f t="shared" si="729"/>
        <v>575881.85999999975</v>
      </c>
      <c r="W484" s="188">
        <f t="shared" si="681"/>
        <v>0</v>
      </c>
      <c r="X484" s="395" t="str">
        <f t="shared" si="721"/>
        <v xml:space="preserve"> </v>
      </c>
      <c r="Y484" s="188">
        <f t="shared" si="691"/>
        <v>0</v>
      </c>
      <c r="Z484" s="388">
        <f t="shared" si="716"/>
        <v>8.4999999999999992E-2</v>
      </c>
      <c r="AA484" s="188">
        <f t="shared" si="717"/>
        <v>0</v>
      </c>
      <c r="AB484" s="188">
        <f t="shared" si="692"/>
        <v>0</v>
      </c>
      <c r="AC484" s="188">
        <f t="shared" si="718"/>
        <v>0</v>
      </c>
      <c r="AD484" s="188">
        <f t="shared" ref="AD484:AE484" si="750">+AD483</f>
        <v>51.5</v>
      </c>
      <c r="AE484" s="188">
        <f t="shared" si="750"/>
        <v>145.09666666666666</v>
      </c>
      <c r="AF484" s="188">
        <f t="shared" si="694"/>
        <v>196.59666666666666</v>
      </c>
      <c r="AG484" s="188">
        <f t="shared" si="695"/>
        <v>325712.93999999989</v>
      </c>
      <c r="AH484" s="188">
        <f t="shared" si="696"/>
        <v>575881.85999999975</v>
      </c>
      <c r="AI484" s="404">
        <f t="shared" si="686"/>
        <v>0</v>
      </c>
      <c r="AJ484" s="404">
        <f t="shared" si="741"/>
        <v>0</v>
      </c>
      <c r="AK484" s="404">
        <f t="shared" si="687"/>
        <v>0</v>
      </c>
      <c r="AL484" s="188">
        <f t="shared" si="697"/>
        <v>0</v>
      </c>
      <c r="AM484" s="317">
        <f t="shared" si="723"/>
        <v>38</v>
      </c>
      <c r="AN484" s="14">
        <f t="shared" si="688"/>
        <v>0</v>
      </c>
      <c r="AO484" s="14">
        <f>IF(W484&lt;=0,0,+$AA$6-$C$2+I484-U484)</f>
        <v>0</v>
      </c>
      <c r="AP484" s="14">
        <f t="shared" si="689"/>
        <v>0</v>
      </c>
      <c r="AS484" s="14">
        <f t="shared" si="720"/>
        <v>0</v>
      </c>
      <c r="AT484" s="14">
        <f t="shared" si="724"/>
        <v>0</v>
      </c>
      <c r="AU484" s="188">
        <f>IF(W484&lt;=0,0,+($O$5+AV483)*$AQ$2/12)</f>
        <v>0</v>
      </c>
      <c r="AV484" s="188">
        <f t="shared" si="725"/>
        <v>0</v>
      </c>
    </row>
    <row r="485" spans="1:49">
      <c r="A485" s="395" t="str">
        <f t="shared" si="675"/>
        <v xml:space="preserve"> </v>
      </c>
      <c r="B485" s="188">
        <f t="shared" si="669"/>
        <v>0</v>
      </c>
      <c r="C485" s="14">
        <f t="shared" si="714"/>
        <v>0</v>
      </c>
      <c r="D485" s="14">
        <f t="shared" si="726"/>
        <v>0</v>
      </c>
      <c r="E485" s="14">
        <f t="shared" si="715"/>
        <v>0</v>
      </c>
      <c r="F485" s="14">
        <f t="shared" si="676"/>
        <v>51.5</v>
      </c>
      <c r="G485" s="14">
        <f t="shared" si="672"/>
        <v>145.09666666666666</v>
      </c>
      <c r="H485" s="14">
        <f t="shared" si="673"/>
        <v>196.59666666666666</v>
      </c>
      <c r="I485" s="188">
        <f t="shared" si="677"/>
        <v>123176.71000000017</v>
      </c>
      <c r="J485" s="188">
        <f t="shared" si="678"/>
        <v>135388.14000000001</v>
      </c>
      <c r="K485" s="188">
        <f t="shared" si="679"/>
        <v>0</v>
      </c>
      <c r="L485" s="317">
        <f t="shared" si="659"/>
        <v>38</v>
      </c>
      <c r="M485" s="317">
        <f>IF(N485&lt;&gt;"",IF(N485=$O$5,0,+M484+1),0)</f>
        <v>457</v>
      </c>
      <c r="N485" s="188">
        <f t="shared" si="748"/>
        <v>0</v>
      </c>
      <c r="O485" s="188">
        <f>IF($O$11&lt;=A485,IF(+$W484&lt;=0,0,$O$8),0)</f>
        <v>0</v>
      </c>
      <c r="P485" s="188">
        <f t="shared" si="727"/>
        <v>0</v>
      </c>
      <c r="Q485" s="188">
        <f>IF($O$11&lt;=A485,ROUND(N485*($O$7/12),2),0)</f>
        <v>0</v>
      </c>
      <c r="R485" s="188">
        <f t="shared" si="683"/>
        <v>51.5</v>
      </c>
      <c r="S485" s="188">
        <f t="shared" si="684"/>
        <v>145.09666666666666</v>
      </c>
      <c r="T485" s="188">
        <f t="shared" si="680"/>
        <v>196.59666666666666</v>
      </c>
      <c r="U485" s="188">
        <f t="shared" si="728"/>
        <v>325712.93999999989</v>
      </c>
      <c r="V485" s="188">
        <f t="shared" si="729"/>
        <v>575881.85999999975</v>
      </c>
      <c r="W485" s="188">
        <f t="shared" si="681"/>
        <v>0</v>
      </c>
      <c r="X485" s="395" t="str">
        <f t="shared" si="721"/>
        <v xml:space="preserve"> </v>
      </c>
      <c r="Y485" s="188">
        <f t="shared" si="691"/>
        <v>0</v>
      </c>
      <c r="Z485" s="388">
        <f t="shared" si="716"/>
        <v>8.4999999999999992E-2</v>
      </c>
      <c r="AA485" s="188">
        <f t="shared" si="717"/>
        <v>0</v>
      </c>
      <c r="AB485" s="188">
        <f t="shared" si="692"/>
        <v>0</v>
      </c>
      <c r="AC485" s="188">
        <f t="shared" si="718"/>
        <v>0</v>
      </c>
      <c r="AD485" s="188">
        <f t="shared" ref="AD485:AE485" si="751">+AD484</f>
        <v>51.5</v>
      </c>
      <c r="AE485" s="188">
        <f t="shared" si="751"/>
        <v>145.09666666666666</v>
      </c>
      <c r="AF485" s="188">
        <f t="shared" si="694"/>
        <v>196.59666666666666</v>
      </c>
      <c r="AG485" s="188">
        <f t="shared" si="695"/>
        <v>325712.93999999989</v>
      </c>
      <c r="AH485" s="188">
        <f t="shared" si="696"/>
        <v>575881.85999999975</v>
      </c>
      <c r="AI485" s="404">
        <f t="shared" si="686"/>
        <v>0</v>
      </c>
      <c r="AJ485" s="404">
        <f t="shared" si="741"/>
        <v>0</v>
      </c>
      <c r="AK485" s="404">
        <f t="shared" si="687"/>
        <v>0</v>
      </c>
      <c r="AL485" s="188">
        <f t="shared" si="697"/>
        <v>0</v>
      </c>
      <c r="AM485" s="317">
        <f t="shared" si="723"/>
        <v>38</v>
      </c>
      <c r="AN485" s="14">
        <f t="shared" si="688"/>
        <v>0</v>
      </c>
      <c r="AO485" s="14">
        <f>IF(W485&lt;=0,0,+$AA$6-$C$2+I485-U485)</f>
        <v>0</v>
      </c>
      <c r="AP485" s="14">
        <f t="shared" si="689"/>
        <v>0</v>
      </c>
      <c r="AS485" s="14">
        <f t="shared" si="720"/>
        <v>0</v>
      </c>
      <c r="AT485" s="14">
        <f t="shared" si="724"/>
        <v>0</v>
      </c>
      <c r="AU485" s="188">
        <f>IF(W485&lt;=0,0,+($O$5+AV484)*$AQ$2/12)</f>
        <v>0</v>
      </c>
      <c r="AV485" s="188">
        <f t="shared" si="725"/>
        <v>0</v>
      </c>
    </row>
    <row r="486" spans="1:49">
      <c r="A486" s="395" t="str">
        <f t="shared" si="675"/>
        <v xml:space="preserve"> </v>
      </c>
      <c r="B486" s="188">
        <f t="shared" si="669"/>
        <v>0</v>
      </c>
      <c r="C486" s="14">
        <f t="shared" si="714"/>
        <v>0</v>
      </c>
      <c r="D486" s="14">
        <f t="shared" si="726"/>
        <v>0</v>
      </c>
      <c r="E486" s="14">
        <f t="shared" si="715"/>
        <v>0</v>
      </c>
      <c r="F486" s="14">
        <f t="shared" si="676"/>
        <v>51.5</v>
      </c>
      <c r="G486" s="14">
        <f t="shared" si="672"/>
        <v>145.09666666666666</v>
      </c>
      <c r="H486" s="14">
        <f t="shared" si="673"/>
        <v>196.59666666666666</v>
      </c>
      <c r="I486" s="188">
        <f t="shared" si="677"/>
        <v>123176.71000000017</v>
      </c>
      <c r="J486" s="188">
        <f t="shared" si="678"/>
        <v>135388.14000000001</v>
      </c>
      <c r="K486" s="188">
        <f t="shared" si="679"/>
        <v>0</v>
      </c>
      <c r="L486" s="317">
        <f t="shared" si="659"/>
        <v>38</v>
      </c>
      <c r="M486" s="317">
        <f>IF(N486&lt;&gt;"",IF(N486=$O$5,0,+M485+1),0)</f>
        <v>458</v>
      </c>
      <c r="N486" s="188">
        <f t="shared" si="748"/>
        <v>0</v>
      </c>
      <c r="O486" s="188">
        <f>IF($O$11&lt;=A486,IF(+$W485&lt;=0,0,$O$8),0)</f>
        <v>0</v>
      </c>
      <c r="P486" s="188">
        <f t="shared" si="727"/>
        <v>0</v>
      </c>
      <c r="Q486" s="188">
        <f>IF($O$11&lt;=A486,ROUND(N486*($O$7/12),2),0)</f>
        <v>0</v>
      </c>
      <c r="R486" s="188">
        <f t="shared" si="683"/>
        <v>51.5</v>
      </c>
      <c r="S486" s="188">
        <f t="shared" si="684"/>
        <v>145.09666666666666</v>
      </c>
      <c r="T486" s="188">
        <f t="shared" si="680"/>
        <v>196.59666666666666</v>
      </c>
      <c r="U486" s="188">
        <f t="shared" si="728"/>
        <v>325712.93999999989</v>
      </c>
      <c r="V486" s="188">
        <f t="shared" si="729"/>
        <v>575881.85999999975</v>
      </c>
      <c r="W486" s="188">
        <f t="shared" si="681"/>
        <v>0</v>
      </c>
      <c r="X486" s="395" t="str">
        <f t="shared" si="721"/>
        <v xml:space="preserve"> </v>
      </c>
      <c r="Y486" s="188">
        <f t="shared" si="691"/>
        <v>0</v>
      </c>
      <c r="Z486" s="388">
        <f t="shared" si="716"/>
        <v>8.4999999999999992E-2</v>
      </c>
      <c r="AA486" s="188">
        <f t="shared" si="717"/>
        <v>0</v>
      </c>
      <c r="AB486" s="188">
        <f t="shared" si="692"/>
        <v>0</v>
      </c>
      <c r="AC486" s="188">
        <f t="shared" si="718"/>
        <v>0</v>
      </c>
      <c r="AD486" s="188">
        <f t="shared" ref="AD486:AE486" si="752">+AD485</f>
        <v>51.5</v>
      </c>
      <c r="AE486" s="188">
        <f t="shared" si="752"/>
        <v>145.09666666666666</v>
      </c>
      <c r="AF486" s="188">
        <f t="shared" si="694"/>
        <v>196.59666666666666</v>
      </c>
      <c r="AG486" s="188">
        <f t="shared" si="695"/>
        <v>325712.93999999989</v>
      </c>
      <c r="AH486" s="188">
        <f t="shared" si="696"/>
        <v>575881.85999999975</v>
      </c>
      <c r="AI486" s="404">
        <f t="shared" si="686"/>
        <v>0</v>
      </c>
      <c r="AJ486" s="404">
        <f t="shared" si="741"/>
        <v>0</v>
      </c>
      <c r="AK486" s="404">
        <f t="shared" si="687"/>
        <v>0</v>
      </c>
      <c r="AL486" s="188">
        <f t="shared" si="697"/>
        <v>0</v>
      </c>
      <c r="AM486" s="317">
        <f t="shared" si="723"/>
        <v>38</v>
      </c>
      <c r="AN486" s="14">
        <f t="shared" si="688"/>
        <v>0</v>
      </c>
      <c r="AO486" s="14">
        <f>IF(W486&lt;=0,0,+$AA$6-$C$2+I486-U486)</f>
        <v>0</v>
      </c>
      <c r="AP486" s="14">
        <f t="shared" si="689"/>
        <v>0</v>
      </c>
      <c r="AS486" s="14">
        <f t="shared" si="720"/>
        <v>0</v>
      </c>
      <c r="AT486" s="14">
        <f t="shared" si="724"/>
        <v>0</v>
      </c>
      <c r="AU486" s="188">
        <f>IF(W486&lt;=0,0,+($O$5+AV485)*$AQ$2/12)</f>
        <v>0</v>
      </c>
      <c r="AV486" s="188">
        <f t="shared" si="725"/>
        <v>0</v>
      </c>
    </row>
    <row r="487" spans="1:49">
      <c r="A487" s="395" t="str">
        <f t="shared" si="675"/>
        <v xml:space="preserve"> </v>
      </c>
      <c r="B487" s="188">
        <f t="shared" si="669"/>
        <v>0</v>
      </c>
      <c r="C487" s="14">
        <f t="shared" si="714"/>
        <v>0</v>
      </c>
      <c r="D487" s="14">
        <f t="shared" si="726"/>
        <v>0</v>
      </c>
      <c r="E487" s="14">
        <f t="shared" si="715"/>
        <v>0</v>
      </c>
      <c r="F487" s="14">
        <f t="shared" si="676"/>
        <v>51.5</v>
      </c>
      <c r="G487" s="14">
        <f t="shared" si="672"/>
        <v>145.09666666666666</v>
      </c>
      <c r="H487" s="14">
        <f t="shared" si="673"/>
        <v>196.59666666666666</v>
      </c>
      <c r="I487" s="188">
        <f t="shared" si="677"/>
        <v>123176.71000000017</v>
      </c>
      <c r="J487" s="188">
        <f t="shared" si="678"/>
        <v>135388.14000000001</v>
      </c>
      <c r="K487" s="188">
        <f t="shared" si="679"/>
        <v>0</v>
      </c>
      <c r="L487" s="317">
        <f t="shared" si="659"/>
        <v>38</v>
      </c>
      <c r="M487" s="317">
        <f>IF(N487&lt;&gt;"",IF(N487=$O$5,0,+M486+1),0)</f>
        <v>459</v>
      </c>
      <c r="N487" s="188">
        <f t="shared" si="748"/>
        <v>0</v>
      </c>
      <c r="O487" s="188">
        <f>IF($O$11&lt;=A487,IF(+$W486&lt;=0,0,$O$8),0)</f>
        <v>0</v>
      </c>
      <c r="P487" s="188">
        <f t="shared" si="727"/>
        <v>0</v>
      </c>
      <c r="Q487" s="188">
        <f>IF($O$11&lt;=A487,ROUND(N487*($O$7/12),2),0)</f>
        <v>0</v>
      </c>
      <c r="R487" s="188">
        <f t="shared" si="683"/>
        <v>51.5</v>
      </c>
      <c r="S487" s="188">
        <f t="shared" si="684"/>
        <v>145.09666666666666</v>
      </c>
      <c r="T487" s="188">
        <f t="shared" si="680"/>
        <v>196.59666666666666</v>
      </c>
      <c r="U487" s="188">
        <f t="shared" si="728"/>
        <v>325712.93999999989</v>
      </c>
      <c r="V487" s="188">
        <f t="shared" si="729"/>
        <v>575881.85999999975</v>
      </c>
      <c r="W487" s="188">
        <f t="shared" si="681"/>
        <v>0</v>
      </c>
      <c r="X487" s="395" t="str">
        <f t="shared" si="721"/>
        <v xml:space="preserve"> </v>
      </c>
      <c r="Y487" s="188">
        <f t="shared" si="691"/>
        <v>0</v>
      </c>
      <c r="Z487" s="388">
        <f t="shared" si="716"/>
        <v>8.4999999999999992E-2</v>
      </c>
      <c r="AA487" s="188">
        <f t="shared" si="717"/>
        <v>0</v>
      </c>
      <c r="AB487" s="188">
        <f t="shared" si="692"/>
        <v>0</v>
      </c>
      <c r="AC487" s="188">
        <f t="shared" si="718"/>
        <v>0</v>
      </c>
      <c r="AD487" s="188">
        <f t="shared" ref="AD487:AE487" si="753">+AD486</f>
        <v>51.5</v>
      </c>
      <c r="AE487" s="188">
        <f t="shared" si="753"/>
        <v>145.09666666666666</v>
      </c>
      <c r="AF487" s="188">
        <f t="shared" si="694"/>
        <v>196.59666666666666</v>
      </c>
      <c r="AG487" s="188">
        <f t="shared" si="695"/>
        <v>325712.93999999989</v>
      </c>
      <c r="AH487" s="188">
        <f t="shared" si="696"/>
        <v>575881.85999999975</v>
      </c>
      <c r="AI487" s="404">
        <f t="shared" si="686"/>
        <v>0</v>
      </c>
      <c r="AJ487" s="404">
        <f t="shared" si="741"/>
        <v>0</v>
      </c>
      <c r="AK487" s="404">
        <f t="shared" si="687"/>
        <v>0</v>
      </c>
      <c r="AL487" s="188">
        <f t="shared" si="697"/>
        <v>0</v>
      </c>
      <c r="AM487" s="317">
        <f t="shared" si="723"/>
        <v>38</v>
      </c>
      <c r="AN487" s="14">
        <f t="shared" si="688"/>
        <v>0</v>
      </c>
      <c r="AO487" s="14">
        <f>IF(W487&lt;=0,0,+$AA$6-$C$2+I487-U487)</f>
        <v>0</v>
      </c>
      <c r="AP487" s="14">
        <f t="shared" si="689"/>
        <v>0</v>
      </c>
      <c r="AS487" s="14">
        <f t="shared" si="720"/>
        <v>0</v>
      </c>
      <c r="AT487" s="14">
        <f t="shared" si="724"/>
        <v>0</v>
      </c>
      <c r="AU487" s="188">
        <f>IF(W487&lt;=0,0,+($O$5+AV486)*$AQ$2/12)</f>
        <v>0</v>
      </c>
      <c r="AV487" s="188">
        <f t="shared" si="725"/>
        <v>0</v>
      </c>
    </row>
    <row r="488" spans="1:49">
      <c r="A488" s="395" t="str">
        <f t="shared" si="675"/>
        <v xml:space="preserve"> </v>
      </c>
      <c r="B488" s="188">
        <f t="shared" si="669"/>
        <v>0</v>
      </c>
      <c r="C488" s="14">
        <f t="shared" si="714"/>
        <v>0</v>
      </c>
      <c r="D488" s="14">
        <f t="shared" si="726"/>
        <v>0</v>
      </c>
      <c r="E488" s="14">
        <f t="shared" si="715"/>
        <v>0</v>
      </c>
      <c r="F488" s="14">
        <f t="shared" si="676"/>
        <v>51.5</v>
      </c>
      <c r="G488" s="14">
        <f t="shared" si="672"/>
        <v>145.09666666666666</v>
      </c>
      <c r="H488" s="14">
        <f t="shared" si="673"/>
        <v>196.59666666666666</v>
      </c>
      <c r="I488" s="188">
        <f t="shared" si="677"/>
        <v>123176.71000000017</v>
      </c>
      <c r="J488" s="188">
        <f t="shared" si="678"/>
        <v>135388.14000000001</v>
      </c>
      <c r="K488" s="188">
        <f t="shared" si="679"/>
        <v>0</v>
      </c>
      <c r="L488" s="317">
        <f t="shared" si="659"/>
        <v>38</v>
      </c>
      <c r="M488" s="317">
        <f>IF(N488&lt;&gt;"",IF(N488=$O$5,0,+M487+1),0)</f>
        <v>460</v>
      </c>
      <c r="N488" s="188">
        <f t="shared" si="748"/>
        <v>0</v>
      </c>
      <c r="O488" s="188">
        <f>IF($O$11&lt;=A488,IF(+$W487&lt;=0,0,$O$8),0)</f>
        <v>0</v>
      </c>
      <c r="P488" s="188">
        <f t="shared" si="727"/>
        <v>0</v>
      </c>
      <c r="Q488" s="188">
        <f>IF($O$11&lt;=A488,ROUND(N488*($O$7/12),2),0)</f>
        <v>0</v>
      </c>
      <c r="R488" s="188">
        <f t="shared" si="683"/>
        <v>51.5</v>
      </c>
      <c r="S488" s="188">
        <f t="shared" si="684"/>
        <v>145.09666666666666</v>
      </c>
      <c r="T488" s="188">
        <f t="shared" si="680"/>
        <v>196.59666666666666</v>
      </c>
      <c r="U488" s="188">
        <f t="shared" si="728"/>
        <v>325712.93999999989</v>
      </c>
      <c r="V488" s="188">
        <f t="shared" si="729"/>
        <v>575881.85999999975</v>
      </c>
      <c r="W488" s="188">
        <f t="shared" si="681"/>
        <v>0</v>
      </c>
      <c r="X488" s="395" t="str">
        <f t="shared" si="721"/>
        <v xml:space="preserve"> </v>
      </c>
      <c r="Y488" s="188">
        <f t="shared" si="691"/>
        <v>0</v>
      </c>
      <c r="Z488" s="388">
        <f t="shared" si="716"/>
        <v>8.4999999999999992E-2</v>
      </c>
      <c r="AA488" s="188">
        <f t="shared" si="717"/>
        <v>0</v>
      </c>
      <c r="AB488" s="188">
        <f t="shared" si="692"/>
        <v>0</v>
      </c>
      <c r="AC488" s="188">
        <f t="shared" si="718"/>
        <v>0</v>
      </c>
      <c r="AD488" s="188">
        <f t="shared" ref="AD488:AE488" si="754">+AD487</f>
        <v>51.5</v>
      </c>
      <c r="AE488" s="188">
        <f t="shared" si="754"/>
        <v>145.09666666666666</v>
      </c>
      <c r="AF488" s="188">
        <f t="shared" si="694"/>
        <v>196.59666666666666</v>
      </c>
      <c r="AG488" s="188">
        <f t="shared" si="695"/>
        <v>325712.93999999989</v>
      </c>
      <c r="AH488" s="188">
        <f t="shared" si="696"/>
        <v>575881.85999999975</v>
      </c>
      <c r="AI488" s="404">
        <f t="shared" si="686"/>
        <v>0</v>
      </c>
      <c r="AJ488" s="404">
        <f t="shared" si="741"/>
        <v>0</v>
      </c>
      <c r="AK488" s="404">
        <f t="shared" si="687"/>
        <v>0</v>
      </c>
      <c r="AL488" s="188">
        <f t="shared" si="697"/>
        <v>0</v>
      </c>
      <c r="AM488" s="317">
        <f t="shared" si="723"/>
        <v>38</v>
      </c>
      <c r="AN488" s="14">
        <f t="shared" si="688"/>
        <v>0</v>
      </c>
      <c r="AO488" s="14">
        <f>IF(W488&lt;=0,0,+$AA$6-$C$2+I488-U488)</f>
        <v>0</v>
      </c>
      <c r="AP488" s="14">
        <f t="shared" si="689"/>
        <v>0</v>
      </c>
      <c r="AS488" s="14">
        <f t="shared" si="720"/>
        <v>0</v>
      </c>
      <c r="AT488" s="14">
        <f t="shared" si="724"/>
        <v>0</v>
      </c>
      <c r="AU488" s="188">
        <f>IF(W488&lt;=0,0,+($O$5+AV487)*$AQ$2/12)</f>
        <v>0</v>
      </c>
      <c r="AV488" s="188">
        <f t="shared" si="725"/>
        <v>0</v>
      </c>
    </row>
    <row r="489" spans="1:49">
      <c r="A489" s="395" t="str">
        <f t="shared" si="675"/>
        <v xml:space="preserve"> </v>
      </c>
      <c r="B489" s="188">
        <f t="shared" si="669"/>
        <v>0</v>
      </c>
      <c r="C489" s="14">
        <f t="shared" si="714"/>
        <v>0</v>
      </c>
      <c r="D489" s="14">
        <f t="shared" si="726"/>
        <v>0</v>
      </c>
      <c r="E489" s="14">
        <f t="shared" si="715"/>
        <v>0</v>
      </c>
      <c r="F489" s="14">
        <f t="shared" si="676"/>
        <v>51.5</v>
      </c>
      <c r="G489" s="14">
        <f t="shared" si="672"/>
        <v>145.09666666666666</v>
      </c>
      <c r="H489" s="14">
        <f t="shared" si="673"/>
        <v>196.59666666666666</v>
      </c>
      <c r="I489" s="188">
        <f t="shared" si="677"/>
        <v>123176.71000000017</v>
      </c>
      <c r="J489" s="188">
        <f t="shared" si="678"/>
        <v>135388.14000000001</v>
      </c>
      <c r="K489" s="188">
        <f t="shared" si="679"/>
        <v>0</v>
      </c>
      <c r="L489" s="317">
        <f t="shared" si="659"/>
        <v>38</v>
      </c>
      <c r="M489" s="317">
        <f>IF(N489&lt;&gt;"",IF(N489=$O$5,0,+M488+1),0)</f>
        <v>461</v>
      </c>
      <c r="N489" s="188">
        <f t="shared" si="748"/>
        <v>0</v>
      </c>
      <c r="O489" s="188">
        <f>IF($O$11&lt;=A489,IF(+$W488&lt;=0,0,$O$8),0)</f>
        <v>0</v>
      </c>
      <c r="P489" s="188">
        <f t="shared" si="727"/>
        <v>0</v>
      </c>
      <c r="Q489" s="188">
        <f>IF($O$11&lt;=A489,ROUND(N489*($O$7/12),2),0)</f>
        <v>0</v>
      </c>
      <c r="R489" s="188">
        <f t="shared" si="683"/>
        <v>51.5</v>
      </c>
      <c r="S489" s="188">
        <f t="shared" si="684"/>
        <v>145.09666666666666</v>
      </c>
      <c r="T489" s="188">
        <f t="shared" si="680"/>
        <v>196.59666666666666</v>
      </c>
      <c r="U489" s="188">
        <f t="shared" si="728"/>
        <v>325712.93999999989</v>
      </c>
      <c r="V489" s="188">
        <f t="shared" si="729"/>
        <v>575881.85999999975</v>
      </c>
      <c r="W489" s="188">
        <f t="shared" si="681"/>
        <v>0</v>
      </c>
      <c r="X489" s="395" t="str">
        <f t="shared" si="721"/>
        <v xml:space="preserve"> </v>
      </c>
      <c r="Y489" s="188">
        <f t="shared" si="691"/>
        <v>0</v>
      </c>
      <c r="Z489" s="388">
        <f t="shared" si="716"/>
        <v>8.4999999999999992E-2</v>
      </c>
      <c r="AA489" s="188">
        <f t="shared" si="717"/>
        <v>0</v>
      </c>
      <c r="AB489" s="188">
        <f t="shared" si="692"/>
        <v>0</v>
      </c>
      <c r="AC489" s="188">
        <f t="shared" si="718"/>
        <v>0</v>
      </c>
      <c r="AD489" s="188">
        <f t="shared" ref="AD489:AE489" si="755">+AD488</f>
        <v>51.5</v>
      </c>
      <c r="AE489" s="188">
        <f t="shared" si="755"/>
        <v>145.09666666666666</v>
      </c>
      <c r="AF489" s="188">
        <f t="shared" si="694"/>
        <v>196.59666666666666</v>
      </c>
      <c r="AG489" s="188">
        <f t="shared" si="695"/>
        <v>325712.93999999989</v>
      </c>
      <c r="AH489" s="188">
        <f t="shared" si="696"/>
        <v>575881.85999999975</v>
      </c>
      <c r="AI489" s="404">
        <f t="shared" si="686"/>
        <v>0</v>
      </c>
      <c r="AJ489" s="404">
        <f t="shared" si="741"/>
        <v>0</v>
      </c>
      <c r="AK489" s="404">
        <f t="shared" si="687"/>
        <v>0</v>
      </c>
      <c r="AL489" s="188">
        <f t="shared" si="697"/>
        <v>0</v>
      </c>
      <c r="AM489" s="317">
        <f t="shared" si="723"/>
        <v>38</v>
      </c>
      <c r="AN489" s="14">
        <f t="shared" si="688"/>
        <v>0</v>
      </c>
      <c r="AO489" s="14">
        <f>IF(W489&lt;=0,0,+$AA$6-$C$2+I489-U489)</f>
        <v>0</v>
      </c>
      <c r="AP489" s="14">
        <f t="shared" si="689"/>
        <v>0</v>
      </c>
      <c r="AS489" s="14">
        <f t="shared" si="720"/>
        <v>0</v>
      </c>
      <c r="AT489" s="14">
        <f t="shared" si="724"/>
        <v>0</v>
      </c>
      <c r="AU489" s="188">
        <f>IF(W489&lt;=0,0,+($O$5+AV488)*$AQ$2/12)</f>
        <v>0</v>
      </c>
      <c r="AV489" s="188">
        <f t="shared" si="725"/>
        <v>0</v>
      </c>
    </row>
    <row r="490" spans="1:49">
      <c r="A490" s="395" t="str">
        <f t="shared" si="675"/>
        <v xml:space="preserve"> </v>
      </c>
      <c r="B490" s="188">
        <f t="shared" si="669"/>
        <v>0</v>
      </c>
      <c r="C490" s="14">
        <f t="shared" si="714"/>
        <v>0</v>
      </c>
      <c r="D490" s="14">
        <f t="shared" si="726"/>
        <v>0</v>
      </c>
      <c r="E490" s="14">
        <f t="shared" si="715"/>
        <v>0</v>
      </c>
      <c r="F490" s="14">
        <f t="shared" si="676"/>
        <v>51.5</v>
      </c>
      <c r="G490" s="14">
        <f t="shared" si="672"/>
        <v>145.09666666666666</v>
      </c>
      <c r="H490" s="14">
        <f t="shared" si="673"/>
        <v>196.59666666666666</v>
      </c>
      <c r="I490" s="188">
        <f t="shared" si="677"/>
        <v>123176.71000000017</v>
      </c>
      <c r="J490" s="188">
        <f t="shared" si="678"/>
        <v>135388.14000000001</v>
      </c>
      <c r="K490" s="188">
        <f t="shared" si="679"/>
        <v>0</v>
      </c>
      <c r="L490" s="317">
        <f t="shared" si="659"/>
        <v>38</v>
      </c>
      <c r="M490" s="317">
        <f>IF(N490&lt;&gt;"",IF(N490=$O$5,0,+M489+1),0)</f>
        <v>462</v>
      </c>
      <c r="N490" s="188">
        <f t="shared" si="748"/>
        <v>0</v>
      </c>
      <c r="O490" s="188">
        <f>IF($O$11&lt;=A490,IF(+$W489&lt;=0,0,$O$8),0)</f>
        <v>0</v>
      </c>
      <c r="P490" s="188">
        <f t="shared" si="727"/>
        <v>0</v>
      </c>
      <c r="Q490" s="188">
        <f>IF($O$11&lt;=A490,ROUND(N490*($O$7/12),2),0)</f>
        <v>0</v>
      </c>
      <c r="R490" s="188">
        <f t="shared" si="683"/>
        <v>51.5</v>
      </c>
      <c r="S490" s="188">
        <f t="shared" si="684"/>
        <v>145.09666666666666</v>
      </c>
      <c r="T490" s="188">
        <f t="shared" si="680"/>
        <v>196.59666666666666</v>
      </c>
      <c r="U490" s="188">
        <f t="shared" si="728"/>
        <v>325712.93999999989</v>
      </c>
      <c r="V490" s="188">
        <f t="shared" si="729"/>
        <v>575881.85999999975</v>
      </c>
      <c r="W490" s="188">
        <f t="shared" si="681"/>
        <v>0</v>
      </c>
      <c r="X490" s="395" t="str">
        <f t="shared" si="721"/>
        <v xml:space="preserve"> </v>
      </c>
      <c r="Y490" s="188">
        <f t="shared" si="691"/>
        <v>0</v>
      </c>
      <c r="Z490" s="388">
        <f t="shared" si="716"/>
        <v>8.4999999999999992E-2</v>
      </c>
      <c r="AA490" s="188">
        <f t="shared" si="717"/>
        <v>0</v>
      </c>
      <c r="AB490" s="188">
        <f t="shared" si="692"/>
        <v>0</v>
      </c>
      <c r="AC490" s="188">
        <f t="shared" si="718"/>
        <v>0</v>
      </c>
      <c r="AD490" s="188">
        <f t="shared" ref="AD490:AE490" si="756">+AD489</f>
        <v>51.5</v>
      </c>
      <c r="AE490" s="188">
        <f t="shared" si="756"/>
        <v>145.09666666666666</v>
      </c>
      <c r="AF490" s="188">
        <f t="shared" si="694"/>
        <v>196.59666666666666</v>
      </c>
      <c r="AG490" s="188">
        <f t="shared" si="695"/>
        <v>325712.93999999989</v>
      </c>
      <c r="AH490" s="188">
        <f t="shared" si="696"/>
        <v>575881.85999999975</v>
      </c>
      <c r="AI490" s="404">
        <f t="shared" si="686"/>
        <v>0</v>
      </c>
      <c r="AJ490" s="404">
        <f t="shared" si="741"/>
        <v>0</v>
      </c>
      <c r="AK490" s="404">
        <f t="shared" si="687"/>
        <v>0</v>
      </c>
      <c r="AL490" s="188">
        <f t="shared" si="697"/>
        <v>0</v>
      </c>
      <c r="AM490" s="317">
        <f t="shared" si="723"/>
        <v>38</v>
      </c>
      <c r="AN490" s="14">
        <f t="shared" si="688"/>
        <v>0</v>
      </c>
      <c r="AO490" s="14">
        <f>IF(W490&lt;=0,0,+$AA$6-$C$2+I490-U490)</f>
        <v>0</v>
      </c>
      <c r="AP490" s="14">
        <f t="shared" si="689"/>
        <v>0</v>
      </c>
      <c r="AS490" s="14">
        <f t="shared" si="720"/>
        <v>0</v>
      </c>
      <c r="AT490" s="14">
        <f t="shared" si="724"/>
        <v>0</v>
      </c>
      <c r="AU490" s="188">
        <f>IF(W490&lt;=0,0,+($O$5+AV489)*$AQ$2/12)</f>
        <v>0</v>
      </c>
      <c r="AV490" s="188">
        <f t="shared" si="725"/>
        <v>0</v>
      </c>
    </row>
    <row r="491" spans="1:49">
      <c r="A491" s="395" t="str">
        <f t="shared" si="675"/>
        <v xml:space="preserve"> </v>
      </c>
      <c r="B491" s="188">
        <f t="shared" si="669"/>
        <v>0</v>
      </c>
      <c r="C491" s="14">
        <f t="shared" si="714"/>
        <v>0</v>
      </c>
      <c r="D491" s="14">
        <f t="shared" si="726"/>
        <v>0</v>
      </c>
      <c r="E491" s="14">
        <f t="shared" si="715"/>
        <v>0</v>
      </c>
      <c r="F491" s="14">
        <f t="shared" si="676"/>
        <v>51.5</v>
      </c>
      <c r="G491" s="14">
        <f t="shared" si="672"/>
        <v>145.09666666666666</v>
      </c>
      <c r="H491" s="14">
        <f t="shared" si="673"/>
        <v>196.59666666666666</v>
      </c>
      <c r="I491" s="188">
        <f t="shared" si="677"/>
        <v>123176.71000000017</v>
      </c>
      <c r="J491" s="188">
        <f t="shared" si="678"/>
        <v>135388.14000000001</v>
      </c>
      <c r="K491" s="188">
        <f t="shared" si="679"/>
        <v>0</v>
      </c>
      <c r="L491" s="317">
        <f t="shared" si="659"/>
        <v>38</v>
      </c>
      <c r="M491" s="317">
        <f>IF(N491&lt;&gt;"",IF(N491=$O$5,0,+M490+1),0)</f>
        <v>463</v>
      </c>
      <c r="N491" s="188">
        <f t="shared" si="748"/>
        <v>0</v>
      </c>
      <c r="O491" s="188">
        <f>IF($O$11&lt;=A491,IF(+$W490&lt;=0,0,$O$8),0)</f>
        <v>0</v>
      </c>
      <c r="P491" s="188">
        <f t="shared" si="727"/>
        <v>0</v>
      </c>
      <c r="Q491" s="188">
        <f>IF($O$11&lt;=A491,ROUND(N491*($O$7/12),2),0)</f>
        <v>0</v>
      </c>
      <c r="R491" s="188">
        <f t="shared" si="683"/>
        <v>51.5</v>
      </c>
      <c r="S491" s="188">
        <f t="shared" si="684"/>
        <v>145.09666666666666</v>
      </c>
      <c r="T491" s="188">
        <f t="shared" si="680"/>
        <v>196.59666666666666</v>
      </c>
      <c r="U491" s="188">
        <f t="shared" si="728"/>
        <v>325712.93999999989</v>
      </c>
      <c r="V491" s="188">
        <f t="shared" si="729"/>
        <v>575881.85999999975</v>
      </c>
      <c r="W491" s="188">
        <f t="shared" si="681"/>
        <v>0</v>
      </c>
      <c r="X491" s="395" t="str">
        <f t="shared" si="721"/>
        <v xml:space="preserve"> </v>
      </c>
      <c r="Y491" s="188">
        <f t="shared" si="691"/>
        <v>0</v>
      </c>
      <c r="Z491" s="388">
        <f t="shared" si="716"/>
        <v>8.4999999999999992E-2</v>
      </c>
      <c r="AA491" s="188">
        <f t="shared" si="717"/>
        <v>0</v>
      </c>
      <c r="AB491" s="188">
        <f t="shared" si="692"/>
        <v>0</v>
      </c>
      <c r="AC491" s="188">
        <f t="shared" si="718"/>
        <v>0</v>
      </c>
      <c r="AD491" s="188">
        <f t="shared" ref="AD491:AE491" si="757">+AD490</f>
        <v>51.5</v>
      </c>
      <c r="AE491" s="188">
        <f t="shared" si="757"/>
        <v>145.09666666666666</v>
      </c>
      <c r="AF491" s="188">
        <f t="shared" si="694"/>
        <v>196.59666666666666</v>
      </c>
      <c r="AG491" s="188">
        <f t="shared" si="695"/>
        <v>325712.93999999989</v>
      </c>
      <c r="AH491" s="188">
        <f t="shared" si="696"/>
        <v>575881.85999999975</v>
      </c>
      <c r="AI491" s="404">
        <f t="shared" si="686"/>
        <v>0</v>
      </c>
      <c r="AJ491" s="404">
        <f t="shared" si="741"/>
        <v>0</v>
      </c>
      <c r="AK491" s="404">
        <f t="shared" si="687"/>
        <v>0</v>
      </c>
      <c r="AL491" s="188">
        <f t="shared" si="697"/>
        <v>0</v>
      </c>
      <c r="AM491" s="317">
        <f t="shared" si="723"/>
        <v>38</v>
      </c>
      <c r="AN491" s="14">
        <f t="shared" si="688"/>
        <v>0</v>
      </c>
      <c r="AO491" s="14">
        <f>IF(W491&lt;=0,0,+$AA$6-$C$2+I491-U491)</f>
        <v>0</v>
      </c>
      <c r="AP491" s="14">
        <f t="shared" si="689"/>
        <v>0</v>
      </c>
      <c r="AS491" s="14">
        <f t="shared" si="720"/>
        <v>0</v>
      </c>
      <c r="AT491" s="14">
        <f t="shared" si="724"/>
        <v>0</v>
      </c>
      <c r="AU491" s="188">
        <f>IF(W491&lt;=0,0,+($O$5+AV490)*$AQ$2/12)</f>
        <v>0</v>
      </c>
      <c r="AV491" s="188">
        <f t="shared" si="725"/>
        <v>0</v>
      </c>
    </row>
    <row r="492" spans="1:49">
      <c r="A492" s="395"/>
      <c r="L492" s="317">
        <f t="shared" si="659"/>
        <v>0</v>
      </c>
      <c r="M492" s="317"/>
      <c r="X492" s="395">
        <f t="shared" si="721"/>
        <v>0</v>
      </c>
      <c r="Y492" s="188">
        <f t="shared" si="691"/>
        <v>0</v>
      </c>
      <c r="Z492" s="388">
        <f t="shared" si="716"/>
        <v>8.4999999999999992E-2</v>
      </c>
      <c r="AA492" s="14">
        <f t="shared" si="717"/>
        <v>0</v>
      </c>
      <c r="AB492" s="14">
        <f t="shared" si="692"/>
        <v>0</v>
      </c>
      <c r="AC492" s="14">
        <f t="shared" si="718"/>
        <v>0</v>
      </c>
      <c r="AD492" s="14">
        <f t="shared" ref="AD492:AE492" si="758">+AD491</f>
        <v>51.5</v>
      </c>
      <c r="AE492" s="14">
        <f t="shared" si="758"/>
        <v>145.09666666666666</v>
      </c>
      <c r="AF492" s="14">
        <f t="shared" si="694"/>
        <v>196.59666666666666</v>
      </c>
      <c r="AG492" s="188">
        <f t="shared" si="695"/>
        <v>325712.93999999989</v>
      </c>
      <c r="AH492" s="188">
        <f t="shared" si="696"/>
        <v>575881.85999999975</v>
      </c>
      <c r="AI492" s="404">
        <f t="shared" si="686"/>
        <v>0</v>
      </c>
      <c r="AJ492" s="404">
        <f t="shared" si="741"/>
        <v>0</v>
      </c>
      <c r="AK492" s="404">
        <f t="shared" si="687"/>
        <v>0</v>
      </c>
      <c r="AL492" s="188">
        <f t="shared" si="697"/>
        <v>0</v>
      </c>
      <c r="AM492" s="317">
        <f t="shared" si="723"/>
        <v>0</v>
      </c>
    </row>
    <row r="493" spans="1:49">
      <c r="A493" s="395"/>
      <c r="L493" s="317">
        <f t="shared" si="659"/>
        <v>0</v>
      </c>
      <c r="M493" s="317"/>
      <c r="X493" s="395">
        <f t="shared" si="721"/>
        <v>0</v>
      </c>
      <c r="Y493" s="188">
        <f t="shared" si="691"/>
        <v>0</v>
      </c>
      <c r="Z493" s="388">
        <f t="shared" si="716"/>
        <v>8.4999999999999992E-2</v>
      </c>
      <c r="AA493" s="14">
        <f t="shared" si="717"/>
        <v>0</v>
      </c>
      <c r="AB493" s="14">
        <f t="shared" si="692"/>
        <v>0</v>
      </c>
      <c r="AC493" s="14">
        <f t="shared" si="718"/>
        <v>0</v>
      </c>
      <c r="AD493" s="14">
        <f t="shared" ref="AD493:AE493" si="759">+AD492</f>
        <v>51.5</v>
      </c>
      <c r="AE493" s="14">
        <f t="shared" si="759"/>
        <v>145.09666666666666</v>
      </c>
      <c r="AF493" s="14">
        <f t="shared" si="694"/>
        <v>196.59666666666666</v>
      </c>
      <c r="AG493" s="188">
        <f t="shared" si="695"/>
        <v>325712.93999999989</v>
      </c>
      <c r="AH493" s="188">
        <f t="shared" si="696"/>
        <v>575881.85999999975</v>
      </c>
      <c r="AI493" s="404">
        <f t="shared" si="686"/>
        <v>0</v>
      </c>
      <c r="AJ493" s="404">
        <f t="shared" si="741"/>
        <v>0</v>
      </c>
      <c r="AK493" s="404">
        <f t="shared" si="687"/>
        <v>0</v>
      </c>
      <c r="AL493" s="188">
        <f t="shared" si="697"/>
        <v>0</v>
      </c>
      <c r="AM493" s="317">
        <f t="shared" si="723"/>
        <v>0</v>
      </c>
    </row>
    <row r="494" spans="1:49">
      <c r="A494" s="395"/>
      <c r="L494" s="317">
        <f t="shared" si="659"/>
        <v>0</v>
      </c>
      <c r="M494" s="317"/>
      <c r="X494" s="395">
        <f t="shared" si="721"/>
        <v>0</v>
      </c>
      <c r="Y494" s="188">
        <f t="shared" si="691"/>
        <v>0</v>
      </c>
      <c r="Z494" s="388">
        <f t="shared" si="716"/>
        <v>8.4999999999999992E-2</v>
      </c>
      <c r="AA494" s="14">
        <f t="shared" si="717"/>
        <v>0</v>
      </c>
      <c r="AB494" s="14">
        <f t="shared" si="692"/>
        <v>0</v>
      </c>
      <c r="AC494" s="14">
        <f t="shared" si="718"/>
        <v>0</v>
      </c>
      <c r="AD494" s="14">
        <f t="shared" ref="AD494:AE494" si="760">+AD493</f>
        <v>51.5</v>
      </c>
      <c r="AE494" s="14">
        <f t="shared" si="760"/>
        <v>145.09666666666666</v>
      </c>
      <c r="AF494" s="14">
        <f t="shared" si="694"/>
        <v>196.59666666666666</v>
      </c>
      <c r="AG494" s="188">
        <f t="shared" si="695"/>
        <v>325712.93999999989</v>
      </c>
      <c r="AH494" s="188">
        <f t="shared" si="696"/>
        <v>575881.85999999975</v>
      </c>
      <c r="AI494" s="404">
        <f t="shared" si="686"/>
        <v>0</v>
      </c>
      <c r="AJ494" s="404">
        <f t="shared" si="741"/>
        <v>0</v>
      </c>
      <c r="AK494" s="404">
        <f t="shared" si="687"/>
        <v>0</v>
      </c>
      <c r="AL494" s="188">
        <f t="shared" si="697"/>
        <v>0</v>
      </c>
      <c r="AM494" s="317">
        <f t="shared" si="723"/>
        <v>0</v>
      </c>
    </row>
    <row r="495" spans="1:49" ht="15.75" thickBot="1">
      <c r="A495" s="398"/>
      <c r="B495" s="237"/>
      <c r="C495" s="21"/>
      <c r="D495" s="21"/>
      <c r="E495" s="21"/>
      <c r="F495" s="21"/>
      <c r="G495" s="21"/>
      <c r="H495" s="21"/>
      <c r="I495" s="237"/>
      <c r="J495" s="237"/>
      <c r="K495" s="237"/>
      <c r="L495" s="318">
        <f t="shared" si="659"/>
        <v>0</v>
      </c>
      <c r="M495" s="318"/>
      <c r="N495" s="237"/>
      <c r="U495" s="237"/>
      <c r="V495" s="237"/>
      <c r="W495" s="237"/>
      <c r="X495" s="398">
        <f t="shared" si="721"/>
        <v>0</v>
      </c>
      <c r="Y495" s="188">
        <f t="shared" si="691"/>
        <v>0</v>
      </c>
      <c r="Z495" s="388">
        <f t="shared" si="716"/>
        <v>8.4999999999999992E-2</v>
      </c>
      <c r="AA495" s="14">
        <f t="shared" si="717"/>
        <v>0</v>
      </c>
      <c r="AB495" s="14">
        <f t="shared" si="692"/>
        <v>0</v>
      </c>
      <c r="AC495" s="14">
        <f t="shared" si="718"/>
        <v>0</v>
      </c>
      <c r="AD495" s="14">
        <f t="shared" ref="AD495:AE495" si="761">+AD494</f>
        <v>51.5</v>
      </c>
      <c r="AE495" s="14">
        <f t="shared" si="761"/>
        <v>145.09666666666666</v>
      </c>
      <c r="AF495" s="14">
        <f t="shared" si="694"/>
        <v>196.59666666666666</v>
      </c>
      <c r="AG495" s="188">
        <f t="shared" si="695"/>
        <v>325712.93999999989</v>
      </c>
      <c r="AH495" s="188">
        <f t="shared" si="696"/>
        <v>575881.85999999975</v>
      </c>
      <c r="AI495" s="404">
        <f t="shared" si="686"/>
        <v>0</v>
      </c>
      <c r="AJ495" s="404">
        <f t="shared" si="741"/>
        <v>0</v>
      </c>
      <c r="AK495" s="404">
        <f t="shared" si="687"/>
        <v>0</v>
      </c>
      <c r="AL495" s="188">
        <f t="shared" si="697"/>
        <v>0</v>
      </c>
      <c r="AM495" s="318">
        <f t="shared" si="723"/>
        <v>0</v>
      </c>
      <c r="AN495" s="21"/>
      <c r="AO495" s="21"/>
      <c r="AP495" s="21"/>
      <c r="AQ495" s="21"/>
      <c r="AR495" s="23"/>
      <c r="AS495" s="21"/>
      <c r="AT495" s="21"/>
      <c r="AU495" s="237"/>
      <c r="AV495" s="237"/>
      <c r="AW495" s="21"/>
    </row>
    <row r="496" spans="1:49">
      <c r="A496" s="395"/>
      <c r="L496" s="317">
        <f t="shared" ref="L496:L559" si="762">IF(MOD(M496,12)=0,M496/12,L495)</f>
        <v>0</v>
      </c>
      <c r="M496" s="317"/>
      <c r="X496" s="395">
        <f t="shared" si="721"/>
        <v>0</v>
      </c>
      <c r="Y496" s="188">
        <f t="shared" si="691"/>
        <v>0</v>
      </c>
      <c r="Z496" s="388">
        <f t="shared" si="716"/>
        <v>8.4999999999999992E-2</v>
      </c>
      <c r="AA496" s="14">
        <f t="shared" si="717"/>
        <v>0</v>
      </c>
      <c r="AB496" s="14">
        <f t="shared" si="692"/>
        <v>0</v>
      </c>
      <c r="AC496" s="14">
        <f t="shared" si="718"/>
        <v>0</v>
      </c>
      <c r="AD496" s="14">
        <f t="shared" ref="AD496:AE496" si="763">+AD495</f>
        <v>51.5</v>
      </c>
      <c r="AE496" s="14">
        <f t="shared" si="763"/>
        <v>145.09666666666666</v>
      </c>
      <c r="AF496" s="14">
        <f t="shared" si="694"/>
        <v>196.59666666666666</v>
      </c>
      <c r="AG496" s="188">
        <f t="shared" si="695"/>
        <v>325712.93999999989</v>
      </c>
      <c r="AH496" s="188">
        <f t="shared" si="696"/>
        <v>575881.85999999975</v>
      </c>
      <c r="AI496" s="404">
        <f t="shared" si="686"/>
        <v>0</v>
      </c>
      <c r="AJ496" s="404">
        <f t="shared" si="741"/>
        <v>0</v>
      </c>
      <c r="AK496" s="404">
        <f t="shared" si="687"/>
        <v>0</v>
      </c>
      <c r="AL496" s="188">
        <f t="shared" si="697"/>
        <v>0</v>
      </c>
      <c r="AM496" s="317">
        <f t="shared" si="723"/>
        <v>0</v>
      </c>
    </row>
    <row r="497" spans="1:49">
      <c r="A497" s="395"/>
      <c r="L497" s="317">
        <f t="shared" si="762"/>
        <v>0</v>
      </c>
      <c r="M497" s="317"/>
      <c r="X497" s="395">
        <f t="shared" si="721"/>
        <v>0</v>
      </c>
      <c r="Y497" s="188">
        <f t="shared" si="691"/>
        <v>0</v>
      </c>
      <c r="Z497" s="388">
        <f t="shared" si="716"/>
        <v>8.4999999999999992E-2</v>
      </c>
      <c r="AA497" s="14">
        <f t="shared" si="717"/>
        <v>0</v>
      </c>
      <c r="AB497" s="14">
        <f t="shared" si="692"/>
        <v>0</v>
      </c>
      <c r="AC497" s="14">
        <f t="shared" si="718"/>
        <v>0</v>
      </c>
      <c r="AD497" s="14">
        <f t="shared" ref="AD497:AE497" si="764">+AD496</f>
        <v>51.5</v>
      </c>
      <c r="AE497" s="14">
        <f t="shared" si="764"/>
        <v>145.09666666666666</v>
      </c>
      <c r="AF497" s="14">
        <f t="shared" si="694"/>
        <v>196.59666666666666</v>
      </c>
      <c r="AG497" s="188">
        <f t="shared" si="695"/>
        <v>325712.93999999989</v>
      </c>
      <c r="AH497" s="188">
        <f t="shared" si="696"/>
        <v>575881.85999999975</v>
      </c>
      <c r="AI497" s="404">
        <f t="shared" si="686"/>
        <v>0</v>
      </c>
      <c r="AJ497" s="404">
        <f t="shared" si="741"/>
        <v>0</v>
      </c>
      <c r="AK497" s="404">
        <f t="shared" si="687"/>
        <v>0</v>
      </c>
      <c r="AL497" s="188">
        <f t="shared" si="697"/>
        <v>0</v>
      </c>
      <c r="AM497" s="317">
        <f t="shared" si="723"/>
        <v>0</v>
      </c>
    </row>
    <row r="498" spans="1:49">
      <c r="A498" s="395"/>
      <c r="L498" s="317">
        <f t="shared" si="762"/>
        <v>0</v>
      </c>
      <c r="M498" s="317"/>
      <c r="X498" s="395">
        <f t="shared" si="721"/>
        <v>0</v>
      </c>
      <c r="Y498" s="188">
        <f t="shared" si="691"/>
        <v>0</v>
      </c>
      <c r="Z498" s="388">
        <f t="shared" si="716"/>
        <v>8.4999999999999992E-2</v>
      </c>
      <c r="AA498" s="14">
        <f t="shared" si="717"/>
        <v>0</v>
      </c>
      <c r="AB498" s="14">
        <f t="shared" si="692"/>
        <v>0</v>
      </c>
      <c r="AC498" s="14">
        <f t="shared" si="718"/>
        <v>0</v>
      </c>
      <c r="AD498" s="14">
        <f t="shared" ref="AD498:AE498" si="765">+AD497</f>
        <v>51.5</v>
      </c>
      <c r="AE498" s="14">
        <f t="shared" si="765"/>
        <v>145.09666666666666</v>
      </c>
      <c r="AF498" s="14">
        <f t="shared" si="694"/>
        <v>196.59666666666666</v>
      </c>
      <c r="AG498" s="188">
        <f t="shared" si="695"/>
        <v>325712.93999999989</v>
      </c>
      <c r="AH498" s="188">
        <f t="shared" si="696"/>
        <v>575881.85999999975</v>
      </c>
      <c r="AI498" s="404">
        <f t="shared" si="686"/>
        <v>0</v>
      </c>
      <c r="AJ498" s="404">
        <f t="shared" si="741"/>
        <v>0</v>
      </c>
      <c r="AK498" s="404">
        <f t="shared" si="687"/>
        <v>0</v>
      </c>
      <c r="AL498" s="188">
        <f t="shared" si="697"/>
        <v>0</v>
      </c>
      <c r="AM498" s="317">
        <f t="shared" si="723"/>
        <v>0</v>
      </c>
    </row>
    <row r="499" spans="1:49">
      <c r="A499" s="395"/>
      <c r="L499" s="317">
        <f t="shared" si="762"/>
        <v>0</v>
      </c>
      <c r="M499" s="317"/>
      <c r="X499" s="395">
        <f t="shared" si="721"/>
        <v>0</v>
      </c>
      <c r="Y499" s="188">
        <f t="shared" si="691"/>
        <v>0</v>
      </c>
      <c r="Z499" s="388">
        <f t="shared" si="716"/>
        <v>8.4999999999999992E-2</v>
      </c>
      <c r="AA499" s="14">
        <f t="shared" si="717"/>
        <v>0</v>
      </c>
      <c r="AB499" s="14">
        <f t="shared" si="692"/>
        <v>0</v>
      </c>
      <c r="AC499" s="14">
        <f t="shared" si="718"/>
        <v>0</v>
      </c>
      <c r="AD499" s="14">
        <f t="shared" ref="AD499:AE499" si="766">+AD498</f>
        <v>51.5</v>
      </c>
      <c r="AE499" s="14">
        <f t="shared" si="766"/>
        <v>145.09666666666666</v>
      </c>
      <c r="AF499" s="14">
        <f t="shared" si="694"/>
        <v>196.59666666666666</v>
      </c>
      <c r="AG499" s="188">
        <f t="shared" si="695"/>
        <v>325712.93999999989</v>
      </c>
      <c r="AH499" s="188">
        <f t="shared" si="696"/>
        <v>575881.85999999975</v>
      </c>
      <c r="AI499" s="404">
        <f t="shared" si="686"/>
        <v>0</v>
      </c>
      <c r="AJ499" s="404">
        <f t="shared" si="741"/>
        <v>0</v>
      </c>
      <c r="AK499" s="404">
        <f t="shared" si="687"/>
        <v>0</v>
      </c>
      <c r="AL499" s="188">
        <f t="shared" si="697"/>
        <v>0</v>
      </c>
      <c r="AM499" s="317">
        <f t="shared" si="723"/>
        <v>0</v>
      </c>
    </row>
    <row r="500" spans="1:49">
      <c r="A500" s="395"/>
      <c r="L500" s="317">
        <f t="shared" si="762"/>
        <v>0</v>
      </c>
      <c r="M500" s="317"/>
      <c r="X500" s="395">
        <f t="shared" si="721"/>
        <v>0</v>
      </c>
      <c r="Y500" s="188">
        <f t="shared" si="691"/>
        <v>0</v>
      </c>
      <c r="Z500" s="388">
        <f t="shared" si="716"/>
        <v>8.4999999999999992E-2</v>
      </c>
      <c r="AA500" s="14">
        <f t="shared" si="717"/>
        <v>0</v>
      </c>
      <c r="AB500" s="14">
        <f t="shared" si="692"/>
        <v>0</v>
      </c>
      <c r="AC500" s="14">
        <f t="shared" si="718"/>
        <v>0</v>
      </c>
      <c r="AD500" s="14">
        <f t="shared" ref="AD500:AE500" si="767">+AD499</f>
        <v>51.5</v>
      </c>
      <c r="AE500" s="14">
        <f t="shared" si="767"/>
        <v>145.09666666666666</v>
      </c>
      <c r="AF500" s="14">
        <f t="shared" si="694"/>
        <v>196.59666666666666</v>
      </c>
      <c r="AG500" s="188">
        <f t="shared" si="695"/>
        <v>325712.93999999989</v>
      </c>
      <c r="AH500" s="188">
        <f t="shared" si="696"/>
        <v>575881.85999999975</v>
      </c>
      <c r="AI500" s="404">
        <f t="shared" si="686"/>
        <v>0</v>
      </c>
      <c r="AJ500" s="404">
        <f t="shared" si="741"/>
        <v>0</v>
      </c>
      <c r="AK500" s="404">
        <f t="shared" si="687"/>
        <v>0</v>
      </c>
      <c r="AL500" s="188">
        <f t="shared" si="697"/>
        <v>0</v>
      </c>
      <c r="AM500" s="317">
        <f t="shared" si="723"/>
        <v>0</v>
      </c>
    </row>
    <row r="501" spans="1:49">
      <c r="A501" s="395"/>
      <c r="L501" s="317">
        <f t="shared" si="762"/>
        <v>0</v>
      </c>
      <c r="M501" s="317"/>
      <c r="X501" s="395">
        <f t="shared" si="721"/>
        <v>0</v>
      </c>
      <c r="Y501" s="188">
        <f t="shared" si="691"/>
        <v>0</v>
      </c>
      <c r="Z501" s="388">
        <f t="shared" si="716"/>
        <v>8.4999999999999992E-2</v>
      </c>
      <c r="AA501" s="14">
        <f t="shared" si="717"/>
        <v>0</v>
      </c>
      <c r="AB501" s="14">
        <f t="shared" si="692"/>
        <v>0</v>
      </c>
      <c r="AC501" s="14">
        <f t="shared" si="718"/>
        <v>0</v>
      </c>
      <c r="AD501" s="14">
        <f t="shared" ref="AD501:AE501" si="768">+AD500</f>
        <v>51.5</v>
      </c>
      <c r="AE501" s="14">
        <f t="shared" si="768"/>
        <v>145.09666666666666</v>
      </c>
      <c r="AF501" s="14">
        <f t="shared" si="694"/>
        <v>196.59666666666666</v>
      </c>
      <c r="AG501" s="188">
        <f t="shared" si="695"/>
        <v>325712.93999999989</v>
      </c>
      <c r="AH501" s="188">
        <f t="shared" si="696"/>
        <v>575881.85999999975</v>
      </c>
      <c r="AI501" s="404">
        <f t="shared" si="686"/>
        <v>0</v>
      </c>
      <c r="AJ501" s="404">
        <f t="shared" si="741"/>
        <v>0</v>
      </c>
      <c r="AK501" s="404">
        <f t="shared" si="687"/>
        <v>0</v>
      </c>
      <c r="AL501" s="188">
        <f t="shared" si="697"/>
        <v>0</v>
      </c>
      <c r="AM501" s="317">
        <f t="shared" si="723"/>
        <v>0</v>
      </c>
    </row>
    <row r="502" spans="1:49">
      <c r="A502" s="395"/>
      <c r="L502" s="317">
        <f t="shared" si="762"/>
        <v>0</v>
      </c>
      <c r="M502" s="317"/>
      <c r="X502" s="395">
        <f t="shared" si="721"/>
        <v>0</v>
      </c>
      <c r="Y502" s="188">
        <f t="shared" si="691"/>
        <v>0</v>
      </c>
      <c r="Z502" s="388">
        <f t="shared" si="716"/>
        <v>8.4999999999999992E-2</v>
      </c>
      <c r="AA502" s="14">
        <f t="shared" si="717"/>
        <v>0</v>
      </c>
      <c r="AB502" s="14">
        <f t="shared" si="692"/>
        <v>0</v>
      </c>
      <c r="AC502" s="14">
        <f t="shared" si="718"/>
        <v>0</v>
      </c>
      <c r="AD502" s="14">
        <f t="shared" ref="AD502:AE502" si="769">+AD501</f>
        <v>51.5</v>
      </c>
      <c r="AE502" s="14">
        <f t="shared" si="769"/>
        <v>145.09666666666666</v>
      </c>
      <c r="AF502" s="14">
        <f t="shared" si="694"/>
        <v>196.59666666666666</v>
      </c>
      <c r="AG502" s="188">
        <f t="shared" si="695"/>
        <v>325712.93999999989</v>
      </c>
      <c r="AH502" s="188">
        <f t="shared" si="696"/>
        <v>575881.85999999975</v>
      </c>
      <c r="AI502" s="404">
        <f t="shared" si="686"/>
        <v>0</v>
      </c>
      <c r="AJ502" s="404">
        <f t="shared" si="741"/>
        <v>0</v>
      </c>
      <c r="AK502" s="404">
        <f t="shared" si="687"/>
        <v>0</v>
      </c>
      <c r="AL502" s="188">
        <f t="shared" si="697"/>
        <v>0</v>
      </c>
      <c r="AM502" s="317">
        <f t="shared" si="723"/>
        <v>0</v>
      </c>
    </row>
    <row r="503" spans="1:49">
      <c r="A503" s="395"/>
      <c r="L503" s="317">
        <f t="shared" si="762"/>
        <v>0</v>
      </c>
      <c r="M503" s="317"/>
      <c r="X503" s="395">
        <f t="shared" si="721"/>
        <v>0</v>
      </c>
      <c r="Y503" s="188">
        <f t="shared" si="691"/>
        <v>0</v>
      </c>
      <c r="Z503" s="388">
        <f t="shared" si="716"/>
        <v>8.4999999999999992E-2</v>
      </c>
      <c r="AA503" s="14">
        <f t="shared" si="717"/>
        <v>0</v>
      </c>
      <c r="AB503" s="14">
        <f t="shared" si="692"/>
        <v>0</v>
      </c>
      <c r="AC503" s="14">
        <f t="shared" si="718"/>
        <v>0</v>
      </c>
      <c r="AD503" s="14">
        <f t="shared" ref="AD503:AE503" si="770">+AD502</f>
        <v>51.5</v>
      </c>
      <c r="AE503" s="14">
        <f t="shared" si="770"/>
        <v>145.09666666666666</v>
      </c>
      <c r="AF503" s="14">
        <f t="shared" si="694"/>
        <v>196.59666666666666</v>
      </c>
      <c r="AG503" s="188">
        <f t="shared" si="695"/>
        <v>325712.93999999989</v>
      </c>
      <c r="AH503" s="188">
        <f t="shared" si="696"/>
        <v>575881.85999999975</v>
      </c>
      <c r="AI503" s="404">
        <f t="shared" si="686"/>
        <v>0</v>
      </c>
      <c r="AJ503" s="404">
        <f t="shared" si="741"/>
        <v>0</v>
      </c>
      <c r="AK503" s="404">
        <f t="shared" si="687"/>
        <v>0</v>
      </c>
      <c r="AL503" s="188">
        <f t="shared" si="697"/>
        <v>0</v>
      </c>
      <c r="AM503" s="317">
        <f t="shared" si="723"/>
        <v>0</v>
      </c>
    </row>
    <row r="504" spans="1:49">
      <c r="A504" s="395"/>
      <c r="L504" s="317">
        <f t="shared" si="762"/>
        <v>0</v>
      </c>
      <c r="M504" s="317"/>
      <c r="X504" s="395">
        <f t="shared" si="721"/>
        <v>0</v>
      </c>
      <c r="Y504" s="188">
        <f t="shared" si="691"/>
        <v>0</v>
      </c>
      <c r="Z504" s="388">
        <f t="shared" si="716"/>
        <v>8.4999999999999992E-2</v>
      </c>
      <c r="AA504" s="14">
        <f t="shared" si="717"/>
        <v>0</v>
      </c>
      <c r="AB504" s="14">
        <f t="shared" si="692"/>
        <v>0</v>
      </c>
      <c r="AC504" s="14">
        <f t="shared" si="718"/>
        <v>0</v>
      </c>
      <c r="AD504" s="14">
        <f t="shared" ref="AD504:AE504" si="771">+AD503</f>
        <v>51.5</v>
      </c>
      <c r="AE504" s="14">
        <f t="shared" si="771"/>
        <v>145.09666666666666</v>
      </c>
      <c r="AF504" s="14">
        <f t="shared" si="694"/>
        <v>196.59666666666666</v>
      </c>
      <c r="AG504" s="188">
        <f t="shared" si="695"/>
        <v>325712.93999999989</v>
      </c>
      <c r="AH504" s="188">
        <f t="shared" si="696"/>
        <v>575881.85999999975</v>
      </c>
      <c r="AI504" s="404">
        <f t="shared" si="686"/>
        <v>0</v>
      </c>
      <c r="AJ504" s="404">
        <f t="shared" si="741"/>
        <v>0</v>
      </c>
      <c r="AK504" s="404">
        <f t="shared" si="687"/>
        <v>0</v>
      </c>
      <c r="AL504" s="188">
        <f t="shared" si="697"/>
        <v>0</v>
      </c>
      <c r="AM504" s="317">
        <f t="shared" si="723"/>
        <v>0</v>
      </c>
    </row>
    <row r="505" spans="1:49">
      <c r="A505" s="395"/>
      <c r="L505" s="317">
        <f t="shared" si="762"/>
        <v>0</v>
      </c>
      <c r="M505" s="317"/>
      <c r="X505" s="395">
        <f t="shared" si="721"/>
        <v>0</v>
      </c>
      <c r="Y505" s="188">
        <f t="shared" si="691"/>
        <v>0</v>
      </c>
      <c r="Z505" s="388">
        <f t="shared" si="716"/>
        <v>8.4999999999999992E-2</v>
      </c>
      <c r="AA505" s="14">
        <f t="shared" si="717"/>
        <v>0</v>
      </c>
      <c r="AB505" s="14">
        <f t="shared" si="692"/>
        <v>0</v>
      </c>
      <c r="AC505" s="14">
        <f t="shared" si="718"/>
        <v>0</v>
      </c>
      <c r="AD505" s="14">
        <f t="shared" ref="AD505:AE505" si="772">+AD504</f>
        <v>51.5</v>
      </c>
      <c r="AE505" s="14">
        <f t="shared" si="772"/>
        <v>145.09666666666666</v>
      </c>
      <c r="AF505" s="14">
        <f t="shared" si="694"/>
        <v>196.59666666666666</v>
      </c>
      <c r="AG505" s="188">
        <f t="shared" si="695"/>
        <v>325712.93999999989</v>
      </c>
      <c r="AH505" s="188">
        <f t="shared" si="696"/>
        <v>575881.85999999975</v>
      </c>
      <c r="AI505" s="404">
        <f t="shared" si="686"/>
        <v>0</v>
      </c>
      <c r="AJ505" s="404">
        <f t="shared" si="741"/>
        <v>0</v>
      </c>
      <c r="AK505" s="404">
        <f t="shared" si="687"/>
        <v>0</v>
      </c>
      <c r="AL505" s="188">
        <f t="shared" si="697"/>
        <v>0</v>
      </c>
      <c r="AM505" s="317">
        <f t="shared" si="723"/>
        <v>0</v>
      </c>
    </row>
    <row r="506" spans="1:49">
      <c r="A506" s="395"/>
      <c r="L506" s="317">
        <f t="shared" si="762"/>
        <v>0</v>
      </c>
      <c r="M506" s="317"/>
      <c r="X506" s="395">
        <f t="shared" si="721"/>
        <v>0</v>
      </c>
      <c r="Y506" s="188">
        <f t="shared" si="691"/>
        <v>0</v>
      </c>
      <c r="Z506" s="388">
        <f t="shared" si="716"/>
        <v>8.4999999999999992E-2</v>
      </c>
      <c r="AA506" s="14">
        <f t="shared" si="717"/>
        <v>0</v>
      </c>
      <c r="AB506" s="14">
        <f t="shared" si="692"/>
        <v>0</v>
      </c>
      <c r="AC506" s="14">
        <f t="shared" si="718"/>
        <v>0</v>
      </c>
      <c r="AD506" s="14">
        <f t="shared" ref="AD506:AE506" si="773">+AD505</f>
        <v>51.5</v>
      </c>
      <c r="AE506" s="14">
        <f t="shared" si="773"/>
        <v>145.09666666666666</v>
      </c>
      <c r="AF506" s="14">
        <f t="shared" si="694"/>
        <v>196.59666666666666</v>
      </c>
      <c r="AG506" s="188">
        <f t="shared" si="695"/>
        <v>325712.93999999989</v>
      </c>
      <c r="AH506" s="188">
        <f t="shared" si="696"/>
        <v>575881.85999999975</v>
      </c>
      <c r="AI506" s="404">
        <f t="shared" si="686"/>
        <v>0</v>
      </c>
      <c r="AJ506" s="404">
        <f t="shared" si="741"/>
        <v>0</v>
      </c>
      <c r="AK506" s="404">
        <f t="shared" si="687"/>
        <v>0</v>
      </c>
      <c r="AL506" s="188">
        <f t="shared" si="697"/>
        <v>0</v>
      </c>
      <c r="AM506" s="317">
        <f t="shared" si="723"/>
        <v>0</v>
      </c>
    </row>
    <row r="507" spans="1:49" ht="15.75" thickBot="1">
      <c r="A507" s="398"/>
      <c r="B507" s="237"/>
      <c r="C507" s="21"/>
      <c r="D507" s="21"/>
      <c r="E507" s="21"/>
      <c r="F507" s="21"/>
      <c r="G507" s="21"/>
      <c r="H507" s="21"/>
      <c r="I507" s="237"/>
      <c r="J507" s="237"/>
      <c r="K507" s="237"/>
      <c r="L507" s="318">
        <f t="shared" si="762"/>
        <v>0</v>
      </c>
      <c r="M507" s="318"/>
      <c r="N507" s="237"/>
      <c r="U507" s="237"/>
      <c r="V507" s="237"/>
      <c r="W507" s="237"/>
      <c r="X507" s="398">
        <f t="shared" si="721"/>
        <v>0</v>
      </c>
      <c r="Y507" s="188">
        <f t="shared" si="691"/>
        <v>0</v>
      </c>
      <c r="Z507" s="388">
        <f t="shared" si="716"/>
        <v>8.4999999999999992E-2</v>
      </c>
      <c r="AA507" s="14">
        <f t="shared" si="717"/>
        <v>0</v>
      </c>
      <c r="AB507" s="14">
        <f t="shared" si="692"/>
        <v>0</v>
      </c>
      <c r="AC507" s="14">
        <f t="shared" si="718"/>
        <v>0</v>
      </c>
      <c r="AD507" s="14">
        <f t="shared" ref="AD507:AE507" si="774">+AD506</f>
        <v>51.5</v>
      </c>
      <c r="AE507" s="14">
        <f t="shared" si="774"/>
        <v>145.09666666666666</v>
      </c>
      <c r="AF507" s="14">
        <f t="shared" si="694"/>
        <v>196.59666666666666</v>
      </c>
      <c r="AG507" s="188">
        <f t="shared" si="695"/>
        <v>325712.93999999989</v>
      </c>
      <c r="AH507" s="188">
        <f t="shared" si="696"/>
        <v>575881.85999999975</v>
      </c>
      <c r="AI507" s="404">
        <f t="shared" si="686"/>
        <v>0</v>
      </c>
      <c r="AJ507" s="404">
        <f t="shared" si="741"/>
        <v>0</v>
      </c>
      <c r="AK507" s="404">
        <f t="shared" si="687"/>
        <v>0</v>
      </c>
      <c r="AL507" s="188">
        <f t="shared" si="697"/>
        <v>0</v>
      </c>
      <c r="AM507" s="318">
        <f t="shared" si="723"/>
        <v>0</v>
      </c>
      <c r="AN507" s="21"/>
      <c r="AO507" s="21"/>
      <c r="AP507" s="21"/>
      <c r="AQ507" s="21"/>
      <c r="AR507" s="23"/>
      <c r="AS507" s="21"/>
      <c r="AT507" s="21"/>
      <c r="AU507" s="237"/>
      <c r="AV507" s="237"/>
      <c r="AW507" s="21"/>
    </row>
    <row r="508" spans="1:49">
      <c r="A508" s="395"/>
      <c r="L508" s="317">
        <f t="shared" si="762"/>
        <v>0</v>
      </c>
      <c r="M508" s="317"/>
      <c r="X508" s="395">
        <f t="shared" si="721"/>
        <v>0</v>
      </c>
      <c r="Y508" s="188">
        <f t="shared" si="691"/>
        <v>0</v>
      </c>
      <c r="Z508" s="388">
        <f t="shared" si="716"/>
        <v>8.4999999999999992E-2</v>
      </c>
      <c r="AA508" s="14">
        <f t="shared" si="717"/>
        <v>0</v>
      </c>
      <c r="AB508" s="14">
        <f t="shared" si="692"/>
        <v>0</v>
      </c>
      <c r="AC508" s="14">
        <f t="shared" si="718"/>
        <v>0</v>
      </c>
      <c r="AD508" s="14">
        <f t="shared" ref="AD508:AE508" si="775">+AD507</f>
        <v>51.5</v>
      </c>
      <c r="AE508" s="14">
        <f t="shared" si="775"/>
        <v>145.09666666666666</v>
      </c>
      <c r="AF508" s="14">
        <f t="shared" si="694"/>
        <v>196.59666666666666</v>
      </c>
      <c r="AG508" s="188">
        <f t="shared" si="695"/>
        <v>325712.93999999989</v>
      </c>
      <c r="AH508" s="188">
        <f t="shared" si="696"/>
        <v>575881.85999999975</v>
      </c>
      <c r="AI508" s="404">
        <f t="shared" si="686"/>
        <v>0</v>
      </c>
      <c r="AJ508" s="404">
        <f t="shared" si="741"/>
        <v>0</v>
      </c>
      <c r="AK508" s="404">
        <f t="shared" si="687"/>
        <v>0</v>
      </c>
      <c r="AL508" s="188">
        <f t="shared" si="697"/>
        <v>0</v>
      </c>
      <c r="AM508" s="317">
        <f t="shared" si="723"/>
        <v>0</v>
      </c>
    </row>
    <row r="509" spans="1:49">
      <c r="A509" s="395"/>
      <c r="L509" s="317">
        <f t="shared" si="762"/>
        <v>0</v>
      </c>
      <c r="M509" s="317"/>
      <c r="X509" s="395">
        <f t="shared" si="721"/>
        <v>0</v>
      </c>
      <c r="Y509" s="188">
        <f t="shared" si="691"/>
        <v>0</v>
      </c>
      <c r="Z509" s="388">
        <f t="shared" si="716"/>
        <v>8.4999999999999992E-2</v>
      </c>
      <c r="AA509" s="14">
        <f t="shared" si="717"/>
        <v>0</v>
      </c>
      <c r="AB509" s="14">
        <f t="shared" si="692"/>
        <v>0</v>
      </c>
      <c r="AC509" s="14">
        <f t="shared" si="718"/>
        <v>0</v>
      </c>
      <c r="AD509" s="14">
        <f t="shared" ref="AD509:AE509" si="776">+AD508</f>
        <v>51.5</v>
      </c>
      <c r="AE509" s="14">
        <f t="shared" si="776"/>
        <v>145.09666666666666</v>
      </c>
      <c r="AF509" s="14">
        <f t="shared" si="694"/>
        <v>196.59666666666666</v>
      </c>
      <c r="AG509" s="188">
        <f t="shared" si="695"/>
        <v>325712.93999999989</v>
      </c>
      <c r="AH509" s="188">
        <f t="shared" si="696"/>
        <v>575881.85999999975</v>
      </c>
      <c r="AI509" s="404">
        <f t="shared" ref="AI509:AI544" si="777">O509-AA509+AI508</f>
        <v>0</v>
      </c>
      <c r="AJ509" s="404">
        <f t="shared" si="741"/>
        <v>0</v>
      </c>
      <c r="AK509" s="404">
        <f t="shared" ref="AK509:AK544" si="778">SUM(AI509:AJ509)</f>
        <v>0</v>
      </c>
      <c r="AL509" s="188">
        <f t="shared" si="697"/>
        <v>0</v>
      </c>
      <c r="AM509" s="317">
        <f t="shared" si="723"/>
        <v>0</v>
      </c>
    </row>
    <row r="510" spans="1:49">
      <c r="A510" s="395"/>
      <c r="L510" s="317">
        <f t="shared" si="762"/>
        <v>0</v>
      </c>
      <c r="M510" s="317"/>
      <c r="X510" s="395">
        <f t="shared" si="721"/>
        <v>0</v>
      </c>
      <c r="Y510" s="188">
        <f t="shared" si="691"/>
        <v>0</v>
      </c>
      <c r="Z510" s="388">
        <f t="shared" si="716"/>
        <v>8.4999999999999992E-2</v>
      </c>
      <c r="AA510" s="14">
        <f t="shared" si="717"/>
        <v>0</v>
      </c>
      <c r="AB510" s="14">
        <f t="shared" si="692"/>
        <v>0</v>
      </c>
      <c r="AC510" s="14">
        <f t="shared" si="718"/>
        <v>0</v>
      </c>
      <c r="AD510" s="14">
        <f t="shared" ref="AD510:AE510" si="779">+AD509</f>
        <v>51.5</v>
      </c>
      <c r="AE510" s="14">
        <f t="shared" si="779"/>
        <v>145.09666666666666</v>
      </c>
      <c r="AF510" s="14">
        <f t="shared" si="694"/>
        <v>196.59666666666666</v>
      </c>
      <c r="AG510" s="188">
        <f t="shared" si="695"/>
        <v>325712.93999999989</v>
      </c>
      <c r="AH510" s="188">
        <f t="shared" si="696"/>
        <v>575881.85999999975</v>
      </c>
      <c r="AI510" s="404">
        <f t="shared" si="777"/>
        <v>0</v>
      </c>
      <c r="AJ510" s="404">
        <f t="shared" si="741"/>
        <v>0</v>
      </c>
      <c r="AK510" s="404">
        <f t="shared" si="778"/>
        <v>0</v>
      </c>
      <c r="AL510" s="188">
        <f t="shared" si="697"/>
        <v>0</v>
      </c>
      <c r="AM510" s="317">
        <f t="shared" si="723"/>
        <v>0</v>
      </c>
    </row>
    <row r="511" spans="1:49">
      <c r="A511" s="395"/>
      <c r="L511" s="317">
        <f t="shared" si="762"/>
        <v>0</v>
      </c>
      <c r="M511" s="317"/>
      <c r="X511" s="395">
        <f t="shared" si="721"/>
        <v>0</v>
      </c>
      <c r="Y511" s="188">
        <f t="shared" ref="Y511:Y544" si="780">IF(+AL510&lt;0,0,+AL510)</f>
        <v>0</v>
      </c>
      <c r="Z511" s="388">
        <f t="shared" si="716"/>
        <v>8.4999999999999992E-2</v>
      </c>
      <c r="AA511" s="14">
        <f t="shared" si="717"/>
        <v>0</v>
      </c>
      <c r="AB511" s="14">
        <f t="shared" ref="AB511:AB544" si="781">+AA511-AC511</f>
        <v>0</v>
      </c>
      <c r="AC511" s="14">
        <f t="shared" si="718"/>
        <v>0</v>
      </c>
      <c r="AD511" s="14">
        <f t="shared" ref="AD511:AE511" si="782">+AD510</f>
        <v>51.5</v>
      </c>
      <c r="AE511" s="14">
        <f t="shared" si="782"/>
        <v>145.09666666666666</v>
      </c>
      <c r="AF511" s="14">
        <f t="shared" ref="AF511:AF544" si="783">SUM(AB511:AE511)</f>
        <v>196.59666666666666</v>
      </c>
      <c r="AG511" s="188">
        <f t="shared" ref="AG511:AG544" si="784">+AB511+AG510</f>
        <v>325712.93999999989</v>
      </c>
      <c r="AH511" s="188">
        <f t="shared" ref="AH511:AH544" si="785">+AH510+AC511</f>
        <v>575881.85999999975</v>
      </c>
      <c r="AI511" s="404">
        <f t="shared" si="777"/>
        <v>0</v>
      </c>
      <c r="AJ511" s="404">
        <f t="shared" si="741"/>
        <v>0</v>
      </c>
      <c r="AK511" s="404">
        <f t="shared" si="778"/>
        <v>0</v>
      </c>
      <c r="AL511" s="188">
        <f t="shared" ref="AL511:AL544" si="786">+Y511-AB511</f>
        <v>0</v>
      </c>
      <c r="AM511" s="317">
        <f t="shared" si="723"/>
        <v>0</v>
      </c>
    </row>
    <row r="512" spans="1:49">
      <c r="A512" s="395"/>
      <c r="L512" s="317">
        <f t="shared" si="762"/>
        <v>0</v>
      </c>
      <c r="M512" s="317"/>
      <c r="X512" s="395">
        <f t="shared" si="721"/>
        <v>0</v>
      </c>
      <c r="Y512" s="188">
        <f t="shared" si="780"/>
        <v>0</v>
      </c>
      <c r="Z512" s="388">
        <f t="shared" si="716"/>
        <v>8.4999999999999992E-2</v>
      </c>
      <c r="AA512" s="14">
        <f t="shared" si="717"/>
        <v>0</v>
      </c>
      <c r="AB512" s="14">
        <f t="shared" si="781"/>
        <v>0</v>
      </c>
      <c r="AC512" s="14">
        <f t="shared" si="718"/>
        <v>0</v>
      </c>
      <c r="AD512" s="14">
        <f t="shared" ref="AD512:AE512" si="787">+AD511</f>
        <v>51.5</v>
      </c>
      <c r="AE512" s="14">
        <f t="shared" si="787"/>
        <v>145.09666666666666</v>
      </c>
      <c r="AF512" s="14">
        <f t="shared" si="783"/>
        <v>196.59666666666666</v>
      </c>
      <c r="AG512" s="188">
        <f t="shared" si="784"/>
        <v>325712.93999999989</v>
      </c>
      <c r="AH512" s="188">
        <f t="shared" si="785"/>
        <v>575881.85999999975</v>
      </c>
      <c r="AI512" s="404">
        <f t="shared" si="777"/>
        <v>0</v>
      </c>
      <c r="AJ512" s="404">
        <f t="shared" si="741"/>
        <v>0</v>
      </c>
      <c r="AK512" s="404">
        <f t="shared" si="778"/>
        <v>0</v>
      </c>
      <c r="AL512" s="188">
        <f t="shared" si="786"/>
        <v>0</v>
      </c>
      <c r="AM512" s="317">
        <f t="shared" si="723"/>
        <v>0</v>
      </c>
    </row>
    <row r="513" spans="1:49">
      <c r="A513" s="395"/>
      <c r="L513" s="317">
        <f t="shared" si="762"/>
        <v>0</v>
      </c>
      <c r="M513" s="317"/>
      <c r="X513" s="395">
        <f t="shared" si="721"/>
        <v>0</v>
      </c>
      <c r="Y513" s="188">
        <f t="shared" si="780"/>
        <v>0</v>
      </c>
      <c r="Z513" s="388">
        <f t="shared" si="716"/>
        <v>8.4999999999999992E-2</v>
      </c>
      <c r="AA513" s="14">
        <f t="shared" si="717"/>
        <v>0</v>
      </c>
      <c r="AB513" s="14">
        <f t="shared" si="781"/>
        <v>0</v>
      </c>
      <c r="AC513" s="14">
        <f t="shared" si="718"/>
        <v>0</v>
      </c>
      <c r="AD513" s="14">
        <f t="shared" ref="AD513:AE513" si="788">+AD512</f>
        <v>51.5</v>
      </c>
      <c r="AE513" s="14">
        <f t="shared" si="788"/>
        <v>145.09666666666666</v>
      </c>
      <c r="AF513" s="14">
        <f t="shared" si="783"/>
        <v>196.59666666666666</v>
      </c>
      <c r="AG513" s="188">
        <f t="shared" si="784"/>
        <v>325712.93999999989</v>
      </c>
      <c r="AH513" s="188">
        <f t="shared" si="785"/>
        <v>575881.85999999975</v>
      </c>
      <c r="AI513" s="404">
        <f t="shared" si="777"/>
        <v>0</v>
      </c>
      <c r="AJ513" s="404">
        <f t="shared" si="741"/>
        <v>0</v>
      </c>
      <c r="AK513" s="404">
        <f t="shared" si="778"/>
        <v>0</v>
      </c>
      <c r="AL513" s="188">
        <f t="shared" si="786"/>
        <v>0</v>
      </c>
      <c r="AM513" s="317">
        <f t="shared" si="723"/>
        <v>0</v>
      </c>
    </row>
    <row r="514" spans="1:49">
      <c r="A514" s="395"/>
      <c r="L514" s="317">
        <f t="shared" si="762"/>
        <v>0</v>
      </c>
      <c r="M514" s="317"/>
      <c r="X514" s="395">
        <f t="shared" si="721"/>
        <v>0</v>
      </c>
      <c r="Y514" s="188">
        <f t="shared" si="780"/>
        <v>0</v>
      </c>
      <c r="Z514" s="388">
        <f t="shared" si="716"/>
        <v>8.4999999999999992E-2</v>
      </c>
      <c r="AA514" s="14">
        <f t="shared" si="717"/>
        <v>0</v>
      </c>
      <c r="AB514" s="14">
        <f t="shared" si="781"/>
        <v>0</v>
      </c>
      <c r="AC514" s="14">
        <f t="shared" si="718"/>
        <v>0</v>
      </c>
      <c r="AD514" s="14">
        <f t="shared" ref="AD514:AE514" si="789">+AD513</f>
        <v>51.5</v>
      </c>
      <c r="AE514" s="14">
        <f t="shared" si="789"/>
        <v>145.09666666666666</v>
      </c>
      <c r="AF514" s="14">
        <f t="shared" si="783"/>
        <v>196.59666666666666</v>
      </c>
      <c r="AG514" s="188">
        <f t="shared" si="784"/>
        <v>325712.93999999989</v>
      </c>
      <c r="AH514" s="188">
        <f t="shared" si="785"/>
        <v>575881.85999999975</v>
      </c>
      <c r="AI514" s="404">
        <f t="shared" si="777"/>
        <v>0</v>
      </c>
      <c r="AJ514" s="404">
        <f t="shared" si="741"/>
        <v>0</v>
      </c>
      <c r="AK514" s="404">
        <f t="shared" si="778"/>
        <v>0</v>
      </c>
      <c r="AL514" s="188">
        <f t="shared" si="786"/>
        <v>0</v>
      </c>
      <c r="AM514" s="317">
        <f t="shared" si="723"/>
        <v>0</v>
      </c>
    </row>
    <row r="515" spans="1:49">
      <c r="A515" s="395"/>
      <c r="L515" s="317">
        <f t="shared" si="762"/>
        <v>0</v>
      </c>
      <c r="M515" s="317"/>
      <c r="X515" s="395">
        <f t="shared" si="721"/>
        <v>0</v>
      </c>
      <c r="Y515" s="188">
        <f t="shared" si="780"/>
        <v>0</v>
      </c>
      <c r="Z515" s="388">
        <f t="shared" si="716"/>
        <v>8.4999999999999992E-2</v>
      </c>
      <c r="AA515" s="14">
        <f t="shared" si="717"/>
        <v>0</v>
      </c>
      <c r="AB515" s="14">
        <f t="shared" si="781"/>
        <v>0</v>
      </c>
      <c r="AC515" s="14">
        <f t="shared" si="718"/>
        <v>0</v>
      </c>
      <c r="AD515" s="14">
        <f t="shared" ref="AD515:AE515" si="790">+AD514</f>
        <v>51.5</v>
      </c>
      <c r="AE515" s="14">
        <f t="shared" si="790"/>
        <v>145.09666666666666</v>
      </c>
      <c r="AF515" s="14">
        <f t="shared" si="783"/>
        <v>196.59666666666666</v>
      </c>
      <c r="AG515" s="188">
        <f t="shared" si="784"/>
        <v>325712.93999999989</v>
      </c>
      <c r="AH515" s="188">
        <f t="shared" si="785"/>
        <v>575881.85999999975</v>
      </c>
      <c r="AI515" s="404">
        <f t="shared" si="777"/>
        <v>0</v>
      </c>
      <c r="AJ515" s="404">
        <f t="shared" si="741"/>
        <v>0</v>
      </c>
      <c r="AK515" s="404">
        <f t="shared" si="778"/>
        <v>0</v>
      </c>
      <c r="AL515" s="188">
        <f t="shared" si="786"/>
        <v>0</v>
      </c>
      <c r="AM515" s="317">
        <f t="shared" si="723"/>
        <v>0</v>
      </c>
    </row>
    <row r="516" spans="1:49">
      <c r="A516" s="395"/>
      <c r="L516" s="317">
        <f t="shared" si="762"/>
        <v>0</v>
      </c>
      <c r="M516" s="317"/>
      <c r="X516" s="395">
        <f t="shared" si="721"/>
        <v>0</v>
      </c>
      <c r="Y516" s="188">
        <f t="shared" si="780"/>
        <v>0</v>
      </c>
      <c r="Z516" s="388">
        <f t="shared" si="716"/>
        <v>8.4999999999999992E-2</v>
      </c>
      <c r="AA516" s="14">
        <f t="shared" si="717"/>
        <v>0</v>
      </c>
      <c r="AB516" s="14">
        <f t="shared" si="781"/>
        <v>0</v>
      </c>
      <c r="AC516" s="14">
        <f t="shared" si="718"/>
        <v>0</v>
      </c>
      <c r="AD516" s="14">
        <f t="shared" ref="AD516:AE516" si="791">+AD515</f>
        <v>51.5</v>
      </c>
      <c r="AE516" s="14">
        <f t="shared" si="791"/>
        <v>145.09666666666666</v>
      </c>
      <c r="AF516" s="14">
        <f t="shared" si="783"/>
        <v>196.59666666666666</v>
      </c>
      <c r="AG516" s="188">
        <f t="shared" si="784"/>
        <v>325712.93999999989</v>
      </c>
      <c r="AH516" s="188">
        <f t="shared" si="785"/>
        <v>575881.85999999975</v>
      </c>
      <c r="AI516" s="404">
        <f t="shared" si="777"/>
        <v>0</v>
      </c>
      <c r="AJ516" s="404">
        <f t="shared" si="741"/>
        <v>0</v>
      </c>
      <c r="AK516" s="404">
        <f t="shared" si="778"/>
        <v>0</v>
      </c>
      <c r="AL516" s="188">
        <f t="shared" si="786"/>
        <v>0</v>
      </c>
      <c r="AM516" s="317">
        <f t="shared" si="723"/>
        <v>0</v>
      </c>
    </row>
    <row r="517" spans="1:49">
      <c r="A517" s="395"/>
      <c r="L517" s="317">
        <f t="shared" si="762"/>
        <v>0</v>
      </c>
      <c r="M517" s="317"/>
      <c r="X517" s="395">
        <f t="shared" si="721"/>
        <v>0</v>
      </c>
      <c r="Y517" s="188">
        <f t="shared" si="780"/>
        <v>0</v>
      </c>
      <c r="Z517" s="388">
        <f t="shared" si="716"/>
        <v>8.4999999999999992E-2</v>
      </c>
      <c r="AA517" s="14">
        <f t="shared" si="717"/>
        <v>0</v>
      </c>
      <c r="AB517" s="14">
        <f t="shared" si="781"/>
        <v>0</v>
      </c>
      <c r="AC517" s="14">
        <f t="shared" si="718"/>
        <v>0</v>
      </c>
      <c r="AD517" s="14">
        <f t="shared" ref="AD517:AE517" si="792">+AD516</f>
        <v>51.5</v>
      </c>
      <c r="AE517" s="14">
        <f t="shared" si="792"/>
        <v>145.09666666666666</v>
      </c>
      <c r="AF517" s="14">
        <f t="shared" si="783"/>
        <v>196.59666666666666</v>
      </c>
      <c r="AG517" s="188">
        <f t="shared" si="784"/>
        <v>325712.93999999989</v>
      </c>
      <c r="AH517" s="188">
        <f t="shared" si="785"/>
        <v>575881.85999999975</v>
      </c>
      <c r="AI517" s="404">
        <f t="shared" si="777"/>
        <v>0</v>
      </c>
      <c r="AJ517" s="404">
        <f t="shared" si="741"/>
        <v>0</v>
      </c>
      <c r="AK517" s="404">
        <f t="shared" si="778"/>
        <v>0</v>
      </c>
      <c r="AL517" s="188">
        <f t="shared" si="786"/>
        <v>0</v>
      </c>
      <c r="AM517" s="317">
        <f t="shared" si="723"/>
        <v>0</v>
      </c>
    </row>
    <row r="518" spans="1:49">
      <c r="A518" s="395"/>
      <c r="L518" s="317">
        <f t="shared" si="762"/>
        <v>0</v>
      </c>
      <c r="M518" s="317"/>
      <c r="X518" s="395">
        <f t="shared" si="721"/>
        <v>0</v>
      </c>
      <c r="Y518" s="188">
        <f t="shared" si="780"/>
        <v>0</v>
      </c>
      <c r="Z518" s="388">
        <f t="shared" si="716"/>
        <v>8.4999999999999992E-2</v>
      </c>
      <c r="AA518" s="14">
        <f t="shared" si="717"/>
        <v>0</v>
      </c>
      <c r="AB518" s="14">
        <f t="shared" si="781"/>
        <v>0</v>
      </c>
      <c r="AC518" s="14">
        <f t="shared" si="718"/>
        <v>0</v>
      </c>
      <c r="AD518" s="14">
        <f t="shared" ref="AD518:AE518" si="793">+AD517</f>
        <v>51.5</v>
      </c>
      <c r="AE518" s="14">
        <f t="shared" si="793"/>
        <v>145.09666666666666</v>
      </c>
      <c r="AF518" s="14">
        <f t="shared" si="783"/>
        <v>196.59666666666666</v>
      </c>
      <c r="AG518" s="188">
        <f t="shared" si="784"/>
        <v>325712.93999999989</v>
      </c>
      <c r="AH518" s="188">
        <f t="shared" si="785"/>
        <v>575881.85999999975</v>
      </c>
      <c r="AI518" s="404">
        <f t="shared" si="777"/>
        <v>0</v>
      </c>
      <c r="AJ518" s="404">
        <f t="shared" si="741"/>
        <v>0</v>
      </c>
      <c r="AK518" s="404">
        <f t="shared" si="778"/>
        <v>0</v>
      </c>
      <c r="AL518" s="188">
        <f t="shared" si="786"/>
        <v>0</v>
      </c>
      <c r="AM518" s="317">
        <f t="shared" si="723"/>
        <v>0</v>
      </c>
    </row>
    <row r="519" spans="1:49" ht="15.75" thickBot="1">
      <c r="A519" s="398"/>
      <c r="B519" s="237"/>
      <c r="C519" s="21"/>
      <c r="D519" s="21"/>
      <c r="E519" s="21"/>
      <c r="F519" s="21"/>
      <c r="G519" s="21"/>
      <c r="H519" s="21"/>
      <c r="I519" s="237"/>
      <c r="J519" s="237"/>
      <c r="K519" s="237"/>
      <c r="L519" s="318">
        <f t="shared" si="762"/>
        <v>0</v>
      </c>
      <c r="M519" s="318"/>
      <c r="N519" s="237"/>
      <c r="U519" s="237"/>
      <c r="V519" s="237"/>
      <c r="W519" s="237"/>
      <c r="X519" s="398">
        <f t="shared" si="721"/>
        <v>0</v>
      </c>
      <c r="Y519" s="188">
        <f t="shared" si="780"/>
        <v>0</v>
      </c>
      <c r="Z519" s="388">
        <f t="shared" si="716"/>
        <v>8.4999999999999992E-2</v>
      </c>
      <c r="AA519" s="14">
        <f t="shared" si="717"/>
        <v>0</v>
      </c>
      <c r="AB519" s="14">
        <f t="shared" si="781"/>
        <v>0</v>
      </c>
      <c r="AC519" s="14">
        <f t="shared" si="718"/>
        <v>0</v>
      </c>
      <c r="AD519" s="14">
        <f t="shared" ref="AD519:AE519" si="794">+AD518</f>
        <v>51.5</v>
      </c>
      <c r="AE519" s="14">
        <f t="shared" si="794"/>
        <v>145.09666666666666</v>
      </c>
      <c r="AF519" s="14">
        <f t="shared" si="783"/>
        <v>196.59666666666666</v>
      </c>
      <c r="AG519" s="188">
        <f t="shared" si="784"/>
        <v>325712.93999999989</v>
      </c>
      <c r="AH519" s="188">
        <f t="shared" si="785"/>
        <v>575881.85999999975</v>
      </c>
      <c r="AI519" s="404">
        <f t="shared" si="777"/>
        <v>0</v>
      </c>
      <c r="AJ519" s="404">
        <f t="shared" si="741"/>
        <v>0</v>
      </c>
      <c r="AK519" s="404">
        <f t="shared" si="778"/>
        <v>0</v>
      </c>
      <c r="AL519" s="188">
        <f t="shared" si="786"/>
        <v>0</v>
      </c>
      <c r="AM519" s="318">
        <f t="shared" si="723"/>
        <v>0</v>
      </c>
      <c r="AN519" s="21"/>
      <c r="AO519" s="21"/>
      <c r="AP519" s="21"/>
      <c r="AQ519" s="21"/>
      <c r="AR519" s="23"/>
      <c r="AS519" s="21"/>
      <c r="AT519" s="21"/>
      <c r="AU519" s="237"/>
      <c r="AV519" s="237"/>
      <c r="AW519" s="21"/>
    </row>
    <row r="520" spans="1:49">
      <c r="A520" s="395"/>
      <c r="L520" s="317">
        <f t="shared" si="762"/>
        <v>0</v>
      </c>
      <c r="M520" s="317"/>
      <c r="X520" s="395">
        <f t="shared" si="721"/>
        <v>0</v>
      </c>
      <c r="Y520" s="188">
        <f t="shared" si="780"/>
        <v>0</v>
      </c>
      <c r="Z520" s="388">
        <f t="shared" si="716"/>
        <v>8.4999999999999992E-2</v>
      </c>
      <c r="AA520" s="14">
        <f t="shared" si="717"/>
        <v>0</v>
      </c>
      <c r="AB520" s="14">
        <f t="shared" si="781"/>
        <v>0</v>
      </c>
      <c r="AC520" s="14">
        <f t="shared" si="718"/>
        <v>0</v>
      </c>
      <c r="AD520" s="14">
        <f t="shared" ref="AD520:AE520" si="795">+AD519</f>
        <v>51.5</v>
      </c>
      <c r="AE520" s="14">
        <f t="shared" si="795"/>
        <v>145.09666666666666</v>
      </c>
      <c r="AF520" s="14">
        <f t="shared" si="783"/>
        <v>196.59666666666666</v>
      </c>
      <c r="AG520" s="188">
        <f t="shared" si="784"/>
        <v>325712.93999999989</v>
      </c>
      <c r="AH520" s="188">
        <f t="shared" si="785"/>
        <v>575881.85999999975</v>
      </c>
      <c r="AI520" s="404">
        <f t="shared" si="777"/>
        <v>0</v>
      </c>
      <c r="AJ520" s="404">
        <f t="shared" si="741"/>
        <v>0</v>
      </c>
      <c r="AK520" s="404">
        <f t="shared" si="778"/>
        <v>0</v>
      </c>
      <c r="AL520" s="188">
        <f t="shared" si="786"/>
        <v>0</v>
      </c>
      <c r="AM520" s="317">
        <f t="shared" si="723"/>
        <v>0</v>
      </c>
    </row>
    <row r="521" spans="1:49">
      <c r="A521" s="395"/>
      <c r="L521" s="317">
        <f t="shared" si="762"/>
        <v>0</v>
      </c>
      <c r="M521" s="317"/>
      <c r="X521" s="395">
        <f t="shared" si="721"/>
        <v>0</v>
      </c>
      <c r="Y521" s="188">
        <f t="shared" si="780"/>
        <v>0</v>
      </c>
      <c r="Z521" s="388">
        <f t="shared" si="716"/>
        <v>8.4999999999999992E-2</v>
      </c>
      <c r="AA521" s="14">
        <f t="shared" si="717"/>
        <v>0</v>
      </c>
      <c r="AB521" s="14">
        <f t="shared" si="781"/>
        <v>0</v>
      </c>
      <c r="AC521" s="14">
        <f t="shared" si="718"/>
        <v>0</v>
      </c>
      <c r="AD521" s="14">
        <f t="shared" ref="AD521:AE521" si="796">+AD520</f>
        <v>51.5</v>
      </c>
      <c r="AE521" s="14">
        <f t="shared" si="796"/>
        <v>145.09666666666666</v>
      </c>
      <c r="AF521" s="14">
        <f t="shared" si="783"/>
        <v>196.59666666666666</v>
      </c>
      <c r="AG521" s="188">
        <f t="shared" si="784"/>
        <v>325712.93999999989</v>
      </c>
      <c r="AH521" s="188">
        <f t="shared" si="785"/>
        <v>575881.85999999975</v>
      </c>
      <c r="AI521" s="404">
        <f t="shared" si="777"/>
        <v>0</v>
      </c>
      <c r="AJ521" s="404">
        <f t="shared" si="741"/>
        <v>0</v>
      </c>
      <c r="AK521" s="404">
        <f t="shared" si="778"/>
        <v>0</v>
      </c>
      <c r="AL521" s="188">
        <f t="shared" si="786"/>
        <v>0</v>
      </c>
      <c r="AM521" s="317">
        <f t="shared" si="723"/>
        <v>0</v>
      </c>
    </row>
    <row r="522" spans="1:49">
      <c r="A522" s="395"/>
      <c r="L522" s="317">
        <f t="shared" si="762"/>
        <v>0</v>
      </c>
      <c r="M522" s="317"/>
      <c r="X522" s="395">
        <f t="shared" si="721"/>
        <v>0</v>
      </c>
      <c r="Y522" s="188">
        <f t="shared" si="780"/>
        <v>0</v>
      </c>
      <c r="Z522" s="388">
        <f t="shared" si="716"/>
        <v>8.4999999999999992E-2</v>
      </c>
      <c r="AA522" s="14">
        <f t="shared" si="717"/>
        <v>0</v>
      </c>
      <c r="AB522" s="14">
        <f t="shared" si="781"/>
        <v>0</v>
      </c>
      <c r="AC522" s="14">
        <f t="shared" si="718"/>
        <v>0</v>
      </c>
      <c r="AD522" s="14">
        <f t="shared" ref="AD522:AE522" si="797">+AD521</f>
        <v>51.5</v>
      </c>
      <c r="AE522" s="14">
        <f t="shared" si="797"/>
        <v>145.09666666666666</v>
      </c>
      <c r="AF522" s="14">
        <f t="shared" si="783"/>
        <v>196.59666666666666</v>
      </c>
      <c r="AG522" s="188">
        <f t="shared" si="784"/>
        <v>325712.93999999989</v>
      </c>
      <c r="AH522" s="188">
        <f t="shared" si="785"/>
        <v>575881.85999999975</v>
      </c>
      <c r="AI522" s="404">
        <f t="shared" si="777"/>
        <v>0</v>
      </c>
      <c r="AJ522" s="404">
        <f t="shared" si="741"/>
        <v>0</v>
      </c>
      <c r="AK522" s="404">
        <f t="shared" si="778"/>
        <v>0</v>
      </c>
      <c r="AL522" s="188">
        <f t="shared" si="786"/>
        <v>0</v>
      </c>
      <c r="AM522" s="317">
        <f t="shared" si="723"/>
        <v>0</v>
      </c>
    </row>
    <row r="523" spans="1:49">
      <c r="A523" s="395"/>
      <c r="L523" s="317">
        <f t="shared" si="762"/>
        <v>0</v>
      </c>
      <c r="M523" s="317"/>
      <c r="X523" s="395">
        <f t="shared" si="721"/>
        <v>0</v>
      </c>
      <c r="Y523" s="188">
        <f t="shared" si="780"/>
        <v>0</v>
      </c>
      <c r="Z523" s="388">
        <f t="shared" si="716"/>
        <v>8.4999999999999992E-2</v>
      </c>
      <c r="AA523" s="14">
        <f t="shared" si="717"/>
        <v>0</v>
      </c>
      <c r="AB523" s="14">
        <f t="shared" si="781"/>
        <v>0</v>
      </c>
      <c r="AC523" s="14">
        <f t="shared" si="718"/>
        <v>0</v>
      </c>
      <c r="AD523" s="14">
        <f t="shared" ref="AD523:AE523" si="798">+AD522</f>
        <v>51.5</v>
      </c>
      <c r="AE523" s="14">
        <f t="shared" si="798"/>
        <v>145.09666666666666</v>
      </c>
      <c r="AF523" s="14">
        <f t="shared" si="783"/>
        <v>196.59666666666666</v>
      </c>
      <c r="AG523" s="188">
        <f t="shared" si="784"/>
        <v>325712.93999999989</v>
      </c>
      <c r="AH523" s="188">
        <f t="shared" si="785"/>
        <v>575881.85999999975</v>
      </c>
      <c r="AI523" s="404">
        <f t="shared" si="777"/>
        <v>0</v>
      </c>
      <c r="AJ523" s="404">
        <f t="shared" si="741"/>
        <v>0</v>
      </c>
      <c r="AK523" s="404">
        <f t="shared" si="778"/>
        <v>0</v>
      </c>
      <c r="AL523" s="188">
        <f t="shared" si="786"/>
        <v>0</v>
      </c>
      <c r="AM523" s="317">
        <f t="shared" si="723"/>
        <v>0</v>
      </c>
    </row>
    <row r="524" spans="1:49">
      <c r="A524" s="395"/>
      <c r="L524" s="317">
        <f t="shared" si="762"/>
        <v>0</v>
      </c>
      <c r="M524" s="317"/>
      <c r="X524" s="395">
        <f t="shared" si="721"/>
        <v>0</v>
      </c>
      <c r="Y524" s="188">
        <f t="shared" si="780"/>
        <v>0</v>
      </c>
      <c r="Z524" s="388">
        <f t="shared" si="716"/>
        <v>8.4999999999999992E-2</v>
      </c>
      <c r="AA524" s="14">
        <f t="shared" si="717"/>
        <v>0</v>
      </c>
      <c r="AB524" s="14">
        <f t="shared" si="781"/>
        <v>0</v>
      </c>
      <c r="AC524" s="14">
        <f t="shared" si="718"/>
        <v>0</v>
      </c>
      <c r="AD524" s="14">
        <f t="shared" ref="AD524:AE524" si="799">+AD523</f>
        <v>51.5</v>
      </c>
      <c r="AE524" s="14">
        <f t="shared" si="799"/>
        <v>145.09666666666666</v>
      </c>
      <c r="AF524" s="14">
        <f t="shared" si="783"/>
        <v>196.59666666666666</v>
      </c>
      <c r="AG524" s="188">
        <f t="shared" si="784"/>
        <v>325712.93999999989</v>
      </c>
      <c r="AH524" s="188">
        <f t="shared" si="785"/>
        <v>575881.85999999975</v>
      </c>
      <c r="AI524" s="404">
        <f t="shared" si="777"/>
        <v>0</v>
      </c>
      <c r="AJ524" s="404">
        <f t="shared" si="741"/>
        <v>0</v>
      </c>
      <c r="AK524" s="404">
        <f t="shared" si="778"/>
        <v>0</v>
      </c>
      <c r="AL524" s="188">
        <f t="shared" si="786"/>
        <v>0</v>
      </c>
      <c r="AM524" s="317">
        <f t="shared" si="723"/>
        <v>0</v>
      </c>
    </row>
    <row r="525" spans="1:49">
      <c r="A525" s="395"/>
      <c r="L525" s="317">
        <f t="shared" si="762"/>
        <v>0</v>
      </c>
      <c r="M525" s="317"/>
      <c r="X525" s="395">
        <f t="shared" si="721"/>
        <v>0</v>
      </c>
      <c r="Y525" s="188">
        <f t="shared" si="780"/>
        <v>0</v>
      </c>
      <c r="Z525" s="388">
        <f t="shared" si="716"/>
        <v>8.4999999999999992E-2</v>
      </c>
      <c r="AA525" s="14">
        <f t="shared" si="717"/>
        <v>0</v>
      </c>
      <c r="AB525" s="14">
        <f t="shared" si="781"/>
        <v>0</v>
      </c>
      <c r="AC525" s="14">
        <f t="shared" si="718"/>
        <v>0</v>
      </c>
      <c r="AD525" s="14">
        <f t="shared" ref="AD525:AE525" si="800">+AD524</f>
        <v>51.5</v>
      </c>
      <c r="AE525" s="14">
        <f t="shared" si="800"/>
        <v>145.09666666666666</v>
      </c>
      <c r="AF525" s="14">
        <f t="shared" si="783"/>
        <v>196.59666666666666</v>
      </c>
      <c r="AG525" s="188">
        <f t="shared" si="784"/>
        <v>325712.93999999989</v>
      </c>
      <c r="AH525" s="188">
        <f t="shared" si="785"/>
        <v>575881.85999999975</v>
      </c>
      <c r="AI525" s="404">
        <f t="shared" si="777"/>
        <v>0</v>
      </c>
      <c r="AJ525" s="404">
        <f t="shared" si="741"/>
        <v>0</v>
      </c>
      <c r="AK525" s="404">
        <f t="shared" si="778"/>
        <v>0</v>
      </c>
      <c r="AL525" s="188">
        <f t="shared" si="786"/>
        <v>0</v>
      </c>
      <c r="AM525" s="317">
        <f t="shared" si="723"/>
        <v>0</v>
      </c>
    </row>
    <row r="526" spans="1:49">
      <c r="A526" s="395"/>
      <c r="L526" s="317">
        <f t="shared" si="762"/>
        <v>0</v>
      </c>
      <c r="M526" s="317"/>
      <c r="X526" s="395">
        <f t="shared" si="721"/>
        <v>0</v>
      </c>
      <c r="Y526" s="188">
        <f t="shared" si="780"/>
        <v>0</v>
      </c>
      <c r="Z526" s="388">
        <f t="shared" si="716"/>
        <v>8.4999999999999992E-2</v>
      </c>
      <c r="AA526" s="14">
        <f t="shared" si="717"/>
        <v>0</v>
      </c>
      <c r="AB526" s="14">
        <f t="shared" si="781"/>
        <v>0</v>
      </c>
      <c r="AC526" s="14">
        <f t="shared" si="718"/>
        <v>0</v>
      </c>
      <c r="AD526" s="14">
        <f t="shared" ref="AD526:AE526" si="801">+AD525</f>
        <v>51.5</v>
      </c>
      <c r="AE526" s="14">
        <f t="shared" si="801"/>
        <v>145.09666666666666</v>
      </c>
      <c r="AF526" s="14">
        <f t="shared" si="783"/>
        <v>196.59666666666666</v>
      </c>
      <c r="AG526" s="188">
        <f t="shared" si="784"/>
        <v>325712.93999999989</v>
      </c>
      <c r="AH526" s="188">
        <f t="shared" si="785"/>
        <v>575881.85999999975</v>
      </c>
      <c r="AI526" s="404">
        <f t="shared" si="777"/>
        <v>0</v>
      </c>
      <c r="AJ526" s="404">
        <f t="shared" si="741"/>
        <v>0</v>
      </c>
      <c r="AK526" s="404">
        <f t="shared" si="778"/>
        <v>0</v>
      </c>
      <c r="AL526" s="188">
        <f t="shared" si="786"/>
        <v>0</v>
      </c>
      <c r="AM526" s="317">
        <f t="shared" si="723"/>
        <v>0</v>
      </c>
    </row>
    <row r="527" spans="1:49">
      <c r="A527" s="395"/>
      <c r="L527" s="317">
        <f t="shared" si="762"/>
        <v>0</v>
      </c>
      <c r="M527" s="317"/>
      <c r="X527" s="395">
        <f t="shared" si="721"/>
        <v>0</v>
      </c>
      <c r="Y527" s="188">
        <f t="shared" si="780"/>
        <v>0</v>
      </c>
      <c r="Z527" s="388">
        <f t="shared" si="716"/>
        <v>8.4999999999999992E-2</v>
      </c>
      <c r="AA527" s="14">
        <f t="shared" si="717"/>
        <v>0</v>
      </c>
      <c r="AB527" s="14">
        <f t="shared" si="781"/>
        <v>0</v>
      </c>
      <c r="AC527" s="14">
        <f t="shared" si="718"/>
        <v>0</v>
      </c>
      <c r="AD527" s="14">
        <f t="shared" ref="AD527:AE527" si="802">+AD526</f>
        <v>51.5</v>
      </c>
      <c r="AE527" s="14">
        <f t="shared" si="802"/>
        <v>145.09666666666666</v>
      </c>
      <c r="AF527" s="14">
        <f t="shared" si="783"/>
        <v>196.59666666666666</v>
      </c>
      <c r="AG527" s="188">
        <f t="shared" si="784"/>
        <v>325712.93999999989</v>
      </c>
      <c r="AH527" s="188">
        <f t="shared" si="785"/>
        <v>575881.85999999975</v>
      </c>
      <c r="AI527" s="404">
        <f t="shared" si="777"/>
        <v>0</v>
      </c>
      <c r="AJ527" s="404">
        <f t="shared" si="741"/>
        <v>0</v>
      </c>
      <c r="AK527" s="404">
        <f t="shared" si="778"/>
        <v>0</v>
      </c>
      <c r="AL527" s="188">
        <f t="shared" si="786"/>
        <v>0</v>
      </c>
      <c r="AM527" s="317">
        <f t="shared" si="723"/>
        <v>0</v>
      </c>
    </row>
    <row r="528" spans="1:49">
      <c r="A528" s="395"/>
      <c r="L528" s="317">
        <f t="shared" si="762"/>
        <v>0</v>
      </c>
      <c r="M528" s="317"/>
      <c r="X528" s="395">
        <f t="shared" si="721"/>
        <v>0</v>
      </c>
      <c r="Y528" s="188">
        <f t="shared" si="780"/>
        <v>0</v>
      </c>
      <c r="Z528" s="388">
        <f t="shared" ref="Z528:Z544" si="803">IF(L528&gt;4,$AA$10,$AA$9)</f>
        <v>8.4999999999999992E-2</v>
      </c>
      <c r="AA528" s="14">
        <f t="shared" ref="AA528:AA544" si="804">IF($O$11&lt;=$A528,IF(+AL527&lt;=0,0,IF(Z528=$AA$9,$Z$9,$Z$10)),0)</f>
        <v>0</v>
      </c>
      <c r="AB528" s="14">
        <f t="shared" si="781"/>
        <v>0</v>
      </c>
      <c r="AC528" s="14">
        <f t="shared" ref="AC528:AC544" si="805">IF($O$11&lt;=$A528,ROUND(Y528*(Z528/12),2),0)</f>
        <v>0</v>
      </c>
      <c r="AD528" s="14">
        <f t="shared" ref="AD528:AE528" si="806">+AD527</f>
        <v>51.5</v>
      </c>
      <c r="AE528" s="14">
        <f t="shared" si="806"/>
        <v>145.09666666666666</v>
      </c>
      <c r="AF528" s="14">
        <f t="shared" si="783"/>
        <v>196.59666666666666</v>
      </c>
      <c r="AG528" s="188">
        <f t="shared" si="784"/>
        <v>325712.93999999989</v>
      </c>
      <c r="AH528" s="188">
        <f t="shared" si="785"/>
        <v>575881.85999999975</v>
      </c>
      <c r="AI528" s="404">
        <f t="shared" si="777"/>
        <v>0</v>
      </c>
      <c r="AJ528" s="404">
        <f t="shared" si="741"/>
        <v>0</v>
      </c>
      <c r="AK528" s="404">
        <f t="shared" si="778"/>
        <v>0</v>
      </c>
      <c r="AL528" s="188">
        <f t="shared" si="786"/>
        <v>0</v>
      </c>
      <c r="AM528" s="317">
        <f t="shared" si="723"/>
        <v>0</v>
      </c>
    </row>
    <row r="529" spans="1:49">
      <c r="A529" s="395"/>
      <c r="L529" s="317">
        <f t="shared" si="762"/>
        <v>0</v>
      </c>
      <c r="M529" s="317"/>
      <c r="X529" s="395">
        <f t="shared" ref="X529:X592" si="807">+A529</f>
        <v>0</v>
      </c>
      <c r="Y529" s="188">
        <f t="shared" si="780"/>
        <v>0</v>
      </c>
      <c r="Z529" s="388">
        <f t="shared" si="803"/>
        <v>8.4999999999999992E-2</v>
      </c>
      <c r="AA529" s="14">
        <f t="shared" si="804"/>
        <v>0</v>
      </c>
      <c r="AB529" s="14">
        <f t="shared" si="781"/>
        <v>0</v>
      </c>
      <c r="AC529" s="14">
        <f t="shared" si="805"/>
        <v>0</v>
      </c>
      <c r="AD529" s="14">
        <f t="shared" ref="AD529:AE529" si="808">+AD528</f>
        <v>51.5</v>
      </c>
      <c r="AE529" s="14">
        <f t="shared" si="808"/>
        <v>145.09666666666666</v>
      </c>
      <c r="AF529" s="14">
        <f t="shared" si="783"/>
        <v>196.59666666666666</v>
      </c>
      <c r="AG529" s="188">
        <f t="shared" si="784"/>
        <v>325712.93999999989</v>
      </c>
      <c r="AH529" s="188">
        <f t="shared" si="785"/>
        <v>575881.85999999975</v>
      </c>
      <c r="AI529" s="404">
        <f t="shared" si="777"/>
        <v>0</v>
      </c>
      <c r="AJ529" s="404">
        <f t="shared" si="741"/>
        <v>0</v>
      </c>
      <c r="AK529" s="404">
        <f t="shared" si="778"/>
        <v>0</v>
      </c>
      <c r="AL529" s="188">
        <f t="shared" si="786"/>
        <v>0</v>
      </c>
      <c r="AM529" s="317">
        <f t="shared" ref="AM529:AM592" si="809">+L529</f>
        <v>0</v>
      </c>
    </row>
    <row r="530" spans="1:49">
      <c r="A530" s="395"/>
      <c r="L530" s="317">
        <f t="shared" si="762"/>
        <v>0</v>
      </c>
      <c r="M530" s="317"/>
      <c r="X530" s="395">
        <f t="shared" si="807"/>
        <v>0</v>
      </c>
      <c r="Y530" s="188">
        <f t="shared" si="780"/>
        <v>0</v>
      </c>
      <c r="Z530" s="388">
        <f t="shared" si="803"/>
        <v>8.4999999999999992E-2</v>
      </c>
      <c r="AA530" s="14">
        <f t="shared" si="804"/>
        <v>0</v>
      </c>
      <c r="AB530" s="14">
        <f t="shared" si="781"/>
        <v>0</v>
      </c>
      <c r="AC530" s="14">
        <f t="shared" si="805"/>
        <v>0</v>
      </c>
      <c r="AD530" s="14">
        <f t="shared" ref="AD530:AE530" si="810">+AD529</f>
        <v>51.5</v>
      </c>
      <c r="AE530" s="14">
        <f t="shared" si="810"/>
        <v>145.09666666666666</v>
      </c>
      <c r="AF530" s="14">
        <f t="shared" si="783"/>
        <v>196.59666666666666</v>
      </c>
      <c r="AG530" s="188">
        <f t="shared" si="784"/>
        <v>325712.93999999989</v>
      </c>
      <c r="AH530" s="188">
        <f t="shared" si="785"/>
        <v>575881.85999999975</v>
      </c>
      <c r="AI530" s="404">
        <f t="shared" si="777"/>
        <v>0</v>
      </c>
      <c r="AJ530" s="404">
        <f t="shared" si="741"/>
        <v>0</v>
      </c>
      <c r="AK530" s="404">
        <f t="shared" si="778"/>
        <v>0</v>
      </c>
      <c r="AL530" s="188">
        <f t="shared" si="786"/>
        <v>0</v>
      </c>
      <c r="AM530" s="317">
        <f t="shared" si="809"/>
        <v>0</v>
      </c>
    </row>
    <row r="531" spans="1:49" ht="15.75" thickBot="1">
      <c r="A531" s="398"/>
      <c r="B531" s="237"/>
      <c r="C531" s="21"/>
      <c r="D531" s="21"/>
      <c r="E531" s="21"/>
      <c r="F531" s="21"/>
      <c r="G531" s="21"/>
      <c r="H531" s="21"/>
      <c r="I531" s="237"/>
      <c r="J531" s="237"/>
      <c r="K531" s="237"/>
      <c r="L531" s="318">
        <f t="shared" si="762"/>
        <v>0</v>
      </c>
      <c r="M531" s="318"/>
      <c r="N531" s="237"/>
      <c r="U531" s="237"/>
      <c r="V531" s="237"/>
      <c r="W531" s="237"/>
      <c r="X531" s="398">
        <f t="shared" si="807"/>
        <v>0</v>
      </c>
      <c r="Y531" s="188">
        <f t="shared" si="780"/>
        <v>0</v>
      </c>
      <c r="Z531" s="388">
        <f t="shared" si="803"/>
        <v>8.4999999999999992E-2</v>
      </c>
      <c r="AA531" s="14">
        <f t="shared" si="804"/>
        <v>0</v>
      </c>
      <c r="AB531" s="14">
        <f t="shared" si="781"/>
        <v>0</v>
      </c>
      <c r="AC531" s="14">
        <f t="shared" si="805"/>
        <v>0</v>
      </c>
      <c r="AD531" s="14">
        <f t="shared" ref="AD531:AE531" si="811">+AD530</f>
        <v>51.5</v>
      </c>
      <c r="AE531" s="14">
        <f t="shared" si="811"/>
        <v>145.09666666666666</v>
      </c>
      <c r="AF531" s="14">
        <f t="shared" si="783"/>
        <v>196.59666666666666</v>
      </c>
      <c r="AG531" s="188">
        <f t="shared" si="784"/>
        <v>325712.93999999989</v>
      </c>
      <c r="AH531" s="188">
        <f t="shared" si="785"/>
        <v>575881.85999999975</v>
      </c>
      <c r="AI531" s="404">
        <f t="shared" si="777"/>
        <v>0</v>
      </c>
      <c r="AJ531" s="404">
        <f t="shared" si="741"/>
        <v>0</v>
      </c>
      <c r="AK531" s="404">
        <f t="shared" si="778"/>
        <v>0</v>
      </c>
      <c r="AL531" s="188">
        <f t="shared" si="786"/>
        <v>0</v>
      </c>
      <c r="AM531" s="318">
        <f t="shared" si="809"/>
        <v>0</v>
      </c>
      <c r="AN531" s="21"/>
      <c r="AO531" s="21"/>
      <c r="AP531" s="21"/>
      <c r="AQ531" s="21"/>
      <c r="AR531" s="23"/>
      <c r="AS531" s="21"/>
      <c r="AT531" s="21"/>
      <c r="AU531" s="237"/>
      <c r="AV531" s="237"/>
      <c r="AW531" s="21"/>
    </row>
    <row r="532" spans="1:49">
      <c r="A532" s="395"/>
      <c r="L532" s="317">
        <f t="shared" si="762"/>
        <v>0</v>
      </c>
      <c r="M532" s="317"/>
      <c r="X532" s="395">
        <f t="shared" si="807"/>
        <v>0</v>
      </c>
      <c r="Y532" s="188">
        <f t="shared" si="780"/>
        <v>0</v>
      </c>
      <c r="Z532" s="388">
        <f t="shared" si="803"/>
        <v>8.4999999999999992E-2</v>
      </c>
      <c r="AA532" s="14">
        <f t="shared" si="804"/>
        <v>0</v>
      </c>
      <c r="AB532" s="14">
        <f t="shared" si="781"/>
        <v>0</v>
      </c>
      <c r="AC532" s="14">
        <f t="shared" si="805"/>
        <v>0</v>
      </c>
      <c r="AD532" s="14">
        <f t="shared" ref="AD532:AE532" si="812">+AD531</f>
        <v>51.5</v>
      </c>
      <c r="AE532" s="14">
        <f t="shared" si="812"/>
        <v>145.09666666666666</v>
      </c>
      <c r="AF532" s="14">
        <f t="shared" si="783"/>
        <v>196.59666666666666</v>
      </c>
      <c r="AG532" s="188">
        <f t="shared" si="784"/>
        <v>325712.93999999989</v>
      </c>
      <c r="AH532" s="188">
        <f t="shared" si="785"/>
        <v>575881.85999999975</v>
      </c>
      <c r="AI532" s="404">
        <f t="shared" si="777"/>
        <v>0</v>
      </c>
      <c r="AJ532" s="404">
        <f t="shared" si="741"/>
        <v>0</v>
      </c>
      <c r="AK532" s="404">
        <f t="shared" si="778"/>
        <v>0</v>
      </c>
      <c r="AL532" s="188">
        <f t="shared" si="786"/>
        <v>0</v>
      </c>
      <c r="AM532" s="317">
        <f t="shared" si="809"/>
        <v>0</v>
      </c>
    </row>
    <row r="533" spans="1:49">
      <c r="A533" s="395"/>
      <c r="L533" s="317">
        <f t="shared" si="762"/>
        <v>0</v>
      </c>
      <c r="M533" s="317"/>
      <c r="X533" s="395">
        <f t="shared" si="807"/>
        <v>0</v>
      </c>
      <c r="Y533" s="188">
        <f t="shared" si="780"/>
        <v>0</v>
      </c>
      <c r="Z533" s="388">
        <f t="shared" si="803"/>
        <v>8.4999999999999992E-2</v>
      </c>
      <c r="AA533" s="14">
        <f t="shared" si="804"/>
        <v>0</v>
      </c>
      <c r="AB533" s="14">
        <f t="shared" si="781"/>
        <v>0</v>
      </c>
      <c r="AC533" s="14">
        <f t="shared" si="805"/>
        <v>0</v>
      </c>
      <c r="AD533" s="14">
        <f t="shared" ref="AD533:AE533" si="813">+AD532</f>
        <v>51.5</v>
      </c>
      <c r="AE533" s="14">
        <f t="shared" si="813"/>
        <v>145.09666666666666</v>
      </c>
      <c r="AF533" s="14">
        <f t="shared" si="783"/>
        <v>196.59666666666666</v>
      </c>
      <c r="AG533" s="188">
        <f t="shared" si="784"/>
        <v>325712.93999999989</v>
      </c>
      <c r="AH533" s="188">
        <f t="shared" si="785"/>
        <v>575881.85999999975</v>
      </c>
      <c r="AI533" s="404">
        <f t="shared" si="777"/>
        <v>0</v>
      </c>
      <c r="AJ533" s="404">
        <f t="shared" si="741"/>
        <v>0</v>
      </c>
      <c r="AK533" s="404">
        <f t="shared" si="778"/>
        <v>0</v>
      </c>
      <c r="AL533" s="188">
        <f t="shared" si="786"/>
        <v>0</v>
      </c>
      <c r="AM533" s="317">
        <f t="shared" si="809"/>
        <v>0</v>
      </c>
    </row>
    <row r="534" spans="1:49">
      <c r="A534" s="395"/>
      <c r="L534" s="317">
        <f t="shared" si="762"/>
        <v>0</v>
      </c>
      <c r="M534" s="317"/>
      <c r="X534" s="395">
        <f t="shared" si="807"/>
        <v>0</v>
      </c>
      <c r="Y534" s="188">
        <f t="shared" si="780"/>
        <v>0</v>
      </c>
      <c r="Z534" s="388">
        <f t="shared" si="803"/>
        <v>8.4999999999999992E-2</v>
      </c>
      <c r="AA534" s="14">
        <f t="shared" si="804"/>
        <v>0</v>
      </c>
      <c r="AB534" s="14">
        <f t="shared" si="781"/>
        <v>0</v>
      </c>
      <c r="AC534" s="14">
        <f t="shared" si="805"/>
        <v>0</v>
      </c>
      <c r="AD534" s="14">
        <f t="shared" ref="AD534:AE534" si="814">+AD533</f>
        <v>51.5</v>
      </c>
      <c r="AE534" s="14">
        <f t="shared" si="814"/>
        <v>145.09666666666666</v>
      </c>
      <c r="AF534" s="14">
        <f t="shared" si="783"/>
        <v>196.59666666666666</v>
      </c>
      <c r="AG534" s="188">
        <f t="shared" si="784"/>
        <v>325712.93999999989</v>
      </c>
      <c r="AH534" s="188">
        <f t="shared" si="785"/>
        <v>575881.85999999975</v>
      </c>
      <c r="AI534" s="404">
        <f t="shared" si="777"/>
        <v>0</v>
      </c>
      <c r="AJ534" s="404">
        <f t="shared" si="741"/>
        <v>0</v>
      </c>
      <c r="AK534" s="404">
        <f t="shared" si="778"/>
        <v>0</v>
      </c>
      <c r="AL534" s="188">
        <f t="shared" si="786"/>
        <v>0</v>
      </c>
      <c r="AM534" s="317">
        <f t="shared" si="809"/>
        <v>0</v>
      </c>
    </row>
    <row r="535" spans="1:49">
      <c r="A535" s="395"/>
      <c r="L535" s="317">
        <f t="shared" si="762"/>
        <v>0</v>
      </c>
      <c r="M535" s="317"/>
      <c r="X535" s="395">
        <f t="shared" si="807"/>
        <v>0</v>
      </c>
      <c r="Y535" s="188">
        <f t="shared" si="780"/>
        <v>0</v>
      </c>
      <c r="Z535" s="388">
        <f t="shared" si="803"/>
        <v>8.4999999999999992E-2</v>
      </c>
      <c r="AA535" s="14">
        <f t="shared" si="804"/>
        <v>0</v>
      </c>
      <c r="AB535" s="14">
        <f t="shared" si="781"/>
        <v>0</v>
      </c>
      <c r="AC535" s="14">
        <f t="shared" si="805"/>
        <v>0</v>
      </c>
      <c r="AD535" s="14">
        <f t="shared" ref="AD535:AE535" si="815">+AD534</f>
        <v>51.5</v>
      </c>
      <c r="AE535" s="14">
        <f t="shared" si="815"/>
        <v>145.09666666666666</v>
      </c>
      <c r="AF535" s="14">
        <f t="shared" si="783"/>
        <v>196.59666666666666</v>
      </c>
      <c r="AG535" s="188">
        <f t="shared" si="784"/>
        <v>325712.93999999989</v>
      </c>
      <c r="AH535" s="188">
        <f t="shared" si="785"/>
        <v>575881.85999999975</v>
      </c>
      <c r="AI535" s="404">
        <f t="shared" si="777"/>
        <v>0</v>
      </c>
      <c r="AJ535" s="404">
        <f t="shared" si="741"/>
        <v>0</v>
      </c>
      <c r="AK535" s="404">
        <f t="shared" si="778"/>
        <v>0</v>
      </c>
      <c r="AL535" s="188">
        <f t="shared" si="786"/>
        <v>0</v>
      </c>
      <c r="AM535" s="317">
        <f t="shared" si="809"/>
        <v>0</v>
      </c>
    </row>
    <row r="536" spans="1:49">
      <c r="A536" s="395"/>
      <c r="L536" s="317">
        <f t="shared" si="762"/>
        <v>0</v>
      </c>
      <c r="M536" s="317"/>
      <c r="X536" s="395">
        <f t="shared" si="807"/>
        <v>0</v>
      </c>
      <c r="Y536" s="188">
        <f t="shared" si="780"/>
        <v>0</v>
      </c>
      <c r="Z536" s="388">
        <f t="shared" si="803"/>
        <v>8.4999999999999992E-2</v>
      </c>
      <c r="AA536" s="14">
        <f t="shared" si="804"/>
        <v>0</v>
      </c>
      <c r="AB536" s="14">
        <f t="shared" si="781"/>
        <v>0</v>
      </c>
      <c r="AC536" s="14">
        <f t="shared" si="805"/>
        <v>0</v>
      </c>
      <c r="AD536" s="14">
        <f t="shared" ref="AD536:AE536" si="816">+AD535</f>
        <v>51.5</v>
      </c>
      <c r="AE536" s="14">
        <f t="shared" si="816"/>
        <v>145.09666666666666</v>
      </c>
      <c r="AF536" s="14">
        <f t="shared" si="783"/>
        <v>196.59666666666666</v>
      </c>
      <c r="AG536" s="188">
        <f t="shared" si="784"/>
        <v>325712.93999999989</v>
      </c>
      <c r="AH536" s="188">
        <f t="shared" si="785"/>
        <v>575881.85999999975</v>
      </c>
      <c r="AI536" s="404">
        <f t="shared" si="777"/>
        <v>0</v>
      </c>
      <c r="AJ536" s="404">
        <f t="shared" si="741"/>
        <v>0</v>
      </c>
      <c r="AK536" s="404">
        <f t="shared" si="778"/>
        <v>0</v>
      </c>
      <c r="AL536" s="188">
        <f t="shared" si="786"/>
        <v>0</v>
      </c>
      <c r="AM536" s="317">
        <f t="shared" si="809"/>
        <v>0</v>
      </c>
    </row>
    <row r="537" spans="1:49">
      <c r="A537" s="395"/>
      <c r="L537" s="317">
        <f t="shared" si="762"/>
        <v>0</v>
      </c>
      <c r="M537" s="317"/>
      <c r="X537" s="395">
        <f t="shared" si="807"/>
        <v>0</v>
      </c>
      <c r="Y537" s="188">
        <f t="shared" si="780"/>
        <v>0</v>
      </c>
      <c r="Z537" s="388">
        <f t="shared" si="803"/>
        <v>8.4999999999999992E-2</v>
      </c>
      <c r="AA537" s="14">
        <f t="shared" si="804"/>
        <v>0</v>
      </c>
      <c r="AB537" s="14">
        <f t="shared" si="781"/>
        <v>0</v>
      </c>
      <c r="AC537" s="14">
        <f t="shared" si="805"/>
        <v>0</v>
      </c>
      <c r="AD537" s="14">
        <f t="shared" ref="AD537:AE537" si="817">+AD536</f>
        <v>51.5</v>
      </c>
      <c r="AE537" s="14">
        <f t="shared" si="817"/>
        <v>145.09666666666666</v>
      </c>
      <c r="AF537" s="14">
        <f t="shared" si="783"/>
        <v>196.59666666666666</v>
      </c>
      <c r="AG537" s="188">
        <f t="shared" si="784"/>
        <v>325712.93999999989</v>
      </c>
      <c r="AH537" s="188">
        <f t="shared" si="785"/>
        <v>575881.85999999975</v>
      </c>
      <c r="AI537" s="404">
        <f t="shared" si="777"/>
        <v>0</v>
      </c>
      <c r="AJ537" s="404">
        <f t="shared" si="741"/>
        <v>0</v>
      </c>
      <c r="AK537" s="404">
        <f t="shared" si="778"/>
        <v>0</v>
      </c>
      <c r="AL537" s="188">
        <f t="shared" si="786"/>
        <v>0</v>
      </c>
      <c r="AM537" s="317">
        <f t="shared" si="809"/>
        <v>0</v>
      </c>
    </row>
    <row r="538" spans="1:49">
      <c r="A538" s="395"/>
      <c r="L538" s="317">
        <f t="shared" si="762"/>
        <v>0</v>
      </c>
      <c r="M538" s="317"/>
      <c r="X538" s="395">
        <f t="shared" si="807"/>
        <v>0</v>
      </c>
      <c r="Y538" s="188">
        <f t="shared" si="780"/>
        <v>0</v>
      </c>
      <c r="Z538" s="388">
        <f t="shared" si="803"/>
        <v>8.4999999999999992E-2</v>
      </c>
      <c r="AA538" s="14">
        <f t="shared" si="804"/>
        <v>0</v>
      </c>
      <c r="AB538" s="14">
        <f t="shared" si="781"/>
        <v>0</v>
      </c>
      <c r="AC538" s="14">
        <f t="shared" si="805"/>
        <v>0</v>
      </c>
      <c r="AD538" s="14">
        <f t="shared" ref="AD538:AE538" si="818">+AD537</f>
        <v>51.5</v>
      </c>
      <c r="AE538" s="14">
        <f t="shared" si="818"/>
        <v>145.09666666666666</v>
      </c>
      <c r="AF538" s="14">
        <f t="shared" si="783"/>
        <v>196.59666666666666</v>
      </c>
      <c r="AG538" s="188">
        <f t="shared" si="784"/>
        <v>325712.93999999989</v>
      </c>
      <c r="AH538" s="188">
        <f t="shared" si="785"/>
        <v>575881.85999999975</v>
      </c>
      <c r="AI538" s="404">
        <f t="shared" si="777"/>
        <v>0</v>
      </c>
      <c r="AJ538" s="404">
        <f t="shared" si="741"/>
        <v>0</v>
      </c>
      <c r="AK538" s="404">
        <f t="shared" si="778"/>
        <v>0</v>
      </c>
      <c r="AL538" s="188">
        <f t="shared" si="786"/>
        <v>0</v>
      </c>
      <c r="AM538" s="317">
        <f t="shared" si="809"/>
        <v>0</v>
      </c>
    </row>
    <row r="539" spans="1:49">
      <c r="A539" s="395"/>
      <c r="L539" s="317">
        <f t="shared" si="762"/>
        <v>0</v>
      </c>
      <c r="M539" s="317"/>
      <c r="X539" s="395">
        <f t="shared" si="807"/>
        <v>0</v>
      </c>
      <c r="Y539" s="188">
        <f t="shared" si="780"/>
        <v>0</v>
      </c>
      <c r="Z539" s="388">
        <f t="shared" si="803"/>
        <v>8.4999999999999992E-2</v>
      </c>
      <c r="AA539" s="14">
        <f t="shared" si="804"/>
        <v>0</v>
      </c>
      <c r="AB539" s="14">
        <f t="shared" si="781"/>
        <v>0</v>
      </c>
      <c r="AC539" s="14">
        <f t="shared" si="805"/>
        <v>0</v>
      </c>
      <c r="AD539" s="14">
        <f t="shared" ref="AD539:AE539" si="819">+AD538</f>
        <v>51.5</v>
      </c>
      <c r="AE539" s="14">
        <f t="shared" si="819"/>
        <v>145.09666666666666</v>
      </c>
      <c r="AF539" s="14">
        <f t="shared" si="783"/>
        <v>196.59666666666666</v>
      </c>
      <c r="AG539" s="188">
        <f t="shared" si="784"/>
        <v>325712.93999999989</v>
      </c>
      <c r="AH539" s="188">
        <f t="shared" si="785"/>
        <v>575881.85999999975</v>
      </c>
      <c r="AI539" s="404">
        <f t="shared" si="777"/>
        <v>0</v>
      </c>
      <c r="AJ539" s="404">
        <f t="shared" si="741"/>
        <v>0</v>
      </c>
      <c r="AK539" s="404">
        <f t="shared" si="778"/>
        <v>0</v>
      </c>
      <c r="AL539" s="188">
        <f t="shared" si="786"/>
        <v>0</v>
      </c>
      <c r="AM539" s="317">
        <f t="shared" si="809"/>
        <v>0</v>
      </c>
    </row>
    <row r="540" spans="1:49">
      <c r="A540" s="395"/>
      <c r="L540" s="317">
        <f t="shared" si="762"/>
        <v>0</v>
      </c>
      <c r="M540" s="317"/>
      <c r="X540" s="395">
        <f t="shared" si="807"/>
        <v>0</v>
      </c>
      <c r="Y540" s="188">
        <f t="shared" si="780"/>
        <v>0</v>
      </c>
      <c r="Z540" s="388">
        <f t="shared" si="803"/>
        <v>8.4999999999999992E-2</v>
      </c>
      <c r="AA540" s="14">
        <f t="shared" si="804"/>
        <v>0</v>
      </c>
      <c r="AB540" s="14">
        <f t="shared" si="781"/>
        <v>0</v>
      </c>
      <c r="AC540" s="14">
        <f t="shared" si="805"/>
        <v>0</v>
      </c>
      <c r="AD540" s="14">
        <f t="shared" ref="AD540:AE540" si="820">+AD539</f>
        <v>51.5</v>
      </c>
      <c r="AE540" s="14">
        <f t="shared" si="820"/>
        <v>145.09666666666666</v>
      </c>
      <c r="AF540" s="14">
        <f t="shared" si="783"/>
        <v>196.59666666666666</v>
      </c>
      <c r="AG540" s="188">
        <f t="shared" si="784"/>
        <v>325712.93999999989</v>
      </c>
      <c r="AH540" s="188">
        <f t="shared" si="785"/>
        <v>575881.85999999975</v>
      </c>
      <c r="AI540" s="404">
        <f t="shared" si="777"/>
        <v>0</v>
      </c>
      <c r="AJ540" s="404">
        <f t="shared" ref="AJ540:AJ544" si="821">+W540-AL540</f>
        <v>0</v>
      </c>
      <c r="AK540" s="404">
        <f t="shared" si="778"/>
        <v>0</v>
      </c>
      <c r="AL540" s="188">
        <f t="shared" si="786"/>
        <v>0</v>
      </c>
      <c r="AM540" s="317">
        <f t="shared" si="809"/>
        <v>0</v>
      </c>
    </row>
    <row r="541" spans="1:49">
      <c r="A541" s="395"/>
      <c r="L541" s="317">
        <f t="shared" si="762"/>
        <v>0</v>
      </c>
      <c r="M541" s="317"/>
      <c r="X541" s="395">
        <f t="shared" si="807"/>
        <v>0</v>
      </c>
      <c r="Y541" s="188">
        <f t="shared" si="780"/>
        <v>0</v>
      </c>
      <c r="Z541" s="388">
        <f t="shared" si="803"/>
        <v>8.4999999999999992E-2</v>
      </c>
      <c r="AA541" s="14">
        <f t="shared" si="804"/>
        <v>0</v>
      </c>
      <c r="AB541" s="14">
        <f t="shared" si="781"/>
        <v>0</v>
      </c>
      <c r="AC541" s="14">
        <f t="shared" si="805"/>
        <v>0</v>
      </c>
      <c r="AD541" s="14">
        <f t="shared" ref="AD541:AE541" si="822">+AD540</f>
        <v>51.5</v>
      </c>
      <c r="AE541" s="14">
        <f t="shared" si="822"/>
        <v>145.09666666666666</v>
      </c>
      <c r="AF541" s="14">
        <f t="shared" si="783"/>
        <v>196.59666666666666</v>
      </c>
      <c r="AG541" s="188">
        <f t="shared" si="784"/>
        <v>325712.93999999989</v>
      </c>
      <c r="AH541" s="188">
        <f t="shared" si="785"/>
        <v>575881.85999999975</v>
      </c>
      <c r="AI541" s="404">
        <f t="shared" si="777"/>
        <v>0</v>
      </c>
      <c r="AJ541" s="404">
        <f t="shared" si="821"/>
        <v>0</v>
      </c>
      <c r="AK541" s="404">
        <f t="shared" si="778"/>
        <v>0</v>
      </c>
      <c r="AL541" s="188">
        <f t="shared" si="786"/>
        <v>0</v>
      </c>
      <c r="AM541" s="317">
        <f t="shared" si="809"/>
        <v>0</v>
      </c>
    </row>
    <row r="542" spans="1:49">
      <c r="A542" s="395"/>
      <c r="L542" s="317">
        <f t="shared" si="762"/>
        <v>0</v>
      </c>
      <c r="M542" s="317"/>
      <c r="X542" s="395">
        <f t="shared" si="807"/>
        <v>0</v>
      </c>
      <c r="Y542" s="188">
        <f t="shared" si="780"/>
        <v>0</v>
      </c>
      <c r="Z542" s="388">
        <f t="shared" si="803"/>
        <v>8.4999999999999992E-2</v>
      </c>
      <c r="AA542" s="14">
        <f t="shared" si="804"/>
        <v>0</v>
      </c>
      <c r="AB542" s="14">
        <f t="shared" si="781"/>
        <v>0</v>
      </c>
      <c r="AC542" s="14">
        <f t="shared" si="805"/>
        <v>0</v>
      </c>
      <c r="AD542" s="14">
        <f t="shared" ref="AD542:AE542" si="823">+AD541</f>
        <v>51.5</v>
      </c>
      <c r="AE542" s="14">
        <f t="shared" si="823"/>
        <v>145.09666666666666</v>
      </c>
      <c r="AF542" s="14">
        <f t="shared" si="783"/>
        <v>196.59666666666666</v>
      </c>
      <c r="AG542" s="188">
        <f t="shared" si="784"/>
        <v>325712.93999999989</v>
      </c>
      <c r="AH542" s="188">
        <f t="shared" si="785"/>
        <v>575881.85999999975</v>
      </c>
      <c r="AI542" s="404">
        <f t="shared" si="777"/>
        <v>0</v>
      </c>
      <c r="AJ542" s="404">
        <f t="shared" si="821"/>
        <v>0</v>
      </c>
      <c r="AK542" s="404">
        <f t="shared" si="778"/>
        <v>0</v>
      </c>
      <c r="AL542" s="188">
        <f t="shared" si="786"/>
        <v>0</v>
      </c>
      <c r="AM542" s="317">
        <f t="shared" si="809"/>
        <v>0</v>
      </c>
    </row>
    <row r="543" spans="1:49" ht="15.75" thickBot="1">
      <c r="A543" s="398"/>
      <c r="B543" s="237"/>
      <c r="C543" s="21"/>
      <c r="D543" s="21"/>
      <c r="E543" s="21"/>
      <c r="F543" s="21"/>
      <c r="G543" s="21"/>
      <c r="H543" s="21"/>
      <c r="I543" s="237"/>
      <c r="J543" s="237"/>
      <c r="K543" s="237"/>
      <c r="L543" s="318">
        <f t="shared" si="762"/>
        <v>0</v>
      </c>
      <c r="M543" s="318"/>
      <c r="N543" s="237"/>
      <c r="U543" s="237"/>
      <c r="V543" s="237"/>
      <c r="W543" s="237"/>
      <c r="X543" s="398">
        <f t="shared" si="807"/>
        <v>0</v>
      </c>
      <c r="Y543" s="188">
        <f t="shared" si="780"/>
        <v>0</v>
      </c>
      <c r="Z543" s="388">
        <f t="shared" si="803"/>
        <v>8.4999999999999992E-2</v>
      </c>
      <c r="AA543" s="14">
        <f t="shared" si="804"/>
        <v>0</v>
      </c>
      <c r="AB543" s="14">
        <f t="shared" si="781"/>
        <v>0</v>
      </c>
      <c r="AC543" s="14">
        <f t="shared" si="805"/>
        <v>0</v>
      </c>
      <c r="AD543" s="14">
        <f t="shared" ref="AD543:AE543" si="824">+AD542</f>
        <v>51.5</v>
      </c>
      <c r="AE543" s="14">
        <f t="shared" si="824"/>
        <v>145.09666666666666</v>
      </c>
      <c r="AF543" s="14">
        <f t="shared" si="783"/>
        <v>196.59666666666666</v>
      </c>
      <c r="AG543" s="188">
        <f t="shared" si="784"/>
        <v>325712.93999999989</v>
      </c>
      <c r="AH543" s="188">
        <f t="shared" si="785"/>
        <v>575881.85999999975</v>
      </c>
      <c r="AI543" s="404">
        <f t="shared" si="777"/>
        <v>0</v>
      </c>
      <c r="AJ543" s="404">
        <f t="shared" si="821"/>
        <v>0</v>
      </c>
      <c r="AK543" s="404">
        <f t="shared" si="778"/>
        <v>0</v>
      </c>
      <c r="AL543" s="188">
        <f t="shared" si="786"/>
        <v>0</v>
      </c>
      <c r="AM543" s="318">
        <f t="shared" si="809"/>
        <v>0</v>
      </c>
      <c r="AN543" s="21"/>
      <c r="AO543" s="21"/>
      <c r="AP543" s="21"/>
      <c r="AQ543" s="21"/>
      <c r="AR543" s="23"/>
      <c r="AS543" s="21"/>
      <c r="AT543" s="21"/>
      <c r="AU543" s="237"/>
      <c r="AV543" s="237"/>
      <c r="AW543" s="21"/>
    </row>
    <row r="544" spans="1:49">
      <c r="A544" s="395"/>
      <c r="L544" s="317">
        <f t="shared" si="762"/>
        <v>0</v>
      </c>
      <c r="M544" s="317"/>
      <c r="X544" s="395">
        <f t="shared" si="807"/>
        <v>0</v>
      </c>
      <c r="Y544" s="188">
        <f t="shared" si="780"/>
        <v>0</v>
      </c>
      <c r="Z544" s="388">
        <f t="shared" si="803"/>
        <v>8.4999999999999992E-2</v>
      </c>
      <c r="AA544" s="14">
        <f t="shared" si="804"/>
        <v>0</v>
      </c>
      <c r="AB544" s="14">
        <f t="shared" si="781"/>
        <v>0</v>
      </c>
      <c r="AC544" s="14">
        <f t="shared" si="805"/>
        <v>0</v>
      </c>
      <c r="AD544" s="14">
        <f t="shared" ref="AD544:AE544" si="825">+AD543</f>
        <v>51.5</v>
      </c>
      <c r="AE544" s="14">
        <f t="shared" si="825"/>
        <v>145.09666666666666</v>
      </c>
      <c r="AF544" s="14">
        <f t="shared" si="783"/>
        <v>196.59666666666666</v>
      </c>
      <c r="AG544" s="188">
        <f t="shared" si="784"/>
        <v>325712.93999999989</v>
      </c>
      <c r="AH544" s="188">
        <f t="shared" si="785"/>
        <v>575881.85999999975</v>
      </c>
      <c r="AI544" s="404">
        <f t="shared" si="777"/>
        <v>0</v>
      </c>
      <c r="AJ544" s="404">
        <f t="shared" si="821"/>
        <v>0</v>
      </c>
      <c r="AK544" s="404">
        <f t="shared" si="778"/>
        <v>0</v>
      </c>
      <c r="AL544" s="188">
        <f t="shared" si="786"/>
        <v>0</v>
      </c>
      <c r="AM544" s="317">
        <f t="shared" si="809"/>
        <v>0</v>
      </c>
    </row>
    <row r="545" spans="1:49">
      <c r="A545" s="395"/>
      <c r="L545" s="317">
        <f t="shared" si="762"/>
        <v>0</v>
      </c>
      <c r="M545" s="317"/>
      <c r="X545" s="395">
        <f t="shared" si="807"/>
        <v>0</v>
      </c>
      <c r="AM545" s="317">
        <f t="shared" si="809"/>
        <v>0</v>
      </c>
    </row>
    <row r="546" spans="1:49">
      <c r="A546" s="395"/>
      <c r="L546" s="317">
        <f t="shared" si="762"/>
        <v>0</v>
      </c>
      <c r="M546" s="317"/>
      <c r="X546" s="395">
        <f t="shared" si="807"/>
        <v>0</v>
      </c>
      <c r="AM546" s="317">
        <f t="shared" si="809"/>
        <v>0</v>
      </c>
    </row>
    <row r="547" spans="1:49">
      <c r="A547" s="395"/>
      <c r="L547" s="317">
        <f t="shared" si="762"/>
        <v>0</v>
      </c>
      <c r="M547" s="317"/>
      <c r="X547" s="395">
        <f t="shared" si="807"/>
        <v>0</v>
      </c>
      <c r="AM547" s="317">
        <f t="shared" si="809"/>
        <v>0</v>
      </c>
    </row>
    <row r="548" spans="1:49">
      <c r="A548" s="395"/>
      <c r="L548" s="317">
        <f t="shared" si="762"/>
        <v>0</v>
      </c>
      <c r="M548" s="317"/>
      <c r="X548" s="395">
        <f t="shared" si="807"/>
        <v>0</v>
      </c>
      <c r="AM548" s="317">
        <f t="shared" si="809"/>
        <v>0</v>
      </c>
    </row>
    <row r="549" spans="1:49">
      <c r="A549" s="395"/>
      <c r="L549" s="317">
        <f t="shared" si="762"/>
        <v>0</v>
      </c>
      <c r="M549" s="317"/>
      <c r="X549" s="395">
        <f t="shared" si="807"/>
        <v>0</v>
      </c>
      <c r="AM549" s="317">
        <f t="shared" si="809"/>
        <v>0</v>
      </c>
    </row>
    <row r="550" spans="1:49">
      <c r="A550" s="395"/>
      <c r="L550" s="317">
        <f t="shared" si="762"/>
        <v>0</v>
      </c>
      <c r="M550" s="317"/>
      <c r="X550" s="395">
        <f t="shared" si="807"/>
        <v>0</v>
      </c>
      <c r="AM550" s="317">
        <f t="shared" si="809"/>
        <v>0</v>
      </c>
    </row>
    <row r="551" spans="1:49">
      <c r="A551" s="395"/>
      <c r="L551" s="317">
        <f t="shared" si="762"/>
        <v>0</v>
      </c>
      <c r="M551" s="317"/>
      <c r="X551" s="395">
        <f t="shared" si="807"/>
        <v>0</v>
      </c>
      <c r="AM551" s="317">
        <f t="shared" si="809"/>
        <v>0</v>
      </c>
    </row>
    <row r="552" spans="1:49">
      <c r="A552" s="395"/>
      <c r="L552" s="317">
        <f t="shared" si="762"/>
        <v>0</v>
      </c>
      <c r="M552" s="317"/>
      <c r="X552" s="395">
        <f t="shared" si="807"/>
        <v>0</v>
      </c>
      <c r="AM552" s="317">
        <f t="shared" si="809"/>
        <v>0</v>
      </c>
    </row>
    <row r="553" spans="1:49">
      <c r="A553" s="395"/>
      <c r="L553" s="317">
        <f t="shared" si="762"/>
        <v>0</v>
      </c>
      <c r="M553" s="317"/>
      <c r="X553" s="395">
        <f t="shared" si="807"/>
        <v>0</v>
      </c>
      <c r="AM553" s="317">
        <f t="shared" si="809"/>
        <v>0</v>
      </c>
    </row>
    <row r="554" spans="1:49">
      <c r="A554" s="395"/>
      <c r="L554" s="317">
        <f t="shared" si="762"/>
        <v>0</v>
      </c>
      <c r="M554" s="317"/>
      <c r="X554" s="395">
        <f t="shared" si="807"/>
        <v>0</v>
      </c>
      <c r="AM554" s="317">
        <f t="shared" si="809"/>
        <v>0</v>
      </c>
    </row>
    <row r="555" spans="1:49" ht="15.75" thickBot="1">
      <c r="A555" s="398"/>
      <c r="B555" s="237"/>
      <c r="C555" s="21"/>
      <c r="D555" s="21"/>
      <c r="E555" s="21"/>
      <c r="F555" s="21"/>
      <c r="G555" s="21"/>
      <c r="H555" s="21"/>
      <c r="I555" s="237"/>
      <c r="J555" s="237"/>
      <c r="K555" s="237"/>
      <c r="L555" s="318">
        <f t="shared" si="762"/>
        <v>0</v>
      </c>
      <c r="M555" s="318"/>
      <c r="N555" s="237"/>
      <c r="O555" s="21"/>
      <c r="P555" s="21"/>
      <c r="Q555" s="21"/>
      <c r="R555" s="21"/>
      <c r="S555" s="21"/>
      <c r="T555" s="21"/>
      <c r="U555" s="237"/>
      <c r="V555" s="237"/>
      <c r="W555" s="237"/>
      <c r="X555" s="398">
        <f t="shared" si="807"/>
        <v>0</v>
      </c>
      <c r="Y555" s="237"/>
      <c r="Z555" s="389"/>
      <c r="AA555" s="21"/>
      <c r="AB555" s="21"/>
      <c r="AC555" s="21"/>
      <c r="AD555" s="21"/>
      <c r="AE555" s="21"/>
      <c r="AF555" s="21"/>
      <c r="AG555" s="237"/>
      <c r="AH555" s="237"/>
      <c r="AI555" s="237"/>
      <c r="AJ555" s="237"/>
      <c r="AK555" s="237"/>
      <c r="AL555" s="237"/>
      <c r="AM555" s="318">
        <f t="shared" si="809"/>
        <v>0</v>
      </c>
      <c r="AN555" s="21"/>
      <c r="AO555" s="21"/>
      <c r="AP555" s="21"/>
      <c r="AQ555" s="21"/>
      <c r="AR555" s="23"/>
      <c r="AS555" s="21"/>
      <c r="AT555" s="21"/>
      <c r="AU555" s="237"/>
      <c r="AV555" s="237"/>
      <c r="AW555" s="21"/>
    </row>
    <row r="556" spans="1:49">
      <c r="A556" s="395"/>
      <c r="L556" s="317">
        <f t="shared" si="762"/>
        <v>0</v>
      </c>
      <c r="M556" s="317"/>
      <c r="X556" s="395">
        <f t="shared" si="807"/>
        <v>0</v>
      </c>
      <c r="AM556" s="317">
        <f t="shared" si="809"/>
        <v>0</v>
      </c>
    </row>
    <row r="557" spans="1:49">
      <c r="A557" s="395"/>
      <c r="L557" s="317">
        <f t="shared" si="762"/>
        <v>0</v>
      </c>
      <c r="M557" s="317"/>
      <c r="X557" s="395">
        <f t="shared" si="807"/>
        <v>0</v>
      </c>
      <c r="AM557" s="317">
        <f t="shared" si="809"/>
        <v>0</v>
      </c>
    </row>
    <row r="558" spans="1:49">
      <c r="A558" s="395"/>
      <c r="L558" s="317">
        <f t="shared" si="762"/>
        <v>0</v>
      </c>
      <c r="M558" s="317"/>
      <c r="X558" s="395">
        <f t="shared" si="807"/>
        <v>0</v>
      </c>
      <c r="AM558" s="317">
        <f t="shared" si="809"/>
        <v>0</v>
      </c>
    </row>
    <row r="559" spans="1:49">
      <c r="A559" s="395"/>
      <c r="L559" s="317">
        <f t="shared" si="762"/>
        <v>0</v>
      </c>
      <c r="M559" s="317"/>
      <c r="X559" s="395">
        <f t="shared" si="807"/>
        <v>0</v>
      </c>
      <c r="AM559" s="317">
        <f t="shared" si="809"/>
        <v>0</v>
      </c>
    </row>
    <row r="560" spans="1:49">
      <c r="A560" s="395"/>
      <c r="L560" s="317">
        <f t="shared" ref="L560:L623" si="826">IF(MOD(M560,12)=0,M560/12,L559)</f>
        <v>0</v>
      </c>
      <c r="M560" s="317"/>
      <c r="X560" s="395">
        <f t="shared" si="807"/>
        <v>0</v>
      </c>
      <c r="AM560" s="317">
        <f t="shared" si="809"/>
        <v>0</v>
      </c>
    </row>
    <row r="561" spans="1:49">
      <c r="A561" s="395"/>
      <c r="L561" s="317">
        <f t="shared" si="826"/>
        <v>0</v>
      </c>
      <c r="M561" s="317"/>
      <c r="X561" s="395">
        <f t="shared" si="807"/>
        <v>0</v>
      </c>
      <c r="AM561" s="317">
        <f t="shared" si="809"/>
        <v>0</v>
      </c>
    </row>
    <row r="562" spans="1:49">
      <c r="A562" s="395"/>
      <c r="L562" s="317">
        <f t="shared" si="826"/>
        <v>0</v>
      </c>
      <c r="M562" s="317"/>
      <c r="X562" s="395">
        <f t="shared" si="807"/>
        <v>0</v>
      </c>
      <c r="AM562" s="317">
        <f t="shared" si="809"/>
        <v>0</v>
      </c>
    </row>
    <row r="563" spans="1:49">
      <c r="A563" s="395"/>
      <c r="L563" s="317">
        <f t="shared" si="826"/>
        <v>0</v>
      </c>
      <c r="M563" s="317"/>
      <c r="X563" s="395">
        <f t="shared" si="807"/>
        <v>0</v>
      </c>
      <c r="AM563" s="317">
        <f t="shared" si="809"/>
        <v>0</v>
      </c>
    </row>
    <row r="564" spans="1:49">
      <c r="A564" s="395"/>
      <c r="L564" s="317">
        <f t="shared" si="826"/>
        <v>0</v>
      </c>
      <c r="M564" s="317"/>
      <c r="X564" s="395">
        <f t="shared" si="807"/>
        <v>0</v>
      </c>
      <c r="AM564" s="317">
        <f t="shared" si="809"/>
        <v>0</v>
      </c>
    </row>
    <row r="565" spans="1:49">
      <c r="A565" s="395"/>
      <c r="L565" s="317">
        <f t="shared" si="826"/>
        <v>0</v>
      </c>
      <c r="M565" s="317"/>
      <c r="X565" s="395">
        <f t="shared" si="807"/>
        <v>0</v>
      </c>
      <c r="AM565" s="317">
        <f t="shared" si="809"/>
        <v>0</v>
      </c>
    </row>
    <row r="566" spans="1:49">
      <c r="A566" s="395"/>
      <c r="L566" s="317">
        <f t="shared" si="826"/>
        <v>0</v>
      </c>
      <c r="M566" s="317"/>
      <c r="X566" s="395">
        <f t="shared" si="807"/>
        <v>0</v>
      </c>
      <c r="AM566" s="317">
        <f t="shared" si="809"/>
        <v>0</v>
      </c>
    </row>
    <row r="567" spans="1:49" ht="15.75" thickBot="1">
      <c r="A567" s="398"/>
      <c r="B567" s="237"/>
      <c r="C567" s="21"/>
      <c r="D567" s="21"/>
      <c r="E567" s="21"/>
      <c r="F567" s="21"/>
      <c r="G567" s="21"/>
      <c r="H567" s="21"/>
      <c r="I567" s="237"/>
      <c r="J567" s="237"/>
      <c r="K567" s="237"/>
      <c r="L567" s="318">
        <f t="shared" si="826"/>
        <v>0</v>
      </c>
      <c r="M567" s="318"/>
      <c r="N567" s="237"/>
      <c r="O567" s="21"/>
      <c r="P567" s="21"/>
      <c r="Q567" s="21"/>
      <c r="R567" s="21"/>
      <c r="S567" s="21"/>
      <c r="T567" s="21"/>
      <c r="U567" s="237"/>
      <c r="V567" s="237"/>
      <c r="W567" s="237"/>
      <c r="X567" s="398">
        <f t="shared" si="807"/>
        <v>0</v>
      </c>
      <c r="Y567" s="237"/>
      <c r="Z567" s="389"/>
      <c r="AA567" s="21"/>
      <c r="AB567" s="21"/>
      <c r="AC567" s="21"/>
      <c r="AD567" s="21"/>
      <c r="AE567" s="21"/>
      <c r="AF567" s="21"/>
      <c r="AG567" s="237"/>
      <c r="AH567" s="237"/>
      <c r="AI567" s="237"/>
      <c r="AJ567" s="237"/>
      <c r="AK567" s="237"/>
      <c r="AL567" s="237"/>
      <c r="AM567" s="318">
        <f t="shared" si="809"/>
        <v>0</v>
      </c>
      <c r="AN567" s="21"/>
      <c r="AO567" s="21"/>
      <c r="AP567" s="21"/>
      <c r="AQ567" s="21"/>
      <c r="AR567" s="23"/>
      <c r="AS567" s="21"/>
      <c r="AT567" s="21"/>
      <c r="AU567" s="237"/>
      <c r="AV567" s="237"/>
      <c r="AW567" s="21"/>
    </row>
    <row r="568" spans="1:49">
      <c r="A568" s="395"/>
      <c r="L568" s="317">
        <f t="shared" si="826"/>
        <v>0</v>
      </c>
      <c r="M568" s="317"/>
      <c r="X568" s="395">
        <f t="shared" si="807"/>
        <v>0</v>
      </c>
      <c r="AM568" s="317">
        <f t="shared" si="809"/>
        <v>0</v>
      </c>
    </row>
    <row r="569" spans="1:49">
      <c r="A569" s="395"/>
      <c r="L569" s="317">
        <f t="shared" si="826"/>
        <v>0</v>
      </c>
      <c r="M569" s="317"/>
      <c r="X569" s="395">
        <f t="shared" si="807"/>
        <v>0</v>
      </c>
      <c r="AM569" s="317">
        <f t="shared" si="809"/>
        <v>0</v>
      </c>
    </row>
    <row r="570" spans="1:49">
      <c r="A570" s="395"/>
      <c r="L570" s="317">
        <f t="shared" si="826"/>
        <v>0</v>
      </c>
      <c r="M570" s="317"/>
      <c r="X570" s="395">
        <f t="shared" si="807"/>
        <v>0</v>
      </c>
      <c r="AM570" s="317">
        <f t="shared" si="809"/>
        <v>0</v>
      </c>
    </row>
    <row r="571" spans="1:49">
      <c r="A571" s="395"/>
      <c r="L571" s="317">
        <f t="shared" si="826"/>
        <v>0</v>
      </c>
      <c r="M571" s="317"/>
      <c r="X571" s="395">
        <f t="shared" si="807"/>
        <v>0</v>
      </c>
      <c r="AM571" s="317">
        <f t="shared" si="809"/>
        <v>0</v>
      </c>
    </row>
    <row r="572" spans="1:49">
      <c r="A572" s="395"/>
      <c r="L572" s="317">
        <f t="shared" si="826"/>
        <v>0</v>
      </c>
      <c r="M572" s="317"/>
      <c r="X572" s="395">
        <f t="shared" si="807"/>
        <v>0</v>
      </c>
      <c r="AM572" s="317">
        <f t="shared" si="809"/>
        <v>0</v>
      </c>
    </row>
    <row r="573" spans="1:49">
      <c r="A573" s="395"/>
      <c r="L573" s="317">
        <f t="shared" si="826"/>
        <v>0</v>
      </c>
      <c r="M573" s="317"/>
      <c r="X573" s="395">
        <f t="shared" si="807"/>
        <v>0</v>
      </c>
      <c r="AM573" s="317">
        <f t="shared" si="809"/>
        <v>0</v>
      </c>
    </row>
    <row r="574" spans="1:49">
      <c r="A574" s="395"/>
      <c r="L574" s="317">
        <f t="shared" si="826"/>
        <v>0</v>
      </c>
      <c r="M574" s="317"/>
      <c r="X574" s="395">
        <f t="shared" si="807"/>
        <v>0</v>
      </c>
      <c r="AM574" s="317">
        <f t="shared" si="809"/>
        <v>0</v>
      </c>
    </row>
    <row r="575" spans="1:49">
      <c r="A575" s="395"/>
      <c r="L575" s="317">
        <f t="shared" si="826"/>
        <v>0</v>
      </c>
      <c r="M575" s="317"/>
      <c r="X575" s="395">
        <f t="shared" si="807"/>
        <v>0</v>
      </c>
      <c r="AM575" s="317">
        <f t="shared" si="809"/>
        <v>0</v>
      </c>
    </row>
    <row r="576" spans="1:49">
      <c r="A576" s="395"/>
      <c r="L576" s="317">
        <f t="shared" si="826"/>
        <v>0</v>
      </c>
      <c r="M576" s="317"/>
      <c r="X576" s="395">
        <f t="shared" si="807"/>
        <v>0</v>
      </c>
      <c r="AM576" s="317">
        <f t="shared" si="809"/>
        <v>0</v>
      </c>
    </row>
    <row r="577" spans="1:49">
      <c r="A577" s="395"/>
      <c r="L577" s="317">
        <f t="shared" si="826"/>
        <v>0</v>
      </c>
      <c r="M577" s="317"/>
      <c r="X577" s="395">
        <f t="shared" si="807"/>
        <v>0</v>
      </c>
      <c r="AM577" s="317">
        <f t="shared" si="809"/>
        <v>0</v>
      </c>
    </row>
    <row r="578" spans="1:49">
      <c r="A578" s="395"/>
      <c r="L578" s="317">
        <f t="shared" si="826"/>
        <v>0</v>
      </c>
      <c r="M578" s="317"/>
      <c r="X578" s="395">
        <f t="shared" si="807"/>
        <v>0</v>
      </c>
      <c r="AM578" s="317">
        <f t="shared" si="809"/>
        <v>0</v>
      </c>
    </row>
    <row r="579" spans="1:49" ht="15.75" thickBot="1">
      <c r="A579" s="398"/>
      <c r="B579" s="237"/>
      <c r="C579" s="21"/>
      <c r="D579" s="21"/>
      <c r="E579" s="21"/>
      <c r="F579" s="21"/>
      <c r="G579" s="21"/>
      <c r="H579" s="21"/>
      <c r="I579" s="237"/>
      <c r="J579" s="237"/>
      <c r="K579" s="237"/>
      <c r="L579" s="318">
        <f t="shared" si="826"/>
        <v>0</v>
      </c>
      <c r="M579" s="318"/>
      <c r="N579" s="237"/>
      <c r="O579" s="21"/>
      <c r="P579" s="21"/>
      <c r="Q579" s="21"/>
      <c r="R579" s="21"/>
      <c r="S579" s="21"/>
      <c r="T579" s="21"/>
      <c r="U579" s="237"/>
      <c r="V579" s="237"/>
      <c r="W579" s="237"/>
      <c r="X579" s="398">
        <f t="shared" si="807"/>
        <v>0</v>
      </c>
      <c r="Y579" s="237"/>
      <c r="Z579" s="389"/>
      <c r="AA579" s="21"/>
      <c r="AB579" s="21"/>
      <c r="AC579" s="21"/>
      <c r="AD579" s="21"/>
      <c r="AE579" s="21"/>
      <c r="AF579" s="21"/>
      <c r="AG579" s="237"/>
      <c r="AH579" s="237"/>
      <c r="AI579" s="237"/>
      <c r="AJ579" s="237"/>
      <c r="AK579" s="237"/>
      <c r="AL579" s="237"/>
      <c r="AM579" s="318">
        <f t="shared" si="809"/>
        <v>0</v>
      </c>
      <c r="AN579" s="21"/>
      <c r="AO579" s="21"/>
      <c r="AP579" s="21"/>
      <c r="AQ579" s="21"/>
      <c r="AR579" s="23"/>
      <c r="AS579" s="21"/>
      <c r="AT579" s="21"/>
      <c r="AU579" s="237"/>
      <c r="AV579" s="237"/>
      <c r="AW579" s="21"/>
    </row>
    <row r="580" spans="1:49">
      <c r="A580" s="395"/>
      <c r="L580" s="317">
        <f t="shared" si="826"/>
        <v>0</v>
      </c>
      <c r="M580" s="317"/>
      <c r="X580" s="395">
        <f t="shared" si="807"/>
        <v>0</v>
      </c>
      <c r="AM580" s="317">
        <f t="shared" si="809"/>
        <v>0</v>
      </c>
    </row>
    <row r="581" spans="1:49">
      <c r="A581" s="395"/>
      <c r="L581" s="317">
        <f t="shared" si="826"/>
        <v>0</v>
      </c>
      <c r="M581" s="317"/>
      <c r="X581" s="395">
        <f t="shared" si="807"/>
        <v>0</v>
      </c>
      <c r="AM581" s="317">
        <f t="shared" si="809"/>
        <v>0</v>
      </c>
    </row>
    <row r="582" spans="1:49">
      <c r="A582" s="395"/>
      <c r="L582" s="317">
        <f t="shared" si="826"/>
        <v>0</v>
      </c>
      <c r="M582" s="317"/>
      <c r="X582" s="395">
        <f t="shared" si="807"/>
        <v>0</v>
      </c>
      <c r="AM582" s="317">
        <f t="shared" si="809"/>
        <v>0</v>
      </c>
    </row>
    <row r="583" spans="1:49">
      <c r="A583" s="395"/>
      <c r="L583" s="317">
        <f t="shared" si="826"/>
        <v>0</v>
      </c>
      <c r="M583" s="317"/>
      <c r="X583" s="395">
        <f t="shared" si="807"/>
        <v>0</v>
      </c>
      <c r="AM583" s="317">
        <f t="shared" si="809"/>
        <v>0</v>
      </c>
    </row>
    <row r="584" spans="1:49">
      <c r="A584" s="395"/>
      <c r="L584" s="317">
        <f t="shared" si="826"/>
        <v>0</v>
      </c>
      <c r="M584" s="317"/>
      <c r="X584" s="395">
        <f t="shared" si="807"/>
        <v>0</v>
      </c>
      <c r="AM584" s="317">
        <f t="shared" si="809"/>
        <v>0</v>
      </c>
    </row>
    <row r="585" spans="1:49">
      <c r="A585" s="395"/>
      <c r="L585" s="317">
        <f t="shared" si="826"/>
        <v>0</v>
      </c>
      <c r="M585" s="317"/>
      <c r="X585" s="395">
        <f t="shared" si="807"/>
        <v>0</v>
      </c>
      <c r="AM585" s="317">
        <f t="shared" si="809"/>
        <v>0</v>
      </c>
    </row>
    <row r="586" spans="1:49">
      <c r="A586" s="395"/>
      <c r="L586" s="317">
        <f t="shared" si="826"/>
        <v>0</v>
      </c>
      <c r="M586" s="317"/>
      <c r="X586" s="395">
        <f t="shared" si="807"/>
        <v>0</v>
      </c>
      <c r="AM586" s="317">
        <f t="shared" si="809"/>
        <v>0</v>
      </c>
    </row>
    <row r="587" spans="1:49">
      <c r="A587" s="395"/>
      <c r="L587" s="317">
        <f t="shared" si="826"/>
        <v>0</v>
      </c>
      <c r="M587" s="317"/>
      <c r="X587" s="395">
        <f t="shared" si="807"/>
        <v>0</v>
      </c>
      <c r="AM587" s="317">
        <f t="shared" si="809"/>
        <v>0</v>
      </c>
    </row>
    <row r="588" spans="1:49">
      <c r="A588" s="395"/>
      <c r="L588" s="317">
        <f t="shared" si="826"/>
        <v>0</v>
      </c>
      <c r="M588" s="317"/>
      <c r="X588" s="395">
        <f t="shared" si="807"/>
        <v>0</v>
      </c>
      <c r="AM588" s="317">
        <f t="shared" si="809"/>
        <v>0</v>
      </c>
    </row>
    <row r="589" spans="1:49">
      <c r="A589" s="395"/>
      <c r="L589" s="317">
        <f t="shared" si="826"/>
        <v>0</v>
      </c>
      <c r="M589" s="317"/>
      <c r="X589" s="395">
        <f t="shared" si="807"/>
        <v>0</v>
      </c>
      <c r="AM589" s="317">
        <f t="shared" si="809"/>
        <v>0</v>
      </c>
    </row>
    <row r="590" spans="1:49">
      <c r="A590" s="395"/>
      <c r="L590" s="317">
        <f t="shared" si="826"/>
        <v>0</v>
      </c>
      <c r="M590" s="317"/>
      <c r="X590" s="395">
        <f t="shared" si="807"/>
        <v>0</v>
      </c>
      <c r="AM590" s="317">
        <f t="shared" si="809"/>
        <v>0</v>
      </c>
    </row>
    <row r="591" spans="1:49" ht="15.75" thickBot="1">
      <c r="A591" s="398"/>
      <c r="B591" s="237"/>
      <c r="C591" s="21"/>
      <c r="D591" s="21"/>
      <c r="E591" s="21"/>
      <c r="F591" s="21"/>
      <c r="G591" s="21"/>
      <c r="H591" s="21"/>
      <c r="I591" s="237"/>
      <c r="J591" s="237"/>
      <c r="K591" s="237"/>
      <c r="L591" s="318">
        <f t="shared" si="826"/>
        <v>0</v>
      </c>
      <c r="M591" s="318"/>
      <c r="N591" s="237"/>
      <c r="O591" s="21"/>
      <c r="P591" s="21"/>
      <c r="Q591" s="21"/>
      <c r="R591" s="21"/>
      <c r="S591" s="21"/>
      <c r="T591" s="21"/>
      <c r="U591" s="237"/>
      <c r="V591" s="237"/>
      <c r="W591" s="237"/>
      <c r="X591" s="398">
        <f t="shared" si="807"/>
        <v>0</v>
      </c>
      <c r="Y591" s="237"/>
      <c r="Z591" s="389"/>
      <c r="AA591" s="21"/>
      <c r="AB591" s="21"/>
      <c r="AC591" s="21"/>
      <c r="AD591" s="21"/>
      <c r="AE591" s="21"/>
      <c r="AF591" s="21"/>
      <c r="AG591" s="237"/>
      <c r="AH591" s="237"/>
      <c r="AI591" s="237"/>
      <c r="AJ591" s="237"/>
      <c r="AK591" s="237"/>
      <c r="AL591" s="237"/>
      <c r="AM591" s="318">
        <f t="shared" si="809"/>
        <v>0</v>
      </c>
      <c r="AN591" s="21"/>
      <c r="AO591" s="21"/>
      <c r="AP591" s="21"/>
      <c r="AQ591" s="21"/>
      <c r="AR591" s="23"/>
      <c r="AS591" s="21"/>
      <c r="AT591" s="21"/>
      <c r="AU591" s="237"/>
      <c r="AV591" s="237"/>
      <c r="AW591" s="21"/>
    </row>
    <row r="592" spans="1:49">
      <c r="A592" s="395"/>
      <c r="L592" s="317">
        <f t="shared" si="826"/>
        <v>0</v>
      </c>
      <c r="M592" s="317"/>
      <c r="X592" s="395">
        <f t="shared" si="807"/>
        <v>0</v>
      </c>
      <c r="AM592" s="317">
        <f t="shared" si="809"/>
        <v>0</v>
      </c>
    </row>
    <row r="593" spans="1:49">
      <c r="A593" s="395"/>
      <c r="L593" s="317">
        <f t="shared" si="826"/>
        <v>0</v>
      </c>
      <c r="M593" s="317"/>
      <c r="X593" s="395">
        <f t="shared" ref="X593:X656" si="827">+A593</f>
        <v>0</v>
      </c>
      <c r="AM593" s="317">
        <f t="shared" ref="AM593:AM656" si="828">+L593</f>
        <v>0</v>
      </c>
    </row>
    <row r="594" spans="1:49">
      <c r="A594" s="395"/>
      <c r="L594" s="317">
        <f t="shared" si="826"/>
        <v>0</v>
      </c>
      <c r="M594" s="317"/>
      <c r="X594" s="395">
        <f t="shared" si="827"/>
        <v>0</v>
      </c>
      <c r="AM594" s="317">
        <f t="shared" si="828"/>
        <v>0</v>
      </c>
    </row>
    <row r="595" spans="1:49">
      <c r="A595" s="395"/>
      <c r="L595" s="317">
        <f t="shared" si="826"/>
        <v>0</v>
      </c>
      <c r="M595" s="317"/>
      <c r="X595" s="395">
        <f t="shared" si="827"/>
        <v>0</v>
      </c>
      <c r="AM595" s="317">
        <f t="shared" si="828"/>
        <v>0</v>
      </c>
    </row>
    <row r="596" spans="1:49">
      <c r="A596" s="395"/>
      <c r="L596" s="317">
        <f t="shared" si="826"/>
        <v>0</v>
      </c>
      <c r="M596" s="317"/>
      <c r="X596" s="395">
        <f t="shared" si="827"/>
        <v>0</v>
      </c>
      <c r="AM596" s="317">
        <f t="shared" si="828"/>
        <v>0</v>
      </c>
    </row>
    <row r="597" spans="1:49">
      <c r="A597" s="395"/>
      <c r="L597" s="317">
        <f t="shared" si="826"/>
        <v>0</v>
      </c>
      <c r="M597" s="317"/>
      <c r="X597" s="395">
        <f t="shared" si="827"/>
        <v>0</v>
      </c>
      <c r="AM597" s="317">
        <f t="shared" si="828"/>
        <v>0</v>
      </c>
    </row>
    <row r="598" spans="1:49">
      <c r="A598" s="395"/>
      <c r="L598" s="317">
        <f t="shared" si="826"/>
        <v>0</v>
      </c>
      <c r="M598" s="317"/>
      <c r="X598" s="395">
        <f t="shared" si="827"/>
        <v>0</v>
      </c>
      <c r="AM598" s="317">
        <f t="shared" si="828"/>
        <v>0</v>
      </c>
    </row>
    <row r="599" spans="1:49">
      <c r="A599" s="395"/>
      <c r="L599" s="317">
        <f t="shared" si="826"/>
        <v>0</v>
      </c>
      <c r="M599" s="317"/>
      <c r="X599" s="395">
        <f t="shared" si="827"/>
        <v>0</v>
      </c>
      <c r="AM599" s="317">
        <f t="shared" si="828"/>
        <v>0</v>
      </c>
    </row>
    <row r="600" spans="1:49">
      <c r="A600" s="395"/>
      <c r="L600" s="317">
        <f t="shared" si="826"/>
        <v>0</v>
      </c>
      <c r="M600" s="317"/>
      <c r="X600" s="395">
        <f t="shared" si="827"/>
        <v>0</v>
      </c>
      <c r="AM600" s="317">
        <f t="shared" si="828"/>
        <v>0</v>
      </c>
    </row>
    <row r="601" spans="1:49">
      <c r="A601" s="395"/>
      <c r="L601" s="317">
        <f t="shared" si="826"/>
        <v>0</v>
      </c>
      <c r="M601" s="317"/>
      <c r="X601" s="395">
        <f t="shared" si="827"/>
        <v>0</v>
      </c>
      <c r="AM601" s="317">
        <f t="shared" si="828"/>
        <v>0</v>
      </c>
    </row>
    <row r="602" spans="1:49">
      <c r="A602" s="395"/>
      <c r="L602" s="317">
        <f t="shared" si="826"/>
        <v>0</v>
      </c>
      <c r="M602" s="317"/>
      <c r="X602" s="395">
        <f t="shared" si="827"/>
        <v>0</v>
      </c>
      <c r="AM602" s="317">
        <f t="shared" si="828"/>
        <v>0</v>
      </c>
    </row>
    <row r="603" spans="1:49" ht="15.75" thickBot="1">
      <c r="A603" s="398"/>
      <c r="B603" s="237"/>
      <c r="C603" s="21"/>
      <c r="D603" s="21"/>
      <c r="E603" s="21"/>
      <c r="F603" s="21"/>
      <c r="G603" s="21"/>
      <c r="H603" s="21"/>
      <c r="I603" s="237"/>
      <c r="J603" s="237"/>
      <c r="K603" s="237"/>
      <c r="L603" s="318">
        <f t="shared" si="826"/>
        <v>0</v>
      </c>
      <c r="M603" s="318"/>
      <c r="N603" s="237"/>
      <c r="O603" s="21"/>
      <c r="P603" s="21"/>
      <c r="Q603" s="21"/>
      <c r="R603" s="21"/>
      <c r="S603" s="21"/>
      <c r="T603" s="21"/>
      <c r="U603" s="237"/>
      <c r="V603" s="237"/>
      <c r="W603" s="237"/>
      <c r="X603" s="398">
        <f t="shared" si="827"/>
        <v>0</v>
      </c>
      <c r="Y603" s="237"/>
      <c r="Z603" s="389"/>
      <c r="AA603" s="21"/>
      <c r="AB603" s="21"/>
      <c r="AC603" s="21"/>
      <c r="AD603" s="21"/>
      <c r="AE603" s="21"/>
      <c r="AF603" s="21"/>
      <c r="AG603" s="237"/>
      <c r="AH603" s="237"/>
      <c r="AI603" s="237"/>
      <c r="AJ603" s="237"/>
      <c r="AK603" s="237"/>
      <c r="AL603" s="237"/>
      <c r="AM603" s="318">
        <f t="shared" si="828"/>
        <v>0</v>
      </c>
      <c r="AN603" s="21"/>
      <c r="AO603" s="21"/>
      <c r="AP603" s="21"/>
      <c r="AQ603" s="21"/>
      <c r="AR603" s="23"/>
      <c r="AS603" s="21"/>
      <c r="AT603" s="21"/>
      <c r="AU603" s="237"/>
      <c r="AV603" s="237"/>
      <c r="AW603" s="21"/>
    </row>
    <row r="604" spans="1:49">
      <c r="A604" s="395"/>
      <c r="L604" s="317">
        <f t="shared" si="826"/>
        <v>0</v>
      </c>
      <c r="M604" s="317"/>
      <c r="X604" s="395">
        <f t="shared" si="827"/>
        <v>0</v>
      </c>
      <c r="AM604" s="317">
        <f t="shared" si="828"/>
        <v>0</v>
      </c>
    </row>
    <row r="605" spans="1:49">
      <c r="A605" s="395"/>
      <c r="L605" s="317">
        <f t="shared" si="826"/>
        <v>0</v>
      </c>
      <c r="M605" s="317"/>
      <c r="X605" s="395">
        <f t="shared" si="827"/>
        <v>0</v>
      </c>
      <c r="AM605" s="317">
        <f t="shared" si="828"/>
        <v>0</v>
      </c>
    </row>
    <row r="606" spans="1:49">
      <c r="A606" s="395"/>
      <c r="L606" s="317">
        <f t="shared" si="826"/>
        <v>0</v>
      </c>
      <c r="M606" s="317"/>
      <c r="X606" s="395">
        <f t="shared" si="827"/>
        <v>0</v>
      </c>
      <c r="AM606" s="317">
        <f t="shared" si="828"/>
        <v>0</v>
      </c>
    </row>
    <row r="607" spans="1:49">
      <c r="A607" s="395"/>
      <c r="L607" s="317">
        <f t="shared" si="826"/>
        <v>0</v>
      </c>
      <c r="M607" s="317"/>
      <c r="X607" s="395">
        <f t="shared" si="827"/>
        <v>0</v>
      </c>
      <c r="AM607" s="317">
        <f t="shared" si="828"/>
        <v>0</v>
      </c>
    </row>
    <row r="608" spans="1:49">
      <c r="A608" s="395"/>
      <c r="L608" s="317">
        <f t="shared" si="826"/>
        <v>0</v>
      </c>
      <c r="M608" s="317"/>
      <c r="X608" s="395">
        <f t="shared" si="827"/>
        <v>0</v>
      </c>
      <c r="AM608" s="317">
        <f t="shared" si="828"/>
        <v>0</v>
      </c>
    </row>
    <row r="609" spans="1:49">
      <c r="A609" s="395"/>
      <c r="L609" s="317">
        <f t="shared" si="826"/>
        <v>0</v>
      </c>
      <c r="M609" s="317"/>
      <c r="X609" s="395">
        <f t="shared" si="827"/>
        <v>0</v>
      </c>
      <c r="AM609" s="317">
        <f t="shared" si="828"/>
        <v>0</v>
      </c>
    </row>
    <row r="610" spans="1:49">
      <c r="A610" s="395"/>
      <c r="L610" s="317">
        <f t="shared" si="826"/>
        <v>0</v>
      </c>
      <c r="M610" s="317"/>
      <c r="X610" s="395">
        <f t="shared" si="827"/>
        <v>0</v>
      </c>
      <c r="AM610" s="317">
        <f t="shared" si="828"/>
        <v>0</v>
      </c>
    </row>
    <row r="611" spans="1:49">
      <c r="A611" s="395"/>
      <c r="L611" s="317">
        <f t="shared" si="826"/>
        <v>0</v>
      </c>
      <c r="M611" s="317"/>
      <c r="X611" s="395">
        <f t="shared" si="827"/>
        <v>0</v>
      </c>
      <c r="AM611" s="317">
        <f t="shared" si="828"/>
        <v>0</v>
      </c>
    </row>
    <row r="612" spans="1:49">
      <c r="A612" s="395"/>
      <c r="L612" s="317">
        <f t="shared" si="826"/>
        <v>0</v>
      </c>
      <c r="M612" s="317"/>
      <c r="X612" s="395">
        <f t="shared" si="827"/>
        <v>0</v>
      </c>
      <c r="AM612" s="317">
        <f t="shared" si="828"/>
        <v>0</v>
      </c>
    </row>
    <row r="613" spans="1:49">
      <c r="A613" s="395"/>
      <c r="L613" s="317">
        <f t="shared" si="826"/>
        <v>0</v>
      </c>
      <c r="M613" s="317"/>
      <c r="X613" s="395">
        <f t="shared" si="827"/>
        <v>0</v>
      </c>
      <c r="AM613" s="317">
        <f t="shared" si="828"/>
        <v>0</v>
      </c>
    </row>
    <row r="614" spans="1:49">
      <c r="A614" s="395"/>
      <c r="L614" s="317">
        <f t="shared" si="826"/>
        <v>0</v>
      </c>
      <c r="M614" s="317"/>
      <c r="X614" s="395">
        <f t="shared" si="827"/>
        <v>0</v>
      </c>
      <c r="AM614" s="317">
        <f t="shared" si="828"/>
        <v>0</v>
      </c>
    </row>
    <row r="615" spans="1:49" ht="15.75" thickBot="1">
      <c r="A615" s="398"/>
      <c r="B615" s="237"/>
      <c r="C615" s="21"/>
      <c r="D615" s="21"/>
      <c r="E615" s="21"/>
      <c r="F615" s="21"/>
      <c r="G615" s="21"/>
      <c r="H615" s="21"/>
      <c r="I615" s="237"/>
      <c r="J615" s="237"/>
      <c r="K615" s="237"/>
      <c r="L615" s="318">
        <f t="shared" si="826"/>
        <v>0</v>
      </c>
      <c r="M615" s="318"/>
      <c r="N615" s="237"/>
      <c r="O615" s="21"/>
      <c r="P615" s="21"/>
      <c r="Q615" s="21"/>
      <c r="R615" s="21"/>
      <c r="S615" s="21"/>
      <c r="T615" s="21"/>
      <c r="U615" s="237"/>
      <c r="V615" s="237"/>
      <c r="W615" s="237"/>
      <c r="X615" s="398">
        <f t="shared" si="827"/>
        <v>0</v>
      </c>
      <c r="Y615" s="237"/>
      <c r="Z615" s="389"/>
      <c r="AA615" s="21"/>
      <c r="AB615" s="21"/>
      <c r="AC615" s="21"/>
      <c r="AD615" s="21"/>
      <c r="AE615" s="21"/>
      <c r="AF615" s="21"/>
      <c r="AG615" s="237"/>
      <c r="AH615" s="237"/>
      <c r="AI615" s="237"/>
      <c r="AJ615" s="237"/>
      <c r="AK615" s="237"/>
      <c r="AL615" s="237"/>
      <c r="AM615" s="318">
        <f t="shared" si="828"/>
        <v>0</v>
      </c>
      <c r="AN615" s="21"/>
      <c r="AO615" s="21"/>
      <c r="AP615" s="21"/>
      <c r="AQ615" s="21"/>
      <c r="AR615" s="23"/>
      <c r="AS615" s="21"/>
      <c r="AT615" s="21"/>
      <c r="AU615" s="237"/>
      <c r="AV615" s="237"/>
      <c r="AW615" s="21"/>
    </row>
    <row r="616" spans="1:49">
      <c r="A616" s="395"/>
      <c r="L616" s="317">
        <f t="shared" si="826"/>
        <v>0</v>
      </c>
      <c r="M616" s="317"/>
      <c r="X616" s="395">
        <f t="shared" si="827"/>
        <v>0</v>
      </c>
      <c r="AM616" s="317">
        <f t="shared" si="828"/>
        <v>0</v>
      </c>
    </row>
    <row r="617" spans="1:49">
      <c r="A617" s="395"/>
      <c r="L617" s="317">
        <f t="shared" si="826"/>
        <v>0</v>
      </c>
      <c r="M617" s="317"/>
      <c r="X617" s="395">
        <f t="shared" si="827"/>
        <v>0</v>
      </c>
      <c r="AM617" s="317">
        <f t="shared" si="828"/>
        <v>0</v>
      </c>
    </row>
    <row r="618" spans="1:49">
      <c r="A618" s="395"/>
      <c r="L618" s="317">
        <f t="shared" si="826"/>
        <v>0</v>
      </c>
      <c r="M618" s="317"/>
      <c r="X618" s="395">
        <f t="shared" si="827"/>
        <v>0</v>
      </c>
      <c r="AM618" s="317">
        <f t="shared" si="828"/>
        <v>0</v>
      </c>
    </row>
    <row r="619" spans="1:49">
      <c r="A619" s="395"/>
      <c r="L619" s="317">
        <f t="shared" si="826"/>
        <v>0</v>
      </c>
      <c r="M619" s="317"/>
      <c r="X619" s="395">
        <f t="shared" si="827"/>
        <v>0</v>
      </c>
      <c r="AM619" s="317">
        <f t="shared" si="828"/>
        <v>0</v>
      </c>
    </row>
    <row r="620" spans="1:49">
      <c r="A620" s="395"/>
      <c r="L620" s="317">
        <f t="shared" si="826"/>
        <v>0</v>
      </c>
      <c r="M620" s="317"/>
      <c r="X620" s="395">
        <f t="shared" si="827"/>
        <v>0</v>
      </c>
      <c r="AM620" s="317">
        <f t="shared" si="828"/>
        <v>0</v>
      </c>
    </row>
    <row r="621" spans="1:49">
      <c r="A621" s="395"/>
      <c r="L621" s="317">
        <f t="shared" si="826"/>
        <v>0</v>
      </c>
      <c r="M621" s="317"/>
      <c r="X621" s="395">
        <f t="shared" si="827"/>
        <v>0</v>
      </c>
      <c r="AM621" s="317">
        <f t="shared" si="828"/>
        <v>0</v>
      </c>
    </row>
    <row r="622" spans="1:49">
      <c r="A622" s="395"/>
      <c r="L622" s="317">
        <f t="shared" si="826"/>
        <v>0</v>
      </c>
      <c r="M622" s="317"/>
      <c r="X622" s="395">
        <f t="shared" si="827"/>
        <v>0</v>
      </c>
      <c r="AM622" s="317">
        <f t="shared" si="828"/>
        <v>0</v>
      </c>
    </row>
    <row r="623" spans="1:49">
      <c r="A623" s="395"/>
      <c r="L623" s="317">
        <f t="shared" si="826"/>
        <v>0</v>
      </c>
      <c r="M623" s="317"/>
      <c r="X623" s="395">
        <f t="shared" si="827"/>
        <v>0</v>
      </c>
      <c r="AM623" s="317">
        <f t="shared" si="828"/>
        <v>0</v>
      </c>
    </row>
    <row r="624" spans="1:49">
      <c r="A624" s="395"/>
      <c r="L624" s="317">
        <f t="shared" ref="L624:L687" si="829">IF(MOD(M624,12)=0,M624/12,L623)</f>
        <v>0</v>
      </c>
      <c r="M624" s="317"/>
      <c r="X624" s="395">
        <f t="shared" si="827"/>
        <v>0</v>
      </c>
      <c r="AM624" s="317">
        <f t="shared" si="828"/>
        <v>0</v>
      </c>
    </row>
    <row r="625" spans="1:49">
      <c r="A625" s="395"/>
      <c r="L625" s="317">
        <f t="shared" si="829"/>
        <v>0</v>
      </c>
      <c r="M625" s="317"/>
      <c r="X625" s="395">
        <f t="shared" si="827"/>
        <v>0</v>
      </c>
      <c r="AM625" s="317">
        <f t="shared" si="828"/>
        <v>0</v>
      </c>
    </row>
    <row r="626" spans="1:49">
      <c r="A626" s="395"/>
      <c r="L626" s="317">
        <f t="shared" si="829"/>
        <v>0</v>
      </c>
      <c r="M626" s="317"/>
      <c r="X626" s="395">
        <f t="shared" si="827"/>
        <v>0</v>
      </c>
      <c r="AM626" s="317">
        <f t="shared" si="828"/>
        <v>0</v>
      </c>
    </row>
    <row r="627" spans="1:49" ht="15.75" thickBot="1">
      <c r="A627" s="398"/>
      <c r="B627" s="237"/>
      <c r="C627" s="21"/>
      <c r="D627" s="21"/>
      <c r="E627" s="21"/>
      <c r="F627" s="21"/>
      <c r="G627" s="21"/>
      <c r="H627" s="21"/>
      <c r="I627" s="237"/>
      <c r="J627" s="237"/>
      <c r="K627" s="237"/>
      <c r="L627" s="318">
        <f t="shared" si="829"/>
        <v>0</v>
      </c>
      <c r="M627" s="318"/>
      <c r="N627" s="237"/>
      <c r="O627" s="21"/>
      <c r="P627" s="21"/>
      <c r="Q627" s="21"/>
      <c r="R627" s="21"/>
      <c r="S627" s="21"/>
      <c r="T627" s="21"/>
      <c r="U627" s="237"/>
      <c r="V627" s="237"/>
      <c r="W627" s="237"/>
      <c r="X627" s="398">
        <f t="shared" si="827"/>
        <v>0</v>
      </c>
      <c r="Y627" s="237"/>
      <c r="Z627" s="389"/>
      <c r="AA627" s="21"/>
      <c r="AB627" s="21"/>
      <c r="AC627" s="21"/>
      <c r="AD627" s="21"/>
      <c r="AE627" s="21"/>
      <c r="AF627" s="21"/>
      <c r="AG627" s="237"/>
      <c r="AH627" s="237"/>
      <c r="AI627" s="237"/>
      <c r="AJ627" s="237"/>
      <c r="AK627" s="237"/>
      <c r="AL627" s="237"/>
      <c r="AM627" s="318">
        <f t="shared" si="828"/>
        <v>0</v>
      </c>
      <c r="AN627" s="21"/>
      <c r="AO627" s="21"/>
      <c r="AP627" s="21"/>
      <c r="AQ627" s="21"/>
      <c r="AR627" s="23"/>
      <c r="AS627" s="21"/>
      <c r="AT627" s="21"/>
      <c r="AU627" s="237"/>
      <c r="AV627" s="237"/>
      <c r="AW627" s="21"/>
    </row>
    <row r="628" spans="1:49">
      <c r="A628" s="395"/>
      <c r="L628" s="317">
        <f t="shared" si="829"/>
        <v>0</v>
      </c>
      <c r="M628" s="317"/>
      <c r="X628" s="395">
        <f t="shared" si="827"/>
        <v>0</v>
      </c>
      <c r="AM628" s="317">
        <f t="shared" si="828"/>
        <v>0</v>
      </c>
    </row>
    <row r="629" spans="1:49">
      <c r="A629" s="395"/>
      <c r="L629" s="317">
        <f t="shared" si="829"/>
        <v>0</v>
      </c>
      <c r="M629" s="317"/>
      <c r="X629" s="395">
        <f t="shared" si="827"/>
        <v>0</v>
      </c>
      <c r="AM629" s="317">
        <f t="shared" si="828"/>
        <v>0</v>
      </c>
    </row>
    <row r="630" spans="1:49">
      <c r="A630" s="395"/>
      <c r="L630" s="317">
        <f t="shared" si="829"/>
        <v>0</v>
      </c>
      <c r="M630" s="317"/>
      <c r="X630" s="395">
        <f t="shared" si="827"/>
        <v>0</v>
      </c>
      <c r="AM630" s="317">
        <f t="shared" si="828"/>
        <v>0</v>
      </c>
    </row>
    <row r="631" spans="1:49">
      <c r="A631" s="395"/>
      <c r="L631" s="317">
        <f t="shared" si="829"/>
        <v>0</v>
      </c>
      <c r="M631" s="317"/>
      <c r="X631" s="395">
        <f t="shared" si="827"/>
        <v>0</v>
      </c>
      <c r="AM631" s="317">
        <f t="shared" si="828"/>
        <v>0</v>
      </c>
    </row>
    <row r="632" spans="1:49">
      <c r="A632" s="395"/>
      <c r="L632" s="317">
        <f t="shared" si="829"/>
        <v>0</v>
      </c>
      <c r="M632" s="317"/>
      <c r="X632" s="395">
        <f t="shared" si="827"/>
        <v>0</v>
      </c>
      <c r="AM632" s="317">
        <f t="shared" si="828"/>
        <v>0</v>
      </c>
    </row>
    <row r="633" spans="1:49">
      <c r="A633" s="395"/>
      <c r="L633" s="317">
        <f t="shared" si="829"/>
        <v>0</v>
      </c>
      <c r="M633" s="317"/>
      <c r="X633" s="395">
        <f t="shared" si="827"/>
        <v>0</v>
      </c>
      <c r="AM633" s="317">
        <f t="shared" si="828"/>
        <v>0</v>
      </c>
    </row>
    <row r="634" spans="1:49">
      <c r="A634" s="395"/>
      <c r="L634" s="317">
        <f t="shared" si="829"/>
        <v>0</v>
      </c>
      <c r="M634" s="317"/>
      <c r="X634" s="395">
        <f t="shared" si="827"/>
        <v>0</v>
      </c>
      <c r="AM634" s="317">
        <f t="shared" si="828"/>
        <v>0</v>
      </c>
    </row>
    <row r="635" spans="1:49">
      <c r="A635" s="395"/>
      <c r="L635" s="317">
        <f t="shared" si="829"/>
        <v>0</v>
      </c>
      <c r="M635" s="317"/>
      <c r="X635" s="395">
        <f t="shared" si="827"/>
        <v>0</v>
      </c>
      <c r="AM635" s="317">
        <f t="shared" si="828"/>
        <v>0</v>
      </c>
    </row>
    <row r="636" spans="1:49">
      <c r="A636" s="395"/>
      <c r="L636" s="317">
        <f t="shared" si="829"/>
        <v>0</v>
      </c>
      <c r="M636" s="317"/>
      <c r="X636" s="395">
        <f t="shared" si="827"/>
        <v>0</v>
      </c>
      <c r="AM636" s="317">
        <f t="shared" si="828"/>
        <v>0</v>
      </c>
    </row>
    <row r="637" spans="1:49">
      <c r="A637" s="395"/>
      <c r="L637" s="317">
        <f t="shared" si="829"/>
        <v>0</v>
      </c>
      <c r="M637" s="317"/>
      <c r="X637" s="395">
        <f t="shared" si="827"/>
        <v>0</v>
      </c>
      <c r="AM637" s="317">
        <f t="shared" si="828"/>
        <v>0</v>
      </c>
    </row>
    <row r="638" spans="1:49">
      <c r="A638" s="395"/>
      <c r="L638" s="317">
        <f t="shared" si="829"/>
        <v>0</v>
      </c>
      <c r="M638" s="317"/>
      <c r="X638" s="395">
        <f t="shared" si="827"/>
        <v>0</v>
      </c>
      <c r="AM638" s="317">
        <f t="shared" si="828"/>
        <v>0</v>
      </c>
    </row>
    <row r="639" spans="1:49" ht="15.75" thickBot="1">
      <c r="A639" s="398"/>
      <c r="B639" s="237"/>
      <c r="C639" s="21"/>
      <c r="D639" s="21"/>
      <c r="E639" s="21"/>
      <c r="F639" s="21"/>
      <c r="G639" s="21"/>
      <c r="H639" s="21"/>
      <c r="I639" s="237"/>
      <c r="J639" s="237"/>
      <c r="K639" s="237"/>
      <c r="L639" s="318">
        <f t="shared" si="829"/>
        <v>0</v>
      </c>
      <c r="M639" s="318"/>
      <c r="N639" s="237"/>
      <c r="O639" s="21"/>
      <c r="P639" s="21"/>
      <c r="Q639" s="21"/>
      <c r="R639" s="21"/>
      <c r="S639" s="21"/>
      <c r="T639" s="21"/>
      <c r="U639" s="237"/>
      <c r="V639" s="237"/>
      <c r="W639" s="237"/>
      <c r="X639" s="398">
        <f t="shared" si="827"/>
        <v>0</v>
      </c>
      <c r="Y639" s="237"/>
      <c r="Z639" s="389"/>
      <c r="AA639" s="21"/>
      <c r="AB639" s="21"/>
      <c r="AC639" s="21"/>
      <c r="AD639" s="21"/>
      <c r="AE639" s="21"/>
      <c r="AF639" s="21"/>
      <c r="AG639" s="237"/>
      <c r="AH639" s="237"/>
      <c r="AI639" s="237"/>
      <c r="AJ639" s="237"/>
      <c r="AK639" s="237"/>
      <c r="AL639" s="237"/>
      <c r="AM639" s="318">
        <f t="shared" si="828"/>
        <v>0</v>
      </c>
      <c r="AN639" s="21"/>
      <c r="AO639" s="21"/>
      <c r="AP639" s="21"/>
      <c r="AQ639" s="21"/>
      <c r="AR639" s="23"/>
      <c r="AS639" s="21"/>
      <c r="AT639" s="21"/>
      <c r="AU639" s="237"/>
      <c r="AV639" s="237"/>
      <c r="AW639" s="21"/>
    </row>
    <row r="640" spans="1:49">
      <c r="A640" s="395"/>
      <c r="L640" s="317">
        <f t="shared" si="829"/>
        <v>0</v>
      </c>
      <c r="M640" s="317"/>
      <c r="X640" s="395">
        <f t="shared" si="827"/>
        <v>0</v>
      </c>
      <c r="AM640" s="317">
        <f t="shared" si="828"/>
        <v>0</v>
      </c>
    </row>
    <row r="641" spans="1:49">
      <c r="A641" s="395"/>
      <c r="L641" s="317">
        <f t="shared" si="829"/>
        <v>0</v>
      </c>
      <c r="M641" s="317"/>
      <c r="X641" s="395">
        <f t="shared" si="827"/>
        <v>0</v>
      </c>
      <c r="AM641" s="317">
        <f t="shared" si="828"/>
        <v>0</v>
      </c>
    </row>
    <row r="642" spans="1:49">
      <c r="A642" s="395"/>
      <c r="L642" s="317">
        <f t="shared" si="829"/>
        <v>0</v>
      </c>
      <c r="M642" s="317"/>
      <c r="X642" s="395">
        <f t="shared" si="827"/>
        <v>0</v>
      </c>
      <c r="AM642" s="317">
        <f t="shared" si="828"/>
        <v>0</v>
      </c>
    </row>
    <row r="643" spans="1:49">
      <c r="A643" s="395"/>
      <c r="L643" s="317">
        <f t="shared" si="829"/>
        <v>0</v>
      </c>
      <c r="M643" s="317"/>
      <c r="X643" s="395">
        <f t="shared" si="827"/>
        <v>0</v>
      </c>
      <c r="AM643" s="317">
        <f t="shared" si="828"/>
        <v>0</v>
      </c>
    </row>
    <row r="644" spans="1:49">
      <c r="A644" s="395"/>
      <c r="L644" s="317">
        <f t="shared" si="829"/>
        <v>0</v>
      </c>
      <c r="M644" s="317"/>
      <c r="X644" s="395">
        <f t="shared" si="827"/>
        <v>0</v>
      </c>
      <c r="AM644" s="317">
        <f t="shared" si="828"/>
        <v>0</v>
      </c>
    </row>
    <row r="645" spans="1:49">
      <c r="A645" s="395"/>
      <c r="L645" s="317">
        <f t="shared" si="829"/>
        <v>0</v>
      </c>
      <c r="M645" s="317"/>
      <c r="X645" s="395">
        <f t="shared" si="827"/>
        <v>0</v>
      </c>
      <c r="AM645" s="317">
        <f t="shared" si="828"/>
        <v>0</v>
      </c>
    </row>
    <row r="646" spans="1:49">
      <c r="A646" s="395"/>
      <c r="L646" s="317">
        <f t="shared" si="829"/>
        <v>0</v>
      </c>
      <c r="M646" s="317"/>
      <c r="X646" s="395">
        <f t="shared" si="827"/>
        <v>0</v>
      </c>
      <c r="AM646" s="317">
        <f t="shared" si="828"/>
        <v>0</v>
      </c>
    </row>
    <row r="647" spans="1:49">
      <c r="A647" s="395"/>
      <c r="L647" s="317">
        <f t="shared" si="829"/>
        <v>0</v>
      </c>
      <c r="M647" s="317"/>
      <c r="X647" s="395">
        <f t="shared" si="827"/>
        <v>0</v>
      </c>
      <c r="AM647" s="317">
        <f t="shared" si="828"/>
        <v>0</v>
      </c>
    </row>
    <row r="648" spans="1:49">
      <c r="A648" s="395"/>
      <c r="L648" s="317">
        <f t="shared" si="829"/>
        <v>0</v>
      </c>
      <c r="M648" s="317"/>
      <c r="X648" s="395">
        <f t="shared" si="827"/>
        <v>0</v>
      </c>
      <c r="AM648" s="317">
        <f t="shared" si="828"/>
        <v>0</v>
      </c>
    </row>
    <row r="649" spans="1:49">
      <c r="A649" s="395"/>
      <c r="L649" s="317">
        <f t="shared" si="829"/>
        <v>0</v>
      </c>
      <c r="M649" s="317"/>
      <c r="X649" s="395">
        <f t="shared" si="827"/>
        <v>0</v>
      </c>
      <c r="AM649" s="317">
        <f t="shared" si="828"/>
        <v>0</v>
      </c>
    </row>
    <row r="650" spans="1:49">
      <c r="A650" s="395"/>
      <c r="L650" s="317">
        <f t="shared" si="829"/>
        <v>0</v>
      </c>
      <c r="M650" s="317"/>
      <c r="X650" s="395">
        <f t="shared" si="827"/>
        <v>0</v>
      </c>
      <c r="AM650" s="317">
        <f t="shared" si="828"/>
        <v>0</v>
      </c>
    </row>
    <row r="651" spans="1:49" ht="15.75" thickBot="1">
      <c r="A651" s="398"/>
      <c r="B651" s="237"/>
      <c r="C651" s="21"/>
      <c r="D651" s="21"/>
      <c r="E651" s="21"/>
      <c r="F651" s="21"/>
      <c r="G651" s="21"/>
      <c r="H651" s="21"/>
      <c r="I651" s="237"/>
      <c r="J651" s="237"/>
      <c r="K651" s="237"/>
      <c r="L651" s="318">
        <f t="shared" si="829"/>
        <v>0</v>
      </c>
      <c r="M651" s="318"/>
      <c r="N651" s="237"/>
      <c r="O651" s="21"/>
      <c r="P651" s="21"/>
      <c r="Q651" s="21"/>
      <c r="R651" s="21"/>
      <c r="S651" s="21"/>
      <c r="T651" s="21"/>
      <c r="U651" s="237"/>
      <c r="V651" s="237"/>
      <c r="W651" s="237"/>
      <c r="X651" s="398">
        <f t="shared" si="827"/>
        <v>0</v>
      </c>
      <c r="Y651" s="237"/>
      <c r="Z651" s="389"/>
      <c r="AA651" s="21"/>
      <c r="AB651" s="21"/>
      <c r="AC651" s="21"/>
      <c r="AD651" s="21"/>
      <c r="AE651" s="21"/>
      <c r="AF651" s="21"/>
      <c r="AG651" s="237"/>
      <c r="AH651" s="237"/>
      <c r="AI651" s="237"/>
      <c r="AJ651" s="237"/>
      <c r="AK651" s="237"/>
      <c r="AL651" s="237"/>
      <c r="AM651" s="318">
        <f t="shared" si="828"/>
        <v>0</v>
      </c>
      <c r="AN651" s="21"/>
      <c r="AO651" s="21"/>
      <c r="AP651" s="21"/>
      <c r="AQ651" s="21"/>
      <c r="AR651" s="23"/>
      <c r="AS651" s="21"/>
      <c r="AT651" s="21"/>
      <c r="AU651" s="237"/>
      <c r="AV651" s="237"/>
      <c r="AW651" s="21"/>
    </row>
    <row r="652" spans="1:49">
      <c r="A652" s="395"/>
      <c r="L652" s="317">
        <f t="shared" si="829"/>
        <v>0</v>
      </c>
      <c r="M652" s="317"/>
      <c r="X652" s="395">
        <f t="shared" si="827"/>
        <v>0</v>
      </c>
      <c r="AM652" s="317">
        <f t="shared" si="828"/>
        <v>0</v>
      </c>
    </row>
    <row r="653" spans="1:49">
      <c r="A653" s="395"/>
      <c r="L653" s="317">
        <f t="shared" si="829"/>
        <v>0</v>
      </c>
      <c r="M653" s="317"/>
      <c r="X653" s="395">
        <f t="shared" si="827"/>
        <v>0</v>
      </c>
      <c r="AM653" s="317">
        <f t="shared" si="828"/>
        <v>0</v>
      </c>
    </row>
    <row r="654" spans="1:49">
      <c r="A654" s="395"/>
      <c r="L654" s="317">
        <f t="shared" si="829"/>
        <v>0</v>
      </c>
      <c r="M654" s="317"/>
      <c r="X654" s="395">
        <f t="shared" si="827"/>
        <v>0</v>
      </c>
      <c r="AM654" s="317">
        <f t="shared" si="828"/>
        <v>0</v>
      </c>
    </row>
    <row r="655" spans="1:49">
      <c r="A655" s="395"/>
      <c r="L655" s="317">
        <f t="shared" si="829"/>
        <v>0</v>
      </c>
      <c r="M655" s="317"/>
      <c r="X655" s="395">
        <f t="shared" si="827"/>
        <v>0</v>
      </c>
      <c r="AM655" s="317">
        <f t="shared" si="828"/>
        <v>0</v>
      </c>
    </row>
    <row r="656" spans="1:49">
      <c r="A656" s="395"/>
      <c r="L656" s="317">
        <f t="shared" si="829"/>
        <v>0</v>
      </c>
      <c r="M656" s="317"/>
      <c r="X656" s="395">
        <f t="shared" si="827"/>
        <v>0</v>
      </c>
      <c r="AM656" s="317">
        <f t="shared" si="828"/>
        <v>0</v>
      </c>
    </row>
    <row r="657" spans="1:49">
      <c r="A657" s="395"/>
      <c r="L657" s="317">
        <f t="shared" si="829"/>
        <v>0</v>
      </c>
      <c r="M657" s="317"/>
      <c r="X657" s="395">
        <f t="shared" ref="X657:X720" si="830">+A657</f>
        <v>0</v>
      </c>
      <c r="AM657" s="317">
        <f t="shared" ref="AM657:AM720" si="831">+L657</f>
        <v>0</v>
      </c>
    </row>
    <row r="658" spans="1:49">
      <c r="A658" s="395"/>
      <c r="L658" s="317">
        <f t="shared" si="829"/>
        <v>0</v>
      </c>
      <c r="M658" s="317"/>
      <c r="X658" s="395">
        <f t="shared" si="830"/>
        <v>0</v>
      </c>
      <c r="AM658" s="317">
        <f t="shared" si="831"/>
        <v>0</v>
      </c>
    </row>
    <row r="659" spans="1:49">
      <c r="A659" s="395"/>
      <c r="L659" s="317">
        <f t="shared" si="829"/>
        <v>0</v>
      </c>
      <c r="M659" s="317"/>
      <c r="X659" s="395">
        <f t="shared" si="830"/>
        <v>0</v>
      </c>
      <c r="AM659" s="317">
        <f t="shared" si="831"/>
        <v>0</v>
      </c>
    </row>
    <row r="660" spans="1:49">
      <c r="A660" s="395"/>
      <c r="L660" s="317">
        <f t="shared" si="829"/>
        <v>0</v>
      </c>
      <c r="M660" s="317"/>
      <c r="X660" s="395">
        <f t="shared" si="830"/>
        <v>0</v>
      </c>
      <c r="AM660" s="317">
        <f t="shared" si="831"/>
        <v>0</v>
      </c>
    </row>
    <row r="661" spans="1:49">
      <c r="A661" s="395"/>
      <c r="L661" s="317">
        <f t="shared" si="829"/>
        <v>0</v>
      </c>
      <c r="M661" s="317"/>
      <c r="X661" s="395">
        <f t="shared" si="830"/>
        <v>0</v>
      </c>
      <c r="AM661" s="317">
        <f t="shared" si="831"/>
        <v>0</v>
      </c>
    </row>
    <row r="662" spans="1:49">
      <c r="A662" s="395"/>
      <c r="L662" s="317">
        <f t="shared" si="829"/>
        <v>0</v>
      </c>
      <c r="M662" s="317"/>
      <c r="X662" s="395">
        <f t="shared" si="830"/>
        <v>0</v>
      </c>
      <c r="AM662" s="317">
        <f t="shared" si="831"/>
        <v>0</v>
      </c>
    </row>
    <row r="663" spans="1:49" ht="15.75" thickBot="1">
      <c r="A663" s="398"/>
      <c r="B663" s="237"/>
      <c r="C663" s="21"/>
      <c r="D663" s="21"/>
      <c r="E663" s="21"/>
      <c r="F663" s="21"/>
      <c r="G663" s="21"/>
      <c r="H663" s="21"/>
      <c r="I663" s="237"/>
      <c r="J663" s="237"/>
      <c r="K663" s="237"/>
      <c r="L663" s="318">
        <f t="shared" si="829"/>
        <v>0</v>
      </c>
      <c r="M663" s="318"/>
      <c r="N663" s="237"/>
      <c r="O663" s="21"/>
      <c r="P663" s="21"/>
      <c r="Q663" s="21"/>
      <c r="R663" s="21"/>
      <c r="S663" s="21"/>
      <c r="T663" s="21"/>
      <c r="U663" s="237"/>
      <c r="V663" s="237"/>
      <c r="W663" s="237"/>
      <c r="X663" s="398">
        <f t="shared" si="830"/>
        <v>0</v>
      </c>
      <c r="Y663" s="237"/>
      <c r="Z663" s="389"/>
      <c r="AA663" s="21"/>
      <c r="AB663" s="21"/>
      <c r="AC663" s="21"/>
      <c r="AD663" s="21"/>
      <c r="AE663" s="21"/>
      <c r="AF663" s="21"/>
      <c r="AG663" s="237"/>
      <c r="AH663" s="237"/>
      <c r="AI663" s="237"/>
      <c r="AJ663" s="237"/>
      <c r="AK663" s="237"/>
      <c r="AL663" s="237"/>
      <c r="AM663" s="318">
        <f t="shared" si="831"/>
        <v>0</v>
      </c>
      <c r="AN663" s="21"/>
      <c r="AO663" s="21"/>
      <c r="AP663" s="21"/>
      <c r="AQ663" s="21"/>
      <c r="AR663" s="23"/>
      <c r="AS663" s="21"/>
      <c r="AT663" s="21"/>
      <c r="AU663" s="237"/>
      <c r="AV663" s="237"/>
      <c r="AW663" s="21"/>
    </row>
    <row r="664" spans="1:49">
      <c r="A664" s="395"/>
      <c r="L664" s="317">
        <f t="shared" si="829"/>
        <v>0</v>
      </c>
      <c r="M664" s="317"/>
      <c r="X664" s="395">
        <f t="shared" si="830"/>
        <v>0</v>
      </c>
      <c r="AM664" s="317">
        <f t="shared" si="831"/>
        <v>0</v>
      </c>
    </row>
    <row r="665" spans="1:49">
      <c r="A665" s="395"/>
      <c r="L665" s="317">
        <f t="shared" si="829"/>
        <v>0</v>
      </c>
      <c r="M665" s="317"/>
      <c r="X665" s="395">
        <f t="shared" si="830"/>
        <v>0</v>
      </c>
      <c r="AM665" s="317">
        <f t="shared" si="831"/>
        <v>0</v>
      </c>
    </row>
    <row r="666" spans="1:49">
      <c r="A666" s="395"/>
      <c r="L666" s="317">
        <f t="shared" si="829"/>
        <v>0</v>
      </c>
      <c r="M666" s="317"/>
      <c r="X666" s="395">
        <f t="shared" si="830"/>
        <v>0</v>
      </c>
      <c r="AM666" s="317">
        <f t="shared" si="831"/>
        <v>0</v>
      </c>
    </row>
    <row r="667" spans="1:49">
      <c r="A667" s="395"/>
      <c r="L667" s="317">
        <f t="shared" si="829"/>
        <v>0</v>
      </c>
      <c r="M667" s="317"/>
      <c r="X667" s="395">
        <f t="shared" si="830"/>
        <v>0</v>
      </c>
      <c r="AM667" s="317">
        <f t="shared" si="831"/>
        <v>0</v>
      </c>
    </row>
    <row r="668" spans="1:49">
      <c r="A668" s="395"/>
      <c r="L668" s="317">
        <f t="shared" si="829"/>
        <v>0</v>
      </c>
      <c r="M668" s="317"/>
      <c r="X668" s="395">
        <f t="shared" si="830"/>
        <v>0</v>
      </c>
      <c r="AM668" s="317">
        <f t="shared" si="831"/>
        <v>0</v>
      </c>
    </row>
    <row r="669" spans="1:49">
      <c r="A669" s="395"/>
      <c r="L669" s="317">
        <f t="shared" si="829"/>
        <v>0</v>
      </c>
      <c r="M669" s="317"/>
      <c r="X669" s="395">
        <f t="shared" si="830"/>
        <v>0</v>
      </c>
      <c r="AM669" s="317">
        <f t="shared" si="831"/>
        <v>0</v>
      </c>
    </row>
    <row r="670" spans="1:49">
      <c r="A670" s="395"/>
      <c r="L670" s="317">
        <f t="shared" si="829"/>
        <v>0</v>
      </c>
      <c r="M670" s="317"/>
      <c r="X670" s="395">
        <f t="shared" si="830"/>
        <v>0</v>
      </c>
      <c r="AM670" s="317">
        <f t="shared" si="831"/>
        <v>0</v>
      </c>
    </row>
    <row r="671" spans="1:49">
      <c r="A671" s="395"/>
      <c r="L671" s="317">
        <f t="shared" si="829"/>
        <v>0</v>
      </c>
      <c r="M671" s="317"/>
      <c r="X671" s="395">
        <f t="shared" si="830"/>
        <v>0</v>
      </c>
      <c r="AM671" s="317">
        <f t="shared" si="831"/>
        <v>0</v>
      </c>
    </row>
    <row r="672" spans="1:49">
      <c r="A672" s="395"/>
      <c r="L672" s="317">
        <f t="shared" si="829"/>
        <v>0</v>
      </c>
      <c r="M672" s="317"/>
      <c r="X672" s="395">
        <f t="shared" si="830"/>
        <v>0</v>
      </c>
      <c r="AM672" s="317">
        <f t="shared" si="831"/>
        <v>0</v>
      </c>
    </row>
    <row r="673" spans="1:49">
      <c r="A673" s="395"/>
      <c r="L673" s="317">
        <f t="shared" si="829"/>
        <v>0</v>
      </c>
      <c r="M673" s="317"/>
      <c r="X673" s="395">
        <f t="shared" si="830"/>
        <v>0</v>
      </c>
      <c r="AM673" s="317">
        <f t="shared" si="831"/>
        <v>0</v>
      </c>
    </row>
    <row r="674" spans="1:49">
      <c r="A674" s="395"/>
      <c r="L674" s="317">
        <f t="shared" si="829"/>
        <v>0</v>
      </c>
      <c r="M674" s="317"/>
      <c r="X674" s="395">
        <f t="shared" si="830"/>
        <v>0</v>
      </c>
      <c r="AM674" s="317">
        <f t="shared" si="831"/>
        <v>0</v>
      </c>
    </row>
    <row r="675" spans="1:49" ht="15.75" thickBot="1">
      <c r="A675" s="398"/>
      <c r="B675" s="237"/>
      <c r="C675" s="21"/>
      <c r="D675" s="21"/>
      <c r="E675" s="21"/>
      <c r="F675" s="21"/>
      <c r="G675" s="21"/>
      <c r="H675" s="21"/>
      <c r="I675" s="237"/>
      <c r="J675" s="237"/>
      <c r="K675" s="237"/>
      <c r="L675" s="318">
        <f t="shared" si="829"/>
        <v>0</v>
      </c>
      <c r="M675" s="318"/>
      <c r="N675" s="237"/>
      <c r="O675" s="21"/>
      <c r="P675" s="21"/>
      <c r="Q675" s="21"/>
      <c r="R675" s="21"/>
      <c r="S675" s="21"/>
      <c r="T675" s="21"/>
      <c r="U675" s="237"/>
      <c r="V675" s="237"/>
      <c r="W675" s="237"/>
      <c r="X675" s="398">
        <f t="shared" si="830"/>
        <v>0</v>
      </c>
      <c r="Y675" s="237"/>
      <c r="Z675" s="389"/>
      <c r="AA675" s="21"/>
      <c r="AB675" s="21"/>
      <c r="AC675" s="21"/>
      <c r="AD675" s="21"/>
      <c r="AE675" s="21"/>
      <c r="AF675" s="21"/>
      <c r="AG675" s="237"/>
      <c r="AH675" s="237"/>
      <c r="AI675" s="237"/>
      <c r="AJ675" s="237"/>
      <c r="AK675" s="237"/>
      <c r="AL675" s="237"/>
      <c r="AM675" s="318">
        <f t="shared" si="831"/>
        <v>0</v>
      </c>
      <c r="AN675" s="21"/>
      <c r="AO675" s="21"/>
      <c r="AP675" s="21"/>
      <c r="AQ675" s="21"/>
      <c r="AR675" s="23"/>
      <c r="AS675" s="21"/>
      <c r="AT675" s="21"/>
      <c r="AU675" s="237"/>
      <c r="AV675" s="237"/>
      <c r="AW675" s="21"/>
    </row>
    <row r="676" spans="1:49">
      <c r="A676" s="395"/>
      <c r="L676" s="317">
        <f t="shared" si="829"/>
        <v>0</v>
      </c>
      <c r="M676" s="317"/>
      <c r="X676" s="395">
        <f t="shared" si="830"/>
        <v>0</v>
      </c>
      <c r="AM676" s="317">
        <f t="shared" si="831"/>
        <v>0</v>
      </c>
    </row>
    <row r="677" spans="1:49">
      <c r="A677" s="395"/>
      <c r="L677" s="317">
        <f t="shared" si="829"/>
        <v>0</v>
      </c>
      <c r="M677" s="317"/>
      <c r="X677" s="395">
        <f t="shared" si="830"/>
        <v>0</v>
      </c>
      <c r="AM677" s="317">
        <f t="shared" si="831"/>
        <v>0</v>
      </c>
    </row>
    <row r="678" spans="1:49">
      <c r="A678" s="395"/>
      <c r="L678" s="317">
        <f t="shared" si="829"/>
        <v>0</v>
      </c>
      <c r="M678" s="317"/>
      <c r="X678" s="395">
        <f t="shared" si="830"/>
        <v>0</v>
      </c>
      <c r="AM678" s="317">
        <f t="shared" si="831"/>
        <v>0</v>
      </c>
    </row>
    <row r="679" spans="1:49">
      <c r="A679" s="395"/>
      <c r="L679" s="317">
        <f t="shared" si="829"/>
        <v>0</v>
      </c>
      <c r="M679" s="317"/>
      <c r="X679" s="395">
        <f t="shared" si="830"/>
        <v>0</v>
      </c>
      <c r="AM679" s="317">
        <f t="shared" si="831"/>
        <v>0</v>
      </c>
    </row>
    <row r="680" spans="1:49">
      <c r="A680" s="395"/>
      <c r="L680" s="317">
        <f t="shared" si="829"/>
        <v>0</v>
      </c>
      <c r="M680" s="317"/>
      <c r="X680" s="395">
        <f t="shared" si="830"/>
        <v>0</v>
      </c>
      <c r="AM680" s="317">
        <f t="shared" si="831"/>
        <v>0</v>
      </c>
    </row>
    <row r="681" spans="1:49">
      <c r="A681" s="395"/>
      <c r="L681" s="317">
        <f t="shared" si="829"/>
        <v>0</v>
      </c>
      <c r="M681" s="317"/>
      <c r="X681" s="395">
        <f t="shared" si="830"/>
        <v>0</v>
      </c>
      <c r="AM681" s="317">
        <f t="shared" si="831"/>
        <v>0</v>
      </c>
    </row>
    <row r="682" spans="1:49">
      <c r="A682" s="395"/>
      <c r="L682" s="317">
        <f t="shared" si="829"/>
        <v>0</v>
      </c>
      <c r="M682" s="317"/>
      <c r="X682" s="395">
        <f t="shared" si="830"/>
        <v>0</v>
      </c>
      <c r="AM682" s="317">
        <f t="shared" si="831"/>
        <v>0</v>
      </c>
    </row>
    <row r="683" spans="1:49">
      <c r="A683" s="395"/>
      <c r="L683" s="317">
        <f t="shared" si="829"/>
        <v>0</v>
      </c>
      <c r="M683" s="317"/>
      <c r="X683" s="395">
        <f t="shared" si="830"/>
        <v>0</v>
      </c>
      <c r="AM683" s="317">
        <f t="shared" si="831"/>
        <v>0</v>
      </c>
    </row>
    <row r="684" spans="1:49">
      <c r="A684" s="395"/>
      <c r="L684" s="317">
        <f t="shared" si="829"/>
        <v>0</v>
      </c>
      <c r="M684" s="317"/>
      <c r="X684" s="395">
        <f t="shared" si="830"/>
        <v>0</v>
      </c>
      <c r="AM684" s="317">
        <f t="shared" si="831"/>
        <v>0</v>
      </c>
    </row>
    <row r="685" spans="1:49">
      <c r="A685" s="395"/>
      <c r="L685" s="317">
        <f t="shared" si="829"/>
        <v>0</v>
      </c>
      <c r="M685" s="317"/>
      <c r="X685" s="395">
        <f t="shared" si="830"/>
        <v>0</v>
      </c>
      <c r="AM685" s="317">
        <f t="shared" si="831"/>
        <v>0</v>
      </c>
    </row>
    <row r="686" spans="1:49">
      <c r="A686" s="395"/>
      <c r="L686" s="317">
        <f t="shared" si="829"/>
        <v>0</v>
      </c>
      <c r="M686" s="317"/>
      <c r="X686" s="395">
        <f t="shared" si="830"/>
        <v>0</v>
      </c>
      <c r="AM686" s="317">
        <f t="shared" si="831"/>
        <v>0</v>
      </c>
    </row>
    <row r="687" spans="1:49" ht="15.75" thickBot="1">
      <c r="A687" s="398"/>
      <c r="B687" s="237"/>
      <c r="C687" s="21"/>
      <c r="D687" s="21"/>
      <c r="E687" s="21"/>
      <c r="F687" s="21"/>
      <c r="G687" s="21"/>
      <c r="H687" s="21"/>
      <c r="I687" s="237"/>
      <c r="J687" s="237"/>
      <c r="K687" s="237"/>
      <c r="L687" s="318">
        <f t="shared" si="829"/>
        <v>0</v>
      </c>
      <c r="M687" s="318"/>
      <c r="N687" s="237"/>
      <c r="O687" s="21"/>
      <c r="P687" s="21"/>
      <c r="Q687" s="21"/>
      <c r="R687" s="21"/>
      <c r="S687" s="21"/>
      <c r="T687" s="21"/>
      <c r="U687" s="237"/>
      <c r="V687" s="237"/>
      <c r="W687" s="237"/>
      <c r="X687" s="398">
        <f t="shared" si="830"/>
        <v>0</v>
      </c>
      <c r="Y687" s="237"/>
      <c r="Z687" s="389"/>
      <c r="AA687" s="21"/>
      <c r="AB687" s="21"/>
      <c r="AC687" s="21"/>
      <c r="AD687" s="21"/>
      <c r="AE687" s="21"/>
      <c r="AF687" s="21"/>
      <c r="AG687" s="237"/>
      <c r="AH687" s="237"/>
      <c r="AI687" s="237"/>
      <c r="AJ687" s="237"/>
      <c r="AK687" s="237"/>
      <c r="AL687" s="237"/>
      <c r="AM687" s="318">
        <f t="shared" si="831"/>
        <v>0</v>
      </c>
      <c r="AN687" s="21"/>
      <c r="AO687" s="21"/>
      <c r="AP687" s="21"/>
      <c r="AQ687" s="21"/>
      <c r="AR687" s="23"/>
      <c r="AS687" s="21"/>
      <c r="AT687" s="21"/>
      <c r="AU687" s="237"/>
      <c r="AV687" s="237"/>
      <c r="AW687" s="21"/>
    </row>
    <row r="688" spans="1:49">
      <c r="A688" s="395"/>
      <c r="L688" s="317">
        <f t="shared" ref="L688:L751" si="832">IF(MOD(M688,12)=0,M688/12,L687)</f>
        <v>0</v>
      </c>
      <c r="M688" s="317"/>
      <c r="X688" s="395">
        <f t="shared" si="830"/>
        <v>0</v>
      </c>
      <c r="AM688" s="317">
        <f t="shared" si="831"/>
        <v>0</v>
      </c>
    </row>
    <row r="689" spans="1:49">
      <c r="A689" s="395"/>
      <c r="L689" s="317">
        <f t="shared" si="832"/>
        <v>0</v>
      </c>
      <c r="M689" s="317"/>
      <c r="X689" s="395">
        <f t="shared" si="830"/>
        <v>0</v>
      </c>
      <c r="AM689" s="317">
        <f t="shared" si="831"/>
        <v>0</v>
      </c>
    </row>
    <row r="690" spans="1:49">
      <c r="A690" s="395"/>
      <c r="L690" s="317">
        <f t="shared" si="832"/>
        <v>0</v>
      </c>
      <c r="M690" s="317"/>
      <c r="X690" s="395">
        <f t="shared" si="830"/>
        <v>0</v>
      </c>
      <c r="AM690" s="317">
        <f t="shared" si="831"/>
        <v>0</v>
      </c>
    </row>
    <row r="691" spans="1:49">
      <c r="A691" s="395"/>
      <c r="L691" s="317">
        <f t="shared" si="832"/>
        <v>0</v>
      </c>
      <c r="M691" s="317"/>
      <c r="X691" s="395">
        <f t="shared" si="830"/>
        <v>0</v>
      </c>
      <c r="AM691" s="317">
        <f t="shared" si="831"/>
        <v>0</v>
      </c>
    </row>
    <row r="692" spans="1:49">
      <c r="A692" s="395"/>
      <c r="L692" s="317">
        <f t="shared" si="832"/>
        <v>0</v>
      </c>
      <c r="M692" s="317"/>
      <c r="X692" s="395">
        <f t="shared" si="830"/>
        <v>0</v>
      </c>
      <c r="AM692" s="317">
        <f t="shared" si="831"/>
        <v>0</v>
      </c>
    </row>
    <row r="693" spans="1:49">
      <c r="A693" s="395"/>
      <c r="L693" s="317">
        <f t="shared" si="832"/>
        <v>0</v>
      </c>
      <c r="M693" s="317"/>
      <c r="X693" s="395">
        <f t="shared" si="830"/>
        <v>0</v>
      </c>
      <c r="AM693" s="317">
        <f t="shared" si="831"/>
        <v>0</v>
      </c>
    </row>
    <row r="694" spans="1:49">
      <c r="A694" s="395"/>
      <c r="L694" s="317">
        <f t="shared" si="832"/>
        <v>0</v>
      </c>
      <c r="M694" s="317"/>
      <c r="X694" s="395">
        <f t="shared" si="830"/>
        <v>0</v>
      </c>
      <c r="AM694" s="317">
        <f t="shared" si="831"/>
        <v>0</v>
      </c>
    </row>
    <row r="695" spans="1:49">
      <c r="A695" s="395"/>
      <c r="L695" s="317">
        <f t="shared" si="832"/>
        <v>0</v>
      </c>
      <c r="M695" s="317"/>
      <c r="X695" s="395">
        <f t="shared" si="830"/>
        <v>0</v>
      </c>
      <c r="AM695" s="317">
        <f t="shared" si="831"/>
        <v>0</v>
      </c>
    </row>
    <row r="696" spans="1:49">
      <c r="A696" s="395"/>
      <c r="L696" s="317">
        <f t="shared" si="832"/>
        <v>0</v>
      </c>
      <c r="M696" s="317"/>
      <c r="X696" s="395">
        <f t="shared" si="830"/>
        <v>0</v>
      </c>
      <c r="AM696" s="317">
        <f t="shared" si="831"/>
        <v>0</v>
      </c>
    </row>
    <row r="697" spans="1:49">
      <c r="A697" s="395"/>
      <c r="L697" s="317">
        <f t="shared" si="832"/>
        <v>0</v>
      </c>
      <c r="M697" s="317"/>
      <c r="X697" s="395">
        <f t="shared" si="830"/>
        <v>0</v>
      </c>
      <c r="AM697" s="317">
        <f t="shared" si="831"/>
        <v>0</v>
      </c>
    </row>
    <row r="698" spans="1:49">
      <c r="A698" s="395"/>
      <c r="L698" s="317">
        <f t="shared" si="832"/>
        <v>0</v>
      </c>
      <c r="M698" s="317"/>
      <c r="X698" s="395">
        <f t="shared" si="830"/>
        <v>0</v>
      </c>
      <c r="AM698" s="317">
        <f t="shared" si="831"/>
        <v>0</v>
      </c>
    </row>
    <row r="699" spans="1:49" ht="15.75" thickBot="1">
      <c r="A699" s="398"/>
      <c r="B699" s="237"/>
      <c r="C699" s="21"/>
      <c r="D699" s="21"/>
      <c r="E699" s="21"/>
      <c r="F699" s="21"/>
      <c r="G699" s="21"/>
      <c r="H699" s="21"/>
      <c r="I699" s="237"/>
      <c r="J699" s="237"/>
      <c r="K699" s="237"/>
      <c r="L699" s="318">
        <f t="shared" si="832"/>
        <v>0</v>
      </c>
      <c r="M699" s="318"/>
      <c r="N699" s="237"/>
      <c r="O699" s="21"/>
      <c r="P699" s="21"/>
      <c r="Q699" s="21"/>
      <c r="R699" s="21"/>
      <c r="S699" s="21"/>
      <c r="T699" s="21"/>
      <c r="U699" s="237"/>
      <c r="V699" s="237"/>
      <c r="W699" s="237"/>
      <c r="X699" s="398">
        <f t="shared" si="830"/>
        <v>0</v>
      </c>
      <c r="Y699" s="237"/>
      <c r="Z699" s="389"/>
      <c r="AA699" s="21"/>
      <c r="AB699" s="21"/>
      <c r="AC699" s="21"/>
      <c r="AD699" s="21"/>
      <c r="AE699" s="21"/>
      <c r="AF699" s="21"/>
      <c r="AG699" s="237"/>
      <c r="AH699" s="237"/>
      <c r="AI699" s="237"/>
      <c r="AJ699" s="237"/>
      <c r="AK699" s="237"/>
      <c r="AL699" s="237"/>
      <c r="AM699" s="318">
        <f t="shared" si="831"/>
        <v>0</v>
      </c>
      <c r="AN699" s="21"/>
      <c r="AO699" s="21"/>
      <c r="AP699" s="21"/>
      <c r="AQ699" s="21"/>
      <c r="AR699" s="23"/>
      <c r="AS699" s="21"/>
      <c r="AT699" s="21"/>
      <c r="AU699" s="237"/>
      <c r="AV699" s="237"/>
      <c r="AW699" s="21"/>
    </row>
    <row r="700" spans="1:49">
      <c r="A700" s="395"/>
      <c r="L700" s="317">
        <f t="shared" si="832"/>
        <v>0</v>
      </c>
      <c r="M700" s="317"/>
      <c r="X700" s="395">
        <f t="shared" si="830"/>
        <v>0</v>
      </c>
      <c r="AM700" s="317">
        <f t="shared" si="831"/>
        <v>0</v>
      </c>
    </row>
    <row r="701" spans="1:49">
      <c r="A701" s="395"/>
      <c r="L701" s="317">
        <f t="shared" si="832"/>
        <v>0</v>
      </c>
      <c r="M701" s="317"/>
      <c r="X701" s="395">
        <f t="shared" si="830"/>
        <v>0</v>
      </c>
      <c r="AM701" s="317">
        <f t="shared" si="831"/>
        <v>0</v>
      </c>
    </row>
    <row r="702" spans="1:49">
      <c r="A702" s="395"/>
      <c r="L702" s="317">
        <f t="shared" si="832"/>
        <v>0</v>
      </c>
      <c r="M702" s="317"/>
      <c r="X702" s="395">
        <f t="shared" si="830"/>
        <v>0</v>
      </c>
      <c r="AM702" s="317">
        <f t="shared" si="831"/>
        <v>0</v>
      </c>
    </row>
    <row r="703" spans="1:49">
      <c r="A703" s="395"/>
      <c r="L703" s="317">
        <f t="shared" si="832"/>
        <v>0</v>
      </c>
      <c r="M703" s="317"/>
      <c r="X703" s="395">
        <f t="shared" si="830"/>
        <v>0</v>
      </c>
      <c r="AM703" s="317">
        <f t="shared" si="831"/>
        <v>0</v>
      </c>
    </row>
    <row r="704" spans="1:49">
      <c r="A704" s="395"/>
      <c r="L704" s="317">
        <f t="shared" si="832"/>
        <v>0</v>
      </c>
      <c r="M704" s="317"/>
      <c r="X704" s="395">
        <f t="shared" si="830"/>
        <v>0</v>
      </c>
      <c r="AM704" s="317">
        <f t="shared" si="831"/>
        <v>0</v>
      </c>
    </row>
    <row r="705" spans="1:49">
      <c r="A705" s="395"/>
      <c r="L705" s="317">
        <f t="shared" si="832"/>
        <v>0</v>
      </c>
      <c r="M705" s="317"/>
      <c r="X705" s="395">
        <f t="shared" si="830"/>
        <v>0</v>
      </c>
      <c r="AM705" s="317">
        <f t="shared" si="831"/>
        <v>0</v>
      </c>
    </row>
    <row r="706" spans="1:49">
      <c r="A706" s="395"/>
      <c r="L706" s="317">
        <f t="shared" si="832"/>
        <v>0</v>
      </c>
      <c r="M706" s="317"/>
      <c r="X706" s="395">
        <f t="shared" si="830"/>
        <v>0</v>
      </c>
      <c r="AM706" s="317">
        <f t="shared" si="831"/>
        <v>0</v>
      </c>
    </row>
    <row r="707" spans="1:49">
      <c r="A707" s="395"/>
      <c r="L707" s="317">
        <f t="shared" si="832"/>
        <v>0</v>
      </c>
      <c r="M707" s="317"/>
      <c r="X707" s="395">
        <f t="shared" si="830"/>
        <v>0</v>
      </c>
      <c r="AM707" s="317">
        <f t="shared" si="831"/>
        <v>0</v>
      </c>
    </row>
    <row r="708" spans="1:49">
      <c r="A708" s="395"/>
      <c r="L708" s="317">
        <f t="shared" si="832"/>
        <v>0</v>
      </c>
      <c r="M708" s="317"/>
      <c r="X708" s="395">
        <f t="shared" si="830"/>
        <v>0</v>
      </c>
      <c r="AM708" s="317">
        <f t="shared" si="831"/>
        <v>0</v>
      </c>
    </row>
    <row r="709" spans="1:49">
      <c r="A709" s="395"/>
      <c r="L709" s="317">
        <f t="shared" si="832"/>
        <v>0</v>
      </c>
      <c r="M709" s="317"/>
      <c r="X709" s="395">
        <f t="shared" si="830"/>
        <v>0</v>
      </c>
      <c r="AM709" s="317">
        <f t="shared" si="831"/>
        <v>0</v>
      </c>
    </row>
    <row r="710" spans="1:49">
      <c r="A710" s="395"/>
      <c r="L710" s="317">
        <f t="shared" si="832"/>
        <v>0</v>
      </c>
      <c r="M710" s="317"/>
      <c r="X710" s="395">
        <f t="shared" si="830"/>
        <v>0</v>
      </c>
      <c r="AM710" s="317">
        <f t="shared" si="831"/>
        <v>0</v>
      </c>
    </row>
    <row r="711" spans="1:49" ht="15.75" thickBot="1">
      <c r="A711" s="398"/>
      <c r="B711" s="237"/>
      <c r="C711" s="21"/>
      <c r="D711" s="21"/>
      <c r="E711" s="21"/>
      <c r="F711" s="21"/>
      <c r="G711" s="21"/>
      <c r="H711" s="21"/>
      <c r="I711" s="237"/>
      <c r="J711" s="237"/>
      <c r="K711" s="237"/>
      <c r="L711" s="318">
        <f t="shared" si="832"/>
        <v>0</v>
      </c>
      <c r="M711" s="318"/>
      <c r="N711" s="237"/>
      <c r="O711" s="21"/>
      <c r="P711" s="21"/>
      <c r="Q711" s="21"/>
      <c r="R711" s="21"/>
      <c r="S711" s="21"/>
      <c r="T711" s="21"/>
      <c r="U711" s="237"/>
      <c r="V711" s="237"/>
      <c r="W711" s="237"/>
      <c r="X711" s="398">
        <f t="shared" si="830"/>
        <v>0</v>
      </c>
      <c r="Y711" s="237"/>
      <c r="Z711" s="389"/>
      <c r="AA711" s="21"/>
      <c r="AB711" s="21"/>
      <c r="AC711" s="21"/>
      <c r="AD711" s="21"/>
      <c r="AE711" s="21"/>
      <c r="AF711" s="21"/>
      <c r="AG711" s="237"/>
      <c r="AH711" s="237"/>
      <c r="AI711" s="237"/>
      <c r="AJ711" s="237"/>
      <c r="AK711" s="237"/>
      <c r="AL711" s="237"/>
      <c r="AM711" s="318">
        <f t="shared" si="831"/>
        <v>0</v>
      </c>
      <c r="AN711" s="21"/>
      <c r="AO711" s="21"/>
      <c r="AP711" s="21"/>
      <c r="AQ711" s="21"/>
      <c r="AR711" s="23"/>
      <c r="AS711" s="21"/>
      <c r="AT711" s="21"/>
      <c r="AU711" s="237"/>
      <c r="AV711" s="237"/>
      <c r="AW711" s="21"/>
    </row>
    <row r="712" spans="1:49">
      <c r="A712" s="395"/>
      <c r="L712" s="317">
        <f t="shared" si="832"/>
        <v>0</v>
      </c>
      <c r="M712" s="317"/>
      <c r="X712" s="395">
        <f t="shared" si="830"/>
        <v>0</v>
      </c>
      <c r="AM712" s="317">
        <f t="shared" si="831"/>
        <v>0</v>
      </c>
    </row>
    <row r="713" spans="1:49">
      <c r="A713" s="395"/>
      <c r="L713" s="317">
        <f t="shared" si="832"/>
        <v>0</v>
      </c>
      <c r="M713" s="317"/>
      <c r="X713" s="395">
        <f t="shared" si="830"/>
        <v>0</v>
      </c>
      <c r="AM713" s="317">
        <f t="shared" si="831"/>
        <v>0</v>
      </c>
    </row>
    <row r="714" spans="1:49">
      <c r="A714" s="395"/>
      <c r="L714" s="317">
        <f t="shared" si="832"/>
        <v>0</v>
      </c>
      <c r="M714" s="317"/>
      <c r="X714" s="395">
        <f t="shared" si="830"/>
        <v>0</v>
      </c>
      <c r="AM714" s="317">
        <f t="shared" si="831"/>
        <v>0</v>
      </c>
    </row>
    <row r="715" spans="1:49">
      <c r="A715" s="395"/>
      <c r="L715" s="317">
        <f t="shared" si="832"/>
        <v>0</v>
      </c>
      <c r="M715" s="317"/>
      <c r="X715" s="395">
        <f t="shared" si="830"/>
        <v>0</v>
      </c>
      <c r="AM715" s="317">
        <f t="shared" si="831"/>
        <v>0</v>
      </c>
    </row>
    <row r="716" spans="1:49">
      <c r="A716" s="395"/>
      <c r="L716" s="317">
        <f t="shared" si="832"/>
        <v>0</v>
      </c>
      <c r="M716" s="317"/>
      <c r="X716" s="395">
        <f t="shared" si="830"/>
        <v>0</v>
      </c>
      <c r="AM716" s="317">
        <f t="shared" si="831"/>
        <v>0</v>
      </c>
    </row>
    <row r="717" spans="1:49">
      <c r="A717" s="395"/>
      <c r="L717" s="317">
        <f t="shared" si="832"/>
        <v>0</v>
      </c>
      <c r="M717" s="317"/>
      <c r="X717" s="395">
        <f t="shared" si="830"/>
        <v>0</v>
      </c>
      <c r="AM717" s="317">
        <f t="shared" si="831"/>
        <v>0</v>
      </c>
    </row>
    <row r="718" spans="1:49">
      <c r="A718" s="395"/>
      <c r="L718" s="317">
        <f t="shared" si="832"/>
        <v>0</v>
      </c>
      <c r="M718" s="317"/>
      <c r="X718" s="395">
        <f t="shared" si="830"/>
        <v>0</v>
      </c>
      <c r="AM718" s="317">
        <f t="shared" si="831"/>
        <v>0</v>
      </c>
    </row>
    <row r="719" spans="1:49">
      <c r="A719" s="395"/>
      <c r="L719" s="317">
        <f t="shared" si="832"/>
        <v>0</v>
      </c>
      <c r="M719" s="317"/>
      <c r="X719" s="395">
        <f t="shared" si="830"/>
        <v>0</v>
      </c>
      <c r="AM719" s="317">
        <f t="shared" si="831"/>
        <v>0</v>
      </c>
    </row>
    <row r="720" spans="1:49">
      <c r="A720" s="395"/>
      <c r="L720" s="317">
        <f t="shared" si="832"/>
        <v>0</v>
      </c>
      <c r="M720" s="317"/>
      <c r="X720" s="395">
        <f t="shared" si="830"/>
        <v>0</v>
      </c>
      <c r="AM720" s="317">
        <f t="shared" si="831"/>
        <v>0</v>
      </c>
    </row>
    <row r="721" spans="1:49">
      <c r="A721" s="395"/>
      <c r="L721" s="317">
        <f t="shared" si="832"/>
        <v>0</v>
      </c>
      <c r="M721" s="317"/>
      <c r="X721" s="395">
        <f t="shared" ref="X721:X783" si="833">+A721</f>
        <v>0</v>
      </c>
      <c r="AM721" s="317">
        <f t="shared" ref="AM721:AM724" si="834">+L721</f>
        <v>0</v>
      </c>
    </row>
    <row r="722" spans="1:49">
      <c r="A722" s="395"/>
      <c r="L722" s="317">
        <f t="shared" si="832"/>
        <v>0</v>
      </c>
      <c r="M722" s="317"/>
      <c r="X722" s="395">
        <f t="shared" si="833"/>
        <v>0</v>
      </c>
      <c r="AM722" s="317">
        <f t="shared" si="834"/>
        <v>0</v>
      </c>
    </row>
    <row r="723" spans="1:49" ht="15.75" thickBot="1">
      <c r="A723" s="398"/>
      <c r="B723" s="237"/>
      <c r="C723" s="21"/>
      <c r="D723" s="21"/>
      <c r="E723" s="21"/>
      <c r="F723" s="21"/>
      <c r="G723" s="21"/>
      <c r="H723" s="21"/>
      <c r="I723" s="237"/>
      <c r="J723" s="237"/>
      <c r="K723" s="237"/>
      <c r="L723" s="318">
        <f t="shared" si="832"/>
        <v>0</v>
      </c>
      <c r="M723" s="318"/>
      <c r="N723" s="237"/>
      <c r="O723" s="21"/>
      <c r="P723" s="21"/>
      <c r="Q723" s="21"/>
      <c r="R723" s="21"/>
      <c r="S723" s="21"/>
      <c r="T723" s="21"/>
      <c r="U723" s="237"/>
      <c r="V723" s="237"/>
      <c r="W723" s="237"/>
      <c r="X723" s="398">
        <f t="shared" si="833"/>
        <v>0</v>
      </c>
      <c r="Y723" s="237"/>
      <c r="Z723" s="389"/>
      <c r="AA723" s="21"/>
      <c r="AB723" s="21"/>
      <c r="AC723" s="21"/>
      <c r="AD723" s="21"/>
      <c r="AE723" s="21"/>
      <c r="AF723" s="21"/>
      <c r="AG723" s="237"/>
      <c r="AH723" s="237"/>
      <c r="AI723" s="237"/>
      <c r="AJ723" s="237"/>
      <c r="AK723" s="237"/>
      <c r="AL723" s="237"/>
      <c r="AM723" s="318">
        <f t="shared" si="834"/>
        <v>0</v>
      </c>
      <c r="AN723" s="21"/>
      <c r="AO723" s="21"/>
      <c r="AP723" s="21"/>
      <c r="AQ723" s="21"/>
      <c r="AR723" s="23"/>
      <c r="AS723" s="21"/>
      <c r="AT723" s="21"/>
      <c r="AU723" s="237"/>
      <c r="AV723" s="237"/>
      <c r="AW723" s="21"/>
    </row>
    <row r="724" spans="1:49">
      <c r="A724" s="395"/>
      <c r="L724" s="317">
        <f t="shared" si="832"/>
        <v>0</v>
      </c>
      <c r="M724" s="317"/>
      <c r="X724" s="395">
        <f t="shared" si="833"/>
        <v>0</v>
      </c>
      <c r="AM724" s="317">
        <f t="shared" si="834"/>
        <v>0</v>
      </c>
    </row>
    <row r="725" spans="1:49">
      <c r="A725" s="395"/>
      <c r="L725" s="317">
        <f t="shared" si="832"/>
        <v>0</v>
      </c>
      <c r="M725" s="317"/>
      <c r="X725" s="395">
        <f t="shared" si="833"/>
        <v>0</v>
      </c>
      <c r="AM725" s="317"/>
    </row>
    <row r="726" spans="1:49">
      <c r="A726" s="395"/>
      <c r="L726" s="317">
        <f t="shared" si="832"/>
        <v>0</v>
      </c>
      <c r="M726" s="317"/>
      <c r="X726" s="395">
        <f t="shared" si="833"/>
        <v>0</v>
      </c>
      <c r="AM726" s="317"/>
    </row>
    <row r="727" spans="1:49">
      <c r="A727" s="395"/>
      <c r="L727" s="317">
        <f t="shared" si="832"/>
        <v>0</v>
      </c>
      <c r="M727" s="317"/>
      <c r="X727" s="395">
        <f t="shared" si="833"/>
        <v>0</v>
      </c>
      <c r="AM727" s="317"/>
    </row>
    <row r="728" spans="1:49">
      <c r="A728" s="395"/>
      <c r="L728" s="317">
        <f t="shared" si="832"/>
        <v>0</v>
      </c>
      <c r="M728" s="317"/>
      <c r="X728" s="395">
        <f t="shared" si="833"/>
        <v>0</v>
      </c>
      <c r="AM728" s="317"/>
    </row>
    <row r="729" spans="1:49">
      <c r="A729" s="395"/>
      <c r="L729" s="317">
        <f t="shared" si="832"/>
        <v>0</v>
      </c>
      <c r="M729" s="317"/>
      <c r="X729" s="395">
        <f t="shared" si="833"/>
        <v>0</v>
      </c>
      <c r="AM729" s="317"/>
    </row>
    <row r="730" spans="1:49">
      <c r="A730" s="395"/>
      <c r="L730" s="317">
        <f t="shared" si="832"/>
        <v>0</v>
      </c>
      <c r="M730" s="317"/>
      <c r="X730" s="395">
        <f t="shared" si="833"/>
        <v>0</v>
      </c>
      <c r="AM730" s="317"/>
    </row>
    <row r="731" spans="1:49">
      <c r="A731" s="395"/>
      <c r="L731" s="317">
        <f t="shared" si="832"/>
        <v>0</v>
      </c>
      <c r="M731" s="317"/>
      <c r="X731" s="395">
        <f t="shared" si="833"/>
        <v>0</v>
      </c>
      <c r="AM731" s="317"/>
    </row>
    <row r="732" spans="1:49">
      <c r="A732" s="395"/>
      <c r="L732" s="317">
        <f t="shared" si="832"/>
        <v>0</v>
      </c>
      <c r="M732" s="317"/>
      <c r="X732" s="395">
        <f t="shared" si="833"/>
        <v>0</v>
      </c>
      <c r="AM732" s="317"/>
    </row>
    <row r="733" spans="1:49">
      <c r="A733" s="395"/>
      <c r="L733" s="317">
        <f t="shared" si="832"/>
        <v>0</v>
      </c>
      <c r="M733" s="317"/>
      <c r="X733" s="395">
        <f t="shared" si="833"/>
        <v>0</v>
      </c>
      <c r="AM733" s="317"/>
    </row>
    <row r="734" spans="1:49">
      <c r="A734" s="395"/>
      <c r="L734" s="317">
        <f t="shared" si="832"/>
        <v>0</v>
      </c>
      <c r="M734" s="317"/>
      <c r="X734" s="395">
        <f t="shared" si="833"/>
        <v>0</v>
      </c>
      <c r="AM734" s="317"/>
    </row>
    <row r="735" spans="1:49" ht="15.75" thickBot="1">
      <c r="A735" s="398"/>
      <c r="B735" s="237"/>
      <c r="C735" s="21"/>
      <c r="D735" s="21"/>
      <c r="E735" s="21"/>
      <c r="F735" s="21"/>
      <c r="G735" s="21"/>
      <c r="H735" s="21"/>
      <c r="I735" s="237"/>
      <c r="J735" s="237"/>
      <c r="K735" s="237"/>
      <c r="L735" s="318">
        <f t="shared" si="832"/>
        <v>0</v>
      </c>
      <c r="M735" s="318"/>
      <c r="N735" s="237"/>
      <c r="O735" s="21"/>
      <c r="P735" s="21"/>
      <c r="Q735" s="21"/>
      <c r="R735" s="21"/>
      <c r="S735" s="21"/>
      <c r="T735" s="21"/>
      <c r="U735" s="237"/>
      <c r="V735" s="237"/>
      <c r="W735" s="237"/>
      <c r="X735" s="398">
        <f t="shared" si="833"/>
        <v>0</v>
      </c>
      <c r="Y735" s="237"/>
      <c r="Z735" s="389"/>
      <c r="AA735" s="21"/>
      <c r="AB735" s="21"/>
      <c r="AC735" s="21"/>
      <c r="AD735" s="21"/>
      <c r="AE735" s="21"/>
      <c r="AF735" s="21"/>
      <c r="AG735" s="237"/>
      <c r="AH735" s="237"/>
      <c r="AI735" s="237"/>
      <c r="AJ735" s="237"/>
      <c r="AK735" s="237"/>
      <c r="AL735" s="237"/>
      <c r="AM735" s="318"/>
      <c r="AN735" s="21"/>
      <c r="AO735" s="21"/>
      <c r="AP735" s="21"/>
      <c r="AQ735" s="21"/>
      <c r="AR735" s="23"/>
      <c r="AS735" s="21"/>
      <c r="AT735" s="21"/>
      <c r="AU735" s="237"/>
      <c r="AV735" s="237"/>
      <c r="AW735" s="21"/>
    </row>
    <row r="736" spans="1:49">
      <c r="A736" s="395"/>
      <c r="L736" s="317">
        <f t="shared" si="832"/>
        <v>0</v>
      </c>
      <c r="M736" s="317"/>
      <c r="X736" s="395">
        <f t="shared" si="833"/>
        <v>0</v>
      </c>
      <c r="AM736" s="317"/>
    </row>
    <row r="737" spans="1:49">
      <c r="A737" s="395"/>
      <c r="L737" s="317">
        <f t="shared" si="832"/>
        <v>0</v>
      </c>
      <c r="M737" s="317"/>
      <c r="X737" s="395">
        <f t="shared" si="833"/>
        <v>0</v>
      </c>
      <c r="AM737" s="317"/>
    </row>
    <row r="738" spans="1:49">
      <c r="A738" s="395"/>
      <c r="L738" s="317">
        <f t="shared" si="832"/>
        <v>0</v>
      </c>
      <c r="M738" s="317"/>
      <c r="X738" s="395">
        <f t="shared" si="833"/>
        <v>0</v>
      </c>
      <c r="AM738" s="317"/>
    </row>
    <row r="739" spans="1:49">
      <c r="A739" s="395"/>
      <c r="L739" s="317">
        <f t="shared" si="832"/>
        <v>0</v>
      </c>
      <c r="M739" s="317"/>
      <c r="X739" s="395">
        <f t="shared" si="833"/>
        <v>0</v>
      </c>
      <c r="AM739" s="317"/>
    </row>
    <row r="740" spans="1:49">
      <c r="A740" s="395"/>
      <c r="L740" s="317">
        <f t="shared" si="832"/>
        <v>0</v>
      </c>
      <c r="M740" s="317"/>
      <c r="X740" s="395">
        <f t="shared" si="833"/>
        <v>0</v>
      </c>
      <c r="AM740" s="317"/>
    </row>
    <row r="741" spans="1:49">
      <c r="A741" s="395"/>
      <c r="L741" s="317">
        <f t="shared" si="832"/>
        <v>0</v>
      </c>
      <c r="M741" s="317"/>
      <c r="X741" s="395">
        <f t="shared" si="833"/>
        <v>0</v>
      </c>
      <c r="AM741" s="317"/>
    </row>
    <row r="742" spans="1:49">
      <c r="A742" s="395"/>
      <c r="L742" s="317">
        <f t="shared" si="832"/>
        <v>0</v>
      </c>
      <c r="M742" s="317"/>
      <c r="X742" s="395">
        <f t="shared" si="833"/>
        <v>0</v>
      </c>
      <c r="AM742" s="317"/>
    </row>
    <row r="743" spans="1:49">
      <c r="A743" s="395"/>
      <c r="L743" s="317">
        <f t="shared" si="832"/>
        <v>0</v>
      </c>
      <c r="M743" s="317"/>
      <c r="X743" s="395">
        <f t="shared" si="833"/>
        <v>0</v>
      </c>
      <c r="AM743" s="317"/>
    </row>
    <row r="744" spans="1:49">
      <c r="A744" s="395"/>
      <c r="L744" s="317">
        <f t="shared" si="832"/>
        <v>0</v>
      </c>
      <c r="M744" s="317"/>
      <c r="X744" s="395">
        <f t="shared" si="833"/>
        <v>0</v>
      </c>
      <c r="AM744" s="317"/>
    </row>
    <row r="745" spans="1:49">
      <c r="A745" s="395"/>
      <c r="L745" s="317">
        <f t="shared" si="832"/>
        <v>0</v>
      </c>
      <c r="M745" s="317"/>
      <c r="X745" s="395">
        <f t="shared" si="833"/>
        <v>0</v>
      </c>
      <c r="AM745" s="317"/>
    </row>
    <row r="746" spans="1:49">
      <c r="A746" s="395"/>
      <c r="L746" s="317">
        <f t="shared" si="832"/>
        <v>0</v>
      </c>
      <c r="M746" s="317"/>
      <c r="X746" s="395">
        <f t="shared" si="833"/>
        <v>0</v>
      </c>
      <c r="AM746" s="317"/>
    </row>
    <row r="747" spans="1:49" ht="15.75" thickBot="1">
      <c r="A747" s="398"/>
      <c r="B747" s="237"/>
      <c r="C747" s="21"/>
      <c r="D747" s="21"/>
      <c r="E747" s="21"/>
      <c r="F747" s="21"/>
      <c r="G747" s="21"/>
      <c r="H747" s="21"/>
      <c r="I747" s="237"/>
      <c r="J747" s="237"/>
      <c r="K747" s="237"/>
      <c r="L747" s="318">
        <f t="shared" si="832"/>
        <v>0</v>
      </c>
      <c r="M747" s="318"/>
      <c r="N747" s="237"/>
      <c r="O747" s="21"/>
      <c r="P747" s="21"/>
      <c r="Q747" s="21"/>
      <c r="R747" s="21"/>
      <c r="S747" s="21"/>
      <c r="T747" s="21"/>
      <c r="U747" s="237"/>
      <c r="V747" s="237"/>
      <c r="W747" s="237"/>
      <c r="X747" s="398">
        <f t="shared" si="833"/>
        <v>0</v>
      </c>
      <c r="Y747" s="237"/>
      <c r="Z747" s="389"/>
      <c r="AA747" s="21"/>
      <c r="AB747" s="21"/>
      <c r="AC747" s="21"/>
      <c r="AD747" s="21"/>
      <c r="AE747" s="21"/>
      <c r="AF747" s="21"/>
      <c r="AG747" s="237"/>
      <c r="AH747" s="237"/>
      <c r="AI747" s="237"/>
      <c r="AJ747" s="237"/>
      <c r="AK747" s="237"/>
      <c r="AL747" s="237"/>
      <c r="AM747" s="318"/>
      <c r="AN747" s="21"/>
      <c r="AO747" s="21"/>
      <c r="AP747" s="21"/>
      <c r="AQ747" s="21"/>
      <c r="AR747" s="23"/>
      <c r="AS747" s="21"/>
      <c r="AT747" s="21"/>
      <c r="AU747" s="237"/>
      <c r="AV747" s="237"/>
      <c r="AW747" s="21"/>
    </row>
    <row r="748" spans="1:49">
      <c r="A748" s="395"/>
      <c r="L748" s="317">
        <f t="shared" si="832"/>
        <v>0</v>
      </c>
      <c r="M748" s="317"/>
      <c r="X748" s="395">
        <f t="shared" si="833"/>
        <v>0</v>
      </c>
      <c r="AM748" s="317"/>
    </row>
    <row r="749" spans="1:49">
      <c r="A749" s="395"/>
      <c r="L749" s="317">
        <f t="shared" si="832"/>
        <v>0</v>
      </c>
      <c r="M749" s="317"/>
      <c r="X749" s="395">
        <f t="shared" si="833"/>
        <v>0</v>
      </c>
      <c r="AM749" s="317"/>
    </row>
    <row r="750" spans="1:49">
      <c r="A750" s="395"/>
      <c r="L750" s="317">
        <f t="shared" si="832"/>
        <v>0</v>
      </c>
      <c r="M750" s="317"/>
      <c r="X750" s="395">
        <f t="shared" si="833"/>
        <v>0</v>
      </c>
      <c r="AM750" s="317"/>
    </row>
    <row r="751" spans="1:49">
      <c r="A751" s="395"/>
      <c r="L751" s="317">
        <f t="shared" si="832"/>
        <v>0</v>
      </c>
      <c r="M751" s="317"/>
      <c r="X751" s="395">
        <f t="shared" si="833"/>
        <v>0</v>
      </c>
      <c r="AM751" s="317"/>
    </row>
    <row r="752" spans="1:49">
      <c r="A752" s="395"/>
      <c r="L752" s="317">
        <f t="shared" ref="L752:L783" si="835">IF(MOD(M752,12)=0,M752/12,L751)</f>
        <v>0</v>
      </c>
      <c r="M752" s="317"/>
      <c r="X752" s="395">
        <f t="shared" si="833"/>
        <v>0</v>
      </c>
      <c r="AM752" s="317"/>
    </row>
    <row r="753" spans="1:49">
      <c r="A753" s="395"/>
      <c r="L753" s="317">
        <f t="shared" si="835"/>
        <v>0</v>
      </c>
      <c r="M753" s="317"/>
      <c r="X753" s="395">
        <f t="shared" si="833"/>
        <v>0</v>
      </c>
      <c r="AM753" s="317"/>
    </row>
    <row r="754" spans="1:49">
      <c r="A754" s="395"/>
      <c r="L754" s="317">
        <f t="shared" si="835"/>
        <v>0</v>
      </c>
      <c r="M754" s="317"/>
      <c r="X754" s="395">
        <f t="shared" si="833"/>
        <v>0</v>
      </c>
      <c r="AM754" s="317"/>
    </row>
    <row r="755" spans="1:49">
      <c r="A755" s="395"/>
      <c r="L755" s="317">
        <f t="shared" si="835"/>
        <v>0</v>
      </c>
      <c r="M755" s="317"/>
      <c r="X755" s="395">
        <f t="shared" si="833"/>
        <v>0</v>
      </c>
      <c r="AM755" s="317"/>
    </row>
    <row r="756" spans="1:49">
      <c r="A756" s="395"/>
      <c r="L756" s="317">
        <f t="shared" si="835"/>
        <v>0</v>
      </c>
      <c r="M756" s="317"/>
      <c r="X756" s="395">
        <f t="shared" si="833"/>
        <v>0</v>
      </c>
      <c r="AM756" s="317"/>
    </row>
    <row r="757" spans="1:49">
      <c r="A757" s="395"/>
      <c r="L757" s="317">
        <f t="shared" si="835"/>
        <v>0</v>
      </c>
      <c r="M757" s="317"/>
      <c r="X757" s="395">
        <f t="shared" si="833"/>
        <v>0</v>
      </c>
      <c r="AM757" s="317"/>
    </row>
    <row r="758" spans="1:49">
      <c r="A758" s="395"/>
      <c r="L758" s="317">
        <f t="shared" si="835"/>
        <v>0</v>
      </c>
      <c r="M758" s="317"/>
      <c r="X758" s="395">
        <f t="shared" si="833"/>
        <v>0</v>
      </c>
      <c r="AM758" s="317"/>
    </row>
    <row r="759" spans="1:49" ht="15.75" thickBot="1">
      <c r="A759" s="398"/>
      <c r="B759" s="237"/>
      <c r="C759" s="21"/>
      <c r="D759" s="21"/>
      <c r="E759" s="21"/>
      <c r="F759" s="21"/>
      <c r="G759" s="21"/>
      <c r="H759" s="21"/>
      <c r="I759" s="237"/>
      <c r="J759" s="237"/>
      <c r="K759" s="237"/>
      <c r="L759" s="318">
        <f t="shared" si="835"/>
        <v>0</v>
      </c>
      <c r="M759" s="318"/>
      <c r="N759" s="237"/>
      <c r="O759" s="21"/>
      <c r="P759" s="21"/>
      <c r="Q759" s="21"/>
      <c r="R759" s="21"/>
      <c r="S759" s="21"/>
      <c r="T759" s="21"/>
      <c r="U759" s="237"/>
      <c r="V759" s="237"/>
      <c r="W759" s="237"/>
      <c r="X759" s="398">
        <f t="shared" si="833"/>
        <v>0</v>
      </c>
      <c r="Y759" s="237"/>
      <c r="Z759" s="389"/>
      <c r="AA759" s="21"/>
      <c r="AB759" s="21"/>
      <c r="AC759" s="21"/>
      <c r="AD759" s="21"/>
      <c r="AE759" s="21"/>
      <c r="AF759" s="21"/>
      <c r="AG759" s="237"/>
      <c r="AH759" s="237"/>
      <c r="AI759" s="237"/>
      <c r="AJ759" s="237"/>
      <c r="AK759" s="237"/>
      <c r="AL759" s="237"/>
      <c r="AM759" s="318"/>
      <c r="AN759" s="21"/>
      <c r="AO759" s="21"/>
      <c r="AP759" s="21"/>
      <c r="AQ759" s="21"/>
      <c r="AR759" s="23"/>
      <c r="AS759" s="21"/>
      <c r="AT759" s="21"/>
      <c r="AU759" s="237"/>
      <c r="AV759" s="237"/>
      <c r="AW759" s="21"/>
    </row>
    <row r="760" spans="1:49">
      <c r="A760" s="395"/>
      <c r="L760" s="317">
        <f t="shared" si="835"/>
        <v>0</v>
      </c>
      <c r="M760" s="317"/>
      <c r="X760" s="395">
        <f t="shared" si="833"/>
        <v>0</v>
      </c>
      <c r="AM760" s="317"/>
    </row>
    <row r="761" spans="1:49">
      <c r="A761" s="395"/>
      <c r="L761" s="317">
        <f t="shared" si="835"/>
        <v>0</v>
      </c>
      <c r="M761" s="317"/>
      <c r="X761" s="395">
        <f t="shared" si="833"/>
        <v>0</v>
      </c>
      <c r="AM761" s="317"/>
    </row>
    <row r="762" spans="1:49">
      <c r="A762" s="395"/>
      <c r="L762" s="317">
        <f t="shared" si="835"/>
        <v>0</v>
      </c>
      <c r="M762" s="317"/>
      <c r="X762" s="395">
        <f t="shared" si="833"/>
        <v>0</v>
      </c>
      <c r="AM762" s="317"/>
    </row>
    <row r="763" spans="1:49">
      <c r="A763" s="395"/>
      <c r="L763" s="317">
        <f t="shared" si="835"/>
        <v>0</v>
      </c>
      <c r="M763" s="317"/>
      <c r="X763" s="395">
        <f t="shared" si="833"/>
        <v>0</v>
      </c>
      <c r="AM763" s="317"/>
    </row>
    <row r="764" spans="1:49">
      <c r="A764" s="395"/>
      <c r="L764" s="317">
        <f t="shared" si="835"/>
        <v>0</v>
      </c>
      <c r="M764" s="317"/>
      <c r="X764" s="395">
        <f t="shared" si="833"/>
        <v>0</v>
      </c>
      <c r="AM764" s="317"/>
    </row>
    <row r="765" spans="1:49">
      <c r="A765" s="395"/>
      <c r="L765" s="317">
        <f t="shared" si="835"/>
        <v>0</v>
      </c>
      <c r="M765" s="317"/>
      <c r="X765" s="395">
        <f t="shared" si="833"/>
        <v>0</v>
      </c>
      <c r="AM765" s="317"/>
    </row>
    <row r="766" spans="1:49">
      <c r="A766" s="395"/>
      <c r="L766" s="317">
        <f t="shared" si="835"/>
        <v>0</v>
      </c>
      <c r="M766" s="317"/>
      <c r="X766" s="395">
        <f t="shared" si="833"/>
        <v>0</v>
      </c>
      <c r="AM766" s="317"/>
    </row>
    <row r="767" spans="1:49">
      <c r="A767" s="395"/>
      <c r="L767" s="317">
        <f t="shared" si="835"/>
        <v>0</v>
      </c>
      <c r="M767" s="317"/>
      <c r="X767" s="395">
        <f t="shared" si="833"/>
        <v>0</v>
      </c>
      <c r="AM767" s="317"/>
    </row>
    <row r="768" spans="1:49">
      <c r="A768" s="395"/>
      <c r="L768" s="317">
        <f t="shared" si="835"/>
        <v>0</v>
      </c>
      <c r="M768" s="317"/>
      <c r="X768" s="395">
        <f t="shared" si="833"/>
        <v>0</v>
      </c>
      <c r="AM768" s="317"/>
    </row>
    <row r="769" spans="1:49">
      <c r="A769" s="395"/>
      <c r="L769" s="317">
        <f t="shared" si="835"/>
        <v>0</v>
      </c>
      <c r="M769" s="317"/>
      <c r="X769" s="395">
        <f t="shared" si="833"/>
        <v>0</v>
      </c>
      <c r="AM769" s="317"/>
    </row>
    <row r="770" spans="1:49">
      <c r="A770" s="395"/>
      <c r="L770" s="317">
        <f t="shared" si="835"/>
        <v>0</v>
      </c>
      <c r="M770" s="317"/>
      <c r="X770" s="395">
        <f t="shared" si="833"/>
        <v>0</v>
      </c>
      <c r="AM770" s="317"/>
    </row>
    <row r="771" spans="1:49" ht="15.75" thickBot="1">
      <c r="A771" s="398"/>
      <c r="B771" s="237"/>
      <c r="C771" s="21"/>
      <c r="D771" s="21"/>
      <c r="E771" s="21"/>
      <c r="F771" s="21"/>
      <c r="G771" s="21"/>
      <c r="H771" s="21"/>
      <c r="I771" s="237"/>
      <c r="J771" s="237"/>
      <c r="K771" s="237"/>
      <c r="L771" s="318">
        <f t="shared" si="835"/>
        <v>0</v>
      </c>
      <c r="M771" s="318"/>
      <c r="N771" s="237"/>
      <c r="O771" s="21"/>
      <c r="P771" s="21"/>
      <c r="Q771" s="21"/>
      <c r="R771" s="21"/>
      <c r="S771" s="21"/>
      <c r="T771" s="21"/>
      <c r="U771" s="237"/>
      <c r="V771" s="237"/>
      <c r="W771" s="237"/>
      <c r="X771" s="398">
        <f t="shared" si="833"/>
        <v>0</v>
      </c>
      <c r="Y771" s="237"/>
      <c r="Z771" s="389"/>
      <c r="AA771" s="21"/>
      <c r="AB771" s="21"/>
      <c r="AC771" s="21"/>
      <c r="AD771" s="21"/>
      <c r="AE771" s="21"/>
      <c r="AF771" s="21"/>
      <c r="AG771" s="237"/>
      <c r="AH771" s="237"/>
      <c r="AI771" s="237"/>
      <c r="AJ771" s="237"/>
      <c r="AK771" s="237"/>
      <c r="AL771" s="237"/>
      <c r="AM771" s="318"/>
      <c r="AN771" s="21"/>
      <c r="AO771" s="21"/>
      <c r="AP771" s="21"/>
      <c r="AQ771" s="21"/>
      <c r="AR771" s="23"/>
      <c r="AS771" s="21"/>
      <c r="AT771" s="21"/>
      <c r="AU771" s="237"/>
      <c r="AV771" s="237"/>
      <c r="AW771" s="21"/>
    </row>
    <row r="772" spans="1:49">
      <c r="A772" s="395"/>
      <c r="L772" s="317">
        <f t="shared" si="835"/>
        <v>0</v>
      </c>
      <c r="M772" s="317"/>
      <c r="X772" s="395">
        <f t="shared" si="833"/>
        <v>0</v>
      </c>
      <c r="AM772" s="317"/>
    </row>
    <row r="773" spans="1:49">
      <c r="A773" s="395"/>
      <c r="L773" s="317">
        <f t="shared" si="835"/>
        <v>0</v>
      </c>
      <c r="M773" s="317"/>
      <c r="X773" s="395">
        <f t="shared" si="833"/>
        <v>0</v>
      </c>
      <c r="AM773" s="317"/>
    </row>
    <row r="774" spans="1:49">
      <c r="A774" s="395"/>
      <c r="L774" s="317">
        <f t="shared" si="835"/>
        <v>0</v>
      </c>
      <c r="M774" s="317"/>
      <c r="X774" s="395">
        <f t="shared" si="833"/>
        <v>0</v>
      </c>
      <c r="AM774" s="317"/>
    </row>
    <row r="775" spans="1:49">
      <c r="A775" s="395"/>
      <c r="L775" s="317">
        <f t="shared" si="835"/>
        <v>0</v>
      </c>
      <c r="M775" s="317"/>
      <c r="X775" s="395">
        <f t="shared" si="833"/>
        <v>0</v>
      </c>
      <c r="AM775" s="317"/>
    </row>
    <row r="776" spans="1:49">
      <c r="A776" s="395"/>
      <c r="L776" s="317">
        <f t="shared" si="835"/>
        <v>0</v>
      </c>
      <c r="M776" s="317"/>
      <c r="X776" s="395">
        <f t="shared" si="833"/>
        <v>0</v>
      </c>
      <c r="AM776" s="317"/>
    </row>
    <row r="777" spans="1:49">
      <c r="A777" s="395"/>
      <c r="L777" s="317">
        <f t="shared" si="835"/>
        <v>0</v>
      </c>
      <c r="M777" s="317"/>
      <c r="X777" s="395">
        <f t="shared" si="833"/>
        <v>0</v>
      </c>
      <c r="AM777" s="317"/>
    </row>
    <row r="778" spans="1:49">
      <c r="A778" s="395"/>
      <c r="L778" s="317">
        <f t="shared" si="835"/>
        <v>0</v>
      </c>
      <c r="M778" s="317"/>
      <c r="X778" s="395">
        <f t="shared" si="833"/>
        <v>0</v>
      </c>
      <c r="AM778" s="317"/>
    </row>
    <row r="779" spans="1:49">
      <c r="A779" s="395"/>
      <c r="L779" s="317">
        <f t="shared" si="835"/>
        <v>0</v>
      </c>
      <c r="M779" s="317"/>
      <c r="X779" s="395">
        <f t="shared" si="833"/>
        <v>0</v>
      </c>
      <c r="AM779" s="317"/>
    </row>
    <row r="780" spans="1:49">
      <c r="A780" s="395"/>
      <c r="L780" s="317">
        <f t="shared" si="835"/>
        <v>0</v>
      </c>
      <c r="M780" s="317"/>
      <c r="X780" s="395">
        <f t="shared" si="833"/>
        <v>0</v>
      </c>
      <c r="AM780" s="317"/>
    </row>
    <row r="781" spans="1:49">
      <c r="A781" s="395"/>
      <c r="L781" s="317">
        <f t="shared" si="835"/>
        <v>0</v>
      </c>
      <c r="M781" s="317"/>
      <c r="X781" s="395">
        <f t="shared" si="833"/>
        <v>0</v>
      </c>
      <c r="AM781" s="317"/>
    </row>
    <row r="782" spans="1:49">
      <c r="A782" s="395"/>
      <c r="L782" s="317">
        <f t="shared" si="835"/>
        <v>0</v>
      </c>
      <c r="M782" s="317"/>
      <c r="X782" s="395">
        <f t="shared" si="833"/>
        <v>0</v>
      </c>
      <c r="AM782" s="317"/>
    </row>
    <row r="783" spans="1:49" ht="15.75" thickBot="1">
      <c r="A783" s="398"/>
      <c r="B783" s="237"/>
      <c r="C783" s="21"/>
      <c r="D783" s="21"/>
      <c r="E783" s="21"/>
      <c r="F783" s="21"/>
      <c r="G783" s="21"/>
      <c r="H783" s="21"/>
      <c r="I783" s="237"/>
      <c r="J783" s="237"/>
      <c r="K783" s="237"/>
      <c r="L783" s="318">
        <f t="shared" si="835"/>
        <v>0</v>
      </c>
      <c r="M783" s="318"/>
      <c r="N783" s="237"/>
      <c r="O783" s="21"/>
      <c r="P783" s="21"/>
      <c r="Q783" s="21"/>
      <c r="R783" s="21"/>
      <c r="S783" s="21"/>
      <c r="T783" s="21"/>
      <c r="U783" s="237"/>
      <c r="V783" s="237"/>
      <c r="W783" s="237"/>
      <c r="X783" s="398">
        <f t="shared" si="833"/>
        <v>0</v>
      </c>
      <c r="Y783" s="237"/>
      <c r="Z783" s="389"/>
      <c r="AA783" s="21"/>
      <c r="AB783" s="21"/>
      <c r="AC783" s="21"/>
      <c r="AD783" s="21"/>
      <c r="AE783" s="21"/>
      <c r="AF783" s="21"/>
      <c r="AG783" s="237"/>
      <c r="AH783" s="237"/>
      <c r="AI783" s="237"/>
      <c r="AJ783" s="237"/>
      <c r="AK783" s="237"/>
      <c r="AL783" s="237"/>
      <c r="AM783" s="318"/>
      <c r="AN783" s="21"/>
      <c r="AO783" s="21"/>
      <c r="AP783" s="21"/>
      <c r="AQ783" s="21"/>
      <c r="AR783" s="23"/>
      <c r="AS783" s="21"/>
      <c r="AT783" s="21"/>
      <c r="AU783" s="237"/>
      <c r="AV783" s="237"/>
      <c r="AW783" s="21"/>
    </row>
  </sheetData>
  <mergeCells count="23">
    <mergeCell ref="K2:L2"/>
    <mergeCell ref="K3:L3"/>
    <mergeCell ref="K4:L4"/>
    <mergeCell ref="U5:W6"/>
    <mergeCell ref="X5:X6"/>
    <mergeCell ref="Y2:Z2"/>
    <mergeCell ref="Y4:Z4"/>
    <mergeCell ref="Y5:Z5"/>
    <mergeCell ref="Y6:Z6"/>
    <mergeCell ref="AU14:AV14"/>
    <mergeCell ref="Y12:Z12"/>
    <mergeCell ref="AI14:AK14"/>
    <mergeCell ref="AA14:AF14"/>
    <mergeCell ref="AG14:AH14"/>
    <mergeCell ref="AP14:AQ14"/>
    <mergeCell ref="Y7:Z7"/>
    <mergeCell ref="Y8:Z8"/>
    <mergeCell ref="I14:J14"/>
    <mergeCell ref="AN14:AO14"/>
    <mergeCell ref="C14:H14"/>
    <mergeCell ref="N13:W13"/>
    <mergeCell ref="Y13:AL13"/>
    <mergeCell ref="U14:V14"/>
  </mergeCells>
  <conditionalFormatting sqref="AK16:AK544">
    <cfRule type="cellIs" dxfId="43"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8"/>
  <sheetViews>
    <sheetView tabSelected="1" workbookViewId="0">
      <pane xSplit="2" ySplit="2" topLeftCell="C3" activePane="bottomRight" state="frozen"/>
      <selection pane="topRight" activeCell="C1" sqref="C1"/>
      <selection pane="bottomLeft" activeCell="A3" sqref="A3"/>
      <selection pane="bottomRight" activeCell="E12" sqref="E12"/>
    </sheetView>
  </sheetViews>
  <sheetFormatPr defaultRowHeight="15.75"/>
  <cols>
    <col min="1" max="1" width="30" bestFit="1" customWidth="1"/>
    <col min="2" max="2" width="51.42578125" style="415" customWidth="1"/>
    <col min="3" max="3" width="13" style="415" customWidth="1"/>
    <col min="4" max="6" width="35.5703125" style="415" customWidth="1"/>
    <col min="7"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0"/>
      <c r="C1" s="430"/>
      <c r="D1" s="15" t="s">
        <v>186</v>
      </c>
      <c r="E1" s="432" t="s">
        <v>187</v>
      </c>
      <c r="F1" s="15" t="s">
        <v>188</v>
      </c>
      <c r="G1" s="15" t="s">
        <v>189</v>
      </c>
      <c r="H1" s="15" t="s">
        <v>190</v>
      </c>
      <c r="I1" s="15" t="s">
        <v>191</v>
      </c>
      <c r="J1" s="435" t="s">
        <v>192</v>
      </c>
      <c r="K1" s="30" t="s">
        <v>193</v>
      </c>
      <c r="L1" s="15" t="s">
        <v>194</v>
      </c>
      <c r="M1" s="15" t="s">
        <v>195</v>
      </c>
      <c r="N1" s="431" t="s">
        <v>196</v>
      </c>
      <c r="O1" s="432" t="s">
        <v>197</v>
      </c>
      <c r="P1" s="433" t="s">
        <v>198</v>
      </c>
      <c r="Q1" s="433" t="s">
        <v>199</v>
      </c>
      <c r="R1" s="432" t="s">
        <v>200</v>
      </c>
      <c r="S1" s="15" t="s">
        <v>201</v>
      </c>
      <c r="T1" s="15" t="s">
        <v>202</v>
      </c>
      <c r="U1" s="15" t="s">
        <v>203</v>
      </c>
      <c r="V1" s="432" t="s">
        <v>204</v>
      </c>
      <c r="W1" s="15" t="s">
        <v>205</v>
      </c>
      <c r="X1" s="15" t="s">
        <v>206</v>
      </c>
      <c r="Y1" s="15" t="s">
        <v>207</v>
      </c>
      <c r="Z1" s="15" t="s">
        <v>208</v>
      </c>
      <c r="AA1" s="15" t="s">
        <v>209</v>
      </c>
      <c r="AB1" s="15" t="s">
        <v>210</v>
      </c>
      <c r="AC1" s="15" t="s">
        <v>211</v>
      </c>
      <c r="AD1" s="15" t="s">
        <v>212</v>
      </c>
      <c r="AE1" s="15" t="s">
        <v>213</v>
      </c>
      <c r="AF1" s="432" t="s">
        <v>214</v>
      </c>
      <c r="AG1" s="432" t="s">
        <v>215</v>
      </c>
      <c r="AH1" s="15" t="s">
        <v>216</v>
      </c>
      <c r="AI1" s="15" t="s">
        <v>217</v>
      </c>
      <c r="AJ1" s="433" t="s">
        <v>218</v>
      </c>
      <c r="AK1" s="432" t="s">
        <v>219</v>
      </c>
      <c r="AL1" s="432" t="s">
        <v>220</v>
      </c>
      <c r="AM1" s="15" t="s">
        <v>221</v>
      </c>
      <c r="AN1" s="15" t="s">
        <v>222</v>
      </c>
      <c r="AO1" s="432" t="s">
        <v>223</v>
      </c>
      <c r="AP1" s="15" t="s">
        <v>224</v>
      </c>
      <c r="AQ1" s="15" t="s">
        <v>225</v>
      </c>
      <c r="AR1" s="15" t="s">
        <v>226</v>
      </c>
      <c r="AS1" s="15" t="s">
        <v>227</v>
      </c>
      <c r="AT1" s="432" t="s">
        <v>228</v>
      </c>
      <c r="AU1" s="432" t="s">
        <v>229</v>
      </c>
      <c r="AV1" s="432" t="s">
        <v>230</v>
      </c>
      <c r="AW1" s="15" t="s">
        <v>231</v>
      </c>
      <c r="AX1" s="15" t="s">
        <v>232</v>
      </c>
      <c r="AY1" s="30" t="s">
        <v>233</v>
      </c>
      <c r="AZ1" s="30" t="s">
        <v>234</v>
      </c>
      <c r="BA1" s="30" t="s">
        <v>235</v>
      </c>
      <c r="BB1" s="30" t="s">
        <v>236</v>
      </c>
      <c r="BC1" s="30" t="s">
        <v>237</v>
      </c>
      <c r="BD1" s="30" t="s">
        <v>238</v>
      </c>
      <c r="BE1" s="15" t="s">
        <v>239</v>
      </c>
      <c r="BF1" s="15" t="s">
        <v>240</v>
      </c>
      <c r="BG1" s="15" t="s">
        <v>241</v>
      </c>
      <c r="BH1" s="15" t="s">
        <v>242</v>
      </c>
      <c r="BI1" s="432" t="s">
        <v>243</v>
      </c>
      <c r="BJ1" s="432" t="s">
        <v>244</v>
      </c>
      <c r="BK1" s="432" t="s">
        <v>245</v>
      </c>
      <c r="BL1" s="15" t="s">
        <v>246</v>
      </c>
      <c r="BM1" s="15" t="s">
        <v>247</v>
      </c>
      <c r="BN1" s="30" t="s">
        <v>248</v>
      </c>
      <c r="BO1" s="30" t="s">
        <v>249</v>
      </c>
      <c r="BP1" s="30" t="s">
        <v>250</v>
      </c>
      <c r="BQ1" s="30" t="s">
        <v>251</v>
      </c>
      <c r="BR1" s="30" t="s">
        <v>252</v>
      </c>
      <c r="BS1" s="30" t="s">
        <v>253</v>
      </c>
      <c r="BT1" s="15" t="s">
        <v>254</v>
      </c>
      <c r="BU1" s="15" t="s">
        <v>255</v>
      </c>
      <c r="BV1" s="15" t="s">
        <v>256</v>
      </c>
      <c r="BW1" s="432" t="s">
        <v>257</v>
      </c>
      <c r="BX1" s="15" t="s">
        <v>258</v>
      </c>
      <c r="BY1" s="15" t="s">
        <v>259</v>
      </c>
      <c r="BZ1" s="433" t="s">
        <v>260</v>
      </c>
      <c r="CA1" s="432" t="s">
        <v>261</v>
      </c>
      <c r="CB1" s="15" t="s">
        <v>262</v>
      </c>
      <c r="CC1" s="15" t="s">
        <v>263</v>
      </c>
      <c r="CD1" s="15" t="s">
        <v>264</v>
      </c>
      <c r="CE1" s="30" t="s">
        <v>265</v>
      </c>
      <c r="CF1" s="432" t="s">
        <v>266</v>
      </c>
      <c r="CG1" s="433" t="s">
        <v>267</v>
      </c>
      <c r="CH1" s="433" t="s">
        <v>268</v>
      </c>
      <c r="CI1" s="15" t="s">
        <v>269</v>
      </c>
      <c r="CJ1" s="15" t="s">
        <v>270</v>
      </c>
      <c r="CK1" s="15" t="s">
        <v>271</v>
      </c>
      <c r="CL1" s="15" t="s">
        <v>272</v>
      </c>
      <c r="CM1" s="15" t="s">
        <v>273</v>
      </c>
      <c r="CN1" s="15" t="s">
        <v>274</v>
      </c>
      <c r="CO1" s="15" t="s">
        <v>172</v>
      </c>
    </row>
    <row r="2" spans="1:101">
      <c r="D2" t="str">
        <f>+B28</f>
        <v>1st mortgage to Shellpoint of 122,713.02</v>
      </c>
      <c r="E2" s="14" t="str">
        <f>+B57</f>
        <v xml:space="preserve"> </v>
      </c>
      <c r="F2" t="str">
        <f>+B76</f>
        <v>LO95 CANDLEWICK SUB SE2</v>
      </c>
      <c r="G2" t="str">
        <f>+B30</f>
        <v>Buy Your Home Retiremnet Plan Trust</v>
      </c>
      <c r="H2">
        <f>+B35</f>
        <v>0</v>
      </c>
      <c r="I2" t="str">
        <f>+B31</f>
        <v>Hubolist Elliott</v>
      </c>
      <c r="J2" s="83" t="str">
        <f>+B32</f>
        <v>Hurbert Lee Elliott</v>
      </c>
      <c r="K2">
        <f>+B34</f>
        <v>0</v>
      </c>
      <c r="L2" t="str">
        <f>+B43</f>
        <v>X:      -    -       :</v>
      </c>
      <c r="M2" t="str">
        <f>+B44</f>
        <v>X:      -    -       :</v>
      </c>
      <c r="N2">
        <f>+B50</f>
        <v>100</v>
      </c>
      <c r="O2">
        <f>B51</f>
        <v>9900</v>
      </c>
      <c r="P2" s="14">
        <f>+B49</f>
        <v>222245</v>
      </c>
      <c r="Q2" s="14" t="str">
        <f>+B55</f>
        <v>Shellpoint</v>
      </c>
      <c r="R2" s="231">
        <f>B48</f>
        <v>122713</v>
      </c>
      <c r="S2">
        <f>+B40</f>
        <v>0</v>
      </c>
      <c r="T2">
        <f>+B41</f>
        <v>0</v>
      </c>
      <c r="U2" s="188">
        <f>+B66</f>
        <v>0</v>
      </c>
      <c r="V2" s="375" t="str">
        <f>+B52</f>
        <v>4.500%</v>
      </c>
      <c r="W2" s="375" t="str">
        <f>+B70</f>
        <v>WAKE</v>
      </c>
      <c r="X2">
        <f ca="1">+B94</f>
        <v>6</v>
      </c>
      <c r="Y2">
        <f ca="1">+B93</f>
        <v>2026</v>
      </c>
      <c r="Z2">
        <f>+B81</f>
        <v>0</v>
      </c>
      <c r="AA2">
        <f>+B82</f>
        <v>0</v>
      </c>
      <c r="AB2">
        <f>+B83</f>
        <v>0</v>
      </c>
      <c r="AC2" t="str">
        <f>+B84</f>
        <v>Mark's Creek</v>
      </c>
      <c r="AD2">
        <f>+B106</f>
        <v>6</v>
      </c>
      <c r="AE2">
        <f>+B107</f>
        <v>0</v>
      </c>
      <c r="AF2" s="375" t="str">
        <f>+B53</f>
        <v>8.500%</v>
      </c>
      <c r="AG2" s="375" t="str">
        <f>+B54</f>
        <v>8.500%</v>
      </c>
      <c r="AH2" t="str">
        <f>+B45</f>
        <v>X:      -    -       :</v>
      </c>
      <c r="AI2" t="str">
        <f>+B42</f>
        <v>:</v>
      </c>
      <c r="AJ2">
        <f>+B74</f>
        <v>0</v>
      </c>
      <c r="AK2" s="14">
        <f>+B60</f>
        <v>0</v>
      </c>
      <c r="AL2">
        <f>+B61</f>
        <v>2025</v>
      </c>
      <c r="AM2" t="str">
        <f>+B77</f>
        <v>BEING all of Lot 95, Section 2, of Candlewick Subdivision, as depicted in Book of Maps 1974, Page 271, Wake County Registry</v>
      </c>
      <c r="AN2">
        <f>B46</f>
        <v>555834859</v>
      </c>
      <c r="AO2" s="14">
        <f>+B16</f>
        <v>325710</v>
      </c>
      <c r="AP2" s="376">
        <f>+B25</f>
        <v>57132</v>
      </c>
      <c r="AQ2" s="376">
        <f>+B24</f>
        <v>46204</v>
      </c>
      <c r="AR2" s="376">
        <f>+B26</f>
        <v>46204</v>
      </c>
      <c r="AS2" s="376">
        <f>+B27</f>
        <v>57132</v>
      </c>
      <c r="AT2" s="231">
        <f>+B20</f>
        <v>2545.85</v>
      </c>
      <c r="AU2" s="231">
        <f>+B17</f>
        <v>2504.4299999999998</v>
      </c>
      <c r="AV2" s="231">
        <f>+B20</f>
        <v>2545.85</v>
      </c>
      <c r="AW2" t="str">
        <f>+B92</f>
        <v>Wes Browning</v>
      </c>
      <c r="AX2" t="str">
        <f>+B108</f>
        <v>X</v>
      </c>
      <c r="AY2" t="str">
        <f>+B103</f>
        <v>DON'T USE</v>
      </c>
      <c r="AZ2" t="str">
        <f>+B104</f>
        <v>Part of Purchase and Sale Agreement</v>
      </c>
      <c r="BA2" t="str">
        <f>+B109</f>
        <v>Purchase and Sale Agreement</v>
      </c>
      <c r="BB2" s="14">
        <f>+B100</f>
        <v>1666.6666666666667</v>
      </c>
      <c r="BC2" s="14">
        <f>+B101</f>
        <v>10000</v>
      </c>
      <c r="BD2" t="str">
        <f>+B102</f>
        <v>A balloon payment of $10,000.00 will be due when the property is resold by the purchaser</v>
      </c>
      <c r="BE2" t="str">
        <f>+B68</f>
        <v>320 Rose Pl</v>
      </c>
      <c r="BF2" t="str">
        <f>+B69</f>
        <v>Wendell, NC 27591</v>
      </c>
      <c r="BG2" t="str">
        <f>+B70</f>
        <v>WAKE</v>
      </c>
      <c r="BH2" t="str">
        <f>+B78</f>
        <v>1765676891</v>
      </c>
      <c r="BI2">
        <f>+B71</f>
        <v>1741.1599999999999</v>
      </c>
      <c r="BJ2" s="375">
        <f>+B18</f>
        <v>2504.4299999999998</v>
      </c>
      <c r="BK2" s="188">
        <f>+B73</f>
        <v>51.5</v>
      </c>
      <c r="BL2">
        <f>+B33</f>
        <v>0</v>
      </c>
      <c r="BM2">
        <f>+B99</f>
        <v>20000</v>
      </c>
      <c r="BN2">
        <f>+B112</f>
        <v>0</v>
      </c>
      <c r="BO2">
        <f>+B113</f>
        <v>0</v>
      </c>
      <c r="BP2">
        <f>+B114</f>
        <v>0</v>
      </c>
      <c r="BQ2" s="1">
        <f>+B115</f>
        <v>0</v>
      </c>
      <c r="BR2" s="1">
        <f>+B116</f>
        <v>0</v>
      </c>
      <c r="BS2" s="1">
        <f>+B117</f>
        <v>0</v>
      </c>
      <c r="BT2">
        <f>+B80</f>
        <v>0</v>
      </c>
      <c r="BU2" s="83" t="str">
        <f>+B62</f>
        <v>The lease shall be without cost, with the acknowledgement that Lessee will cooperate with work crews in remodeling effort.</v>
      </c>
      <c r="BV2" s="14" t="str">
        <f>+B64</f>
        <v xml:space="preserve"> </v>
      </c>
      <c r="BW2" s="374">
        <f>+B15</f>
        <v>20790</v>
      </c>
      <c r="BX2" t="str">
        <f>+B8</f>
        <v>Ever Cardoza</v>
      </c>
      <c r="BY2" t="str">
        <f>+B12</f>
        <v>Sell Your Home, LLC</v>
      </c>
      <c r="BZ2" s="374">
        <f>+B13</f>
        <v>346500</v>
      </c>
      <c r="CA2" s="14">
        <f>B47</f>
        <v>15000</v>
      </c>
      <c r="CB2">
        <f>+B38</f>
        <v>0</v>
      </c>
      <c r="CC2">
        <f>+B39</f>
        <v>0</v>
      </c>
      <c r="CD2">
        <f>+B36</f>
        <v>0</v>
      </c>
      <c r="CE2">
        <f>+B37</f>
        <v>0</v>
      </c>
      <c r="CF2" s="188">
        <f>+B72</f>
        <v>145.09666666666666</v>
      </c>
      <c r="CG2">
        <f>+B21</f>
        <v>30</v>
      </c>
      <c r="CH2">
        <f>+B23</f>
        <v>300</v>
      </c>
      <c r="CI2">
        <f>+B22</f>
        <v>360</v>
      </c>
      <c r="CJ2" t="str">
        <f>+B89</f>
        <v>320 Rose Pl Real Estate Trust dated March, 5 2025</v>
      </c>
      <c r="CK2" s="83" t="str">
        <f>+B90</f>
        <v>March, 5</v>
      </c>
      <c r="CL2" t="str">
        <f>+B86</f>
        <v>Investment Services LLC</v>
      </c>
      <c r="CM2" t="str">
        <f>+B87</f>
        <v>1309 Coffeen Avenue, STE 1200</v>
      </c>
      <c r="CN2" t="str">
        <f>+B88</f>
        <v>Sheridan, Wyoming 82801</v>
      </c>
      <c r="CO2">
        <f>+B91</f>
        <v>2025</v>
      </c>
    </row>
    <row r="3" spans="1:101">
      <c r="CW3" s="25"/>
    </row>
    <row r="4" spans="1:101">
      <c r="K4" s="30"/>
      <c r="AY4" s="30"/>
      <c r="AZ4" s="30"/>
      <c r="BA4" s="30"/>
      <c r="BB4" s="30"/>
      <c r="BC4" s="30"/>
      <c r="BD4" s="30"/>
      <c r="CA4" s="375"/>
      <c r="CB4" s="375"/>
      <c r="CC4" s="375"/>
      <c r="CD4" s="375"/>
      <c r="CE4" s="375"/>
      <c r="CF4" s="375"/>
    </row>
    <row r="5" spans="1:101">
      <c r="A5" s="30" t="s">
        <v>1282</v>
      </c>
      <c r="B5" s="415" t="s">
        <v>436</v>
      </c>
      <c r="F5" s="15"/>
      <c r="G5" t="str">
        <f>+B57</f>
        <v xml:space="preserve"> </v>
      </c>
      <c r="AY5" s="30"/>
      <c r="AZ5" s="30"/>
      <c r="BV5" s="15"/>
      <c r="CE5" s="30"/>
    </row>
    <row r="6" spans="1:101" ht="16.5" thickBot="1">
      <c r="F6"/>
      <c r="BV6" s="14"/>
    </row>
    <row r="7" spans="1:101" ht="16.5" thickBot="1">
      <c r="A7" s="409" t="s">
        <v>275</v>
      </c>
      <c r="B7" s="416"/>
      <c r="C7" s="416"/>
      <c r="D7" s="416"/>
      <c r="E7" s="416"/>
      <c r="F7" s="416"/>
      <c r="G7" s="25"/>
      <c r="H7" s="25"/>
    </row>
    <row r="8" spans="1:101">
      <c r="A8" s="30" t="s">
        <v>1463</v>
      </c>
      <c r="B8" s="416" t="s">
        <v>1279</v>
      </c>
      <c r="C8" s="416"/>
      <c r="D8" s="416"/>
      <c r="E8" s="416"/>
      <c r="F8" s="416"/>
      <c r="G8" s="25"/>
      <c r="H8" s="25"/>
    </row>
    <row r="9" spans="1:101">
      <c r="A9" s="30" t="s">
        <v>1464</v>
      </c>
      <c r="B9" s="416" t="s">
        <v>1478</v>
      </c>
      <c r="C9" s="821"/>
      <c r="D9" s="416"/>
      <c r="E9" s="416"/>
      <c r="F9" s="416"/>
      <c r="G9" s="25"/>
      <c r="H9" s="25"/>
    </row>
    <row r="10" spans="1:101">
      <c r="A10" s="30" t="s">
        <v>1457</v>
      </c>
      <c r="B10" s="416" t="s">
        <v>1458</v>
      </c>
      <c r="C10" s="416"/>
      <c r="D10" s="416"/>
      <c r="E10" s="416"/>
      <c r="F10" s="416"/>
      <c r="G10" s="25"/>
      <c r="H10" s="25"/>
    </row>
    <row r="11" spans="1:101">
      <c r="A11" s="30" t="s">
        <v>1457</v>
      </c>
      <c r="B11" s="416" t="s">
        <v>303</v>
      </c>
      <c r="C11" s="416"/>
      <c r="D11" s="416"/>
      <c r="E11" s="416"/>
      <c r="F11" s="416"/>
      <c r="G11" s="25"/>
      <c r="H11" s="25"/>
    </row>
    <row r="12" spans="1:101">
      <c r="A12" s="30" t="s">
        <v>276</v>
      </c>
      <c r="B12" s="416" t="s">
        <v>1456</v>
      </c>
      <c r="C12" s="416"/>
      <c r="D12" s="416"/>
      <c r="E12" s="416"/>
      <c r="F12" s="416"/>
      <c r="G12" s="25"/>
      <c r="H12" s="25"/>
    </row>
    <row r="13" spans="1:101">
      <c r="A13" s="30" t="s">
        <v>277</v>
      </c>
      <c r="B13" s="553">
        <f>+Amortization!AA4</f>
        <v>346500</v>
      </c>
      <c r="C13" s="417"/>
      <c r="D13" s="417"/>
      <c r="E13" s="417"/>
      <c r="F13" s="417"/>
      <c r="G13" s="379"/>
      <c r="H13" s="379"/>
    </row>
    <row r="14" spans="1:101">
      <c r="A14" s="30" t="s">
        <v>1469</v>
      </c>
      <c r="B14" s="553">
        <f>+Amortization!K2</f>
        <v>6000</v>
      </c>
      <c r="C14" s="417"/>
      <c r="D14" s="417"/>
      <c r="E14" s="417"/>
      <c r="F14" s="417"/>
      <c r="G14" s="379"/>
      <c r="H14" s="379"/>
    </row>
    <row r="15" spans="1:101">
      <c r="A15" s="385" t="s">
        <v>278</v>
      </c>
      <c r="B15" s="553">
        <f>+Amortization!$O$4</f>
        <v>20790</v>
      </c>
      <c r="C15" s="417"/>
      <c r="D15" s="417"/>
      <c r="E15" s="417"/>
      <c r="F15" s="417"/>
      <c r="G15" s="379"/>
      <c r="H15" s="379"/>
    </row>
    <row r="16" spans="1:101">
      <c r="A16" s="385" t="s">
        <v>137</v>
      </c>
      <c r="B16" s="554">
        <f>+Amortization!O5</f>
        <v>325710</v>
      </c>
      <c r="C16" s="418"/>
      <c r="D16" s="418"/>
      <c r="E16" s="418"/>
      <c r="F16" s="418"/>
      <c r="G16" s="380"/>
      <c r="H16" s="380"/>
    </row>
    <row r="17" spans="1:8" ht="13.5" customHeight="1">
      <c r="A17" s="385" t="s">
        <v>229</v>
      </c>
      <c r="B17" s="555">
        <f>SUM(B18:B18)</f>
        <v>2504.4299999999998</v>
      </c>
      <c r="C17" s="419"/>
      <c r="D17" s="419"/>
      <c r="E17" s="419"/>
      <c r="F17" s="419"/>
      <c r="G17" s="383"/>
      <c r="H17" s="383"/>
    </row>
    <row r="18" spans="1:8" ht="13.5" customHeight="1">
      <c r="A18" s="385" t="s">
        <v>279</v>
      </c>
      <c r="B18" s="556">
        <f>+Amortization!Z9</f>
        <v>2504.4299999999998</v>
      </c>
      <c r="C18" s="420"/>
      <c r="D18" s="420"/>
      <c r="E18" s="420"/>
      <c r="F18" s="420"/>
      <c r="G18" s="382"/>
      <c r="H18" s="382"/>
    </row>
    <row r="19" spans="1:8" ht="13.5" customHeight="1">
      <c r="A19" s="385" t="s">
        <v>280</v>
      </c>
      <c r="B19" s="556">
        <f>+Amortization!Z10</f>
        <v>2545.85</v>
      </c>
      <c r="C19" s="420"/>
      <c r="D19" s="420"/>
      <c r="E19" s="420"/>
      <c r="F19" s="420"/>
      <c r="G19" s="382"/>
      <c r="H19" s="382"/>
    </row>
    <row r="20" spans="1:8" ht="13.5" customHeight="1">
      <c r="A20" s="385" t="s">
        <v>230</v>
      </c>
      <c r="B20" s="555">
        <f>SUM(B19:B19)</f>
        <v>2545.85</v>
      </c>
      <c r="C20" s="419"/>
      <c r="D20" s="419"/>
      <c r="E20" s="419"/>
      <c r="F20" s="419"/>
      <c r="G20" s="383"/>
      <c r="H20" s="383"/>
    </row>
    <row r="21" spans="1:8" ht="13.5" customHeight="1">
      <c r="A21" s="385" t="s">
        <v>281</v>
      </c>
      <c r="B21" s="554">
        <f>+Amortization!O9</f>
        <v>30</v>
      </c>
      <c r="C21" s="419"/>
      <c r="D21" s="419"/>
      <c r="E21" s="419"/>
      <c r="F21" s="419"/>
      <c r="G21" s="383"/>
      <c r="H21" s="383"/>
    </row>
    <row r="22" spans="1:8" ht="13.5" customHeight="1">
      <c r="A22" s="30" t="s">
        <v>282</v>
      </c>
      <c r="B22" s="557">
        <f>+B21*12</f>
        <v>360</v>
      </c>
      <c r="C22" s="419"/>
      <c r="D22" s="419"/>
      <c r="E22" s="419"/>
      <c r="F22" s="419"/>
      <c r="G22" s="383"/>
      <c r="H22" s="383"/>
    </row>
    <row r="23" spans="1:8" ht="13.5" customHeight="1">
      <c r="A23" s="30" t="s">
        <v>283</v>
      </c>
      <c r="B23" s="557">
        <f>+B22-60</f>
        <v>300</v>
      </c>
      <c r="C23" s="419"/>
      <c r="D23" s="419"/>
      <c r="E23" s="419"/>
      <c r="F23" s="419"/>
      <c r="G23" s="383"/>
      <c r="H23" s="383"/>
    </row>
    <row r="24" spans="1:8" ht="13.5" customHeight="1">
      <c r="A24" s="30" t="s">
        <v>284</v>
      </c>
      <c r="B24" s="558">
        <f>+Amortization!O11</f>
        <v>46204</v>
      </c>
      <c r="C24" s="419"/>
      <c r="D24" s="419"/>
      <c r="E24" s="419"/>
      <c r="F24" s="419"/>
      <c r="G24" s="383"/>
      <c r="H24" s="383"/>
    </row>
    <row r="25" spans="1:8">
      <c r="A25" s="30" t="s">
        <v>285</v>
      </c>
      <c r="B25" s="558">
        <f>+Amortization!Q11</f>
        <v>57132</v>
      </c>
      <c r="C25" s="419"/>
      <c r="D25" s="419"/>
      <c r="E25" s="419"/>
      <c r="F25" s="419"/>
      <c r="G25" s="383"/>
      <c r="H25" s="383"/>
    </row>
    <row r="26" spans="1:8">
      <c r="A26" s="30" t="s">
        <v>286</v>
      </c>
      <c r="B26" s="558">
        <f>+Amortization!O11</f>
        <v>46204</v>
      </c>
      <c r="C26" s="419"/>
      <c r="D26" s="419"/>
      <c r="E26" s="419"/>
      <c r="F26" s="419"/>
      <c r="G26" s="383"/>
      <c r="H26" s="383"/>
    </row>
    <row r="27" spans="1:8">
      <c r="A27" s="30" t="s">
        <v>287</v>
      </c>
      <c r="B27" s="558">
        <f>+$B$24+($B$21*365)-DAY(+$B$24+($B$21*365))+1</f>
        <v>57132</v>
      </c>
      <c r="C27" s="419"/>
      <c r="D27" s="419"/>
      <c r="E27" s="419"/>
      <c r="F27" s="419"/>
      <c r="G27" s="383"/>
      <c r="H27" s="383"/>
    </row>
    <row r="28" spans="1:8" ht="16.5" thickBot="1">
      <c r="A28" s="30" t="s">
        <v>288</v>
      </c>
      <c r="B28" s="416" t="s">
        <v>1475</v>
      </c>
      <c r="C28" s="419" t="s">
        <v>1476</v>
      </c>
      <c r="D28" s="419" t="s">
        <v>1477</v>
      </c>
      <c r="E28" s="419"/>
      <c r="F28" s="419"/>
      <c r="G28" s="383"/>
      <c r="H28" s="383"/>
    </row>
    <row r="29" spans="1:8" ht="16.5" thickBot="1">
      <c r="A29" s="409" t="s">
        <v>289</v>
      </c>
      <c r="B29" s="416"/>
      <c r="C29" s="419"/>
      <c r="D29" s="419"/>
      <c r="E29" s="419"/>
      <c r="F29" s="419"/>
      <c r="G29" s="383"/>
      <c r="H29" s="383"/>
    </row>
    <row r="30" spans="1:8">
      <c r="A30" s="30" t="s">
        <v>290</v>
      </c>
      <c r="B30" s="421" t="s">
        <v>291</v>
      </c>
      <c r="C30" s="419"/>
      <c r="D30" s="419"/>
      <c r="E30" s="419"/>
      <c r="F30" s="419"/>
      <c r="G30" s="383"/>
      <c r="H30" s="383"/>
    </row>
    <row r="31" spans="1:8">
      <c r="A31" s="30" t="s">
        <v>292</v>
      </c>
      <c r="B31" s="557" t="str">
        <f>MOG!$B$3 &amp; " " &amp; MOG!$C$3</f>
        <v>Hubolist Elliott</v>
      </c>
      <c r="C31" s="419"/>
      <c r="D31" s="419"/>
      <c r="E31" s="419"/>
      <c r="F31" s="419"/>
      <c r="G31" s="383"/>
      <c r="H31" s="383"/>
    </row>
    <row r="32" spans="1:8">
      <c r="A32" s="30" t="s">
        <v>293</v>
      </c>
      <c r="B32" s="557" t="str">
        <f>IF(B33="",MOG!B4&amp;" "&amp;MOG!C4,"")</f>
        <v>Hurbert Lee Elliott</v>
      </c>
      <c r="C32" s="419"/>
      <c r="D32" s="419"/>
      <c r="E32" s="419"/>
      <c r="F32" s="419"/>
      <c r="G32" s="383"/>
      <c r="H32" s="383"/>
    </row>
    <row r="33" spans="1:8">
      <c r="A33" s="30" t="s">
        <v>294</v>
      </c>
      <c r="B33" s="421"/>
      <c r="C33" s="419"/>
      <c r="D33" s="419"/>
      <c r="E33" s="419"/>
      <c r="F33" s="419"/>
      <c r="G33" s="383"/>
      <c r="H33" s="383"/>
    </row>
    <row r="34" spans="1:8">
      <c r="A34" s="30" t="s">
        <v>295</v>
      </c>
      <c r="B34" s="421"/>
      <c r="C34" s="419"/>
      <c r="D34" s="419"/>
      <c r="E34" s="419"/>
      <c r="F34" s="419"/>
      <c r="G34" s="383"/>
      <c r="H34" s="383"/>
    </row>
    <row r="35" spans="1:8">
      <c r="A35" s="30" t="s">
        <v>296</v>
      </c>
      <c r="B35" s="416"/>
      <c r="C35" s="416"/>
      <c r="D35" s="416"/>
      <c r="E35" s="416"/>
      <c r="F35" s="416"/>
      <c r="G35" s="25"/>
      <c r="H35" s="25"/>
    </row>
    <row r="36" spans="1:8">
      <c r="A36" s="30" t="s">
        <v>297</v>
      </c>
      <c r="B36" s="416"/>
      <c r="C36" s="416"/>
      <c r="D36" s="416"/>
      <c r="E36" s="416"/>
      <c r="F36" s="416"/>
      <c r="G36" s="25"/>
      <c r="H36" s="25"/>
    </row>
    <row r="37" spans="1:8">
      <c r="A37" s="30" t="s">
        <v>298</v>
      </c>
      <c r="B37" s="416"/>
      <c r="C37" s="416"/>
      <c r="D37" s="416"/>
      <c r="E37" s="416"/>
      <c r="F37" s="416"/>
      <c r="G37" s="25"/>
      <c r="H37" s="25"/>
    </row>
    <row r="38" spans="1:8" ht="15">
      <c r="A38" s="30" t="s">
        <v>299</v>
      </c>
      <c r="B38" s="429"/>
      <c r="C38" s="429"/>
      <c r="D38" s="429"/>
      <c r="E38" s="429"/>
      <c r="F38" s="429"/>
      <c r="G38" s="25"/>
      <c r="H38" s="25"/>
    </row>
    <row r="39" spans="1:8" ht="15">
      <c r="A39" s="30" t="s">
        <v>300</v>
      </c>
      <c r="B39" s="429"/>
      <c r="C39" s="429"/>
      <c r="D39" s="429"/>
      <c r="E39" s="429"/>
      <c r="F39" s="429"/>
      <c r="G39" s="25"/>
      <c r="H39" s="25"/>
    </row>
    <row r="40" spans="1:8" ht="15">
      <c r="A40" s="30" t="s">
        <v>301</v>
      </c>
      <c r="B40" s="429"/>
      <c r="C40" s="429"/>
      <c r="D40" s="429"/>
      <c r="E40" s="429"/>
      <c r="F40" s="429"/>
      <c r="G40" s="25"/>
      <c r="H40" s="25"/>
    </row>
    <row r="41" spans="1:8" ht="15">
      <c r="A41" s="30" t="s">
        <v>302</v>
      </c>
      <c r="B41" s="429"/>
      <c r="C41" s="429"/>
      <c r="D41" s="429"/>
      <c r="E41" s="429"/>
      <c r="F41" s="429"/>
      <c r="G41" s="25"/>
      <c r="H41" s="25"/>
    </row>
    <row r="42" spans="1:8">
      <c r="A42" s="30" t="s">
        <v>217</v>
      </c>
      <c r="B42" s="416" t="s">
        <v>304</v>
      </c>
      <c r="C42" s="416"/>
      <c r="D42" s="416"/>
      <c r="E42" s="416"/>
      <c r="F42" s="416"/>
      <c r="G42" s="25"/>
      <c r="H42" s="25"/>
    </row>
    <row r="43" spans="1:8">
      <c r="A43" s="30" t="s">
        <v>305</v>
      </c>
      <c r="B43" s="421" t="s">
        <v>306</v>
      </c>
      <c r="C43" s="421"/>
      <c r="D43" s="421"/>
      <c r="E43" s="421"/>
      <c r="F43" s="421"/>
      <c r="G43" s="25"/>
      <c r="H43" s="25"/>
    </row>
    <row r="44" spans="1:8">
      <c r="A44" s="30" t="s">
        <v>307</v>
      </c>
      <c r="B44" s="421" t="s">
        <v>306</v>
      </c>
      <c r="C44" s="421"/>
      <c r="D44" s="421"/>
      <c r="E44" s="421"/>
      <c r="F44" s="421"/>
      <c r="G44" s="25"/>
      <c r="H44" s="25"/>
    </row>
    <row r="45" spans="1:8">
      <c r="A45" s="30" t="s">
        <v>308</v>
      </c>
      <c r="B45" s="421" t="s">
        <v>306</v>
      </c>
      <c r="C45" s="421"/>
      <c r="D45" s="421"/>
      <c r="E45" s="421"/>
      <c r="F45" s="421"/>
      <c r="G45" s="25"/>
      <c r="H45" s="25"/>
    </row>
    <row r="46" spans="1:8">
      <c r="A46" s="30" t="s">
        <v>222</v>
      </c>
      <c r="B46" s="416">
        <v>555834859</v>
      </c>
      <c r="C46" s="416"/>
      <c r="D46" s="416"/>
      <c r="E46" s="416"/>
      <c r="F46" s="416"/>
      <c r="G46" s="25"/>
      <c r="H46" s="25"/>
    </row>
    <row r="47" spans="1:8">
      <c r="A47" s="385" t="s">
        <v>309</v>
      </c>
      <c r="B47" s="418">
        <f>Profit!C14</f>
        <v>15000</v>
      </c>
      <c r="C47" s="418"/>
      <c r="D47" s="418"/>
      <c r="E47" s="418"/>
      <c r="F47" s="418"/>
      <c r="G47" s="380"/>
      <c r="H47" s="380"/>
    </row>
    <row r="48" spans="1:8">
      <c r="A48" s="385" t="s">
        <v>132</v>
      </c>
      <c r="B48" s="418">
        <f>Profit!C15</f>
        <v>122713</v>
      </c>
      <c r="C48" s="418"/>
      <c r="D48" s="418"/>
      <c r="E48" s="418"/>
      <c r="F48" s="418"/>
      <c r="G48" s="380"/>
      <c r="H48" s="380"/>
    </row>
    <row r="49" spans="1:8">
      <c r="A49" s="385" t="s">
        <v>310</v>
      </c>
      <c r="B49" s="418">
        <f>Profit!B21</f>
        <v>222245</v>
      </c>
      <c r="C49" s="418"/>
      <c r="D49" s="418"/>
      <c r="E49" s="418"/>
      <c r="F49" s="418"/>
      <c r="G49" s="380"/>
      <c r="H49" s="380"/>
    </row>
    <row r="50" spans="1:8">
      <c r="A50" s="385" t="s">
        <v>311</v>
      </c>
      <c r="B50" s="421">
        <v>100</v>
      </c>
      <c r="C50" s="421"/>
      <c r="D50" s="421"/>
      <c r="E50" s="421"/>
      <c r="F50" s="421"/>
      <c r="G50" s="28"/>
      <c r="H50" s="28"/>
    </row>
    <row r="51" spans="1:8">
      <c r="A51" s="385" t="s">
        <v>312</v>
      </c>
      <c r="B51" s="418">
        <f>+Profit!C20-B50</f>
        <v>9900</v>
      </c>
      <c r="C51" s="418"/>
      <c r="D51" s="418"/>
      <c r="E51" s="418"/>
      <c r="F51" s="418"/>
      <c r="G51" s="380"/>
      <c r="H51" s="380"/>
    </row>
    <row r="52" spans="1:8">
      <c r="A52" s="385" t="s">
        <v>313</v>
      </c>
      <c r="B52" s="420" t="str">
        <f>TEXT(Amortization!$C$4,"0.000%")</f>
        <v>4.500%</v>
      </c>
      <c r="C52" s="420"/>
      <c r="D52" s="420"/>
      <c r="E52" s="420"/>
      <c r="F52" s="420"/>
      <c r="G52" s="382"/>
      <c r="H52" s="382"/>
    </row>
    <row r="53" spans="1:8">
      <c r="A53" s="385" t="s">
        <v>314</v>
      </c>
      <c r="B53" s="420" t="str">
        <f>TEXT(+Amortization!AA9,"0.000%")</f>
        <v>8.500%</v>
      </c>
      <c r="C53" s="420"/>
      <c r="D53" s="420"/>
      <c r="E53" s="420"/>
      <c r="F53" s="420"/>
      <c r="G53" s="382"/>
      <c r="H53" s="382"/>
    </row>
    <row r="54" spans="1:8">
      <c r="A54" s="385" t="s">
        <v>315</v>
      </c>
      <c r="B54" s="420" t="str">
        <f>TEXT(Amortization!$O$7,"0.000%")</f>
        <v>8.500%</v>
      </c>
      <c r="C54" s="420"/>
      <c r="D54" s="420"/>
      <c r="E54" s="420"/>
      <c r="F54" s="420"/>
      <c r="G54" s="382"/>
      <c r="H54" s="382"/>
    </row>
    <row r="55" spans="1:8">
      <c r="A55" s="385" t="s">
        <v>316</v>
      </c>
      <c r="B55" s="418" t="s">
        <v>317</v>
      </c>
      <c r="C55" s="418"/>
      <c r="D55" s="418"/>
      <c r="E55" s="418"/>
      <c r="F55" s="418"/>
      <c r="G55" s="380"/>
      <c r="H55" s="380"/>
    </row>
    <row r="56" spans="1:8">
      <c r="G56" s="381"/>
      <c r="H56" s="381"/>
    </row>
    <row r="57" spans="1:8" ht="16.5" thickBot="1">
      <c r="A57" s="385" t="s">
        <v>318</v>
      </c>
      <c r="B57" s="418" t="s">
        <v>319</v>
      </c>
      <c r="C57" s="418"/>
      <c r="D57" s="418"/>
      <c r="E57" s="418"/>
      <c r="F57" s="418"/>
      <c r="G57" s="380"/>
      <c r="H57" s="380"/>
    </row>
    <row r="58" spans="1:8" ht="16.5" thickBot="1">
      <c r="A58" s="409" t="s">
        <v>320</v>
      </c>
      <c r="B58" s="423"/>
      <c r="C58" s="423"/>
      <c r="D58" s="423"/>
      <c r="E58" s="423"/>
      <c r="F58" s="423"/>
      <c r="G58" s="410"/>
      <c r="H58" s="410"/>
    </row>
    <row r="59" spans="1:8">
      <c r="A59" s="385" t="s">
        <v>321</v>
      </c>
      <c r="B59" s="427"/>
      <c r="C59" s="423"/>
      <c r="D59" s="423"/>
      <c r="E59" s="423"/>
      <c r="F59" s="423"/>
      <c r="G59" s="410"/>
      <c r="H59" s="410"/>
    </row>
    <row r="60" spans="1:8">
      <c r="A60" s="385" t="s">
        <v>322</v>
      </c>
      <c r="B60" s="418">
        <f>IF(B59="",+Docs!B35,B59)</f>
        <v>0</v>
      </c>
      <c r="C60" s="418"/>
      <c r="D60" s="418"/>
      <c r="E60" s="418"/>
      <c r="F60" s="418"/>
      <c r="G60" s="410"/>
      <c r="H60" s="410"/>
    </row>
    <row r="61" spans="1:8">
      <c r="A61" s="385" t="s">
        <v>323</v>
      </c>
      <c r="B61" s="424">
        <v>2025</v>
      </c>
      <c r="C61" s="424"/>
      <c r="D61" s="424"/>
      <c r="E61" s="424"/>
      <c r="F61" s="424"/>
      <c r="G61" s="32"/>
      <c r="H61" s="32"/>
    </row>
    <row r="62" spans="1:8">
      <c r="A62" s="30" t="s">
        <v>324</v>
      </c>
      <c r="B62" s="418" t="s">
        <v>325</v>
      </c>
      <c r="C62" s="418"/>
      <c r="D62" s="418"/>
      <c r="E62" s="418"/>
      <c r="F62" s="418"/>
      <c r="G62" s="380"/>
      <c r="H62" s="380"/>
    </row>
    <row r="63" spans="1:8">
      <c r="A63" s="30" t="s">
        <v>326</v>
      </c>
      <c r="B63" s="427"/>
      <c r="C63" s="423"/>
      <c r="D63" s="423"/>
      <c r="E63" s="423"/>
      <c r="F63" s="423"/>
      <c r="G63" s="380"/>
      <c r="H63" s="380"/>
    </row>
    <row r="64" spans="1:8">
      <c r="A64" s="30" t="s">
        <v>327</v>
      </c>
      <c r="B64" s="418" t="str">
        <f>IF(B63="X","[X] If checked, The rent shall adjust, annually, to exactly the amount of the mortgage payment, property insurance, real estate taxes, plus $10.00."," ")</f>
        <v xml:space="preserve"> </v>
      </c>
      <c r="C64" s="423"/>
      <c r="D64" s="423"/>
      <c r="E64" s="423"/>
      <c r="F64" s="423"/>
      <c r="G64" s="380"/>
      <c r="H64" s="380"/>
    </row>
    <row r="65" spans="1:10">
      <c r="A65" s="30" t="s">
        <v>328</v>
      </c>
      <c r="B65" s="428">
        <v>0</v>
      </c>
      <c r="C65" s="423"/>
      <c r="D65" s="423"/>
      <c r="E65" s="423"/>
      <c r="F65" s="423"/>
      <c r="G65" s="380"/>
      <c r="H65" s="380"/>
    </row>
    <row r="66" spans="1:10" ht="16.5" thickBot="1">
      <c r="A66" s="30" t="s">
        <v>329</v>
      </c>
      <c r="B66" s="422">
        <f>IF(B65=0,0,Carrying!E5)</f>
        <v>0</v>
      </c>
      <c r="C66" s="422"/>
      <c r="D66" s="422"/>
      <c r="E66" s="422"/>
      <c r="F66" s="422"/>
      <c r="G66" s="380"/>
      <c r="H66" s="380"/>
    </row>
    <row r="67" spans="1:10" ht="16.5" thickBot="1">
      <c r="A67" s="409" t="s">
        <v>330</v>
      </c>
      <c r="B67" s="416"/>
      <c r="C67" s="416"/>
      <c r="D67" s="416"/>
      <c r="E67" s="416"/>
      <c r="F67" s="416"/>
      <c r="G67" s="25"/>
      <c r="H67" s="25"/>
    </row>
    <row r="68" spans="1:10">
      <c r="A68" s="30" t="s">
        <v>331</v>
      </c>
      <c r="B68" s="557" t="str">
        <f>+Profit!$B$2</f>
        <v>320 Rose Pl</v>
      </c>
      <c r="C68" s="416"/>
      <c r="D68" s="416"/>
      <c r="E68" s="416"/>
      <c r="F68" s="416"/>
      <c r="G68" s="25"/>
      <c r="H68" s="25"/>
    </row>
    <row r="69" spans="1:10">
      <c r="A69" s="30" t="s">
        <v>332</v>
      </c>
      <c r="B69" s="557" t="str">
        <f>+Profit!$E$2</f>
        <v>Wendell, NC 27591</v>
      </c>
      <c r="C69" s="416"/>
      <c r="D69" s="416"/>
      <c r="E69" s="416"/>
      <c r="F69" s="416"/>
      <c r="G69" s="25"/>
      <c r="H69" s="25"/>
    </row>
    <row r="70" spans="1:10">
      <c r="A70" s="30" t="s">
        <v>205</v>
      </c>
      <c r="B70" s="416" t="s">
        <v>333</v>
      </c>
      <c r="C70" s="416"/>
      <c r="D70" s="416"/>
      <c r="E70" s="416"/>
      <c r="F70" s="416"/>
      <c r="G70" s="25"/>
      <c r="H70" s="25"/>
    </row>
    <row r="71" spans="1:10">
      <c r="A71" s="385" t="s">
        <v>334</v>
      </c>
      <c r="B71" s="416">
        <f>+B72*12</f>
        <v>1741.1599999999999</v>
      </c>
      <c r="C71" s="416"/>
      <c r="D71" s="416"/>
      <c r="E71" s="416"/>
      <c r="F71" s="416"/>
      <c r="G71" s="25"/>
      <c r="H71" s="25"/>
    </row>
    <row r="72" spans="1:10">
      <c r="A72" s="385" t="s">
        <v>335</v>
      </c>
      <c r="B72" s="561">
        <f>+Amortization!$T$10</f>
        <v>145.09666666666666</v>
      </c>
      <c r="C72" s="422"/>
      <c r="D72" s="422"/>
      <c r="E72" s="422"/>
      <c r="F72" s="422"/>
      <c r="G72" s="381"/>
      <c r="H72" s="381"/>
    </row>
    <row r="73" spans="1:10">
      <c r="A73" s="385" t="s">
        <v>336</v>
      </c>
      <c r="B73" s="561">
        <f>+Amortization!$T$9</f>
        <v>51.5</v>
      </c>
      <c r="C73" s="422"/>
      <c r="D73" s="422"/>
      <c r="E73" s="422"/>
      <c r="F73" s="422"/>
      <c r="G73" s="381"/>
      <c r="H73" s="381"/>
    </row>
    <row r="74" spans="1:10" ht="16.5" thickBot="1">
      <c r="A74" s="386" t="s">
        <v>337</v>
      </c>
      <c r="B74" s="416">
        <v>0</v>
      </c>
      <c r="C74" s="416"/>
      <c r="D74" s="416"/>
      <c r="E74" s="416"/>
      <c r="F74" s="416"/>
      <c r="G74" s="25"/>
      <c r="H74" s="25"/>
    </row>
    <row r="75" spans="1:10" ht="16.5" thickBot="1">
      <c r="A75" s="409" t="s">
        <v>338</v>
      </c>
      <c r="B75" s="416"/>
      <c r="C75" s="416"/>
      <c r="D75" s="416"/>
      <c r="E75" s="416"/>
      <c r="F75" s="416"/>
      <c r="G75" s="25"/>
      <c r="H75" s="25"/>
    </row>
    <row r="76" spans="1:10">
      <c r="A76" s="30" t="s">
        <v>339</v>
      </c>
      <c r="B76" s="562" t="s">
        <v>1461</v>
      </c>
      <c r="C76" s="418"/>
      <c r="D76" s="418"/>
      <c r="E76" s="418"/>
      <c r="F76" s="418"/>
      <c r="G76" s="380"/>
      <c r="H76" s="380"/>
    </row>
    <row r="77" spans="1:10">
      <c r="A77" s="30" t="s">
        <v>340</v>
      </c>
      <c r="B77" t="s">
        <v>1459</v>
      </c>
      <c r="C77" s="418"/>
      <c r="D77" s="418"/>
      <c r="E77" s="418"/>
      <c r="F77" s="418"/>
      <c r="G77" s="380"/>
      <c r="H77" s="380"/>
    </row>
    <row r="78" spans="1:10">
      <c r="A78" s="30" t="s">
        <v>341</v>
      </c>
      <c r="B78" s="434" t="s">
        <v>1465</v>
      </c>
      <c r="C78" s="423"/>
      <c r="D78" s="423"/>
      <c r="E78" s="423"/>
      <c r="F78" s="423"/>
      <c r="G78" s="423"/>
      <c r="H78" s="423"/>
      <c r="I78" s="423"/>
      <c r="J78" s="423"/>
    </row>
    <row r="79" spans="1:10">
      <c r="C79" s="423"/>
      <c r="D79" s="423"/>
      <c r="E79" s="423"/>
      <c r="F79" s="423"/>
      <c r="G79" s="423"/>
      <c r="H79" s="423"/>
      <c r="I79" s="423"/>
      <c r="J79" s="423"/>
    </row>
    <row r="80" spans="1:10">
      <c r="A80" s="30" t="s">
        <v>342</v>
      </c>
      <c r="B80" s="428"/>
      <c r="C80" s="423"/>
      <c r="D80" s="423"/>
      <c r="E80" s="423"/>
      <c r="F80" s="423"/>
      <c r="G80" s="423"/>
      <c r="H80" s="423"/>
      <c r="I80" s="423"/>
      <c r="J80" s="423"/>
    </row>
    <row r="81" spans="1:71">
      <c r="A81" s="30" t="s">
        <v>343</v>
      </c>
      <c r="B81" s="421"/>
      <c r="C81" s="423"/>
      <c r="D81" s="423"/>
      <c r="E81" s="423"/>
      <c r="F81" s="423"/>
      <c r="G81" s="423"/>
      <c r="H81" s="423"/>
      <c r="I81" s="423"/>
      <c r="J81" s="423"/>
    </row>
    <row r="82" spans="1:71">
      <c r="A82" s="30" t="s">
        <v>344</v>
      </c>
      <c r="B82" s="425"/>
      <c r="C82" s="423"/>
      <c r="D82" s="423"/>
      <c r="E82" s="423"/>
      <c r="F82" s="423"/>
      <c r="G82" s="423"/>
      <c r="H82" s="423"/>
      <c r="I82" s="423"/>
      <c r="J82" s="423"/>
    </row>
    <row r="83" spans="1:71">
      <c r="A83" s="30" t="s">
        <v>345</v>
      </c>
      <c r="B83" s="425"/>
      <c r="C83" s="423"/>
      <c r="D83" s="423"/>
      <c r="E83" s="423"/>
      <c r="F83" s="423"/>
      <c r="G83" s="423"/>
      <c r="H83" s="423"/>
      <c r="I83" s="423"/>
      <c r="J83" s="423"/>
    </row>
    <row r="84" spans="1:71" ht="16.5" thickBot="1">
      <c r="A84" s="30" t="s">
        <v>346</v>
      </c>
      <c r="B84" s="421" t="s">
        <v>1460</v>
      </c>
      <c r="C84" s="423"/>
      <c r="D84" s="423"/>
      <c r="E84" s="423"/>
      <c r="F84" s="423"/>
      <c r="G84" s="423"/>
      <c r="H84" s="423"/>
      <c r="I84" s="423"/>
      <c r="J84" s="423"/>
    </row>
    <row r="85" spans="1:71" ht="16.5" thickBot="1">
      <c r="A85" s="409" t="s">
        <v>347</v>
      </c>
      <c r="B85" s="416"/>
      <c r="C85" s="423"/>
      <c r="D85" s="423"/>
      <c r="E85" s="423"/>
      <c r="F85" s="423"/>
      <c r="G85" s="25"/>
      <c r="H85" s="25"/>
    </row>
    <row r="86" spans="1:71">
      <c r="A86" s="30" t="s">
        <v>272</v>
      </c>
      <c r="B86" s="421" t="s">
        <v>348</v>
      </c>
      <c r="C86" s="416"/>
      <c r="D86" s="416"/>
      <c r="E86" s="416"/>
      <c r="F86" s="416"/>
      <c r="G86" s="25"/>
      <c r="H86" s="25"/>
    </row>
    <row r="87" spans="1:71">
      <c r="A87" s="30" t="s">
        <v>349</v>
      </c>
      <c r="B87" s="428" t="s">
        <v>350</v>
      </c>
    </row>
    <row r="88" spans="1:71">
      <c r="A88" s="30" t="s">
        <v>351</v>
      </c>
      <c r="B88" s="428" t="s">
        <v>352</v>
      </c>
    </row>
    <row r="89" spans="1:71">
      <c r="A89" s="30" t="s">
        <v>270</v>
      </c>
      <c r="B89" s="557" t="str">
        <f>+ B68 &amp; " Real Estate Trust dated " &amp; B90 &amp; " " &amp; B91</f>
        <v>320 Rose Pl Real Estate Trust dated March, 5 2025</v>
      </c>
      <c r="C89" s="416"/>
      <c r="D89" s="416"/>
      <c r="E89" s="416"/>
      <c r="F89" s="416"/>
      <c r="G89" s="25"/>
      <c r="H89" s="25"/>
      <c r="BR89" s="30"/>
      <c r="BS89" s="30"/>
    </row>
    <row r="90" spans="1:71">
      <c r="A90" s="30" t="s">
        <v>353</v>
      </c>
      <c r="B90" s="425" t="s">
        <v>354</v>
      </c>
      <c r="C90" s="426"/>
      <c r="D90" s="426"/>
      <c r="E90" s="426"/>
      <c r="F90" s="426"/>
      <c r="G90" s="384"/>
      <c r="H90" s="384"/>
    </row>
    <row r="91" spans="1:71">
      <c r="A91" s="30" t="s">
        <v>172</v>
      </c>
      <c r="B91" s="421">
        <v>2025</v>
      </c>
      <c r="C91" s="416"/>
      <c r="D91" s="416"/>
      <c r="E91" s="416"/>
      <c r="F91" s="416"/>
      <c r="G91" s="25"/>
      <c r="H91" s="25"/>
    </row>
    <row r="92" spans="1:71">
      <c r="A92" s="30" t="s">
        <v>231</v>
      </c>
      <c r="B92" s="421" t="s">
        <v>1462</v>
      </c>
      <c r="C92" s="421"/>
      <c r="D92" s="421"/>
      <c r="E92" s="421"/>
      <c r="F92" s="421"/>
      <c r="G92" s="28"/>
      <c r="H92" s="28"/>
    </row>
    <row r="93" spans="1:71">
      <c r="A93" s="30" t="s">
        <v>355</v>
      </c>
      <c r="B93" s="563">
        <f ca="1">YEAR(NOW())</f>
        <v>2026</v>
      </c>
      <c r="C93" s="424"/>
      <c r="D93" s="424"/>
      <c r="E93" s="424"/>
      <c r="F93" s="424"/>
      <c r="G93" s="32"/>
      <c r="H93" s="32"/>
    </row>
    <row r="94" spans="1:71">
      <c r="A94" s="30" t="s">
        <v>356</v>
      </c>
      <c r="B94" s="563">
        <f ca="1">MONTH(NOW())</f>
        <v>6</v>
      </c>
      <c r="C94" s="424"/>
      <c r="D94" s="424"/>
      <c r="E94" s="424"/>
      <c r="F94" s="424"/>
      <c r="G94" s="32"/>
      <c r="H94" s="32"/>
    </row>
    <row r="95" spans="1:71">
      <c r="A95" s="30"/>
      <c r="B95" s="416"/>
      <c r="C95" s="416"/>
      <c r="D95" s="416"/>
      <c r="E95" s="416"/>
      <c r="F95" s="416"/>
      <c r="G95" s="25"/>
      <c r="H95" s="25"/>
    </row>
    <row r="96" spans="1:71">
      <c r="A96" s="30" t="s">
        <v>357</v>
      </c>
      <c r="B96" s="416"/>
      <c r="C96" s="416"/>
      <c r="D96" s="416"/>
      <c r="E96" s="416"/>
      <c r="F96" s="416"/>
      <c r="G96" s="25"/>
      <c r="H96" s="25"/>
    </row>
    <row r="97" spans="1:8" ht="16.5" thickBot="1">
      <c r="A97" s="30"/>
      <c r="B97" s="416"/>
      <c r="C97" s="416"/>
      <c r="D97" s="416"/>
      <c r="E97" s="416"/>
      <c r="F97" s="416"/>
      <c r="G97" s="25"/>
      <c r="H97" s="25"/>
    </row>
    <row r="98" spans="1:8" ht="16.5" thickBot="1">
      <c r="A98" s="409" t="s">
        <v>358</v>
      </c>
      <c r="B98" s="416"/>
      <c r="C98" s="416"/>
      <c r="D98" s="416"/>
      <c r="E98" s="416"/>
      <c r="F98" s="416"/>
      <c r="G98" s="25"/>
      <c r="H98" s="25"/>
    </row>
    <row r="99" spans="1:8">
      <c r="A99" s="30" t="s">
        <v>359</v>
      </c>
      <c r="B99" s="416">
        <f>+Profit!C19</f>
        <v>20000</v>
      </c>
      <c r="C99" s="416"/>
      <c r="D99" s="416"/>
      <c r="E99" s="416"/>
      <c r="F99" s="416"/>
      <c r="G99" s="25"/>
      <c r="H99" s="25"/>
    </row>
    <row r="100" spans="1:8">
      <c r="A100" s="30" t="s">
        <v>360</v>
      </c>
      <c r="B100" s="418">
        <f>+B99/2/6</f>
        <v>1666.6666666666667</v>
      </c>
      <c r="C100" s="416"/>
      <c r="D100" s="416"/>
      <c r="E100" s="416"/>
      <c r="F100" s="416"/>
      <c r="G100" s="25"/>
      <c r="H100" s="25"/>
    </row>
    <row r="101" spans="1:8">
      <c r="A101" s="30" t="s">
        <v>361</v>
      </c>
      <c r="B101" s="418">
        <f>+B99/2</f>
        <v>10000</v>
      </c>
      <c r="C101" s="416"/>
      <c r="D101" s="416"/>
      <c r="E101" s="416"/>
      <c r="F101" s="416"/>
      <c r="G101" s="25"/>
      <c r="H101" s="25"/>
    </row>
    <row r="102" spans="1:8">
      <c r="A102" s="30" t="s">
        <v>362</v>
      </c>
      <c r="B102" s="416" t="str">
        <f>"A balloon payment of " &amp; TEXT(B101,"$#,##0.00") &amp; " will be due when the property is resold by the purchaser"</f>
        <v>A balloon payment of $10,000.00 will be due when the property is resold by the purchaser</v>
      </c>
      <c r="C102" s="416"/>
      <c r="D102" s="416"/>
      <c r="E102" s="416"/>
      <c r="F102" s="416"/>
      <c r="G102" s="25"/>
      <c r="H102" s="25"/>
    </row>
    <row r="103" spans="1:8">
      <c r="A103" s="30" t="s">
        <v>233</v>
      </c>
      <c r="B103" s="30" t="str">
        <f>IF(C103="Yes","Limited Allowance Compensating for Rent", "DON'T USE")</f>
        <v>DON'T USE</v>
      </c>
      <c r="C103" s="415" t="s">
        <v>363</v>
      </c>
      <c r="G103" s="381"/>
      <c r="H103" s="381"/>
    </row>
    <row r="104" spans="1:8">
      <c r="A104" s="30" t="s">
        <v>234</v>
      </c>
      <c r="B104" s="30" t="str">
        <f>IF(C104="Yes","Part of Purchase and Sale Agreement", "DON'T USE")</f>
        <v>Part of Purchase and Sale Agreement</v>
      </c>
      <c r="C104" s="415" t="s">
        <v>364</v>
      </c>
      <c r="G104" s="381"/>
      <c r="H104" s="381"/>
    </row>
    <row r="105" spans="1:8">
      <c r="A105" s="30" t="s">
        <v>365</v>
      </c>
      <c r="B105" s="411">
        <v>11</v>
      </c>
      <c r="C105" s="411"/>
      <c r="D105" s="411"/>
      <c r="E105" s="411"/>
      <c r="F105" s="411"/>
      <c r="G105" s="381"/>
      <c r="H105" s="381"/>
    </row>
    <row r="106" spans="1:8">
      <c r="A106" s="30" t="s">
        <v>366</v>
      </c>
      <c r="B106" s="416">
        <v>6</v>
      </c>
      <c r="C106" s="416"/>
      <c r="D106" s="416"/>
      <c r="E106" s="416"/>
      <c r="F106" s="416"/>
      <c r="G106" s="25"/>
      <c r="H106" s="25"/>
    </row>
    <row r="107" spans="1:8">
      <c r="A107" s="30" t="s">
        <v>367</v>
      </c>
      <c r="B107" s="416">
        <v>0</v>
      </c>
      <c r="C107" s="416"/>
      <c r="D107" s="416"/>
      <c r="E107" s="416"/>
      <c r="F107" s="416"/>
      <c r="G107" s="25"/>
      <c r="H107" s="25"/>
    </row>
    <row r="108" spans="1:8">
      <c r="A108" s="30" t="s">
        <v>368</v>
      </c>
      <c r="B108" s="416" t="str">
        <f>IF(B99&gt;0,"X","")</f>
        <v>X</v>
      </c>
      <c r="C108" s="416"/>
      <c r="D108" s="416"/>
      <c r="E108" s="416"/>
      <c r="F108" s="416"/>
      <c r="G108" s="25"/>
      <c r="H108" s="25"/>
    </row>
    <row r="109" spans="1:8">
      <c r="A109" s="30" t="s">
        <v>369</v>
      </c>
      <c r="B109" s="416" t="s">
        <v>370</v>
      </c>
      <c r="C109" s="416"/>
      <c r="D109" s="416"/>
      <c r="E109" s="416"/>
      <c r="F109" s="416"/>
      <c r="G109" s="25"/>
      <c r="H109" s="25"/>
    </row>
    <row r="110" spans="1:8" ht="16.5" thickBot="1">
      <c r="A110" s="30"/>
      <c r="B110" s="416"/>
      <c r="C110" s="416"/>
      <c r="D110" s="416"/>
      <c r="E110" s="416"/>
      <c r="F110" s="416"/>
      <c r="G110" s="25"/>
      <c r="H110" s="25"/>
    </row>
    <row r="111" spans="1:8" ht="16.5" thickBot="1">
      <c r="A111" s="409" t="s">
        <v>371</v>
      </c>
      <c r="B111" s="416"/>
      <c r="C111" s="416"/>
      <c r="D111" s="416"/>
      <c r="E111" s="416"/>
      <c r="F111" s="416"/>
      <c r="G111" s="25"/>
      <c r="H111" s="25"/>
    </row>
    <row r="112" spans="1:8">
      <c r="A112" s="30" t="s">
        <v>372</v>
      </c>
      <c r="B112" s="421"/>
      <c r="C112" s="416"/>
      <c r="D112" s="416"/>
      <c r="E112" s="416"/>
      <c r="F112" s="416"/>
      <c r="G112" s="25"/>
      <c r="H112" s="25"/>
    </row>
    <row r="113" spans="1:8">
      <c r="A113" s="30" t="s">
        <v>373</v>
      </c>
      <c r="B113" s="421"/>
      <c r="C113" s="416"/>
      <c r="D113" s="416"/>
      <c r="E113" s="416"/>
      <c r="F113" s="416"/>
      <c r="G113" s="25"/>
      <c r="H113" s="25"/>
    </row>
    <row r="114" spans="1:8">
      <c r="A114" s="30" t="s">
        <v>374</v>
      </c>
      <c r="B114" s="421"/>
      <c r="C114" s="416"/>
      <c r="D114" s="416"/>
      <c r="E114" s="416"/>
      <c r="F114" s="416"/>
      <c r="G114" s="25"/>
      <c r="H114" s="25"/>
    </row>
    <row r="115" spans="1:8">
      <c r="A115" s="30" t="s">
        <v>375</v>
      </c>
      <c r="B115" s="560"/>
      <c r="C115" s="416"/>
      <c r="D115" s="416"/>
      <c r="E115" s="416"/>
      <c r="F115" s="416"/>
      <c r="G115" s="25"/>
      <c r="H115" s="25"/>
    </row>
    <row r="116" spans="1:8">
      <c r="A116" s="30" t="s">
        <v>376</v>
      </c>
      <c r="B116" s="421"/>
      <c r="C116" s="416"/>
      <c r="D116" s="416"/>
      <c r="E116" s="416"/>
      <c r="F116" s="416"/>
      <c r="G116" s="25"/>
      <c r="H116" s="25"/>
    </row>
    <row r="117" spans="1:8">
      <c r="A117" s="30" t="s">
        <v>377</v>
      </c>
      <c r="B117" s="421"/>
      <c r="C117" s="416"/>
      <c r="D117" s="416"/>
      <c r="E117" s="416"/>
      <c r="F117" s="416"/>
      <c r="G117" s="25"/>
      <c r="H117" s="25"/>
    </row>
    <row r="118" spans="1:8">
      <c r="A118" s="30"/>
      <c r="B118" s="416"/>
      <c r="C118" s="416"/>
      <c r="D118" s="416"/>
      <c r="E118" s="416"/>
      <c r="F118" s="416"/>
      <c r="G118" s="25"/>
      <c r="H11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27" t="s">
        <v>378</v>
      </c>
      <c r="D1" s="728"/>
      <c r="E1" s="580"/>
      <c r="I1" s="72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29" t="s">
        <v>379</v>
      </c>
      <c r="K1" s="722"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580"/>
      <c r="J2" s="729"/>
      <c r="K2" s="722"/>
    </row>
    <row r="3" spans="1:11" ht="16.5" customHeight="1">
      <c r="A3" t="s">
        <v>380</v>
      </c>
      <c r="B3" s="218" t="s">
        <v>381</v>
      </c>
      <c r="C3" s="169" t="s">
        <v>382</v>
      </c>
      <c r="D3" s="22"/>
      <c r="I3" s="580"/>
      <c r="J3" s="163"/>
      <c r="K3" s="722"/>
    </row>
    <row r="4" spans="1:11">
      <c r="A4" t="s">
        <v>383</v>
      </c>
      <c r="B4" s="168" t="s">
        <v>384</v>
      </c>
      <c r="C4" s="170" t="s">
        <v>382</v>
      </c>
      <c r="D4" s="22"/>
      <c r="I4" s="580"/>
      <c r="K4" s="722"/>
    </row>
    <row r="5" spans="1:11" ht="16.5">
      <c r="A5" t="s">
        <v>385</v>
      </c>
      <c r="B5" s="158"/>
      <c r="C5" s="159"/>
      <c r="D5" s="22"/>
      <c r="I5" s="580"/>
      <c r="K5" s="722"/>
    </row>
    <row r="6" spans="1:11" ht="15" customHeight="1" thickBot="1">
      <c r="A6" t="s">
        <v>386</v>
      </c>
      <c r="B6" s="160"/>
      <c r="C6" s="161"/>
      <c r="D6" s="22"/>
      <c r="I6" s="580"/>
      <c r="K6" s="722"/>
    </row>
    <row r="7" spans="1:11">
      <c r="I7" s="580"/>
      <c r="K7" s="722"/>
    </row>
    <row r="8" spans="1:11">
      <c r="I8" s="580"/>
      <c r="K8" s="722"/>
    </row>
    <row r="9" spans="1:11">
      <c r="A9" s="15" t="s">
        <v>387</v>
      </c>
      <c r="B9" s="15" t="s">
        <v>388</v>
      </c>
      <c r="C9" s="15"/>
      <c r="I9" s="580"/>
      <c r="K9" s="722"/>
    </row>
    <row r="10" spans="1:11">
      <c r="B10" s="730" t="s">
        <v>389</v>
      </c>
      <c r="C10" s="731"/>
      <c r="D10" s="731"/>
      <c r="E10" s="731"/>
      <c r="F10" s="731"/>
      <c r="G10" s="731"/>
      <c r="I10" s="580"/>
      <c r="K10" s="722"/>
    </row>
    <row r="11" spans="1:11">
      <c r="B11" s="580"/>
      <c r="C11" s="580"/>
      <c r="D11" s="580"/>
      <c r="E11" s="580"/>
      <c r="F11" s="580"/>
      <c r="G11" s="580"/>
      <c r="I11" s="580"/>
      <c r="K11" s="722"/>
    </row>
    <row r="12" spans="1:11">
      <c r="F12" s="585" t="s">
        <v>390</v>
      </c>
      <c r="I12" s="580"/>
      <c r="K12" s="722"/>
    </row>
    <row r="13" spans="1:11" ht="15.75" thickBot="1">
      <c r="B13" s="31" t="s">
        <v>391</v>
      </c>
      <c r="C13" s="156" t="s">
        <v>392</v>
      </c>
      <c r="D13" s="31" t="s">
        <v>393</v>
      </c>
      <c r="E13" s="31"/>
      <c r="F13" s="715"/>
      <c r="G13" s="31" t="s">
        <v>394</v>
      </c>
      <c r="I13" s="580"/>
      <c r="K13" s="722"/>
    </row>
    <row r="14" spans="1:11" ht="16.5" thickTop="1" thickBot="1">
      <c r="B14" s="167">
        <f>+D14+F14</f>
        <v>239245</v>
      </c>
      <c r="C14" s="1">
        <f>+Profit!B4</f>
        <v>330000</v>
      </c>
      <c r="D14" s="1">
        <f>+Profit!K47-Profit!C20</f>
        <v>212245</v>
      </c>
      <c r="F14" s="166">
        <f>+B24-(B24*F16)</f>
        <v>27000</v>
      </c>
      <c r="G14" s="132">
        <f ca="1">+C14-D14-F14+Profit!D54+Profit!C20</f>
        <v>-177998.05756574997</v>
      </c>
      <c r="I14" s="580"/>
      <c r="K14" s="722"/>
    </row>
    <row r="15" spans="1:11" ht="16.5" thickTop="1" thickBot="1">
      <c r="C15" s="127"/>
      <c r="D15" s="128" t="s">
        <v>395</v>
      </c>
      <c r="E15" s="129">
        <f ca="1">+Profit!$K$49</f>
        <v>61708.057565749987</v>
      </c>
      <c r="H15" s="157"/>
      <c r="K15" s="722"/>
    </row>
    <row r="16" spans="1:11" ht="16.5" thickTop="1" thickBot="1">
      <c r="C16" s="127"/>
      <c r="D16" s="130" t="s">
        <v>396</v>
      </c>
      <c r="E16" s="131">
        <f ca="1">+G14/E15</f>
        <v>-2.8845188876038255</v>
      </c>
      <c r="F16" s="165">
        <v>0.1</v>
      </c>
      <c r="H16" s="157" t="s">
        <v>397</v>
      </c>
      <c r="I16" s="72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22"/>
    </row>
    <row r="17" spans="1:13" ht="15.75" thickTop="1">
      <c r="C17" s="127"/>
      <c r="D17" s="130" t="s">
        <v>398</v>
      </c>
      <c r="E17" s="131">
        <f ca="1">+G14/(F14+G14)</f>
        <v>1.1788102471996584</v>
      </c>
      <c r="F17" t="s">
        <v>399</v>
      </c>
      <c r="I17" s="722"/>
      <c r="K17" s="722"/>
    </row>
    <row r="18" spans="1:13">
      <c r="I18" s="722"/>
      <c r="K18" s="722"/>
    </row>
    <row r="19" spans="1:13" ht="15.75" thickBot="1">
      <c r="A19" s="15" t="s">
        <v>400</v>
      </c>
      <c r="B19" s="15" t="s">
        <v>401</v>
      </c>
      <c r="D19" s="15" t="s">
        <v>402</v>
      </c>
      <c r="H19">
        <f>IF(H20="X",1,0)</f>
        <v>0</v>
      </c>
      <c r="K19" s="722"/>
    </row>
    <row r="20" spans="1:13" ht="15" customHeight="1" thickTop="1" thickBot="1">
      <c r="B20" t="s">
        <v>403</v>
      </c>
      <c r="H20" s="157"/>
      <c r="I20" s="72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22"/>
    </row>
    <row r="21" spans="1:13" ht="15.75" thickTop="1">
      <c r="B21" t="s">
        <v>404</v>
      </c>
      <c r="I21" s="722"/>
      <c r="J21" s="154"/>
      <c r="K21" s="722"/>
      <c r="L21" s="153"/>
      <c r="M21" s="153"/>
    </row>
    <row r="22" spans="1:13" ht="30">
      <c r="F22" s="50" t="s">
        <v>405</v>
      </c>
      <c r="I22" s="722"/>
      <c r="J22" s="153"/>
      <c r="K22" s="722"/>
      <c r="L22" s="153"/>
      <c r="M22" s="153"/>
    </row>
    <row r="23" spans="1:13" ht="15.75" thickBot="1">
      <c r="B23" s="31" t="s">
        <v>406</v>
      </c>
      <c r="C23" s="723"/>
      <c r="D23" s="724"/>
      <c r="E23" s="724"/>
      <c r="F23" s="724"/>
      <c r="G23" s="31" t="s">
        <v>394</v>
      </c>
      <c r="I23" s="741"/>
      <c r="J23" s="153"/>
      <c r="K23" s="722"/>
      <c r="L23" s="153"/>
      <c r="M23" s="153"/>
    </row>
    <row r="24" spans="1:13" ht="16.5" thickTop="1" thickBot="1">
      <c r="B24" s="164">
        <f>+SUM(Profit!C19:'Profit'!C20)</f>
        <v>30000</v>
      </c>
      <c r="C24" s="725" t="s">
        <v>407</v>
      </c>
      <c r="D24" s="726"/>
      <c r="E24" s="726"/>
      <c r="F24" s="10">
        <f>+B24</f>
        <v>30000</v>
      </c>
      <c r="G24" s="132">
        <f ca="1">+Profit!K62</f>
        <v>159927.31506911264</v>
      </c>
      <c r="I24" s="580"/>
      <c r="K24" s="722"/>
    </row>
    <row r="25" spans="1:13" ht="15.4" customHeight="1" thickTop="1" thickBot="1">
      <c r="C25" s="127"/>
      <c r="D25" s="128" t="s">
        <v>395</v>
      </c>
      <c r="E25" s="129">
        <f ca="1">+Profit!$K$49</f>
        <v>61708.057565749987</v>
      </c>
      <c r="H25">
        <f>IF(H26="X",1+H19,H19)</f>
        <v>1</v>
      </c>
      <c r="K25" s="722"/>
    </row>
    <row r="26" spans="1:13" ht="15" customHeight="1" thickTop="1" thickBot="1">
      <c r="C26" s="127"/>
      <c r="D26" s="130" t="s">
        <v>396</v>
      </c>
      <c r="E26" s="131">
        <f ca="1">+G24/E25</f>
        <v>2.5916763770875457</v>
      </c>
      <c r="H26" s="157" t="s">
        <v>408</v>
      </c>
      <c r="I26" s="72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22"/>
    </row>
    <row r="27" spans="1:13" ht="15" customHeight="1" thickTop="1">
      <c r="C27" s="127"/>
      <c r="D27" s="130" t="s">
        <v>398</v>
      </c>
      <c r="E27" s="131">
        <f ca="1">+G24/(F24+G24)</f>
        <v>0.84204483705209388</v>
      </c>
      <c r="I27" s="722"/>
      <c r="K27" s="722"/>
    </row>
    <row r="28" spans="1:13" ht="15" customHeight="1">
      <c r="I28" s="722"/>
      <c r="K28" s="722"/>
    </row>
    <row r="29" spans="1:13">
      <c r="A29" s="15"/>
      <c r="B29" s="15"/>
      <c r="I29" s="741"/>
      <c r="K29" s="722"/>
    </row>
    <row r="30" spans="1:13">
      <c r="A30" s="15" t="s">
        <v>409</v>
      </c>
      <c r="B30" s="15" t="s">
        <v>410</v>
      </c>
      <c r="D30" t="s">
        <v>411</v>
      </c>
      <c r="I30" s="580"/>
      <c r="K30" s="722"/>
    </row>
    <row r="31" spans="1:13" ht="25.5">
      <c r="B31" t="s">
        <v>403</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22"/>
    </row>
    <row r="32" spans="1:13" ht="15.75" thickBot="1">
      <c r="B32" t="s">
        <v>404</v>
      </c>
      <c r="H32">
        <f>IF(H33="X",H25+1,H25)</f>
        <v>2</v>
      </c>
      <c r="K32" s="722"/>
    </row>
    <row r="33" spans="1:13" ht="15" customHeight="1" thickTop="1" thickBot="1">
      <c r="H33" s="157" t="s">
        <v>408</v>
      </c>
      <c r="I33" s="72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22"/>
    </row>
    <row r="34" spans="1:13" ht="16.5" thickTop="1" thickBot="1">
      <c r="C34" s="2" t="s">
        <v>412</v>
      </c>
      <c r="D34" s="3" t="s">
        <v>413</v>
      </c>
      <c r="F34" s="3" t="s">
        <v>414</v>
      </c>
      <c r="I34" s="722"/>
      <c r="K34" s="722"/>
    </row>
    <row r="35" spans="1:13" ht="16.5" thickTop="1" thickBot="1">
      <c r="B35" s="162" t="s">
        <v>415</v>
      </c>
      <c r="C35" s="135">
        <v>10400</v>
      </c>
      <c r="D35" s="126">
        <v>60</v>
      </c>
      <c r="F35" s="585" t="s">
        <v>405</v>
      </c>
      <c r="I35" s="722"/>
      <c r="K35" s="722"/>
    </row>
    <row r="36" spans="1:13" ht="16.5" thickTop="1" thickBot="1">
      <c r="B36" s="31" t="s">
        <v>416</v>
      </c>
      <c r="C36" s="31" t="s">
        <v>417</v>
      </c>
      <c r="D36" s="31" t="s">
        <v>418</v>
      </c>
      <c r="E36" s="31" t="s">
        <v>367</v>
      </c>
      <c r="F36" s="715"/>
      <c r="G36" s="31" t="s">
        <v>394</v>
      </c>
      <c r="I36" s="722"/>
      <c r="K36" s="722"/>
    </row>
    <row r="37" spans="1:13" ht="16.5" thickTop="1" thickBot="1">
      <c r="B37" s="10">
        <f>+SUM(Profit!C19:'Profit'!C20)*B38</f>
        <v>10200</v>
      </c>
      <c r="C37" s="10">
        <f>+SUM(Profit!C19:'Profit'!C20)-B37+C35</f>
        <v>30200</v>
      </c>
      <c r="D37" s="10">
        <f>+C37*D35/12*E37</f>
        <v>6040</v>
      </c>
      <c r="E37" s="137">
        <v>0.04</v>
      </c>
      <c r="F37" s="10">
        <f>+SUM(B37:D37)</f>
        <v>46440</v>
      </c>
      <c r="G37" s="132">
        <f ca="1">+Profit!$K$62-D37-C35</f>
        <v>143487.31506911264</v>
      </c>
      <c r="I37" s="722"/>
      <c r="K37" s="722"/>
    </row>
    <row r="38" spans="1:13" ht="16.5" thickTop="1" thickBot="1">
      <c r="B38" s="137">
        <v>0.34</v>
      </c>
      <c r="C38" s="152">
        <f>1-B38</f>
        <v>0.65999999999999992</v>
      </c>
      <c r="D38" s="10"/>
      <c r="E38" s="36"/>
      <c r="F38" s="10"/>
      <c r="G38" s="10"/>
      <c r="I38" s="722"/>
      <c r="K38" s="722"/>
    </row>
    <row r="39" spans="1:13" ht="15.4" customHeight="1" thickTop="1">
      <c r="B39" s="10"/>
      <c r="C39" s="132"/>
      <c r="D39" s="128" t="s">
        <v>395</v>
      </c>
      <c r="E39" s="129">
        <f ca="1">+Profit!$K$49-C37+C35</f>
        <v>41908.057565749987</v>
      </c>
      <c r="F39" s="10"/>
      <c r="G39" s="10"/>
      <c r="I39" s="722"/>
      <c r="K39" s="722"/>
    </row>
    <row r="40" spans="1:13">
      <c r="C40" s="127"/>
      <c r="D40" s="130" t="s">
        <v>396</v>
      </c>
      <c r="E40" s="131">
        <f ca="1">+G37/E39</f>
        <v>3.423859835164011</v>
      </c>
      <c r="I40" s="722"/>
      <c r="K40" s="722"/>
    </row>
    <row r="41" spans="1:13" ht="15" customHeight="1" thickBot="1">
      <c r="C41" s="127"/>
      <c r="D41" s="130" t="s">
        <v>398</v>
      </c>
      <c r="E41" s="131">
        <f ca="1">+G37/(F37+G37)</f>
        <v>0.7554854077566413</v>
      </c>
      <c r="H41">
        <f>IF(H42="X",H32+1,H32)</f>
        <v>2</v>
      </c>
      <c r="K41" s="722"/>
    </row>
    <row r="42" spans="1:13" ht="16.5" thickTop="1" thickBot="1">
      <c r="A42" s="15" t="s">
        <v>419</v>
      </c>
      <c r="B42" s="15" t="s">
        <v>420</v>
      </c>
      <c r="H42" s="157"/>
      <c r="I42" s="722"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$132,739.12   *    Expected 3% appreciation per year
                          Expected Value:                    $142,739.12    ** After 60 months.</v>
      </c>
      <c r="K42" s="722"/>
    </row>
    <row r="43" spans="1:13" ht="15.75" thickTop="1">
      <c r="B43" t="s">
        <v>403</v>
      </c>
      <c r="I43" s="722"/>
      <c r="K43" s="580"/>
      <c r="M43" s="139"/>
    </row>
    <row r="44" spans="1:13">
      <c r="B44" t="s">
        <v>404</v>
      </c>
      <c r="I44" s="722"/>
      <c r="K44" s="580"/>
    </row>
    <row r="45" spans="1:13" ht="15" customHeight="1">
      <c r="B45" t="s">
        <v>421</v>
      </c>
      <c r="I45" s="722"/>
      <c r="K45" s="580"/>
    </row>
    <row r="46" spans="1:13">
      <c r="B46" t="s">
        <v>422</v>
      </c>
      <c r="I46" s="722"/>
      <c r="K46" s="580"/>
    </row>
    <row r="47" spans="1:13">
      <c r="F47" s="3" t="s">
        <v>423</v>
      </c>
      <c r="I47" s="722"/>
      <c r="K47" s="580"/>
    </row>
    <row r="48" spans="1:13">
      <c r="C48" s="585" t="s">
        <v>424</v>
      </c>
      <c r="D48" s="585" t="s">
        <v>425</v>
      </c>
      <c r="E48" s="585" t="s">
        <v>426</v>
      </c>
      <c r="F48" s="585" t="s">
        <v>405</v>
      </c>
      <c r="I48" s="722"/>
      <c r="K48" s="580"/>
    </row>
    <row r="49" spans="1:11" ht="15.75" thickBot="1">
      <c r="B49" s="3" t="s">
        <v>416</v>
      </c>
      <c r="C49" s="715" t="s">
        <v>424</v>
      </c>
      <c r="D49" s="715" t="s">
        <v>425</v>
      </c>
      <c r="E49" s="715" t="s">
        <v>427</v>
      </c>
      <c r="F49" s="715"/>
      <c r="G49" s="31" t="s">
        <v>394</v>
      </c>
      <c r="I49" s="722"/>
      <c r="K49" s="580"/>
    </row>
    <row r="50" spans="1:11" ht="16.5" thickTop="1" thickBot="1">
      <c r="B50" s="135">
        <v>10000</v>
      </c>
      <c r="C50" s="8">
        <f ca="1">+Profit!$K$62+Profit!C20-B50+(Profit!K7*Profit!C50/12*Profit!B4)</f>
        <v>189627.31506911264</v>
      </c>
      <c r="D50" s="125">
        <v>0.7</v>
      </c>
      <c r="E50" s="10">
        <f ca="1">+D50*C50</f>
        <v>132739.12054837885</v>
      </c>
      <c r="F50" s="10">
        <f ca="1">+B50+E50</f>
        <v>142739.12054837885</v>
      </c>
      <c r="G50" s="132">
        <f ca="1">(1-D50)*C50</f>
        <v>56888.194520733799</v>
      </c>
      <c r="I50" s="722"/>
      <c r="K50" s="580"/>
    </row>
    <row r="51" spans="1:11" ht="15.75" thickTop="1">
      <c r="D51" s="15" t="s">
        <v>428</v>
      </c>
      <c r="I51" s="155"/>
      <c r="K51" s="580"/>
    </row>
    <row r="52" spans="1:11">
      <c r="C52" s="127"/>
      <c r="D52" s="128" t="s">
        <v>395</v>
      </c>
      <c r="E52" s="129">
        <f ca="1">+Profit!$K$49-B24+B50</f>
        <v>41708.057565749987</v>
      </c>
      <c r="H52" t="s">
        <v>397</v>
      </c>
      <c r="I52" s="72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580"/>
    </row>
    <row r="53" spans="1:11" ht="15" customHeight="1">
      <c r="C53" s="127"/>
      <c r="D53" s="130" t="s">
        <v>396</v>
      </c>
      <c r="E53" s="131">
        <f ca="1">+G50/E52</f>
        <v>1.3639617340379213</v>
      </c>
      <c r="I53" s="580"/>
      <c r="K53" s="580"/>
    </row>
    <row r="54" spans="1:11">
      <c r="C54" s="127"/>
      <c r="D54" s="130" t="s">
        <v>398</v>
      </c>
      <c r="E54" s="131">
        <f ca="1">+G50/(F50+G50)</f>
        <v>0.28497199644767368</v>
      </c>
      <c r="I54" s="580"/>
      <c r="K54" s="580"/>
    </row>
    <row r="55" spans="1:11" ht="15" customHeight="1">
      <c r="I55" s="580"/>
      <c r="K55" s="580"/>
    </row>
    <row r="56" spans="1:11" ht="15.75" thickBot="1">
      <c r="B56" s="15" t="s">
        <v>429</v>
      </c>
      <c r="D56" t="s">
        <v>430</v>
      </c>
      <c r="I56" s="580"/>
      <c r="K56" s="580"/>
    </row>
    <row r="57" spans="1:11">
      <c r="A57" s="73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33"/>
      <c r="C57" s="733"/>
      <c r="D57" s="733"/>
      <c r="E57" s="733"/>
      <c r="F57" s="733"/>
      <c r="G57" s="734"/>
      <c r="I57" s="580"/>
      <c r="K57" s="580"/>
    </row>
    <row r="58" spans="1:11">
      <c r="A58" s="735"/>
      <c r="B58" s="736"/>
      <c r="C58" s="736"/>
      <c r="D58" s="736"/>
      <c r="E58" s="736"/>
      <c r="F58" s="736"/>
      <c r="G58" s="737"/>
      <c r="I58" s="580"/>
      <c r="K58" s="580"/>
    </row>
    <row r="59" spans="1:11">
      <c r="A59" s="735"/>
      <c r="B59" s="736"/>
      <c r="C59" s="736"/>
      <c r="D59" s="736"/>
      <c r="E59" s="736"/>
      <c r="F59" s="736"/>
      <c r="G59" s="737"/>
      <c r="K59" s="580"/>
    </row>
    <row r="60" spans="1:11">
      <c r="A60" s="735"/>
      <c r="B60" s="736"/>
      <c r="C60" s="736"/>
      <c r="D60" s="736"/>
      <c r="E60" s="736"/>
      <c r="F60" s="736"/>
      <c r="G60" s="737"/>
      <c r="K60" s="580"/>
    </row>
    <row r="61" spans="1:11">
      <c r="A61" s="735"/>
      <c r="B61" s="736"/>
      <c r="C61" s="736"/>
      <c r="D61" s="736"/>
      <c r="E61" s="736"/>
      <c r="F61" s="736"/>
      <c r="G61" s="737"/>
      <c r="H61" t="s">
        <v>397</v>
      </c>
      <c r="I61" s="722"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580"/>
    </row>
    <row r="62" spans="1:11">
      <c r="A62" s="735"/>
      <c r="B62" s="736"/>
      <c r="C62" s="736"/>
      <c r="D62" s="736"/>
      <c r="E62" s="736"/>
      <c r="F62" s="736"/>
      <c r="G62" s="737"/>
      <c r="I62" s="580"/>
      <c r="K62" s="580"/>
    </row>
    <row r="63" spans="1:11">
      <c r="A63" s="735"/>
      <c r="B63" s="736"/>
      <c r="C63" s="736"/>
      <c r="D63" s="736"/>
      <c r="E63" s="736"/>
      <c r="F63" s="736"/>
      <c r="G63" s="737"/>
      <c r="I63" s="580"/>
      <c r="K63" s="580"/>
    </row>
    <row r="64" spans="1:11">
      <c r="A64" s="735"/>
      <c r="B64" s="736"/>
      <c r="C64" s="736"/>
      <c r="D64" s="736"/>
      <c r="E64" s="736"/>
      <c r="F64" s="736"/>
      <c r="G64" s="737"/>
      <c r="I64" s="580"/>
      <c r="K64" s="580"/>
    </row>
    <row r="65" spans="1:11">
      <c r="A65" s="735"/>
      <c r="B65" s="736"/>
      <c r="C65" s="736"/>
      <c r="D65" s="736"/>
      <c r="E65" s="736"/>
      <c r="F65" s="736"/>
      <c r="G65" s="737"/>
      <c r="I65" s="580"/>
      <c r="K65" s="580"/>
    </row>
    <row r="66" spans="1:11">
      <c r="A66" s="735"/>
      <c r="B66" s="736"/>
      <c r="C66" s="736"/>
      <c r="D66" s="736"/>
      <c r="E66" s="736"/>
      <c r="F66" s="736"/>
      <c r="G66" s="737"/>
      <c r="I66" s="580"/>
      <c r="K66" s="580"/>
    </row>
    <row r="67" spans="1:11">
      <c r="A67" s="735"/>
      <c r="B67" s="736"/>
      <c r="C67" s="736"/>
      <c r="D67" s="736"/>
      <c r="E67" s="736"/>
      <c r="F67" s="736"/>
      <c r="G67" s="737"/>
      <c r="I67" s="580"/>
      <c r="K67" s="580"/>
    </row>
    <row r="68" spans="1:11">
      <c r="A68" s="735"/>
      <c r="B68" s="736"/>
      <c r="C68" s="736"/>
      <c r="D68" s="736"/>
      <c r="E68" s="736"/>
      <c r="F68" s="736"/>
      <c r="G68" s="737"/>
      <c r="I68" s="580"/>
    </row>
    <row r="69" spans="1:11">
      <c r="A69" s="735"/>
      <c r="B69" s="736"/>
      <c r="C69" s="736"/>
      <c r="D69" s="736"/>
      <c r="E69" s="736"/>
      <c r="F69" s="736"/>
      <c r="G69" s="737"/>
      <c r="I69" s="580"/>
    </row>
    <row r="70" spans="1:11">
      <c r="A70" s="735"/>
      <c r="B70" s="736"/>
      <c r="C70" s="736"/>
      <c r="D70" s="736"/>
      <c r="E70" s="736"/>
      <c r="F70" s="736"/>
      <c r="G70" s="737"/>
      <c r="I70" s="580"/>
    </row>
    <row r="71" spans="1:11">
      <c r="A71" s="735"/>
      <c r="B71" s="736"/>
      <c r="C71" s="736"/>
      <c r="D71" s="736"/>
      <c r="E71" s="736"/>
      <c r="F71" s="736"/>
      <c r="G71" s="737"/>
      <c r="I71" s="580"/>
    </row>
    <row r="72" spans="1:11">
      <c r="A72" s="735"/>
      <c r="B72" s="736"/>
      <c r="C72" s="736"/>
      <c r="D72" s="736"/>
      <c r="E72" s="736"/>
      <c r="F72" s="736"/>
      <c r="G72" s="737"/>
      <c r="I72" s="580"/>
    </row>
    <row r="73" spans="1:11">
      <c r="A73" s="735"/>
      <c r="B73" s="736"/>
      <c r="C73" s="736"/>
      <c r="D73" s="736"/>
      <c r="E73" s="736"/>
      <c r="F73" s="736"/>
      <c r="G73" s="737"/>
    </row>
    <row r="74" spans="1:11">
      <c r="A74" s="735"/>
      <c r="B74" s="736"/>
      <c r="C74" s="736"/>
      <c r="D74" s="736"/>
      <c r="E74" s="736"/>
      <c r="F74" s="736"/>
      <c r="G74" s="737"/>
      <c r="H74" t="s">
        <v>397</v>
      </c>
      <c r="I74" s="138" t="str">
        <f>"Sincerely,
Wes Browning"</f>
        <v>Sincerely,
Wes Browning</v>
      </c>
    </row>
    <row r="75" spans="1:11" ht="15" customHeight="1">
      <c r="A75" s="735"/>
      <c r="B75" s="736"/>
      <c r="C75" s="736"/>
      <c r="D75" s="736"/>
      <c r="E75" s="736"/>
      <c r="F75" s="736"/>
      <c r="G75" s="737"/>
      <c r="I75" s="138"/>
    </row>
    <row r="76" spans="1:11">
      <c r="A76" s="735"/>
      <c r="B76" s="736"/>
      <c r="C76" s="736"/>
      <c r="D76" s="736"/>
      <c r="E76" s="736"/>
      <c r="F76" s="736"/>
      <c r="G76" s="737"/>
      <c r="I76" s="138"/>
    </row>
    <row r="77" spans="1:11">
      <c r="A77" s="735"/>
      <c r="B77" s="736"/>
      <c r="C77" s="736"/>
      <c r="D77" s="736"/>
      <c r="E77" s="736"/>
      <c r="F77" s="736"/>
      <c r="G77" s="737"/>
    </row>
    <row r="78" spans="1:11">
      <c r="A78" s="735"/>
      <c r="B78" s="736"/>
      <c r="C78" s="736"/>
      <c r="D78" s="736"/>
      <c r="E78" s="736"/>
      <c r="F78" s="736"/>
      <c r="G78" s="737"/>
    </row>
    <row r="79" spans="1:11" ht="15.75" thickBot="1">
      <c r="A79" s="738"/>
      <c r="B79" s="739"/>
      <c r="C79" s="739"/>
      <c r="D79" s="739"/>
      <c r="E79" s="739"/>
      <c r="F79" s="739"/>
      <c r="G79" s="740"/>
    </row>
    <row r="80" spans="1:11">
      <c r="A80" s="138"/>
      <c r="B80" s="138"/>
      <c r="C80" s="138"/>
      <c r="D80" s="138"/>
      <c r="E80" s="138"/>
      <c r="F80" s="138"/>
      <c r="G80" s="138"/>
    </row>
    <row r="81" spans="1:9">
      <c r="A81" s="138"/>
      <c r="B81" s="138"/>
      <c r="C81" s="138"/>
      <c r="D81" s="138"/>
      <c r="E81" s="138"/>
      <c r="F81" s="138"/>
      <c r="G81" s="2" t="s">
        <v>431</v>
      </c>
      <c r="I81" s="138" t="s">
        <v>432</v>
      </c>
    </row>
    <row r="82" spans="1:9">
      <c r="G82" s="2" t="s">
        <v>433</v>
      </c>
      <c r="H82" t="s">
        <v>397</v>
      </c>
      <c r="I82" s="138" t="s">
        <v>434</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447</v>
      </c>
      <c r="B1" s="3" t="s">
        <v>448</v>
      </c>
      <c r="C1" s="32" t="s">
        <v>449</v>
      </c>
      <c r="D1" s="30" t="s">
        <v>450</v>
      </c>
      <c r="E1" s="32" t="s">
        <v>451</v>
      </c>
      <c r="F1" s="3" t="s">
        <v>452</v>
      </c>
    </row>
    <row r="2" spans="1:9">
      <c r="A2" s="25" t="s">
        <v>453</v>
      </c>
      <c r="E2" s="27"/>
    </row>
    <row r="3" spans="1:9">
      <c r="C3" s="28"/>
      <c r="D3" s="32" t="s">
        <v>454</v>
      </c>
      <c r="E3" s="525"/>
    </row>
    <row r="4" spans="1:9" ht="16.5">
      <c r="A4" s="30" t="s">
        <v>455</v>
      </c>
      <c r="B4" s="226"/>
      <c r="C4" s="28"/>
      <c r="D4" s="32" t="s">
        <v>456</v>
      </c>
      <c r="E4" s="12"/>
    </row>
    <row r="5" spans="1:9">
      <c r="B5" s="43" t="s">
        <v>4</v>
      </c>
      <c r="C5" s="43" t="s">
        <v>5</v>
      </c>
      <c r="D5" s="25"/>
      <c r="E5" s="27"/>
    </row>
    <row r="6" spans="1:9">
      <c r="A6" s="25" t="s">
        <v>457</v>
      </c>
      <c r="B6" s="43"/>
      <c r="E6" s="172"/>
    </row>
    <row r="7" spans="1:9" ht="15.75">
      <c r="A7" s="44" t="s">
        <v>317</v>
      </c>
      <c r="B7" s="526" t="s">
        <v>458</v>
      </c>
      <c r="D7" s="527" t="s">
        <v>1244</v>
      </c>
      <c r="E7" s="436" t="s">
        <v>1227</v>
      </c>
      <c r="F7" s="19"/>
    </row>
    <row r="8" spans="1:9">
      <c r="A8" s="44" t="s">
        <v>459</v>
      </c>
      <c r="B8" s="27" t="s">
        <v>1218</v>
      </c>
      <c r="D8" s="45"/>
      <c r="E8" s="27"/>
      <c r="F8" s="19"/>
    </row>
    <row r="9" spans="1:9">
      <c r="A9" s="44" t="s">
        <v>460</v>
      </c>
      <c r="B9" s="27" t="s">
        <v>1217</v>
      </c>
      <c r="D9" s="45"/>
      <c r="E9" s="27"/>
      <c r="F9" s="19"/>
      <c r="H9" s="19"/>
    </row>
    <row r="10" spans="1:9">
      <c r="A10" s="2" t="s">
        <v>461</v>
      </c>
      <c r="B10" s="25" t="s">
        <v>462</v>
      </c>
      <c r="C10" s="25" t="s">
        <v>463</v>
      </c>
      <c r="E10" t="s">
        <v>464</v>
      </c>
      <c r="F10" s="25" t="s">
        <v>465</v>
      </c>
    </row>
    <row r="11" spans="1:9">
      <c r="E11" s="27"/>
    </row>
    <row r="12" spans="1:9">
      <c r="A12" s="2" t="s">
        <v>1219</v>
      </c>
      <c r="B12" s="533" t="s">
        <v>1220</v>
      </c>
      <c r="E12"/>
    </row>
    <row r="13" spans="1:9">
      <c r="B13" s="533" t="s">
        <v>1221</v>
      </c>
      <c r="E13"/>
      <c r="F13" s="27"/>
      <c r="I13" s="194"/>
    </row>
    <row r="14" spans="1:9">
      <c r="B14" s="533" t="s">
        <v>1222</v>
      </c>
      <c r="E14"/>
      <c r="I14" s="25"/>
    </row>
    <row r="15" spans="1:9">
      <c r="B15"/>
    </row>
    <row r="16" spans="1:9">
      <c r="A16" s="2" t="s">
        <v>466</v>
      </c>
      <c r="B16" s="533" t="s">
        <v>1223</v>
      </c>
      <c r="E16" s="19"/>
    </row>
    <row r="17" spans="1:25">
      <c r="B17"/>
    </row>
    <row r="18" spans="1:25">
      <c r="B18" s="19" t="s">
        <v>1224</v>
      </c>
      <c r="V18" t="s">
        <v>467</v>
      </c>
      <c r="W18" t="s">
        <v>468</v>
      </c>
      <c r="X18" t="s">
        <v>469</v>
      </c>
      <c r="Y18" t="s">
        <v>470</v>
      </c>
    </row>
    <row r="19" spans="1:25">
      <c r="B19"/>
      <c r="E19" s="27"/>
      <c r="F19" s="19"/>
      <c r="V19" t="s">
        <v>471</v>
      </c>
      <c r="W19" s="142">
        <v>0.4458333333333333</v>
      </c>
      <c r="X19" t="s">
        <v>472</v>
      </c>
    </row>
    <row r="20" spans="1:25">
      <c r="B20" s="533" t="s">
        <v>1225</v>
      </c>
    </row>
    <row r="21" spans="1:25">
      <c r="B21" s="533" t="s">
        <v>1226</v>
      </c>
    </row>
    <row r="22" spans="1:25">
      <c r="A22" s="2" t="s">
        <v>473</v>
      </c>
    </row>
    <row r="23" spans="1:25">
      <c r="A23" s="143" t="s">
        <v>474</v>
      </c>
      <c r="B23" s="2" t="s">
        <v>475</v>
      </c>
      <c r="C23" s="27" t="s">
        <v>476</v>
      </c>
    </row>
    <row r="24" spans="1:25">
      <c r="A24" s="144" t="s">
        <v>477</v>
      </c>
    </row>
    <row r="25" spans="1:25">
      <c r="A25" s="145" t="s">
        <v>478</v>
      </c>
    </row>
    <row r="26" spans="1:25">
      <c r="A26" s="146" t="s">
        <v>479</v>
      </c>
    </row>
    <row r="27" spans="1:25">
      <c r="A27" s="147" t="s">
        <v>480</v>
      </c>
      <c r="B27" s="2" t="s">
        <v>481</v>
      </c>
      <c r="C27" s="27" t="s">
        <v>482</v>
      </c>
    </row>
    <row r="28" spans="1:25">
      <c r="A28" s="148" t="s">
        <v>483</v>
      </c>
    </row>
    <row r="29" spans="1:25">
      <c r="A29" s="149" t="s">
        <v>478</v>
      </c>
    </row>
    <row r="30" spans="1:25">
      <c r="A30" s="150" t="s">
        <v>484</v>
      </c>
    </row>
    <row r="32" spans="1:25">
      <c r="A32" s="2" t="s">
        <v>485</v>
      </c>
      <c r="B32" s="2" t="s">
        <v>486</v>
      </c>
      <c r="E32" s="25" t="s">
        <v>487</v>
      </c>
      <c r="I32" t="s">
        <v>488</v>
      </c>
    </row>
    <row r="34" spans="1:9">
      <c r="A34" s="2" t="s">
        <v>489</v>
      </c>
      <c r="B34" s="2" t="s">
        <v>490</v>
      </c>
    </row>
    <row r="36" spans="1:9">
      <c r="A36" s="2" t="s">
        <v>491</v>
      </c>
      <c r="B36" s="2" t="s">
        <v>492</v>
      </c>
    </row>
    <row r="38" spans="1:9">
      <c r="A38" s="2" t="s">
        <v>493</v>
      </c>
      <c r="B38" s="2" t="s">
        <v>494</v>
      </c>
    </row>
    <row r="40" spans="1:9">
      <c r="A40" s="2" t="s">
        <v>495</v>
      </c>
      <c r="B40" s="2" t="s">
        <v>496</v>
      </c>
      <c r="E40" s="25" t="s">
        <v>497</v>
      </c>
    </row>
    <row r="42" spans="1:9">
      <c r="A42" s="2" t="s">
        <v>498</v>
      </c>
      <c r="B42" s="2" t="s">
        <v>499</v>
      </c>
      <c r="I42" t="s">
        <v>500</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45" t="s">
        <v>1283</v>
      </c>
      <c r="B1" s="746"/>
      <c r="C1" s="747"/>
      <c r="D1" s="745" t="s">
        <v>501</v>
      </c>
      <c r="E1" s="746"/>
      <c r="F1" s="747"/>
      <c r="G1" s="745" t="s">
        <v>60</v>
      </c>
      <c r="H1" s="746"/>
      <c r="I1" s="747"/>
      <c r="J1" s="745" t="s">
        <v>1284</v>
      </c>
      <c r="K1" s="746"/>
      <c r="L1" s="747"/>
      <c r="M1" s="745" t="s">
        <v>502</v>
      </c>
      <c r="N1" s="746"/>
      <c r="O1" s="747"/>
      <c r="P1" s="745" t="s">
        <v>1285</v>
      </c>
      <c r="Q1" s="746"/>
      <c r="R1" s="747"/>
      <c r="S1" s="745" t="s">
        <v>1286</v>
      </c>
      <c r="T1" s="746"/>
      <c r="U1" s="747"/>
      <c r="V1" s="745" t="s">
        <v>218</v>
      </c>
      <c r="W1" s="746"/>
      <c r="X1" s="747"/>
      <c r="Y1" s="745" t="s">
        <v>503</v>
      </c>
      <c r="Z1" s="746"/>
      <c r="AA1" s="747"/>
      <c r="AB1" s="745" t="s">
        <v>1287</v>
      </c>
      <c r="AC1" s="746"/>
      <c r="AD1" s="747"/>
      <c r="AE1" s="745" t="s">
        <v>1288</v>
      </c>
      <c r="AF1" s="746"/>
      <c r="AG1" s="747"/>
      <c r="AH1" s="50"/>
      <c r="AI1" s="748"/>
      <c r="AJ1" s="728"/>
      <c r="AK1" s="728"/>
      <c r="AL1" s="728"/>
      <c r="AM1" s="728"/>
      <c r="AN1" s="728"/>
      <c r="AO1" s="728"/>
      <c r="AP1" s="728"/>
      <c r="AQ1" s="728"/>
      <c r="AR1" s="728"/>
      <c r="AS1" s="728"/>
    </row>
    <row r="2" spans="1:45" ht="15" customHeight="1">
      <c r="C2" s="213"/>
      <c r="F2" s="213"/>
      <c r="I2" s="213"/>
      <c r="L2" s="213"/>
      <c r="O2" s="213"/>
      <c r="R2" s="213"/>
      <c r="U2" s="213"/>
      <c r="X2" s="213"/>
      <c r="AA2" s="749" t="s">
        <v>1453</v>
      </c>
      <c r="AD2" s="213"/>
      <c r="AG2" s="213"/>
      <c r="AI2" t="s">
        <v>1289</v>
      </c>
      <c r="AJ2" t="s">
        <v>1290</v>
      </c>
      <c r="AK2" t="s">
        <v>109</v>
      </c>
      <c r="AL2" t="s">
        <v>447</v>
      </c>
      <c r="AM2" t="s">
        <v>508</v>
      </c>
      <c r="AN2" t="s">
        <v>1291</v>
      </c>
      <c r="AO2" t="s">
        <v>1292</v>
      </c>
      <c r="AP2" t="s">
        <v>1072</v>
      </c>
      <c r="AQ2" t="s">
        <v>1293</v>
      </c>
      <c r="AR2" t="s">
        <v>1294</v>
      </c>
      <c r="AS2" t="s">
        <v>435</v>
      </c>
    </row>
    <row r="3" spans="1:45" ht="15" customHeight="1">
      <c r="A3" s="3" t="s">
        <v>109</v>
      </c>
      <c r="B3" s="13" t="s">
        <v>1291</v>
      </c>
      <c r="C3" s="215"/>
      <c r="D3" s="3" t="s">
        <v>109</v>
      </c>
      <c r="E3" s="13" t="s">
        <v>1452</v>
      </c>
      <c r="F3" s="215"/>
      <c r="G3" s="3" t="s">
        <v>109</v>
      </c>
      <c r="H3" s="13" t="s">
        <v>1452</v>
      </c>
      <c r="I3" s="215"/>
      <c r="J3" s="3" t="s">
        <v>109</v>
      </c>
      <c r="K3" s="13" t="s">
        <v>1452</v>
      </c>
      <c r="L3" s="213"/>
      <c r="M3" s="3" t="s">
        <v>109</v>
      </c>
      <c r="N3" s="13" t="s">
        <v>1452</v>
      </c>
      <c r="O3" s="213"/>
      <c r="P3" s="3" t="s">
        <v>109</v>
      </c>
      <c r="Q3" s="13" t="s">
        <v>1452</v>
      </c>
      <c r="R3" s="213"/>
      <c r="S3" s="3" t="s">
        <v>109</v>
      </c>
      <c r="T3" s="13" t="s">
        <v>1452</v>
      </c>
      <c r="U3" s="213"/>
      <c r="V3" t="s">
        <v>109</v>
      </c>
      <c r="W3" t="s">
        <v>1452</v>
      </c>
      <c r="X3" s="213"/>
      <c r="Y3" t="s">
        <v>109</v>
      </c>
      <c r="Z3" t="s">
        <v>1452</v>
      </c>
      <c r="AA3" s="750"/>
      <c r="AB3" s="3" t="s">
        <v>109</v>
      </c>
      <c r="AC3" s="13" t="s">
        <v>1452</v>
      </c>
      <c r="AD3" s="213"/>
      <c r="AE3" s="3" t="s">
        <v>109</v>
      </c>
      <c r="AF3" s="13" t="s">
        <v>1452</v>
      </c>
      <c r="AG3" s="213"/>
      <c r="AI3" t="s">
        <v>436</v>
      </c>
      <c r="AJ3" t="s">
        <v>1283</v>
      </c>
      <c r="AK3" s="12">
        <v>45823</v>
      </c>
      <c r="AM3" t="s">
        <v>1298</v>
      </c>
      <c r="AN3" s="5">
        <v>0</v>
      </c>
      <c r="AO3" t="s">
        <v>1295</v>
      </c>
      <c r="AP3" s="83" t="s">
        <v>681</v>
      </c>
      <c r="AQ3" t="s">
        <v>1299</v>
      </c>
      <c r="AR3" t="s">
        <v>1296</v>
      </c>
      <c r="AS3" t="s">
        <v>1300</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4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45"/>
      <c r="AH4" s="546"/>
      <c r="AI4" t="s">
        <v>436</v>
      </c>
      <c r="AJ4" t="s">
        <v>1283</v>
      </c>
      <c r="AK4" s="12">
        <v>45853.42</v>
      </c>
      <c r="AM4" t="s">
        <v>1298</v>
      </c>
      <c r="AN4" s="5">
        <v>0</v>
      </c>
      <c r="AO4" t="s">
        <v>1295</v>
      </c>
      <c r="AP4" s="83" t="s">
        <v>681</v>
      </c>
      <c r="AQ4" t="s">
        <v>1299</v>
      </c>
      <c r="AR4" t="s">
        <v>1296</v>
      </c>
      <c r="AS4" t="s">
        <v>1301</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4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45"/>
      <c r="AH5" s="546"/>
      <c r="AI5" t="s">
        <v>436</v>
      </c>
      <c r="AJ5" t="s">
        <v>1283</v>
      </c>
      <c r="AK5" s="12">
        <v>45883.839999999997</v>
      </c>
      <c r="AM5" t="s">
        <v>1298</v>
      </c>
      <c r="AN5" s="5">
        <v>0</v>
      </c>
      <c r="AO5" t="s">
        <v>1295</v>
      </c>
      <c r="AP5" s="83" t="s">
        <v>681</v>
      </c>
      <c r="AQ5" t="s">
        <v>1299</v>
      </c>
      <c r="AR5" t="s">
        <v>1296</v>
      </c>
      <c r="AS5" t="s">
        <v>1302</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4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45"/>
      <c r="AH6" s="546"/>
      <c r="AI6" t="s">
        <v>436</v>
      </c>
      <c r="AJ6" t="s">
        <v>1283</v>
      </c>
      <c r="AK6" s="12">
        <v>45947</v>
      </c>
      <c r="AM6" t="s">
        <v>1298</v>
      </c>
      <c r="AN6" s="5">
        <v>410</v>
      </c>
      <c r="AO6" t="s">
        <v>1295</v>
      </c>
      <c r="AP6" s="83" t="s">
        <v>681</v>
      </c>
      <c r="AQ6" t="s">
        <v>1299</v>
      </c>
      <c r="AR6" t="s">
        <v>1296</v>
      </c>
      <c r="AS6" t="s">
        <v>1303</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4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45"/>
      <c r="AH7" s="546"/>
      <c r="AI7" t="s">
        <v>436</v>
      </c>
      <c r="AJ7" t="s">
        <v>1283</v>
      </c>
      <c r="AK7" s="12">
        <v>45947</v>
      </c>
      <c r="AM7" t="s">
        <v>1298</v>
      </c>
      <c r="AN7" s="5">
        <v>20.84</v>
      </c>
      <c r="AO7" t="s">
        <v>1295</v>
      </c>
      <c r="AP7" s="83" t="s">
        <v>681</v>
      </c>
      <c r="AQ7" t="s">
        <v>1299</v>
      </c>
      <c r="AR7" t="s">
        <v>1296</v>
      </c>
      <c r="AS7" t="s">
        <v>1304</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4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45"/>
      <c r="AH8" s="546"/>
      <c r="AI8" t="s">
        <v>436</v>
      </c>
      <c r="AJ8" t="s">
        <v>1283</v>
      </c>
      <c r="AK8" s="12">
        <v>45950</v>
      </c>
      <c r="AM8" t="s">
        <v>1298</v>
      </c>
      <c r="AN8" s="5">
        <v>37.880000000000003</v>
      </c>
      <c r="AO8" t="s">
        <v>1295</v>
      </c>
      <c r="AP8" s="83" t="s">
        <v>681</v>
      </c>
      <c r="AQ8" t="s">
        <v>1299</v>
      </c>
      <c r="AR8" t="s">
        <v>1296</v>
      </c>
      <c r="AS8" t="s">
        <v>1305</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4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45"/>
      <c r="AH9" s="546"/>
      <c r="AI9" t="s">
        <v>436</v>
      </c>
      <c r="AJ9" t="s">
        <v>1283</v>
      </c>
      <c r="AK9" s="12">
        <v>45979</v>
      </c>
      <c r="AM9" t="s">
        <v>1298</v>
      </c>
      <c r="AN9" s="5">
        <v>34.119999999999997</v>
      </c>
      <c r="AO9" t="s">
        <v>1295</v>
      </c>
      <c r="AP9" s="83" t="s">
        <v>681</v>
      </c>
      <c r="AQ9" t="s">
        <v>1299</v>
      </c>
      <c r="AR9" t="s">
        <v>1296</v>
      </c>
      <c r="AS9" t="s">
        <v>1306</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4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45"/>
      <c r="AH10" s="546"/>
      <c r="AI10" t="s">
        <v>436</v>
      </c>
      <c r="AJ10" t="s">
        <v>1283</v>
      </c>
      <c r="AK10" s="12">
        <v>46008</v>
      </c>
      <c r="AM10" t="s">
        <v>1298</v>
      </c>
      <c r="AN10" s="5">
        <v>33.67</v>
      </c>
      <c r="AO10" t="s">
        <v>1295</v>
      </c>
      <c r="AP10" s="83" t="s">
        <v>681</v>
      </c>
      <c r="AQ10" t="s">
        <v>1299</v>
      </c>
      <c r="AR10" t="s">
        <v>1296</v>
      </c>
      <c r="AS10" t="s">
        <v>1307</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4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45"/>
      <c r="AH11" s="546"/>
      <c r="AI11" t="s">
        <v>436</v>
      </c>
      <c r="AJ11" t="s">
        <v>1283</v>
      </c>
      <c r="AK11" s="12">
        <v>46042</v>
      </c>
      <c r="AM11" t="s">
        <v>1298</v>
      </c>
      <c r="AN11" s="5">
        <v>65.849999999999994</v>
      </c>
      <c r="AO11" t="s">
        <v>1295</v>
      </c>
      <c r="AP11" s="83" t="s">
        <v>681</v>
      </c>
      <c r="AQ11" t="s">
        <v>1299</v>
      </c>
      <c r="AR11" t="s">
        <v>1296</v>
      </c>
      <c r="AS11" t="s">
        <v>1308</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4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45"/>
      <c r="AH12" s="546"/>
      <c r="AI12" t="s">
        <v>436</v>
      </c>
      <c r="AJ12" t="s">
        <v>1283</v>
      </c>
      <c r="AK12" s="12">
        <v>46070</v>
      </c>
      <c r="AM12" t="s">
        <v>1298</v>
      </c>
      <c r="AN12" s="5">
        <v>169.01</v>
      </c>
      <c r="AO12" t="s">
        <v>1295</v>
      </c>
      <c r="AP12" s="83" t="s">
        <v>681</v>
      </c>
      <c r="AQ12" t="s">
        <v>1299</v>
      </c>
      <c r="AR12" t="s">
        <v>1296</v>
      </c>
      <c r="AS12" t="s">
        <v>1309</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4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45"/>
      <c r="AH13" s="546"/>
      <c r="AI13" t="s">
        <v>436</v>
      </c>
      <c r="AJ13" t="s">
        <v>1283</v>
      </c>
      <c r="AK13" s="12">
        <v>46099</v>
      </c>
      <c r="AM13" t="s">
        <v>1298</v>
      </c>
      <c r="AN13" s="5">
        <v>80.64</v>
      </c>
      <c r="AO13" t="s">
        <v>1295</v>
      </c>
      <c r="AP13" s="83" t="s">
        <v>681</v>
      </c>
      <c r="AQ13" t="s">
        <v>1299</v>
      </c>
      <c r="AR13" t="s">
        <v>1296</v>
      </c>
      <c r="AS13" t="s">
        <v>1310</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4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45"/>
      <c r="AH14" s="546"/>
      <c r="AI14" t="s">
        <v>436</v>
      </c>
      <c r="AJ14" t="s">
        <v>1283</v>
      </c>
      <c r="AK14" s="12">
        <v>46132</v>
      </c>
      <c r="AM14" t="s">
        <v>1298</v>
      </c>
      <c r="AN14" s="5">
        <v>60</v>
      </c>
      <c r="AO14" t="s">
        <v>1295</v>
      </c>
      <c r="AP14" s="83" t="s">
        <v>681</v>
      </c>
      <c r="AQ14" t="s">
        <v>1299</v>
      </c>
      <c r="AR14" t="s">
        <v>1296</v>
      </c>
      <c r="AS14" t="s">
        <v>1311</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4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45"/>
      <c r="AH15" s="546"/>
      <c r="AI15" t="s">
        <v>436</v>
      </c>
      <c r="AJ15" t="s">
        <v>1283</v>
      </c>
      <c r="AK15" s="12">
        <v>46160</v>
      </c>
      <c r="AM15" t="s">
        <v>1298</v>
      </c>
      <c r="AN15" s="5">
        <v>51.1</v>
      </c>
      <c r="AO15" t="s">
        <v>1295</v>
      </c>
      <c r="AP15" s="83" t="s">
        <v>681</v>
      </c>
      <c r="AQ15" t="s">
        <v>1299</v>
      </c>
      <c r="AR15" t="s">
        <v>1296</v>
      </c>
      <c r="AS15" t="s">
        <v>1312</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4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45"/>
      <c r="AH16" s="546"/>
      <c r="AI16" t="s">
        <v>436</v>
      </c>
      <c r="AJ16" t="s">
        <v>1283</v>
      </c>
      <c r="AK16" s="12">
        <v>46190.42</v>
      </c>
      <c r="AM16" t="s">
        <v>1298</v>
      </c>
      <c r="AN16" s="5">
        <v>0</v>
      </c>
      <c r="AO16" t="s">
        <v>1295</v>
      </c>
      <c r="AP16" s="83" t="s">
        <v>681</v>
      </c>
      <c r="AQ16" t="s">
        <v>1299</v>
      </c>
      <c r="AR16" t="s">
        <v>1296</v>
      </c>
      <c r="AS16" t="s">
        <v>1313</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4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45"/>
      <c r="AH17" s="546"/>
      <c r="AI17" t="s">
        <v>436</v>
      </c>
      <c r="AJ17" t="s">
        <v>1283</v>
      </c>
      <c r="AK17" s="12">
        <v>46220.84</v>
      </c>
      <c r="AM17" t="s">
        <v>1298</v>
      </c>
      <c r="AN17" s="5">
        <v>0</v>
      </c>
      <c r="AO17" t="s">
        <v>1295</v>
      </c>
      <c r="AP17" s="83" t="s">
        <v>681</v>
      </c>
      <c r="AQ17" t="s">
        <v>1299</v>
      </c>
      <c r="AR17" t="s">
        <v>1296</v>
      </c>
      <c r="AS17" t="s">
        <v>1314</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4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45"/>
      <c r="AH18" s="546"/>
      <c r="AI18" t="s">
        <v>436</v>
      </c>
      <c r="AJ18" t="s">
        <v>1283</v>
      </c>
      <c r="AK18" s="12">
        <v>46251.259999999995</v>
      </c>
      <c r="AM18" t="s">
        <v>1298</v>
      </c>
      <c r="AN18" s="5">
        <v>0</v>
      </c>
      <c r="AO18" t="s">
        <v>1295</v>
      </c>
      <c r="AP18" s="83" t="s">
        <v>681</v>
      </c>
      <c r="AQ18" t="s">
        <v>1299</v>
      </c>
      <c r="AR18" t="s">
        <v>1296</v>
      </c>
      <c r="AS18" t="s">
        <v>1315</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4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45"/>
      <c r="AH19" s="546"/>
      <c r="AI19" t="s">
        <v>436</v>
      </c>
      <c r="AJ19" t="s">
        <v>1283</v>
      </c>
      <c r="AK19" s="12">
        <v>46281.679999999993</v>
      </c>
      <c r="AM19" t="s">
        <v>1298</v>
      </c>
      <c r="AN19" s="5">
        <v>0</v>
      </c>
      <c r="AO19" t="s">
        <v>1295</v>
      </c>
      <c r="AP19" s="83" t="s">
        <v>681</v>
      </c>
      <c r="AQ19" t="s">
        <v>1299</v>
      </c>
      <c r="AR19" t="s">
        <v>1296</v>
      </c>
      <c r="AS19" t="s">
        <v>1316</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4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45"/>
      <c r="AH20" s="546"/>
      <c r="AI20" t="s">
        <v>436</v>
      </c>
      <c r="AJ20" t="s">
        <v>1283</v>
      </c>
      <c r="AK20" s="12">
        <v>46312.099999999991</v>
      </c>
      <c r="AM20" t="s">
        <v>1298</v>
      </c>
      <c r="AN20" s="5">
        <v>0</v>
      </c>
      <c r="AO20" t="s">
        <v>1295</v>
      </c>
      <c r="AP20" s="83" t="s">
        <v>681</v>
      </c>
      <c r="AQ20" t="s">
        <v>1299</v>
      </c>
      <c r="AR20" t="s">
        <v>1296</v>
      </c>
      <c r="AS20" t="s">
        <v>1317</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4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45"/>
      <c r="AH21" s="546"/>
      <c r="AI21" t="s">
        <v>436</v>
      </c>
      <c r="AJ21" t="s">
        <v>1283</v>
      </c>
      <c r="AK21" s="12">
        <v>46342.51999999999</v>
      </c>
      <c r="AM21" t="s">
        <v>1298</v>
      </c>
      <c r="AN21" s="5">
        <v>0</v>
      </c>
      <c r="AO21" t="s">
        <v>1295</v>
      </c>
      <c r="AP21" s="83" t="s">
        <v>681</v>
      </c>
      <c r="AQ21" t="s">
        <v>1299</v>
      </c>
      <c r="AR21" t="s">
        <v>1296</v>
      </c>
      <c r="AS21" t="s">
        <v>1318</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4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45"/>
      <c r="AH22" s="546"/>
      <c r="AI22" t="s">
        <v>436</v>
      </c>
      <c r="AJ22" t="s">
        <v>1297</v>
      </c>
      <c r="AK22" s="12">
        <v>45902</v>
      </c>
      <c r="AM22" t="s">
        <v>1298</v>
      </c>
      <c r="AN22" s="5">
        <v>1968.32</v>
      </c>
      <c r="AO22" t="s">
        <v>1295</v>
      </c>
      <c r="AP22" s="83" t="s">
        <v>681</v>
      </c>
      <c r="AQ22" t="s">
        <v>1299</v>
      </c>
      <c r="AR22" t="s">
        <v>1296</v>
      </c>
      <c r="AS22" t="s">
        <v>1319</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4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45"/>
      <c r="AH23" s="546"/>
      <c r="AI23" t="s">
        <v>436</v>
      </c>
      <c r="AJ23" t="s">
        <v>1297</v>
      </c>
      <c r="AK23" s="12">
        <v>45902</v>
      </c>
      <c r="AM23" t="s">
        <v>1298</v>
      </c>
      <c r="AN23" s="5">
        <v>1120.77</v>
      </c>
      <c r="AO23" t="s">
        <v>1295</v>
      </c>
      <c r="AP23" s="83" t="s">
        <v>681</v>
      </c>
      <c r="AQ23" t="s">
        <v>1299</v>
      </c>
      <c r="AR23" t="s">
        <v>1296</v>
      </c>
      <c r="AS23" t="s">
        <v>1320</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4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5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47"/>
      <c r="AH24" s="546"/>
      <c r="AI24" t="s">
        <v>436</v>
      </c>
      <c r="AJ24" t="s">
        <v>1297</v>
      </c>
      <c r="AK24" s="12">
        <v>45932.42</v>
      </c>
      <c r="AM24" t="s">
        <v>1298</v>
      </c>
      <c r="AN24" s="5">
        <v>984.16</v>
      </c>
      <c r="AO24" t="s">
        <v>1295</v>
      </c>
      <c r="AP24" s="83" t="s">
        <v>681</v>
      </c>
      <c r="AQ24" t="s">
        <v>1299</v>
      </c>
      <c r="AR24" t="s">
        <v>1296</v>
      </c>
      <c r="AS24" t="s">
        <v>1321</v>
      </c>
    </row>
    <row r="25" spans="1:45" ht="15.75" customHeight="1" thickBot="1">
      <c r="A25" s="23"/>
      <c r="B25" s="742">
        <f>SUMIFS(tblCarryingExpenses[Amount],tblCarryingExpenses[Category],IF(A1="Mortgage Payment paid after Reinstatement","Mortgage Payment",A1),tblCarryingExpenses[Include],"Yes")</f>
        <v>963.11</v>
      </c>
      <c r="C25" s="743"/>
      <c r="D25" s="23"/>
      <c r="E25" s="742">
        <f>SUMIFS(tblCarryingExpenses[Amount],tblCarryingExpenses[Category],IF(D1="Mortgage Payment paid after Reinstatement","Mortgage Payment",D1),tblCarryingExpenses[Include],"Yes")</f>
        <v>12150.119999999999</v>
      </c>
      <c r="F25" s="744"/>
      <c r="G25" s="548"/>
      <c r="H25" s="742">
        <f>SUMIFS(tblCarryingExpenses[Amount],tblCarryingExpenses[Category],IF(G1="Mortgage Payment paid after Reinstatement","Mortgage Payment",G1),tblCarryingExpenses[Include],"Yes")</f>
        <v>0</v>
      </c>
      <c r="I25" s="743"/>
      <c r="J25" s="548"/>
      <c r="K25" s="742">
        <f>SUMIFS(tblCarryingExpenses[Amount],tblCarryingExpenses[Category],IF(J1="Mortgage Payment paid after Reinstatement","Mortgage Payment",J1),tblCarryingExpenses[Include],"Yes")</f>
        <v>0</v>
      </c>
      <c r="L25" s="743"/>
      <c r="M25" s="548"/>
      <c r="N25" s="742">
        <f>SUMIFS(tblCarryingExpenses[Amount],tblCarryingExpenses[Category],IF(M1="Mortgage Payment paid after Reinstatement","Mortgage Payment",M1),tblCarryingExpenses[Include],"Yes")</f>
        <v>0</v>
      </c>
      <c r="O25" s="743"/>
      <c r="P25" s="548"/>
      <c r="Q25" s="742">
        <f>SUMIFS(tblCarryingExpenses[Amount],tblCarryingExpenses[Category],IF(P1="Mortgage Payment paid after Reinstatement","Mortgage Payment",P1),tblCarryingExpenses[Include],"Yes")</f>
        <v>227.75</v>
      </c>
      <c r="R25" s="743"/>
      <c r="S25" s="548"/>
      <c r="T25" s="742">
        <f>SUMIFS(tblCarryingExpenses[Amount],tblCarryingExpenses[Category],IF(S1="Mortgage Payment paid after Reinstatement","Mortgage Payment",S1),tblCarryingExpenses[Include],"Yes")</f>
        <v>0</v>
      </c>
      <c r="U25" s="743"/>
      <c r="V25" s="548"/>
      <c r="W25" s="742">
        <f>SUMIFS(tblCarryingExpenses[Amount],tblCarryingExpenses[Category],IF(V1="Mortgage Payment paid after Reinstatement","Mortgage Payment",V1),tblCarryingExpenses[Include],"Yes")</f>
        <v>0</v>
      </c>
      <c r="X25" s="743"/>
      <c r="Y25" s="548"/>
      <c r="Z25" s="742">
        <f>SUM(Z4:AA23)</f>
        <v>0</v>
      </c>
      <c r="AA25" s="743"/>
      <c r="AB25" s="548"/>
      <c r="AC25" s="742">
        <f>SUMIFS(tblCarryingExpenses[Amount],tblCarryingExpenses[Category],IF(AB1="Mortgage Payment paid after Reinstatement","Mortgage Payment",AB1),tblCarryingExpenses[Include],"Yes")</f>
        <v>0</v>
      </c>
      <c r="AD25" s="743"/>
      <c r="AE25" s="548"/>
      <c r="AF25" s="742">
        <f>SUMIFS(tblCarryingExpenses[Amount],tblCarryingExpenses[Category],IF(AE1="Mortgage Payment paid after Reinstatement","Mortgage Payment",AE1),tblCarryingExpenses[Include],"Yes")</f>
        <v>0</v>
      </c>
      <c r="AG25" s="743"/>
      <c r="AH25" s="5"/>
      <c r="AI25" t="s">
        <v>436</v>
      </c>
      <c r="AJ25" t="s">
        <v>1297</v>
      </c>
      <c r="AK25" s="12">
        <v>45932</v>
      </c>
      <c r="AM25" t="s">
        <v>1298</v>
      </c>
      <c r="AN25" s="5">
        <v>1120.77</v>
      </c>
      <c r="AO25" t="s">
        <v>1295</v>
      </c>
      <c r="AP25" s="83" t="s">
        <v>681</v>
      </c>
      <c r="AQ25" t="s">
        <v>1299</v>
      </c>
      <c r="AR25" t="s">
        <v>1296</v>
      </c>
      <c r="AS25" t="s">
        <v>1322</v>
      </c>
    </row>
    <row r="26" spans="1:45" ht="15" customHeight="1">
      <c r="AI26" t="s">
        <v>436</v>
      </c>
      <c r="AJ26" t="s">
        <v>1297</v>
      </c>
      <c r="AK26" s="12">
        <v>45962.42</v>
      </c>
      <c r="AM26" t="s">
        <v>1298</v>
      </c>
      <c r="AN26" s="5">
        <v>984.16</v>
      </c>
      <c r="AO26" t="s">
        <v>1295</v>
      </c>
      <c r="AP26" s="83" t="s">
        <v>681</v>
      </c>
      <c r="AQ26" t="s">
        <v>1299</v>
      </c>
      <c r="AR26" t="s">
        <v>1296</v>
      </c>
      <c r="AS26" t="s">
        <v>1323</v>
      </c>
    </row>
    <row r="27" spans="1:45" ht="15" customHeight="1">
      <c r="AI27" t="s">
        <v>436</v>
      </c>
      <c r="AJ27" t="s">
        <v>1297</v>
      </c>
      <c r="AK27" s="12">
        <v>45992.84</v>
      </c>
      <c r="AM27" t="s">
        <v>1298</v>
      </c>
      <c r="AN27" s="5">
        <v>984.16</v>
      </c>
      <c r="AO27" t="s">
        <v>1295</v>
      </c>
      <c r="AP27" s="83" t="s">
        <v>681</v>
      </c>
      <c r="AQ27" t="s">
        <v>1299</v>
      </c>
      <c r="AR27" t="s">
        <v>1296</v>
      </c>
      <c r="AS27" t="s">
        <v>1324</v>
      </c>
    </row>
    <row r="28" spans="1:45" ht="15" customHeight="1">
      <c r="AI28" t="s">
        <v>436</v>
      </c>
      <c r="AJ28" t="s">
        <v>1297</v>
      </c>
      <c r="AK28" s="12">
        <v>46023.259999999995</v>
      </c>
      <c r="AM28" t="s">
        <v>1298</v>
      </c>
      <c r="AN28" s="5">
        <v>984.16</v>
      </c>
      <c r="AO28" t="s">
        <v>1295</v>
      </c>
      <c r="AP28" s="83" t="s">
        <v>681</v>
      </c>
      <c r="AQ28" t="s">
        <v>1299</v>
      </c>
      <c r="AR28" t="s">
        <v>1296</v>
      </c>
      <c r="AS28" t="s">
        <v>1325</v>
      </c>
    </row>
    <row r="29" spans="1:45" ht="15" customHeight="1">
      <c r="AI29" t="s">
        <v>436</v>
      </c>
      <c r="AJ29" t="s">
        <v>1297</v>
      </c>
      <c r="AK29" s="12">
        <v>46053.679999999993</v>
      </c>
      <c r="AM29" t="s">
        <v>1298</v>
      </c>
      <c r="AN29" s="5">
        <v>984.16</v>
      </c>
      <c r="AO29" t="s">
        <v>1295</v>
      </c>
      <c r="AP29" s="83" t="s">
        <v>681</v>
      </c>
      <c r="AQ29" t="s">
        <v>1299</v>
      </c>
      <c r="AR29" t="s">
        <v>1296</v>
      </c>
      <c r="AS29" t="s">
        <v>1326</v>
      </c>
    </row>
    <row r="30" spans="1:45" ht="15" customHeight="1">
      <c r="AI30" t="s">
        <v>436</v>
      </c>
      <c r="AJ30" t="s">
        <v>1297</v>
      </c>
      <c r="AK30" s="12">
        <v>46084.099999999991</v>
      </c>
      <c r="AM30" t="s">
        <v>1298</v>
      </c>
      <c r="AN30" s="5">
        <v>984.16</v>
      </c>
      <c r="AO30" t="s">
        <v>1295</v>
      </c>
      <c r="AP30" s="83" t="s">
        <v>681</v>
      </c>
      <c r="AQ30" t="s">
        <v>1299</v>
      </c>
      <c r="AR30" t="s">
        <v>1296</v>
      </c>
      <c r="AS30" t="s">
        <v>1327</v>
      </c>
    </row>
    <row r="31" spans="1:45" ht="15" customHeight="1">
      <c r="AI31" t="s">
        <v>436</v>
      </c>
      <c r="AJ31" t="s">
        <v>1297</v>
      </c>
      <c r="AK31" s="12">
        <v>46114.51999999999</v>
      </c>
      <c r="AM31" t="s">
        <v>1298</v>
      </c>
      <c r="AN31" s="5">
        <v>1017.65</v>
      </c>
      <c r="AO31" t="s">
        <v>1295</v>
      </c>
      <c r="AP31" s="83" t="s">
        <v>681</v>
      </c>
      <c r="AQ31" t="s">
        <v>1299</v>
      </c>
      <c r="AR31" t="s">
        <v>1296</v>
      </c>
      <c r="AS31" t="s">
        <v>1328</v>
      </c>
    </row>
    <row r="32" spans="1:45" ht="15" customHeight="1">
      <c r="AI32" t="s">
        <v>436</v>
      </c>
      <c r="AJ32" t="s">
        <v>1297</v>
      </c>
      <c r="AK32" s="12">
        <v>46144.939999999988</v>
      </c>
      <c r="AM32" t="s">
        <v>1298</v>
      </c>
      <c r="AN32" s="5">
        <v>1017.65</v>
      </c>
      <c r="AO32" t="s">
        <v>1295</v>
      </c>
      <c r="AP32" s="83" t="s">
        <v>681</v>
      </c>
      <c r="AQ32" t="s">
        <v>1299</v>
      </c>
      <c r="AR32" t="s">
        <v>1296</v>
      </c>
      <c r="AS32" t="s">
        <v>1329</v>
      </c>
    </row>
    <row r="33" spans="35:45" ht="15" customHeight="1">
      <c r="AI33" t="s">
        <v>436</v>
      </c>
      <c r="AJ33" t="s">
        <v>1297</v>
      </c>
      <c r="AK33" s="12">
        <v>46175.359999999986</v>
      </c>
      <c r="AM33" t="s">
        <v>1298</v>
      </c>
      <c r="AN33" s="5">
        <v>0</v>
      </c>
      <c r="AO33" t="s">
        <v>1295</v>
      </c>
      <c r="AP33" s="83" t="s">
        <v>681</v>
      </c>
      <c r="AQ33" t="s">
        <v>1299</v>
      </c>
      <c r="AR33" t="s">
        <v>1296</v>
      </c>
      <c r="AS33" t="s">
        <v>1330</v>
      </c>
    </row>
    <row r="34" spans="35:45" ht="15" customHeight="1">
      <c r="AI34" t="s">
        <v>436</v>
      </c>
      <c r="AJ34" t="s">
        <v>1297</v>
      </c>
      <c r="AK34" s="12">
        <v>46205.779999999984</v>
      </c>
      <c r="AM34" t="s">
        <v>1298</v>
      </c>
      <c r="AN34" s="5">
        <v>0</v>
      </c>
      <c r="AO34" t="s">
        <v>1295</v>
      </c>
      <c r="AP34" s="83" t="s">
        <v>681</v>
      </c>
      <c r="AQ34" t="s">
        <v>1299</v>
      </c>
      <c r="AR34" t="s">
        <v>1296</v>
      </c>
      <c r="AS34" t="s">
        <v>1331</v>
      </c>
    </row>
    <row r="35" spans="35:45" ht="15" customHeight="1">
      <c r="AI35" t="s">
        <v>436</v>
      </c>
      <c r="AJ35" t="s">
        <v>1297</v>
      </c>
      <c r="AK35" s="12">
        <v>46236.199999999983</v>
      </c>
      <c r="AM35" t="s">
        <v>1298</v>
      </c>
      <c r="AN35" s="5">
        <v>0</v>
      </c>
      <c r="AO35" t="s">
        <v>1295</v>
      </c>
      <c r="AP35" s="83" t="s">
        <v>681</v>
      </c>
      <c r="AQ35" t="s">
        <v>1299</v>
      </c>
      <c r="AR35" t="s">
        <v>1296</v>
      </c>
      <c r="AS35" t="s">
        <v>1332</v>
      </c>
    </row>
    <row r="36" spans="35:45" ht="15" customHeight="1">
      <c r="AI36" t="s">
        <v>436</v>
      </c>
      <c r="AJ36" t="s">
        <v>1297</v>
      </c>
      <c r="AK36" s="12">
        <v>46266.619999999981</v>
      </c>
      <c r="AM36" t="s">
        <v>1298</v>
      </c>
      <c r="AN36" s="5">
        <v>0</v>
      </c>
      <c r="AO36" t="s">
        <v>1295</v>
      </c>
      <c r="AP36" s="83" t="s">
        <v>681</v>
      </c>
      <c r="AQ36" t="s">
        <v>1299</v>
      </c>
      <c r="AR36" t="s">
        <v>1296</v>
      </c>
      <c r="AS36" t="s">
        <v>1333</v>
      </c>
    </row>
    <row r="37" spans="35:45" ht="15" customHeight="1">
      <c r="AI37" t="s">
        <v>436</v>
      </c>
      <c r="AJ37" t="s">
        <v>1297</v>
      </c>
      <c r="AK37" s="12">
        <v>46297.039999999979</v>
      </c>
      <c r="AM37" t="s">
        <v>1298</v>
      </c>
      <c r="AN37" s="5">
        <v>0</v>
      </c>
      <c r="AO37" t="s">
        <v>1295</v>
      </c>
      <c r="AP37" s="83" t="s">
        <v>681</v>
      </c>
      <c r="AQ37" t="s">
        <v>1299</v>
      </c>
      <c r="AR37" t="s">
        <v>1296</v>
      </c>
      <c r="AS37" t="s">
        <v>1334</v>
      </c>
    </row>
    <row r="38" spans="35:45" ht="15" customHeight="1">
      <c r="AI38" t="s">
        <v>436</v>
      </c>
      <c r="AJ38" t="s">
        <v>1297</v>
      </c>
      <c r="AK38" s="12">
        <v>46327.459999999977</v>
      </c>
      <c r="AM38" t="s">
        <v>1298</v>
      </c>
      <c r="AN38" s="5">
        <v>0</v>
      </c>
      <c r="AO38" t="s">
        <v>1295</v>
      </c>
      <c r="AP38" s="83" t="s">
        <v>681</v>
      </c>
      <c r="AQ38" t="s">
        <v>1299</v>
      </c>
      <c r="AR38" t="s">
        <v>1296</v>
      </c>
      <c r="AS38" t="s">
        <v>1335</v>
      </c>
    </row>
    <row r="39" spans="35:45" ht="15" customHeight="1">
      <c r="AI39" t="s">
        <v>436</v>
      </c>
      <c r="AJ39" t="s">
        <v>1297</v>
      </c>
      <c r="AK39" s="12">
        <v>46357.879999999976</v>
      </c>
      <c r="AM39" t="s">
        <v>1298</v>
      </c>
      <c r="AN39" s="5">
        <v>0</v>
      </c>
      <c r="AO39" t="s">
        <v>1295</v>
      </c>
      <c r="AP39" s="83" t="s">
        <v>681</v>
      </c>
      <c r="AQ39" t="s">
        <v>1299</v>
      </c>
      <c r="AR39" t="s">
        <v>1296</v>
      </c>
      <c r="AS39" t="s">
        <v>1336</v>
      </c>
    </row>
    <row r="40" spans="35:45" ht="15" customHeight="1">
      <c r="AI40" t="s">
        <v>436</v>
      </c>
      <c r="AJ40" t="s">
        <v>1297</v>
      </c>
      <c r="AK40" s="12">
        <v>46388.299999999974</v>
      </c>
      <c r="AM40" t="s">
        <v>1298</v>
      </c>
      <c r="AN40" s="5">
        <v>0</v>
      </c>
      <c r="AO40" t="s">
        <v>1295</v>
      </c>
      <c r="AP40" s="83" t="s">
        <v>681</v>
      </c>
      <c r="AQ40" t="s">
        <v>1299</v>
      </c>
      <c r="AR40" t="s">
        <v>1296</v>
      </c>
      <c r="AS40" t="s">
        <v>1337</v>
      </c>
    </row>
    <row r="41" spans="35:45" ht="15" customHeight="1">
      <c r="AI41" t="s">
        <v>436</v>
      </c>
      <c r="AJ41" t="s">
        <v>60</v>
      </c>
      <c r="AK41" s="12">
        <v>45823</v>
      </c>
      <c r="AM41" t="s">
        <v>1298</v>
      </c>
      <c r="AN41" s="5">
        <v>0</v>
      </c>
      <c r="AO41" t="s">
        <v>1295</v>
      </c>
      <c r="AP41" s="83" t="s">
        <v>681</v>
      </c>
      <c r="AQ41" t="s">
        <v>1299</v>
      </c>
      <c r="AR41" t="s">
        <v>1296</v>
      </c>
      <c r="AS41" t="s">
        <v>1338</v>
      </c>
    </row>
    <row r="42" spans="35:45" ht="15" customHeight="1">
      <c r="AI42" t="s">
        <v>436</v>
      </c>
      <c r="AJ42" t="s">
        <v>60</v>
      </c>
      <c r="AK42" s="12">
        <v>45853.42</v>
      </c>
      <c r="AM42" t="s">
        <v>1298</v>
      </c>
      <c r="AN42" s="5">
        <v>0</v>
      </c>
      <c r="AO42" t="s">
        <v>1295</v>
      </c>
      <c r="AP42" s="83" t="s">
        <v>681</v>
      </c>
      <c r="AQ42" t="s">
        <v>1299</v>
      </c>
      <c r="AR42" t="s">
        <v>1296</v>
      </c>
      <c r="AS42" t="s">
        <v>1339</v>
      </c>
    </row>
    <row r="43" spans="35:45" ht="15" customHeight="1">
      <c r="AI43" t="s">
        <v>436</v>
      </c>
      <c r="AJ43" t="s">
        <v>60</v>
      </c>
      <c r="AK43" s="12">
        <v>45883.839999999997</v>
      </c>
      <c r="AM43" t="s">
        <v>1298</v>
      </c>
      <c r="AN43" s="5">
        <v>0</v>
      </c>
      <c r="AO43" t="s">
        <v>1295</v>
      </c>
      <c r="AP43" s="83" t="s">
        <v>681</v>
      </c>
      <c r="AQ43" t="s">
        <v>1299</v>
      </c>
      <c r="AR43" t="s">
        <v>1296</v>
      </c>
      <c r="AS43" t="s">
        <v>1340</v>
      </c>
    </row>
    <row r="44" spans="35:45" ht="15" customHeight="1">
      <c r="AI44" t="s">
        <v>436</v>
      </c>
      <c r="AJ44" t="s">
        <v>60</v>
      </c>
      <c r="AK44" s="12">
        <v>45914.259999999995</v>
      </c>
      <c r="AM44" t="s">
        <v>1298</v>
      </c>
      <c r="AN44" s="5">
        <v>0</v>
      </c>
      <c r="AO44" t="s">
        <v>1295</v>
      </c>
      <c r="AP44" s="83" t="s">
        <v>681</v>
      </c>
      <c r="AQ44" t="s">
        <v>1299</v>
      </c>
      <c r="AR44" t="s">
        <v>1296</v>
      </c>
      <c r="AS44" t="s">
        <v>1341</v>
      </c>
    </row>
    <row r="45" spans="35:45" ht="15" customHeight="1">
      <c r="AI45" t="s">
        <v>436</v>
      </c>
      <c r="AJ45" t="s">
        <v>60</v>
      </c>
      <c r="AK45" s="12">
        <v>45944.679999999993</v>
      </c>
      <c r="AM45" t="s">
        <v>1298</v>
      </c>
      <c r="AN45" s="5">
        <v>0</v>
      </c>
      <c r="AO45" t="s">
        <v>1295</v>
      </c>
      <c r="AP45" s="83" t="s">
        <v>681</v>
      </c>
      <c r="AQ45" t="s">
        <v>1299</v>
      </c>
      <c r="AR45" t="s">
        <v>1296</v>
      </c>
      <c r="AS45" t="s">
        <v>1342</v>
      </c>
    </row>
    <row r="46" spans="35:45" ht="15" customHeight="1">
      <c r="AI46" t="s">
        <v>436</v>
      </c>
      <c r="AJ46" t="s">
        <v>60</v>
      </c>
      <c r="AK46" s="12">
        <v>45975.099999999991</v>
      </c>
      <c r="AM46" t="s">
        <v>1298</v>
      </c>
      <c r="AN46" s="5">
        <v>0</v>
      </c>
      <c r="AO46" t="s">
        <v>1295</v>
      </c>
      <c r="AP46" s="83" t="s">
        <v>681</v>
      </c>
      <c r="AQ46" t="s">
        <v>1299</v>
      </c>
      <c r="AR46" t="s">
        <v>1296</v>
      </c>
      <c r="AS46" t="s">
        <v>1343</v>
      </c>
    </row>
    <row r="47" spans="35:45" ht="15" customHeight="1">
      <c r="AI47" t="s">
        <v>436</v>
      </c>
      <c r="AJ47" t="s">
        <v>60</v>
      </c>
      <c r="AK47" s="12">
        <v>46005.51999999999</v>
      </c>
      <c r="AM47" t="s">
        <v>1298</v>
      </c>
      <c r="AN47" s="5">
        <v>0</v>
      </c>
      <c r="AO47" t="s">
        <v>1295</v>
      </c>
      <c r="AP47" s="83" t="s">
        <v>681</v>
      </c>
      <c r="AQ47" t="s">
        <v>1299</v>
      </c>
      <c r="AR47" t="s">
        <v>1296</v>
      </c>
      <c r="AS47" t="s">
        <v>1344</v>
      </c>
    </row>
    <row r="48" spans="35:45" ht="15" customHeight="1">
      <c r="AI48" t="s">
        <v>436</v>
      </c>
      <c r="AJ48" t="s">
        <v>60</v>
      </c>
      <c r="AK48" s="12">
        <v>46035.939999999988</v>
      </c>
      <c r="AM48" t="s">
        <v>1298</v>
      </c>
      <c r="AN48" s="5">
        <v>0</v>
      </c>
      <c r="AO48" t="s">
        <v>1295</v>
      </c>
      <c r="AP48" s="83" t="s">
        <v>681</v>
      </c>
      <c r="AQ48" t="s">
        <v>1299</v>
      </c>
      <c r="AR48" t="s">
        <v>1296</v>
      </c>
      <c r="AS48" t="s">
        <v>1345</v>
      </c>
    </row>
    <row r="49" spans="35:45" ht="15" customHeight="1">
      <c r="AI49" t="s">
        <v>436</v>
      </c>
      <c r="AJ49" t="s">
        <v>60</v>
      </c>
      <c r="AK49" s="12">
        <v>46066.359999999986</v>
      </c>
      <c r="AM49" t="s">
        <v>1298</v>
      </c>
      <c r="AN49" s="5">
        <v>0</v>
      </c>
      <c r="AO49" t="s">
        <v>1295</v>
      </c>
      <c r="AP49" s="83" t="s">
        <v>681</v>
      </c>
      <c r="AQ49" t="s">
        <v>1299</v>
      </c>
      <c r="AR49" t="s">
        <v>1296</v>
      </c>
      <c r="AS49" t="s">
        <v>1346</v>
      </c>
    </row>
    <row r="50" spans="35:45" ht="15" customHeight="1">
      <c r="AI50" t="s">
        <v>436</v>
      </c>
      <c r="AJ50" t="s">
        <v>60</v>
      </c>
      <c r="AK50" s="12">
        <v>46096.779999999984</v>
      </c>
      <c r="AM50" t="s">
        <v>1298</v>
      </c>
      <c r="AN50" s="5">
        <v>0</v>
      </c>
      <c r="AO50" t="s">
        <v>1295</v>
      </c>
      <c r="AP50" s="83" t="s">
        <v>681</v>
      </c>
      <c r="AQ50" t="s">
        <v>1299</v>
      </c>
      <c r="AR50" t="s">
        <v>1296</v>
      </c>
      <c r="AS50" t="s">
        <v>1347</v>
      </c>
    </row>
    <row r="51" spans="35:45" ht="15" customHeight="1">
      <c r="AI51" t="s">
        <v>436</v>
      </c>
      <c r="AJ51" t="s">
        <v>60</v>
      </c>
      <c r="AK51" s="12">
        <v>46127.199999999983</v>
      </c>
      <c r="AM51" t="s">
        <v>1298</v>
      </c>
      <c r="AN51" s="5">
        <v>0</v>
      </c>
      <c r="AO51" t="s">
        <v>1295</v>
      </c>
      <c r="AP51" s="83" t="s">
        <v>681</v>
      </c>
      <c r="AQ51" t="s">
        <v>1299</v>
      </c>
      <c r="AR51" t="s">
        <v>1296</v>
      </c>
      <c r="AS51" t="s">
        <v>1348</v>
      </c>
    </row>
    <row r="52" spans="35:45" ht="15" customHeight="1">
      <c r="AI52" t="s">
        <v>436</v>
      </c>
      <c r="AJ52" t="s">
        <v>60</v>
      </c>
      <c r="AK52" s="12">
        <v>46157.619999999981</v>
      </c>
      <c r="AM52" t="s">
        <v>1298</v>
      </c>
      <c r="AN52" s="5"/>
      <c r="AO52" t="s">
        <v>1295</v>
      </c>
      <c r="AP52" s="83" t="s">
        <v>681</v>
      </c>
      <c r="AQ52" t="s">
        <v>1299</v>
      </c>
      <c r="AR52" t="s">
        <v>1296</v>
      </c>
      <c r="AS52" t="s">
        <v>1349</v>
      </c>
    </row>
    <row r="53" spans="35:45" ht="15" customHeight="1">
      <c r="AI53" t="s">
        <v>436</v>
      </c>
      <c r="AJ53" t="s">
        <v>60</v>
      </c>
      <c r="AK53" s="12">
        <v>46188.039999999979</v>
      </c>
      <c r="AM53" t="s">
        <v>1298</v>
      </c>
      <c r="AN53" s="5"/>
      <c r="AO53" t="s">
        <v>1295</v>
      </c>
      <c r="AP53" s="83" t="s">
        <v>681</v>
      </c>
      <c r="AQ53" t="s">
        <v>1299</v>
      </c>
      <c r="AR53" t="s">
        <v>1296</v>
      </c>
      <c r="AS53" t="s">
        <v>1350</v>
      </c>
    </row>
    <row r="54" spans="35:45" ht="15" customHeight="1">
      <c r="AI54" t="s">
        <v>436</v>
      </c>
      <c r="AJ54" t="s">
        <v>60</v>
      </c>
      <c r="AK54" s="12">
        <v>46218.459999999977</v>
      </c>
      <c r="AM54" t="s">
        <v>1298</v>
      </c>
      <c r="AN54" s="5"/>
      <c r="AO54" t="s">
        <v>1295</v>
      </c>
      <c r="AP54" s="83" t="s">
        <v>681</v>
      </c>
      <c r="AQ54" t="s">
        <v>1299</v>
      </c>
      <c r="AR54" t="s">
        <v>1296</v>
      </c>
      <c r="AS54" t="s">
        <v>1351</v>
      </c>
    </row>
    <row r="55" spans="35:45" ht="15" customHeight="1">
      <c r="AI55" t="s">
        <v>436</v>
      </c>
      <c r="AJ55" t="s">
        <v>60</v>
      </c>
      <c r="AK55" s="12">
        <v>46248.879999999976</v>
      </c>
      <c r="AM55" t="s">
        <v>1298</v>
      </c>
      <c r="AN55" s="5"/>
      <c r="AO55" t="s">
        <v>1295</v>
      </c>
      <c r="AP55" s="83" t="s">
        <v>681</v>
      </c>
      <c r="AQ55" t="s">
        <v>1299</v>
      </c>
      <c r="AR55" t="s">
        <v>1296</v>
      </c>
      <c r="AS55" t="s">
        <v>1352</v>
      </c>
    </row>
    <row r="56" spans="35:45" ht="15" customHeight="1">
      <c r="AI56" t="s">
        <v>436</v>
      </c>
      <c r="AJ56" t="s">
        <v>60</v>
      </c>
      <c r="AK56" s="12">
        <v>46279.299999999974</v>
      </c>
      <c r="AM56" t="s">
        <v>1298</v>
      </c>
      <c r="AN56" s="5"/>
      <c r="AO56" t="s">
        <v>1295</v>
      </c>
      <c r="AP56" s="83" t="s">
        <v>681</v>
      </c>
      <c r="AQ56" t="s">
        <v>1299</v>
      </c>
      <c r="AR56" t="s">
        <v>1296</v>
      </c>
      <c r="AS56" t="s">
        <v>1353</v>
      </c>
    </row>
    <row r="57" spans="35:45" ht="15" customHeight="1">
      <c r="AI57" t="s">
        <v>436</v>
      </c>
      <c r="AJ57" t="s">
        <v>60</v>
      </c>
      <c r="AK57" s="12">
        <v>46309.719999999972</v>
      </c>
      <c r="AM57" t="s">
        <v>1298</v>
      </c>
      <c r="AN57" s="5"/>
      <c r="AO57" t="s">
        <v>1295</v>
      </c>
      <c r="AP57" s="83" t="s">
        <v>681</v>
      </c>
      <c r="AQ57" t="s">
        <v>1299</v>
      </c>
      <c r="AR57" t="s">
        <v>1296</v>
      </c>
      <c r="AS57" t="s">
        <v>1354</v>
      </c>
    </row>
    <row r="58" spans="35:45" ht="15" customHeight="1">
      <c r="AI58" t="s">
        <v>436</v>
      </c>
      <c r="AJ58" t="s">
        <v>60</v>
      </c>
      <c r="AK58" s="12">
        <v>46340.13999999997</v>
      </c>
      <c r="AM58" t="s">
        <v>1298</v>
      </c>
      <c r="AN58" s="5"/>
      <c r="AO58" t="s">
        <v>1295</v>
      </c>
      <c r="AP58" s="83" t="s">
        <v>681</v>
      </c>
      <c r="AQ58" t="s">
        <v>1299</v>
      </c>
      <c r="AR58" t="s">
        <v>1296</v>
      </c>
      <c r="AS58" t="s">
        <v>1355</v>
      </c>
    </row>
    <row r="59" spans="35:45" ht="15" customHeight="1">
      <c r="AI59" t="s">
        <v>436</v>
      </c>
      <c r="AJ59" t="s">
        <v>60</v>
      </c>
      <c r="AK59" s="12">
        <v>46370.559999999969</v>
      </c>
      <c r="AM59" t="s">
        <v>1298</v>
      </c>
      <c r="AN59" s="5"/>
      <c r="AO59" t="s">
        <v>1295</v>
      </c>
      <c r="AP59" s="83" t="s">
        <v>681</v>
      </c>
      <c r="AQ59" t="s">
        <v>1299</v>
      </c>
      <c r="AR59" t="s">
        <v>1296</v>
      </c>
      <c r="AS59" t="s">
        <v>1356</v>
      </c>
    </row>
    <row r="60" spans="35:45" ht="15" customHeight="1">
      <c r="AI60" t="s">
        <v>436</v>
      </c>
      <c r="AJ60" t="s">
        <v>502</v>
      </c>
      <c r="AK60" s="12">
        <v>45823</v>
      </c>
      <c r="AM60" t="s">
        <v>1298</v>
      </c>
      <c r="AN60" s="5">
        <v>0</v>
      </c>
      <c r="AO60" t="s">
        <v>1295</v>
      </c>
      <c r="AP60" s="83" t="s">
        <v>681</v>
      </c>
      <c r="AQ60" t="s">
        <v>1299</v>
      </c>
      <c r="AR60" t="s">
        <v>1296</v>
      </c>
      <c r="AS60" t="s">
        <v>1357</v>
      </c>
    </row>
    <row r="61" spans="35:45" ht="15" customHeight="1">
      <c r="AI61" t="s">
        <v>436</v>
      </c>
      <c r="AJ61" t="s">
        <v>502</v>
      </c>
      <c r="AK61" s="12">
        <v>45853.42</v>
      </c>
      <c r="AM61" t="s">
        <v>1298</v>
      </c>
      <c r="AN61" s="5">
        <v>0</v>
      </c>
      <c r="AO61" t="s">
        <v>1295</v>
      </c>
      <c r="AP61" s="83" t="s">
        <v>681</v>
      </c>
      <c r="AQ61" t="s">
        <v>1299</v>
      </c>
      <c r="AR61" t="s">
        <v>1296</v>
      </c>
      <c r="AS61" t="s">
        <v>1358</v>
      </c>
    </row>
    <row r="62" spans="35:45" ht="15" customHeight="1">
      <c r="AI62" t="s">
        <v>436</v>
      </c>
      <c r="AJ62" t="s">
        <v>502</v>
      </c>
      <c r="AK62" s="12">
        <v>45883.839999999997</v>
      </c>
      <c r="AM62" t="s">
        <v>1298</v>
      </c>
      <c r="AN62" s="5">
        <v>0</v>
      </c>
      <c r="AO62" t="s">
        <v>1295</v>
      </c>
      <c r="AP62" s="83" t="s">
        <v>681</v>
      </c>
      <c r="AQ62" t="s">
        <v>1299</v>
      </c>
      <c r="AR62" t="s">
        <v>1296</v>
      </c>
      <c r="AS62" t="s">
        <v>1359</v>
      </c>
    </row>
    <row r="63" spans="35:45" ht="15" customHeight="1">
      <c r="AI63" t="s">
        <v>436</v>
      </c>
      <c r="AJ63" t="s">
        <v>502</v>
      </c>
      <c r="AK63" s="12">
        <v>45914.259999999995</v>
      </c>
      <c r="AM63" t="s">
        <v>1298</v>
      </c>
      <c r="AN63" s="5">
        <v>0</v>
      </c>
      <c r="AO63" t="s">
        <v>1295</v>
      </c>
      <c r="AP63" s="83" t="s">
        <v>681</v>
      </c>
      <c r="AQ63" t="s">
        <v>1299</v>
      </c>
      <c r="AR63" t="s">
        <v>1296</v>
      </c>
      <c r="AS63" t="s">
        <v>1360</v>
      </c>
    </row>
    <row r="64" spans="35:45" ht="15" customHeight="1">
      <c r="AI64" t="s">
        <v>436</v>
      </c>
      <c r="AJ64" t="s">
        <v>502</v>
      </c>
      <c r="AK64" s="12">
        <v>45944.679999999993</v>
      </c>
      <c r="AM64" t="s">
        <v>1298</v>
      </c>
      <c r="AN64" s="5">
        <v>0</v>
      </c>
      <c r="AO64" t="s">
        <v>1295</v>
      </c>
      <c r="AP64" s="83" t="s">
        <v>681</v>
      </c>
      <c r="AQ64" t="s">
        <v>1299</v>
      </c>
      <c r="AR64" t="s">
        <v>1296</v>
      </c>
      <c r="AS64" t="s">
        <v>1361</v>
      </c>
    </row>
    <row r="65" spans="35:45" ht="15" customHeight="1">
      <c r="AI65" t="s">
        <v>436</v>
      </c>
      <c r="AJ65" t="s">
        <v>502</v>
      </c>
      <c r="AK65" s="12">
        <v>45975.099999999991</v>
      </c>
      <c r="AM65" t="s">
        <v>1298</v>
      </c>
      <c r="AN65" s="5">
        <v>0</v>
      </c>
      <c r="AO65" t="s">
        <v>1295</v>
      </c>
      <c r="AP65" s="83" t="s">
        <v>681</v>
      </c>
      <c r="AQ65" t="s">
        <v>1299</v>
      </c>
      <c r="AR65" t="s">
        <v>1296</v>
      </c>
      <c r="AS65" t="s">
        <v>1362</v>
      </c>
    </row>
    <row r="66" spans="35:45" ht="15" customHeight="1">
      <c r="AI66" t="s">
        <v>436</v>
      </c>
      <c r="AJ66" t="s">
        <v>502</v>
      </c>
      <c r="AK66" s="12">
        <v>46005.51999999999</v>
      </c>
      <c r="AM66" t="s">
        <v>1298</v>
      </c>
      <c r="AN66" s="5">
        <v>0</v>
      </c>
      <c r="AO66" t="s">
        <v>1295</v>
      </c>
      <c r="AP66" s="83" t="s">
        <v>681</v>
      </c>
      <c r="AQ66" t="s">
        <v>1299</v>
      </c>
      <c r="AR66" t="s">
        <v>1296</v>
      </c>
      <c r="AS66" t="s">
        <v>1363</v>
      </c>
    </row>
    <row r="67" spans="35:45" ht="15" customHeight="1">
      <c r="AI67" t="s">
        <v>436</v>
      </c>
      <c r="AJ67" t="s">
        <v>502</v>
      </c>
      <c r="AK67" s="12">
        <v>46035.939999999988</v>
      </c>
      <c r="AM67" t="s">
        <v>1298</v>
      </c>
      <c r="AN67" s="5">
        <v>0</v>
      </c>
      <c r="AO67" t="s">
        <v>1295</v>
      </c>
      <c r="AP67" s="83" t="s">
        <v>681</v>
      </c>
      <c r="AQ67" t="s">
        <v>1299</v>
      </c>
      <c r="AR67" t="s">
        <v>1296</v>
      </c>
      <c r="AS67" t="s">
        <v>1364</v>
      </c>
    </row>
    <row r="68" spans="35:45" ht="15" customHeight="1">
      <c r="AI68" t="s">
        <v>436</v>
      </c>
      <c r="AJ68" t="s">
        <v>502</v>
      </c>
      <c r="AK68" s="12">
        <v>46066.359999999986</v>
      </c>
      <c r="AM68" t="s">
        <v>1298</v>
      </c>
      <c r="AN68" s="5">
        <v>0</v>
      </c>
      <c r="AO68" t="s">
        <v>1295</v>
      </c>
      <c r="AP68" s="83" t="s">
        <v>681</v>
      </c>
      <c r="AQ68" t="s">
        <v>1299</v>
      </c>
      <c r="AR68" t="s">
        <v>1296</v>
      </c>
      <c r="AS68" t="s">
        <v>1365</v>
      </c>
    </row>
    <row r="69" spans="35:45" ht="15" customHeight="1">
      <c r="AI69" t="s">
        <v>436</v>
      </c>
      <c r="AJ69" t="s">
        <v>502</v>
      </c>
      <c r="AK69" s="12">
        <v>46096.779999999984</v>
      </c>
      <c r="AM69" t="s">
        <v>1298</v>
      </c>
      <c r="AN69" s="5">
        <v>0</v>
      </c>
      <c r="AO69" t="s">
        <v>1295</v>
      </c>
      <c r="AP69" s="83" t="s">
        <v>681</v>
      </c>
      <c r="AQ69" t="s">
        <v>1299</v>
      </c>
      <c r="AR69" t="s">
        <v>1296</v>
      </c>
      <c r="AS69" t="s">
        <v>1366</v>
      </c>
    </row>
    <row r="70" spans="35:45" ht="15" customHeight="1">
      <c r="AI70" t="s">
        <v>436</v>
      </c>
      <c r="AJ70" t="s">
        <v>502</v>
      </c>
      <c r="AK70" s="12">
        <v>46127.199999999983</v>
      </c>
      <c r="AM70" t="s">
        <v>1298</v>
      </c>
      <c r="AN70" s="5">
        <v>0</v>
      </c>
      <c r="AO70" t="s">
        <v>1295</v>
      </c>
      <c r="AP70" s="83" t="s">
        <v>681</v>
      </c>
      <c r="AQ70" t="s">
        <v>1299</v>
      </c>
      <c r="AR70" t="s">
        <v>1296</v>
      </c>
      <c r="AS70" t="s">
        <v>1367</v>
      </c>
    </row>
    <row r="71" spans="35:45" ht="15" customHeight="1">
      <c r="AI71" t="s">
        <v>436</v>
      </c>
      <c r="AJ71" t="s">
        <v>502</v>
      </c>
      <c r="AK71" s="12">
        <v>46157.619999999981</v>
      </c>
      <c r="AM71" t="s">
        <v>1298</v>
      </c>
      <c r="AN71" s="5">
        <v>0</v>
      </c>
      <c r="AO71" t="s">
        <v>1295</v>
      </c>
      <c r="AP71" s="83" t="s">
        <v>681</v>
      </c>
      <c r="AQ71" t="s">
        <v>1299</v>
      </c>
      <c r="AR71" t="s">
        <v>1296</v>
      </c>
      <c r="AS71" t="s">
        <v>1368</v>
      </c>
    </row>
    <row r="72" spans="35:45" ht="15" customHeight="1">
      <c r="AI72" t="s">
        <v>436</v>
      </c>
      <c r="AJ72" t="s">
        <v>502</v>
      </c>
      <c r="AK72" s="12">
        <v>46188.039999999979</v>
      </c>
      <c r="AM72" t="s">
        <v>1298</v>
      </c>
      <c r="AN72" s="5">
        <v>0</v>
      </c>
      <c r="AO72" t="s">
        <v>1295</v>
      </c>
      <c r="AP72" s="83" t="s">
        <v>681</v>
      </c>
      <c r="AQ72" t="s">
        <v>1299</v>
      </c>
      <c r="AR72" t="s">
        <v>1296</v>
      </c>
      <c r="AS72" t="s">
        <v>1369</v>
      </c>
    </row>
    <row r="73" spans="35:45" ht="15" customHeight="1">
      <c r="AI73" t="s">
        <v>436</v>
      </c>
      <c r="AJ73" t="s">
        <v>502</v>
      </c>
      <c r="AK73" s="12">
        <v>46218.459999999977</v>
      </c>
      <c r="AM73" t="s">
        <v>1298</v>
      </c>
      <c r="AN73" s="5">
        <v>0</v>
      </c>
      <c r="AO73" t="s">
        <v>1295</v>
      </c>
      <c r="AP73" s="83" t="s">
        <v>681</v>
      </c>
      <c r="AQ73" t="s">
        <v>1299</v>
      </c>
      <c r="AR73" t="s">
        <v>1296</v>
      </c>
      <c r="AS73" t="s">
        <v>1370</v>
      </c>
    </row>
    <row r="74" spans="35:45" ht="15" customHeight="1">
      <c r="AI74" t="s">
        <v>436</v>
      </c>
      <c r="AJ74" t="s">
        <v>502</v>
      </c>
      <c r="AK74" s="12">
        <v>46248.879999999976</v>
      </c>
      <c r="AM74" t="s">
        <v>1298</v>
      </c>
      <c r="AN74" s="5">
        <v>0</v>
      </c>
      <c r="AO74" t="s">
        <v>1295</v>
      </c>
      <c r="AP74" s="83" t="s">
        <v>681</v>
      </c>
      <c r="AQ74" t="s">
        <v>1299</v>
      </c>
      <c r="AR74" t="s">
        <v>1296</v>
      </c>
      <c r="AS74" t="s">
        <v>1371</v>
      </c>
    </row>
    <row r="75" spans="35:45" ht="15" customHeight="1">
      <c r="AI75" t="s">
        <v>436</v>
      </c>
      <c r="AJ75" t="s">
        <v>502</v>
      </c>
      <c r="AK75" s="12">
        <v>46279.299999999974</v>
      </c>
      <c r="AM75" t="s">
        <v>1298</v>
      </c>
      <c r="AN75" s="5">
        <v>0</v>
      </c>
      <c r="AO75" t="s">
        <v>1295</v>
      </c>
      <c r="AP75" s="83" t="s">
        <v>681</v>
      </c>
      <c r="AQ75" t="s">
        <v>1299</v>
      </c>
      <c r="AR75" t="s">
        <v>1296</v>
      </c>
      <c r="AS75" t="s">
        <v>1372</v>
      </c>
    </row>
    <row r="76" spans="35:45" ht="15" customHeight="1">
      <c r="AI76" t="s">
        <v>436</v>
      </c>
      <c r="AJ76" t="s">
        <v>502</v>
      </c>
      <c r="AK76" s="12">
        <v>46309.719999999972</v>
      </c>
      <c r="AM76" t="s">
        <v>1298</v>
      </c>
      <c r="AN76" s="5">
        <v>0</v>
      </c>
      <c r="AO76" t="s">
        <v>1295</v>
      </c>
      <c r="AP76" s="83" t="s">
        <v>681</v>
      </c>
      <c r="AQ76" t="s">
        <v>1299</v>
      </c>
      <c r="AR76" t="s">
        <v>1296</v>
      </c>
      <c r="AS76" t="s">
        <v>1373</v>
      </c>
    </row>
    <row r="77" spans="35:45" ht="15" customHeight="1">
      <c r="AI77" t="s">
        <v>436</v>
      </c>
      <c r="AJ77" t="s">
        <v>502</v>
      </c>
      <c r="AK77" s="12">
        <v>46340.13999999997</v>
      </c>
      <c r="AM77" t="s">
        <v>1298</v>
      </c>
      <c r="AN77" s="5">
        <v>0</v>
      </c>
      <c r="AO77" t="s">
        <v>1295</v>
      </c>
      <c r="AP77" s="83" t="s">
        <v>681</v>
      </c>
      <c r="AQ77" t="s">
        <v>1299</v>
      </c>
      <c r="AR77" t="s">
        <v>1296</v>
      </c>
      <c r="AS77" t="s">
        <v>1374</v>
      </c>
    </row>
    <row r="78" spans="35:45" ht="15" customHeight="1">
      <c r="AI78" t="s">
        <v>436</v>
      </c>
      <c r="AJ78" t="s">
        <v>502</v>
      </c>
      <c r="AK78" s="12">
        <v>46370.559999999969</v>
      </c>
      <c r="AM78" t="s">
        <v>1298</v>
      </c>
      <c r="AN78" s="5">
        <v>0</v>
      </c>
      <c r="AO78" t="s">
        <v>1295</v>
      </c>
      <c r="AP78" s="83" t="s">
        <v>681</v>
      </c>
      <c r="AQ78" t="s">
        <v>1299</v>
      </c>
      <c r="AR78" t="s">
        <v>1296</v>
      </c>
      <c r="AS78" t="s">
        <v>1375</v>
      </c>
    </row>
    <row r="79" spans="35:45" ht="15" customHeight="1">
      <c r="AI79" t="s">
        <v>436</v>
      </c>
      <c r="AJ79" t="s">
        <v>1285</v>
      </c>
      <c r="AK79" s="12">
        <v>46035</v>
      </c>
      <c r="AM79" t="s">
        <v>1298</v>
      </c>
      <c r="AN79" s="5">
        <v>92.51</v>
      </c>
      <c r="AO79" t="s">
        <v>1295</v>
      </c>
      <c r="AP79" s="83" t="s">
        <v>681</v>
      </c>
      <c r="AQ79" t="s">
        <v>1299</v>
      </c>
      <c r="AR79" t="s">
        <v>1296</v>
      </c>
      <c r="AS79" t="s">
        <v>1376</v>
      </c>
    </row>
    <row r="80" spans="35:45" ht="15" customHeight="1">
      <c r="AI80" t="s">
        <v>436</v>
      </c>
      <c r="AJ80" t="s">
        <v>1285</v>
      </c>
      <c r="AK80" s="12">
        <v>46066</v>
      </c>
      <c r="AM80" t="s">
        <v>1298</v>
      </c>
      <c r="AN80" s="5">
        <v>44.74</v>
      </c>
      <c r="AO80" t="s">
        <v>1295</v>
      </c>
      <c r="AP80" s="83" t="s">
        <v>681</v>
      </c>
      <c r="AQ80" t="s">
        <v>1299</v>
      </c>
      <c r="AR80" t="s">
        <v>1296</v>
      </c>
      <c r="AS80" t="s">
        <v>1377</v>
      </c>
    </row>
    <row r="81" spans="35:45" ht="15" customHeight="1">
      <c r="AI81" t="s">
        <v>436</v>
      </c>
      <c r="AJ81" t="s">
        <v>1285</v>
      </c>
      <c r="AK81" s="12">
        <v>46097</v>
      </c>
      <c r="AM81" t="s">
        <v>1298</v>
      </c>
      <c r="AN81" s="5">
        <v>30.34</v>
      </c>
      <c r="AO81" t="s">
        <v>1295</v>
      </c>
      <c r="AP81" s="83" t="s">
        <v>681</v>
      </c>
      <c r="AQ81" t="s">
        <v>1299</v>
      </c>
      <c r="AR81" t="s">
        <v>1296</v>
      </c>
      <c r="AS81" t="s">
        <v>1378</v>
      </c>
    </row>
    <row r="82" spans="35:45" ht="15" customHeight="1">
      <c r="AI82" t="s">
        <v>436</v>
      </c>
      <c r="AJ82" t="s">
        <v>1285</v>
      </c>
      <c r="AK82" s="12">
        <v>46127.42</v>
      </c>
      <c r="AM82" t="s">
        <v>1298</v>
      </c>
      <c r="AN82" s="5">
        <v>30.08</v>
      </c>
      <c r="AO82" t="s">
        <v>1295</v>
      </c>
      <c r="AP82" s="83" t="s">
        <v>681</v>
      </c>
      <c r="AQ82" t="s">
        <v>1299</v>
      </c>
      <c r="AR82" t="s">
        <v>1296</v>
      </c>
      <c r="AS82" t="s">
        <v>1379</v>
      </c>
    </row>
    <row r="83" spans="35:45" ht="15" customHeight="1">
      <c r="AI83" t="s">
        <v>436</v>
      </c>
      <c r="AJ83" t="s">
        <v>1285</v>
      </c>
      <c r="AK83" s="12">
        <v>46157.84</v>
      </c>
      <c r="AM83" t="s">
        <v>1298</v>
      </c>
      <c r="AN83" s="5">
        <v>30.08</v>
      </c>
      <c r="AO83" t="s">
        <v>1295</v>
      </c>
      <c r="AP83" s="83" t="s">
        <v>681</v>
      </c>
      <c r="AQ83" t="s">
        <v>1299</v>
      </c>
      <c r="AR83" t="s">
        <v>1296</v>
      </c>
      <c r="AS83" t="s">
        <v>1380</v>
      </c>
    </row>
    <row r="84" spans="35:45" ht="15" customHeight="1">
      <c r="AI84" t="s">
        <v>436</v>
      </c>
      <c r="AJ84" t="s">
        <v>1285</v>
      </c>
      <c r="AK84" s="12">
        <v>46188.259999999995</v>
      </c>
      <c r="AM84" t="s">
        <v>1298</v>
      </c>
      <c r="AN84" s="5">
        <v>0</v>
      </c>
      <c r="AO84" t="s">
        <v>1295</v>
      </c>
      <c r="AP84" s="83" t="s">
        <v>681</v>
      </c>
      <c r="AQ84" t="s">
        <v>1299</v>
      </c>
      <c r="AR84" t="s">
        <v>1296</v>
      </c>
      <c r="AS84" t="s">
        <v>1381</v>
      </c>
    </row>
    <row r="85" spans="35:45" ht="15" customHeight="1">
      <c r="AI85" t="s">
        <v>436</v>
      </c>
      <c r="AJ85" t="s">
        <v>1285</v>
      </c>
      <c r="AK85" s="12">
        <v>46218.679999999993</v>
      </c>
      <c r="AM85" t="s">
        <v>1298</v>
      </c>
      <c r="AN85" s="5">
        <v>0</v>
      </c>
      <c r="AO85" t="s">
        <v>1295</v>
      </c>
      <c r="AP85" s="83" t="s">
        <v>681</v>
      </c>
      <c r="AQ85" t="s">
        <v>1299</v>
      </c>
      <c r="AR85" t="s">
        <v>1296</v>
      </c>
      <c r="AS85" t="s">
        <v>1382</v>
      </c>
    </row>
    <row r="86" spans="35:45" ht="15" customHeight="1">
      <c r="AI86" t="s">
        <v>436</v>
      </c>
      <c r="AJ86" t="s">
        <v>1285</v>
      </c>
      <c r="AK86" s="12">
        <v>46249.099999999991</v>
      </c>
      <c r="AM86" t="s">
        <v>1298</v>
      </c>
      <c r="AN86" s="5">
        <v>0</v>
      </c>
      <c r="AO86" t="s">
        <v>1295</v>
      </c>
      <c r="AP86" s="83" t="s">
        <v>681</v>
      </c>
      <c r="AQ86" t="s">
        <v>1299</v>
      </c>
      <c r="AR86" t="s">
        <v>1296</v>
      </c>
      <c r="AS86" t="s">
        <v>1383</v>
      </c>
    </row>
    <row r="87" spans="35:45" ht="15" customHeight="1">
      <c r="AI87" t="s">
        <v>436</v>
      </c>
      <c r="AJ87" t="s">
        <v>1285</v>
      </c>
      <c r="AK87" s="12">
        <v>46279.51999999999</v>
      </c>
      <c r="AM87" t="s">
        <v>1298</v>
      </c>
      <c r="AN87" s="5">
        <v>0</v>
      </c>
      <c r="AO87" t="s">
        <v>1295</v>
      </c>
      <c r="AP87" s="83" t="s">
        <v>681</v>
      </c>
      <c r="AQ87" t="s">
        <v>1299</v>
      </c>
      <c r="AR87" t="s">
        <v>1296</v>
      </c>
      <c r="AS87" t="s">
        <v>1384</v>
      </c>
    </row>
    <row r="88" spans="35:45" ht="15" customHeight="1">
      <c r="AI88" t="s">
        <v>436</v>
      </c>
      <c r="AJ88" t="s">
        <v>1285</v>
      </c>
      <c r="AK88" s="12">
        <v>46309.939999999988</v>
      </c>
      <c r="AM88" t="s">
        <v>1298</v>
      </c>
      <c r="AN88" s="5">
        <v>0</v>
      </c>
      <c r="AO88" t="s">
        <v>1295</v>
      </c>
      <c r="AP88" s="83" t="s">
        <v>681</v>
      </c>
      <c r="AQ88" t="s">
        <v>1299</v>
      </c>
      <c r="AR88" t="s">
        <v>1296</v>
      </c>
      <c r="AS88" t="s">
        <v>1385</v>
      </c>
    </row>
    <row r="89" spans="35:45" ht="15" customHeight="1">
      <c r="AI89" t="s">
        <v>436</v>
      </c>
      <c r="AJ89" t="s">
        <v>1285</v>
      </c>
      <c r="AK89" s="12">
        <v>46340.359999999986</v>
      </c>
      <c r="AM89" t="s">
        <v>1298</v>
      </c>
      <c r="AN89" s="5">
        <v>0</v>
      </c>
      <c r="AO89" t="s">
        <v>1295</v>
      </c>
      <c r="AP89" s="83" t="s">
        <v>681</v>
      </c>
      <c r="AQ89" t="s">
        <v>1299</v>
      </c>
      <c r="AR89" t="s">
        <v>1296</v>
      </c>
      <c r="AS89" t="s">
        <v>1386</v>
      </c>
    </row>
    <row r="90" spans="35:45" ht="15" customHeight="1">
      <c r="AI90" t="s">
        <v>436</v>
      </c>
      <c r="AJ90" t="s">
        <v>1285</v>
      </c>
      <c r="AK90" s="12">
        <v>46370.779999999984</v>
      </c>
      <c r="AM90" t="s">
        <v>1298</v>
      </c>
      <c r="AN90" s="5">
        <v>0</v>
      </c>
      <c r="AO90" t="s">
        <v>1295</v>
      </c>
      <c r="AP90" s="83" t="s">
        <v>681</v>
      </c>
      <c r="AQ90" t="s">
        <v>1299</v>
      </c>
      <c r="AR90" t="s">
        <v>1296</v>
      </c>
      <c r="AS90" t="s">
        <v>1387</v>
      </c>
    </row>
    <row r="91" spans="35:45" ht="15" customHeight="1">
      <c r="AI91" t="s">
        <v>436</v>
      </c>
      <c r="AJ91" t="s">
        <v>1285</v>
      </c>
      <c r="AK91" s="12">
        <v>46401.199999999983</v>
      </c>
      <c r="AM91" t="s">
        <v>1298</v>
      </c>
      <c r="AN91" s="5">
        <v>0</v>
      </c>
      <c r="AO91" t="s">
        <v>1295</v>
      </c>
      <c r="AP91" s="83" t="s">
        <v>681</v>
      </c>
      <c r="AQ91" t="s">
        <v>1299</v>
      </c>
      <c r="AR91" t="s">
        <v>1296</v>
      </c>
      <c r="AS91" t="s">
        <v>1388</v>
      </c>
    </row>
    <row r="92" spans="35:45" ht="15" customHeight="1">
      <c r="AI92" t="s">
        <v>436</v>
      </c>
      <c r="AJ92" t="s">
        <v>1285</v>
      </c>
      <c r="AK92" s="12">
        <v>46431.619999999981</v>
      </c>
      <c r="AM92" t="s">
        <v>1298</v>
      </c>
      <c r="AN92" s="5">
        <v>0</v>
      </c>
      <c r="AO92" t="s">
        <v>1295</v>
      </c>
      <c r="AP92" s="83" t="s">
        <v>681</v>
      </c>
      <c r="AQ92" t="s">
        <v>1299</v>
      </c>
      <c r="AR92" t="s">
        <v>1296</v>
      </c>
      <c r="AS92" t="s">
        <v>1389</v>
      </c>
    </row>
    <row r="93" spans="35:45">
      <c r="AI93" t="s">
        <v>436</v>
      </c>
      <c r="AJ93" t="s">
        <v>1285</v>
      </c>
      <c r="AK93" s="12">
        <v>46462.039999999979</v>
      </c>
      <c r="AM93" t="s">
        <v>1298</v>
      </c>
      <c r="AN93" s="5">
        <v>0</v>
      </c>
      <c r="AO93" t="s">
        <v>1295</v>
      </c>
      <c r="AP93" s="83" t="s">
        <v>681</v>
      </c>
      <c r="AQ93" t="s">
        <v>1299</v>
      </c>
      <c r="AR93" t="s">
        <v>1296</v>
      </c>
      <c r="AS93" t="s">
        <v>1390</v>
      </c>
    </row>
    <row r="94" spans="35:45">
      <c r="AI94" t="s">
        <v>436</v>
      </c>
      <c r="AJ94" t="s">
        <v>1285</v>
      </c>
      <c r="AK94" s="12">
        <v>46492.459999999977</v>
      </c>
      <c r="AM94" t="s">
        <v>1298</v>
      </c>
      <c r="AN94" s="5">
        <v>0</v>
      </c>
      <c r="AO94" t="s">
        <v>1295</v>
      </c>
      <c r="AP94" s="83" t="s">
        <v>681</v>
      </c>
      <c r="AQ94" t="s">
        <v>1299</v>
      </c>
      <c r="AR94" t="s">
        <v>1296</v>
      </c>
      <c r="AS94" t="s">
        <v>1391</v>
      </c>
    </row>
    <row r="95" spans="35:45">
      <c r="AI95" t="s">
        <v>436</v>
      </c>
      <c r="AJ95" t="s">
        <v>1285</v>
      </c>
      <c r="AK95" s="12">
        <v>46522.879999999976</v>
      </c>
      <c r="AM95" t="s">
        <v>1298</v>
      </c>
      <c r="AN95" s="5">
        <v>0</v>
      </c>
      <c r="AO95" t="s">
        <v>1295</v>
      </c>
      <c r="AP95" s="83" t="s">
        <v>681</v>
      </c>
      <c r="AQ95" t="s">
        <v>1299</v>
      </c>
      <c r="AR95" t="s">
        <v>1296</v>
      </c>
      <c r="AS95" t="s">
        <v>1392</v>
      </c>
    </row>
    <row r="96" spans="35:45">
      <c r="AI96" t="s">
        <v>436</v>
      </c>
      <c r="AJ96" t="s">
        <v>1285</v>
      </c>
      <c r="AK96" s="12">
        <v>46553.299999999974</v>
      </c>
      <c r="AM96" t="s">
        <v>1298</v>
      </c>
      <c r="AN96" s="5">
        <v>0</v>
      </c>
      <c r="AO96" t="s">
        <v>1295</v>
      </c>
      <c r="AP96" s="83" t="s">
        <v>681</v>
      </c>
      <c r="AQ96" t="s">
        <v>1299</v>
      </c>
      <c r="AR96" t="s">
        <v>1296</v>
      </c>
      <c r="AS96" t="s">
        <v>1393</v>
      </c>
    </row>
    <row r="97" spans="35:45">
      <c r="AI97" t="s">
        <v>436</v>
      </c>
      <c r="AJ97" t="s">
        <v>1285</v>
      </c>
      <c r="AK97" s="12">
        <v>46583.719999999972</v>
      </c>
      <c r="AM97" t="s">
        <v>1298</v>
      </c>
      <c r="AN97" s="5">
        <v>0</v>
      </c>
      <c r="AO97" t="s">
        <v>1295</v>
      </c>
      <c r="AP97" s="83" t="s">
        <v>681</v>
      </c>
      <c r="AQ97" t="s">
        <v>1299</v>
      </c>
      <c r="AR97" t="s">
        <v>1296</v>
      </c>
      <c r="AS97" t="s">
        <v>1394</v>
      </c>
    </row>
    <row r="98" spans="35:45">
      <c r="AI98" t="s">
        <v>436</v>
      </c>
      <c r="AJ98" t="s">
        <v>1285</v>
      </c>
      <c r="AK98" s="12">
        <v>45823</v>
      </c>
      <c r="AM98" t="s">
        <v>1298</v>
      </c>
      <c r="AN98" s="5">
        <v>0</v>
      </c>
      <c r="AO98" t="s">
        <v>1295</v>
      </c>
      <c r="AP98" s="83" t="s">
        <v>681</v>
      </c>
      <c r="AQ98" t="s">
        <v>1299</v>
      </c>
      <c r="AR98" t="s">
        <v>1296</v>
      </c>
      <c r="AS98" t="s">
        <v>1395</v>
      </c>
    </row>
    <row r="99" spans="35:45">
      <c r="AI99" t="s">
        <v>436</v>
      </c>
      <c r="AJ99" t="s">
        <v>1285</v>
      </c>
      <c r="AK99" s="12">
        <v>45853.42</v>
      </c>
      <c r="AM99" t="s">
        <v>1298</v>
      </c>
      <c r="AN99" s="5">
        <v>0</v>
      </c>
      <c r="AO99" t="s">
        <v>1295</v>
      </c>
      <c r="AP99" s="83" t="s">
        <v>681</v>
      </c>
      <c r="AQ99" t="s">
        <v>1299</v>
      </c>
      <c r="AR99" t="s">
        <v>1296</v>
      </c>
      <c r="AS99" t="s">
        <v>1396</v>
      </c>
    </row>
    <row r="100" spans="35:45">
      <c r="AI100" t="s">
        <v>436</v>
      </c>
      <c r="AJ100" t="s">
        <v>1285</v>
      </c>
      <c r="AK100" s="12">
        <v>45883.839999999997</v>
      </c>
      <c r="AM100" t="s">
        <v>1298</v>
      </c>
      <c r="AN100" s="5">
        <v>0</v>
      </c>
      <c r="AO100" t="s">
        <v>1295</v>
      </c>
      <c r="AP100" s="83" t="s">
        <v>681</v>
      </c>
      <c r="AQ100" t="s">
        <v>1299</v>
      </c>
      <c r="AR100" t="s">
        <v>1296</v>
      </c>
      <c r="AS100" t="s">
        <v>1397</v>
      </c>
    </row>
    <row r="101" spans="35:45">
      <c r="AI101" t="s">
        <v>436</v>
      </c>
      <c r="AJ101" t="s">
        <v>1285</v>
      </c>
      <c r="AK101" s="12">
        <v>45914.259999999995</v>
      </c>
      <c r="AM101" t="s">
        <v>1298</v>
      </c>
      <c r="AN101" s="5">
        <v>0</v>
      </c>
      <c r="AO101" t="s">
        <v>1295</v>
      </c>
      <c r="AP101" s="83" t="s">
        <v>681</v>
      </c>
      <c r="AQ101" t="s">
        <v>1299</v>
      </c>
      <c r="AR101" t="s">
        <v>1296</v>
      </c>
      <c r="AS101" t="s">
        <v>1398</v>
      </c>
    </row>
    <row r="102" spans="35:45">
      <c r="AI102" t="s">
        <v>436</v>
      </c>
      <c r="AJ102" t="s">
        <v>1285</v>
      </c>
      <c r="AK102" s="12">
        <v>45944.679999999993</v>
      </c>
      <c r="AM102" t="s">
        <v>1298</v>
      </c>
      <c r="AN102" s="5">
        <v>0</v>
      </c>
      <c r="AO102" t="s">
        <v>1295</v>
      </c>
      <c r="AP102" s="83" t="s">
        <v>681</v>
      </c>
      <c r="AQ102" t="s">
        <v>1299</v>
      </c>
      <c r="AR102" t="s">
        <v>1296</v>
      </c>
      <c r="AS102" t="s">
        <v>1399</v>
      </c>
    </row>
    <row r="103" spans="35:45">
      <c r="AI103" t="s">
        <v>436</v>
      </c>
      <c r="AJ103" t="s">
        <v>1285</v>
      </c>
      <c r="AK103" s="12">
        <v>45975.099999999991</v>
      </c>
      <c r="AM103" t="s">
        <v>1298</v>
      </c>
      <c r="AN103" s="5">
        <v>0</v>
      </c>
      <c r="AO103" t="s">
        <v>1295</v>
      </c>
      <c r="AP103" s="83" t="s">
        <v>681</v>
      </c>
      <c r="AQ103" t="s">
        <v>1299</v>
      </c>
      <c r="AR103" t="s">
        <v>1296</v>
      </c>
      <c r="AS103" t="s">
        <v>1400</v>
      </c>
    </row>
    <row r="104" spans="35:45">
      <c r="AI104" t="s">
        <v>436</v>
      </c>
      <c r="AJ104" t="s">
        <v>1285</v>
      </c>
      <c r="AK104" s="12">
        <v>46005.51999999999</v>
      </c>
      <c r="AM104" t="s">
        <v>1298</v>
      </c>
      <c r="AN104" s="5">
        <v>0</v>
      </c>
      <c r="AO104" t="s">
        <v>1295</v>
      </c>
      <c r="AP104" s="83" t="s">
        <v>681</v>
      </c>
      <c r="AQ104" t="s">
        <v>1299</v>
      </c>
      <c r="AR104" t="s">
        <v>1296</v>
      </c>
      <c r="AS104" t="s">
        <v>1401</v>
      </c>
    </row>
    <row r="105" spans="35:45">
      <c r="AI105" t="s">
        <v>436</v>
      </c>
      <c r="AJ105" t="s">
        <v>1285</v>
      </c>
      <c r="AK105" s="12">
        <v>46035.939999999988</v>
      </c>
      <c r="AM105" t="s">
        <v>1298</v>
      </c>
      <c r="AN105" s="5">
        <v>0</v>
      </c>
      <c r="AO105" t="s">
        <v>1295</v>
      </c>
      <c r="AP105" s="83" t="s">
        <v>681</v>
      </c>
      <c r="AQ105" t="s">
        <v>1299</v>
      </c>
      <c r="AR105" t="s">
        <v>1296</v>
      </c>
      <c r="AS105" t="s">
        <v>1402</v>
      </c>
    </row>
    <row r="106" spans="35:45">
      <c r="AI106" t="s">
        <v>436</v>
      </c>
      <c r="AJ106" t="s">
        <v>1285</v>
      </c>
      <c r="AK106" s="12">
        <v>46066.359999999986</v>
      </c>
      <c r="AM106" t="s">
        <v>1298</v>
      </c>
      <c r="AN106" s="5">
        <v>0</v>
      </c>
      <c r="AO106" t="s">
        <v>1295</v>
      </c>
      <c r="AP106" s="83" t="s">
        <v>681</v>
      </c>
      <c r="AQ106" t="s">
        <v>1299</v>
      </c>
      <c r="AR106" t="s">
        <v>1296</v>
      </c>
      <c r="AS106" t="s">
        <v>1403</v>
      </c>
    </row>
    <row r="107" spans="35:45">
      <c r="AI107" t="s">
        <v>436</v>
      </c>
      <c r="AJ107" t="s">
        <v>1285</v>
      </c>
      <c r="AK107" s="12">
        <v>46096.779999999984</v>
      </c>
      <c r="AM107" t="s">
        <v>1298</v>
      </c>
      <c r="AN107" s="5">
        <v>0</v>
      </c>
      <c r="AO107" t="s">
        <v>1295</v>
      </c>
      <c r="AP107" s="83" t="s">
        <v>681</v>
      </c>
      <c r="AQ107" t="s">
        <v>1299</v>
      </c>
      <c r="AR107" t="s">
        <v>1296</v>
      </c>
      <c r="AS107" t="s">
        <v>1404</v>
      </c>
    </row>
    <row r="108" spans="35:45">
      <c r="AI108" t="s">
        <v>436</v>
      </c>
      <c r="AJ108" t="s">
        <v>1285</v>
      </c>
      <c r="AK108" s="12">
        <v>46127.199999999983</v>
      </c>
      <c r="AM108" t="s">
        <v>1298</v>
      </c>
      <c r="AN108" s="5">
        <v>0</v>
      </c>
      <c r="AO108" t="s">
        <v>1295</v>
      </c>
      <c r="AP108" s="83" t="s">
        <v>681</v>
      </c>
      <c r="AQ108" t="s">
        <v>1299</v>
      </c>
      <c r="AR108" t="s">
        <v>1296</v>
      </c>
      <c r="AS108" t="s">
        <v>1405</v>
      </c>
    </row>
    <row r="109" spans="35:45">
      <c r="AI109" t="s">
        <v>436</v>
      </c>
      <c r="AJ109" t="s">
        <v>1285</v>
      </c>
      <c r="AK109" s="12">
        <v>46157.619999999981</v>
      </c>
      <c r="AM109" t="s">
        <v>1298</v>
      </c>
      <c r="AN109" s="5">
        <v>0</v>
      </c>
      <c r="AO109" t="s">
        <v>1295</v>
      </c>
      <c r="AP109" s="83" t="s">
        <v>681</v>
      </c>
      <c r="AQ109" t="s">
        <v>1299</v>
      </c>
      <c r="AR109" t="s">
        <v>1296</v>
      </c>
      <c r="AS109" t="s">
        <v>1406</v>
      </c>
    </row>
    <row r="110" spans="35:45">
      <c r="AI110" t="s">
        <v>436</v>
      </c>
      <c r="AJ110" t="s">
        <v>1285</v>
      </c>
      <c r="AK110" s="12">
        <v>46188.039999999979</v>
      </c>
      <c r="AM110" t="s">
        <v>1298</v>
      </c>
      <c r="AN110" s="5">
        <v>0</v>
      </c>
      <c r="AO110" t="s">
        <v>1295</v>
      </c>
      <c r="AP110" s="83" t="s">
        <v>681</v>
      </c>
      <c r="AQ110" t="s">
        <v>1299</v>
      </c>
      <c r="AR110" t="s">
        <v>1296</v>
      </c>
      <c r="AS110" t="s">
        <v>1407</v>
      </c>
    </row>
    <row r="111" spans="35:45">
      <c r="AI111" t="s">
        <v>436</v>
      </c>
      <c r="AJ111" t="s">
        <v>1285</v>
      </c>
      <c r="AK111" s="12">
        <v>46218.459999999977</v>
      </c>
      <c r="AM111" t="s">
        <v>1298</v>
      </c>
      <c r="AN111" s="5">
        <v>0</v>
      </c>
      <c r="AO111" t="s">
        <v>1295</v>
      </c>
      <c r="AP111" s="83" t="s">
        <v>681</v>
      </c>
      <c r="AQ111" t="s">
        <v>1299</v>
      </c>
      <c r="AR111" t="s">
        <v>1296</v>
      </c>
      <c r="AS111" t="s">
        <v>1408</v>
      </c>
    </row>
    <row r="112" spans="35:45">
      <c r="AI112" t="s">
        <v>436</v>
      </c>
      <c r="AJ112" t="s">
        <v>1285</v>
      </c>
      <c r="AK112" s="12">
        <v>46248.879999999976</v>
      </c>
      <c r="AM112" t="s">
        <v>1298</v>
      </c>
      <c r="AN112" s="5">
        <v>0</v>
      </c>
      <c r="AO112" t="s">
        <v>1295</v>
      </c>
      <c r="AP112" s="83" t="s">
        <v>681</v>
      </c>
      <c r="AQ112" t="s">
        <v>1299</v>
      </c>
      <c r="AR112" t="s">
        <v>1296</v>
      </c>
      <c r="AS112" t="s">
        <v>1409</v>
      </c>
    </row>
    <row r="113" spans="35:45">
      <c r="AI113" t="s">
        <v>436</v>
      </c>
      <c r="AJ113" t="s">
        <v>1285</v>
      </c>
      <c r="AK113" s="12">
        <v>46279.299999999974</v>
      </c>
      <c r="AM113" t="s">
        <v>1298</v>
      </c>
      <c r="AN113" s="5">
        <v>0</v>
      </c>
      <c r="AO113" t="s">
        <v>1295</v>
      </c>
      <c r="AP113" s="83" t="s">
        <v>681</v>
      </c>
      <c r="AQ113" t="s">
        <v>1299</v>
      </c>
      <c r="AR113" t="s">
        <v>1296</v>
      </c>
      <c r="AS113" t="s">
        <v>1410</v>
      </c>
    </row>
    <row r="114" spans="35:45">
      <c r="AI114" t="s">
        <v>436</v>
      </c>
      <c r="AJ114" t="s">
        <v>1285</v>
      </c>
      <c r="AK114" s="12">
        <v>46309.719999999972</v>
      </c>
      <c r="AM114" t="s">
        <v>1298</v>
      </c>
      <c r="AN114" s="5">
        <v>0</v>
      </c>
      <c r="AO114" t="s">
        <v>1295</v>
      </c>
      <c r="AP114" s="83" t="s">
        <v>681</v>
      </c>
      <c r="AQ114" t="s">
        <v>1299</v>
      </c>
      <c r="AR114" t="s">
        <v>1296</v>
      </c>
      <c r="AS114" t="s">
        <v>1411</v>
      </c>
    </row>
    <row r="115" spans="35:45">
      <c r="AI115" t="s">
        <v>436</v>
      </c>
      <c r="AJ115" t="s">
        <v>1285</v>
      </c>
      <c r="AK115" s="12">
        <v>46340.13999999997</v>
      </c>
      <c r="AM115" t="s">
        <v>1298</v>
      </c>
      <c r="AN115" s="5">
        <v>0</v>
      </c>
      <c r="AO115" t="s">
        <v>1295</v>
      </c>
      <c r="AP115" s="83" t="s">
        <v>681</v>
      </c>
      <c r="AQ115" t="s">
        <v>1299</v>
      </c>
      <c r="AR115" t="s">
        <v>1296</v>
      </c>
      <c r="AS115" t="s">
        <v>1412</v>
      </c>
    </row>
    <row r="116" spans="35:45">
      <c r="AI116" t="s">
        <v>436</v>
      </c>
      <c r="AJ116" t="s">
        <v>1285</v>
      </c>
      <c r="AK116" s="12">
        <v>46370.559999999969</v>
      </c>
      <c r="AM116" t="s">
        <v>1298</v>
      </c>
      <c r="AN116" s="5">
        <v>0</v>
      </c>
      <c r="AO116" t="s">
        <v>1295</v>
      </c>
      <c r="AP116" s="83" t="s">
        <v>681</v>
      </c>
      <c r="AQ116" t="s">
        <v>1299</v>
      </c>
      <c r="AR116" t="s">
        <v>1296</v>
      </c>
      <c r="AS116" t="s">
        <v>1413</v>
      </c>
    </row>
    <row r="117" spans="35:45">
      <c r="AI117" t="s">
        <v>436</v>
      </c>
      <c r="AJ117" t="s">
        <v>218</v>
      </c>
      <c r="AK117" s="12">
        <v>46035</v>
      </c>
      <c r="AM117" t="s">
        <v>1298</v>
      </c>
      <c r="AN117" s="5">
        <v>0</v>
      </c>
      <c r="AO117" t="s">
        <v>1295</v>
      </c>
      <c r="AP117" s="83" t="s">
        <v>681</v>
      </c>
      <c r="AQ117" t="s">
        <v>1299</v>
      </c>
      <c r="AR117" t="s">
        <v>1296</v>
      </c>
      <c r="AS117" t="s">
        <v>1414</v>
      </c>
    </row>
    <row r="118" spans="35:45">
      <c r="AI118" t="s">
        <v>436</v>
      </c>
      <c r="AJ118" t="s">
        <v>218</v>
      </c>
      <c r="AK118" s="12">
        <v>46065.42</v>
      </c>
      <c r="AM118" t="s">
        <v>1298</v>
      </c>
      <c r="AN118" s="5">
        <v>0</v>
      </c>
      <c r="AO118" t="s">
        <v>1295</v>
      </c>
      <c r="AP118" s="83" t="s">
        <v>681</v>
      </c>
      <c r="AQ118" t="s">
        <v>1299</v>
      </c>
      <c r="AR118" t="s">
        <v>1296</v>
      </c>
      <c r="AS118" t="s">
        <v>1415</v>
      </c>
    </row>
    <row r="119" spans="35:45">
      <c r="AI119" t="s">
        <v>436</v>
      </c>
      <c r="AJ119" t="s">
        <v>218</v>
      </c>
      <c r="AK119" s="12">
        <v>46095.839999999997</v>
      </c>
      <c r="AM119" t="s">
        <v>1298</v>
      </c>
      <c r="AN119" s="5">
        <v>0</v>
      </c>
      <c r="AO119" t="s">
        <v>1295</v>
      </c>
      <c r="AP119" s="83" t="s">
        <v>681</v>
      </c>
      <c r="AQ119" t="s">
        <v>1299</v>
      </c>
      <c r="AR119" t="s">
        <v>1296</v>
      </c>
      <c r="AS119" t="s">
        <v>1416</v>
      </c>
    </row>
    <row r="120" spans="35:45">
      <c r="AI120" t="s">
        <v>436</v>
      </c>
      <c r="AJ120" t="s">
        <v>218</v>
      </c>
      <c r="AK120" s="12">
        <v>46126.259999999995</v>
      </c>
      <c r="AM120" t="s">
        <v>1298</v>
      </c>
      <c r="AN120" s="5">
        <v>0</v>
      </c>
      <c r="AO120" t="s">
        <v>1295</v>
      </c>
      <c r="AP120" s="83" t="s">
        <v>681</v>
      </c>
      <c r="AQ120" t="s">
        <v>1299</v>
      </c>
      <c r="AR120" t="s">
        <v>1296</v>
      </c>
      <c r="AS120" t="s">
        <v>1417</v>
      </c>
    </row>
    <row r="121" spans="35:45">
      <c r="AI121" t="s">
        <v>436</v>
      </c>
      <c r="AJ121" t="s">
        <v>218</v>
      </c>
      <c r="AK121" s="12">
        <v>46156.679999999993</v>
      </c>
      <c r="AM121" t="s">
        <v>1298</v>
      </c>
      <c r="AN121" s="5">
        <v>0</v>
      </c>
      <c r="AO121" t="s">
        <v>1295</v>
      </c>
      <c r="AP121" s="83" t="s">
        <v>681</v>
      </c>
      <c r="AQ121" t="s">
        <v>1299</v>
      </c>
      <c r="AR121" t="s">
        <v>1296</v>
      </c>
      <c r="AS121" t="s">
        <v>1418</v>
      </c>
    </row>
    <row r="122" spans="35:45">
      <c r="AI122" t="s">
        <v>436</v>
      </c>
      <c r="AJ122" t="s">
        <v>218</v>
      </c>
      <c r="AK122" s="12">
        <v>46187.099999999991</v>
      </c>
      <c r="AM122" t="s">
        <v>1298</v>
      </c>
      <c r="AN122" s="5">
        <v>0</v>
      </c>
      <c r="AO122" t="s">
        <v>1295</v>
      </c>
      <c r="AP122" s="83" t="s">
        <v>681</v>
      </c>
      <c r="AQ122" t="s">
        <v>1299</v>
      </c>
      <c r="AR122" t="s">
        <v>1296</v>
      </c>
      <c r="AS122" t="s">
        <v>1419</v>
      </c>
    </row>
    <row r="123" spans="35:45">
      <c r="AI123" t="s">
        <v>436</v>
      </c>
      <c r="AJ123" t="s">
        <v>218</v>
      </c>
      <c r="AK123" s="12">
        <v>46217.51999999999</v>
      </c>
      <c r="AM123" t="s">
        <v>1298</v>
      </c>
      <c r="AN123" s="5">
        <v>0</v>
      </c>
      <c r="AO123" t="s">
        <v>1295</v>
      </c>
      <c r="AP123" s="83" t="s">
        <v>681</v>
      </c>
      <c r="AQ123" t="s">
        <v>1299</v>
      </c>
      <c r="AR123" t="s">
        <v>1296</v>
      </c>
      <c r="AS123" t="s">
        <v>1420</v>
      </c>
    </row>
    <row r="124" spans="35:45">
      <c r="AI124" t="s">
        <v>436</v>
      </c>
      <c r="AJ124" t="s">
        <v>218</v>
      </c>
      <c r="AK124" s="12">
        <v>46247.939999999988</v>
      </c>
      <c r="AM124" t="s">
        <v>1298</v>
      </c>
      <c r="AN124" s="5">
        <v>0</v>
      </c>
      <c r="AO124" t="s">
        <v>1295</v>
      </c>
      <c r="AP124" s="83" t="s">
        <v>681</v>
      </c>
      <c r="AQ124" t="s">
        <v>1299</v>
      </c>
      <c r="AR124" t="s">
        <v>1296</v>
      </c>
      <c r="AS124" t="s">
        <v>1421</v>
      </c>
    </row>
    <row r="125" spans="35:45">
      <c r="AI125" t="s">
        <v>436</v>
      </c>
      <c r="AJ125" t="s">
        <v>218</v>
      </c>
      <c r="AK125" s="12">
        <v>46278.359999999986</v>
      </c>
      <c r="AM125" t="s">
        <v>1298</v>
      </c>
      <c r="AN125" s="5">
        <v>0</v>
      </c>
      <c r="AO125" t="s">
        <v>1295</v>
      </c>
      <c r="AP125" s="83" t="s">
        <v>681</v>
      </c>
      <c r="AQ125" t="s">
        <v>1299</v>
      </c>
      <c r="AR125" t="s">
        <v>1296</v>
      </c>
      <c r="AS125" t="s">
        <v>1422</v>
      </c>
    </row>
    <row r="126" spans="35:45">
      <c r="AI126" t="s">
        <v>436</v>
      </c>
      <c r="AJ126" t="s">
        <v>218</v>
      </c>
      <c r="AK126" s="12">
        <v>46308.779999999984</v>
      </c>
      <c r="AM126" t="s">
        <v>1298</v>
      </c>
      <c r="AN126" s="5">
        <v>0</v>
      </c>
      <c r="AO126" t="s">
        <v>1295</v>
      </c>
      <c r="AP126" s="83" t="s">
        <v>681</v>
      </c>
      <c r="AQ126" t="s">
        <v>1299</v>
      </c>
      <c r="AR126" t="s">
        <v>1296</v>
      </c>
      <c r="AS126" t="s">
        <v>1423</v>
      </c>
    </row>
    <row r="127" spans="35:45">
      <c r="AI127" t="s">
        <v>436</v>
      </c>
      <c r="AJ127" t="s">
        <v>218</v>
      </c>
      <c r="AK127" s="12">
        <v>46339.199999999983</v>
      </c>
      <c r="AM127" t="s">
        <v>1298</v>
      </c>
      <c r="AN127" s="5">
        <v>0</v>
      </c>
      <c r="AO127" t="s">
        <v>1295</v>
      </c>
      <c r="AP127" s="83" t="s">
        <v>681</v>
      </c>
      <c r="AQ127" t="s">
        <v>1299</v>
      </c>
      <c r="AR127" t="s">
        <v>1296</v>
      </c>
      <c r="AS127" t="s">
        <v>1424</v>
      </c>
    </row>
    <row r="128" spans="35:45">
      <c r="AI128" t="s">
        <v>436</v>
      </c>
      <c r="AJ128" t="s">
        <v>218</v>
      </c>
      <c r="AK128" s="12">
        <v>46369.619999999981</v>
      </c>
      <c r="AM128" t="s">
        <v>1298</v>
      </c>
      <c r="AN128" s="5">
        <v>0</v>
      </c>
      <c r="AO128" t="s">
        <v>1295</v>
      </c>
      <c r="AP128" s="83" t="s">
        <v>681</v>
      </c>
      <c r="AQ128" t="s">
        <v>1299</v>
      </c>
      <c r="AR128" t="s">
        <v>1296</v>
      </c>
      <c r="AS128" t="s">
        <v>1425</v>
      </c>
    </row>
    <row r="129" spans="35:45">
      <c r="AI129" t="s">
        <v>436</v>
      </c>
      <c r="AJ129" t="s">
        <v>218</v>
      </c>
      <c r="AK129" s="12">
        <v>46400.039999999979</v>
      </c>
      <c r="AM129" t="s">
        <v>1298</v>
      </c>
      <c r="AN129" s="5">
        <v>0</v>
      </c>
      <c r="AO129" t="s">
        <v>1295</v>
      </c>
      <c r="AP129" s="83" t="s">
        <v>681</v>
      </c>
      <c r="AQ129" t="s">
        <v>1299</v>
      </c>
      <c r="AR129" t="s">
        <v>1296</v>
      </c>
      <c r="AS129" t="s">
        <v>1426</v>
      </c>
    </row>
    <row r="130" spans="35:45">
      <c r="AI130" t="s">
        <v>436</v>
      </c>
      <c r="AJ130" t="s">
        <v>218</v>
      </c>
      <c r="AK130" s="12">
        <v>46430.459999999977</v>
      </c>
      <c r="AM130" t="s">
        <v>1298</v>
      </c>
      <c r="AN130" s="5">
        <v>0</v>
      </c>
      <c r="AO130" t="s">
        <v>1295</v>
      </c>
      <c r="AP130" s="83" t="s">
        <v>681</v>
      </c>
      <c r="AQ130" t="s">
        <v>1299</v>
      </c>
      <c r="AR130" t="s">
        <v>1296</v>
      </c>
      <c r="AS130" t="s">
        <v>1427</v>
      </c>
    </row>
    <row r="131" spans="35:45">
      <c r="AI131" t="s">
        <v>436</v>
      </c>
      <c r="AJ131" t="s">
        <v>218</v>
      </c>
      <c r="AK131" s="12">
        <v>46460.879999999976</v>
      </c>
      <c r="AM131" t="s">
        <v>1298</v>
      </c>
      <c r="AN131" s="5">
        <v>0</v>
      </c>
      <c r="AO131" t="s">
        <v>1295</v>
      </c>
      <c r="AP131" s="83" t="s">
        <v>681</v>
      </c>
      <c r="AQ131" t="s">
        <v>1299</v>
      </c>
      <c r="AR131" t="s">
        <v>1296</v>
      </c>
      <c r="AS131" t="s">
        <v>1428</v>
      </c>
    </row>
    <row r="132" spans="35:45">
      <c r="AI132" t="s">
        <v>436</v>
      </c>
      <c r="AJ132" t="s">
        <v>218</v>
      </c>
      <c r="AK132" s="12">
        <v>46491.299999999974</v>
      </c>
      <c r="AM132" t="s">
        <v>1298</v>
      </c>
      <c r="AN132" s="5">
        <v>0</v>
      </c>
      <c r="AO132" t="s">
        <v>1295</v>
      </c>
      <c r="AP132" s="83" t="s">
        <v>681</v>
      </c>
      <c r="AQ132" t="s">
        <v>1299</v>
      </c>
      <c r="AR132" t="s">
        <v>1296</v>
      </c>
      <c r="AS132" t="s">
        <v>1429</v>
      </c>
    </row>
    <row r="133" spans="35:45">
      <c r="AI133" t="s">
        <v>436</v>
      </c>
      <c r="AJ133" t="s">
        <v>218</v>
      </c>
      <c r="AK133" s="12">
        <v>46521.719999999972</v>
      </c>
      <c r="AM133" t="s">
        <v>1298</v>
      </c>
      <c r="AN133" s="5">
        <v>0</v>
      </c>
      <c r="AO133" t="s">
        <v>1295</v>
      </c>
      <c r="AP133" s="83" t="s">
        <v>681</v>
      </c>
      <c r="AQ133" t="s">
        <v>1299</v>
      </c>
      <c r="AR133" t="s">
        <v>1296</v>
      </c>
      <c r="AS133" t="s">
        <v>1430</v>
      </c>
    </row>
    <row r="134" spans="35:45">
      <c r="AI134" t="s">
        <v>436</v>
      </c>
      <c r="AJ134" t="s">
        <v>218</v>
      </c>
      <c r="AK134" s="12">
        <v>46552.13999999997</v>
      </c>
      <c r="AM134" t="s">
        <v>1298</v>
      </c>
      <c r="AN134" s="5">
        <v>0</v>
      </c>
      <c r="AO134" t="s">
        <v>1295</v>
      </c>
      <c r="AP134" s="83" t="s">
        <v>681</v>
      </c>
      <c r="AQ134" t="s">
        <v>1299</v>
      </c>
      <c r="AR134" t="s">
        <v>1296</v>
      </c>
      <c r="AS134" t="s">
        <v>1431</v>
      </c>
    </row>
    <row r="135" spans="35:45">
      <c r="AI135" t="s">
        <v>436</v>
      </c>
      <c r="AJ135" t="s">
        <v>218</v>
      </c>
      <c r="AK135" s="12">
        <v>46582.559999999969</v>
      </c>
      <c r="AM135" t="s">
        <v>1298</v>
      </c>
      <c r="AN135" s="5">
        <v>0</v>
      </c>
      <c r="AO135" t="s">
        <v>1295</v>
      </c>
      <c r="AP135" s="83" t="s">
        <v>681</v>
      </c>
      <c r="AQ135" t="s">
        <v>1299</v>
      </c>
      <c r="AR135" t="s">
        <v>1296</v>
      </c>
      <c r="AS135" t="s">
        <v>1432</v>
      </c>
    </row>
    <row r="136" spans="35:45">
      <c r="AI136" t="s">
        <v>436</v>
      </c>
      <c r="AJ136" t="s">
        <v>503</v>
      </c>
      <c r="AK136" s="12">
        <v>45823</v>
      </c>
      <c r="AM136" t="s">
        <v>1298</v>
      </c>
      <c r="AN136" s="5"/>
      <c r="AO136" t="s">
        <v>1295</v>
      </c>
      <c r="AP136" s="83" t="s">
        <v>681</v>
      </c>
      <c r="AQ136" t="s">
        <v>1299</v>
      </c>
      <c r="AR136" t="s">
        <v>1296</v>
      </c>
      <c r="AS136" t="s">
        <v>1433</v>
      </c>
    </row>
    <row r="137" spans="35:45">
      <c r="AI137" t="s">
        <v>436</v>
      </c>
      <c r="AJ137" t="s">
        <v>503</v>
      </c>
      <c r="AK137" s="12">
        <v>45536</v>
      </c>
      <c r="AM137" t="s">
        <v>1298</v>
      </c>
      <c r="AN137" s="5"/>
      <c r="AO137" t="s">
        <v>1295</v>
      </c>
      <c r="AP137" s="83" t="s">
        <v>681</v>
      </c>
      <c r="AQ137" t="s">
        <v>1299</v>
      </c>
      <c r="AR137" t="s">
        <v>1296</v>
      </c>
      <c r="AS137" t="s">
        <v>1434</v>
      </c>
    </row>
    <row r="138" spans="35:45">
      <c r="AI138" t="s">
        <v>436</v>
      </c>
      <c r="AJ138" t="s">
        <v>503</v>
      </c>
      <c r="AK138" s="12">
        <v>45901</v>
      </c>
      <c r="AM138" t="s">
        <v>1298</v>
      </c>
      <c r="AN138" s="5">
        <v>0</v>
      </c>
      <c r="AO138" t="s">
        <v>1295</v>
      </c>
      <c r="AP138" s="83" t="s">
        <v>681</v>
      </c>
      <c r="AQ138" t="s">
        <v>1299</v>
      </c>
      <c r="AR138" t="s">
        <v>1296</v>
      </c>
      <c r="AS138" t="s">
        <v>1435</v>
      </c>
    </row>
    <row r="139" spans="35:45">
      <c r="AI139" t="s">
        <v>436</v>
      </c>
      <c r="AJ139" t="s">
        <v>503</v>
      </c>
      <c r="AK139" s="12">
        <v>46266</v>
      </c>
      <c r="AM139" t="s">
        <v>1298</v>
      </c>
      <c r="AN139" s="5">
        <v>0</v>
      </c>
      <c r="AO139" t="s">
        <v>1295</v>
      </c>
      <c r="AP139" s="83" t="s">
        <v>681</v>
      </c>
      <c r="AQ139" t="s">
        <v>1299</v>
      </c>
      <c r="AR139" t="s">
        <v>1296</v>
      </c>
      <c r="AS139" t="s">
        <v>1436</v>
      </c>
    </row>
    <row r="140" spans="35:45">
      <c r="AI140" t="s">
        <v>436</v>
      </c>
      <c r="AJ140" t="s">
        <v>503</v>
      </c>
      <c r="AK140" s="12">
        <v>46631</v>
      </c>
      <c r="AM140" t="s">
        <v>1298</v>
      </c>
      <c r="AN140" s="5">
        <v>0</v>
      </c>
      <c r="AO140" t="s">
        <v>1295</v>
      </c>
      <c r="AP140" s="83" t="s">
        <v>681</v>
      </c>
      <c r="AQ140" t="s">
        <v>1299</v>
      </c>
      <c r="AR140" t="s">
        <v>1296</v>
      </c>
      <c r="AS140" t="s">
        <v>1437</v>
      </c>
    </row>
    <row r="141" spans="35:45">
      <c r="AI141" t="s">
        <v>436</v>
      </c>
      <c r="AJ141" t="s">
        <v>503</v>
      </c>
      <c r="AK141" s="12">
        <v>46996</v>
      </c>
      <c r="AM141" t="s">
        <v>1298</v>
      </c>
      <c r="AN141" s="5">
        <v>0</v>
      </c>
      <c r="AO141" t="s">
        <v>1295</v>
      </c>
      <c r="AP141" s="83" t="s">
        <v>681</v>
      </c>
      <c r="AQ141" t="s">
        <v>1299</v>
      </c>
      <c r="AR141" t="s">
        <v>1296</v>
      </c>
      <c r="AS141" t="s">
        <v>1438</v>
      </c>
    </row>
    <row r="142" spans="35:45">
      <c r="AI142" t="s">
        <v>436</v>
      </c>
      <c r="AJ142" t="s">
        <v>503</v>
      </c>
      <c r="AK142" s="12">
        <v>47361</v>
      </c>
      <c r="AM142" t="s">
        <v>1298</v>
      </c>
      <c r="AN142" s="5">
        <v>0</v>
      </c>
      <c r="AO142" t="s">
        <v>1295</v>
      </c>
      <c r="AP142" s="83" t="s">
        <v>681</v>
      </c>
      <c r="AQ142" t="s">
        <v>1299</v>
      </c>
      <c r="AR142" t="s">
        <v>1296</v>
      </c>
      <c r="AS142" t="s">
        <v>1439</v>
      </c>
    </row>
    <row r="143" spans="35:45">
      <c r="AI143" t="s">
        <v>436</v>
      </c>
      <c r="AJ143" t="s">
        <v>503</v>
      </c>
      <c r="AK143" s="12">
        <v>47726</v>
      </c>
      <c r="AM143" t="s">
        <v>1298</v>
      </c>
      <c r="AN143" s="5">
        <v>0</v>
      </c>
      <c r="AO143" t="s">
        <v>1295</v>
      </c>
      <c r="AP143" s="83" t="s">
        <v>681</v>
      </c>
      <c r="AQ143" t="s">
        <v>1299</v>
      </c>
      <c r="AR143" t="s">
        <v>1296</v>
      </c>
      <c r="AS143" t="s">
        <v>1440</v>
      </c>
    </row>
    <row r="144" spans="35:45">
      <c r="AI144" t="s">
        <v>436</v>
      </c>
      <c r="AJ144" t="s">
        <v>503</v>
      </c>
      <c r="AK144" s="12">
        <v>48091</v>
      </c>
      <c r="AM144" t="s">
        <v>1298</v>
      </c>
      <c r="AN144" s="5">
        <v>0</v>
      </c>
      <c r="AO144" t="s">
        <v>1295</v>
      </c>
      <c r="AP144" s="83" t="s">
        <v>681</v>
      </c>
      <c r="AQ144" t="s">
        <v>1299</v>
      </c>
      <c r="AR144" t="s">
        <v>1296</v>
      </c>
      <c r="AS144" t="s">
        <v>1441</v>
      </c>
    </row>
    <row r="145" spans="35:45">
      <c r="AI145" t="s">
        <v>436</v>
      </c>
      <c r="AJ145" t="s">
        <v>503</v>
      </c>
      <c r="AK145" s="12">
        <v>48456</v>
      </c>
      <c r="AM145" t="s">
        <v>1298</v>
      </c>
      <c r="AN145" s="5">
        <v>0</v>
      </c>
      <c r="AO145" t="s">
        <v>1295</v>
      </c>
      <c r="AP145" s="83" t="s">
        <v>681</v>
      </c>
      <c r="AQ145" t="s">
        <v>1299</v>
      </c>
      <c r="AR145" t="s">
        <v>1296</v>
      </c>
      <c r="AS145" t="s">
        <v>1442</v>
      </c>
    </row>
    <row r="146" spans="35:45">
      <c r="AI146" t="s">
        <v>436</v>
      </c>
      <c r="AJ146" t="s">
        <v>503</v>
      </c>
      <c r="AK146" s="12">
        <v>48821</v>
      </c>
      <c r="AM146" t="s">
        <v>1298</v>
      </c>
      <c r="AN146" s="5">
        <v>0</v>
      </c>
      <c r="AO146" t="s">
        <v>1295</v>
      </c>
      <c r="AP146" s="83" t="s">
        <v>681</v>
      </c>
      <c r="AQ146" t="s">
        <v>1299</v>
      </c>
      <c r="AR146" t="s">
        <v>1296</v>
      </c>
      <c r="AS146" t="s">
        <v>1443</v>
      </c>
    </row>
    <row r="147" spans="35:45">
      <c r="AI147" t="s">
        <v>436</v>
      </c>
      <c r="AJ147" t="s">
        <v>503</v>
      </c>
      <c r="AK147" s="12">
        <v>49186</v>
      </c>
      <c r="AM147" t="s">
        <v>1298</v>
      </c>
      <c r="AN147" s="5">
        <v>0</v>
      </c>
      <c r="AO147" t="s">
        <v>1295</v>
      </c>
      <c r="AP147" s="83" t="s">
        <v>681</v>
      </c>
      <c r="AQ147" t="s">
        <v>1299</v>
      </c>
      <c r="AR147" t="s">
        <v>1296</v>
      </c>
      <c r="AS147" t="s">
        <v>1444</v>
      </c>
    </row>
    <row r="148" spans="35:45">
      <c r="AI148" t="s">
        <v>436</v>
      </c>
      <c r="AJ148" t="s">
        <v>503</v>
      </c>
      <c r="AK148" s="12">
        <v>49551</v>
      </c>
      <c r="AM148" t="s">
        <v>1298</v>
      </c>
      <c r="AN148" s="5">
        <v>0</v>
      </c>
      <c r="AO148" t="s">
        <v>1295</v>
      </c>
      <c r="AP148" s="83" t="s">
        <v>681</v>
      </c>
      <c r="AQ148" t="s">
        <v>1299</v>
      </c>
      <c r="AR148" t="s">
        <v>1296</v>
      </c>
      <c r="AS148" t="s">
        <v>1445</v>
      </c>
    </row>
    <row r="149" spans="35:45">
      <c r="AI149" t="s">
        <v>436</v>
      </c>
      <c r="AJ149" t="s">
        <v>503</v>
      </c>
      <c r="AK149" s="12">
        <v>49916</v>
      </c>
      <c r="AM149" t="s">
        <v>1298</v>
      </c>
      <c r="AN149" s="5">
        <v>0</v>
      </c>
      <c r="AO149" t="s">
        <v>1295</v>
      </c>
      <c r="AP149" s="83" t="s">
        <v>681</v>
      </c>
      <c r="AQ149" t="s">
        <v>1299</v>
      </c>
      <c r="AR149" t="s">
        <v>1296</v>
      </c>
      <c r="AS149" t="s">
        <v>1446</v>
      </c>
    </row>
    <row r="150" spans="35:45">
      <c r="AI150" t="s">
        <v>436</v>
      </c>
      <c r="AJ150" t="s">
        <v>503</v>
      </c>
      <c r="AK150" s="12">
        <v>50281</v>
      </c>
      <c r="AM150" t="s">
        <v>1298</v>
      </c>
      <c r="AN150" s="5">
        <v>0</v>
      </c>
      <c r="AO150" t="s">
        <v>1295</v>
      </c>
      <c r="AP150" s="83" t="s">
        <v>681</v>
      </c>
      <c r="AQ150" t="s">
        <v>1299</v>
      </c>
      <c r="AR150" t="s">
        <v>1296</v>
      </c>
      <c r="AS150" t="s">
        <v>1447</v>
      </c>
    </row>
    <row r="151" spans="35:45">
      <c r="AI151" t="s">
        <v>436</v>
      </c>
      <c r="AJ151" t="s">
        <v>503</v>
      </c>
      <c r="AK151" s="12">
        <v>50646</v>
      </c>
      <c r="AM151" t="s">
        <v>1298</v>
      </c>
      <c r="AN151" s="5">
        <v>0</v>
      </c>
      <c r="AO151" t="s">
        <v>1295</v>
      </c>
      <c r="AP151" s="83" t="s">
        <v>681</v>
      </c>
      <c r="AQ151" t="s">
        <v>1299</v>
      </c>
      <c r="AR151" t="s">
        <v>1296</v>
      </c>
      <c r="AS151" t="s">
        <v>1448</v>
      </c>
    </row>
    <row r="152" spans="35:45">
      <c r="AI152" t="s">
        <v>436</v>
      </c>
      <c r="AJ152" t="s">
        <v>503</v>
      </c>
      <c r="AK152" s="12">
        <v>51011</v>
      </c>
      <c r="AM152" t="s">
        <v>1298</v>
      </c>
      <c r="AN152" s="5">
        <v>0</v>
      </c>
      <c r="AO152" t="s">
        <v>1295</v>
      </c>
      <c r="AP152" s="83" t="s">
        <v>681</v>
      </c>
      <c r="AQ152" t="s">
        <v>1299</v>
      </c>
      <c r="AR152" t="s">
        <v>1296</v>
      </c>
      <c r="AS152" t="s">
        <v>1449</v>
      </c>
    </row>
    <row r="153" spans="35:45">
      <c r="AI153" t="s">
        <v>436</v>
      </c>
      <c r="AJ153" t="s">
        <v>503</v>
      </c>
      <c r="AK153" s="12">
        <v>51376</v>
      </c>
      <c r="AM153" t="s">
        <v>1298</v>
      </c>
      <c r="AN153" s="5">
        <v>0</v>
      </c>
      <c r="AO153" t="s">
        <v>1295</v>
      </c>
      <c r="AP153" s="83" t="s">
        <v>681</v>
      </c>
      <c r="AQ153" t="s">
        <v>1299</v>
      </c>
      <c r="AR153" t="s">
        <v>1296</v>
      </c>
      <c r="AS153" t="s">
        <v>1450</v>
      </c>
    </row>
    <row r="154" spans="35:45">
      <c r="AI154" t="s">
        <v>436</v>
      </c>
      <c r="AJ154" t="s">
        <v>503</v>
      </c>
      <c r="AK154" s="12">
        <v>51741</v>
      </c>
      <c r="AM154" t="s">
        <v>1298</v>
      </c>
      <c r="AN154" s="5">
        <v>0</v>
      </c>
      <c r="AO154" t="s">
        <v>1295</v>
      </c>
      <c r="AP154" s="83" t="s">
        <v>681</v>
      </c>
      <c r="AQ154" t="s">
        <v>1299</v>
      </c>
      <c r="AR154" t="s">
        <v>1296</v>
      </c>
      <c r="AS154" t="s">
        <v>1451</v>
      </c>
    </row>
  </sheetData>
  <mergeCells count="24">
    <mergeCell ref="V1:X1"/>
    <mergeCell ref="S1:U1"/>
    <mergeCell ref="A1:C1"/>
    <mergeCell ref="D1:F1"/>
    <mergeCell ref="J1:L1"/>
    <mergeCell ref="M1:O1"/>
    <mergeCell ref="G1:I1"/>
    <mergeCell ref="P1:R1"/>
    <mergeCell ref="Y1:AA1"/>
    <mergeCell ref="AB1:AD1"/>
    <mergeCell ref="AE1:AG1"/>
    <mergeCell ref="AI1:AS1"/>
    <mergeCell ref="AA2:AA3"/>
    <mergeCell ref="B25:C25"/>
    <mergeCell ref="E25:F25"/>
    <mergeCell ref="H25:I25"/>
    <mergeCell ref="K25:L25"/>
    <mergeCell ref="N25:O25"/>
    <mergeCell ref="AF25:AG25"/>
    <mergeCell ref="Q25:R25"/>
    <mergeCell ref="T25:U25"/>
    <mergeCell ref="W25:X25"/>
    <mergeCell ref="Z25:AA25"/>
    <mergeCell ref="AC25:AD25"/>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44" customWidth="1"/>
    <col min="5" max="5" width="6.28515625" style="449"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45" t="s">
        <v>505</v>
      </c>
      <c r="B1" s="446" t="s">
        <v>506</v>
      </c>
      <c r="C1" s="446" t="s">
        <v>507</v>
      </c>
      <c r="D1" s="447" t="s">
        <v>508</v>
      </c>
      <c r="E1" s="448" t="s">
        <v>509</v>
      </c>
      <c r="F1" s="446" t="s">
        <v>510</v>
      </c>
      <c r="G1" s="446" t="s">
        <v>511</v>
      </c>
      <c r="H1" s="504" t="s">
        <v>512</v>
      </c>
      <c r="I1" s="3"/>
    </row>
    <row r="2" spans="1:10">
      <c r="A2" s="505">
        <v>1</v>
      </c>
      <c r="B2" s="510" t="s">
        <v>513</v>
      </c>
      <c r="C2" s="506" t="s">
        <v>514</v>
      </c>
      <c r="D2" s="507" t="s">
        <v>515</v>
      </c>
      <c r="E2" s="508">
        <v>1</v>
      </c>
      <c r="F2" s="509">
        <v>0</v>
      </c>
      <c r="G2" s="506" t="s">
        <v>516</v>
      </c>
      <c r="H2">
        <v>1</v>
      </c>
      <c r="J2" t="e">
        <f>+tblContractBase[[#This Row],[Index]]=#REF!+1</f>
        <v>#REF!</v>
      </c>
    </row>
    <row r="3" spans="1:10">
      <c r="A3" s="505">
        <v>2</v>
      </c>
      <c r="B3" s="510" t="s">
        <v>513</v>
      </c>
      <c r="C3" s="506" t="s">
        <v>517</v>
      </c>
      <c r="D3" s="507" t="s">
        <v>517</v>
      </c>
      <c r="E3" s="508">
        <v>1</v>
      </c>
      <c r="F3" s="509">
        <v>0</v>
      </c>
      <c r="G3" s="506" t="s">
        <v>516</v>
      </c>
      <c r="H3">
        <v>1</v>
      </c>
      <c r="J3" t="b">
        <f>+tblContractBase[[#This Row],[Index]]=A2+1</f>
        <v>1</v>
      </c>
    </row>
    <row r="4" spans="1:10">
      <c r="A4" s="505">
        <v>3</v>
      </c>
      <c r="B4" s="510" t="s">
        <v>513</v>
      </c>
      <c r="C4" s="506" t="s">
        <v>518</v>
      </c>
      <c r="D4" s="507" t="s">
        <v>519</v>
      </c>
      <c r="E4" s="508">
        <v>1</v>
      </c>
      <c r="F4" s="509">
        <v>0</v>
      </c>
      <c r="G4" s="506" t="s">
        <v>516</v>
      </c>
      <c r="H4">
        <v>2</v>
      </c>
      <c r="J4" t="b">
        <f>+tblContractBase[[#This Row],[Index]]=A3+1</f>
        <v>1</v>
      </c>
    </row>
    <row r="5" spans="1:10">
      <c r="A5" s="505">
        <v>4</v>
      </c>
      <c r="B5" s="510" t="s">
        <v>513</v>
      </c>
      <c r="C5" s="506" t="s">
        <v>520</v>
      </c>
      <c r="D5" s="507" t="s">
        <v>521</v>
      </c>
      <c r="E5" s="508">
        <v>1</v>
      </c>
      <c r="F5" s="509">
        <v>0</v>
      </c>
      <c r="G5" s="506" t="s">
        <v>516</v>
      </c>
      <c r="H5">
        <v>3</v>
      </c>
      <c r="J5" t="b">
        <f>+tblContractBase[[#This Row],[Index]]=A4+1</f>
        <v>1</v>
      </c>
    </row>
    <row r="6" spans="1:10">
      <c r="A6" s="505">
        <v>5</v>
      </c>
      <c r="B6" s="510" t="s">
        <v>513</v>
      </c>
      <c r="C6" s="506" t="s">
        <v>522</v>
      </c>
      <c r="D6" s="507" t="s">
        <v>523</v>
      </c>
      <c r="E6" s="508">
        <v>1</v>
      </c>
      <c r="F6" s="509">
        <v>0</v>
      </c>
      <c r="G6" s="506" t="s">
        <v>516</v>
      </c>
      <c r="H6">
        <v>4</v>
      </c>
      <c r="J6" t="b">
        <f>+tblContractBase[[#This Row],[Index]]=A5+1</f>
        <v>1</v>
      </c>
    </row>
    <row r="7" spans="1:10">
      <c r="A7" s="505">
        <v>6</v>
      </c>
      <c r="B7" s="510" t="s">
        <v>513</v>
      </c>
      <c r="C7" s="506" t="s">
        <v>524</v>
      </c>
      <c r="D7" s="507" t="s">
        <v>525</v>
      </c>
      <c r="E7" s="508">
        <v>1</v>
      </c>
      <c r="F7" s="509">
        <v>0</v>
      </c>
      <c r="G7" s="506" t="s">
        <v>516</v>
      </c>
      <c r="H7">
        <v>5</v>
      </c>
      <c r="J7" t="b">
        <f>+tblContractBase[[#This Row],[Index]]=A6+1</f>
        <v>1</v>
      </c>
    </row>
    <row r="8" spans="1:10">
      <c r="A8" s="505">
        <v>7</v>
      </c>
      <c r="B8" s="510" t="s">
        <v>513</v>
      </c>
      <c r="C8" s="506" t="s">
        <v>526</v>
      </c>
      <c r="D8" s="507" t="s">
        <v>527</v>
      </c>
      <c r="E8" s="508">
        <v>1</v>
      </c>
      <c r="F8" s="509">
        <v>0</v>
      </c>
      <c r="G8" s="506" t="s">
        <v>516</v>
      </c>
      <c r="H8">
        <v>6</v>
      </c>
      <c r="J8" t="b">
        <f>+tblContractBase[[#This Row],[Index]]=A7+1</f>
        <v>1</v>
      </c>
    </row>
    <row r="9" spans="1:10">
      <c r="A9" s="505">
        <v>8</v>
      </c>
      <c r="B9" s="510" t="s">
        <v>513</v>
      </c>
      <c r="C9" s="506" t="s">
        <v>528</v>
      </c>
      <c r="D9" s="507" t="s">
        <v>529</v>
      </c>
      <c r="E9" s="508">
        <v>1</v>
      </c>
      <c r="F9" s="509">
        <v>0</v>
      </c>
      <c r="G9" s="506" t="s">
        <v>516</v>
      </c>
      <c r="H9">
        <v>7</v>
      </c>
      <c r="J9" t="b">
        <f>+tblContractBase[[#This Row],[Index]]=A8+1</f>
        <v>1</v>
      </c>
    </row>
    <row r="10" spans="1:10">
      <c r="A10" s="505">
        <v>9</v>
      </c>
      <c r="B10" s="510" t="s">
        <v>513</v>
      </c>
      <c r="C10" s="506" t="s">
        <v>530</v>
      </c>
      <c r="D10" s="507" t="s">
        <v>520</v>
      </c>
      <c r="E10" s="508">
        <v>1</v>
      </c>
      <c r="F10" s="509">
        <v>0</v>
      </c>
      <c r="G10" s="506" t="s">
        <v>516</v>
      </c>
      <c r="H10">
        <v>8</v>
      </c>
      <c r="J10" t="b">
        <f>+tblContractBase[[#This Row],[Index]]=A9+1</f>
        <v>1</v>
      </c>
    </row>
    <row r="11" spans="1:10">
      <c r="A11" s="505">
        <v>10</v>
      </c>
      <c r="B11" s="510" t="s">
        <v>513</v>
      </c>
      <c r="C11" s="506" t="s">
        <v>530</v>
      </c>
      <c r="D11" s="507" t="s">
        <v>531</v>
      </c>
      <c r="E11" s="508">
        <v>1</v>
      </c>
      <c r="F11" s="509">
        <v>0</v>
      </c>
      <c r="G11" s="506" t="s">
        <v>516</v>
      </c>
      <c r="H11">
        <v>9</v>
      </c>
      <c r="J11" t="b">
        <f>+tblContractBase[[#This Row],[Index]]=A10+1</f>
        <v>1</v>
      </c>
    </row>
    <row r="12" spans="1:10">
      <c r="A12" s="505">
        <v>11</v>
      </c>
      <c r="B12" s="510" t="s">
        <v>513</v>
      </c>
      <c r="C12" s="506" t="s">
        <v>530</v>
      </c>
      <c r="D12" s="507" t="s">
        <v>532</v>
      </c>
      <c r="E12" s="508">
        <v>1</v>
      </c>
      <c r="F12" s="509">
        <v>0</v>
      </c>
      <c r="G12" s="506" t="s">
        <v>516</v>
      </c>
      <c r="H12">
        <v>10</v>
      </c>
      <c r="J12" t="b">
        <f>+tblContractBase[[#This Row],[Index]]=A11+1</f>
        <v>1</v>
      </c>
    </row>
    <row r="13" spans="1:10">
      <c r="A13" s="505">
        <v>12</v>
      </c>
      <c r="B13" s="510" t="s">
        <v>513</v>
      </c>
      <c r="C13" s="506" t="s">
        <v>533</v>
      </c>
      <c r="D13" s="507" t="s">
        <v>534</v>
      </c>
      <c r="E13" s="508">
        <v>1</v>
      </c>
      <c r="F13" s="509">
        <v>0</v>
      </c>
      <c r="G13" s="506" t="s">
        <v>516</v>
      </c>
      <c r="H13">
        <v>11</v>
      </c>
      <c r="J13" t="b">
        <f>+tblContractBase[[#This Row],[Index]]=A12+1</f>
        <v>1</v>
      </c>
    </row>
    <row r="14" spans="1:10">
      <c r="A14" s="505">
        <v>13</v>
      </c>
      <c r="B14" s="510" t="s">
        <v>513</v>
      </c>
      <c r="C14" s="506" t="s">
        <v>535</v>
      </c>
      <c r="D14" s="507" t="s">
        <v>536</v>
      </c>
      <c r="E14" s="508">
        <v>1</v>
      </c>
      <c r="F14" s="509">
        <v>0</v>
      </c>
      <c r="G14" s="506" t="s">
        <v>516</v>
      </c>
      <c r="H14">
        <v>12</v>
      </c>
      <c r="J14" t="b">
        <f>+tblContractBase[[#This Row],[Index]]=A13+1</f>
        <v>1</v>
      </c>
    </row>
    <row r="15" spans="1:10">
      <c r="A15" s="505">
        <v>14</v>
      </c>
      <c r="B15" s="510" t="s">
        <v>513</v>
      </c>
      <c r="C15" s="506" t="s">
        <v>537</v>
      </c>
      <c r="D15" s="507" t="s">
        <v>538</v>
      </c>
      <c r="E15" s="508">
        <v>1</v>
      </c>
      <c r="F15" s="509">
        <v>0</v>
      </c>
      <c r="G15" s="506" t="s">
        <v>516</v>
      </c>
      <c r="H15">
        <v>13</v>
      </c>
      <c r="J15" t="b">
        <f>+tblContractBase[[#This Row],[Index]]=A14+1</f>
        <v>1</v>
      </c>
    </row>
    <row r="16" spans="1:10">
      <c r="A16" s="505">
        <v>15</v>
      </c>
      <c r="B16" s="510" t="s">
        <v>513</v>
      </c>
      <c r="C16" s="506" t="s">
        <v>539</v>
      </c>
      <c r="D16" s="507" t="s">
        <v>540</v>
      </c>
      <c r="E16" s="508">
        <v>1</v>
      </c>
      <c r="F16" s="509">
        <v>0</v>
      </c>
      <c r="G16" s="506" t="s">
        <v>516</v>
      </c>
      <c r="H16">
        <v>14</v>
      </c>
      <c r="J16" t="b">
        <f>+tblContractBase[[#This Row],[Index]]=A15+1</f>
        <v>1</v>
      </c>
    </row>
    <row r="17" spans="1:10">
      <c r="A17" s="505">
        <v>16</v>
      </c>
      <c r="B17" s="510" t="s">
        <v>513</v>
      </c>
      <c r="C17" s="506" t="s">
        <v>541</v>
      </c>
      <c r="D17" s="507" t="s">
        <v>531</v>
      </c>
      <c r="E17" s="508">
        <v>1</v>
      </c>
      <c r="F17" s="509">
        <v>0</v>
      </c>
      <c r="G17" s="506" t="s">
        <v>516</v>
      </c>
      <c r="H17">
        <v>15</v>
      </c>
      <c r="J17" t="b">
        <f>+tblContractBase[[#This Row],[Index]]=A16+1</f>
        <v>1</v>
      </c>
    </row>
    <row r="18" spans="1:10">
      <c r="A18" s="505">
        <v>17</v>
      </c>
      <c r="B18" s="510" t="s">
        <v>513</v>
      </c>
      <c r="C18" s="506" t="s">
        <v>541</v>
      </c>
      <c r="D18" s="507" t="s">
        <v>520</v>
      </c>
      <c r="E18" s="508">
        <v>1</v>
      </c>
      <c r="F18" s="509">
        <v>0</v>
      </c>
      <c r="G18" s="506" t="s">
        <v>516</v>
      </c>
      <c r="H18">
        <v>16</v>
      </c>
      <c r="J18" t="b">
        <f>+tblContractBase[[#This Row],[Index]]=A17+1</f>
        <v>1</v>
      </c>
    </row>
    <row r="19" spans="1:10">
      <c r="A19" s="505">
        <v>18</v>
      </c>
      <c r="B19" s="510" t="s">
        <v>513</v>
      </c>
      <c r="C19" s="506" t="s">
        <v>541</v>
      </c>
      <c r="D19" s="507" t="s">
        <v>532</v>
      </c>
      <c r="E19" s="508">
        <v>1</v>
      </c>
      <c r="F19" s="509">
        <v>0</v>
      </c>
      <c r="G19" s="506" t="s">
        <v>516</v>
      </c>
      <c r="H19">
        <v>17</v>
      </c>
      <c r="J19" t="b">
        <f>+tblContractBase[[#This Row],[Index]]=A18+1</f>
        <v>1</v>
      </c>
    </row>
    <row r="20" spans="1:10">
      <c r="A20" s="505">
        <v>19</v>
      </c>
      <c r="B20" s="510" t="s">
        <v>513</v>
      </c>
      <c r="C20" s="506" t="s">
        <v>532</v>
      </c>
      <c r="D20" s="507" t="s">
        <v>539</v>
      </c>
      <c r="E20" s="508">
        <v>1</v>
      </c>
      <c r="F20" s="509">
        <v>0</v>
      </c>
      <c r="G20" s="506" t="s">
        <v>516</v>
      </c>
      <c r="H20">
        <v>18</v>
      </c>
      <c r="J20" t="b">
        <f>+tblContractBase[[#This Row],[Index]]=A19+1</f>
        <v>1</v>
      </c>
    </row>
    <row r="21" spans="1:10">
      <c r="A21" s="505">
        <v>20</v>
      </c>
      <c r="B21" s="510" t="s">
        <v>513</v>
      </c>
      <c r="C21" s="506" t="s">
        <v>528</v>
      </c>
      <c r="D21" s="507" t="s">
        <v>542</v>
      </c>
      <c r="E21" s="508">
        <v>1</v>
      </c>
      <c r="F21" s="509">
        <v>0</v>
      </c>
      <c r="G21" s="506" t="s">
        <v>516</v>
      </c>
      <c r="H21">
        <v>19</v>
      </c>
      <c r="J21" t="b">
        <f>+tblContractBase[[#This Row],[Index]]=A20+1</f>
        <v>1</v>
      </c>
    </row>
    <row r="22" spans="1:10">
      <c r="A22" s="505">
        <v>21</v>
      </c>
      <c r="B22" s="510" t="s">
        <v>513</v>
      </c>
      <c r="C22" s="506" t="s">
        <v>543</v>
      </c>
      <c r="D22" s="507" t="s">
        <v>544</v>
      </c>
      <c r="E22" s="508">
        <v>1</v>
      </c>
      <c r="F22" s="509">
        <v>0</v>
      </c>
      <c r="G22" s="506" t="s">
        <v>516</v>
      </c>
      <c r="H22">
        <v>20</v>
      </c>
      <c r="J22" t="b">
        <f>+tblContractBase[[#This Row],[Index]]=A21+1</f>
        <v>1</v>
      </c>
    </row>
    <row r="23" spans="1:10">
      <c r="A23" s="505">
        <v>22</v>
      </c>
      <c r="B23" s="510" t="s">
        <v>513</v>
      </c>
      <c r="C23" s="506" t="s">
        <v>545</v>
      </c>
      <c r="D23" s="507" t="s">
        <v>546</v>
      </c>
      <c r="E23" s="508">
        <v>1</v>
      </c>
      <c r="F23" s="509">
        <v>0</v>
      </c>
      <c r="G23" s="506" t="s">
        <v>516</v>
      </c>
      <c r="H23">
        <v>21</v>
      </c>
      <c r="J23" t="b">
        <f>+tblContractBase[[#This Row],[Index]]=A22+1</f>
        <v>1</v>
      </c>
    </row>
    <row r="24" spans="1:10">
      <c r="A24" s="505">
        <v>23</v>
      </c>
      <c r="B24" s="510" t="s">
        <v>513</v>
      </c>
      <c r="C24" s="506" t="s">
        <v>547</v>
      </c>
      <c r="D24" s="507" t="s">
        <v>548</v>
      </c>
      <c r="E24" s="508">
        <v>1</v>
      </c>
      <c r="F24" s="509">
        <v>0</v>
      </c>
      <c r="G24" s="506" t="s">
        <v>516</v>
      </c>
      <c r="H24">
        <v>22</v>
      </c>
      <c r="J24" t="b">
        <f>+tblContractBase[[#This Row],[Index]]=A23+1</f>
        <v>1</v>
      </c>
    </row>
    <row r="25" spans="1:10">
      <c r="A25" s="505">
        <v>24</v>
      </c>
      <c r="B25" s="510" t="s">
        <v>513</v>
      </c>
      <c r="C25" s="506" t="s">
        <v>537</v>
      </c>
      <c r="D25" s="507" t="s">
        <v>549</v>
      </c>
      <c r="E25" s="508">
        <v>1</v>
      </c>
      <c r="F25" s="509">
        <v>0</v>
      </c>
      <c r="G25" s="506" t="s">
        <v>516</v>
      </c>
      <c r="H25">
        <v>23</v>
      </c>
      <c r="J25" t="b">
        <f>+tblContractBase[[#This Row],[Index]]=A24+1</f>
        <v>1</v>
      </c>
    </row>
    <row r="26" spans="1:10">
      <c r="A26" s="505">
        <v>25</v>
      </c>
      <c r="B26" s="510" t="s">
        <v>513</v>
      </c>
      <c r="C26" s="506" t="s">
        <v>550</v>
      </c>
      <c r="D26" s="507" t="s">
        <v>551</v>
      </c>
      <c r="E26" s="508">
        <v>1</v>
      </c>
      <c r="F26" s="509">
        <v>0</v>
      </c>
      <c r="G26" s="506" t="s">
        <v>516</v>
      </c>
      <c r="H26">
        <v>24</v>
      </c>
      <c r="J26" t="b">
        <f>+tblContractBase[[#This Row],[Index]]=A25+1</f>
        <v>1</v>
      </c>
    </row>
    <row r="27" spans="1:10">
      <c r="A27" s="505">
        <v>26</v>
      </c>
      <c r="B27" s="510" t="s">
        <v>513</v>
      </c>
      <c r="C27" s="506" t="s">
        <v>552</v>
      </c>
      <c r="D27" s="507" t="s">
        <v>550</v>
      </c>
      <c r="E27" s="508">
        <v>1</v>
      </c>
      <c r="F27" s="509">
        <v>0</v>
      </c>
      <c r="G27" s="506" t="s">
        <v>516</v>
      </c>
      <c r="H27">
        <v>25</v>
      </c>
      <c r="J27" t="b">
        <f>+tblContractBase[[#This Row],[Index]]=A26+1</f>
        <v>1</v>
      </c>
    </row>
    <row r="28" spans="1:10">
      <c r="A28" s="505">
        <v>27</v>
      </c>
      <c r="B28" s="510" t="s">
        <v>513</v>
      </c>
      <c r="C28" s="506" t="s">
        <v>553</v>
      </c>
      <c r="D28" s="507" t="s">
        <v>554</v>
      </c>
      <c r="E28" s="508">
        <v>1</v>
      </c>
      <c r="F28" s="509">
        <v>0</v>
      </c>
      <c r="G28" s="506" t="s">
        <v>516</v>
      </c>
      <c r="H28">
        <v>26</v>
      </c>
      <c r="J28" t="b">
        <f>+tblContractBase[[#This Row],[Index]]=A27+1</f>
        <v>1</v>
      </c>
    </row>
    <row r="29" spans="1:10">
      <c r="A29" s="505">
        <v>28</v>
      </c>
      <c r="B29" s="510" t="s">
        <v>513</v>
      </c>
      <c r="C29" s="506" t="s">
        <v>555</v>
      </c>
      <c r="D29" s="507" t="s">
        <v>556</v>
      </c>
      <c r="E29" s="508">
        <v>1</v>
      </c>
      <c r="F29" s="509">
        <v>0</v>
      </c>
      <c r="G29" s="506" t="s">
        <v>516</v>
      </c>
      <c r="H29">
        <v>27</v>
      </c>
      <c r="J29" t="b">
        <f>+tblContractBase[[#This Row],[Index]]=A28+1</f>
        <v>1</v>
      </c>
    </row>
    <row r="30" spans="1:10">
      <c r="A30" s="505">
        <v>31</v>
      </c>
      <c r="B30" s="510" t="s">
        <v>557</v>
      </c>
      <c r="C30" s="506" t="s">
        <v>557</v>
      </c>
      <c r="D30" s="507" t="s">
        <v>558</v>
      </c>
      <c r="E30" s="508">
        <v>1</v>
      </c>
      <c r="F30" s="509"/>
      <c r="G30" s="506" t="s">
        <v>559</v>
      </c>
      <c r="J30" t="e">
        <f>+tblContractBase[[#This Row],[Index]]=#REF!+1</f>
        <v>#REF!</v>
      </c>
    </row>
    <row r="31" spans="1:10">
      <c r="A31" s="505">
        <v>32</v>
      </c>
      <c r="B31" s="510" t="s">
        <v>537</v>
      </c>
      <c r="C31" s="506" t="s">
        <v>537</v>
      </c>
      <c r="D31" s="507" t="s">
        <v>560</v>
      </c>
      <c r="E31" s="508">
        <v>1</v>
      </c>
      <c r="F31" s="509"/>
      <c r="G31" s="506" t="s">
        <v>559</v>
      </c>
      <c r="J31" t="b">
        <f>+tblContractBase[[#This Row],[Index]]=A30+1</f>
        <v>1</v>
      </c>
    </row>
    <row r="32" spans="1:10">
      <c r="A32" s="505">
        <v>33</v>
      </c>
      <c r="B32" s="510" t="s">
        <v>537</v>
      </c>
      <c r="C32" s="506" t="s">
        <v>537</v>
      </c>
      <c r="D32" s="507" t="s">
        <v>561</v>
      </c>
      <c r="E32" s="508">
        <v>1</v>
      </c>
      <c r="F32" s="509"/>
      <c r="G32" s="506" t="s">
        <v>559</v>
      </c>
      <c r="J32" t="b">
        <f>+tblContractBase[[#This Row],[Index]]=A31+1</f>
        <v>1</v>
      </c>
    </row>
    <row r="33" spans="1:10">
      <c r="A33" s="505">
        <v>34</v>
      </c>
      <c r="B33" s="510" t="s">
        <v>537</v>
      </c>
      <c r="C33" s="506" t="s">
        <v>537</v>
      </c>
      <c r="D33" s="507" t="s">
        <v>562</v>
      </c>
      <c r="E33" s="508">
        <v>1</v>
      </c>
      <c r="F33" s="509"/>
      <c r="G33" s="506" t="s">
        <v>559</v>
      </c>
      <c r="J33" t="b">
        <f>+tblContractBase[[#This Row],[Index]]=A32+1</f>
        <v>1</v>
      </c>
    </row>
    <row r="34" spans="1:10" ht="30">
      <c r="A34" s="505">
        <v>38</v>
      </c>
      <c r="B34" s="510" t="s">
        <v>563</v>
      </c>
      <c r="C34" s="506" t="s">
        <v>517</v>
      </c>
      <c r="D34" s="507" t="s">
        <v>564</v>
      </c>
      <c r="E34" s="508">
        <v>1</v>
      </c>
      <c r="F34" s="509"/>
      <c r="G34" s="506" t="s">
        <v>559</v>
      </c>
      <c r="J34" t="e">
        <f>+tblContractBase[[#This Row],[Index]]=#REF!+1</f>
        <v>#REF!</v>
      </c>
    </row>
    <row r="35" spans="1:10">
      <c r="A35" s="505">
        <v>39</v>
      </c>
      <c r="B35" s="510" t="s">
        <v>563</v>
      </c>
      <c r="C35" s="506"/>
      <c r="D35" s="507" t="s">
        <v>565</v>
      </c>
      <c r="E35" s="508">
        <v>1</v>
      </c>
      <c r="F35" s="509"/>
      <c r="G35" s="506" t="s">
        <v>559</v>
      </c>
      <c r="J35" t="b">
        <f>+tblContractBase[[#This Row],[Index]]=A34+1</f>
        <v>1</v>
      </c>
    </row>
    <row r="36" spans="1:10">
      <c r="A36" s="505">
        <v>40</v>
      </c>
      <c r="B36" s="510" t="s">
        <v>566</v>
      </c>
      <c r="C36" s="506" t="s">
        <v>567</v>
      </c>
      <c r="D36" s="507" t="s">
        <v>568</v>
      </c>
      <c r="E36" s="508">
        <v>1</v>
      </c>
      <c r="F36" s="509"/>
      <c r="G36" s="506" t="s">
        <v>559</v>
      </c>
      <c r="J36" t="b">
        <f>+tblContractBase[[#This Row],[Index]]=A35+1</f>
        <v>1</v>
      </c>
    </row>
    <row r="37" spans="1:10">
      <c r="A37" s="505">
        <v>41</v>
      </c>
      <c r="B37" s="510" t="s">
        <v>563</v>
      </c>
      <c r="C37" s="506" t="s">
        <v>567</v>
      </c>
      <c r="D37" s="507" t="s">
        <v>569</v>
      </c>
      <c r="E37" s="508">
        <v>1</v>
      </c>
      <c r="F37" s="509"/>
      <c r="G37" s="506" t="s">
        <v>559</v>
      </c>
      <c r="J37" t="b">
        <f>+tblContractBase[[#This Row],[Index]]=A36+1</f>
        <v>1</v>
      </c>
    </row>
    <row r="38" spans="1:10">
      <c r="A38" s="505">
        <v>48</v>
      </c>
      <c r="B38" s="510" t="s">
        <v>570</v>
      </c>
      <c r="C38" s="506" t="s">
        <v>571</v>
      </c>
      <c r="D38" s="507" t="s">
        <v>572</v>
      </c>
      <c r="E38" s="508">
        <v>1</v>
      </c>
      <c r="F38" s="509"/>
      <c r="G38" s="506" t="s">
        <v>559</v>
      </c>
      <c r="J38" t="e">
        <f>+tblContractBase[[#This Row],[Index]]=#REF!+1</f>
        <v>#REF!</v>
      </c>
    </row>
    <row r="39" spans="1:10">
      <c r="A39" s="505">
        <v>49</v>
      </c>
      <c r="B39" s="510" t="s">
        <v>563</v>
      </c>
      <c r="C39" s="506" t="s">
        <v>517</v>
      </c>
      <c r="D39" s="507" t="s">
        <v>573</v>
      </c>
      <c r="E39" s="508">
        <v>1</v>
      </c>
      <c r="F39" s="509"/>
      <c r="G39" s="506" t="s">
        <v>559</v>
      </c>
      <c r="J39" t="b">
        <f>+tblContractBase[[#This Row],[Index]]=A38+1</f>
        <v>1</v>
      </c>
    </row>
    <row r="40" spans="1:10">
      <c r="A40" s="505">
        <v>50</v>
      </c>
      <c r="B40" s="510" t="s">
        <v>566</v>
      </c>
      <c r="C40" s="506" t="s">
        <v>574</v>
      </c>
      <c r="D40" s="507" t="s">
        <v>575</v>
      </c>
      <c r="E40" s="508">
        <v>1</v>
      </c>
      <c r="F40" s="509"/>
      <c r="G40" s="506" t="s">
        <v>559</v>
      </c>
      <c r="J40" t="b">
        <f>+tblContractBase[[#This Row],[Index]]=A39+1</f>
        <v>1</v>
      </c>
    </row>
    <row r="41" spans="1:10">
      <c r="A41" s="505">
        <v>51</v>
      </c>
      <c r="B41" s="510" t="s">
        <v>566</v>
      </c>
      <c r="C41" s="506" t="s">
        <v>574</v>
      </c>
      <c r="D41" s="507" t="s">
        <v>576</v>
      </c>
      <c r="E41" s="508">
        <v>1</v>
      </c>
      <c r="F41" s="509"/>
      <c r="G41" s="506" t="s">
        <v>559</v>
      </c>
      <c r="J41" t="b">
        <f>+tblContractBase[[#This Row],[Index]]=A40+1</f>
        <v>1</v>
      </c>
    </row>
    <row r="42" spans="1:10">
      <c r="A42" s="505">
        <v>52</v>
      </c>
      <c r="B42" s="510" t="s">
        <v>566</v>
      </c>
      <c r="C42" s="506" t="s">
        <v>574</v>
      </c>
      <c r="D42" s="507" t="s">
        <v>577</v>
      </c>
      <c r="E42" s="508">
        <v>1</v>
      </c>
      <c r="F42" s="509"/>
      <c r="G42" s="506" t="s">
        <v>559</v>
      </c>
      <c r="J42" t="b">
        <f>+tblContractBase[[#This Row],[Index]]=A41+1</f>
        <v>1</v>
      </c>
    </row>
    <row r="43" spans="1:10">
      <c r="A43" s="505">
        <v>53</v>
      </c>
      <c r="B43" s="510" t="s">
        <v>531</v>
      </c>
      <c r="C43" s="506" t="s">
        <v>578</v>
      </c>
      <c r="D43" s="507" t="s">
        <v>579</v>
      </c>
      <c r="E43" s="508">
        <v>1</v>
      </c>
      <c r="F43" s="509"/>
      <c r="G43" s="506" t="s">
        <v>559</v>
      </c>
      <c r="J43" t="b">
        <f>+tblContractBase[[#This Row],[Index]]=A42+1</f>
        <v>1</v>
      </c>
    </row>
    <row r="44" spans="1:10">
      <c r="A44" s="505">
        <v>54</v>
      </c>
      <c r="B44" s="510" t="s">
        <v>580</v>
      </c>
      <c r="C44" s="506"/>
      <c r="D44" s="507" t="s">
        <v>581</v>
      </c>
      <c r="E44" s="508">
        <v>1</v>
      </c>
      <c r="F44" s="509"/>
      <c r="G44" s="506" t="s">
        <v>559</v>
      </c>
      <c r="J44" t="b">
        <f>+tblContractBase[[#This Row],[Index]]=A43+1</f>
        <v>1</v>
      </c>
    </row>
    <row r="45" spans="1:10">
      <c r="A45" s="505">
        <v>55</v>
      </c>
      <c r="B45" s="510" t="s">
        <v>563</v>
      </c>
      <c r="C45" s="506" t="s">
        <v>517</v>
      </c>
      <c r="D45" s="507" t="s">
        <v>582</v>
      </c>
      <c r="E45" s="508">
        <v>1</v>
      </c>
      <c r="F45" s="509"/>
      <c r="G45" s="506" t="s">
        <v>559</v>
      </c>
      <c r="J45" t="b">
        <f>+tblContractBase[[#This Row],[Index]]=A44+1</f>
        <v>1</v>
      </c>
    </row>
    <row r="46" spans="1:10">
      <c r="A46" s="505">
        <v>56</v>
      </c>
      <c r="B46" s="510" t="s">
        <v>580</v>
      </c>
      <c r="C46" s="506" t="s">
        <v>583</v>
      </c>
      <c r="D46" s="507" t="s">
        <v>584</v>
      </c>
      <c r="E46" s="508">
        <v>1</v>
      </c>
      <c r="F46" s="509"/>
      <c r="G46" s="506" t="s">
        <v>559</v>
      </c>
      <c r="J46" t="b">
        <f>+tblContractBase[[#This Row],[Index]]=A45+1</f>
        <v>1</v>
      </c>
    </row>
    <row r="47" spans="1:10">
      <c r="A47" s="505">
        <v>59</v>
      </c>
      <c r="B47" s="510" t="s">
        <v>563</v>
      </c>
      <c r="C47" s="506" t="s">
        <v>517</v>
      </c>
      <c r="D47" s="507" t="s">
        <v>585</v>
      </c>
      <c r="E47" s="508">
        <v>1</v>
      </c>
      <c r="F47" s="509"/>
      <c r="G47" s="506" t="s">
        <v>559</v>
      </c>
      <c r="J47" t="e">
        <f>+tblContractBase[[#This Row],[Index]]=#REF!+1</f>
        <v>#REF!</v>
      </c>
    </row>
    <row r="48" spans="1:10">
      <c r="A48" s="505">
        <v>60</v>
      </c>
      <c r="B48" s="510" t="s">
        <v>566</v>
      </c>
      <c r="C48" s="506" t="s">
        <v>574</v>
      </c>
      <c r="D48" s="507" t="s">
        <v>586</v>
      </c>
      <c r="E48" s="508">
        <v>1</v>
      </c>
      <c r="F48" s="509"/>
      <c r="G48" s="506" t="s">
        <v>559</v>
      </c>
      <c r="J48" t="b">
        <f>+tblContractBase[[#This Row],[Index]]=A47+1</f>
        <v>1</v>
      </c>
    </row>
    <row r="49" spans="1:10">
      <c r="A49" s="505">
        <v>61</v>
      </c>
      <c r="B49" s="510" t="s">
        <v>537</v>
      </c>
      <c r="C49" s="506" t="s">
        <v>537</v>
      </c>
      <c r="D49" s="507" t="s">
        <v>587</v>
      </c>
      <c r="E49" s="508">
        <v>2</v>
      </c>
      <c r="F49" s="509"/>
      <c r="G49" s="506" t="s">
        <v>559</v>
      </c>
      <c r="J49" t="b">
        <f>+tblContractBase[[#This Row],[Index]]=A48+1</f>
        <v>1</v>
      </c>
    </row>
    <row r="50" spans="1:10">
      <c r="A50" s="505">
        <v>62</v>
      </c>
      <c r="B50" s="510" t="s">
        <v>566</v>
      </c>
      <c r="C50" s="506" t="s">
        <v>574</v>
      </c>
      <c r="D50" s="507" t="s">
        <v>588</v>
      </c>
      <c r="E50" s="508">
        <v>1</v>
      </c>
      <c r="F50" s="509"/>
      <c r="G50" s="506" t="s">
        <v>559</v>
      </c>
      <c r="J50" t="b">
        <f>+tblContractBase[[#This Row],[Index]]=A49+1</f>
        <v>1</v>
      </c>
    </row>
    <row r="51" spans="1:10">
      <c r="A51" s="505">
        <v>63</v>
      </c>
      <c r="B51" s="510" t="s">
        <v>532</v>
      </c>
      <c r="C51" s="506" t="s">
        <v>532</v>
      </c>
      <c r="D51" s="507" t="s">
        <v>589</v>
      </c>
      <c r="E51" s="508">
        <v>1</v>
      </c>
      <c r="F51" s="509"/>
      <c r="G51" s="506" t="s">
        <v>559</v>
      </c>
      <c r="J51" t="b">
        <f>+tblContractBase[[#This Row],[Index]]=A50+1</f>
        <v>1</v>
      </c>
    </row>
    <row r="52" spans="1:10">
      <c r="A52" s="505">
        <v>64</v>
      </c>
      <c r="B52" s="510" t="s">
        <v>566</v>
      </c>
      <c r="C52" s="506" t="s">
        <v>574</v>
      </c>
      <c r="D52" s="507" t="s">
        <v>590</v>
      </c>
      <c r="E52" s="508">
        <v>1</v>
      </c>
      <c r="F52" s="509"/>
      <c r="G52" s="506" t="s">
        <v>559</v>
      </c>
      <c r="J52" t="b">
        <f>+tblContractBase[[#This Row],[Index]]=A51+1</f>
        <v>1</v>
      </c>
    </row>
    <row r="53" spans="1:10">
      <c r="A53" s="505">
        <v>67</v>
      </c>
      <c r="B53" s="510" t="s">
        <v>591</v>
      </c>
      <c r="C53" s="506" t="s">
        <v>592</v>
      </c>
      <c r="D53" s="507" t="s">
        <v>593</v>
      </c>
      <c r="E53" s="508">
        <v>1</v>
      </c>
      <c r="F53" s="509"/>
      <c r="G53" s="506" t="s">
        <v>559</v>
      </c>
      <c r="J53" t="e">
        <f>+tblContractBase[[#This Row],[Index]]=#REF!+1</f>
        <v>#REF!</v>
      </c>
    </row>
    <row r="54" spans="1:10">
      <c r="A54" s="505">
        <v>70</v>
      </c>
      <c r="B54" s="510" t="s">
        <v>591</v>
      </c>
      <c r="C54" s="506" t="s">
        <v>594</v>
      </c>
      <c r="D54" s="507" t="s">
        <v>595</v>
      </c>
      <c r="E54" s="508">
        <v>1</v>
      </c>
      <c r="F54" s="509"/>
      <c r="G54" s="506" t="s">
        <v>559</v>
      </c>
      <c r="J54" t="e">
        <f>+tblContractBase[[#This Row],[Index]]=#REF!+1</f>
        <v>#REF!</v>
      </c>
    </row>
    <row r="55" spans="1:10">
      <c r="A55" s="505">
        <v>71</v>
      </c>
      <c r="B55" s="510" t="s">
        <v>531</v>
      </c>
      <c r="C55" s="506" t="s">
        <v>594</v>
      </c>
      <c r="D55" s="507" t="s">
        <v>596</v>
      </c>
      <c r="E55" s="508">
        <v>1</v>
      </c>
      <c r="F55" s="509"/>
      <c r="G55" s="506" t="s">
        <v>559</v>
      </c>
      <c r="J55" t="b">
        <f>+tblContractBase[[#This Row],[Index]]=A54+1</f>
        <v>1</v>
      </c>
    </row>
    <row r="56" spans="1:10">
      <c r="A56" s="505">
        <v>75</v>
      </c>
      <c r="B56" s="510" t="s">
        <v>566</v>
      </c>
      <c r="C56" s="506" t="s">
        <v>574</v>
      </c>
      <c r="D56" s="507" t="s">
        <v>597</v>
      </c>
      <c r="E56" s="508">
        <v>3</v>
      </c>
      <c r="F56" s="509"/>
      <c r="G56" s="506" t="s">
        <v>559</v>
      </c>
    </row>
    <row r="57" spans="1:10">
      <c r="A57" s="505">
        <v>76</v>
      </c>
      <c r="B57" s="510" t="s">
        <v>563</v>
      </c>
      <c r="C57" s="506" t="s">
        <v>537</v>
      </c>
      <c r="D57" s="507" t="s">
        <v>598</v>
      </c>
      <c r="E57" s="508">
        <v>2</v>
      </c>
      <c r="F57" s="509"/>
      <c r="G57" s="506" t="s">
        <v>559</v>
      </c>
      <c r="H57">
        <f t="shared" ref="H57:H60" si="0">+A56</f>
        <v>75</v>
      </c>
      <c r="J57" t="b">
        <f>+tblContractBase[[#This Row],[Index]]=A56+1</f>
        <v>1</v>
      </c>
    </row>
    <row r="58" spans="1:10">
      <c r="A58" s="505">
        <v>77</v>
      </c>
      <c r="B58" s="510" t="s">
        <v>563</v>
      </c>
      <c r="C58" s="506" t="s">
        <v>599</v>
      </c>
      <c r="D58" s="507" t="s">
        <v>600</v>
      </c>
      <c r="E58" s="508">
        <v>1</v>
      </c>
      <c r="F58" s="509"/>
      <c r="G58" s="506" t="s">
        <v>559</v>
      </c>
      <c r="H58">
        <f t="shared" si="0"/>
        <v>76</v>
      </c>
    </row>
    <row r="59" spans="1:10">
      <c r="A59" s="505">
        <v>78</v>
      </c>
      <c r="B59" s="510" t="s">
        <v>591</v>
      </c>
      <c r="C59" s="506" t="s">
        <v>601</v>
      </c>
      <c r="D59" s="507" t="s">
        <v>602</v>
      </c>
      <c r="E59" s="508">
        <v>1</v>
      </c>
      <c r="F59" s="509"/>
      <c r="G59" s="506" t="s">
        <v>559</v>
      </c>
      <c r="H59">
        <f t="shared" si="0"/>
        <v>77</v>
      </c>
    </row>
    <row r="60" spans="1:10">
      <c r="A60" s="505">
        <v>79</v>
      </c>
      <c r="B60" s="510" t="s">
        <v>537</v>
      </c>
      <c r="C60" s="506" t="s">
        <v>594</v>
      </c>
      <c r="D60" s="507" t="s">
        <v>603</v>
      </c>
      <c r="E60" s="508">
        <v>1</v>
      </c>
      <c r="F60" s="509"/>
      <c r="G60" s="506" t="s">
        <v>559</v>
      </c>
      <c r="H60">
        <f t="shared" si="0"/>
        <v>78</v>
      </c>
    </row>
    <row r="61" spans="1:10">
      <c r="A61" s="505">
        <v>80</v>
      </c>
      <c r="B61" s="510" t="s">
        <v>537</v>
      </c>
      <c r="C61" s="506" t="s">
        <v>601</v>
      </c>
      <c r="D61" s="507" t="s">
        <v>1247</v>
      </c>
      <c r="E61" s="508">
        <v>2</v>
      </c>
      <c r="F61" s="509">
        <v>62.5</v>
      </c>
      <c r="G61" s="506" t="s">
        <v>559</v>
      </c>
      <c r="H61">
        <v>77</v>
      </c>
    </row>
    <row r="62" spans="1:10">
      <c r="A62" s="505">
        <v>81</v>
      </c>
      <c r="B62" s="510" t="s">
        <v>580</v>
      </c>
      <c r="C62" s="506" t="s">
        <v>583</v>
      </c>
      <c r="D62" s="507" t="s">
        <v>1252</v>
      </c>
      <c r="E62" s="508">
        <v>16</v>
      </c>
      <c r="F62" s="509">
        <v>62.5</v>
      </c>
      <c r="G62" s="506" t="s">
        <v>559</v>
      </c>
      <c r="H62">
        <f>+A61</f>
        <v>80</v>
      </c>
    </row>
    <row r="63" spans="1:10">
      <c r="A63" s="505">
        <v>82</v>
      </c>
      <c r="B63" s="510" t="s">
        <v>537</v>
      </c>
      <c r="C63" s="506" t="s">
        <v>599</v>
      </c>
      <c r="D63" s="507" t="s">
        <v>1251</v>
      </c>
      <c r="E63" s="508">
        <v>15</v>
      </c>
      <c r="F63" s="509">
        <v>62.5</v>
      </c>
      <c r="G63" s="506" t="s">
        <v>559</v>
      </c>
      <c r="H63">
        <f>+A62</f>
        <v>81</v>
      </c>
    </row>
    <row r="64" spans="1:10">
      <c r="A64" s="505">
        <v>83</v>
      </c>
      <c r="B64" s="510" t="s">
        <v>1275</v>
      </c>
      <c r="C64" s="506" t="s">
        <v>599</v>
      </c>
      <c r="D64" s="507" t="s">
        <v>1276</v>
      </c>
      <c r="E64" s="508">
        <v>11</v>
      </c>
      <c r="F64" s="509">
        <v>62.5</v>
      </c>
      <c r="G64" s="506" t="s">
        <v>559</v>
      </c>
      <c r="H64">
        <f>+A63</f>
        <v>82</v>
      </c>
    </row>
  </sheetData>
  <conditionalFormatting sqref="A2:H3 A3:A29 A4:G26 H4:H29 E29:E48">
    <cfRule type="expression" dxfId="42" priority="5">
      <formula>($J2=FALSE)</formula>
    </cfRule>
  </conditionalFormatting>
  <conditionalFormatting sqref="B27">
    <cfRule type="expression" dxfId="41" priority="3">
      <formula>($J27=FALSE)</formula>
    </cfRule>
  </conditionalFormatting>
  <conditionalFormatting sqref="A28:G28">
    <cfRule type="expression" dxfId="40" priority="2">
      <formula>($J28=FALSE)</formula>
    </cfRule>
  </conditionalFormatting>
  <conditionalFormatting sqref="A29:G29">
    <cfRule type="expression" dxfId="39"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4"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505</v>
      </c>
      <c r="B1" t="s">
        <v>506</v>
      </c>
      <c r="C1" t="s">
        <v>507</v>
      </c>
      <c r="D1" t="s">
        <v>508</v>
      </c>
      <c r="E1" t="s">
        <v>509</v>
      </c>
      <c r="F1" t="s">
        <v>510</v>
      </c>
      <c r="G1" t="s">
        <v>511</v>
      </c>
      <c r="H1" t="s">
        <v>512</v>
      </c>
      <c r="I1" t="s">
        <v>604</v>
      </c>
      <c r="J1" s="524" t="s">
        <v>605</v>
      </c>
      <c r="K1" t="s">
        <v>606</v>
      </c>
      <c r="L1" t="s">
        <v>607</v>
      </c>
      <c r="M1" s="450" t="s">
        <v>608</v>
      </c>
      <c r="N1" t="s">
        <v>609</v>
      </c>
      <c r="O1" t="s">
        <v>610</v>
      </c>
      <c r="P1" t="s">
        <v>611</v>
      </c>
      <c r="Q1" t="s">
        <v>435</v>
      </c>
      <c r="R1" t="s">
        <v>612</v>
      </c>
    </row>
    <row r="2" spans="1:18">
      <c r="A2">
        <v>1</v>
      </c>
      <c r="B2" t="s">
        <v>513</v>
      </c>
      <c r="C2" t="s">
        <v>514</v>
      </c>
      <c r="D2" t="s">
        <v>515</v>
      </c>
      <c r="E2">
        <v>1</v>
      </c>
      <c r="F2">
        <v>0</v>
      </c>
      <c r="G2" t="s">
        <v>516</v>
      </c>
      <c r="H2">
        <v>1</v>
      </c>
      <c r="I2" cm="1">
        <f t="array" ref="I2">_xlfn.XLOOKUP(tblContractDependency[[#This Row],[Index]],_xleta.INDEX,qryContractsToGnatt[Unit Price],0)</f>
        <v>0</v>
      </c>
      <c r="J2" s="524">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50">
        <f ca="1">IFERROR(_xlfn.XLOOKUP(tblContractDependency[[#This Row],[Index]], Contract_Edits[Index], Contract_Edits[Date]), tblContractDependency[[#This Row],[Start]])</f>
        <v>46178</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513</v>
      </c>
      <c r="C3" t="s">
        <v>517</v>
      </c>
      <c r="D3" t="s">
        <v>517</v>
      </c>
      <c r="E3">
        <v>1</v>
      </c>
      <c r="F3">
        <v>0</v>
      </c>
      <c r="G3" t="s">
        <v>516</v>
      </c>
      <c r="H3">
        <v>1</v>
      </c>
      <c r="I3" cm="1">
        <f t="array" ref="I3">_xlfn.XLOOKUP(tblContractDependency[[#This Row],[Index]],_xleta.INDEX,qryContractsToGnatt[Unit Price],0)</f>
        <v>0</v>
      </c>
      <c r="J3" s="524">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50">
        <f ca="1">IFERROR(_xlfn.XLOOKUP(tblContractDependency[[#This Row],[Index]], Contract_Edits[Index], Contract_Edits[Date]), tblContractDependency[[#This Row],[Start]])</f>
        <v>46181</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513</v>
      </c>
      <c r="C4" t="s">
        <v>518</v>
      </c>
      <c r="D4" t="s">
        <v>519</v>
      </c>
      <c r="E4">
        <v>1</v>
      </c>
      <c r="F4">
        <v>0</v>
      </c>
      <c r="G4" t="s">
        <v>516</v>
      </c>
      <c r="H4">
        <v>2</v>
      </c>
      <c r="I4" cm="1">
        <f t="array" ref="I4">_xlfn.XLOOKUP(tblContractDependency[[#This Row],[Index]],_xleta.INDEX,qryContractsToGnatt[Unit Price],0)</f>
        <v>0</v>
      </c>
      <c r="J4" s="524">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50">
        <f ca="1">IFERROR(_xlfn.XLOOKUP(tblContractDependency[[#This Row],[Index]], Contract_Edits[Index], Contract_Edits[Date]), tblContractDependency[[#This Row],[Start]])</f>
        <v>46181</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513</v>
      </c>
      <c r="C5" t="s">
        <v>520</v>
      </c>
      <c r="D5" t="s">
        <v>521</v>
      </c>
      <c r="E5">
        <v>1</v>
      </c>
      <c r="F5">
        <v>0</v>
      </c>
      <c r="G5" t="s">
        <v>516</v>
      </c>
      <c r="H5">
        <v>3</v>
      </c>
      <c r="I5" cm="1">
        <f t="array" ref="I5">_xlfn.XLOOKUP(tblContractDependency[[#This Row],[Index]],_xleta.INDEX,qryContractsToGnatt[Unit Price],0)</f>
        <v>0</v>
      </c>
      <c r="J5" s="524">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50">
        <f ca="1">IFERROR(_xlfn.XLOOKUP(tblContractDependency[[#This Row],[Index]], Contract_Edits[Index], Contract_Edits[Date]), tblContractDependency[[#This Row],[Start]])</f>
        <v>46181</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513</v>
      </c>
      <c r="C6" t="s">
        <v>522</v>
      </c>
      <c r="D6" t="s">
        <v>523</v>
      </c>
      <c r="E6">
        <v>1</v>
      </c>
      <c r="F6">
        <v>0</v>
      </c>
      <c r="G6" t="s">
        <v>516</v>
      </c>
      <c r="H6">
        <v>4</v>
      </c>
      <c r="I6" cm="1">
        <f t="array" ref="I6">_xlfn.XLOOKUP(tblContractDependency[[#This Row],[Index]],_xleta.INDEX,qryContractsToGnatt[Unit Price],0)</f>
        <v>0</v>
      </c>
      <c r="J6" s="524">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50">
        <f ca="1">IFERROR(_xlfn.XLOOKUP(tblContractDependency[[#This Row],[Index]], Contract_Edits[Index], Contract_Edits[Date]), tblContractDependency[[#This Row],[Start]])</f>
        <v>46181</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513</v>
      </c>
      <c r="C7" t="s">
        <v>524</v>
      </c>
      <c r="D7" t="s">
        <v>525</v>
      </c>
      <c r="E7">
        <v>1</v>
      </c>
      <c r="F7">
        <v>0</v>
      </c>
      <c r="G7" t="s">
        <v>516</v>
      </c>
      <c r="H7">
        <v>5</v>
      </c>
      <c r="I7" cm="1">
        <f t="array" ref="I7">_xlfn.XLOOKUP(tblContractDependency[[#This Row],[Index]],_xleta.INDEX,qryContractsToGnatt[Unit Price],0)</f>
        <v>0</v>
      </c>
      <c r="J7" s="524">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50">
        <f ca="1">IFERROR(_xlfn.XLOOKUP(tblContractDependency[[#This Row],[Index]], Contract_Edits[Index], Contract_Edits[Date]), tblContractDependency[[#This Row],[Start]])</f>
        <v>46181</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513</v>
      </c>
      <c r="C8" t="s">
        <v>526</v>
      </c>
      <c r="D8" t="s">
        <v>527</v>
      </c>
      <c r="E8">
        <v>1</v>
      </c>
      <c r="F8">
        <v>0</v>
      </c>
      <c r="G8" t="s">
        <v>516</v>
      </c>
      <c r="H8">
        <v>6</v>
      </c>
      <c r="I8" cm="1">
        <f t="array" ref="I8">_xlfn.XLOOKUP(tblContractDependency[[#This Row],[Index]],_xleta.INDEX,qryContractsToGnatt[Unit Price],0)</f>
        <v>0</v>
      </c>
      <c r="J8" s="524">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50">
        <f ca="1">IFERROR(_xlfn.XLOOKUP(tblContractDependency[[#This Row],[Index]], Contract_Edits[Index], Contract_Edits[Date]), tblContractDependency[[#This Row],[Start]])</f>
        <v>46181</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513</v>
      </c>
      <c r="C9" t="s">
        <v>528</v>
      </c>
      <c r="D9" t="s">
        <v>529</v>
      </c>
      <c r="E9">
        <v>1</v>
      </c>
      <c r="F9">
        <v>0</v>
      </c>
      <c r="G9" t="s">
        <v>516</v>
      </c>
      <c r="H9">
        <v>7</v>
      </c>
      <c r="I9" cm="1">
        <f t="array" ref="I9">_xlfn.XLOOKUP(tblContractDependency[[#This Row],[Index]],_xleta.INDEX,qryContractsToGnatt[Unit Price],0)</f>
        <v>0</v>
      </c>
      <c r="J9" s="524">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50">
        <f ca="1">IFERROR(_xlfn.XLOOKUP(tblContractDependency[[#This Row],[Index]], Contract_Edits[Index], Contract_Edits[Date]), tblContractDependency[[#This Row],[Start]])</f>
        <v>46181</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513</v>
      </c>
      <c r="C10" t="s">
        <v>530</v>
      </c>
      <c r="D10" t="s">
        <v>520</v>
      </c>
      <c r="E10">
        <v>1</v>
      </c>
      <c r="F10">
        <v>0</v>
      </c>
      <c r="G10" t="s">
        <v>516</v>
      </c>
      <c r="H10">
        <v>8</v>
      </c>
      <c r="I10" cm="1">
        <f t="array" ref="I10">_xlfn.XLOOKUP(tblContractDependency[[#This Row],[Index]],_xleta.INDEX,qryContractsToGnatt[Unit Price],0)</f>
        <v>0</v>
      </c>
      <c r="J10" s="524">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50">
        <f ca="1">IFERROR(_xlfn.XLOOKUP(tblContractDependency[[#This Row],[Index]], Contract_Edits[Index], Contract_Edits[Date]), tblContractDependency[[#This Row],[Start]])</f>
        <v>46181</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513</v>
      </c>
      <c r="C11" t="s">
        <v>530</v>
      </c>
      <c r="D11" t="s">
        <v>531</v>
      </c>
      <c r="E11">
        <v>1</v>
      </c>
      <c r="F11">
        <v>0</v>
      </c>
      <c r="G11" t="s">
        <v>516</v>
      </c>
      <c r="H11">
        <v>9</v>
      </c>
      <c r="I11" cm="1">
        <f t="array" ref="I11">_xlfn.XLOOKUP(tblContractDependency[[#This Row],[Index]],_xleta.INDEX,qryContractsToGnatt[Unit Price],0)</f>
        <v>0</v>
      </c>
      <c r="J11" s="524">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50">
        <f ca="1">IFERROR(_xlfn.XLOOKUP(tblContractDependency[[#This Row],[Index]], Contract_Edits[Index], Contract_Edits[Date]), tblContractDependency[[#This Row],[Start]])</f>
        <v>46181</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513</v>
      </c>
      <c r="C12" t="s">
        <v>530</v>
      </c>
      <c r="D12" t="s">
        <v>532</v>
      </c>
      <c r="E12">
        <v>1</v>
      </c>
      <c r="F12">
        <v>0</v>
      </c>
      <c r="G12" t="s">
        <v>516</v>
      </c>
      <c r="H12">
        <v>10</v>
      </c>
      <c r="I12" cm="1">
        <f t="array" ref="I12">_xlfn.XLOOKUP(tblContractDependency[[#This Row],[Index]],_xleta.INDEX,qryContractsToGnatt[Unit Price],0)</f>
        <v>0</v>
      </c>
      <c r="J12" s="524">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50">
        <f ca="1">IFERROR(_xlfn.XLOOKUP(tblContractDependency[[#This Row],[Index]], Contract_Edits[Index], Contract_Edits[Date]), tblContractDependency[[#This Row],[Start]])</f>
        <v>46181</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513</v>
      </c>
      <c r="C13" t="s">
        <v>533</v>
      </c>
      <c r="D13" t="s">
        <v>534</v>
      </c>
      <c r="E13">
        <v>1</v>
      </c>
      <c r="F13">
        <v>0</v>
      </c>
      <c r="G13" t="s">
        <v>516</v>
      </c>
      <c r="H13">
        <v>11</v>
      </c>
      <c r="I13" cm="1">
        <f t="array" ref="I13">_xlfn.XLOOKUP(tblContractDependency[[#This Row],[Index]],_xleta.INDEX,qryContractsToGnatt[Unit Price],0)</f>
        <v>0</v>
      </c>
      <c r="J13" s="524">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50">
        <f ca="1">IFERROR(_xlfn.XLOOKUP(tblContractDependency[[#This Row],[Index]], Contract_Edits[Index], Contract_Edits[Date]), tblContractDependency[[#This Row],[Start]])</f>
        <v>46181</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513</v>
      </c>
      <c r="C14" t="s">
        <v>535</v>
      </c>
      <c r="D14" t="s">
        <v>536</v>
      </c>
      <c r="E14">
        <v>1</v>
      </c>
      <c r="F14">
        <v>0</v>
      </c>
      <c r="G14" t="s">
        <v>516</v>
      </c>
      <c r="H14">
        <v>12</v>
      </c>
      <c r="I14" cm="1">
        <f t="array" ref="I14">_xlfn.XLOOKUP(tblContractDependency[[#This Row],[Index]],_xleta.INDEX,qryContractsToGnatt[Unit Price],0)</f>
        <v>0</v>
      </c>
      <c r="J14" s="524">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50">
        <f ca="1">IFERROR(_xlfn.XLOOKUP(tblContractDependency[[#This Row],[Index]], Contract_Edits[Index], Contract_Edits[Date]), tblContractDependency[[#This Row],[Start]])</f>
        <v>46181</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513</v>
      </c>
      <c r="C15" t="s">
        <v>537</v>
      </c>
      <c r="D15" t="s">
        <v>538</v>
      </c>
      <c r="E15">
        <v>1</v>
      </c>
      <c r="F15">
        <v>0</v>
      </c>
      <c r="G15" t="s">
        <v>516</v>
      </c>
      <c r="H15">
        <v>13</v>
      </c>
      <c r="I15" cm="1">
        <f t="array" ref="I15">_xlfn.XLOOKUP(tblContractDependency[[#This Row],[Index]],_xleta.INDEX,qryContractsToGnatt[Unit Price],0)</f>
        <v>0</v>
      </c>
      <c r="J15" s="524">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50">
        <f ca="1">IFERROR(_xlfn.XLOOKUP(tblContractDependency[[#This Row],[Index]], Contract_Edits[Index], Contract_Edits[Date]), tblContractDependency[[#This Row],[Start]])</f>
        <v>46181</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513</v>
      </c>
      <c r="C16" t="s">
        <v>539</v>
      </c>
      <c r="D16" t="s">
        <v>540</v>
      </c>
      <c r="E16">
        <v>1</v>
      </c>
      <c r="F16">
        <v>0</v>
      </c>
      <c r="G16" t="s">
        <v>516</v>
      </c>
      <c r="H16">
        <v>14</v>
      </c>
      <c r="I16" cm="1">
        <f t="array" ref="I16">_xlfn.XLOOKUP(tblContractDependency[[#This Row],[Index]],_xleta.INDEX,qryContractsToGnatt[Unit Price],0)</f>
        <v>0</v>
      </c>
      <c r="J16" s="524">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50">
        <f ca="1">IFERROR(_xlfn.XLOOKUP(tblContractDependency[[#This Row],[Index]], Contract_Edits[Index], Contract_Edits[Date]), tblContractDependency[[#This Row],[Start]])</f>
        <v>46181</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513</v>
      </c>
      <c r="C17" t="s">
        <v>541</v>
      </c>
      <c r="D17" t="s">
        <v>531</v>
      </c>
      <c r="E17">
        <v>1</v>
      </c>
      <c r="F17">
        <v>0</v>
      </c>
      <c r="G17" t="s">
        <v>516</v>
      </c>
      <c r="H17">
        <v>15</v>
      </c>
      <c r="I17" cm="1">
        <f t="array" ref="I17">_xlfn.XLOOKUP(tblContractDependency[[#This Row],[Index]],_xleta.INDEX,qryContractsToGnatt[Unit Price],0)</f>
        <v>0</v>
      </c>
      <c r="J17" s="524">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50">
        <f ca="1">IFERROR(_xlfn.XLOOKUP(tblContractDependency[[#This Row],[Index]], Contract_Edits[Index], Contract_Edits[Date]), tblContractDependency[[#This Row],[Start]])</f>
        <v>46181</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513</v>
      </c>
      <c r="C18" t="s">
        <v>541</v>
      </c>
      <c r="D18" t="s">
        <v>520</v>
      </c>
      <c r="E18">
        <v>1</v>
      </c>
      <c r="F18">
        <v>0</v>
      </c>
      <c r="G18" t="s">
        <v>516</v>
      </c>
      <c r="H18">
        <v>16</v>
      </c>
      <c r="I18" cm="1">
        <f t="array" ref="I18">_xlfn.XLOOKUP(tblContractDependency[[#This Row],[Index]],_xleta.INDEX,qryContractsToGnatt[Unit Price],0)</f>
        <v>0</v>
      </c>
      <c r="J18" s="524">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50">
        <f ca="1">IFERROR(_xlfn.XLOOKUP(tblContractDependency[[#This Row],[Index]], Contract_Edits[Index], Contract_Edits[Date]), tblContractDependency[[#This Row],[Start]])</f>
        <v>46181</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513</v>
      </c>
      <c r="C19" t="s">
        <v>541</v>
      </c>
      <c r="D19" t="s">
        <v>532</v>
      </c>
      <c r="E19">
        <v>1</v>
      </c>
      <c r="F19">
        <v>0</v>
      </c>
      <c r="G19" t="s">
        <v>516</v>
      </c>
      <c r="H19">
        <v>17</v>
      </c>
      <c r="I19" cm="1">
        <f t="array" ref="I19">_xlfn.XLOOKUP(tblContractDependency[[#This Row],[Index]],_xleta.INDEX,qryContractsToGnatt[Unit Price],0)</f>
        <v>0</v>
      </c>
      <c r="J19" s="524">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50">
        <f ca="1">IFERROR(_xlfn.XLOOKUP(tblContractDependency[[#This Row],[Index]], Contract_Edits[Index], Contract_Edits[Date]), tblContractDependency[[#This Row],[Start]])</f>
        <v>46181</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513</v>
      </c>
      <c r="C20" t="s">
        <v>532</v>
      </c>
      <c r="D20" t="s">
        <v>539</v>
      </c>
      <c r="E20">
        <v>1</v>
      </c>
      <c r="F20">
        <v>0</v>
      </c>
      <c r="G20" t="s">
        <v>516</v>
      </c>
      <c r="H20">
        <v>18</v>
      </c>
      <c r="I20" cm="1">
        <f t="array" ref="I20">_xlfn.XLOOKUP(tblContractDependency[[#This Row],[Index]],_xleta.INDEX,qryContractsToGnatt[Unit Price],0)</f>
        <v>0</v>
      </c>
      <c r="J20" s="524">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50">
        <f ca="1">IFERROR(_xlfn.XLOOKUP(tblContractDependency[[#This Row],[Index]], Contract_Edits[Index], Contract_Edits[Date]), tblContractDependency[[#This Row],[Start]])</f>
        <v>46181</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513</v>
      </c>
      <c r="C21" t="s">
        <v>528</v>
      </c>
      <c r="D21" t="s">
        <v>542</v>
      </c>
      <c r="E21">
        <v>1</v>
      </c>
      <c r="F21">
        <v>0</v>
      </c>
      <c r="G21" t="s">
        <v>516</v>
      </c>
      <c r="H21">
        <v>19</v>
      </c>
      <c r="I21" cm="1">
        <f t="array" ref="I21">_xlfn.XLOOKUP(tblContractDependency[[#This Row],[Index]],_xleta.INDEX,qryContractsToGnatt[Unit Price],0)</f>
        <v>0</v>
      </c>
      <c r="J21" s="524">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50">
        <f ca="1">IFERROR(_xlfn.XLOOKUP(tblContractDependency[[#This Row],[Index]], Contract_Edits[Index], Contract_Edits[Date]), tblContractDependency[[#This Row],[Start]])</f>
        <v>46181</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513</v>
      </c>
      <c r="C22" t="s">
        <v>543</v>
      </c>
      <c r="D22" t="s">
        <v>544</v>
      </c>
      <c r="E22">
        <v>1</v>
      </c>
      <c r="F22">
        <v>0</v>
      </c>
      <c r="G22" t="s">
        <v>516</v>
      </c>
      <c r="H22">
        <v>20</v>
      </c>
      <c r="I22" cm="1">
        <f t="array" ref="I22">_xlfn.XLOOKUP(tblContractDependency[[#This Row],[Index]],_xleta.INDEX,qryContractsToGnatt[Unit Price],0)</f>
        <v>0</v>
      </c>
      <c r="J22" s="524">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50">
        <f ca="1">IFERROR(_xlfn.XLOOKUP(tblContractDependency[[#This Row],[Index]], Contract_Edits[Index], Contract_Edits[Date]), tblContractDependency[[#This Row],[Start]])</f>
        <v>46181</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513</v>
      </c>
      <c r="C23" t="s">
        <v>545</v>
      </c>
      <c r="D23" t="s">
        <v>546</v>
      </c>
      <c r="E23">
        <v>1</v>
      </c>
      <c r="F23">
        <v>0</v>
      </c>
      <c r="G23" t="s">
        <v>516</v>
      </c>
      <c r="H23">
        <v>21</v>
      </c>
      <c r="I23" cm="1">
        <f t="array" ref="I23">_xlfn.XLOOKUP(tblContractDependency[[#This Row],[Index]],_xleta.INDEX,qryContractsToGnatt[Unit Price],0)</f>
        <v>0</v>
      </c>
      <c r="J23" s="524">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50">
        <f ca="1">IFERROR(_xlfn.XLOOKUP(tblContractDependency[[#This Row],[Index]], Contract_Edits[Index], Contract_Edits[Date]), tblContractDependency[[#This Row],[Start]])</f>
        <v>46181</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513</v>
      </c>
      <c r="C24" t="s">
        <v>547</v>
      </c>
      <c r="D24" t="s">
        <v>548</v>
      </c>
      <c r="E24">
        <v>1</v>
      </c>
      <c r="F24">
        <v>0</v>
      </c>
      <c r="G24" t="s">
        <v>516</v>
      </c>
      <c r="H24">
        <v>22</v>
      </c>
      <c r="I24" cm="1">
        <f t="array" ref="I24">_xlfn.XLOOKUP(tblContractDependency[[#This Row],[Index]],_xleta.INDEX,qryContractsToGnatt[Unit Price],0)</f>
        <v>0</v>
      </c>
      <c r="J24" s="524">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50">
        <f ca="1">IFERROR(_xlfn.XLOOKUP(tblContractDependency[[#This Row],[Index]], Contract_Edits[Index], Contract_Edits[Date]), tblContractDependency[[#This Row],[Start]])</f>
        <v>46181</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513</v>
      </c>
      <c r="C25" t="s">
        <v>537</v>
      </c>
      <c r="D25" t="s">
        <v>549</v>
      </c>
      <c r="E25">
        <v>1</v>
      </c>
      <c r="F25">
        <v>0</v>
      </c>
      <c r="G25" t="s">
        <v>516</v>
      </c>
      <c r="H25">
        <v>23</v>
      </c>
      <c r="I25" cm="1">
        <f t="array" ref="I25">_xlfn.XLOOKUP(tblContractDependency[[#This Row],[Index]],_xleta.INDEX,qryContractsToGnatt[Unit Price],0)</f>
        <v>0</v>
      </c>
      <c r="J25" s="524">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50">
        <f ca="1">IFERROR(_xlfn.XLOOKUP(tblContractDependency[[#This Row],[Index]], Contract_Edits[Index], Contract_Edits[Date]), tblContractDependency[[#This Row],[Start]])</f>
        <v>46181</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513</v>
      </c>
      <c r="C26" t="s">
        <v>550</v>
      </c>
      <c r="D26" t="s">
        <v>551</v>
      </c>
      <c r="E26">
        <v>1</v>
      </c>
      <c r="F26">
        <v>0</v>
      </c>
      <c r="G26" t="s">
        <v>516</v>
      </c>
      <c r="H26">
        <v>24</v>
      </c>
      <c r="I26" cm="1">
        <f t="array" ref="I26">_xlfn.XLOOKUP(tblContractDependency[[#This Row],[Index]],_xleta.INDEX,qryContractsToGnatt[Unit Price],0)</f>
        <v>0</v>
      </c>
      <c r="J26" s="524">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50">
        <f ca="1">IFERROR(_xlfn.XLOOKUP(tblContractDependency[[#This Row],[Index]], Contract_Edits[Index], Contract_Edits[Date]), tblContractDependency[[#This Row],[Start]])</f>
        <v>46181</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513</v>
      </c>
      <c r="C27" t="s">
        <v>552</v>
      </c>
      <c r="D27" t="s">
        <v>550</v>
      </c>
      <c r="E27">
        <v>1</v>
      </c>
      <c r="F27">
        <v>0</v>
      </c>
      <c r="G27" t="s">
        <v>516</v>
      </c>
      <c r="H27">
        <v>25</v>
      </c>
      <c r="I27" cm="1">
        <f t="array" ref="I27">_xlfn.XLOOKUP(tblContractDependency[[#This Row],[Index]],_xleta.INDEX,qryContractsToGnatt[Unit Price],0)</f>
        <v>0</v>
      </c>
      <c r="J27" s="524">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50">
        <f ca="1">IFERROR(_xlfn.XLOOKUP(tblContractDependency[[#This Row],[Index]], Contract_Edits[Index], Contract_Edits[Date]), tblContractDependency[[#This Row],[Start]])</f>
        <v>46181</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513</v>
      </c>
      <c r="C28" t="s">
        <v>553</v>
      </c>
      <c r="D28" t="s">
        <v>554</v>
      </c>
      <c r="E28">
        <v>1</v>
      </c>
      <c r="F28">
        <v>0</v>
      </c>
      <c r="G28" t="s">
        <v>516</v>
      </c>
      <c r="H28">
        <v>26</v>
      </c>
      <c r="I28" cm="1">
        <f t="array" ref="I28">_xlfn.XLOOKUP(tblContractDependency[[#This Row],[Index]],_xleta.INDEX,qryContractsToGnatt[Unit Price],0)</f>
        <v>0</v>
      </c>
      <c r="J28" s="524">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50">
        <f ca="1">IFERROR(_xlfn.XLOOKUP(tblContractDependency[[#This Row],[Index]], Contract_Edits[Index], Contract_Edits[Date]), tblContractDependency[[#This Row],[Start]])</f>
        <v>46181</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513</v>
      </c>
      <c r="C29" t="s">
        <v>555</v>
      </c>
      <c r="D29" t="s">
        <v>556</v>
      </c>
      <c r="E29">
        <v>1</v>
      </c>
      <c r="F29">
        <v>0</v>
      </c>
      <c r="G29" t="s">
        <v>516</v>
      </c>
      <c r="H29">
        <v>27</v>
      </c>
      <c r="I29" cm="1">
        <f t="array" ref="I29">_xlfn.XLOOKUP(tblContractDependency[[#This Row],[Index]],_xleta.INDEX,qryContractsToGnatt[Unit Price],0)</f>
        <v>0</v>
      </c>
      <c r="J29" s="524">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50">
        <f ca="1">IFERROR(_xlfn.XLOOKUP(tblContractDependency[[#This Row],[Index]], Contract_Edits[Index], Contract_Edits[Date]), tblContractDependency[[#This Row],[Start]])</f>
        <v>46181</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50"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613</v>
      </c>
      <c r="T1" s="15">
        <v>1</v>
      </c>
      <c r="U1" s="48" t="s">
        <v>165</v>
      </c>
      <c r="V1" s="15">
        <v>4</v>
      </c>
      <c r="AJ1" s="751" t="str">
        <f>+"These Cells are for the " &amp; 'Gnatt Chart'!D3 &amp; " Contract tab and are protected here. They are modified from the Contract tab"</f>
        <v>These Cells are for the Glasgow DB Contract tab and are protected here. They are modified from the Contract tab</v>
      </c>
      <c r="AK1" s="752"/>
      <c r="AL1" s="752"/>
      <c r="AM1" s="752"/>
      <c r="AN1" s="752"/>
      <c r="AO1" s="752"/>
      <c r="AP1" s="752"/>
      <c r="AQ1" s="623"/>
      <c r="AR1" s="753" t="s">
        <v>614</v>
      </c>
      <c r="AS1" s="752"/>
      <c r="AT1" s="752"/>
      <c r="AU1" s="752"/>
      <c r="AV1" s="752"/>
      <c r="AW1" s="752"/>
      <c r="AX1" s="752"/>
      <c r="AY1" s="623"/>
    </row>
    <row r="2" spans="1:51" ht="15" customHeight="1">
      <c r="S2" s="30" t="s">
        <v>615</v>
      </c>
      <c r="T2" s="15">
        <v>2</v>
      </c>
      <c r="U2" s="30" t="s">
        <v>616</v>
      </c>
      <c r="V2" s="15">
        <v>5</v>
      </c>
      <c r="AJ2" s="624"/>
      <c r="AK2" s="580"/>
      <c r="AL2" s="580"/>
      <c r="AM2" s="580"/>
      <c r="AN2" s="580"/>
      <c r="AO2" s="580"/>
      <c r="AP2" s="580"/>
      <c r="AQ2" s="565"/>
      <c r="AR2" s="624"/>
      <c r="AS2" s="580"/>
      <c r="AT2" s="580"/>
      <c r="AU2" s="580"/>
      <c r="AV2" s="580"/>
      <c r="AW2" s="580"/>
      <c r="AX2" s="580"/>
      <c r="AY2" s="565"/>
    </row>
    <row r="3" spans="1:51" ht="15.75" customHeight="1" thickBot="1">
      <c r="S3" s="30" t="s">
        <v>617</v>
      </c>
      <c r="T3" s="30">
        <v>3</v>
      </c>
      <c r="U3" s="30" t="s">
        <v>618</v>
      </c>
      <c r="V3" s="15">
        <v>0</v>
      </c>
      <c r="AJ3" s="625"/>
      <c r="AK3" s="582"/>
      <c r="AL3" s="582"/>
      <c r="AM3" s="582"/>
      <c r="AN3" s="582"/>
      <c r="AO3" s="582"/>
      <c r="AP3" s="582"/>
      <c r="AQ3" s="583"/>
      <c r="AR3" s="625"/>
      <c r="AS3" s="582"/>
      <c r="AT3" s="582"/>
      <c r="AU3" s="582"/>
      <c r="AV3" s="582"/>
      <c r="AW3" s="582"/>
      <c r="AX3" s="582"/>
      <c r="AY3" s="583"/>
    </row>
    <row r="4" spans="1:51">
      <c r="A4" t="s">
        <v>505</v>
      </c>
      <c r="B4" t="s">
        <v>506</v>
      </c>
      <c r="C4" t="s">
        <v>507</v>
      </c>
      <c r="D4" t="s">
        <v>508</v>
      </c>
      <c r="E4" t="s">
        <v>509</v>
      </c>
      <c r="F4" t="s">
        <v>510</v>
      </c>
      <c r="G4" t="s">
        <v>511</v>
      </c>
      <c r="H4" t="s">
        <v>604</v>
      </c>
      <c r="I4" t="s">
        <v>605</v>
      </c>
      <c r="J4" t="s">
        <v>606</v>
      </c>
      <c r="K4" t="s">
        <v>607</v>
      </c>
      <c r="L4" s="450" t="s">
        <v>608</v>
      </c>
      <c r="M4" t="s">
        <v>609</v>
      </c>
      <c r="N4" t="s">
        <v>610</v>
      </c>
      <c r="O4" t="s">
        <v>611</v>
      </c>
      <c r="P4" t="s">
        <v>435</v>
      </c>
      <c r="Q4" t="s">
        <v>612</v>
      </c>
    </row>
    <row r="5" spans="1:51">
      <c r="D5" s="444"/>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50"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613</v>
      </c>
      <c r="T1" s="15">
        <v>1</v>
      </c>
      <c r="U1" s="48" t="s">
        <v>165</v>
      </c>
      <c r="V1" s="15">
        <v>4</v>
      </c>
      <c r="X1" s="751" t="str">
        <f>+"These Cells are for the " &amp; 'Gnatt Chart'!D3 &amp; " Contract tab and are protected here. They are modified from the Contract tab"</f>
        <v>These Cells are for the Glasgow DB Contract tab and are protected here. They are modified from the Contract tab</v>
      </c>
      <c r="Y1" s="752"/>
      <c r="Z1" s="752"/>
      <c r="AA1" s="752"/>
      <c r="AB1" s="752"/>
      <c r="AC1" s="752"/>
      <c r="AD1" s="752"/>
      <c r="AE1" s="623"/>
      <c r="AF1" s="753" t="s">
        <v>614</v>
      </c>
      <c r="AG1" s="752"/>
      <c r="AH1" s="752"/>
      <c r="AI1" s="752"/>
      <c r="AJ1" s="752"/>
      <c r="AK1" s="752"/>
      <c r="AL1" s="752"/>
      <c r="AM1" s="623"/>
    </row>
    <row r="2" spans="1:39" ht="15" customHeight="1">
      <c r="C2" t="s">
        <v>1253</v>
      </c>
      <c r="F2" t="s">
        <v>1255</v>
      </c>
      <c r="G2">
        <v>9563</v>
      </c>
      <c r="I2" t="s">
        <v>109</v>
      </c>
      <c r="J2" s="12">
        <v>46136</v>
      </c>
      <c r="K2" s="83" t="s">
        <v>1257</v>
      </c>
      <c r="L2" s="83" t="s">
        <v>1256</v>
      </c>
      <c r="S2" s="30" t="s">
        <v>615</v>
      </c>
      <c r="T2" s="15">
        <v>2</v>
      </c>
      <c r="U2" s="30" t="s">
        <v>616</v>
      </c>
      <c r="V2" s="15">
        <v>5</v>
      </c>
      <c r="X2" s="624"/>
      <c r="Y2" s="580"/>
      <c r="Z2" s="580"/>
      <c r="AA2" s="580"/>
      <c r="AB2" s="580"/>
      <c r="AC2" s="580"/>
      <c r="AD2" s="580"/>
      <c r="AE2" s="565"/>
      <c r="AF2" s="624"/>
      <c r="AG2" s="580"/>
      <c r="AH2" s="580"/>
      <c r="AI2" s="580"/>
      <c r="AJ2" s="580"/>
      <c r="AK2" s="580"/>
      <c r="AL2" s="580"/>
      <c r="AM2" s="565"/>
    </row>
    <row r="3" spans="1:39" ht="15.75" customHeight="1" thickBot="1">
      <c r="S3" s="30" t="s">
        <v>617</v>
      </c>
      <c r="T3" s="30">
        <v>3</v>
      </c>
      <c r="U3" s="30" t="s">
        <v>618</v>
      </c>
      <c r="V3" s="15">
        <v>0</v>
      </c>
      <c r="X3" s="625"/>
      <c r="Y3" s="582"/>
      <c r="Z3" s="582"/>
      <c r="AA3" s="582"/>
      <c r="AB3" s="582"/>
      <c r="AC3" s="582"/>
      <c r="AD3" s="582"/>
      <c r="AE3" s="583"/>
      <c r="AF3" s="625"/>
      <c r="AG3" s="582"/>
      <c r="AH3" s="582"/>
      <c r="AI3" s="582"/>
      <c r="AJ3" s="582"/>
      <c r="AK3" s="582"/>
      <c r="AL3" s="582"/>
      <c r="AM3" s="583"/>
    </row>
    <row r="4" spans="1:39" s="22" customFormat="1">
      <c r="A4" s="22" t="s">
        <v>505</v>
      </c>
      <c r="B4" s="22" t="s">
        <v>506</v>
      </c>
      <c r="C4" s="22" t="s">
        <v>507</v>
      </c>
      <c r="D4" s="22" t="s">
        <v>508</v>
      </c>
      <c r="E4" s="22" t="s">
        <v>509</v>
      </c>
      <c r="F4" s="22" t="s">
        <v>510</v>
      </c>
      <c r="G4" s="22" t="s">
        <v>511</v>
      </c>
      <c r="H4" s="22" t="s">
        <v>604</v>
      </c>
      <c r="I4" s="22" t="s">
        <v>605</v>
      </c>
      <c r="J4" s="497" t="s">
        <v>606</v>
      </c>
      <c r="K4" s="22" t="s">
        <v>607</v>
      </c>
      <c r="L4" s="529" t="s">
        <v>608</v>
      </c>
      <c r="M4" s="22" t="s">
        <v>609</v>
      </c>
      <c r="N4" s="22" t="s">
        <v>610</v>
      </c>
      <c r="O4" s="22" t="s">
        <v>611</v>
      </c>
      <c r="P4" s="22" t="s">
        <v>435</v>
      </c>
      <c r="Q4" s="22" t="s">
        <v>612</v>
      </c>
    </row>
    <row r="5" spans="1:39">
      <c r="A5">
        <v>31</v>
      </c>
      <c r="B5" t="s">
        <v>557</v>
      </c>
      <c r="C5" t="s">
        <v>557</v>
      </c>
      <c r="D5" s="444" t="s">
        <v>558</v>
      </c>
      <c r="E5">
        <v>1</v>
      </c>
      <c r="F5" s="179"/>
      <c r="G5" t="s">
        <v>559</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50">
        <f ca="1">IFERROR(_xlfn.XLOOKUP(tblContractTim[[#This Row],[Index]], Contract_Edits[Index], Contract_Edits[Date]), tblContractTim[[#This Row],[Start]])</f>
        <v>46181</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537</v>
      </c>
      <c r="C6" t="s">
        <v>537</v>
      </c>
      <c r="D6" s="444" t="s">
        <v>560</v>
      </c>
      <c r="E6">
        <v>1</v>
      </c>
      <c r="F6" s="179"/>
      <c r="G6" t="s">
        <v>559</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50">
        <f ca="1">IFERROR(_xlfn.XLOOKUP(tblContractTim[[#This Row],[Index]], Contract_Edits[Index], Contract_Edits[Date]), tblContractTim[[#This Row],[Start]])</f>
        <v>46181</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537</v>
      </c>
      <c r="C7" t="s">
        <v>537</v>
      </c>
      <c r="D7" s="444" t="s">
        <v>561</v>
      </c>
      <c r="E7">
        <v>1</v>
      </c>
      <c r="F7" s="179"/>
      <c r="G7" t="s">
        <v>559</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50">
        <f ca="1">IFERROR(_xlfn.XLOOKUP(tblContractTim[[#This Row],[Index]], Contract_Edits[Index], Contract_Edits[Date]), tblContractTim[[#This Row],[Start]])</f>
        <v>46181</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537</v>
      </c>
      <c r="C8" t="s">
        <v>537</v>
      </c>
      <c r="D8" s="444" t="s">
        <v>562</v>
      </c>
      <c r="E8">
        <v>1</v>
      </c>
      <c r="F8" s="179"/>
      <c r="G8" t="s">
        <v>559</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50">
        <f ca="1">IFERROR(_xlfn.XLOOKUP(tblContractTim[[#This Row],[Index]], Contract_Edits[Index], Contract_Edits[Date]), tblContractTim[[#This Row],[Start]])</f>
        <v>46181</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563</v>
      </c>
      <c r="C9" t="s">
        <v>517</v>
      </c>
      <c r="D9" s="444" t="s">
        <v>564</v>
      </c>
      <c r="E9">
        <v>1</v>
      </c>
      <c r="F9" s="179"/>
      <c r="G9" t="s">
        <v>559</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50">
        <f ca="1">IFERROR(_xlfn.XLOOKUP(tblContractTim[[#This Row],[Index]], Contract_Edits[Index], Contract_Edits[Date]), tblContractTim[[#This Row],[Start]])</f>
        <v>46181</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563</v>
      </c>
      <c r="D10" s="444" t="s">
        <v>565</v>
      </c>
      <c r="E10">
        <v>1</v>
      </c>
      <c r="F10" s="179"/>
      <c r="G10" t="s">
        <v>559</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50">
        <f ca="1">IFERROR(_xlfn.XLOOKUP(tblContractTim[[#This Row],[Index]], Contract_Edits[Index], Contract_Edits[Date]), tblContractTim[[#This Row],[Start]])</f>
        <v>46181</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566</v>
      </c>
      <c r="C11" t="s">
        <v>567</v>
      </c>
      <c r="D11" s="444" t="s">
        <v>568</v>
      </c>
      <c r="E11">
        <v>1</v>
      </c>
      <c r="F11" s="179"/>
      <c r="G11" t="s">
        <v>559</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50">
        <f ca="1">IFERROR(_xlfn.XLOOKUP(tblContractTim[[#This Row],[Index]], Contract_Edits[Index], Contract_Edits[Date]), tblContractTim[[#This Row],[Start]])</f>
        <v>46181</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563</v>
      </c>
      <c r="C12" t="s">
        <v>567</v>
      </c>
      <c r="D12" s="444" t="s">
        <v>569</v>
      </c>
      <c r="E12">
        <v>1</v>
      </c>
      <c r="F12" s="179"/>
      <c r="G12" t="s">
        <v>559</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50">
        <f ca="1">IFERROR(_xlfn.XLOOKUP(tblContractTim[[#This Row],[Index]], Contract_Edits[Index], Contract_Edits[Date]), tblContractTim[[#This Row],[Start]])</f>
        <v>46181</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570</v>
      </c>
      <c r="C13" t="s">
        <v>571</v>
      </c>
      <c r="D13" s="444" t="s">
        <v>572</v>
      </c>
      <c r="E13">
        <v>1</v>
      </c>
      <c r="F13" s="179"/>
      <c r="G13" t="s">
        <v>559</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50">
        <f ca="1">IFERROR(_xlfn.XLOOKUP(tblContractTim[[#This Row],[Index]], Contract_Edits[Index], Contract_Edits[Date]), tblContractTim[[#This Row],[Start]])</f>
        <v>46181</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563</v>
      </c>
      <c r="C14" t="s">
        <v>517</v>
      </c>
      <c r="D14" s="444" t="s">
        <v>573</v>
      </c>
      <c r="E14">
        <v>1</v>
      </c>
      <c r="F14" s="179"/>
      <c r="G14" t="s">
        <v>559</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50">
        <f ca="1">IFERROR(_xlfn.XLOOKUP(tblContractTim[[#This Row],[Index]], Contract_Edits[Index], Contract_Edits[Date]), tblContractTim[[#This Row],[Start]])</f>
        <v>46181</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566</v>
      </c>
      <c r="C15" t="s">
        <v>574</v>
      </c>
      <c r="D15" s="444" t="s">
        <v>575</v>
      </c>
      <c r="E15">
        <v>1</v>
      </c>
      <c r="F15" s="179"/>
      <c r="G15" t="s">
        <v>559</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50">
        <f ca="1">IFERROR(_xlfn.XLOOKUP(tblContractTim[[#This Row],[Index]], Contract_Edits[Index], Contract_Edits[Date]), tblContractTim[[#This Row],[Start]])</f>
        <v>46181</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566</v>
      </c>
      <c r="C16" t="s">
        <v>574</v>
      </c>
      <c r="D16" s="444" t="s">
        <v>576</v>
      </c>
      <c r="E16">
        <v>1</v>
      </c>
      <c r="F16" s="179"/>
      <c r="G16" t="s">
        <v>559</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50">
        <f ca="1">IFERROR(_xlfn.XLOOKUP(tblContractTim[[#This Row],[Index]], Contract_Edits[Index], Contract_Edits[Date]), tblContractTim[[#This Row],[Start]])</f>
        <v>46181</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566</v>
      </c>
      <c r="C17" t="s">
        <v>574</v>
      </c>
      <c r="D17" s="444" t="s">
        <v>577</v>
      </c>
      <c r="E17">
        <v>1</v>
      </c>
      <c r="F17" s="179"/>
      <c r="G17" t="s">
        <v>559</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50">
        <f ca="1">IFERROR(_xlfn.XLOOKUP(tblContractTim[[#This Row],[Index]], Contract_Edits[Index], Contract_Edits[Date]), tblContractTim[[#This Row],[Start]])</f>
        <v>46181</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531</v>
      </c>
      <c r="C18" t="s">
        <v>578</v>
      </c>
      <c r="D18" s="444" t="s">
        <v>579</v>
      </c>
      <c r="E18">
        <v>1</v>
      </c>
      <c r="F18" s="179"/>
      <c r="G18" t="s">
        <v>559</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50">
        <f ca="1">IFERROR(_xlfn.XLOOKUP(tblContractTim[[#This Row],[Index]], Contract_Edits[Index], Contract_Edits[Date]), tblContractTim[[#This Row],[Start]])</f>
        <v>46181</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580</v>
      </c>
      <c r="D19" s="444" t="s">
        <v>581</v>
      </c>
      <c r="E19">
        <v>1</v>
      </c>
      <c r="F19" s="179"/>
      <c r="G19" t="s">
        <v>559</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50">
        <f ca="1">IFERROR(_xlfn.XLOOKUP(tblContractTim[[#This Row],[Index]], Contract_Edits[Index], Contract_Edits[Date]), tblContractTim[[#This Row],[Start]])</f>
        <v>46181</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563</v>
      </c>
      <c r="C20" t="s">
        <v>517</v>
      </c>
      <c r="D20" s="444" t="s">
        <v>582</v>
      </c>
      <c r="E20">
        <v>1</v>
      </c>
      <c r="F20" s="179"/>
      <c r="G20" t="s">
        <v>559</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50">
        <f ca="1">IFERROR(_xlfn.XLOOKUP(tblContractTim[[#This Row],[Index]], Contract_Edits[Index], Contract_Edits[Date]), tblContractTim[[#This Row],[Start]])</f>
        <v>46181</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580</v>
      </c>
      <c r="C21" t="s">
        <v>583</v>
      </c>
      <c r="D21" s="444" t="s">
        <v>584</v>
      </c>
      <c r="E21">
        <v>1</v>
      </c>
      <c r="F21" s="179"/>
      <c r="G21" t="s">
        <v>559</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50">
        <f ca="1">IFERROR(_xlfn.XLOOKUP(tblContractTim[[#This Row],[Index]], Contract_Edits[Index], Contract_Edits[Date]), tblContractTim[[#This Row],[Start]])</f>
        <v>46181</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563</v>
      </c>
      <c r="C22" t="s">
        <v>517</v>
      </c>
      <c r="D22" s="444" t="s">
        <v>585</v>
      </c>
      <c r="E22">
        <v>1</v>
      </c>
      <c r="F22" s="179"/>
      <c r="G22" t="s">
        <v>559</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50">
        <f ca="1">IFERROR(_xlfn.XLOOKUP(tblContractTim[[#This Row],[Index]], Contract_Edits[Index], Contract_Edits[Date]), tblContractTim[[#This Row],[Start]])</f>
        <v>46181</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566</v>
      </c>
      <c r="C23" t="s">
        <v>574</v>
      </c>
      <c r="D23" s="444" t="s">
        <v>586</v>
      </c>
      <c r="E23">
        <v>1</v>
      </c>
      <c r="F23" s="179"/>
      <c r="G23" t="s">
        <v>559</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50">
        <f ca="1">IFERROR(_xlfn.XLOOKUP(tblContractTim[[#This Row],[Index]], Contract_Edits[Index], Contract_Edits[Date]), tblContractTim[[#This Row],[Start]])</f>
        <v>46181</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537</v>
      </c>
      <c r="C24" t="s">
        <v>537</v>
      </c>
      <c r="D24" s="444" t="s">
        <v>587</v>
      </c>
      <c r="E24">
        <v>2</v>
      </c>
      <c r="F24" s="179"/>
      <c r="G24" t="s">
        <v>559</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50">
        <f ca="1">IFERROR(_xlfn.XLOOKUP(tblContractTim[[#This Row],[Index]], Contract_Edits[Index], Contract_Edits[Date]), tblContractTim[[#This Row],[Start]])</f>
        <v>46181</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566</v>
      </c>
      <c r="C25" t="s">
        <v>574</v>
      </c>
      <c r="D25" s="444" t="s">
        <v>588</v>
      </c>
      <c r="E25">
        <v>1</v>
      </c>
      <c r="F25" s="179"/>
      <c r="G25" t="s">
        <v>559</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50">
        <f ca="1">IFERROR(_xlfn.XLOOKUP(tblContractTim[[#This Row],[Index]], Contract_Edits[Index], Contract_Edits[Date]), tblContractTim[[#This Row],[Start]])</f>
        <v>46181</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532</v>
      </c>
      <c r="C26" t="s">
        <v>532</v>
      </c>
      <c r="D26" s="444" t="s">
        <v>589</v>
      </c>
      <c r="E26">
        <v>1</v>
      </c>
      <c r="F26" s="179"/>
      <c r="G26" t="s">
        <v>559</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50">
        <f ca="1">IFERROR(_xlfn.XLOOKUP(tblContractTim[[#This Row],[Index]], Contract_Edits[Index], Contract_Edits[Date]), tblContractTim[[#This Row],[Start]])</f>
        <v>46181</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566</v>
      </c>
      <c r="C27" t="s">
        <v>574</v>
      </c>
      <c r="D27" s="444" t="s">
        <v>590</v>
      </c>
      <c r="E27">
        <v>1</v>
      </c>
      <c r="F27" s="179"/>
      <c r="G27" t="s">
        <v>559</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50">
        <f ca="1">IFERROR(_xlfn.XLOOKUP(tblContractTim[[#This Row],[Index]], Contract_Edits[Index], Contract_Edits[Date]), tblContractTim[[#This Row],[Start]])</f>
        <v>46181</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591</v>
      </c>
      <c r="C28" t="s">
        <v>592</v>
      </c>
      <c r="D28" s="444" t="s">
        <v>593</v>
      </c>
      <c r="E28">
        <v>1</v>
      </c>
      <c r="F28" s="179"/>
      <c r="G28" t="s">
        <v>559</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50">
        <f ca="1">IFERROR(_xlfn.XLOOKUP(tblContractTim[[#This Row],[Index]], Contract_Edits[Index], Contract_Edits[Date]), tblContractTim[[#This Row],[Start]])</f>
        <v>46181</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591</v>
      </c>
      <c r="C29" t="s">
        <v>594</v>
      </c>
      <c r="D29" s="444" t="s">
        <v>595</v>
      </c>
      <c r="E29">
        <v>1</v>
      </c>
      <c r="F29" s="179"/>
      <c r="G29" t="s">
        <v>559</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50">
        <f ca="1">IFERROR(_xlfn.XLOOKUP(tblContractTim[[#This Row],[Index]], Contract_Edits[Index], Contract_Edits[Date]), tblContractTim[[#This Row],[Start]])</f>
        <v>46181</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531</v>
      </c>
      <c r="C30" t="s">
        <v>594</v>
      </c>
      <c r="D30" s="444" t="s">
        <v>596</v>
      </c>
      <c r="E30">
        <v>1</v>
      </c>
      <c r="F30" s="179"/>
      <c r="G30" t="s">
        <v>559</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50">
        <f ca="1">IFERROR(_xlfn.XLOOKUP(tblContractTim[[#This Row],[Index]], Contract_Edits[Index], Contract_Edits[Date]), tblContractTim[[#This Row],[Start]])</f>
        <v>46181</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566</v>
      </c>
      <c r="C31" t="s">
        <v>574</v>
      </c>
      <c r="D31" s="444" t="s">
        <v>597</v>
      </c>
      <c r="E31">
        <v>3</v>
      </c>
      <c r="F31" s="179"/>
      <c r="G31" t="s">
        <v>559</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50">
        <f ca="1">IFERROR(_xlfn.XLOOKUP(tblContractTim[[#This Row],[Index]], Contract_Edits[Index], Contract_Edits[Date]), tblContractTim[[#This Row],[Start]])</f>
        <v>46181</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563</v>
      </c>
      <c r="C32" t="s">
        <v>537</v>
      </c>
      <c r="D32" s="444" t="s">
        <v>598</v>
      </c>
      <c r="E32">
        <v>2</v>
      </c>
      <c r="F32" s="179"/>
      <c r="G32" t="s">
        <v>559</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50">
        <f ca="1">IFERROR(_xlfn.XLOOKUP(tblContractTim[[#This Row],[Index]], Contract_Edits[Index], Contract_Edits[Date]), tblContractTim[[#This Row],[Start]])</f>
        <v>46181</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563</v>
      </c>
      <c r="C33" t="s">
        <v>599</v>
      </c>
      <c r="D33" s="444" t="s">
        <v>600</v>
      </c>
      <c r="E33">
        <v>1</v>
      </c>
      <c r="F33" s="179"/>
      <c r="G33" t="s">
        <v>559</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50">
        <f ca="1">IFERROR(_xlfn.XLOOKUP(tblContractTim[[#This Row],[Index]], Contract_Edits[Index], Contract_Edits[Date]), tblContractTim[[#This Row],[Start]])</f>
        <v>46181</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591</v>
      </c>
      <c r="C34" t="s">
        <v>601</v>
      </c>
      <c r="D34" s="444" t="s">
        <v>602</v>
      </c>
      <c r="E34">
        <v>1</v>
      </c>
      <c r="F34" s="179"/>
      <c r="G34" t="s">
        <v>559</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50">
        <f ca="1">IFERROR(_xlfn.XLOOKUP(tblContractTim[[#This Row],[Index]], Contract_Edits[Index], Contract_Edits[Date]), tblContractTim[[#This Row],[Start]])</f>
        <v>46181</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537</v>
      </c>
      <c r="C35" t="s">
        <v>594</v>
      </c>
      <c r="D35" s="444" t="s">
        <v>603</v>
      </c>
      <c r="E35">
        <v>1</v>
      </c>
      <c r="F35" s="179"/>
      <c r="G35" t="s">
        <v>559</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50">
        <f ca="1">IFERROR(_xlfn.XLOOKUP(tblContractTim[[#This Row],[Index]], Contract_Edits[Index], Contract_Edits[Date]), tblContractTim[[#This Row],[Start]])</f>
        <v>46181</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537</v>
      </c>
      <c r="C36" t="s">
        <v>601</v>
      </c>
      <c r="D36" s="444" t="s">
        <v>1247</v>
      </c>
      <c r="E36">
        <v>2</v>
      </c>
      <c r="F36" s="179">
        <v>62.5</v>
      </c>
      <c r="G36" t="s">
        <v>559</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50">
        <f ca="1">IFERROR(_xlfn.XLOOKUP(tblContractTim[[#This Row],[Index]], Contract_Edits[Index], Contract_Edits[Date]), tblContractTim[[#This Row],[Start]])</f>
        <v>46181</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580</v>
      </c>
      <c r="C37" t="s">
        <v>583</v>
      </c>
      <c r="D37" s="444" t="s">
        <v>1252</v>
      </c>
      <c r="E37">
        <v>16</v>
      </c>
      <c r="F37" s="179">
        <v>62.5</v>
      </c>
      <c r="G37" t="s">
        <v>559</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50">
        <f ca="1">IFERROR(_xlfn.XLOOKUP(tblContractTim[[#This Row],[Index]], Contract_Edits[Index], Contract_Edits[Date]), tblContractTim[[#This Row],[Start]])</f>
        <v>46181</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537</v>
      </c>
      <c r="C38" t="s">
        <v>599</v>
      </c>
      <c r="D38" s="444" t="s">
        <v>1251</v>
      </c>
      <c r="E38">
        <v>15</v>
      </c>
      <c r="F38" s="179">
        <v>62.5</v>
      </c>
      <c r="G38" t="s">
        <v>559</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50">
        <f ca="1">IFERROR(_xlfn.XLOOKUP(tblContractTim[[#This Row],[Index]], Contract_Edits[Index], Contract_Edits[Date]), tblContractTim[[#This Row],[Start]])</f>
        <v>46181</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1275</v>
      </c>
      <c r="C39" t="s">
        <v>599</v>
      </c>
      <c r="D39" s="444" t="s">
        <v>1276</v>
      </c>
      <c r="E39">
        <v>11</v>
      </c>
      <c r="F39" s="179">
        <v>62.5</v>
      </c>
      <c r="G39" t="s">
        <v>559</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50">
        <f ca="1">IFERROR(_xlfn.XLOOKUP(tblContractTim[[#This Row],[Index]], Contract_Edits[Index], Contract_Edits[Date]), tblContractTim[[#This Row],[Start]])</f>
        <v>46181</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50" t="s">
        <v>1254</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50"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51" t="str">
        <f>+"These Cells are for the " &amp; 'Gnatt Chart'!D3 &amp; " Contract tab and are protected here. They are modified from the Contract tab"</f>
        <v>These Cells are for the Glasgow DB Contract tab and are protected here. They are modified from the Contract tab</v>
      </c>
      <c r="B1" s="754"/>
      <c r="C1" s="754"/>
      <c r="D1" s="754"/>
      <c r="E1" s="754"/>
      <c r="F1" s="754"/>
      <c r="G1" s="754"/>
      <c r="H1" s="755"/>
      <c r="I1" s="753" t="s">
        <v>614</v>
      </c>
      <c r="J1" s="762"/>
      <c r="K1" s="762"/>
      <c r="L1" s="762"/>
      <c r="M1" s="762"/>
      <c r="N1" s="762"/>
      <c r="O1" s="762"/>
      <c r="P1" s="763"/>
      <c r="S1" s="30" t="s">
        <v>613</v>
      </c>
      <c r="T1" s="15">
        <v>1</v>
      </c>
      <c r="U1" s="48" t="s">
        <v>165</v>
      </c>
      <c r="V1" s="15">
        <v>4</v>
      </c>
      <c r="W1" s="30"/>
      <c r="X1" s="30"/>
      <c r="Y1" s="30"/>
      <c r="Z1" s="30"/>
    </row>
    <row r="2" spans="1:26" ht="15" customHeight="1">
      <c r="A2" s="756"/>
      <c r="B2" s="757"/>
      <c r="C2" s="757"/>
      <c r="D2" s="757"/>
      <c r="E2" s="757"/>
      <c r="F2" s="757"/>
      <c r="G2" s="757"/>
      <c r="H2" s="758"/>
      <c r="I2" s="764"/>
      <c r="J2" s="765"/>
      <c r="K2" s="765"/>
      <c r="L2" s="765"/>
      <c r="M2" s="765"/>
      <c r="N2" s="765"/>
      <c r="O2" s="765"/>
      <c r="P2" s="766"/>
      <c r="S2" s="30" t="s">
        <v>615</v>
      </c>
      <c r="T2" s="15">
        <v>2</v>
      </c>
      <c r="U2" s="30" t="s">
        <v>616</v>
      </c>
      <c r="V2" s="15">
        <v>5</v>
      </c>
      <c r="W2" s="30"/>
      <c r="X2" s="30"/>
      <c r="Y2" s="30"/>
      <c r="Z2" s="30"/>
    </row>
    <row r="3" spans="1:26" ht="15.75" customHeight="1" thickBot="1">
      <c r="A3" s="759"/>
      <c r="B3" s="760"/>
      <c r="C3" s="760"/>
      <c r="D3" s="760"/>
      <c r="E3" s="760"/>
      <c r="F3" s="760"/>
      <c r="G3" s="760"/>
      <c r="H3" s="761"/>
      <c r="I3" s="767"/>
      <c r="J3" s="768"/>
      <c r="K3" s="768"/>
      <c r="L3" s="768"/>
      <c r="M3" s="768"/>
      <c r="N3" s="768"/>
      <c r="O3" s="768"/>
      <c r="P3" s="769"/>
      <c r="S3" s="30" t="s">
        <v>617</v>
      </c>
      <c r="T3" s="30">
        <v>3</v>
      </c>
      <c r="U3" s="30" t="s">
        <v>618</v>
      </c>
      <c r="V3" s="15">
        <v>6</v>
      </c>
      <c r="W3" s="30"/>
      <c r="X3" s="30"/>
      <c r="Y3" s="30"/>
      <c r="Z3" s="30"/>
    </row>
    <row r="4" spans="1:26">
      <c r="A4" t="s">
        <v>505</v>
      </c>
      <c r="B4" t="s">
        <v>506</v>
      </c>
      <c r="C4" t="s">
        <v>507</v>
      </c>
      <c r="D4" t="s">
        <v>508</v>
      </c>
      <c r="E4" t="s">
        <v>509</v>
      </c>
      <c r="F4" t="s">
        <v>510</v>
      </c>
      <c r="G4" t="s">
        <v>511</v>
      </c>
      <c r="H4" t="s">
        <v>604</v>
      </c>
      <c r="I4" s="497" t="s">
        <v>605</v>
      </c>
      <c r="J4" t="s">
        <v>606</v>
      </c>
      <c r="K4" t="s">
        <v>607</v>
      </c>
      <c r="L4" s="450" t="s">
        <v>608</v>
      </c>
      <c r="M4" t="s">
        <v>609</v>
      </c>
      <c r="N4" t="s">
        <v>610</v>
      </c>
      <c r="O4" t="s">
        <v>611</v>
      </c>
      <c r="P4" t="s">
        <v>435</v>
      </c>
      <c r="Q4" t="s">
        <v>612</v>
      </c>
    </row>
    <row r="5" spans="1:26">
      <c r="D5" s="444"/>
      <c r="H5" s="179"/>
      <c r="M5" s="11"/>
    </row>
    <row r="6" spans="1:26">
      <c r="D6" s="444"/>
      <c r="H6" s="179"/>
      <c r="M6" s="11"/>
      <c r="S6" t="s">
        <v>506</v>
      </c>
      <c r="T6" t="s">
        <v>619</v>
      </c>
      <c r="U6" t="s">
        <v>612</v>
      </c>
      <c r="V6" t="s">
        <v>620</v>
      </c>
      <c r="W6" t="s">
        <v>621</v>
      </c>
      <c r="X6" t="s">
        <v>622</v>
      </c>
      <c r="Y6" t="s">
        <v>623</v>
      </c>
    </row>
    <row r="7" spans="1:26">
      <c r="D7" s="444"/>
      <c r="H7" s="179"/>
      <c r="M7" s="11"/>
      <c r="S7" t="s">
        <v>513</v>
      </c>
      <c r="T7">
        <v>0</v>
      </c>
      <c r="U7">
        <v>1</v>
      </c>
      <c r="W7" s="451" t="e">
        <f>_xlfn.MAXIFS(#REF!,qryContractsToGnatt[Cost Code],qryCostSummary[[#This Row],[Cost Code]])</f>
        <v>#REF!</v>
      </c>
      <c r="X7" s="451" t="e">
        <f>_xlfn.MAXIFS(#REF!,qryContractsToGnatt[Cost Code],qryCostSummary[[#This Row],[Cost Code]])</f>
        <v>#REF!</v>
      </c>
      <c r="Y7" s="188">
        <f>SUMIFS(qryContractsToGnatt[Price],qryContractsToGnatt[Cost Code],qryCostSummary[[#This Row],[Cost Code]])</f>
        <v>0</v>
      </c>
    </row>
    <row r="8" spans="1:26">
      <c r="D8" s="444"/>
      <c r="H8" s="179"/>
      <c r="M8" s="11"/>
      <c r="S8" t="s">
        <v>624</v>
      </c>
      <c r="T8">
        <v>2615</v>
      </c>
      <c r="U8">
        <v>1</v>
      </c>
      <c r="W8" s="451" t="e">
        <f>_xlfn.MAXIFS(#REF!,qryContractsToGnatt[Cost Code],qryCostSummary[[#This Row],[Cost Code]])</f>
        <v>#REF!</v>
      </c>
      <c r="X8" s="451" t="e">
        <f>_xlfn.MAXIFS(#REF!,qryContractsToGnatt[Cost Code],qryCostSummary[[#This Row],[Cost Code]])</f>
        <v>#REF!</v>
      </c>
      <c r="Y8" s="188">
        <f>SUMIFS(qryContractsToGnatt[Price],qryContractsToGnatt[Cost Code],qryCostSummary[[#This Row],[Cost Code]])</f>
        <v>18411.407314999997</v>
      </c>
    </row>
    <row r="9" spans="1:26">
      <c r="D9" s="444"/>
      <c r="H9" s="179"/>
      <c r="M9" s="11"/>
      <c r="S9" t="s">
        <v>563</v>
      </c>
      <c r="U9">
        <v>0</v>
      </c>
      <c r="W9" s="451" t="e">
        <f>_xlfn.MAXIFS(#REF!,qryContractsToGnatt[Cost Code],qryCostSummary[[#This Row],[Cost Code]])</f>
        <v>#REF!</v>
      </c>
      <c r="X9" s="451" t="e">
        <f>_xlfn.MAXIFS(#REF!,qryContractsToGnatt[Cost Code],qryCostSummary[[#This Row],[Cost Code]])</f>
        <v>#REF!</v>
      </c>
      <c r="Y9" s="188">
        <f>SUMIFS(qryContractsToGnatt[Price],qryContractsToGnatt[Cost Code],qryCostSummary[[#This Row],[Cost Code]])</f>
        <v>0</v>
      </c>
    </row>
    <row r="10" spans="1:26">
      <c r="D10" s="444"/>
      <c r="H10" s="179"/>
      <c r="M10" s="11"/>
      <c r="S10" t="s">
        <v>566</v>
      </c>
      <c r="U10">
        <v>0</v>
      </c>
      <c r="W10" s="451" t="e">
        <f>_xlfn.MAXIFS(#REF!,qryContractsToGnatt[Cost Code],qryCostSummary[[#This Row],[Cost Code]])</f>
        <v>#REF!</v>
      </c>
      <c r="X10" s="451" t="e">
        <f>_xlfn.MAXIFS(#REF!,qryContractsToGnatt[Cost Code],qryCostSummary[[#This Row],[Cost Code]])</f>
        <v>#REF!</v>
      </c>
      <c r="Y10" s="188">
        <f>SUMIFS(qryContractsToGnatt[Price],qryContractsToGnatt[Cost Code],qryCostSummary[[#This Row],[Cost Code]])</f>
        <v>0</v>
      </c>
    </row>
    <row r="11" spans="1:26">
      <c r="D11" s="444"/>
      <c r="H11" s="179"/>
      <c r="M11" s="11"/>
      <c r="S11" t="s">
        <v>580</v>
      </c>
      <c r="U11">
        <v>0</v>
      </c>
      <c r="W11" s="451" t="e">
        <f>_xlfn.MAXIFS(#REF!,qryContractsToGnatt[Cost Code],qryCostSummary[[#This Row],[Cost Code]])</f>
        <v>#REF!</v>
      </c>
      <c r="X11" s="451" t="e">
        <f>_xlfn.MAXIFS(#REF!,qryContractsToGnatt[Cost Code],qryCostSummary[[#This Row],[Cost Code]])</f>
        <v>#REF!</v>
      </c>
      <c r="Y11" s="188">
        <f>SUMIFS(qryContractsToGnatt[Price],qryContractsToGnatt[Cost Code],qryCostSummary[[#This Row],[Cost Code]])</f>
        <v>1000</v>
      </c>
    </row>
    <row r="12" spans="1:26">
      <c r="D12" s="444"/>
      <c r="H12" s="179"/>
      <c r="M12" s="11"/>
      <c r="S12" t="s">
        <v>537</v>
      </c>
      <c r="T12">
        <v>125</v>
      </c>
      <c r="U12">
        <v>0</v>
      </c>
      <c r="V12">
        <v>125</v>
      </c>
      <c r="W12" s="451" t="e">
        <f>_xlfn.MAXIFS(#REF!,qryContractsToGnatt[Cost Code],qryCostSummary[[#This Row],[Cost Code]])</f>
        <v>#REF!</v>
      </c>
      <c r="X12" s="451" t="e">
        <f>_xlfn.MAXIFS(#REF!,qryContractsToGnatt[Cost Code],qryCostSummary[[#This Row],[Cost Code]])</f>
        <v>#REF!</v>
      </c>
      <c r="Y12" s="188">
        <f>SUMIFS(qryContractsToGnatt[Price],qryContractsToGnatt[Cost Code],qryCostSummary[[#This Row],[Cost Code]])</f>
        <v>125</v>
      </c>
    </row>
    <row r="13" spans="1:26">
      <c r="D13" s="444"/>
      <c r="H13" s="179"/>
      <c r="M13" s="11"/>
      <c r="S13" t="s">
        <v>1275</v>
      </c>
      <c r="T13">
        <v>687.5</v>
      </c>
      <c r="U13">
        <v>0</v>
      </c>
      <c r="V13">
        <v>687.5</v>
      </c>
      <c r="W13" s="451" t="e">
        <f>_xlfn.MAXIFS(#REF!,qryContractsToGnatt[Cost Code],qryCostSummary[[#This Row],[Cost Code]])</f>
        <v>#REF!</v>
      </c>
      <c r="X13" s="451" t="e">
        <f>_xlfn.MAXIFS(#REF!,qryContractsToGnatt[Cost Code],qryCostSummary[[#This Row],[Cost Code]])</f>
        <v>#REF!</v>
      </c>
      <c r="Y13" s="188">
        <f>SUMIFS(qryContractsToGnatt[Price],qryContractsToGnatt[Cost Code],qryCostSummary[[#This Row],[Cost Code]])</f>
        <v>687.5</v>
      </c>
    </row>
    <row r="14" spans="1:26">
      <c r="D14" s="444"/>
      <c r="H14" s="179"/>
      <c r="M14" s="11"/>
      <c r="S14" t="s">
        <v>625</v>
      </c>
      <c r="T14">
        <v>150</v>
      </c>
      <c r="U14">
        <v>16</v>
      </c>
      <c r="V14">
        <v>150</v>
      </c>
      <c r="W14" s="451" t="e">
        <f>_xlfn.MAXIFS(#REF!,qryContractsToGnatt[Cost Code],qryCostSummary[[#This Row],[Cost Code]])</f>
        <v>#REF!</v>
      </c>
      <c r="X14" s="451" t="e">
        <f>_xlfn.MAXIFS(#REF!,qryContractsToGnatt[Cost Code],qryCostSummary[[#This Row],[Cost Code]])</f>
        <v>#REF!</v>
      </c>
      <c r="Y14" s="188">
        <f>SUMIFS(qryContractsToGnatt[Price],qryContractsToGnatt[Cost Code],qryCostSummary[[#This Row],[Cost Code]])</f>
        <v>14659.0237</v>
      </c>
    </row>
    <row r="15" spans="1:26">
      <c r="D15" s="444"/>
      <c r="H15" s="179"/>
      <c r="M15" s="11"/>
      <c r="S15" t="s">
        <v>531</v>
      </c>
      <c r="U15">
        <v>0</v>
      </c>
      <c r="W15" s="451" t="e">
        <f>_xlfn.MAXIFS(#REF!,qryContractsToGnatt[Cost Code],qryCostSummary[[#This Row],[Cost Code]])</f>
        <v>#REF!</v>
      </c>
      <c r="X15" s="451" t="e">
        <f>_xlfn.MAXIFS(#REF!,qryContractsToGnatt[Cost Code],qryCostSummary[[#This Row],[Cost Code]])</f>
        <v>#REF!</v>
      </c>
      <c r="Y15" s="188">
        <f>SUMIFS(qryContractsToGnatt[Price],qryContractsToGnatt[Cost Code],qryCostSummary[[#This Row],[Cost Code]])</f>
        <v>0</v>
      </c>
    </row>
    <row r="16" spans="1:26">
      <c r="D16" s="444"/>
      <c r="H16" s="179"/>
      <c r="M16" s="11"/>
      <c r="S16" t="s">
        <v>557</v>
      </c>
      <c r="U16">
        <v>0</v>
      </c>
      <c r="W16" s="451" t="e">
        <f>_xlfn.MAXIFS(#REF!,qryContractsToGnatt[Cost Code],qryCostSummary[[#This Row],[Cost Code]])</f>
        <v>#REF!</v>
      </c>
      <c r="X16" s="451" t="e">
        <f>_xlfn.MAXIFS(#REF!,qryContractsToGnatt[Cost Code],qryCostSummary[[#This Row],[Cost Code]])</f>
        <v>#REF!</v>
      </c>
      <c r="Y16" s="188">
        <f>SUMIFS(qryContractsToGnatt[Price],qryContractsToGnatt[Cost Code],qryCostSummary[[#This Row],[Cost Code]])</f>
        <v>0</v>
      </c>
    </row>
    <row r="17" spans="4:25">
      <c r="D17" s="444"/>
      <c r="H17" s="179"/>
      <c r="M17" s="11"/>
      <c r="S17" t="s">
        <v>591</v>
      </c>
      <c r="U17">
        <v>0</v>
      </c>
      <c r="W17" s="451" t="e">
        <f>_xlfn.MAXIFS(#REF!,qryContractsToGnatt[Cost Code],qryCostSummary[[#This Row],[Cost Code]])</f>
        <v>#REF!</v>
      </c>
      <c r="X17" s="451" t="e">
        <f>_xlfn.MAXIFS(#REF!,qryContractsToGnatt[Cost Code],qryCostSummary[[#This Row],[Cost Code]])</f>
        <v>#REF!</v>
      </c>
      <c r="Y17" s="188">
        <f>SUMIFS(qryContractsToGnatt[Price],qryContractsToGnatt[Cost Code],qryCostSummary[[#This Row],[Cost Code]])</f>
        <v>0</v>
      </c>
    </row>
    <row r="18" spans="4:25">
      <c r="D18" s="444"/>
      <c r="H18" s="179"/>
      <c r="M18" s="11"/>
      <c r="S18" t="s">
        <v>532</v>
      </c>
      <c r="U18">
        <v>0</v>
      </c>
      <c r="W18" s="451" t="e">
        <f>_xlfn.MAXIFS(#REF!,qryContractsToGnatt[Cost Code],qryCostSummary[[#This Row],[Cost Code]])</f>
        <v>#REF!</v>
      </c>
      <c r="X18" s="451" t="e">
        <f>_xlfn.MAXIFS(#REF!,qryContractsToGnatt[Cost Code],qryCostSummary[[#This Row],[Cost Code]])</f>
        <v>#REF!</v>
      </c>
      <c r="Y18" s="188">
        <f>SUMIFS(qryContractsToGnatt[Price],qryContractsToGnatt[Cost Code],qryCostSummary[[#This Row],[Cost Code]])</f>
        <v>0</v>
      </c>
    </row>
    <row r="19" spans="4:25">
      <c r="D19" s="444"/>
      <c r="H19" s="179"/>
      <c r="M19" s="11"/>
      <c r="S19" t="s">
        <v>570</v>
      </c>
      <c r="U19">
        <v>0</v>
      </c>
      <c r="W19" s="451" t="e">
        <f>_xlfn.MAXIFS(#REF!,qryContractsToGnatt[Cost Code],qryCostSummary[[#This Row],[Cost Code]])</f>
        <v>#REF!</v>
      </c>
      <c r="X19" s="451" t="e">
        <f>_xlfn.MAXIFS(#REF!,qryContractsToGnatt[Cost Code],qryCostSummary[[#This Row],[Cost Code]])</f>
        <v>#REF!</v>
      </c>
      <c r="Y19" s="188">
        <f>SUMIFS(qryContractsToGnatt[Price],qryContractsToGnatt[Cost Code],qryCostSummary[[#This Row],[Cost Code]])</f>
        <v>0</v>
      </c>
    </row>
    <row r="20" spans="4:25">
      <c r="D20" s="444"/>
      <c r="H20" s="179"/>
      <c r="M20" s="11"/>
    </row>
    <row r="21" spans="4:25">
      <c r="D21" s="444"/>
      <c r="H21" s="179"/>
      <c r="M21" s="11"/>
    </row>
    <row r="22" spans="4:25">
      <c r="D22" s="444"/>
      <c r="H22" s="179"/>
      <c r="M22" s="11"/>
    </row>
    <row r="23" spans="4:25">
      <c r="D23" s="444"/>
      <c r="H23" s="179"/>
      <c r="M23" s="11"/>
    </row>
    <row r="24" spans="4:25">
      <c r="D24" s="444"/>
      <c r="H24" s="179"/>
      <c r="M24" s="11"/>
    </row>
    <row r="25" spans="4:25">
      <c r="D25" s="444"/>
      <c r="H25" s="179"/>
      <c r="M25" s="11"/>
    </row>
    <row r="26" spans="4:25">
      <c r="D26" s="444"/>
      <c r="H26" s="179"/>
      <c r="M26" s="11"/>
    </row>
    <row r="27" spans="4:25">
      <c r="D27" s="444"/>
      <c r="H27" s="179"/>
      <c r="M27" s="11"/>
    </row>
    <row r="28" spans="4:25">
      <c r="D28" s="444"/>
      <c r="H28" s="179"/>
      <c r="M28" s="11"/>
    </row>
    <row r="29" spans="4:25">
      <c r="D29" s="444"/>
      <c r="H29" s="179"/>
      <c r="M29" s="11"/>
    </row>
    <row r="30" spans="4:25">
      <c r="D30" s="444"/>
      <c r="H30" s="179"/>
      <c r="M30" s="11"/>
    </row>
    <row r="31" spans="4:25">
      <c r="D31" s="444"/>
      <c r="H31" s="179"/>
      <c r="M31" s="11"/>
    </row>
    <row r="32" spans="4:25">
      <c r="D32" s="444"/>
      <c r="H32" s="179"/>
      <c r="M32" s="11"/>
    </row>
    <row r="33" spans="4:13">
      <c r="D33" s="444"/>
      <c r="H33" s="179"/>
      <c r="M33" s="11"/>
    </row>
    <row r="34" spans="4:13">
      <c r="D34" s="444"/>
      <c r="H34" s="179"/>
      <c r="M34" s="11"/>
    </row>
    <row r="35" spans="4:13">
      <c r="D35" s="444"/>
      <c r="H35" s="179"/>
      <c r="M35" s="11"/>
    </row>
    <row r="36" spans="4:13">
      <c r="D36" s="444"/>
      <c r="H36" s="179"/>
      <c r="M36" s="11"/>
    </row>
    <row r="37" spans="4:13">
      <c r="D37" s="444"/>
      <c r="H37" s="179"/>
      <c r="M37" s="11"/>
    </row>
    <row r="38" spans="4:13">
      <c r="D38" s="444"/>
      <c r="H38" s="179"/>
      <c r="M38" s="11"/>
    </row>
    <row r="39" spans="4:13">
      <c r="D39" s="444"/>
      <c r="H39" s="179"/>
      <c r="M39" s="11"/>
    </row>
    <row r="40" spans="4:13">
      <c r="D40" s="444"/>
      <c r="H40" s="179"/>
      <c r="M40" s="11"/>
    </row>
    <row r="41" spans="4:13">
      <c r="D41" s="444"/>
      <c r="H41" s="179"/>
      <c r="M41" s="11"/>
    </row>
    <row r="42" spans="4:13">
      <c r="D42" s="444"/>
      <c r="H42" s="179"/>
      <c r="M42" s="11"/>
    </row>
    <row r="43" spans="4:13">
      <c r="D43" s="444"/>
      <c r="H43" s="179"/>
      <c r="M43" s="11"/>
    </row>
    <row r="44" spans="4:13">
      <c r="D44" s="444"/>
      <c r="H44" s="179"/>
      <c r="M44" s="11"/>
    </row>
    <row r="45" spans="4:13">
      <c r="D45" s="444"/>
      <c r="H45" s="179"/>
      <c r="M45" s="11"/>
    </row>
    <row r="46" spans="4:13">
      <c r="D46" s="444"/>
      <c r="H46" s="179"/>
      <c r="M46" s="11"/>
    </row>
    <row r="47" spans="4:13">
      <c r="D47" s="444"/>
      <c r="H47" s="179"/>
      <c r="M47" s="11"/>
    </row>
    <row r="48" spans="4:13">
      <c r="D48" s="444"/>
      <c r="H48" s="179"/>
      <c r="M48" s="11"/>
    </row>
    <row r="49" spans="4:13">
      <c r="D49" s="444"/>
      <c r="H49" s="179"/>
      <c r="M49" s="11"/>
    </row>
    <row r="50" spans="4:13">
      <c r="D50" s="444"/>
      <c r="H50" s="179"/>
      <c r="M50" s="11"/>
    </row>
    <row r="51" spans="4:13">
      <c r="D51" s="444"/>
      <c r="H51" s="179"/>
      <c r="M51" s="11"/>
    </row>
    <row r="52" spans="4:13">
      <c r="D52" s="444"/>
      <c r="H52" s="179"/>
      <c r="M52" s="11"/>
    </row>
    <row r="53" spans="4:13">
      <c r="D53" s="444"/>
      <c r="H53" s="179"/>
      <c r="M53" s="11"/>
    </row>
    <row r="54" spans="4:13">
      <c r="D54" s="444"/>
      <c r="H54" s="179"/>
      <c r="M54" s="11"/>
    </row>
    <row r="55" spans="4:13">
      <c r="D55" s="444"/>
      <c r="H55" s="179"/>
      <c r="M55" s="11"/>
    </row>
    <row r="56" spans="4:13">
      <c r="D56" s="444"/>
      <c r="H56" s="179"/>
      <c r="M56" s="11"/>
    </row>
    <row r="57" spans="4:13">
      <c r="D57" s="444"/>
      <c r="H57" s="179"/>
      <c r="M57" s="11"/>
    </row>
    <row r="58" spans="4:13">
      <c r="D58" s="444"/>
      <c r="H58" s="179"/>
      <c r="M58" s="11"/>
    </row>
    <row r="59" spans="4:13">
      <c r="D59" s="444"/>
      <c r="H59" s="179"/>
      <c r="M59" s="11"/>
    </row>
    <row r="60" spans="4:13">
      <c r="D60" s="444"/>
      <c r="H60" s="179"/>
      <c r="M60" s="11"/>
    </row>
    <row r="61" spans="4:13">
      <c r="D61" s="444"/>
      <c r="H61" s="179"/>
      <c r="M61" s="11"/>
    </row>
    <row r="62" spans="4:13">
      <c r="D62" s="444"/>
      <c r="H62" s="179"/>
      <c r="M62" s="11"/>
    </row>
    <row r="63" spans="4:13">
      <c r="D63" s="444"/>
      <c r="H63" s="179"/>
      <c r="M63" s="11"/>
    </row>
    <row r="64" spans="4:13">
      <c r="D64" s="444"/>
      <c r="H64" s="179"/>
      <c r="M64" s="11"/>
    </row>
    <row r="65" spans="4:13">
      <c r="D65" s="444"/>
      <c r="H65" s="179"/>
      <c r="M65" s="11"/>
    </row>
    <row r="66" spans="4:13">
      <c r="D66" s="444"/>
      <c r="H66" s="179"/>
      <c r="M66" s="11"/>
    </row>
    <row r="67" spans="4:13">
      <c r="D67" s="444"/>
      <c r="H67" s="179"/>
      <c r="M67" s="11"/>
    </row>
    <row r="68" spans="4:13">
      <c r="D68" s="444"/>
      <c r="H68" s="179"/>
      <c r="M68" s="11"/>
    </row>
    <row r="69" spans="4:13">
      <c r="D69" s="444"/>
      <c r="H69" s="179"/>
      <c r="M69" s="11"/>
    </row>
    <row r="70" spans="4:13">
      <c r="D70" s="444"/>
      <c r="H70" s="179"/>
      <c r="M70" s="11"/>
    </row>
    <row r="71" spans="4:13">
      <c r="D71" s="444"/>
      <c r="H71" s="179"/>
      <c r="M71" s="11"/>
    </row>
    <row r="72" spans="4:13">
      <c r="D72" s="444"/>
      <c r="H72" s="179"/>
      <c r="M72" s="11"/>
    </row>
    <row r="73" spans="4:13">
      <c r="D73" s="444"/>
      <c r="H73" s="179"/>
      <c r="M73" s="11"/>
    </row>
    <row r="74" spans="4:13">
      <c r="D74" s="444"/>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61"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92" bestFit="1" customWidth="1"/>
    <col min="23" max="23" width="7.28515625" style="492" customWidth="1"/>
    <col min="24" max="24" width="11" style="492"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86" hidden="1" customWidth="1"/>
    <col min="37" max="40" width="15.28515625" style="486" hidden="1" customWidth="1"/>
    <col min="41" max="43" width="15.85546875" style="486"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77" t="s">
        <v>626</v>
      </c>
      <c r="C1" s="580"/>
      <c r="D1" s="438" t="str">
        <f>+Profit!B2</f>
        <v>320 Rose Pl</v>
      </c>
      <c r="F1" s="783" t="str">
        <f>Profit!$E$1&amp; " Your Home"</f>
        <v>Buy Your Home</v>
      </c>
      <c r="G1" s="728"/>
      <c r="H1" s="728"/>
      <c r="I1" s="779" t="s">
        <v>627</v>
      </c>
      <c r="J1" s="580"/>
      <c r="K1" s="580"/>
      <c r="L1" s="779" t="s">
        <v>620</v>
      </c>
      <c r="M1" s="580"/>
      <c r="N1" s="580"/>
      <c r="O1" s="779" t="s">
        <v>628</v>
      </c>
      <c r="P1" s="580"/>
      <c r="Q1" s="580"/>
      <c r="R1" s="580"/>
      <c r="T1" s="503">
        <v>1</v>
      </c>
      <c r="U1" s="501"/>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78">
        <f ca="1">NOW()</f>
        <v>46178.344133680555</v>
      </c>
      <c r="C2" s="580"/>
      <c r="D2" s="784" t="s">
        <v>629</v>
      </c>
      <c r="E2" s="565"/>
      <c r="F2" s="780" t="s">
        <v>630</v>
      </c>
      <c r="G2" s="781"/>
      <c r="H2" s="781"/>
      <c r="I2" s="771">
        <f>SUMIF(qryContractsToGnatt[Assigned],$D2,qryContractsToGnatt[Price])</f>
        <v>33070.431014999995</v>
      </c>
      <c r="J2" s="772"/>
      <c r="K2" s="772"/>
      <c r="L2" s="771">
        <f>SUMIF(qryContractsToGnatt[Assigned],$D2,qryContractsToGnatt[Due])</f>
        <v>33070.431014999995</v>
      </c>
      <c r="M2" s="772"/>
      <c r="N2" s="772"/>
      <c r="O2" s="775">
        <f>+I2-N2</f>
        <v>33070.431014999995</v>
      </c>
      <c r="P2" s="776"/>
      <c r="Q2" s="776"/>
      <c r="R2" s="776"/>
      <c r="T2" s="492"/>
      <c r="U2" s="502" t="s">
        <v>631</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51"/>
      <c r="BI2" s="451"/>
      <c r="BJ2" s="451"/>
      <c r="BK2" s="451"/>
      <c r="BL2" s="451"/>
      <c r="BM2" s="451"/>
      <c r="BN2" s="47"/>
      <c r="BO2" s="47"/>
      <c r="BP2" s="47"/>
      <c r="BQ2" s="47"/>
      <c r="BR2" s="47"/>
      <c r="BS2" s="47"/>
      <c r="BT2" s="47"/>
      <c r="BU2" s="47"/>
      <c r="BV2" s="47"/>
      <c r="BW2" s="47"/>
      <c r="BX2" s="47"/>
      <c r="BY2" s="47"/>
      <c r="BZ2" s="48"/>
      <c r="CA2" s="48"/>
      <c r="CF2" s="15"/>
      <c r="CG2" s="15"/>
      <c r="CH2" s="15"/>
    </row>
    <row r="3" spans="1:156" ht="18.75">
      <c r="A3" s="2"/>
      <c r="B3" s="2"/>
      <c r="C3" s="53"/>
      <c r="D3" s="784" t="s">
        <v>632</v>
      </c>
      <c r="E3" s="565"/>
      <c r="F3" s="782" t="str">
        <f>+D3 &amp; " Total:"</f>
        <v>Glasgow DB Total:</v>
      </c>
      <c r="G3" s="774"/>
      <c r="H3" s="774"/>
      <c r="I3" s="771">
        <f>SUMIF(qryContractsToGnatt[Assigned],$D3,qryContractsToGnatt[Price])</f>
        <v>0</v>
      </c>
      <c r="J3" s="772"/>
      <c r="K3" s="772"/>
      <c r="L3" s="771">
        <f>SUMIF(qryContractsToGnatt[Assigned],$D3,qryContractsToGnatt[Due])</f>
        <v>0</v>
      </c>
      <c r="M3" s="772"/>
      <c r="N3" s="772"/>
      <c r="O3" s="775">
        <f>+I3-N3</f>
        <v>0</v>
      </c>
      <c r="P3" s="776"/>
      <c r="Q3" s="776"/>
      <c r="R3" s="776"/>
      <c r="T3" s="492"/>
      <c r="U3" s="502" t="s">
        <v>633</v>
      </c>
      <c r="AC3" s="35"/>
      <c r="AD3" s="35"/>
      <c r="AE3" s="35"/>
      <c r="AF3" s="35"/>
      <c r="AG3" s="35"/>
      <c r="AH3" s="35"/>
      <c r="AI3" s="35"/>
      <c r="AJ3" s="35"/>
      <c r="AK3" s="499"/>
      <c r="AL3" s="499"/>
      <c r="AM3" s="499"/>
      <c r="AN3" s="499"/>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38"/>
      <c r="D4" s="784" t="s">
        <v>559</v>
      </c>
      <c r="E4" s="565"/>
      <c r="F4" s="786" t="str">
        <f>+D4 &amp; " Total:"</f>
        <v>Tim Flemming Total:</v>
      </c>
      <c r="G4" s="774"/>
      <c r="H4" s="774"/>
      <c r="I4" s="771">
        <f>SUMIF(qryContractsToGnatt[Assigned],$D4,qryContractsToGnatt[Price])</f>
        <v>1812.5</v>
      </c>
      <c r="J4" s="772"/>
      <c r="K4" s="772"/>
      <c r="L4" s="771">
        <f>SUMIF(qryContractsToGnatt[Assigned],$D4,qryContractsToGnatt[Due])-SUM(tblContractTim[Paid])</f>
        <v>-250</v>
      </c>
      <c r="M4" s="772"/>
      <c r="N4" s="772"/>
      <c r="O4" s="775">
        <f>+I4-N4</f>
        <v>1812.5</v>
      </c>
      <c r="P4" s="776"/>
      <c r="Q4" s="776"/>
      <c r="R4" s="776"/>
      <c r="T4" s="492"/>
      <c r="U4" s="502" t="s">
        <v>634</v>
      </c>
      <c r="AC4"/>
      <c r="AD4" s="35"/>
      <c r="AE4" s="35"/>
      <c r="AF4" s="35"/>
      <c r="AG4" s="35"/>
      <c r="AH4" s="35"/>
      <c r="AI4" s="35"/>
      <c r="AJ4" s="35"/>
      <c r="AK4" s="499"/>
      <c r="AL4" s="499"/>
      <c r="AM4" s="499"/>
      <c r="AN4" s="499"/>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38"/>
      <c r="D5" s="784" t="s">
        <v>445</v>
      </c>
      <c r="E5" s="565"/>
      <c r="F5" s="773" t="str">
        <f>+D5 &amp; " Total:"</f>
        <v>Buy Your Home Total:</v>
      </c>
      <c r="G5" s="774"/>
      <c r="H5" s="774"/>
      <c r="I5" s="771">
        <f>SUMIF(qryContractsToGnatt[Assigned],$D5,qryContractsToGnatt[Price])</f>
        <v>0</v>
      </c>
      <c r="J5" s="772"/>
      <c r="K5" s="772"/>
      <c r="L5" s="771">
        <f>SUMIF(qryContractsToGnatt[Assigned],$D5,qryContractsToGnatt[Due])</f>
        <v>0</v>
      </c>
      <c r="M5" s="772"/>
      <c r="N5" s="772"/>
      <c r="O5" s="775">
        <f>+I5-N5</f>
        <v>0</v>
      </c>
      <c r="P5" s="776"/>
      <c r="Q5" s="776"/>
      <c r="R5" s="776"/>
      <c r="T5" s="34"/>
      <c r="U5" s="34"/>
      <c r="AC5" s="35"/>
      <c r="AD5" s="35" t="str">
        <f>IFERROR(+IF('Gnatt Chart'!AE$23=#REF!,Milestone_Marker,IF(AND('Gnatt Chart'!AE$23&gt;#REF!,'Gnatt Chart'!AE$23&lt;#REF!+#REF!),#REF!,"")),"")</f>
        <v/>
      </c>
      <c r="AE5" s="35"/>
      <c r="AF5" s="35"/>
      <c r="AG5" s="35"/>
      <c r="AH5" s="35"/>
      <c r="AI5" s="35"/>
      <c r="AJ5" s="35"/>
      <c r="AK5" s="499"/>
      <c r="AL5" s="499"/>
      <c r="AM5" s="499"/>
      <c r="AN5" s="499"/>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85" t="s">
        <v>635</v>
      </c>
      <c r="G6" s="774"/>
      <c r="H6" s="774"/>
      <c r="I6" s="771">
        <f>SUM(I2:K5)</f>
        <v>34882.931014999995</v>
      </c>
      <c r="J6" s="772"/>
      <c r="K6" s="772"/>
      <c r="L6" s="771">
        <f>SUMIF(qryContractsToGnatt[Assigned],$E6,qryContractsToGnatt[Due])</f>
        <v>0</v>
      </c>
      <c r="M6" s="772"/>
      <c r="N6" s="772"/>
      <c r="O6" s="775">
        <f>SUM(O3:O5)</f>
        <v>1812.5</v>
      </c>
      <c r="P6" s="776"/>
      <c r="Q6" s="776"/>
      <c r="R6" s="776"/>
      <c r="T6" s="34"/>
      <c r="U6" s="34"/>
      <c r="AC6" s="35"/>
      <c r="AD6" s="35" t="str">
        <f>IFERROR(+IF('Gnatt Chart'!AE$23=#REF!,Milestone_Marker,IF(AND('Gnatt Chart'!AE$23&gt;#REF!,'Gnatt Chart'!AE$23&lt;#REF!+#REF!),#REF!,"")),"")</f>
        <v/>
      </c>
      <c r="AE6" s="35"/>
      <c r="AF6" s="35"/>
      <c r="AG6" s="35"/>
      <c r="AH6" s="35"/>
      <c r="AI6" s="35"/>
      <c r="AJ6" s="35"/>
      <c r="AK6" s="499"/>
      <c r="AL6" s="499"/>
      <c r="AM6" s="499"/>
      <c r="AN6" s="499"/>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52"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62"/>
      <c r="AC7" s="35"/>
      <c r="AD7" s="35" t="str">
        <f>IFERROR(+IF('Gnatt Chart'!AE$23=#REF!,Milestone_Marker,IF(AND('Gnatt Chart'!AE$23&gt;#REF!,'Gnatt Chart'!AE$23&lt;#REF!+#REF!),#REF!,"")),"")</f>
        <v/>
      </c>
      <c r="AE7" s="35"/>
      <c r="AF7" s="35"/>
      <c r="AG7" s="35"/>
      <c r="AH7" s="35"/>
      <c r="AI7" s="35"/>
      <c r="AJ7" s="35"/>
      <c r="AK7" s="499"/>
      <c r="AL7" s="499"/>
      <c r="AM7" s="499"/>
      <c r="AN7" s="499"/>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62"/>
      <c r="AV7" s="462"/>
      <c r="AW7" s="462"/>
      <c r="AX7" s="462"/>
      <c r="AY7" s="462"/>
      <c r="AZ7" s="462"/>
      <c r="BA7" s="462"/>
      <c r="BB7" s="462"/>
      <c r="BC7" s="462"/>
      <c r="BD7" s="462"/>
      <c r="BE7" s="462"/>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
      </c>
      <c r="CS7" s="22" t="str">
        <f t="shared" ca="1" si="2"/>
        <v/>
      </c>
      <c r="CT7" s="22" t="str">
        <f t="shared" ca="1" si="2"/>
        <v/>
      </c>
      <c r="CU7" s="22" t="str">
        <f t="shared" ca="1" si="2"/>
        <v/>
      </c>
      <c r="CV7" s="22" t="str">
        <f t="shared" ca="1" si="2"/>
        <v/>
      </c>
      <c r="CW7" s="22" t="str">
        <f t="shared" ca="1" si="2"/>
        <v/>
      </c>
      <c r="CX7" s="22" t="str">
        <f t="shared" ca="1" si="2"/>
        <v>August</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511</v>
      </c>
      <c r="B8" s="57" t="s">
        <v>506</v>
      </c>
      <c r="C8" s="55" t="s">
        <v>507</v>
      </c>
      <c r="D8" s="55" t="s">
        <v>508</v>
      </c>
      <c r="E8" s="55" t="s">
        <v>509</v>
      </c>
      <c r="F8" s="55" t="s">
        <v>510</v>
      </c>
      <c r="G8" s="55" t="s">
        <v>619</v>
      </c>
      <c r="H8" s="55" t="s">
        <v>612</v>
      </c>
      <c r="I8" s="55" t="s">
        <v>620</v>
      </c>
      <c r="J8" s="56" t="s">
        <v>505</v>
      </c>
      <c r="K8" s="475" t="s">
        <v>636</v>
      </c>
      <c r="L8" s="55" t="s">
        <v>637</v>
      </c>
      <c r="M8" s="55" t="s">
        <v>638</v>
      </c>
      <c r="N8" s="55" t="s">
        <v>607</v>
      </c>
      <c r="O8" s="55" t="s">
        <v>639</v>
      </c>
      <c r="P8" s="55" t="s">
        <v>605</v>
      </c>
      <c r="Q8" s="55" t="s">
        <v>608</v>
      </c>
      <c r="R8" s="55" t="s">
        <v>109</v>
      </c>
      <c r="S8" s="55" t="s">
        <v>609</v>
      </c>
      <c r="T8" s="55" t="s">
        <v>640</v>
      </c>
      <c r="U8" s="55" t="s">
        <v>641</v>
      </c>
      <c r="V8" s="55" t="s">
        <v>435</v>
      </c>
      <c r="W8" s="55" t="s">
        <v>606</v>
      </c>
      <c r="X8" s="55" t="s">
        <v>610</v>
      </c>
      <c r="Y8" s="55" t="s">
        <v>611</v>
      </c>
      <c r="Z8" s="55" t="s">
        <v>642</v>
      </c>
      <c r="AA8" s="55" t="s">
        <v>643</v>
      </c>
      <c r="AB8" s="55" t="s">
        <v>644</v>
      </c>
      <c r="AC8" s="55" t="s">
        <v>645</v>
      </c>
      <c r="AD8" s="55" t="s">
        <v>646</v>
      </c>
      <c r="AE8" s="55" t="s">
        <v>647</v>
      </c>
      <c r="AF8" s="55" t="s">
        <v>648</v>
      </c>
      <c r="AG8" s="55" t="s">
        <v>649</v>
      </c>
      <c r="AH8" s="55" t="s">
        <v>650</v>
      </c>
      <c r="AI8" s="55" t="s">
        <v>651</v>
      </c>
      <c r="AJ8" s="55" t="s">
        <v>652</v>
      </c>
      <c r="AK8" s="55" t="s">
        <v>653</v>
      </c>
      <c r="AL8" s="55" t="s">
        <v>654</v>
      </c>
      <c r="AM8" s="55" t="s">
        <v>655</v>
      </c>
      <c r="AN8" s="55"/>
      <c r="AO8" s="35"/>
      <c r="AP8" s="35"/>
      <c r="AQ8" s="35"/>
      <c r="AR8" s="35"/>
      <c r="AS8" s="35" t="str">
        <f>IFERROR(+IF(#REF!=#REF!,Milestone_Marker,IF(AND(#REF!&gt;#REF!,#REF!&lt;#REF!+#REF!),#REF!,"")),"")</f>
        <v/>
      </c>
      <c r="AT8" s="35" t="str">
        <f>IFERROR(+IF(AO$23=#REF!,Milestone_Marker,IF(AND(AO$23&gt;#REF!,AO$23&lt;#REF!+#REF!),#REF!,"")),"")</f>
        <v/>
      </c>
      <c r="AU8" s="49">
        <f ca="1">+AP23</f>
        <v>46207.344133680555</v>
      </c>
      <c r="AV8" s="49">
        <f ca="1">+AU8+1</f>
        <v>46208.344133680555</v>
      </c>
      <c r="AW8" s="49">
        <f ca="1">+AV8+1</f>
        <v>46209.344133680555</v>
      </c>
      <c r="AX8" s="49">
        <f ca="1">+AW8+1</f>
        <v>46210.344133680555</v>
      </c>
      <c r="AY8" s="49">
        <f ca="1">+AX8+1</f>
        <v>46211.344133680555</v>
      </c>
      <c r="AZ8" s="49" t="str">
        <f>+'Gnatt Chart'!AE23</f>
        <v>SiblingRank</v>
      </c>
      <c r="BA8" s="49" t="e">
        <f>+#REF!</f>
        <v>#REF!</v>
      </c>
      <c r="BB8" s="49" t="e">
        <f>+#REF!</f>
        <v>#REF!</v>
      </c>
      <c r="BC8" s="49">
        <f>+AO23</f>
        <v>0</v>
      </c>
      <c r="BD8" s="49" t="e">
        <f>+#REF!</f>
        <v>#REF!</v>
      </c>
      <c r="BE8" s="49">
        <f t="shared" ref="BE8:CJ8" ca="1" si="3">+AQ23</f>
        <v>46208.344133680555</v>
      </c>
      <c r="BF8" s="49">
        <f t="shared" ca="1" si="3"/>
        <v>46209.344133680555</v>
      </c>
      <c r="BG8" s="49">
        <f t="shared" ca="1" si="3"/>
        <v>46210.344133680555</v>
      </c>
      <c r="BH8" s="49">
        <f t="shared" ca="1" si="3"/>
        <v>46211.344133680555</v>
      </c>
      <c r="BI8" s="49">
        <f t="shared" ca="1" si="3"/>
        <v>46212.344133680555</v>
      </c>
      <c r="BJ8" s="49">
        <f t="shared" ca="1" si="3"/>
        <v>46213.344133680555</v>
      </c>
      <c r="BK8" s="49">
        <f t="shared" ca="1" si="3"/>
        <v>46214.344133680555</v>
      </c>
      <c r="BL8" s="49">
        <f t="shared" ca="1" si="3"/>
        <v>46215.344133680555</v>
      </c>
      <c r="BM8" s="49">
        <f t="shared" ca="1" si="3"/>
        <v>46216.344133680555</v>
      </c>
      <c r="BN8" s="49">
        <f t="shared" ca="1" si="3"/>
        <v>46217.344133680555</v>
      </c>
      <c r="BO8" s="49">
        <f t="shared" ca="1" si="3"/>
        <v>46218.344133680555</v>
      </c>
      <c r="BP8" s="49">
        <f t="shared" ca="1" si="3"/>
        <v>46219.344133680555</v>
      </c>
      <c r="BQ8" s="49">
        <f t="shared" ca="1" si="3"/>
        <v>46220.344133680555</v>
      </c>
      <c r="BR8" s="49">
        <f t="shared" ca="1" si="3"/>
        <v>46221.344133680555</v>
      </c>
      <c r="BS8" s="49">
        <f t="shared" ca="1" si="3"/>
        <v>46222.344133680555</v>
      </c>
      <c r="BT8" s="49">
        <f t="shared" ca="1" si="3"/>
        <v>46223.344133680555</v>
      </c>
      <c r="BU8" s="49">
        <f t="shared" ca="1" si="3"/>
        <v>46224.344133680555</v>
      </c>
      <c r="BV8" s="49">
        <f t="shared" ca="1" si="3"/>
        <v>46225.344133680555</v>
      </c>
      <c r="BW8" s="49">
        <f t="shared" ca="1" si="3"/>
        <v>46226.344133680555</v>
      </c>
      <c r="BX8" s="49">
        <f t="shared" ca="1" si="3"/>
        <v>46227.344133680555</v>
      </c>
      <c r="BY8" s="49">
        <f t="shared" ca="1" si="3"/>
        <v>46228.344133680555</v>
      </c>
      <c r="BZ8" s="49">
        <f t="shared" ca="1" si="3"/>
        <v>46229.344133680555</v>
      </c>
      <c r="CA8" s="49">
        <f t="shared" ca="1" si="3"/>
        <v>46230.344133680555</v>
      </c>
      <c r="CB8" s="49">
        <f t="shared" ca="1" si="3"/>
        <v>46231.344133680555</v>
      </c>
      <c r="CC8" s="49">
        <f t="shared" ca="1" si="3"/>
        <v>46232.344133680555</v>
      </c>
      <c r="CD8" s="49">
        <f t="shared" ca="1" si="3"/>
        <v>46233.344133680555</v>
      </c>
      <c r="CE8" s="49">
        <f t="shared" ca="1" si="3"/>
        <v>46234.344133680555</v>
      </c>
      <c r="CF8" s="49">
        <f t="shared" ca="1" si="3"/>
        <v>46235.344133680555</v>
      </c>
      <c r="CG8" s="49">
        <f t="shared" ca="1" si="3"/>
        <v>46236.344133680555</v>
      </c>
      <c r="CH8" s="49">
        <f t="shared" ca="1" si="3"/>
        <v>46237.344133680555</v>
      </c>
      <c r="CI8" s="49">
        <f t="shared" ca="1" si="3"/>
        <v>46238.344133680555</v>
      </c>
      <c r="CJ8" s="49">
        <f t="shared" ca="1" si="3"/>
        <v>46239.344133680555</v>
      </c>
      <c r="CK8" s="49">
        <f t="shared" ref="CK8:DP8" ca="1" si="4">+BW23</f>
        <v>46240.344133680555</v>
      </c>
      <c r="CL8" s="49">
        <f t="shared" ca="1" si="4"/>
        <v>46241.344133680555</v>
      </c>
      <c r="CM8" s="49">
        <f t="shared" ca="1" si="4"/>
        <v>46242.344133680555</v>
      </c>
      <c r="CN8" s="49">
        <f t="shared" ca="1" si="4"/>
        <v>46243.344133680555</v>
      </c>
      <c r="CO8" s="49">
        <f t="shared" ca="1" si="4"/>
        <v>46244.344133680555</v>
      </c>
      <c r="CP8" s="49">
        <f t="shared" ca="1" si="4"/>
        <v>46245.344133680555</v>
      </c>
      <c r="CQ8" s="49">
        <f t="shared" ca="1" si="4"/>
        <v>46246.344133680555</v>
      </c>
      <c r="CR8" s="49">
        <f t="shared" ca="1" si="4"/>
        <v>46247.344133680555</v>
      </c>
      <c r="CS8" s="49">
        <f t="shared" ca="1" si="4"/>
        <v>46248.344133680555</v>
      </c>
      <c r="CT8" s="49">
        <f t="shared" ca="1" si="4"/>
        <v>46249.344133680555</v>
      </c>
      <c r="CU8" s="49">
        <f t="shared" ca="1" si="4"/>
        <v>46250.344133680555</v>
      </c>
      <c r="CV8" s="49">
        <f t="shared" ca="1" si="4"/>
        <v>46251.344133680555</v>
      </c>
      <c r="CW8" s="49">
        <f t="shared" ca="1" si="4"/>
        <v>46252.344133680555</v>
      </c>
      <c r="CX8" s="49">
        <f t="shared" ca="1" si="4"/>
        <v>46253.344133680555</v>
      </c>
      <c r="CY8" s="49">
        <f t="shared" ca="1" si="4"/>
        <v>46254.344133680555</v>
      </c>
      <c r="CZ8" s="49">
        <f t="shared" ca="1" si="4"/>
        <v>46255.344133680555</v>
      </c>
      <c r="DA8" s="49">
        <f t="shared" ca="1" si="4"/>
        <v>46256.344133680555</v>
      </c>
      <c r="DB8" s="49">
        <f t="shared" ca="1" si="4"/>
        <v>46257.344133680555</v>
      </c>
      <c r="DC8" s="49">
        <f t="shared" ca="1" si="4"/>
        <v>46258.344133680555</v>
      </c>
      <c r="DD8" s="49">
        <f t="shared" ca="1" si="4"/>
        <v>46259.344133680555</v>
      </c>
      <c r="DE8" s="49">
        <f t="shared" ca="1" si="4"/>
        <v>46260.344133680555</v>
      </c>
      <c r="DF8" s="49">
        <f t="shared" ca="1" si="4"/>
        <v>46261.344133680555</v>
      </c>
      <c r="DG8" s="49">
        <f t="shared" ca="1" si="4"/>
        <v>46262.344133680555</v>
      </c>
      <c r="DH8" s="49">
        <f t="shared" ca="1" si="4"/>
        <v>46263.344133680555</v>
      </c>
      <c r="DI8" s="49">
        <f t="shared" ca="1" si="4"/>
        <v>46264.344133680555</v>
      </c>
      <c r="DJ8" s="49">
        <f t="shared" ca="1" si="4"/>
        <v>46265.344133680555</v>
      </c>
      <c r="DK8" s="49">
        <f t="shared" ca="1" si="4"/>
        <v>46266.344133680555</v>
      </c>
      <c r="DL8" s="49">
        <f t="shared" ca="1" si="4"/>
        <v>46267.344133680555</v>
      </c>
      <c r="DM8" s="49">
        <f t="shared" ca="1" si="4"/>
        <v>46268.344133680555</v>
      </c>
      <c r="DN8" s="49">
        <f t="shared" ca="1" si="4"/>
        <v>46269.344133680555</v>
      </c>
      <c r="DO8" s="49">
        <f t="shared" ca="1" si="4"/>
        <v>46270.344133680555</v>
      </c>
      <c r="DP8" s="49">
        <f t="shared" ca="1" si="4"/>
        <v>46271.344133680555</v>
      </c>
      <c r="DQ8" s="49">
        <f t="shared" ref="DQ8:DS8" ca="1" si="5">+DC23</f>
        <v>46272.344133680555</v>
      </c>
      <c r="DR8" s="49">
        <f t="shared" ca="1" si="5"/>
        <v>46273.344133680555</v>
      </c>
      <c r="DS8" s="49">
        <f t="shared" ca="1" si="5"/>
        <v>46274.344133680555</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63" t="s">
        <v>629</v>
      </c>
      <c r="B9" t="s">
        <v>624</v>
      </c>
      <c r="C9" s="463" t="s">
        <v>656</v>
      </c>
      <c r="D9" s="463" t="s">
        <v>656</v>
      </c>
      <c r="E9" s="464">
        <v>1</v>
      </c>
      <c r="F9" s="465">
        <f>Legal!H31</f>
        <v>2615</v>
      </c>
      <c r="G9" s="465">
        <f t="shared" ref="G9:G22" si="7">+E9*F9</f>
        <v>2615</v>
      </c>
      <c r="H9" s="465"/>
      <c r="I9" s="466"/>
      <c r="J9" s="464">
        <v>908</v>
      </c>
      <c r="K9" s="466"/>
      <c r="L9" s="467"/>
      <c r="M9" s="470">
        <f>IFERROR(_xlfn.XLOOKUP(Table2[[#This Row],[Index]], Contract_Edits[Index], Contract_Edits[Dep]), Table2[[#This Row],[Index2]])</f>
        <v>1</v>
      </c>
      <c r="N9" s="470">
        <f>IFERROR(_xlfn.XLOOKUP(Table2[[#This Row],[Index]], Contract_Edits[Index], Contract_Edits[Group]), Table2[[#This Row],[Index2]])</f>
        <v>1</v>
      </c>
      <c r="O9" s="467"/>
      <c r="P9" s="467">
        <f>IFERROR(_xlfn.XLOOKUP(Table2[[#This Row],[Index]], Contract_Edits[Index], Contract_Edits[Order]), Table2[[#This Row],[Order]])</f>
        <v>5.0102000000000002</v>
      </c>
      <c r="Q9" s="467">
        <f>IFERROR(_xlfn.XLOOKUP(Table2[[#This Row],[Index]], Contract_Edits[Index], Contract_Edits[Start]), Table2[[#This Row],[Start]])</f>
        <v>0</v>
      </c>
      <c r="R9" s="468"/>
      <c r="S9" s="467">
        <v>0</v>
      </c>
      <c r="T9" s="467"/>
      <c r="U9" s="467"/>
      <c r="V9" s="467">
        <f>IFERROR(_xlfn.XLOOKUP(#REF!, Contract_Edits[Index], Contract_Edits[Notes]), Table2[[#This Row],[Dep Titles]])</f>
        <v>0</v>
      </c>
      <c r="W9" s="496" t="s">
        <v>436</v>
      </c>
      <c r="X9" s="493" t="str">
        <f>IFERROR(_xlfn.XLOOKUP(Table2[[#This Row],[Index]], Contract_Edits[Index], Contract_Edits[Done]), Table2[[#This Row],[Approve]])</f>
        <v>Yes</v>
      </c>
      <c r="Y9" s="493" t="str">
        <f>IFERROR(_xlfn.XLOOKUP(#REF!, Contract_Edits[Index], Contract_Edits[Paid]), Table2[[#This Row],[Done]])</f>
        <v>Yes</v>
      </c>
      <c r="Z9" s="493"/>
      <c r="AA9" s="193"/>
      <c r="AB9" s="193"/>
      <c r="AC9" s="35"/>
      <c r="AD9" s="35"/>
      <c r="AE9" s="35" t="str">
        <f>IFERROR(+IF('Gnatt Chart'!AE$23=#REF!,Milestone_Marker,IF(AND('Gnatt Chart'!AE$23&gt;#REF!,'Gnatt Chart'!AE$23&lt;#REF!+#REF!),#REF!,"")),"")</f>
        <v/>
      </c>
      <c r="AF9" s="35"/>
      <c r="AG9" s="35"/>
      <c r="AH9" s="35"/>
      <c r="AI9" s="35"/>
      <c r="AJ9" s="35"/>
      <c r="AK9" s="499"/>
      <c r="AL9" s="499"/>
      <c r="AM9" s="499"/>
      <c r="AN9" s="499"/>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63" t="s">
        <v>629</v>
      </c>
      <c r="B10" t="s">
        <v>624</v>
      </c>
      <c r="C10" s="463" t="s">
        <v>657</v>
      </c>
      <c r="D10" s="463" t="s">
        <v>658</v>
      </c>
      <c r="E10" s="464">
        <v>1</v>
      </c>
      <c r="F10" s="465">
        <f>+'Demo &amp; Trash Haul'!G24</f>
        <v>505</v>
      </c>
      <c r="G10" s="465">
        <f t="shared" si="7"/>
        <v>505</v>
      </c>
      <c r="H10" s="465"/>
      <c r="I10" s="469"/>
      <c r="J10" s="464">
        <v>900</v>
      </c>
      <c r="K10" s="469"/>
      <c r="L10" s="470"/>
      <c r="M10" s="470">
        <f>IFERROR(_xlfn.XLOOKUP(Table2[[#This Row],[Index]], Contract_Edits[Index], Contract_Edits[Dep]), Table2[[#This Row],[Index2]])</f>
        <v>2</v>
      </c>
      <c r="N10" s="470">
        <f>IFERROR(_xlfn.XLOOKUP(Table2[[#This Row],[Index]], Contract_Edits[Index], Contract_Edits[Group]), Table2[[#This Row],[Index2]])</f>
        <v>1</v>
      </c>
      <c r="O10" s="470"/>
      <c r="P10" s="467">
        <f>IFERROR(_xlfn.XLOOKUP(Table2[[#This Row],[Index]], Contract_Edits[Index], Contract_Edits[Order]), Table2[[#This Row],[Order]])</f>
        <v>15.020099999999999</v>
      </c>
      <c r="Q10" s="467">
        <f>IFERROR(_xlfn.XLOOKUP(Table2[[#This Row],[Index]], Contract_Edits[Index], Contract_Edits[Start]), Table2[[#This Row],[Start]])</f>
        <v>0</v>
      </c>
      <c r="R10" s="471"/>
      <c r="S10" s="467">
        <v>0</v>
      </c>
      <c r="T10" s="470"/>
      <c r="U10" s="470"/>
      <c r="V10" s="470">
        <f>IFERROR(_xlfn.XLOOKUP(#REF!, Contract_Edits[Index], Contract_Edits[Notes]), Table2[[#This Row],[Dep Titles]])</f>
        <v>0</v>
      </c>
      <c r="W10" s="496" t="s">
        <v>436</v>
      </c>
      <c r="X10" s="494" t="str">
        <f>IFERROR(_xlfn.XLOOKUP(Table2[[#This Row],[Index]], Contract_Edits[Index], Contract_Edits[Done]), Table2[[#This Row],[Approve]])</f>
        <v>Yes</v>
      </c>
      <c r="Y10" s="494" t="str">
        <f>IFERROR(_xlfn.XLOOKUP(#REF!, Contract_Edits[Index], Contract_Edits[Paid]), Table2[[#This Row],[Done]])</f>
        <v>Yes</v>
      </c>
      <c r="Z10" s="494"/>
      <c r="AA10" s="193"/>
      <c r="AB10" s="193"/>
      <c r="AC10" s="35"/>
      <c r="AD10" s="35"/>
      <c r="AE10" s="35" t="str">
        <f>IFERROR(+IF('Gnatt Chart'!AE$23=#REF!,Milestone_Marker,IF(AND('Gnatt Chart'!AE$23&gt;#REF!,'Gnatt Chart'!AE$23&lt;#REF!+#REF!),#REF!,"")),"")</f>
        <v/>
      </c>
      <c r="AF10" s="35"/>
      <c r="AG10" s="35"/>
      <c r="AH10" s="35"/>
      <c r="AI10" s="35"/>
      <c r="AJ10" s="35"/>
      <c r="AK10" s="499"/>
      <c r="AL10" s="499"/>
      <c r="AM10" s="499"/>
      <c r="AN10" s="499"/>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63" t="s">
        <v>629</v>
      </c>
      <c r="B11" t="s">
        <v>624</v>
      </c>
      <c r="C11" s="463" t="s">
        <v>659</v>
      </c>
      <c r="D11" s="463" t="s">
        <v>660</v>
      </c>
      <c r="E11" s="464">
        <v>1</v>
      </c>
      <c r="F11" s="465">
        <f>+Lumber!L112</f>
        <v>-310.864125</v>
      </c>
      <c r="G11" s="465">
        <f t="shared" si="7"/>
        <v>-310.864125</v>
      </c>
      <c r="H11" s="465"/>
      <c r="I11" s="469"/>
      <c r="J11" s="464">
        <v>912</v>
      </c>
      <c r="K11" s="469"/>
      <c r="L11" s="470"/>
      <c r="M11" s="470">
        <f>IFERROR(_xlfn.XLOOKUP(Table2[[#This Row],[Index]], Contract_Edits[Index], Contract_Edits[Dep]), Table2[[#This Row],[Index2]])</f>
        <v>7</v>
      </c>
      <c r="N11" s="470">
        <f>IFERROR(_xlfn.XLOOKUP(Table2[[#This Row],[Index]], Contract_Edits[Index], Contract_Edits[Group]), Table2[[#This Row],[Index2]])</f>
        <v>1</v>
      </c>
      <c r="O11" s="470"/>
      <c r="P11" s="467">
        <f>IFERROR(_xlfn.XLOOKUP(Table2[[#This Row],[Index]], Contract_Edits[Index], Contract_Edits[Order]), Table2[[#This Row],[Order]])</f>
        <v>65.010100000000008</v>
      </c>
      <c r="Q11" s="467">
        <f>IFERROR(_xlfn.XLOOKUP(Table2[[#This Row],[Index]], Contract_Edits[Index], Contract_Edits[Start]), Table2[[#This Row],[Start]])</f>
        <v>0</v>
      </c>
      <c r="R11" s="471"/>
      <c r="S11" s="467">
        <v>0</v>
      </c>
      <c r="T11" s="470"/>
      <c r="U11" s="470"/>
      <c r="V11" s="470">
        <f>IFERROR(_xlfn.XLOOKUP(#REF!, Contract_Edits[Index], Contract_Edits[Notes]), Table2[[#This Row],[Dep Titles]])</f>
        <v>0</v>
      </c>
      <c r="W11" s="496" t="s">
        <v>436</v>
      </c>
      <c r="X11" s="494" t="str">
        <f>IFERROR(_xlfn.XLOOKUP(Table2[[#This Row],[Index]], Contract_Edits[Index], Contract_Edits[Done]), Table2[[#This Row],[Approve]])</f>
        <v>Yes</v>
      </c>
      <c r="Y11" s="494" t="str">
        <f>IFERROR(_xlfn.XLOOKUP(#REF!, Contract_Edits[Index], Contract_Edits[Paid]), Table2[[#This Row],[Done]])</f>
        <v>Yes</v>
      </c>
      <c r="Z11" s="494"/>
      <c r="AA11" s="193"/>
      <c r="AB11" s="193"/>
      <c r="AC11" s="35"/>
      <c r="AD11" s="35"/>
      <c r="AE11" s="35" t="str">
        <f>IFERROR(+IF('Gnatt Chart'!AE$23=#REF!,Milestone_Marker,IF(AND('Gnatt Chart'!AE$23&gt;#REF!,'Gnatt Chart'!AE$23&lt;#REF!+#REF!),#REF!,"")),"")</f>
        <v/>
      </c>
      <c r="AF11" s="35"/>
      <c r="AG11" s="35"/>
      <c r="AH11" s="35"/>
      <c r="AI11" s="35"/>
      <c r="AJ11" s="35"/>
      <c r="AK11" s="499"/>
      <c r="AL11" s="499"/>
      <c r="AM11" s="499"/>
      <c r="AN11" s="499"/>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63" t="s">
        <v>629</v>
      </c>
      <c r="B12" t="s">
        <v>624</v>
      </c>
      <c r="C12" s="463" t="s">
        <v>661</v>
      </c>
      <c r="D12" s="463" t="s">
        <v>662</v>
      </c>
      <c r="E12" s="464">
        <v>1</v>
      </c>
      <c r="F12" s="465">
        <f>+Cabinets!J52</f>
        <v>6726.5870099999993</v>
      </c>
      <c r="G12" s="465">
        <f t="shared" si="7"/>
        <v>6726.5870099999993</v>
      </c>
      <c r="H12" s="465"/>
      <c r="I12" s="469"/>
      <c r="J12" s="464">
        <v>904</v>
      </c>
      <c r="K12" s="469"/>
      <c r="L12" s="470"/>
      <c r="M12" s="470">
        <f>IFERROR(_xlfn.XLOOKUP(Table2[[#This Row],[Index]], Contract_Edits[Index], Contract_Edits[Dep]), Table2[[#This Row],[Index2]])</f>
        <v>14</v>
      </c>
      <c r="N12" s="470">
        <f>IFERROR(_xlfn.XLOOKUP(Table2[[#This Row],[Index]], Contract_Edits[Index], Contract_Edits[Group]), Table2[[#This Row],[Index2]])</f>
        <v>1</v>
      </c>
      <c r="O12" s="470"/>
      <c r="P12" s="467">
        <f>IFERROR(_xlfn.XLOOKUP(Table2[[#This Row],[Index]], Contract_Edits[Index], Contract_Edits[Order]), Table2[[#This Row],[Order]])</f>
        <v>135.0102</v>
      </c>
      <c r="Q12" s="467">
        <f>IFERROR(_xlfn.XLOOKUP(Table2[[#This Row],[Index]], Contract_Edits[Index], Contract_Edits[Start]), Table2[[#This Row],[Start]])</f>
        <v>0</v>
      </c>
      <c r="R12" s="471"/>
      <c r="S12" s="467">
        <v>0</v>
      </c>
      <c r="T12" s="470"/>
      <c r="U12" s="470"/>
      <c r="V12" s="470">
        <f>IFERROR(_xlfn.XLOOKUP(#REF!, Contract_Edits[Index], Contract_Edits[Notes]), Table2[[#This Row],[Dep Titles]])</f>
        <v>0</v>
      </c>
      <c r="W12" s="496" t="s">
        <v>436</v>
      </c>
      <c r="X12" s="494" t="str">
        <f>IFERROR(_xlfn.XLOOKUP(Table2[[#This Row],[Index]], Contract_Edits[Index], Contract_Edits[Done]), Table2[[#This Row],[Approve]])</f>
        <v>Yes</v>
      </c>
      <c r="Y12" s="494" t="str">
        <f>IFERROR(_xlfn.XLOOKUP(#REF!, Contract_Edits[Index], Contract_Edits[Paid]), Table2[[#This Row],[Done]])</f>
        <v>Yes</v>
      </c>
      <c r="Z12" s="494"/>
      <c r="AA12" s="193"/>
      <c r="AB12" s="193"/>
      <c r="AC12" s="35"/>
      <c r="AD12" s="35"/>
      <c r="AE12" s="35" t="str">
        <f>IFERROR(+IF('Gnatt Chart'!AE$23=#REF!,Milestone_Marker,IF(AND('Gnatt Chart'!AE$23&gt;#REF!,'Gnatt Chart'!AE$23&lt;#REF!+#REF!),#REF!,"")),"")</f>
        <v/>
      </c>
      <c r="AF12" s="35"/>
      <c r="AG12" s="35"/>
      <c r="AH12" s="35"/>
      <c r="AI12" s="35"/>
      <c r="AJ12" s="35"/>
      <c r="AK12" s="499"/>
      <c r="AL12" s="499"/>
      <c r="AM12" s="499"/>
      <c r="AN12" s="499"/>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63" t="s">
        <v>629</v>
      </c>
      <c r="B13" t="s">
        <v>624</v>
      </c>
      <c r="C13" s="463" t="s">
        <v>541</v>
      </c>
      <c r="D13" s="463" t="s">
        <v>663</v>
      </c>
      <c r="E13" s="464">
        <v>1</v>
      </c>
      <c r="F13" s="465">
        <f>+'Windows &amp; Doors'!H44</f>
        <v>210.10060500000003</v>
      </c>
      <c r="G13" s="465">
        <f t="shared" si="7"/>
        <v>210.10060500000003</v>
      </c>
      <c r="H13" s="465"/>
      <c r="I13" s="469"/>
      <c r="J13" s="464">
        <v>903</v>
      </c>
      <c r="K13" s="469"/>
      <c r="L13" s="470"/>
      <c r="M13" s="470">
        <f>IFERROR(_xlfn.XLOOKUP(Table2[[#This Row],[Index]], Contract_Edits[Index], Contract_Edits[Dep]), Table2[[#This Row],[Index2]])</f>
        <v>15</v>
      </c>
      <c r="N13" s="470">
        <f>IFERROR(_xlfn.XLOOKUP(Table2[[#This Row],[Index]], Contract_Edits[Index], Contract_Edits[Group]), Table2[[#This Row],[Index2]])</f>
        <v>1</v>
      </c>
      <c r="O13" s="470"/>
      <c r="P13" s="467">
        <f>IFERROR(_xlfn.XLOOKUP(Table2[[#This Row],[Index]], Contract_Edits[Index], Contract_Edits[Order]), Table2[[#This Row],[Order]])</f>
        <v>145.01009999999999</v>
      </c>
      <c r="Q13" s="467">
        <f>IFERROR(_xlfn.XLOOKUP(Table2[[#This Row],[Index]], Contract_Edits[Index], Contract_Edits[Start]), Table2[[#This Row],[Start]])</f>
        <v>0</v>
      </c>
      <c r="R13" s="471"/>
      <c r="S13" s="467">
        <v>0</v>
      </c>
      <c r="T13" s="470"/>
      <c r="U13" s="470"/>
      <c r="V13" s="470">
        <f>IFERROR(_xlfn.XLOOKUP(#REF!, Contract_Edits[Index], Contract_Edits[Notes]), Table2[[#This Row],[Dep Titles]])</f>
        <v>0</v>
      </c>
      <c r="W13" s="496" t="s">
        <v>436</v>
      </c>
      <c r="X13" s="494" t="str">
        <f>IFERROR(_xlfn.XLOOKUP(Table2[[#This Row],[Index]], Contract_Edits[Index], Contract_Edits[Done]), Table2[[#This Row],[Approve]])</f>
        <v>Yes</v>
      </c>
      <c r="Y13" s="494" t="str">
        <f>IFERROR(_xlfn.XLOOKUP(#REF!, Contract_Edits[Index], Contract_Edits[Paid]), Table2[[#This Row],[Done]])</f>
        <v>Yes</v>
      </c>
      <c r="Z13" s="494"/>
      <c r="AC13" s="35"/>
      <c r="AD13" s="35"/>
      <c r="AE13" s="35" t="str">
        <f>IFERROR(+IF('Gnatt Chart'!AE$23=#REF!,Milestone_Marker,IF(AND('Gnatt Chart'!AE$23&gt;#REF!,'Gnatt Chart'!AE$23&lt;#REF!+#REF!),#REF!,"")),"")</f>
        <v/>
      </c>
      <c r="AF13" s="35"/>
      <c r="AG13" s="35"/>
      <c r="AH13" s="35"/>
      <c r="AI13" s="35"/>
      <c r="AJ13" s="35"/>
      <c r="AK13" s="499"/>
      <c r="AL13" s="499"/>
      <c r="AM13" s="499"/>
      <c r="AN13" s="499"/>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63" t="s">
        <v>629</v>
      </c>
      <c r="B14" t="s">
        <v>625</v>
      </c>
      <c r="C14" s="463" t="s">
        <v>557</v>
      </c>
      <c r="D14" s="463" t="s">
        <v>664</v>
      </c>
      <c r="E14" s="464">
        <v>1</v>
      </c>
      <c r="F14" s="465">
        <f>+Appliances!I31</f>
        <v>150</v>
      </c>
      <c r="G14" s="465">
        <f t="shared" si="7"/>
        <v>150</v>
      </c>
      <c r="H14" s="465"/>
      <c r="I14" s="469"/>
      <c r="J14" s="464">
        <v>901</v>
      </c>
      <c r="K14" s="469"/>
      <c r="L14" s="470"/>
      <c r="M14" s="470">
        <f>IFERROR(_xlfn.XLOOKUP(Table2[[#This Row],[Index]], Contract_Edits[Index], Contract_Edits[Dep]), Table2[[#This Row],[Index2]])</f>
        <v>16</v>
      </c>
      <c r="N14" s="470">
        <f>IFERROR(_xlfn.XLOOKUP(Table2[[#This Row],[Index]], Contract_Edits[Index], Contract_Edits[Group]), Table2[[#This Row],[Index2]])</f>
        <v>1</v>
      </c>
      <c r="O14" s="470"/>
      <c r="P14" s="467">
        <f>IFERROR(_xlfn.XLOOKUP(Table2[[#This Row],[Index]], Contract_Edits[Index], Contract_Edits[Order]), Table2[[#This Row],[Order]])</f>
        <v>155.01009999999999</v>
      </c>
      <c r="Q14" s="467">
        <f>IFERROR(_xlfn.XLOOKUP(Table2[[#This Row],[Index]], Contract_Edits[Index], Contract_Edits[Start]), Table2[[#This Row],[Start]])</f>
        <v>0</v>
      </c>
      <c r="R14" s="471"/>
      <c r="S14" s="467">
        <v>0</v>
      </c>
      <c r="T14" s="470"/>
      <c r="U14" s="470"/>
      <c r="V14" s="470">
        <f>IFERROR(_xlfn.XLOOKUP(#REF!, Contract_Edits[Index], Contract_Edits[Notes]), Table2[[#This Row],[Dep Titles]])</f>
        <v>0</v>
      </c>
      <c r="W14" s="496" t="s">
        <v>436</v>
      </c>
      <c r="X14" s="494" t="str">
        <f>IFERROR(_xlfn.XLOOKUP(Table2[[#This Row],[Index]], Contract_Edits[Index], Contract_Edits[Done]), Table2[[#This Row],[Approve]])</f>
        <v>Yes</v>
      </c>
      <c r="Y14" s="494" t="str">
        <f>IFERROR(_xlfn.XLOOKUP(#REF!, Contract_Edits[Index], Contract_Edits[Paid]), Table2[[#This Row],[Done]])</f>
        <v>Yes</v>
      </c>
      <c r="Z14" s="494"/>
      <c r="AA14" s="193"/>
      <c r="AB14" s="193"/>
      <c r="AC14" s="35"/>
      <c r="AD14" s="35"/>
      <c r="AE14" s="35" t="str">
        <f>IFERROR(+IF('Gnatt Chart'!AE$23=#REF!,Milestone_Marker,IF(AND('Gnatt Chart'!AE$23&gt;#REF!,'Gnatt Chart'!AE$23&lt;#REF!+#REF!),#REF!,"")),"")</f>
        <v/>
      </c>
      <c r="AF14" s="35"/>
      <c r="AG14" s="35"/>
      <c r="AH14" s="35"/>
      <c r="AI14" s="35"/>
      <c r="AJ14" s="35"/>
      <c r="AK14" s="499"/>
      <c r="AL14" s="499"/>
      <c r="AM14" s="499"/>
      <c r="AN14" s="499"/>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63" t="s">
        <v>629</v>
      </c>
      <c r="B15" t="s">
        <v>624</v>
      </c>
      <c r="C15" s="463" t="s">
        <v>531</v>
      </c>
      <c r="D15" s="463" t="s">
        <v>665</v>
      </c>
      <c r="E15" s="464">
        <v>1</v>
      </c>
      <c r="F15" s="465">
        <f>+'Electrical Fixtures'!H36</f>
        <v>0</v>
      </c>
      <c r="G15" s="465">
        <f t="shared" si="7"/>
        <v>0</v>
      </c>
      <c r="H15" s="465"/>
      <c r="I15" s="469"/>
      <c r="J15" s="464">
        <v>907</v>
      </c>
      <c r="K15" s="469"/>
      <c r="L15" s="470"/>
      <c r="M15" s="470">
        <f>IFERROR(_xlfn.XLOOKUP(Table2[[#This Row],[Index]], Contract_Edits[Index], Contract_Edits[Dep]), Table2[[#This Row],[Index2]])</f>
        <v>16</v>
      </c>
      <c r="N15" s="470">
        <f>IFERROR(_xlfn.XLOOKUP(Table2[[#This Row],[Index]], Contract_Edits[Index], Contract_Edits[Group]), Table2[[#This Row],[Index2]])</f>
        <v>1</v>
      </c>
      <c r="O15" s="470"/>
      <c r="P15" s="467">
        <f>IFERROR(_xlfn.XLOOKUP(Table2[[#This Row],[Index]], Contract_Edits[Index], Contract_Edits[Order]), Table2[[#This Row],[Order]])</f>
        <v>155.0102</v>
      </c>
      <c r="Q15" s="467">
        <f>IFERROR(_xlfn.XLOOKUP(Table2[[#This Row],[Index]], Contract_Edits[Index], Contract_Edits[Start]), Table2[[#This Row],[Start]])</f>
        <v>0</v>
      </c>
      <c r="R15" s="471"/>
      <c r="S15" s="467">
        <v>0</v>
      </c>
      <c r="T15" s="470"/>
      <c r="U15" s="470"/>
      <c r="V15" s="470">
        <f>IFERROR(_xlfn.XLOOKUP(#REF!, Contract_Edits[Index], Contract_Edits[Notes]), Table2[[#This Row],[Dep Titles]])</f>
        <v>0</v>
      </c>
      <c r="W15" s="496" t="s">
        <v>436</v>
      </c>
      <c r="X15" s="494" t="str">
        <f>IFERROR(_xlfn.XLOOKUP(Table2[[#This Row],[Index]], Contract_Edits[Index], Contract_Edits[Done]), Table2[[#This Row],[Approve]])</f>
        <v>Yes</v>
      </c>
      <c r="Y15" s="494" t="str">
        <f>IFERROR(_xlfn.XLOOKUP(#REF!, Contract_Edits[Index], Contract_Edits[Paid]), Table2[[#This Row],[Done]])</f>
        <v>Yes</v>
      </c>
      <c r="Z15" s="494"/>
      <c r="AA15" s="193"/>
      <c r="AB15" s="193"/>
      <c r="AC15" s="35"/>
      <c r="AD15" s="35"/>
      <c r="AE15" s="35" t="str">
        <f>IFERROR(+IF('Gnatt Chart'!AE$23=#REF!,Milestone_Marker,IF(AND('Gnatt Chart'!AE$23&gt;#REF!,'Gnatt Chart'!AE$23&lt;#REF!+#REF!),#REF!,"")),"")</f>
        <v/>
      </c>
      <c r="AF15" s="35"/>
      <c r="AG15" s="35"/>
      <c r="AH15" s="35"/>
      <c r="AI15" s="35"/>
      <c r="AJ15" s="35"/>
      <c r="AK15" s="499"/>
      <c r="AL15" s="499"/>
      <c r="AM15" s="499"/>
      <c r="AN15" s="499"/>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63" t="s">
        <v>629</v>
      </c>
      <c r="B16" t="s">
        <v>624</v>
      </c>
      <c r="C16" s="463" t="s">
        <v>520</v>
      </c>
      <c r="D16" s="463" t="s">
        <v>666</v>
      </c>
      <c r="E16" s="464">
        <v>1</v>
      </c>
      <c r="F16" s="465">
        <f>+'Plumbing Fixtures'!I32</f>
        <v>44.58382499999999</v>
      </c>
      <c r="G16" s="465">
        <f t="shared" si="7"/>
        <v>44.58382499999999</v>
      </c>
      <c r="H16" s="465"/>
      <c r="I16" s="469"/>
      <c r="J16" s="464">
        <v>902</v>
      </c>
      <c r="K16" s="469"/>
      <c r="L16" s="470"/>
      <c r="M16" s="470">
        <f>IFERROR(_xlfn.XLOOKUP(Table2[[#This Row],[Index]], Contract_Edits[Index], Contract_Edits[Dep]), Table2[[#This Row],[Index2]])</f>
        <v>17</v>
      </c>
      <c r="N16" s="470">
        <f>IFERROR(_xlfn.XLOOKUP(Table2[[#This Row],[Index]], Contract_Edits[Index], Contract_Edits[Group]), Table2[[#This Row],[Index2]])</f>
        <v>1</v>
      </c>
      <c r="O16" s="470"/>
      <c r="P16" s="467">
        <f>IFERROR(_xlfn.XLOOKUP(Table2[[#This Row],[Index]], Contract_Edits[Index], Contract_Edits[Order]), Table2[[#This Row],[Order]])</f>
        <v>165.0102</v>
      </c>
      <c r="Q16" s="467">
        <f>IFERROR(_xlfn.XLOOKUP(Table2[[#This Row],[Index]], Contract_Edits[Index], Contract_Edits[Start]), Table2[[#This Row],[Start]])</f>
        <v>0</v>
      </c>
      <c r="R16" s="471"/>
      <c r="S16" s="467">
        <v>0</v>
      </c>
      <c r="T16" s="470"/>
      <c r="U16" s="470"/>
      <c r="V16" s="470">
        <f>IFERROR(_xlfn.XLOOKUP(#REF!, Contract_Edits[Index], Contract_Edits[Notes]), Table2[[#This Row],[Dep Titles]])</f>
        <v>0</v>
      </c>
      <c r="W16" s="496" t="s">
        <v>436</v>
      </c>
      <c r="X16" s="494" t="str">
        <f>IFERROR(_xlfn.XLOOKUP(Table2[[#This Row],[Index]], Contract_Edits[Index], Contract_Edits[Done]), Table2[[#This Row],[Approve]])</f>
        <v>Yes</v>
      </c>
      <c r="Y16" s="494" t="str">
        <f>IFERROR(_xlfn.XLOOKUP(#REF!, Contract_Edits[Index], Contract_Edits[Paid]), Table2[[#This Row],[Done]])</f>
        <v>Yes</v>
      </c>
      <c r="Z16" s="494"/>
      <c r="AA16" s="193"/>
      <c r="AB16" s="193"/>
      <c r="AC16" s="35"/>
      <c r="AD16" s="35"/>
      <c r="AE16" s="35" t="str">
        <f>IFERROR(+IF('Gnatt Chart'!AE$23=#REF!,Milestone_Marker,IF(AND('Gnatt Chart'!AE$23&gt;#REF!,'Gnatt Chart'!AE$23&lt;#REF!+#REF!),#REF!,"")),"")</f>
        <v/>
      </c>
      <c r="AF16" s="35"/>
      <c r="AG16" s="35"/>
      <c r="AH16" s="35"/>
      <c r="AI16" s="35"/>
      <c r="AJ16" s="35"/>
      <c r="AK16" s="499"/>
      <c r="AL16" s="499"/>
      <c r="AM16" s="499"/>
      <c r="AN16" s="499"/>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58" t="s">
        <v>667</v>
      </c>
      <c r="BG16" s="459"/>
      <c r="BH16" s="459"/>
      <c r="BI16" s="459"/>
      <c r="BJ16" s="459"/>
      <c r="BK16" s="459"/>
      <c r="BL16" s="459"/>
      <c r="BM16" s="459"/>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63" t="s">
        <v>629</v>
      </c>
      <c r="B17" t="s">
        <v>624</v>
      </c>
      <c r="C17" s="463" t="s">
        <v>532</v>
      </c>
      <c r="D17" s="463" t="s">
        <v>668</v>
      </c>
      <c r="E17" s="464">
        <v>1</v>
      </c>
      <c r="F17" s="465">
        <f>+HVAC!I18</f>
        <v>8621</v>
      </c>
      <c r="G17" s="465">
        <f t="shared" si="7"/>
        <v>8621</v>
      </c>
      <c r="H17" s="465"/>
      <c r="I17" s="469"/>
      <c r="J17" s="464">
        <v>911</v>
      </c>
      <c r="K17" s="469"/>
      <c r="L17" s="470"/>
      <c r="M17" s="470">
        <f>IFERROR(_xlfn.XLOOKUP(Table2[[#This Row],[Index]], Contract_Edits[Index], Contract_Edits[Dep]), Table2[[#This Row],[Index2]])</f>
        <v>19</v>
      </c>
      <c r="N17" s="470">
        <f>IFERROR(_xlfn.XLOOKUP(Table2[[#This Row],[Index]], Contract_Edits[Index], Contract_Edits[Group]), Table2[[#This Row],[Index2]])</f>
        <v>1</v>
      </c>
      <c r="O17" s="470"/>
      <c r="P17" s="467">
        <f>IFERROR(_xlfn.XLOOKUP(Table2[[#This Row],[Index]], Contract_Edits[Index], Contract_Edits[Order]), Table2[[#This Row],[Order]])</f>
        <v>185.01009999999999</v>
      </c>
      <c r="Q17" s="467">
        <f>IFERROR(_xlfn.XLOOKUP(Table2[[#This Row],[Index]], Contract_Edits[Index], Contract_Edits[Start]), Table2[[#This Row],[Start]])</f>
        <v>0</v>
      </c>
      <c r="R17" s="471"/>
      <c r="S17" s="467">
        <v>0</v>
      </c>
      <c r="T17" s="470"/>
      <c r="U17" s="470"/>
      <c r="V17" s="470">
        <f>IFERROR(_xlfn.XLOOKUP(#REF!, Contract_Edits[Index], Contract_Edits[Notes]), Table2[[#This Row],[Dep Titles]])</f>
        <v>0</v>
      </c>
      <c r="W17" s="496" t="s">
        <v>436</v>
      </c>
      <c r="X17" s="494" t="str">
        <f>IFERROR(_xlfn.XLOOKUP(Table2[[#This Row],[Index]], Contract_Edits[Index], Contract_Edits[Done]), Table2[[#This Row],[Approve]])</f>
        <v>Yes</v>
      </c>
      <c r="Y17" s="494" t="str">
        <f>IFERROR(_xlfn.XLOOKUP(#REF!, Contract_Edits[Index], Contract_Edits[Paid]), Table2[[#This Row],[Done]])</f>
        <v>Yes</v>
      </c>
      <c r="Z17" s="494"/>
      <c r="AA17" s="193"/>
      <c r="AB17" s="193"/>
      <c r="AC17" s="35"/>
      <c r="AD17" s="35"/>
      <c r="AE17" s="35" t="str">
        <f>IFERROR(+IF('Gnatt Chart'!AE$23=#REF!,Milestone_Marker,IF(AND('Gnatt Chart'!AE$23&gt;#REF!,'Gnatt Chart'!AE$23&lt;#REF!+#REF!),#REF!,"")),"")</f>
        <v/>
      </c>
      <c r="AF17" s="35"/>
      <c r="AG17" s="35"/>
      <c r="AH17" s="35"/>
      <c r="AI17" s="35"/>
      <c r="AJ17" s="35"/>
      <c r="AK17" s="499"/>
      <c r="AL17" s="499"/>
      <c r="AM17" s="499"/>
      <c r="AN17" s="499"/>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9"/>
      <c r="BG17" s="459"/>
      <c r="BH17" s="459"/>
      <c r="BI17" s="459"/>
      <c r="BJ17" s="459"/>
      <c r="BK17" s="459"/>
      <c r="BL17" s="459"/>
      <c r="BM17" s="459"/>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63" t="s">
        <v>629</v>
      </c>
      <c r="B18" t="s">
        <v>625</v>
      </c>
      <c r="C18" s="463" t="s">
        <v>669</v>
      </c>
      <c r="D18" s="463" t="s">
        <v>670</v>
      </c>
      <c r="E18" s="464">
        <v>1</v>
      </c>
      <c r="F18" s="465">
        <f>+Flooring!I22</f>
        <v>5905.82</v>
      </c>
      <c r="G18" s="465">
        <f t="shared" si="7"/>
        <v>5905.82</v>
      </c>
      <c r="H18" s="465"/>
      <c r="I18" s="469"/>
      <c r="J18" s="464">
        <v>906</v>
      </c>
      <c r="K18" s="469"/>
      <c r="L18" s="470"/>
      <c r="M18" s="470">
        <f>IFERROR(_xlfn.XLOOKUP(Table2[[#This Row],[Index]], Contract_Edits[Index], Contract_Edits[Dep]), Table2[[#This Row],[Index2]])</f>
        <v>20</v>
      </c>
      <c r="N18" s="470">
        <f>IFERROR(_xlfn.XLOOKUP(Table2[[#This Row],[Index]], Contract_Edits[Index], Contract_Edits[Group]), Table2[[#This Row],[Index2]])</f>
        <v>1</v>
      </c>
      <c r="O18" s="470"/>
      <c r="P18" s="467">
        <f>IFERROR(_xlfn.XLOOKUP(Table2[[#This Row],[Index]], Contract_Edits[Index], Contract_Edits[Order]), Table2[[#This Row],[Order]])</f>
        <v>195.01009999999999</v>
      </c>
      <c r="Q18" s="467">
        <f>IFERROR(_xlfn.XLOOKUP(Table2[[#This Row],[Index]], Contract_Edits[Index], Contract_Edits[Start]), Table2[[#This Row],[Start]])</f>
        <v>0</v>
      </c>
      <c r="R18" s="471"/>
      <c r="S18" s="467">
        <v>0</v>
      </c>
      <c r="T18" s="470"/>
      <c r="U18" s="470"/>
      <c r="V18" s="470">
        <f>IFERROR(_xlfn.XLOOKUP(#REF!, Contract_Edits[Index], Contract_Edits[Notes]), Table2[[#This Row],[Dep Titles]])</f>
        <v>0</v>
      </c>
      <c r="W18" s="496" t="s">
        <v>436</v>
      </c>
      <c r="X18" s="494" t="str">
        <f>IFERROR(_xlfn.XLOOKUP(Table2[[#This Row],[Index]], Contract_Edits[Index], Contract_Edits[Done]), Table2[[#This Row],[Approve]])</f>
        <v>Yes</v>
      </c>
      <c r="Y18" s="494" t="str">
        <f>IFERROR(_xlfn.XLOOKUP(#REF!, Contract_Edits[Index], Contract_Edits[Paid]), Table2[[#This Row],[Done]])</f>
        <v>Yes</v>
      </c>
      <c r="Z18" s="494"/>
      <c r="AA18" s="193"/>
      <c r="AB18" s="193"/>
      <c r="AC18" s="35"/>
      <c r="AD18" s="35"/>
      <c r="AE18" s="35" t="str">
        <f>IFERROR(+IF('Gnatt Chart'!AE$23=#REF!,Milestone_Marker,IF(AND('Gnatt Chart'!AE$23&gt;#REF!,'Gnatt Chart'!AE$23&lt;#REF!+#REF!),#REF!,"")),"")</f>
        <v/>
      </c>
      <c r="AF18" s="35"/>
      <c r="AG18" s="35"/>
      <c r="AH18" s="35"/>
      <c r="AI18" s="35"/>
      <c r="AJ18" s="35"/>
      <c r="AK18" s="499"/>
      <c r="AL18" s="499"/>
      <c r="AM18" s="499"/>
      <c r="AN18" s="499"/>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63" t="s">
        <v>629</v>
      </c>
      <c r="B19" t="s">
        <v>625</v>
      </c>
      <c r="C19" s="463" t="s">
        <v>547</v>
      </c>
      <c r="D19" s="463" t="s">
        <v>671</v>
      </c>
      <c r="E19" s="464">
        <v>1</v>
      </c>
      <c r="F19" s="465">
        <f>+Paint!L55</f>
        <v>8333.2037</v>
      </c>
      <c r="G19" s="465">
        <f t="shared" si="7"/>
        <v>8333.2037</v>
      </c>
      <c r="H19" s="465"/>
      <c r="I19" s="469"/>
      <c r="J19" s="464">
        <v>905</v>
      </c>
      <c r="K19" s="469"/>
      <c r="L19" s="470"/>
      <c r="M19" s="470">
        <f>IFERROR(_xlfn.XLOOKUP(Table2[[#This Row],[Index]], Contract_Edits[Index], Contract_Edits[Dep]), Table2[[#This Row],[Index2]])</f>
        <v>23</v>
      </c>
      <c r="N19" s="470">
        <f>IFERROR(_xlfn.XLOOKUP(Table2[[#This Row],[Index]], Contract_Edits[Index], Contract_Edits[Group]), Table2[[#This Row],[Index2]])</f>
        <v>1</v>
      </c>
      <c r="O19" s="470"/>
      <c r="P19" s="467">
        <f>IFERROR(_xlfn.XLOOKUP(Table2[[#This Row],[Index]], Contract_Edits[Index], Contract_Edits[Order]), Table2[[#This Row],[Order]])</f>
        <v>225.01009999999999</v>
      </c>
      <c r="Q19" s="467">
        <f>IFERROR(_xlfn.XLOOKUP(Table2[[#This Row],[Index]], Contract_Edits[Index], Contract_Edits[Start]), Table2[[#This Row],[Start]])</f>
        <v>0</v>
      </c>
      <c r="R19" s="471"/>
      <c r="S19" s="467">
        <v>0</v>
      </c>
      <c r="T19" s="470"/>
      <c r="U19" s="470"/>
      <c r="V19" s="470">
        <f>IFERROR(_xlfn.XLOOKUP(#REF!, Contract_Edits[Index], Contract_Edits[Notes]), Table2[[#This Row],[Dep Titles]])</f>
        <v>0</v>
      </c>
      <c r="W19" s="496" t="s">
        <v>436</v>
      </c>
      <c r="X19" s="494" t="str">
        <f>IFERROR(_xlfn.XLOOKUP(Table2[[#This Row],[Index]], Contract_Edits[Index], Contract_Edits[Done]), Table2[[#This Row],[Approve]])</f>
        <v>Yes</v>
      </c>
      <c r="Y19" s="494" t="str">
        <f>IFERROR(_xlfn.XLOOKUP(#REF!, Contract_Edits[Index], Contract_Edits[Paid]), Table2[[#This Row],[Done]])</f>
        <v>Yes</v>
      </c>
      <c r="Z19" s="494"/>
      <c r="AA19" s="193"/>
      <c r="AB19" s="193"/>
      <c r="AC19" s="35"/>
      <c r="AD19" s="35"/>
      <c r="AE19" s="35" t="str">
        <f>IFERROR(+IF('Gnatt Chart'!AE$23=#REF!,Milestone_Marker,IF(AND('Gnatt Chart'!AE$23&gt;#REF!,'Gnatt Chart'!AE$23&lt;#REF!+#REF!),#REF!,"")),"")</f>
        <v/>
      </c>
      <c r="AF19" s="35"/>
      <c r="AG19" s="35"/>
      <c r="AH19" s="35"/>
      <c r="AI19" s="35"/>
      <c r="AJ19" s="35"/>
      <c r="AK19" s="499"/>
      <c r="AL19" s="499"/>
      <c r="AM19" s="499"/>
      <c r="AN19" s="499"/>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63" t="s">
        <v>629</v>
      </c>
      <c r="B20" t="s">
        <v>624</v>
      </c>
      <c r="C20" s="463" t="s">
        <v>555</v>
      </c>
      <c r="D20" s="463" t="s">
        <v>672</v>
      </c>
      <c r="E20" s="464">
        <v>1</v>
      </c>
      <c r="F20" s="465">
        <f>+Exterior!F22</f>
        <v>0</v>
      </c>
      <c r="G20" s="465">
        <f t="shared" si="7"/>
        <v>0</v>
      </c>
      <c r="H20" s="465"/>
      <c r="I20" s="469"/>
      <c r="J20" s="464">
        <v>909</v>
      </c>
      <c r="K20" s="469"/>
      <c r="L20" s="470"/>
      <c r="M20" s="470">
        <f>IFERROR(_xlfn.XLOOKUP(Table2[[#This Row],[Index]], Contract_Edits[Index], Contract_Edits[Dep]), Table2[[#This Row],[Index2]])</f>
        <v>28</v>
      </c>
      <c r="N20" s="470">
        <f>IFERROR(_xlfn.XLOOKUP(Table2[[#This Row],[Index]], Contract_Edits[Index], Contract_Edits[Group]), Table2[[#This Row],[Index2]])</f>
        <v>1</v>
      </c>
      <c r="O20" s="470"/>
      <c r="P20" s="467">
        <f>IFERROR(_xlfn.XLOOKUP(Table2[[#This Row],[Index]], Contract_Edits[Index], Contract_Edits[Order]), Table2[[#This Row],[Order]])</f>
        <v>275.01009999999997</v>
      </c>
      <c r="Q20" s="467">
        <f>IFERROR(_xlfn.XLOOKUP(Table2[[#This Row],[Index]], Contract_Edits[Index], Contract_Edits[Start]), Table2[[#This Row],[Start]])</f>
        <v>0</v>
      </c>
      <c r="R20" s="471"/>
      <c r="S20" s="467">
        <v>0</v>
      </c>
      <c r="T20" s="470"/>
      <c r="U20" s="470"/>
      <c r="V20" s="470">
        <f>IFERROR(_xlfn.XLOOKUP(#REF!, Contract_Edits[Index], Contract_Edits[Notes]), Table2[[#This Row],[Dep Titles]])</f>
        <v>0</v>
      </c>
      <c r="W20" s="496" t="s">
        <v>436</v>
      </c>
      <c r="X20" s="494" t="str">
        <f>IFERROR(_xlfn.XLOOKUP(Table2[[#This Row],[Index]], Contract_Edits[Index], Contract_Edits[Done]), Table2[[#This Row],[Approve]])</f>
        <v>Yes</v>
      </c>
      <c r="Y20" s="494" t="str">
        <f>IFERROR(_xlfn.XLOOKUP(#REF!, Contract_Edits[Index], Contract_Edits[Paid]), Table2[[#This Row],[Done]])</f>
        <v>Yes</v>
      </c>
      <c r="Z20" s="494"/>
      <c r="AA20" s="193"/>
      <c r="AB20" s="193"/>
      <c r="AC20" s="35"/>
      <c r="AD20" s="35"/>
      <c r="AE20" s="35" t="str">
        <f>IFERROR(+IF('Gnatt Chart'!AE$23=#REF!,Milestone_Marker,IF(AND('Gnatt Chart'!AE$23&gt;#REF!,'Gnatt Chart'!AE$23&lt;#REF!+#REF!),#REF!,"")),"")</f>
        <v/>
      </c>
      <c r="AF20" s="35"/>
      <c r="AG20" s="35"/>
      <c r="AH20" s="35"/>
      <c r="AI20" s="35"/>
      <c r="AJ20" s="35"/>
      <c r="AK20" s="499"/>
      <c r="AL20" s="499"/>
      <c r="AM20" s="499"/>
      <c r="AN20" s="499"/>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63" t="s">
        <v>629</v>
      </c>
      <c r="B21" t="s">
        <v>625</v>
      </c>
      <c r="C21" s="463" t="s">
        <v>673</v>
      </c>
      <c r="D21" s="463" t="s">
        <v>674</v>
      </c>
      <c r="E21" s="464">
        <v>1</v>
      </c>
      <c r="F21" s="465">
        <f>+Landscape!G17</f>
        <v>270</v>
      </c>
      <c r="G21" s="465">
        <f t="shared" si="7"/>
        <v>270</v>
      </c>
      <c r="H21" s="465"/>
      <c r="I21" s="469"/>
      <c r="J21" s="464">
        <v>910</v>
      </c>
      <c r="K21" s="469"/>
      <c r="L21" s="470"/>
      <c r="M21" s="470">
        <f>IFERROR(_xlfn.XLOOKUP(Table2[[#This Row],[Index]], Contract_Edits[Index], Contract_Edits[Dep]), Table2[[#This Row],[Index2]])</f>
        <v>28</v>
      </c>
      <c r="N21" s="470">
        <f>IFERROR(_xlfn.XLOOKUP(Table2[[#This Row],[Index]], Contract_Edits[Index], Contract_Edits[Group]), Table2[[#This Row],[Index2]])</f>
        <v>1</v>
      </c>
      <c r="O21" s="470"/>
      <c r="P21" s="467">
        <f>IFERROR(_xlfn.XLOOKUP(Table2[[#This Row],[Index]], Contract_Edits[Index], Contract_Edits[Order]), Table2[[#This Row],[Order]])</f>
        <v>275.0102</v>
      </c>
      <c r="Q21" s="467">
        <f>IFERROR(_xlfn.XLOOKUP(Table2[[#This Row],[Index]], Contract_Edits[Index], Contract_Edits[Start]), Table2[[#This Row],[Start]])</f>
        <v>0</v>
      </c>
      <c r="R21" s="471"/>
      <c r="S21" s="467">
        <v>0</v>
      </c>
      <c r="T21" s="470"/>
      <c r="U21" s="470"/>
      <c r="V21" s="470">
        <f>IFERROR(_xlfn.XLOOKUP(#REF!, Contract_Edits[Index], Contract_Edits[Notes]), Table2[[#This Row],[Dep Titles]])</f>
        <v>0</v>
      </c>
      <c r="W21" s="496" t="s">
        <v>436</v>
      </c>
      <c r="X21" s="494" t="str">
        <f>IFERROR(_xlfn.XLOOKUP(Table2[[#This Row],[Index]], Contract_Edits[Index], Contract_Edits[Done]), Table2[[#This Row],[Approve]])</f>
        <v>Yes</v>
      </c>
      <c r="Y21" s="494" t="str">
        <f>IFERROR(_xlfn.XLOOKUP(#REF!, Contract_Edits[Index], Contract_Edits[Paid]), Table2[[#This Row],[Done]])</f>
        <v>Yes</v>
      </c>
      <c r="Z21" s="494"/>
      <c r="AA21" s="193"/>
      <c r="AB21" s="193"/>
      <c r="AC21" s="35"/>
      <c r="AD21" s="35"/>
      <c r="AE21" s="35" t="str">
        <f>IFERROR(+IF('Gnatt Chart'!AE$23=#REF!,Milestone_Marker,IF(AND('Gnatt Chart'!AE$23&gt;#REF!,'Gnatt Chart'!AE$23&lt;#REF!+#REF!),#REF!,"")),"")</f>
        <v/>
      </c>
      <c r="AF21" s="35"/>
      <c r="AG21" s="35"/>
      <c r="AH21" s="35"/>
      <c r="AI21" s="35"/>
      <c r="AJ21" s="35"/>
      <c r="AK21" s="499"/>
      <c r="AL21" s="499"/>
      <c r="AM21" s="499"/>
      <c r="AN21" s="499"/>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63" t="s">
        <v>629</v>
      </c>
      <c r="B22" t="s">
        <v>624</v>
      </c>
      <c r="C22" s="463" t="s">
        <v>675</v>
      </c>
      <c r="D22" s="463" t="s">
        <v>676</v>
      </c>
      <c r="E22" s="464">
        <v>0</v>
      </c>
      <c r="F22" s="465">
        <f>+Furnishing!G18</f>
        <v>0</v>
      </c>
      <c r="G22" s="465">
        <f t="shared" si="7"/>
        <v>0</v>
      </c>
      <c r="H22" s="465"/>
      <c r="I22" s="472"/>
      <c r="J22" s="464">
        <v>913</v>
      </c>
      <c r="K22" s="472"/>
      <c r="L22" s="473"/>
      <c r="M22" s="473">
        <f>IFERROR( _xlfn.XLOOKUP(#REF!, Contract_Edits[Index],#REF!), Table2[[#This Row],[Date]])</f>
        <v>0</v>
      </c>
      <c r="N22" s="470">
        <f>IFERROR(_xlfn.XLOOKUP(Table2[[#This Row],[Index]], Contract_Edits[Index], Contract_Edits[Group]), Table2[[#This Row],[Index2]])</f>
        <v>1</v>
      </c>
      <c r="O22" s="473"/>
      <c r="P22" s="467">
        <f>IFERROR(_xlfn.XLOOKUP(Table2[[#This Row],[Index]], Contract_Edits[Index], Contract_Edits[Order]), Table2[[#This Row],[Order]])</f>
        <v>9999.0100999999995</v>
      </c>
      <c r="Q22" s="467">
        <f>IFERROR(_xlfn.XLOOKUP(Table2[[#This Row],[Index]], Contract_Edits[Index], Contract_Edits[Start]), Table2[[#This Row],[Start]])</f>
        <v>0</v>
      </c>
      <c r="R22" s="474"/>
      <c r="S22" s="473">
        <v>0</v>
      </c>
      <c r="T22" s="473"/>
      <c r="U22" s="473"/>
      <c r="V22" s="473">
        <f>IFERROR(_xlfn.XLOOKUP(#REF!, Contract_Edits[Index], Contract_Edits[Notes]), Table2[[#This Row],[Dep Titles]])</f>
        <v>0</v>
      </c>
      <c r="W22" s="496" t="s">
        <v>677</v>
      </c>
      <c r="X22" s="495" t="str">
        <f>IFERROR(_xlfn.XLOOKUP(Table2[[#This Row],[Index]], Contract_Edits[Index], Contract_Edits[Done]), Table2[[#This Row],[Approve]])</f>
        <v>No</v>
      </c>
      <c r="Y22" s="495" t="str">
        <f>IFERROR(_xlfn.XLOOKUP(#REF!, Contract_Edits[Index], Contract_Edits[Paid]), Table2[[#This Row],[Done]])</f>
        <v>No</v>
      </c>
      <c r="Z22" s="495"/>
      <c r="AA22" s="473"/>
      <c r="AB22" s="473"/>
      <c r="AD22" s="193"/>
      <c r="AE22" s="35" t="str">
        <f>IFERROR(+IF('Gnatt Chart'!AE$23=#REF!,Milestone_Marker,IF(AND('Gnatt Chart'!AE$23&gt;#REF!,'Gnatt Chart'!AE$23&lt;#REF!+#REF!),#REF!,"")),"")</f>
        <v/>
      </c>
      <c r="AF22" s="35"/>
      <c r="AG22" s="35"/>
      <c r="AH22" s="35"/>
      <c r="AI22" s="35"/>
      <c r="AJ22" s="35"/>
      <c r="AK22" s="499"/>
      <c r="AL22" s="499"/>
      <c r="AM22" s="499"/>
      <c r="AN22" s="499"/>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
      </c>
      <c r="CS22" s="46" t="str">
        <f t="shared" ca="1" si="9"/>
        <v/>
      </c>
      <c r="CT22" s="46" t="str">
        <f t="shared" ca="1" si="9"/>
        <v/>
      </c>
      <c r="CU22" s="46" t="str">
        <f t="shared" ca="1" si="9"/>
        <v/>
      </c>
      <c r="CV22" s="46" t="str">
        <f t="shared" ca="1" si="9"/>
        <v/>
      </c>
      <c r="CW22" s="46" t="str">
        <f t="shared" ca="1" si="9"/>
        <v/>
      </c>
      <c r="CX22" s="46" t="str">
        <f t="shared" ca="1" si="9"/>
        <v>August</v>
      </c>
      <c r="CY22" s="46" t="str">
        <f t="shared" ca="1" si="9"/>
        <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September</v>
      </c>
      <c r="ED22" s="46" t="str">
        <f t="shared" ca="1" si="10"/>
        <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60" customFormat="1" ht="16.5" thickTop="1" thickBot="1">
      <c r="A23" s="483" t="s">
        <v>511</v>
      </c>
      <c r="B23" s="484" t="s">
        <v>506</v>
      </c>
      <c r="C23" s="484" t="s">
        <v>507</v>
      </c>
      <c r="D23" s="484" t="s">
        <v>508</v>
      </c>
      <c r="E23" s="484" t="s">
        <v>509</v>
      </c>
      <c r="F23" s="484" t="s">
        <v>510</v>
      </c>
      <c r="G23" s="484" t="s">
        <v>619</v>
      </c>
      <c r="H23" s="478" t="s">
        <v>612</v>
      </c>
      <c r="I23" s="478" t="s">
        <v>620</v>
      </c>
      <c r="J23" s="484" t="s">
        <v>505</v>
      </c>
      <c r="K23" s="485"/>
      <c r="L23" s="479" t="s">
        <v>505</v>
      </c>
      <c r="M23" s="479" t="s">
        <v>612</v>
      </c>
      <c r="N23" s="480" t="s">
        <v>607</v>
      </c>
      <c r="O23" s="480" t="s">
        <v>678</v>
      </c>
      <c r="P23" s="480" t="s">
        <v>605</v>
      </c>
      <c r="Q23" s="480" t="s">
        <v>608</v>
      </c>
      <c r="R23" s="480" t="s">
        <v>109</v>
      </c>
      <c r="S23" s="480" t="s">
        <v>609</v>
      </c>
      <c r="T23" s="480" t="s">
        <v>640</v>
      </c>
      <c r="U23" s="479" t="s">
        <v>679</v>
      </c>
      <c r="V23" s="480" t="s">
        <v>435</v>
      </c>
      <c r="W23" s="480" t="s">
        <v>606</v>
      </c>
      <c r="X23" s="481" t="s">
        <v>610</v>
      </c>
      <c r="Y23" s="480" t="s">
        <v>611</v>
      </c>
      <c r="Z23" s="482" t="s">
        <v>680</v>
      </c>
      <c r="AA23" s="22" t="s">
        <v>643</v>
      </c>
      <c r="AB23" s="22" t="s">
        <v>644</v>
      </c>
      <c r="AC23" s="487" t="s">
        <v>645</v>
      </c>
      <c r="AD23" s="487" t="s">
        <v>646</v>
      </c>
      <c r="AE23" s="487" t="s">
        <v>647</v>
      </c>
      <c r="AF23" s="487" t="s">
        <v>648</v>
      </c>
      <c r="AG23" s="487" t="s">
        <v>649</v>
      </c>
      <c r="AH23" s="487" t="s">
        <v>650</v>
      </c>
      <c r="AI23" s="487" t="s">
        <v>651</v>
      </c>
      <c r="AJ23" s="487" t="s">
        <v>652</v>
      </c>
      <c r="AK23" s="487" t="s">
        <v>653</v>
      </c>
      <c r="AL23" s="487" t="s">
        <v>654</v>
      </c>
      <c r="AM23" s="487" t="s">
        <v>655</v>
      </c>
      <c r="AN23" s="487"/>
      <c r="AO23" s="35"/>
      <c r="AP23" s="49">
        <f ca="1">IFERROR(Project_Start+Scrolling_Increment,TODAY())</f>
        <v>46207.344133680555</v>
      </c>
      <c r="AQ23" s="49">
        <f t="shared" ref="AQ23:BV23" ca="1" si="12">+AP23+1</f>
        <v>46208.344133680555</v>
      </c>
      <c r="AR23" s="49">
        <f t="shared" ca="1" si="12"/>
        <v>46209.344133680555</v>
      </c>
      <c r="AS23" s="49">
        <f t="shared" ca="1" si="12"/>
        <v>46210.344133680555</v>
      </c>
      <c r="AT23" s="49">
        <f t="shared" ca="1" si="12"/>
        <v>46211.344133680555</v>
      </c>
      <c r="AU23" s="49">
        <f t="shared" ca="1" si="12"/>
        <v>46212.344133680555</v>
      </c>
      <c r="AV23" s="49">
        <f t="shared" ca="1" si="12"/>
        <v>46213.344133680555</v>
      </c>
      <c r="AW23" s="49">
        <f t="shared" ca="1" si="12"/>
        <v>46214.344133680555</v>
      </c>
      <c r="AX23" s="49">
        <f t="shared" ca="1" si="12"/>
        <v>46215.344133680555</v>
      </c>
      <c r="AY23" s="49">
        <f t="shared" ca="1" si="12"/>
        <v>46216.344133680555</v>
      </c>
      <c r="AZ23" s="49">
        <f t="shared" ca="1" si="12"/>
        <v>46217.344133680555</v>
      </c>
      <c r="BA23" s="49">
        <f t="shared" ca="1" si="12"/>
        <v>46218.344133680555</v>
      </c>
      <c r="BB23" s="49">
        <f t="shared" ca="1" si="12"/>
        <v>46219.344133680555</v>
      </c>
      <c r="BC23" s="49">
        <f t="shared" ca="1" si="12"/>
        <v>46220.344133680555</v>
      </c>
      <c r="BD23" s="49">
        <f t="shared" ca="1" si="12"/>
        <v>46221.344133680555</v>
      </c>
      <c r="BE23" s="49">
        <f t="shared" ca="1" si="12"/>
        <v>46222.344133680555</v>
      </c>
      <c r="BF23" s="49">
        <f t="shared" ca="1" si="12"/>
        <v>46223.344133680555</v>
      </c>
      <c r="BG23" s="49">
        <f t="shared" ca="1" si="12"/>
        <v>46224.344133680555</v>
      </c>
      <c r="BH23" s="49">
        <f t="shared" ca="1" si="12"/>
        <v>46225.344133680555</v>
      </c>
      <c r="BI23" s="49">
        <f t="shared" ca="1" si="12"/>
        <v>46226.344133680555</v>
      </c>
      <c r="BJ23" s="49">
        <f t="shared" ca="1" si="12"/>
        <v>46227.344133680555</v>
      </c>
      <c r="BK23" s="49">
        <f t="shared" ca="1" si="12"/>
        <v>46228.344133680555</v>
      </c>
      <c r="BL23" s="49">
        <f t="shared" ca="1" si="12"/>
        <v>46229.344133680555</v>
      </c>
      <c r="BM23" s="49">
        <f t="shared" ca="1" si="12"/>
        <v>46230.344133680555</v>
      </c>
      <c r="BN23" s="49">
        <f t="shared" ca="1" si="12"/>
        <v>46231.344133680555</v>
      </c>
      <c r="BO23" s="49">
        <f t="shared" ca="1" si="12"/>
        <v>46232.344133680555</v>
      </c>
      <c r="BP23" s="49">
        <f t="shared" ca="1" si="12"/>
        <v>46233.344133680555</v>
      </c>
      <c r="BQ23" s="49">
        <f t="shared" ca="1" si="12"/>
        <v>46234.344133680555</v>
      </c>
      <c r="BR23" s="49">
        <f t="shared" ca="1" si="12"/>
        <v>46235.344133680555</v>
      </c>
      <c r="BS23" s="49">
        <f t="shared" ca="1" si="12"/>
        <v>46236.344133680555</v>
      </c>
      <c r="BT23" s="49">
        <f t="shared" ca="1" si="12"/>
        <v>46237.344133680555</v>
      </c>
      <c r="BU23" s="49">
        <f t="shared" ca="1" si="12"/>
        <v>46238.344133680555</v>
      </c>
      <c r="BV23" s="49">
        <f t="shared" ca="1" si="12"/>
        <v>46239.344133680555</v>
      </c>
      <c r="BW23" s="49">
        <f t="shared" ref="BW23:DE23" ca="1" si="13">+BV23+1</f>
        <v>46240.344133680555</v>
      </c>
      <c r="BX23" s="49">
        <f t="shared" ca="1" si="13"/>
        <v>46241.344133680555</v>
      </c>
      <c r="BY23" s="49">
        <f t="shared" ca="1" si="13"/>
        <v>46242.344133680555</v>
      </c>
      <c r="BZ23" s="49">
        <f t="shared" ca="1" si="13"/>
        <v>46243.344133680555</v>
      </c>
      <c r="CA23" s="49">
        <f t="shared" ca="1" si="13"/>
        <v>46244.344133680555</v>
      </c>
      <c r="CB23" s="49">
        <f t="shared" ca="1" si="13"/>
        <v>46245.344133680555</v>
      </c>
      <c r="CC23" s="49">
        <f t="shared" ca="1" si="13"/>
        <v>46246.344133680555</v>
      </c>
      <c r="CD23" s="49">
        <f t="shared" ca="1" si="13"/>
        <v>46247.344133680555</v>
      </c>
      <c r="CE23" s="49">
        <f t="shared" ca="1" si="13"/>
        <v>46248.344133680555</v>
      </c>
      <c r="CF23" s="49">
        <f t="shared" ca="1" si="13"/>
        <v>46249.344133680555</v>
      </c>
      <c r="CG23" s="49">
        <f t="shared" ca="1" si="13"/>
        <v>46250.344133680555</v>
      </c>
      <c r="CH23" s="49">
        <f t="shared" ca="1" si="13"/>
        <v>46251.344133680555</v>
      </c>
      <c r="CI23" s="49">
        <f t="shared" ca="1" si="13"/>
        <v>46252.344133680555</v>
      </c>
      <c r="CJ23" s="49">
        <f t="shared" ca="1" si="13"/>
        <v>46253.344133680555</v>
      </c>
      <c r="CK23" s="49">
        <f t="shared" ca="1" si="13"/>
        <v>46254.344133680555</v>
      </c>
      <c r="CL23" s="49">
        <f t="shared" ca="1" si="13"/>
        <v>46255.344133680555</v>
      </c>
      <c r="CM23" s="49">
        <f t="shared" ca="1" si="13"/>
        <v>46256.344133680555</v>
      </c>
      <c r="CN23" s="49">
        <f t="shared" ca="1" si="13"/>
        <v>46257.344133680555</v>
      </c>
      <c r="CO23" s="49">
        <f t="shared" ca="1" si="13"/>
        <v>46258.344133680555</v>
      </c>
      <c r="CP23" s="49">
        <f t="shared" ca="1" si="13"/>
        <v>46259.344133680555</v>
      </c>
      <c r="CQ23" s="49">
        <f t="shared" ca="1" si="13"/>
        <v>46260.344133680555</v>
      </c>
      <c r="CR23" s="49">
        <f t="shared" ca="1" si="13"/>
        <v>46261.344133680555</v>
      </c>
      <c r="CS23" s="49">
        <f t="shared" ca="1" si="13"/>
        <v>46262.344133680555</v>
      </c>
      <c r="CT23" s="49">
        <f t="shared" ca="1" si="13"/>
        <v>46263.344133680555</v>
      </c>
      <c r="CU23" s="49">
        <f t="shared" ca="1" si="13"/>
        <v>46264.344133680555</v>
      </c>
      <c r="CV23" s="49">
        <f t="shared" ca="1" si="13"/>
        <v>46265.344133680555</v>
      </c>
      <c r="CW23" s="49">
        <f t="shared" ca="1" si="13"/>
        <v>46266.344133680555</v>
      </c>
      <c r="CX23" s="49">
        <f t="shared" ca="1" si="13"/>
        <v>46267.344133680555</v>
      </c>
      <c r="CY23" s="49">
        <f t="shared" ca="1" si="13"/>
        <v>46268.344133680555</v>
      </c>
      <c r="CZ23" s="49">
        <f t="shared" ca="1" si="13"/>
        <v>46269.344133680555</v>
      </c>
      <c r="DA23" s="49">
        <f t="shared" ca="1" si="13"/>
        <v>46270.344133680555</v>
      </c>
      <c r="DB23" s="49">
        <f t="shared" ca="1" si="13"/>
        <v>46271.344133680555</v>
      </c>
      <c r="DC23" s="49">
        <f t="shared" ca="1" si="13"/>
        <v>46272.344133680555</v>
      </c>
      <c r="DD23" s="49">
        <f t="shared" ca="1" si="13"/>
        <v>46273.344133680555</v>
      </c>
      <c r="DE23" s="49">
        <f t="shared" ca="1" si="13"/>
        <v>46274.344133680555</v>
      </c>
    </row>
    <row r="24" spans="1:156" s="40" customFormat="1" ht="15">
      <c r="A24" t="s">
        <v>516</v>
      </c>
      <c r="B24" t="s">
        <v>513</v>
      </c>
      <c r="C24" t="s">
        <v>514</v>
      </c>
      <c r="D24" s="444" t="s">
        <v>515</v>
      </c>
      <c r="E24">
        <v>1</v>
      </c>
      <c r="F24" s="453">
        <v>0</v>
      </c>
      <c r="G24" s="188">
        <v>0</v>
      </c>
      <c r="H24">
        <v>1</v>
      </c>
      <c r="I24">
        <v>0</v>
      </c>
      <c r="J24">
        <v>1</v>
      </c>
      <c r="K24" s="104"/>
      <c r="L24" s="449">
        <v>1</v>
      </c>
      <c r="M24" s="449"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76"/>
      <c r="R24" s="516"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4" s="179">
        <v>1</v>
      </c>
      <c r="T24" s="179">
        <v>0</v>
      </c>
      <c r="U24" s="11"/>
      <c r="V24" t="s">
        <v>681</v>
      </c>
      <c r="W24" s="22" t="s">
        <v>436</v>
      </c>
      <c r="X24" s="22" t="s">
        <v>436</v>
      </c>
      <c r="Y24" s="22">
        <v>0</v>
      </c>
      <c r="Z24" s="498"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11">
        <f>--(
  ISNUMBER(SEARCH("BASE PARENT", UPPER(CLEAN(TRIM(_xlfn.XLOOKUP(TEXT(Contract_Edits[[#This Row],[Index]],"0"), baseIdxTxt, baseCost, "")))))) +
  ISNUMBER(SEARCH("DEPENDENCY GROUP", UPPER(CLEAN(TRIM(_xlfn.XLOOKUP(TEXT(Contract_Edits[[#This Row],[Index]],"0"), baseIdxTxt, baseCost, ""))))))
)</f>
        <v>1</v>
      </c>
      <c r="AG24" s="511" cm="1">
        <f t="array" ref="AG24">IF(Contract_Edits[[#This Row],[BaseFlag]]=1,
   10*BaseDepthL(TEXT(Contract_Edits[[#This Row],[Index]],"0"),500,editsIdxTxt,editsParentKeyTxt,baseIdxTxt,baseCost)-5,
   ""
)</f>
        <v>5</v>
      </c>
      <c r="AH24" s="511"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11" t="str">
        <f>IF(Contract_Edits[[#This Row],[Dep]]=0,"Root",
   IF(ISNUMBER(MATCH(Contract_Edits[[#This Row],[Dep]],Contract_Edits[Index],0)),"OK","Missing")
)</f>
        <v>OK</v>
      </c>
      <c r="AJ24" s="511" t="str">
        <f>IF(AND(Contract_Edits[[#This Row],[Dep]]&lt;&gt;0,
        ISNUMBER(MATCH(Contract_Edits[[#This Row],[Dep]], Contract_Edits[Index], 0)),
        INDEX(Contract_Edits[Dep], MATCH(Contract_Edits[[#This Row],[Dep]], Contract_Edits[Index], 0))=Contract_Edits[[#This Row],[Index]]),
   "2-cycle","")</f>
        <v>2-cycle</v>
      </c>
      <c r="AK24" s="511" cm="1">
        <f t="array" ref="AK24">IF(Contract_Edits[[#This Row],[BaseFlag]]&lt;&gt;1,0,
   IF(TEXT(Contract_Edits[[#This Row],[Dep]],"0")=TEXT(Contract_Edits[[#This Row],[Index]],"0"),
      0,
      MAX(0, SUMPRODUCT(--(Contract_Edits[BaseFlag]=1),
                        --(TEXT(Contract_Edits[Dep],"0")=TEXT(Contract_Edits[[#This Row],[Dep]],"0"))) - 1)
   )
)</f>
        <v>0</v>
      </c>
      <c r="AL24" s="511" t="str" cm="1">
        <f t="array" ref="AL24">IF(Contract_Edits[[#This Row],[BaseFlag]]=1,
   TEXT(Contract_Edits[[#This Row],[Index]],"0"),
   NearestBaseL(TEXT(Contract_Edits[[#This Row],[ParentKey]],"0"),500,editsIdxTxt,editsParentKeyTxt,baseIdxTxt,baseCost)
)</f>
        <v>1</v>
      </c>
      <c r="AM24" s="511" cm="1">
        <f t="array" ref="AM24">1+SUMPRODUCT(
  (Contract_Edits[BaseFlag]=1)*
  (TEXT(Contract_Edits[ParentAnchor],"0")=TEXT(Contract_Edits[[#This Row],[ParentAnchor]],"0"))*
  (VALUE(TEXT(Contract_Edits[Index],"0"))&lt;VALUE(TEXT(Contract_Edits[[#This Row],[Index]],"0")))
)</f>
        <v>1</v>
      </c>
      <c r="AN24" s="511"/>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629</v>
      </c>
      <c r="B25" t="s">
        <v>624</v>
      </c>
      <c r="C25" t="s">
        <v>656</v>
      </c>
      <c r="D25" s="444" t="s">
        <v>656</v>
      </c>
      <c r="E25">
        <v>1</v>
      </c>
      <c r="F25" s="453">
        <v>2615</v>
      </c>
      <c r="G25" s="188">
        <v>2615</v>
      </c>
      <c r="H25">
        <v>1</v>
      </c>
      <c r="I25">
        <v>2615</v>
      </c>
      <c r="J25">
        <v>908</v>
      </c>
      <c r="K25" s="104"/>
      <c r="L25" s="449">
        <v>908</v>
      </c>
      <c r="M25" s="449"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88"/>
      <c r="R25" s="516"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5" s="477"/>
      <c r="T25" s="477"/>
      <c r="U25" s="500" t="s">
        <v>683</v>
      </c>
      <c r="V25" s="193"/>
      <c r="W25" s="22" t="s">
        <v>436</v>
      </c>
      <c r="X25" s="492" t="s">
        <v>436</v>
      </c>
      <c r="Y25" s="492"/>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11">
        <f>--(
  ISNUMBER(SEARCH("BASE PARENT", UPPER(CLEAN(TRIM(_xlfn.XLOOKUP(TEXT(Contract_Edits[[#This Row],[Index]],"0"), baseIdxTxt, baseCost, "")))))) +
  ISNUMBER(SEARCH("DEPENDENCY GROUP", UPPER(CLEAN(TRIM(_xlfn.XLOOKUP(TEXT(Contract_Edits[[#This Row],[Index]],"0"), baseIdxTxt, baseCost, ""))))))
)</f>
        <v>0</v>
      </c>
      <c r="AG25" s="511" t="str" cm="1">
        <f t="array" ref="AG25">IF(Contract_Edits[[#This Row],[BaseFlag]]=1,
   10*BaseDepthL(TEXT(Contract_Edits[[#This Row],[Index]],"0"),500,editsIdxTxt,editsParentKeyTxt,baseIdxTxt,baseCost)-5,
   ""
)</f>
        <v/>
      </c>
      <c r="AH25" s="511"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11" t="str">
        <f>IF(Contract_Edits[[#This Row],[Dep]]=0,"Root",
   IF(ISNUMBER(MATCH(Contract_Edits[[#This Row],[Dep]],Contract_Edits[Index],0)),"OK","Missing")
)</f>
        <v>OK</v>
      </c>
      <c r="AJ25" s="511" t="str">
        <f>IF(AND(Contract_Edits[[#This Row],[Dep]]&lt;&gt;0,
        ISNUMBER(MATCH(Contract_Edits[[#This Row],[Dep]], Contract_Edits[Index], 0)),
        INDEX(Contract_Edits[Dep], MATCH(Contract_Edits[[#This Row],[Dep]], Contract_Edits[Index], 0))=Contract_Edits[[#This Row],[Index]]),
   "2-cycle","")</f>
        <v/>
      </c>
      <c r="AK25" s="511" cm="1">
        <f t="array" ref="AK25">IF(Contract_Edits[[#This Row],[BaseFlag]]&lt;&gt;1,0,
   IF(TEXT(Contract_Edits[[#This Row],[Dep]],"0")=TEXT(Contract_Edits[[#This Row],[Index]],"0"),
      0,
      MAX(0, SUMPRODUCT(--(Contract_Edits[BaseFlag]=1),
                        --(TEXT(Contract_Edits[Dep],"0")=TEXT(Contract_Edits[[#This Row],[Dep]],"0"))) - 1)
   )
)</f>
        <v>0</v>
      </c>
      <c r="AL25" s="511" t="str" cm="1">
        <f t="array" ref="AL25">IF(Contract_Edits[[#This Row],[BaseFlag]]=1,
   TEXT(Contract_Edits[[#This Row],[Index]],"0"),
   NearestBaseL(TEXT(Contract_Edits[[#This Row],[ParentKey]],"0"),500,editsIdxTxt,editsParentKeyTxt,baseIdxTxt,baseCost)
)</f>
        <v>1</v>
      </c>
      <c r="AM25" s="511" cm="1">
        <f t="array" ref="AM25">1+SUMPRODUCT(
  (Contract_Edits[BaseFlag]=1)*
  (TEXT(Contract_Edits[ParentAnchor],"0")=TEXT(Contract_Edits[[#This Row],[ParentAnchor]],"0"))*
  (VALUE(TEXT(Contract_Edits[Index],"0"))&lt;VALUE(TEXT(Contract_Edits[[#This Row],[Index]],"0")))
)</f>
        <v>3</v>
      </c>
      <c r="AN25" s="511"/>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516</v>
      </c>
      <c r="B26" t="s">
        <v>513</v>
      </c>
      <c r="C26" t="s">
        <v>517</v>
      </c>
      <c r="D26" s="444" t="s">
        <v>517</v>
      </c>
      <c r="E26">
        <v>1</v>
      </c>
      <c r="F26" s="453">
        <v>0</v>
      </c>
      <c r="G26" s="188">
        <v>0</v>
      </c>
      <c r="H26">
        <v>1</v>
      </c>
      <c r="I26">
        <v>0</v>
      </c>
      <c r="J26">
        <v>2</v>
      </c>
      <c r="K26" s="104"/>
      <c r="L26" s="449">
        <v>2</v>
      </c>
      <c r="M26" s="449"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88"/>
      <c r="R26" s="516"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6" s="477"/>
      <c r="T26" s="477"/>
      <c r="U26" s="500"/>
      <c r="V26" s="193"/>
      <c r="W26" s="22" t="s">
        <v>436</v>
      </c>
      <c r="X26" s="492" t="s">
        <v>436</v>
      </c>
      <c r="Y26" s="492"/>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11">
        <f>--(
  ISNUMBER(SEARCH("BASE PARENT", UPPER(CLEAN(TRIM(_xlfn.XLOOKUP(TEXT(Contract_Edits[[#This Row],[Index]],"0"), baseIdxTxt, baseCost, "")))))) +
  ISNUMBER(SEARCH("DEPENDENCY GROUP", UPPER(CLEAN(TRIM(_xlfn.XLOOKUP(TEXT(Contract_Edits[[#This Row],[Index]],"0"), baseIdxTxt, baseCost, ""))))))
)</f>
        <v>1</v>
      </c>
      <c r="AG26" s="511" cm="1">
        <f t="array" ref="AG26">IF(Contract_Edits[[#This Row],[BaseFlag]]=1,
   10*BaseDepthL(TEXT(Contract_Edits[[#This Row],[Index]],"0"),500,editsIdxTxt,editsParentKeyTxt,baseIdxTxt,baseCost)-5,
   ""
)</f>
        <v>15</v>
      </c>
      <c r="AH26" s="511"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11" t="str">
        <f>IF(Contract_Edits[[#This Row],[Dep]]=0,"Root",
   IF(ISNUMBER(MATCH(Contract_Edits[[#This Row],[Dep]],Contract_Edits[Index],0)),"OK","Missing")
)</f>
        <v>OK</v>
      </c>
      <c r="AJ26" s="511" t="str">
        <f>IF(AND(Contract_Edits[[#This Row],[Dep]]&lt;&gt;0,
        ISNUMBER(MATCH(Contract_Edits[[#This Row],[Dep]], Contract_Edits[Index], 0)),
        INDEX(Contract_Edits[Dep], MATCH(Contract_Edits[[#This Row],[Dep]], Contract_Edits[Index], 0))=Contract_Edits[[#This Row],[Index]]),
   "2-cycle","")</f>
        <v/>
      </c>
      <c r="AK26" s="511" cm="1">
        <f t="array" ref="AK26">IF(Contract_Edits[[#This Row],[BaseFlag]]&lt;&gt;1,0,
   IF(TEXT(Contract_Edits[[#This Row],[Dep]],"0")=TEXT(Contract_Edits[[#This Row],[Index]],"0"),
      0,
      MAX(0, SUMPRODUCT(--(Contract_Edits[BaseFlag]=1),
                        --(TEXT(Contract_Edits[Dep],"0")=TEXT(Contract_Edits[[#This Row],[Dep]],"0"))) - 1)
   )
)</f>
        <v>1</v>
      </c>
      <c r="AL26" s="511" t="str" cm="1">
        <f t="array" ref="AL26">IF(Contract_Edits[[#This Row],[BaseFlag]]=1,
   TEXT(Contract_Edits[[#This Row],[Index]],"0"),
   NearestBaseL(TEXT(Contract_Edits[[#This Row],[ParentKey]],"0"),500,editsIdxTxt,editsParentKeyTxt,baseIdxTxt,baseCost)
)</f>
        <v>2</v>
      </c>
      <c r="AM26" s="511" cm="1">
        <f t="array" ref="AM26">1+SUMPRODUCT(
  (Contract_Edits[BaseFlag]=1)*
  (TEXT(Contract_Edits[ParentAnchor],"0")=TEXT(Contract_Edits[[#This Row],[ParentAnchor]],"0"))*
  (VALUE(TEXT(Contract_Edits[Index],"0"))&lt;VALUE(TEXT(Contract_Edits[[#This Row],[Index]],"0")))
)</f>
        <v>2</v>
      </c>
      <c r="AN26" s="511"/>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629</v>
      </c>
      <c r="B27" t="s">
        <v>624</v>
      </c>
      <c r="C27" t="s">
        <v>657</v>
      </c>
      <c r="D27" s="444" t="s">
        <v>658</v>
      </c>
      <c r="E27">
        <v>1</v>
      </c>
      <c r="F27" s="453">
        <v>505</v>
      </c>
      <c r="G27" s="188">
        <v>505</v>
      </c>
      <c r="H27">
        <v>2</v>
      </c>
      <c r="I27">
        <v>505</v>
      </c>
      <c r="J27">
        <v>900</v>
      </c>
      <c r="K27" s="104"/>
      <c r="L27" s="449">
        <v>900</v>
      </c>
      <c r="M27" s="449"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88"/>
      <c r="R27" s="516"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7" s="179">
        <v>0</v>
      </c>
      <c r="T27" s="477">
        <v>0</v>
      </c>
      <c r="U27" s="500" t="s">
        <v>684</v>
      </c>
      <c r="V27" s="193"/>
      <c r="W27" s="22" t="s">
        <v>436</v>
      </c>
      <c r="X27" s="492" t="s">
        <v>436</v>
      </c>
      <c r="Y27" s="492"/>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11">
        <f>--(
  ISNUMBER(SEARCH("BASE PARENT", UPPER(CLEAN(TRIM(_xlfn.XLOOKUP(TEXT(Contract_Edits[[#This Row],[Index]],"0"), baseIdxTxt, baseCost, "")))))) +
  ISNUMBER(SEARCH("DEPENDENCY GROUP", UPPER(CLEAN(TRIM(_xlfn.XLOOKUP(TEXT(Contract_Edits[[#This Row],[Index]],"0"), baseIdxTxt, baseCost, ""))))))
)</f>
        <v>0</v>
      </c>
      <c r="AG27" s="511" t="str" cm="1">
        <f t="array" ref="AG27">IF(Contract_Edits[[#This Row],[BaseFlag]]=1,
   10*BaseDepthL(TEXT(Contract_Edits[[#This Row],[Index]],"0"),500,editsIdxTxt,editsParentKeyTxt,baseIdxTxt,baseCost)-5,
   ""
)</f>
        <v/>
      </c>
      <c r="AH27" s="511"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11" t="str">
        <f>IF(Contract_Edits[[#This Row],[Dep]]=0,"Root",
   IF(ISNUMBER(MATCH(Contract_Edits[[#This Row],[Dep]],Contract_Edits[Index],0)),"OK","Missing")
)</f>
        <v>OK</v>
      </c>
      <c r="AJ27" s="511" t="str">
        <f>IF(AND(Contract_Edits[[#This Row],[Dep]]&lt;&gt;0,
        ISNUMBER(MATCH(Contract_Edits[[#This Row],[Dep]], Contract_Edits[Index], 0)),
        INDEX(Contract_Edits[Dep], MATCH(Contract_Edits[[#This Row],[Dep]], Contract_Edits[Index], 0))=Contract_Edits[[#This Row],[Index]]),
   "2-cycle","")</f>
        <v/>
      </c>
      <c r="AK27" s="461" cm="1">
        <f t="array" ref="AK27">IF(Contract_Edits[[#This Row],[BaseFlag]]&lt;&gt;1,0,
   IF(TEXT(Contract_Edits[[#This Row],[Dep]],"0")=TEXT(Contract_Edits[[#This Row],[Index]],"0"),
      0,
      MAX(0, SUMPRODUCT(--(Contract_Edits[BaseFlag]=1),
                        --(TEXT(Contract_Edits[Dep],"0")=TEXT(Contract_Edits[[#This Row],[Dep]],"0"))) - 1)
   )
)</f>
        <v>0</v>
      </c>
      <c r="AL27" s="461" t="str" cm="1">
        <f t="array" ref="AL27">IF(Contract_Edits[[#This Row],[BaseFlag]]=1,
   TEXT(Contract_Edits[[#This Row],[Index]],"0"),
   NearestBaseL(TEXT(Contract_Edits[[#This Row],[ParentKey]],"0"),500,editsIdxTxt,editsParentKeyTxt,baseIdxTxt,baseCost)
)</f>
        <v>2</v>
      </c>
      <c r="AM27" s="461" cm="1">
        <f t="array" ref="AM27">1+SUMPRODUCT(
  (Contract_Edits[BaseFlag]=1)*
  (TEXT(Contract_Edits[ParentAnchor],"0")=TEXT(Contract_Edits[[#This Row],[ParentAnchor]],"0"))*
  (VALUE(TEXT(Contract_Edits[Index],"0"))&lt;VALUE(TEXT(Contract_Edits[[#This Row],[Index]],"0")))
)</f>
        <v>2</v>
      </c>
      <c r="AN27" s="461"/>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559</v>
      </c>
      <c r="B28" t="s">
        <v>563</v>
      </c>
      <c r="C28" t="s">
        <v>517</v>
      </c>
      <c r="D28" s="444" t="s">
        <v>585</v>
      </c>
      <c r="E28">
        <v>1</v>
      </c>
      <c r="F28" s="453"/>
      <c r="G28" s="188"/>
      <c r="H28">
        <v>0</v>
      </c>
      <c r="I28"/>
      <c r="J28">
        <v>59</v>
      </c>
      <c r="K28" s="104"/>
      <c r="L28" s="449">
        <v>59</v>
      </c>
      <c r="M28" s="449"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76"/>
      <c r="R28" s="516"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8" s="179">
        <v>0</v>
      </c>
      <c r="T28" s="179">
        <v>0</v>
      </c>
      <c r="U28" s="11" t="s">
        <v>684</v>
      </c>
      <c r="V28"/>
      <c r="W28" s="22" t="s">
        <v>436</v>
      </c>
      <c r="X28" s="492" t="s">
        <v>436</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11">
        <f>--(
  ISNUMBER(SEARCH("BASE PARENT", UPPER(CLEAN(TRIM(_xlfn.XLOOKUP(TEXT(Contract_Edits[[#This Row],[Index]],"0"), baseIdxTxt, baseCost, "")))))) +
  ISNUMBER(SEARCH("DEPENDENCY GROUP", UPPER(CLEAN(TRIM(_xlfn.XLOOKUP(TEXT(Contract_Edits[[#This Row],[Index]],"0"), baseIdxTxt, baseCost, ""))))))
)</f>
        <v>0</v>
      </c>
      <c r="AG28" s="511" t="str" cm="1">
        <f t="array" ref="AG28">IF(Contract_Edits[[#This Row],[BaseFlag]]=1,
   10*BaseDepthL(TEXT(Contract_Edits[[#This Row],[Index]],"0"),500,editsIdxTxt,editsParentKeyTxt,baseIdxTxt,baseCost)-5,
   ""
)</f>
        <v/>
      </c>
      <c r="AH28" s="511"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11" t="str">
        <f>IF(Contract_Edits[[#This Row],[Dep]]=0,"Root",
   IF(ISNUMBER(MATCH(Contract_Edits[[#This Row],[Dep]],Contract_Edits[Index],0)),"OK","Missing")
)</f>
        <v>OK</v>
      </c>
      <c r="AJ28" s="511" t="str">
        <f>IF(AND(Contract_Edits[[#This Row],[Dep]]&lt;&gt;0,
        ISNUMBER(MATCH(Contract_Edits[[#This Row],[Dep]], Contract_Edits[Index], 0)),
        INDEX(Contract_Edits[Dep], MATCH(Contract_Edits[[#This Row],[Dep]], Contract_Edits[Index], 0))=Contract_Edits[[#This Row],[Index]]),
   "2-cycle","")</f>
        <v/>
      </c>
      <c r="AK28" s="511" cm="1">
        <f t="array" ref="AK28">IF(Contract_Edits[[#This Row],[BaseFlag]]&lt;&gt;1,0,
   IF(TEXT(Contract_Edits[[#This Row],[Dep]],"0")=TEXT(Contract_Edits[[#This Row],[Index]],"0"),
      0,
      MAX(0, SUMPRODUCT(--(Contract_Edits[BaseFlag]=1),
                        --(TEXT(Contract_Edits[Dep],"0")=TEXT(Contract_Edits[[#This Row],[Dep]],"0"))) - 1)
   )
)</f>
        <v>0</v>
      </c>
      <c r="AL28" s="511" t="str" cm="1">
        <f t="array" ref="AL28">IF(Contract_Edits[[#This Row],[BaseFlag]]=1,
   TEXT(Contract_Edits[[#This Row],[Index]],"0"),
   NearestBaseL(TEXT(Contract_Edits[[#This Row],[ParentKey]],"0"),500,editsIdxTxt,editsParentKeyTxt,baseIdxTxt,baseCost)
)</f>
        <v>2</v>
      </c>
      <c r="AM28" s="511" cm="1">
        <f t="array" ref="AM28">1+SUMPRODUCT(
  (Contract_Edits[BaseFlag]=1)*
  (TEXT(Contract_Edits[ParentAnchor],"0")=TEXT(Contract_Edits[[#This Row],[ParentAnchor]],"0"))*
  (VALUE(TEXT(Contract_Edits[Index],"0"))&lt;VALUE(TEXT(Contract_Edits[[#This Row],[Index]],"0")))
)</f>
        <v>2</v>
      </c>
      <c r="AN28" s="511"/>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559</v>
      </c>
      <c r="B29" t="s">
        <v>563</v>
      </c>
      <c r="C29" t="s">
        <v>517</v>
      </c>
      <c r="D29" s="444" t="s">
        <v>582</v>
      </c>
      <c r="E29">
        <v>1</v>
      </c>
      <c r="F29" s="453"/>
      <c r="G29" s="188"/>
      <c r="H29">
        <v>0</v>
      </c>
      <c r="I29"/>
      <c r="J29">
        <v>55</v>
      </c>
      <c r="K29" s="104"/>
      <c r="L29" s="449">
        <v>55</v>
      </c>
      <c r="M29" s="449"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88"/>
      <c r="R29" s="516"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9" s="179">
        <v>0</v>
      </c>
      <c r="T29" s="477"/>
      <c r="U29" s="500" t="s">
        <v>684</v>
      </c>
      <c r="V29" s="193"/>
      <c r="W29" s="22" t="s">
        <v>436</v>
      </c>
      <c r="X29" s="492" t="s">
        <v>436</v>
      </c>
      <c r="Y29" s="492"/>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11">
        <f>--(
  ISNUMBER(SEARCH("BASE PARENT", UPPER(CLEAN(TRIM(_xlfn.XLOOKUP(TEXT(Contract_Edits[[#This Row],[Index]],"0"), baseIdxTxt, baseCost, "")))))) +
  ISNUMBER(SEARCH("DEPENDENCY GROUP", UPPER(CLEAN(TRIM(_xlfn.XLOOKUP(TEXT(Contract_Edits[[#This Row],[Index]],"0"), baseIdxTxt, baseCost, ""))))))
)</f>
        <v>0</v>
      </c>
      <c r="AG29" s="511" t="str" cm="1">
        <f t="array" ref="AG29">IF(Contract_Edits[[#This Row],[BaseFlag]]=1,
   10*BaseDepthL(TEXT(Contract_Edits[[#This Row],[Index]],"0"),500,editsIdxTxt,editsParentKeyTxt,baseIdxTxt,baseCost)-5,
   ""
)</f>
        <v/>
      </c>
      <c r="AH29" s="511"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11" t="str">
        <f>IF(Contract_Edits[[#This Row],[Dep]]=0,"Root",
   IF(ISNUMBER(MATCH(Contract_Edits[[#This Row],[Dep]],Contract_Edits[Index],0)),"OK","Missing")
)</f>
        <v>OK</v>
      </c>
      <c r="AJ29" s="511" t="str">
        <f>IF(AND(Contract_Edits[[#This Row],[Dep]]&lt;&gt;0,
        ISNUMBER(MATCH(Contract_Edits[[#This Row],[Dep]], Contract_Edits[Index], 0)),
        INDEX(Contract_Edits[Dep], MATCH(Contract_Edits[[#This Row],[Dep]], Contract_Edits[Index], 0))=Contract_Edits[[#This Row],[Index]]),
   "2-cycle","")</f>
        <v/>
      </c>
      <c r="AK29" s="511" cm="1">
        <f t="array" ref="AK29">IF(Contract_Edits[[#This Row],[BaseFlag]]&lt;&gt;1,0,
   IF(TEXT(Contract_Edits[[#This Row],[Dep]],"0")=TEXT(Contract_Edits[[#This Row],[Index]],"0"),
      0,
      MAX(0, SUMPRODUCT(--(Contract_Edits[BaseFlag]=1),
                        --(TEXT(Contract_Edits[Dep],"0")=TEXT(Contract_Edits[[#This Row],[Dep]],"0"))) - 1)
   )
)</f>
        <v>0</v>
      </c>
      <c r="AL29" s="511" t="str" cm="1">
        <f t="array" ref="AL29">IF(Contract_Edits[[#This Row],[BaseFlag]]=1,
   TEXT(Contract_Edits[[#This Row],[Index]],"0"),
   NearestBaseL(TEXT(Contract_Edits[[#This Row],[ParentKey]],"0"),500,editsIdxTxt,editsParentKeyTxt,baseIdxTxt,baseCost)
)</f>
        <v>2</v>
      </c>
      <c r="AM29" s="511" cm="1">
        <f t="array" ref="AM29">1+SUMPRODUCT(
  (Contract_Edits[BaseFlag]=1)*
  (TEXT(Contract_Edits[ParentAnchor],"0")=TEXT(Contract_Edits[[#This Row],[ParentAnchor]],"0"))*
  (VALUE(TEXT(Contract_Edits[Index],"0"))&lt;VALUE(TEXT(Contract_Edits[[#This Row],[Index]],"0")))
)</f>
        <v>2</v>
      </c>
      <c r="AN29" s="511"/>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559</v>
      </c>
      <c r="B30" t="s">
        <v>563</v>
      </c>
      <c r="C30" t="s">
        <v>567</v>
      </c>
      <c r="D30" s="444" t="s">
        <v>569</v>
      </c>
      <c r="E30">
        <v>1</v>
      </c>
      <c r="F30" s="453"/>
      <c r="G30" s="188"/>
      <c r="H30">
        <v>0</v>
      </c>
      <c r="I30"/>
      <c r="J30">
        <v>41</v>
      </c>
      <c r="K30" s="104"/>
      <c r="L30" s="449">
        <v>41</v>
      </c>
      <c r="M30" s="449"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76"/>
      <c r="R30" s="516"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0" s="179">
        <v>0</v>
      </c>
      <c r="T30" s="179">
        <v>0</v>
      </c>
      <c r="U30" s="11" t="s">
        <v>684</v>
      </c>
      <c r="V30"/>
      <c r="W30" s="22" t="s">
        <v>436</v>
      </c>
      <c r="X30" s="492" t="s">
        <v>436</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11">
        <f>--(
  ISNUMBER(SEARCH("BASE PARENT", UPPER(CLEAN(TRIM(_xlfn.XLOOKUP(TEXT(Contract_Edits[[#This Row],[Index]],"0"), baseIdxTxt, baseCost, "")))))) +
  ISNUMBER(SEARCH("DEPENDENCY GROUP", UPPER(CLEAN(TRIM(_xlfn.XLOOKUP(TEXT(Contract_Edits[[#This Row],[Index]],"0"), baseIdxTxt, baseCost, ""))))))
)</f>
        <v>0</v>
      </c>
      <c r="AG30" s="511" t="str" cm="1">
        <f t="array" ref="AG30">IF(Contract_Edits[[#This Row],[BaseFlag]]=1,
   10*BaseDepthL(TEXT(Contract_Edits[[#This Row],[Index]],"0"),500,editsIdxTxt,editsParentKeyTxt,baseIdxTxt,baseCost)-5,
   ""
)</f>
        <v/>
      </c>
      <c r="AH30" s="511"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11" t="str">
        <f>IF(Contract_Edits[[#This Row],[Dep]]=0,"Root",
   IF(ISNUMBER(MATCH(Contract_Edits[[#This Row],[Dep]],Contract_Edits[Index],0)),"OK","Missing")
)</f>
        <v>OK</v>
      </c>
      <c r="AJ30" s="511" t="str">
        <f>IF(AND(Contract_Edits[[#This Row],[Dep]]&lt;&gt;0,
        ISNUMBER(MATCH(Contract_Edits[[#This Row],[Dep]], Contract_Edits[Index], 0)),
        INDEX(Contract_Edits[Dep], MATCH(Contract_Edits[[#This Row],[Dep]], Contract_Edits[Index], 0))=Contract_Edits[[#This Row],[Index]]),
   "2-cycle","")</f>
        <v/>
      </c>
      <c r="AK30" s="511" cm="1">
        <f t="array" ref="AK30">IF(Contract_Edits[[#This Row],[BaseFlag]]&lt;&gt;1,0,
   IF(TEXT(Contract_Edits[[#This Row],[Dep]],"0")=TEXT(Contract_Edits[[#This Row],[Index]],"0"),
      0,
      MAX(0, SUMPRODUCT(--(Contract_Edits[BaseFlag]=1),
                        --(TEXT(Contract_Edits[Dep],"0")=TEXT(Contract_Edits[[#This Row],[Dep]],"0"))) - 1)
   )
)</f>
        <v>0</v>
      </c>
      <c r="AL30" s="511" t="str" cm="1">
        <f t="array" ref="AL30">IF(Contract_Edits[[#This Row],[BaseFlag]]=1,
   TEXT(Contract_Edits[[#This Row],[Index]],"0"),
   NearestBaseL(TEXT(Contract_Edits[[#This Row],[ParentKey]],"0"),500,editsIdxTxt,editsParentKeyTxt,baseIdxTxt,baseCost)
)</f>
        <v>2</v>
      </c>
      <c r="AM30" s="511" cm="1">
        <f t="array" ref="AM30">1+SUMPRODUCT(
  (Contract_Edits[BaseFlag]=1)*
  (TEXT(Contract_Edits[ParentAnchor],"0")=TEXT(Contract_Edits[[#This Row],[ParentAnchor]],"0"))*
  (VALUE(TEXT(Contract_Edits[Index],"0"))&lt;VALUE(TEXT(Contract_Edits[[#This Row],[Index]],"0")))
)</f>
        <v>2</v>
      </c>
      <c r="AN30" s="511"/>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559</v>
      </c>
      <c r="B31" t="s">
        <v>563</v>
      </c>
      <c r="C31" t="s">
        <v>517</v>
      </c>
      <c r="D31" s="444" t="s">
        <v>573</v>
      </c>
      <c r="E31">
        <v>1</v>
      </c>
      <c r="F31" s="453"/>
      <c r="G31" s="188"/>
      <c r="H31">
        <v>0</v>
      </c>
      <c r="I31"/>
      <c r="J31">
        <v>49</v>
      </c>
      <c r="K31" s="104"/>
      <c r="L31" s="449">
        <v>49</v>
      </c>
      <c r="M31" s="449"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88"/>
      <c r="R31" s="516"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1" s="179">
        <v>0</v>
      </c>
      <c r="T31" s="477"/>
      <c r="U31" s="500" t="s">
        <v>684</v>
      </c>
      <c r="V31" s="193"/>
      <c r="W31" s="22" t="s">
        <v>436</v>
      </c>
      <c r="X31" s="492" t="s">
        <v>436</v>
      </c>
      <c r="Y31" s="492"/>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11">
        <f>--(
  ISNUMBER(SEARCH("BASE PARENT", UPPER(CLEAN(TRIM(_xlfn.XLOOKUP(TEXT(Contract_Edits[[#This Row],[Index]],"0"), baseIdxTxt, baseCost, "")))))) +
  ISNUMBER(SEARCH("DEPENDENCY GROUP", UPPER(CLEAN(TRIM(_xlfn.XLOOKUP(TEXT(Contract_Edits[[#This Row],[Index]],"0"), baseIdxTxt, baseCost, ""))))))
)</f>
        <v>0</v>
      </c>
      <c r="AG31" s="511" t="str" cm="1">
        <f t="array" ref="AG31">IF(Contract_Edits[[#This Row],[BaseFlag]]=1,
   10*BaseDepthL(TEXT(Contract_Edits[[#This Row],[Index]],"0"),500,editsIdxTxt,editsParentKeyTxt,baseIdxTxt,baseCost)-5,
   ""
)</f>
        <v/>
      </c>
      <c r="AH31" s="511"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11" t="str">
        <f>IF(Contract_Edits[[#This Row],[Dep]]=0,"Root",
   IF(ISNUMBER(MATCH(Contract_Edits[[#This Row],[Dep]],Contract_Edits[Index],0)),"OK","Missing")
)</f>
        <v>OK</v>
      </c>
      <c r="AJ31" s="511" t="str">
        <f>IF(AND(Contract_Edits[[#This Row],[Dep]]&lt;&gt;0,
        ISNUMBER(MATCH(Contract_Edits[[#This Row],[Dep]], Contract_Edits[Index], 0)),
        INDEX(Contract_Edits[Dep], MATCH(Contract_Edits[[#This Row],[Dep]], Contract_Edits[Index], 0))=Contract_Edits[[#This Row],[Index]]),
   "2-cycle","")</f>
        <v/>
      </c>
      <c r="AK31" s="511" cm="1">
        <f t="array" ref="AK31">IF(Contract_Edits[[#This Row],[BaseFlag]]&lt;&gt;1,0,
   IF(TEXT(Contract_Edits[[#This Row],[Dep]],"0")=TEXT(Contract_Edits[[#This Row],[Index]],"0"),
      0,
      MAX(0, SUMPRODUCT(--(Contract_Edits[BaseFlag]=1),
                        --(TEXT(Contract_Edits[Dep],"0")=TEXT(Contract_Edits[[#This Row],[Dep]],"0"))) - 1)
   )
)</f>
        <v>0</v>
      </c>
      <c r="AL31" s="511" t="str" cm="1">
        <f t="array" ref="AL31">IF(Contract_Edits[[#This Row],[BaseFlag]]=1,
   TEXT(Contract_Edits[[#This Row],[Index]],"0"),
   NearestBaseL(TEXT(Contract_Edits[[#This Row],[ParentKey]],"0"),500,editsIdxTxt,editsParentKeyTxt,baseIdxTxt,baseCost)
)</f>
        <v>2</v>
      </c>
      <c r="AM31" s="511" cm="1">
        <f t="array" ref="AM31">1+SUMPRODUCT(
  (Contract_Edits[BaseFlag]=1)*
  (TEXT(Contract_Edits[ParentAnchor],"0")=TEXT(Contract_Edits[[#This Row],[ParentAnchor]],"0"))*
  (VALUE(TEXT(Contract_Edits[Index],"0"))&lt;VALUE(TEXT(Contract_Edits[[#This Row],[Index]],"0")))
)</f>
        <v>2</v>
      </c>
      <c r="AN31" s="511"/>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559</v>
      </c>
      <c r="B32" t="s">
        <v>563</v>
      </c>
      <c r="C32" t="s">
        <v>517</v>
      </c>
      <c r="D32" s="444" t="s">
        <v>564</v>
      </c>
      <c r="E32">
        <v>1</v>
      </c>
      <c r="F32" s="453"/>
      <c r="G32" s="188"/>
      <c r="H32">
        <v>0</v>
      </c>
      <c r="I32"/>
      <c r="J32">
        <v>38</v>
      </c>
      <c r="K32" s="104"/>
      <c r="L32" s="449">
        <v>38</v>
      </c>
      <c r="M32" s="449"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76"/>
      <c r="R32" s="516"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2" s="179">
        <v>0</v>
      </c>
      <c r="T32" s="179">
        <v>0</v>
      </c>
      <c r="U32" s="11" t="s">
        <v>684</v>
      </c>
      <c r="V32"/>
      <c r="W32" s="22" t="s">
        <v>436</v>
      </c>
      <c r="X32" s="492" t="s">
        <v>436</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11">
        <f>--(
  ISNUMBER(SEARCH("BASE PARENT", UPPER(CLEAN(TRIM(_xlfn.XLOOKUP(TEXT(Contract_Edits[[#This Row],[Index]],"0"), baseIdxTxt, baseCost, "")))))) +
  ISNUMBER(SEARCH("DEPENDENCY GROUP", UPPER(CLEAN(TRIM(_xlfn.XLOOKUP(TEXT(Contract_Edits[[#This Row],[Index]],"0"), baseIdxTxt, baseCost, ""))))))
)</f>
        <v>0</v>
      </c>
      <c r="AG32" s="511" t="str" cm="1">
        <f t="array" ref="AG32">IF(Contract_Edits[[#This Row],[BaseFlag]]=1,
   10*BaseDepthL(TEXT(Contract_Edits[[#This Row],[Index]],"0"),500,editsIdxTxt,editsParentKeyTxt,baseIdxTxt,baseCost)-5,
   ""
)</f>
        <v/>
      </c>
      <c r="AH32" s="511"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11" t="str">
        <f>IF(Contract_Edits[[#This Row],[Dep]]=0,"Root",
   IF(ISNUMBER(MATCH(Contract_Edits[[#This Row],[Dep]],Contract_Edits[Index],0)),"OK","Missing")
)</f>
        <v>OK</v>
      </c>
      <c r="AJ32" s="511" t="str">
        <f>IF(AND(Contract_Edits[[#This Row],[Dep]]&lt;&gt;0,
        ISNUMBER(MATCH(Contract_Edits[[#This Row],[Dep]], Contract_Edits[Index], 0)),
        INDEX(Contract_Edits[Dep], MATCH(Contract_Edits[[#This Row],[Dep]], Contract_Edits[Index], 0))=Contract_Edits[[#This Row],[Index]]),
   "2-cycle","")</f>
        <v/>
      </c>
      <c r="AK32" s="511" cm="1">
        <f t="array" ref="AK32">IF(Contract_Edits[[#This Row],[BaseFlag]]&lt;&gt;1,0,
   IF(TEXT(Contract_Edits[[#This Row],[Dep]],"0")=TEXT(Contract_Edits[[#This Row],[Index]],"0"),
      0,
      MAX(0, SUMPRODUCT(--(Contract_Edits[BaseFlag]=1),
                        --(TEXT(Contract_Edits[Dep],"0")=TEXT(Contract_Edits[[#This Row],[Dep]],"0"))) - 1)
   )
)</f>
        <v>0</v>
      </c>
      <c r="AL32" s="511" t="str" cm="1">
        <f t="array" ref="AL32">IF(Contract_Edits[[#This Row],[BaseFlag]]=1,
   TEXT(Contract_Edits[[#This Row],[Index]],"0"),
   NearestBaseL(TEXT(Contract_Edits[[#This Row],[ParentKey]],"0"),500,editsIdxTxt,editsParentKeyTxt,baseIdxTxt,baseCost)
)</f>
        <v>2</v>
      </c>
      <c r="AM32" s="511" cm="1">
        <f t="array" ref="AM32">1+SUMPRODUCT(
  (Contract_Edits[BaseFlag]=1)*
  (TEXT(Contract_Edits[ParentAnchor],"0")=TEXT(Contract_Edits[[#This Row],[ParentAnchor]],"0"))*
  (VALUE(TEXT(Contract_Edits[Index],"0"))&lt;VALUE(TEXT(Contract_Edits[[#This Row],[Index]],"0")))
)</f>
        <v>2</v>
      </c>
      <c r="AN32" s="511"/>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559</v>
      </c>
      <c r="B33" t="s">
        <v>563</v>
      </c>
      <c r="C33"/>
      <c r="D33" s="444" t="s">
        <v>565</v>
      </c>
      <c r="E33">
        <v>1</v>
      </c>
      <c r="F33" s="453"/>
      <c r="G33" s="188"/>
      <c r="H33">
        <v>0</v>
      </c>
      <c r="I33"/>
      <c r="J33">
        <v>39</v>
      </c>
      <c r="K33" s="104"/>
      <c r="L33" s="449">
        <v>39</v>
      </c>
      <c r="M33" s="449"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76"/>
      <c r="R33" s="516"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3" s="179">
        <v>0</v>
      </c>
      <c r="T33" s="179">
        <v>0</v>
      </c>
      <c r="U33" s="11" t="s">
        <v>684</v>
      </c>
      <c r="V33"/>
      <c r="W33" s="22" t="s">
        <v>436</v>
      </c>
      <c r="X33" s="492" t="s">
        <v>436</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11">
        <f>--(
  ISNUMBER(SEARCH("BASE PARENT", UPPER(CLEAN(TRIM(_xlfn.XLOOKUP(TEXT(Contract_Edits[[#This Row],[Index]],"0"), baseIdxTxt, baseCost, "")))))) +
  ISNUMBER(SEARCH("DEPENDENCY GROUP", UPPER(CLEAN(TRIM(_xlfn.XLOOKUP(TEXT(Contract_Edits[[#This Row],[Index]],"0"), baseIdxTxt, baseCost, ""))))))
)</f>
        <v>0</v>
      </c>
      <c r="AG33" s="511" t="str" cm="1">
        <f t="array" ref="AG33">IF(Contract_Edits[[#This Row],[BaseFlag]]=1,
   10*BaseDepthL(TEXT(Contract_Edits[[#This Row],[Index]],"0"),500,editsIdxTxt,editsParentKeyTxt,baseIdxTxt,baseCost)-5,
   ""
)</f>
        <v/>
      </c>
      <c r="AH33" s="511"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11" t="str">
        <f>IF(Contract_Edits[[#This Row],[Dep]]=0,"Root",
   IF(ISNUMBER(MATCH(Contract_Edits[[#This Row],[Dep]],Contract_Edits[Index],0)),"OK","Missing")
)</f>
        <v>OK</v>
      </c>
      <c r="AJ33" s="511" t="str">
        <f>IF(AND(Contract_Edits[[#This Row],[Dep]]&lt;&gt;0,
        ISNUMBER(MATCH(Contract_Edits[[#This Row],[Dep]], Contract_Edits[Index], 0)),
        INDEX(Contract_Edits[Dep], MATCH(Contract_Edits[[#This Row],[Dep]], Contract_Edits[Index], 0))=Contract_Edits[[#This Row],[Index]]),
   "2-cycle","")</f>
        <v/>
      </c>
      <c r="AK33" s="511" cm="1">
        <f t="array" ref="AK33">IF(Contract_Edits[[#This Row],[BaseFlag]]&lt;&gt;1,0,
   IF(TEXT(Contract_Edits[[#This Row],[Dep]],"0")=TEXT(Contract_Edits[[#This Row],[Index]],"0"),
      0,
      MAX(0, SUMPRODUCT(--(Contract_Edits[BaseFlag]=1),
                        --(TEXT(Contract_Edits[Dep],"0")=TEXT(Contract_Edits[[#This Row],[Dep]],"0"))) - 1)
   )
)</f>
        <v>0</v>
      </c>
      <c r="AL33" s="511" t="str" cm="1">
        <f t="array" ref="AL33">IF(Contract_Edits[[#This Row],[BaseFlag]]=1,
   TEXT(Contract_Edits[[#This Row],[Index]],"0"),
   NearestBaseL(TEXT(Contract_Edits[[#This Row],[ParentKey]],"0"),500,editsIdxTxt,editsParentKeyTxt,baseIdxTxt,baseCost)
)</f>
        <v>2</v>
      </c>
      <c r="AM33" s="511" cm="1">
        <f t="array" ref="AM33">1+SUMPRODUCT(
  (Contract_Edits[BaseFlag]=1)*
  (TEXT(Contract_Edits[ParentAnchor],"0")=TEXT(Contract_Edits[[#This Row],[ParentAnchor]],"0"))*
  (VALUE(TEXT(Contract_Edits[Index],"0"))&lt;VALUE(TEXT(Contract_Edits[[#This Row],[Index]],"0")))
)</f>
        <v>2</v>
      </c>
      <c r="AN33" s="511"/>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559</v>
      </c>
      <c r="B34" t="s">
        <v>563</v>
      </c>
      <c r="C34" t="s">
        <v>599</v>
      </c>
      <c r="D34" s="444" t="s">
        <v>600</v>
      </c>
      <c r="E34">
        <v>1</v>
      </c>
      <c r="F34" s="453"/>
      <c r="G34" s="188"/>
      <c r="H34">
        <v>0</v>
      </c>
      <c r="I34"/>
      <c r="J34">
        <v>77</v>
      </c>
      <c r="K34" s="104"/>
      <c r="L34" s="449">
        <v>77</v>
      </c>
      <c r="M34" s="449"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88"/>
      <c r="R34" s="516"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4" s="179">
        <v>0</v>
      </c>
      <c r="T34" s="477"/>
      <c r="U34" s="500" t="s">
        <v>684</v>
      </c>
      <c r="V34" s="193"/>
      <c r="W34" s="22" t="s">
        <v>436</v>
      </c>
      <c r="X34" s="492" t="s">
        <v>436</v>
      </c>
      <c r="Y34" s="492"/>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11">
        <f>--(
  ISNUMBER(SEARCH("BASE PARENT", UPPER(CLEAN(TRIM(_xlfn.XLOOKUP(TEXT(Contract_Edits[[#This Row],[Index]],"0"), baseIdxTxt, baseCost, "")))))) +
  ISNUMBER(SEARCH("DEPENDENCY GROUP", UPPER(CLEAN(TRIM(_xlfn.XLOOKUP(TEXT(Contract_Edits[[#This Row],[Index]],"0"), baseIdxTxt, baseCost, ""))))))
)</f>
        <v>0</v>
      </c>
      <c r="AG34" s="511" t="str" cm="1">
        <f t="array" ref="AG34">IF(Contract_Edits[[#This Row],[BaseFlag]]=1,
   10*BaseDepthL(TEXT(Contract_Edits[[#This Row],[Index]],"0"),500,editsIdxTxt,editsParentKeyTxt,baseIdxTxt,baseCost)-5,
   ""
)</f>
        <v/>
      </c>
      <c r="AH34" s="511"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11" t="str">
        <f>IF(Contract_Edits[[#This Row],[Dep]]=0,"Root",
   IF(ISNUMBER(MATCH(Contract_Edits[[#This Row],[Dep]],Contract_Edits[Index],0)),"OK","Missing")
)</f>
        <v>OK</v>
      </c>
      <c r="AJ34" s="511" t="str">
        <f>IF(AND(Contract_Edits[[#This Row],[Dep]]&lt;&gt;0,
        ISNUMBER(MATCH(Contract_Edits[[#This Row],[Dep]], Contract_Edits[Index], 0)),
        INDEX(Contract_Edits[Dep], MATCH(Contract_Edits[[#This Row],[Dep]], Contract_Edits[Index], 0))=Contract_Edits[[#This Row],[Index]]),
   "2-cycle","")</f>
        <v/>
      </c>
      <c r="AK34" s="511" cm="1">
        <f t="array" ref="AK34">IF(Contract_Edits[[#This Row],[BaseFlag]]&lt;&gt;1,0,
   IF(TEXT(Contract_Edits[[#This Row],[Dep]],"0")=TEXT(Contract_Edits[[#This Row],[Index]],"0"),
      0,
      MAX(0, SUMPRODUCT(--(Contract_Edits[BaseFlag]=1),
                        --(TEXT(Contract_Edits[Dep],"0")=TEXT(Contract_Edits[[#This Row],[Dep]],"0"))) - 1)
   )
)</f>
        <v>0</v>
      </c>
      <c r="AL34" s="511" t="str" cm="1">
        <f t="array" ref="AL34">IF(Contract_Edits[[#This Row],[BaseFlag]]=1,
   TEXT(Contract_Edits[[#This Row],[Index]],"0"),
   NearestBaseL(TEXT(Contract_Edits[[#This Row],[ParentKey]],"0"),500,editsIdxTxt,editsParentKeyTxt,baseIdxTxt,baseCost)
)</f>
        <v>2</v>
      </c>
      <c r="AM34" s="511" cm="1">
        <f t="array" ref="AM34">1+SUMPRODUCT(
  (Contract_Edits[BaseFlag]=1)*
  (TEXT(Contract_Edits[ParentAnchor],"0")=TEXT(Contract_Edits[[#This Row],[ParentAnchor]],"0"))*
  (VALUE(TEXT(Contract_Edits[Index],"0"))&lt;VALUE(TEXT(Contract_Edits[[#This Row],[Index]],"0")))
)</f>
        <v>2</v>
      </c>
      <c r="AN34" s="511"/>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559</v>
      </c>
      <c r="B35" t="s">
        <v>563</v>
      </c>
      <c r="C35" t="s">
        <v>537</v>
      </c>
      <c r="D35" s="444" t="s">
        <v>598</v>
      </c>
      <c r="E35">
        <v>2</v>
      </c>
      <c r="F35" s="453"/>
      <c r="G35" s="188"/>
      <c r="H35">
        <v>0</v>
      </c>
      <c r="I35"/>
      <c r="J35">
        <v>76</v>
      </c>
      <c r="K35" s="104"/>
      <c r="L35" s="449">
        <v>76</v>
      </c>
      <c r="M35" s="449"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76"/>
      <c r="R35" s="516"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5" s="179">
        <v>0</v>
      </c>
      <c r="T35" s="179">
        <v>0</v>
      </c>
      <c r="U35" s="11" t="s">
        <v>684</v>
      </c>
      <c r="V35"/>
      <c r="W35" s="22" t="s">
        <v>436</v>
      </c>
      <c r="X35" s="492" t="s">
        <v>436</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11">
        <f>--(
  ISNUMBER(SEARCH("BASE PARENT", UPPER(CLEAN(TRIM(_xlfn.XLOOKUP(TEXT(Contract_Edits[[#This Row],[Index]],"0"), baseIdxTxt, baseCost, "")))))) +
  ISNUMBER(SEARCH("DEPENDENCY GROUP", UPPER(CLEAN(TRIM(_xlfn.XLOOKUP(TEXT(Contract_Edits[[#This Row],[Index]],"0"), baseIdxTxt, baseCost, ""))))))
)</f>
        <v>0</v>
      </c>
      <c r="AG35" s="511" t="str" cm="1">
        <f t="array" ref="AG35">IF(Contract_Edits[[#This Row],[BaseFlag]]=1,
   10*BaseDepthL(TEXT(Contract_Edits[[#This Row],[Index]],"0"),500,editsIdxTxt,editsParentKeyTxt,baseIdxTxt,baseCost)-5,
   ""
)</f>
        <v/>
      </c>
      <c r="AH35" s="511"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11" t="str">
        <f>IF(Contract_Edits[[#This Row],[Dep]]=0,"Root",
   IF(ISNUMBER(MATCH(Contract_Edits[[#This Row],[Dep]],Contract_Edits[Index],0)),"OK","Missing")
)</f>
        <v>OK</v>
      </c>
      <c r="AJ35" s="511" t="str">
        <f>IF(AND(Contract_Edits[[#This Row],[Dep]]&lt;&gt;0,
        ISNUMBER(MATCH(Contract_Edits[[#This Row],[Dep]], Contract_Edits[Index], 0)),
        INDEX(Contract_Edits[Dep], MATCH(Contract_Edits[[#This Row],[Dep]], Contract_Edits[Index], 0))=Contract_Edits[[#This Row],[Index]]),
   "2-cycle","")</f>
        <v/>
      </c>
      <c r="AK35" s="511" cm="1">
        <f t="array" ref="AK35">IF(Contract_Edits[[#This Row],[BaseFlag]]&lt;&gt;1,0,
   IF(TEXT(Contract_Edits[[#This Row],[Dep]],"0")=TEXT(Contract_Edits[[#This Row],[Index]],"0"),
      0,
      MAX(0, SUMPRODUCT(--(Contract_Edits[BaseFlag]=1),
                        --(TEXT(Contract_Edits[Dep],"0")=TEXT(Contract_Edits[[#This Row],[Dep]],"0"))) - 1)
   )
)</f>
        <v>0</v>
      </c>
      <c r="AL35" s="511" t="str" cm="1">
        <f t="array" ref="AL35">IF(Contract_Edits[[#This Row],[BaseFlag]]=1,
   TEXT(Contract_Edits[[#This Row],[Index]],"0"),
   NearestBaseL(TEXT(Contract_Edits[[#This Row],[ParentKey]],"0"),500,editsIdxTxt,editsParentKeyTxt,baseIdxTxt,baseCost)
)</f>
        <v>2</v>
      </c>
      <c r="AM35" s="511" cm="1">
        <f t="array" ref="AM35">1+SUMPRODUCT(
  (Contract_Edits[BaseFlag]=1)*
  (TEXT(Contract_Edits[ParentAnchor],"0")=TEXT(Contract_Edits[[#This Row],[ParentAnchor]],"0"))*
  (VALUE(TEXT(Contract_Edits[Index],"0"))&lt;VALUE(TEXT(Contract_Edits[[#This Row],[Index]],"0")))
)</f>
        <v>2</v>
      </c>
      <c r="AN35" s="511"/>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516</v>
      </c>
      <c r="B36" t="s">
        <v>513</v>
      </c>
      <c r="C36" t="s">
        <v>526</v>
      </c>
      <c r="D36" s="444" t="s">
        <v>527</v>
      </c>
      <c r="E36">
        <v>1</v>
      </c>
      <c r="F36" s="453">
        <v>0</v>
      </c>
      <c r="G36" s="188">
        <v>0</v>
      </c>
      <c r="H36">
        <v>6</v>
      </c>
      <c r="I36">
        <v>0</v>
      </c>
      <c r="J36">
        <v>7</v>
      </c>
      <c r="K36" s="104"/>
      <c r="L36" s="449">
        <v>7</v>
      </c>
      <c r="M36" s="449"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76"/>
      <c r="R36" s="516"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6" s="179">
        <v>0</v>
      </c>
      <c r="T36" s="477"/>
      <c r="U36" s="500"/>
      <c r="V36" s="193"/>
      <c r="W36" s="22" t="s">
        <v>436</v>
      </c>
      <c r="X36" s="492" t="s">
        <v>436</v>
      </c>
      <c r="Y36" s="492"/>
      <c r="Z36" s="498"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11">
        <f>--(
  ISNUMBER(SEARCH("BASE PARENT", UPPER(CLEAN(TRIM(_xlfn.XLOOKUP(TEXT(Contract_Edits[[#This Row],[Index]],"0"), baseIdxTxt, baseCost, "")))))) +
  ISNUMBER(SEARCH("DEPENDENCY GROUP", UPPER(CLEAN(TRIM(_xlfn.XLOOKUP(TEXT(Contract_Edits[[#This Row],[Index]],"0"), baseIdxTxt, baseCost, ""))))))
)</f>
        <v>1</v>
      </c>
      <c r="AG36" s="511" cm="1">
        <f t="array" ref="AG36">IF(Contract_Edits[[#This Row],[BaseFlag]]=1,
   10*BaseDepthL(TEXT(Contract_Edits[[#This Row],[Index]],"0"),500,editsIdxTxt,editsParentKeyTxt,baseIdxTxt,baseCost)-5,
   ""
)</f>
        <v>65</v>
      </c>
      <c r="AH36" s="511"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11" t="str">
        <f>IF(Contract_Edits[[#This Row],[Dep]]=0,"Root",
   IF(ISNUMBER(MATCH(Contract_Edits[[#This Row],[Dep]],Contract_Edits[Index],0)),"OK","Missing")
)</f>
        <v>OK</v>
      </c>
      <c r="AJ36" s="511" t="str">
        <f>IF(AND(Contract_Edits[[#This Row],[Dep]]&lt;&gt;0,
        ISNUMBER(MATCH(Contract_Edits[[#This Row],[Dep]], Contract_Edits[Index], 0)),
        INDEX(Contract_Edits[Dep], MATCH(Contract_Edits[[#This Row],[Dep]], Contract_Edits[Index], 0))=Contract_Edits[[#This Row],[Index]]),
   "2-cycle","")</f>
        <v/>
      </c>
      <c r="AK36" s="511" cm="1">
        <f t="array" ref="AK36">IF(Contract_Edits[[#This Row],[BaseFlag]]&lt;&gt;1,0,
   IF(TEXT(Contract_Edits[[#This Row],[Dep]],"0")=TEXT(Contract_Edits[[#This Row],[Index]],"0"),
      0,
      MAX(0, SUMPRODUCT(--(Contract_Edits[BaseFlag]=1),
                        --(TEXT(Contract_Edits[Dep],"0")=TEXT(Contract_Edits[[#This Row],[Dep]],"0"))) - 1)
   )
)</f>
        <v>0</v>
      </c>
      <c r="AL36" s="511" t="str" cm="1">
        <f t="array" ref="AL36">IF(Contract_Edits[[#This Row],[BaseFlag]]=1,
   TEXT(Contract_Edits[[#This Row],[Index]],"0"),
   NearestBaseL(TEXT(Contract_Edits[[#This Row],[ParentKey]],"0"),500,editsIdxTxt,editsParentKeyTxt,baseIdxTxt,baseCost)
)</f>
        <v>7</v>
      </c>
      <c r="AM36" s="511" cm="1">
        <f t="array" ref="AM36">1+SUMPRODUCT(
  (Contract_Edits[BaseFlag]=1)*
  (TEXT(Contract_Edits[ParentAnchor],"0")=TEXT(Contract_Edits[[#This Row],[ParentAnchor]],"0"))*
  (VALUE(TEXT(Contract_Edits[Index],"0"))&lt;VALUE(TEXT(Contract_Edits[[#This Row],[Index]],"0")))
)</f>
        <v>1</v>
      </c>
      <c r="AN36" s="511"/>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629</v>
      </c>
      <c r="B37" t="s">
        <v>624</v>
      </c>
      <c r="C37" t="s">
        <v>659</v>
      </c>
      <c r="D37" s="444" t="s">
        <v>660</v>
      </c>
      <c r="E37">
        <v>1</v>
      </c>
      <c r="F37" s="453">
        <v>-310.864125</v>
      </c>
      <c r="G37" s="188">
        <v>-310.864125</v>
      </c>
      <c r="H37">
        <v>7</v>
      </c>
      <c r="I37">
        <v>-310.864125</v>
      </c>
      <c r="J37">
        <v>912</v>
      </c>
      <c r="K37" s="104"/>
      <c r="L37" s="449">
        <v>912</v>
      </c>
      <c r="M37" s="449"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88"/>
      <c r="R37" s="516"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7" s="179">
        <v>0</v>
      </c>
      <c r="T37" s="477"/>
      <c r="U37" s="500" t="s">
        <v>685</v>
      </c>
      <c r="V37" s="193"/>
      <c r="W37" s="22" t="s">
        <v>436</v>
      </c>
      <c r="X37" s="492" t="s">
        <v>436</v>
      </c>
      <c r="Y37" s="492"/>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11">
        <f>--(
  ISNUMBER(SEARCH("BASE PARENT", UPPER(CLEAN(TRIM(_xlfn.XLOOKUP(TEXT(Contract_Edits[[#This Row],[Index]],"0"), baseIdxTxt, baseCost, "")))))) +
  ISNUMBER(SEARCH("DEPENDENCY GROUP", UPPER(CLEAN(TRIM(_xlfn.XLOOKUP(TEXT(Contract_Edits[[#This Row],[Index]],"0"), baseIdxTxt, baseCost, ""))))))
)</f>
        <v>0</v>
      </c>
      <c r="AG37" s="511" t="str" cm="1">
        <f t="array" ref="AG37">IF(Contract_Edits[[#This Row],[BaseFlag]]=1,
   10*BaseDepthL(TEXT(Contract_Edits[[#This Row],[Index]],"0"),500,editsIdxTxt,editsParentKeyTxt,baseIdxTxt,baseCost)-5,
   ""
)</f>
        <v/>
      </c>
      <c r="AH37" s="511"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11" t="str">
        <f>IF(Contract_Edits[[#This Row],[Dep]]=0,"Root",
   IF(ISNUMBER(MATCH(Contract_Edits[[#This Row],[Dep]],Contract_Edits[Index],0)),"OK","Missing")
)</f>
        <v>OK</v>
      </c>
      <c r="AJ37" s="511" t="str">
        <f>IF(AND(Contract_Edits[[#This Row],[Dep]]&lt;&gt;0,
        ISNUMBER(MATCH(Contract_Edits[[#This Row],[Dep]], Contract_Edits[Index], 0)),
        INDEX(Contract_Edits[Dep], MATCH(Contract_Edits[[#This Row],[Dep]], Contract_Edits[Index], 0))=Contract_Edits[[#This Row],[Index]]),
   "2-cycle","")</f>
        <v/>
      </c>
      <c r="AK37" s="511" cm="1">
        <f t="array" ref="AK37">IF(Contract_Edits[[#This Row],[BaseFlag]]&lt;&gt;1,0,
   IF(TEXT(Contract_Edits[[#This Row],[Dep]],"0")=TEXT(Contract_Edits[[#This Row],[Index]],"0"),
      0,
      MAX(0, SUMPRODUCT(--(Contract_Edits[BaseFlag]=1),
                        --(TEXT(Contract_Edits[Dep],"0")=TEXT(Contract_Edits[[#This Row],[Dep]],"0"))) - 1)
   )
)</f>
        <v>0</v>
      </c>
      <c r="AL37" s="511" t="str" cm="1">
        <f t="array" ref="AL37">IF(Contract_Edits[[#This Row],[BaseFlag]]=1,
   TEXT(Contract_Edits[[#This Row],[Index]],"0"),
   NearestBaseL(TEXT(Contract_Edits[[#This Row],[ParentKey]],"0"),500,editsIdxTxt,editsParentKeyTxt,baseIdxTxt,baseCost)
)</f>
        <v>7</v>
      </c>
      <c r="AM37" s="511" cm="1">
        <f t="array" ref="AM37">1+SUMPRODUCT(
  (Contract_Edits[BaseFlag]=1)*
  (TEXT(Contract_Edits[ParentAnchor],"0")=TEXT(Contract_Edits[[#This Row],[ParentAnchor]],"0"))*
  (VALUE(TEXT(Contract_Edits[Index],"0"))&lt;VALUE(TEXT(Contract_Edits[[#This Row],[Index]],"0")))
)</f>
        <v>2</v>
      </c>
      <c r="AN37" s="511"/>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559</v>
      </c>
      <c r="B38" t="s">
        <v>566</v>
      </c>
      <c r="C38" t="s">
        <v>574</v>
      </c>
      <c r="D38" s="444" t="s">
        <v>576</v>
      </c>
      <c r="E38">
        <v>1</v>
      </c>
      <c r="F38" s="453"/>
      <c r="G38" s="188"/>
      <c r="H38">
        <v>0</v>
      </c>
      <c r="I38"/>
      <c r="J38">
        <v>51</v>
      </c>
      <c r="K38" s="104"/>
      <c r="L38" s="449">
        <v>51</v>
      </c>
      <c r="M38" s="449"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76"/>
      <c r="R38" s="516"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8" s="179">
        <v>0</v>
      </c>
      <c r="T38" s="179">
        <v>0</v>
      </c>
      <c r="U38" s="11" t="s">
        <v>685</v>
      </c>
      <c r="V38"/>
      <c r="W38" s="22" t="s">
        <v>436</v>
      </c>
      <c r="X38" s="492" t="s">
        <v>436</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11">
        <f>--(
  ISNUMBER(SEARCH("BASE PARENT", UPPER(CLEAN(TRIM(_xlfn.XLOOKUP(TEXT(Contract_Edits[[#This Row],[Index]],"0"), baseIdxTxt, baseCost, "")))))) +
  ISNUMBER(SEARCH("DEPENDENCY GROUP", UPPER(CLEAN(TRIM(_xlfn.XLOOKUP(TEXT(Contract_Edits[[#This Row],[Index]],"0"), baseIdxTxt, baseCost, ""))))))
)</f>
        <v>0</v>
      </c>
      <c r="AG38" s="511" t="str" cm="1">
        <f t="array" ref="AG38">IF(Contract_Edits[[#This Row],[BaseFlag]]=1,
   10*BaseDepthL(TEXT(Contract_Edits[[#This Row],[Index]],"0"),500,editsIdxTxt,editsParentKeyTxt,baseIdxTxt,baseCost)-5,
   ""
)</f>
        <v/>
      </c>
      <c r="AH38" s="511"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11" t="str">
        <f>IF(Contract_Edits[[#This Row],[Dep]]=0,"Root",
   IF(ISNUMBER(MATCH(Contract_Edits[[#This Row],[Dep]],Contract_Edits[Index],0)),"OK","Missing")
)</f>
        <v>OK</v>
      </c>
      <c r="AJ38" s="511" t="str">
        <f>IF(AND(Contract_Edits[[#This Row],[Dep]]&lt;&gt;0,
        ISNUMBER(MATCH(Contract_Edits[[#This Row],[Dep]], Contract_Edits[Index], 0)),
        INDEX(Contract_Edits[Dep], MATCH(Contract_Edits[[#This Row],[Dep]], Contract_Edits[Index], 0))=Contract_Edits[[#This Row],[Index]]),
   "2-cycle","")</f>
        <v/>
      </c>
      <c r="AK38" s="511" cm="1">
        <f t="array" ref="AK38">IF(Contract_Edits[[#This Row],[BaseFlag]]&lt;&gt;1,0,
   IF(TEXT(Contract_Edits[[#This Row],[Dep]],"0")=TEXT(Contract_Edits[[#This Row],[Index]],"0"),
      0,
      MAX(0, SUMPRODUCT(--(Contract_Edits[BaseFlag]=1),
                        --(TEXT(Contract_Edits[Dep],"0")=TEXT(Contract_Edits[[#This Row],[Dep]],"0"))) - 1)
   )
)</f>
        <v>0</v>
      </c>
      <c r="AL38" s="511" t="str" cm="1">
        <f t="array" ref="AL38">IF(Contract_Edits[[#This Row],[BaseFlag]]=1,
   TEXT(Contract_Edits[[#This Row],[Index]],"0"),
   NearestBaseL(TEXT(Contract_Edits[[#This Row],[ParentKey]],"0"),500,editsIdxTxt,editsParentKeyTxt,baseIdxTxt,baseCost)
)</f>
        <v>7</v>
      </c>
      <c r="AM38" s="511" cm="1">
        <f t="array" ref="AM38">1+SUMPRODUCT(
  (Contract_Edits[BaseFlag]=1)*
  (TEXT(Contract_Edits[ParentAnchor],"0")=TEXT(Contract_Edits[[#This Row],[ParentAnchor]],"0"))*
  (VALUE(TEXT(Contract_Edits[Index],"0"))&lt;VALUE(TEXT(Contract_Edits[[#This Row],[Index]],"0")))
)</f>
        <v>2</v>
      </c>
      <c r="AN38" s="511"/>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559</v>
      </c>
      <c r="B39" t="s">
        <v>580</v>
      </c>
      <c r="C39" t="s">
        <v>583</v>
      </c>
      <c r="D39" s="444" t="s">
        <v>584</v>
      </c>
      <c r="E39">
        <v>1</v>
      </c>
      <c r="F39" s="453"/>
      <c r="G39" s="188"/>
      <c r="H39">
        <v>0</v>
      </c>
      <c r="I39"/>
      <c r="J39">
        <v>56</v>
      </c>
      <c r="K39" s="104"/>
      <c r="L39" s="449">
        <v>56</v>
      </c>
      <c r="M39" s="449"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76"/>
      <c r="R39" s="516"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39" s="179">
        <v>0</v>
      </c>
      <c r="T39" s="179">
        <v>0</v>
      </c>
      <c r="U39" s="11" t="s">
        <v>685</v>
      </c>
      <c r="V39"/>
      <c r="W39" s="22" t="s">
        <v>436</v>
      </c>
      <c r="X39" s="492" t="s">
        <v>436</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11">
        <f>--(
  ISNUMBER(SEARCH("BASE PARENT", UPPER(CLEAN(TRIM(_xlfn.XLOOKUP(TEXT(Contract_Edits[[#This Row],[Index]],"0"), baseIdxTxt, baseCost, "")))))) +
  ISNUMBER(SEARCH("DEPENDENCY GROUP", UPPER(CLEAN(TRIM(_xlfn.XLOOKUP(TEXT(Contract_Edits[[#This Row],[Index]],"0"), baseIdxTxt, baseCost, ""))))))
)</f>
        <v>0</v>
      </c>
      <c r="AG39" s="511" t="str" cm="1">
        <f t="array" ref="AG39">IF(Contract_Edits[[#This Row],[BaseFlag]]=1,
   10*BaseDepthL(TEXT(Contract_Edits[[#This Row],[Index]],"0"),500,editsIdxTxt,editsParentKeyTxt,baseIdxTxt,baseCost)-5,
   ""
)</f>
        <v/>
      </c>
      <c r="AH39" s="511"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11" t="str">
        <f>IF(Contract_Edits[[#This Row],[Dep]]=0,"Root",
   IF(ISNUMBER(MATCH(Contract_Edits[[#This Row],[Dep]],Contract_Edits[Index],0)),"OK","Missing")
)</f>
        <v>OK</v>
      </c>
      <c r="AJ39" s="511" t="str">
        <f>IF(AND(Contract_Edits[[#This Row],[Dep]]&lt;&gt;0,
        ISNUMBER(MATCH(Contract_Edits[[#This Row],[Dep]], Contract_Edits[Index], 0)),
        INDEX(Contract_Edits[Dep], MATCH(Contract_Edits[[#This Row],[Dep]], Contract_Edits[Index], 0))=Contract_Edits[[#This Row],[Index]]),
   "2-cycle","")</f>
        <v/>
      </c>
      <c r="AK39" s="511" cm="1">
        <f t="array" ref="AK39">IF(Contract_Edits[[#This Row],[BaseFlag]]&lt;&gt;1,0,
   IF(TEXT(Contract_Edits[[#This Row],[Dep]],"0")=TEXT(Contract_Edits[[#This Row],[Index]],"0"),
      0,
      MAX(0, SUMPRODUCT(--(Contract_Edits[BaseFlag]=1),
                        --(TEXT(Contract_Edits[Dep],"0")=TEXT(Contract_Edits[[#This Row],[Dep]],"0"))) - 1)
   )
)</f>
        <v>0</v>
      </c>
      <c r="AL39" s="511" t="str" cm="1">
        <f t="array" ref="AL39">IF(Contract_Edits[[#This Row],[BaseFlag]]=1,
   TEXT(Contract_Edits[[#This Row],[Index]],"0"),
   NearestBaseL(TEXT(Contract_Edits[[#This Row],[ParentKey]],"0"),500,editsIdxTxt,editsParentKeyTxt,baseIdxTxt,baseCost)
)</f>
        <v>7</v>
      </c>
      <c r="AM39" s="511" cm="1">
        <f t="array" ref="AM39">1+SUMPRODUCT(
  (Contract_Edits[BaseFlag]=1)*
  (TEXT(Contract_Edits[ParentAnchor],"0")=TEXT(Contract_Edits[[#This Row],[ParentAnchor]],"0"))*
  (VALUE(TEXT(Contract_Edits[Index],"0"))&lt;VALUE(TEXT(Contract_Edits[[#This Row],[Index]],"0")))
)</f>
        <v>2</v>
      </c>
      <c r="AN39" s="511"/>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559</v>
      </c>
      <c r="B40" t="s">
        <v>580</v>
      </c>
      <c r="C40"/>
      <c r="D40" s="444" t="s">
        <v>581</v>
      </c>
      <c r="E40">
        <v>1</v>
      </c>
      <c r="F40" s="453"/>
      <c r="G40" s="188"/>
      <c r="H40">
        <v>0</v>
      </c>
      <c r="I40"/>
      <c r="J40">
        <v>54</v>
      </c>
      <c r="K40" s="104"/>
      <c r="L40" s="449">
        <v>54</v>
      </c>
      <c r="M40" s="449"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76"/>
      <c r="R40" s="516"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0" s="179">
        <v>0</v>
      </c>
      <c r="T40" s="179">
        <v>0</v>
      </c>
      <c r="U40" s="11" t="s">
        <v>685</v>
      </c>
      <c r="V40"/>
      <c r="W40" s="22" t="s">
        <v>436</v>
      </c>
      <c r="X40" s="492" t="s">
        <v>436</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11">
        <f>--(
  ISNUMBER(SEARCH("BASE PARENT", UPPER(CLEAN(TRIM(_xlfn.XLOOKUP(TEXT(Contract_Edits[[#This Row],[Index]],"0"), baseIdxTxt, baseCost, "")))))) +
  ISNUMBER(SEARCH("DEPENDENCY GROUP", UPPER(CLEAN(TRIM(_xlfn.XLOOKUP(TEXT(Contract_Edits[[#This Row],[Index]],"0"), baseIdxTxt, baseCost, ""))))))
)</f>
        <v>0</v>
      </c>
      <c r="AG40" s="511" t="str" cm="1">
        <f t="array" ref="AG40">IF(Contract_Edits[[#This Row],[BaseFlag]]=1,
   10*BaseDepthL(TEXT(Contract_Edits[[#This Row],[Index]],"0"),500,editsIdxTxt,editsParentKeyTxt,baseIdxTxt,baseCost)-5,
   ""
)</f>
        <v/>
      </c>
      <c r="AH40" s="511"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11" t="str">
        <f>IF(Contract_Edits[[#This Row],[Dep]]=0,"Root",
   IF(ISNUMBER(MATCH(Contract_Edits[[#This Row],[Dep]],Contract_Edits[Index],0)),"OK","Missing")
)</f>
        <v>OK</v>
      </c>
      <c r="AJ40" s="511" t="str">
        <f>IF(AND(Contract_Edits[[#This Row],[Dep]]&lt;&gt;0,
        ISNUMBER(MATCH(Contract_Edits[[#This Row],[Dep]], Contract_Edits[Index], 0)),
        INDEX(Contract_Edits[Dep], MATCH(Contract_Edits[[#This Row],[Dep]], Contract_Edits[Index], 0))=Contract_Edits[[#This Row],[Index]]),
   "2-cycle","")</f>
        <v/>
      </c>
      <c r="AK40" s="511" cm="1">
        <f t="array" ref="AK40">IF(Contract_Edits[[#This Row],[BaseFlag]]&lt;&gt;1,0,
   IF(TEXT(Contract_Edits[[#This Row],[Dep]],"0")=TEXT(Contract_Edits[[#This Row],[Index]],"0"),
      0,
      MAX(0, SUMPRODUCT(--(Contract_Edits[BaseFlag]=1),
                        --(TEXT(Contract_Edits[Dep],"0")=TEXT(Contract_Edits[[#This Row],[Dep]],"0"))) - 1)
   )
)</f>
        <v>0</v>
      </c>
      <c r="AL40" s="511" t="str" cm="1">
        <f t="array" ref="AL40">IF(Contract_Edits[[#This Row],[BaseFlag]]=1,
   TEXT(Contract_Edits[[#This Row],[Index]],"0"),
   NearestBaseL(TEXT(Contract_Edits[[#This Row],[ParentKey]],"0"),500,editsIdxTxt,editsParentKeyTxt,baseIdxTxt,baseCost)
)</f>
        <v>7</v>
      </c>
      <c r="AM40" s="511" cm="1">
        <f t="array" ref="AM40">1+SUMPRODUCT(
  (Contract_Edits[BaseFlag]=1)*
  (TEXT(Contract_Edits[ParentAnchor],"0")=TEXT(Contract_Edits[[#This Row],[ParentAnchor]],"0"))*
  (VALUE(TEXT(Contract_Edits[Index],"0"))&lt;VALUE(TEXT(Contract_Edits[[#This Row],[Index]],"0")))
)</f>
        <v>2</v>
      </c>
      <c r="AN40" s="511"/>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516</v>
      </c>
      <c r="B41" t="s">
        <v>513</v>
      </c>
      <c r="C41" t="s">
        <v>528</v>
      </c>
      <c r="D41" s="444" t="s">
        <v>529</v>
      </c>
      <c r="E41">
        <v>1</v>
      </c>
      <c r="F41" s="453">
        <v>0</v>
      </c>
      <c r="G41" s="188">
        <v>0</v>
      </c>
      <c r="H41">
        <v>7</v>
      </c>
      <c r="I41">
        <v>0</v>
      </c>
      <c r="J41">
        <v>8</v>
      </c>
      <c r="K41" s="104"/>
      <c r="L41" s="449">
        <v>8</v>
      </c>
      <c r="M41" s="449"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76"/>
      <c r="R41" s="516"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1" s="179">
        <v>0</v>
      </c>
      <c r="T41" s="477"/>
      <c r="U41" s="500"/>
      <c r="V41" s="193"/>
      <c r="W41" s="22" t="s">
        <v>436</v>
      </c>
      <c r="X41" s="492" t="s">
        <v>436</v>
      </c>
      <c r="Y41" s="492"/>
      <c r="Z41" s="498"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11">
        <f>--(
  ISNUMBER(SEARCH("BASE PARENT", UPPER(CLEAN(TRIM(_xlfn.XLOOKUP(TEXT(Contract_Edits[[#This Row],[Index]],"0"), baseIdxTxt, baseCost, "")))))) +
  ISNUMBER(SEARCH("DEPENDENCY GROUP", UPPER(CLEAN(TRIM(_xlfn.XLOOKUP(TEXT(Contract_Edits[[#This Row],[Index]],"0"), baseIdxTxt, baseCost, ""))))))
)</f>
        <v>1</v>
      </c>
      <c r="AG41" s="511" cm="1">
        <f t="array" ref="AG41">IF(Contract_Edits[[#This Row],[BaseFlag]]=1,
   10*BaseDepthL(TEXT(Contract_Edits[[#This Row],[Index]],"0"),500,editsIdxTxt,editsParentKeyTxt,baseIdxTxt,baseCost)-5,
   ""
)</f>
        <v>75</v>
      </c>
      <c r="AH41" s="511"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11" t="str">
        <f>IF(Contract_Edits[[#This Row],[Dep]]=0,"Root",
   IF(ISNUMBER(MATCH(Contract_Edits[[#This Row],[Dep]],Contract_Edits[Index],0)),"OK","Missing")
)</f>
        <v>OK</v>
      </c>
      <c r="AJ41" s="511" t="str">
        <f>IF(AND(Contract_Edits[[#This Row],[Dep]]&lt;&gt;0,
        ISNUMBER(MATCH(Contract_Edits[[#This Row],[Dep]], Contract_Edits[Index], 0)),
        INDEX(Contract_Edits[Dep], MATCH(Contract_Edits[[#This Row],[Dep]], Contract_Edits[Index], 0))=Contract_Edits[[#This Row],[Index]]),
   "2-cycle","")</f>
        <v/>
      </c>
      <c r="AK41" s="511" cm="1">
        <f t="array" ref="AK41">IF(Contract_Edits[[#This Row],[BaseFlag]]&lt;&gt;1,0,
   IF(TEXT(Contract_Edits[[#This Row],[Dep]],"0")=TEXT(Contract_Edits[[#This Row],[Index]],"0"),
      0,
      MAX(0, SUMPRODUCT(--(Contract_Edits[BaseFlag]=1),
                        --(TEXT(Contract_Edits[Dep],"0")=TEXT(Contract_Edits[[#This Row],[Dep]],"0"))) - 1)
   )
)</f>
        <v>0</v>
      </c>
      <c r="AL41" s="511" t="str" cm="1">
        <f t="array" ref="AL41">IF(Contract_Edits[[#This Row],[BaseFlag]]=1,
   TEXT(Contract_Edits[[#This Row],[Index]],"0"),
   NearestBaseL(TEXT(Contract_Edits[[#This Row],[ParentKey]],"0"),500,editsIdxTxt,editsParentKeyTxt,baseIdxTxt,baseCost)
)</f>
        <v>8</v>
      </c>
      <c r="AM41" s="511" cm="1">
        <f t="array" ref="AM41">1+SUMPRODUCT(
  (Contract_Edits[BaseFlag]=1)*
  (TEXT(Contract_Edits[ParentAnchor],"0")=TEXT(Contract_Edits[[#This Row],[ParentAnchor]],"0"))*
  (VALUE(TEXT(Contract_Edits[Index],"0"))&lt;VALUE(TEXT(Contract_Edits[[#This Row],[Index]],"0")))
)</f>
        <v>1</v>
      </c>
      <c r="AN41" s="511"/>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516</v>
      </c>
      <c r="B42" t="s">
        <v>513</v>
      </c>
      <c r="C42" t="s">
        <v>530</v>
      </c>
      <c r="D42" s="444" t="s">
        <v>531</v>
      </c>
      <c r="E42">
        <v>1</v>
      </c>
      <c r="F42" s="453">
        <v>0</v>
      </c>
      <c r="G42" s="188">
        <v>0</v>
      </c>
      <c r="H42">
        <v>9</v>
      </c>
      <c r="I42">
        <v>0</v>
      </c>
      <c r="J42">
        <v>10</v>
      </c>
      <c r="K42" s="104"/>
      <c r="L42" s="449">
        <v>10</v>
      </c>
      <c r="M42" s="449"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88"/>
      <c r="R42" s="516"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2" s="179">
        <v>0</v>
      </c>
      <c r="T42" s="477"/>
      <c r="U42" s="500"/>
      <c r="V42" s="193"/>
      <c r="W42" s="22" t="s">
        <v>436</v>
      </c>
      <c r="X42" s="492" t="s">
        <v>436</v>
      </c>
      <c r="Y42" s="492"/>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11">
        <f>--(
  ISNUMBER(SEARCH("BASE PARENT", UPPER(CLEAN(TRIM(_xlfn.XLOOKUP(TEXT(Contract_Edits[[#This Row],[Index]],"0"), baseIdxTxt, baseCost, "")))))) +
  ISNUMBER(SEARCH("DEPENDENCY GROUP", UPPER(CLEAN(TRIM(_xlfn.XLOOKUP(TEXT(Contract_Edits[[#This Row],[Index]],"0"), baseIdxTxt, baseCost, ""))))))
)</f>
        <v>1</v>
      </c>
      <c r="AG42" s="511" cm="1">
        <f t="array" ref="AG42">IF(Contract_Edits[[#This Row],[BaseFlag]]=1,
   10*BaseDepthL(TEXT(Contract_Edits[[#This Row],[Index]],"0"),500,editsIdxTxt,editsParentKeyTxt,baseIdxTxt,baseCost)-5,
   ""
)</f>
        <v>95</v>
      </c>
      <c r="AH42" s="511"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11" t="str">
        <f>IF(Contract_Edits[[#This Row],[Dep]]=0,"Root",
   IF(ISNUMBER(MATCH(Contract_Edits[[#This Row],[Dep]],Contract_Edits[Index],0)),"OK","Missing")
)</f>
        <v>OK</v>
      </c>
      <c r="AJ42" s="511" t="str">
        <f>IF(AND(Contract_Edits[[#This Row],[Dep]]&lt;&gt;0,
        ISNUMBER(MATCH(Contract_Edits[[#This Row],[Dep]], Contract_Edits[Index], 0)),
        INDEX(Contract_Edits[Dep], MATCH(Contract_Edits[[#This Row],[Dep]], Contract_Edits[Index], 0))=Contract_Edits[[#This Row],[Index]]),
   "2-cycle","")</f>
        <v/>
      </c>
      <c r="AK42" s="511" cm="1">
        <f t="array" ref="AK42">IF(Contract_Edits[[#This Row],[BaseFlag]]&lt;&gt;1,0,
   IF(TEXT(Contract_Edits[[#This Row],[Dep]],"0")=TEXT(Contract_Edits[[#This Row],[Index]],"0"),
      0,
      MAX(0, SUMPRODUCT(--(Contract_Edits[BaseFlag]=1),
                        --(TEXT(Contract_Edits[Dep],"0")=TEXT(Contract_Edits[[#This Row],[Dep]],"0"))) - 1)
   )
)</f>
        <v>0</v>
      </c>
      <c r="AL42" s="511" t="str" cm="1">
        <f t="array" ref="AL42">IF(Contract_Edits[[#This Row],[BaseFlag]]=1,
   TEXT(Contract_Edits[[#This Row],[Index]],"0"),
   NearestBaseL(TEXT(Contract_Edits[[#This Row],[ParentKey]],"0"),500,editsIdxTxt,editsParentKeyTxt,baseIdxTxt,baseCost)
)</f>
        <v>10</v>
      </c>
      <c r="AM42" s="511" cm="1">
        <f t="array" ref="AM42">1+SUMPRODUCT(
  (Contract_Edits[BaseFlag]=1)*
  (TEXT(Contract_Edits[ParentAnchor],"0")=TEXT(Contract_Edits[[#This Row],[ParentAnchor]],"0"))*
  (VALUE(TEXT(Contract_Edits[Index],"0"))&lt;VALUE(TEXT(Contract_Edits[[#This Row],[Index]],"0")))
)</f>
        <v>1</v>
      </c>
      <c r="AN42" s="511"/>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516</v>
      </c>
      <c r="B43" t="s">
        <v>513</v>
      </c>
      <c r="C43" t="s">
        <v>530</v>
      </c>
      <c r="D43" s="444" t="s">
        <v>532</v>
      </c>
      <c r="E43">
        <v>1</v>
      </c>
      <c r="F43" s="453">
        <v>0</v>
      </c>
      <c r="G43" s="188">
        <v>0</v>
      </c>
      <c r="H43">
        <v>10</v>
      </c>
      <c r="I43">
        <v>0</v>
      </c>
      <c r="J43">
        <v>11</v>
      </c>
      <c r="K43" s="104"/>
      <c r="L43" s="449">
        <v>11</v>
      </c>
      <c r="M43" s="449"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76"/>
      <c r="R43" s="516"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3" s="179">
        <v>0</v>
      </c>
      <c r="T43" s="179">
        <v>0</v>
      </c>
      <c r="U43" s="11"/>
      <c r="V43"/>
      <c r="W43" s="22" t="s">
        <v>436</v>
      </c>
      <c r="X43" s="492" t="s">
        <v>436</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11">
        <f>--(
  ISNUMBER(SEARCH("BASE PARENT", UPPER(CLEAN(TRIM(_xlfn.XLOOKUP(TEXT(Contract_Edits[[#This Row],[Index]],"0"), baseIdxTxt, baseCost, "")))))) +
  ISNUMBER(SEARCH("DEPENDENCY GROUP", UPPER(CLEAN(TRIM(_xlfn.XLOOKUP(TEXT(Contract_Edits[[#This Row],[Index]],"0"), baseIdxTxt, baseCost, ""))))))
)</f>
        <v>1</v>
      </c>
      <c r="AG43" s="511" cm="1">
        <f t="array" ref="AG43">IF(Contract_Edits[[#This Row],[BaseFlag]]=1,
   10*BaseDepthL(TEXT(Contract_Edits[[#This Row],[Index]],"0"),500,editsIdxTxt,editsParentKeyTxt,baseIdxTxt,baseCost)-5,
   ""
)</f>
        <v>105</v>
      </c>
      <c r="AH43" s="511"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11" t="str">
        <f>IF(Contract_Edits[[#This Row],[Dep]]=0,"Root",
   IF(ISNUMBER(MATCH(Contract_Edits[[#This Row],[Dep]],Contract_Edits[Index],0)),"OK","Missing")
)</f>
        <v>OK</v>
      </c>
      <c r="AJ43" s="511" t="str">
        <f>IF(AND(Contract_Edits[[#This Row],[Dep]]&lt;&gt;0,
        ISNUMBER(MATCH(Contract_Edits[[#This Row],[Dep]], Contract_Edits[Index], 0)),
        INDEX(Contract_Edits[Dep], MATCH(Contract_Edits[[#This Row],[Dep]], Contract_Edits[Index], 0))=Contract_Edits[[#This Row],[Index]]),
   "2-cycle","")</f>
        <v/>
      </c>
      <c r="AK43" s="511" cm="1">
        <f t="array" ref="AK43">IF(Contract_Edits[[#This Row],[BaseFlag]]&lt;&gt;1,0,
   IF(TEXT(Contract_Edits[[#This Row],[Dep]],"0")=TEXT(Contract_Edits[[#This Row],[Index]],"0"),
      0,
      MAX(0, SUMPRODUCT(--(Contract_Edits[BaseFlag]=1),
                        --(TEXT(Contract_Edits[Dep],"0")=TEXT(Contract_Edits[[#This Row],[Dep]],"0"))) - 1)
   )
)</f>
        <v>0</v>
      </c>
      <c r="AL43" s="511" t="str" cm="1">
        <f t="array" ref="AL43">IF(Contract_Edits[[#This Row],[BaseFlag]]=1,
   TEXT(Contract_Edits[[#This Row],[Index]],"0"),
   NearestBaseL(TEXT(Contract_Edits[[#This Row],[ParentKey]],"0"),500,editsIdxTxt,editsParentKeyTxt,baseIdxTxt,baseCost)
)</f>
        <v>11</v>
      </c>
      <c r="AM43" s="511" cm="1">
        <f t="array" ref="AM43">1+SUMPRODUCT(
  (Contract_Edits[BaseFlag]=1)*
  (TEXT(Contract_Edits[ParentAnchor],"0")=TEXT(Contract_Edits[[#This Row],[ParentAnchor]],"0"))*
  (VALUE(TEXT(Contract_Edits[Index],"0"))&lt;VALUE(TEXT(Contract_Edits[[#This Row],[Index]],"0")))
)</f>
        <v>1</v>
      </c>
      <c r="AN43" s="511"/>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516</v>
      </c>
      <c r="B44" t="s">
        <v>513</v>
      </c>
      <c r="C44" t="s">
        <v>533</v>
      </c>
      <c r="D44" s="444" t="s">
        <v>534</v>
      </c>
      <c r="E44">
        <v>1</v>
      </c>
      <c r="F44" s="453">
        <v>0</v>
      </c>
      <c r="G44" s="188">
        <v>0</v>
      </c>
      <c r="H44">
        <v>11</v>
      </c>
      <c r="I44">
        <v>0</v>
      </c>
      <c r="J44">
        <v>12</v>
      </c>
      <c r="K44" s="104"/>
      <c r="L44" s="449">
        <v>12</v>
      </c>
      <c r="M44" s="449"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76"/>
      <c r="R44" s="516"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4" s="179">
        <v>0</v>
      </c>
      <c r="T44" s="179">
        <v>0</v>
      </c>
      <c r="U44" s="11"/>
      <c r="V44"/>
      <c r="W44" s="22" t="s">
        <v>436</v>
      </c>
      <c r="X44" s="492" t="s">
        <v>436</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11">
        <f>--(
  ISNUMBER(SEARCH("BASE PARENT", UPPER(CLEAN(TRIM(_xlfn.XLOOKUP(TEXT(Contract_Edits[[#This Row],[Index]],"0"), baseIdxTxt, baseCost, "")))))) +
  ISNUMBER(SEARCH("DEPENDENCY GROUP", UPPER(CLEAN(TRIM(_xlfn.XLOOKUP(TEXT(Contract_Edits[[#This Row],[Index]],"0"), baseIdxTxt, baseCost, ""))))))
)</f>
        <v>1</v>
      </c>
      <c r="AG44" s="511" cm="1">
        <f t="array" ref="AG44">IF(Contract_Edits[[#This Row],[BaseFlag]]=1,
   10*BaseDepthL(TEXT(Contract_Edits[[#This Row],[Index]],"0"),500,editsIdxTxt,editsParentKeyTxt,baseIdxTxt,baseCost)-5,
   ""
)</f>
        <v>115</v>
      </c>
      <c r="AH44" s="511"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11" t="str">
        <f>IF(Contract_Edits[[#This Row],[Dep]]=0,"Root",
   IF(ISNUMBER(MATCH(Contract_Edits[[#This Row],[Dep]],Contract_Edits[Index],0)),"OK","Missing")
)</f>
        <v>OK</v>
      </c>
      <c r="AJ44" s="511" t="str">
        <f>IF(AND(Contract_Edits[[#This Row],[Dep]]&lt;&gt;0,
        ISNUMBER(MATCH(Contract_Edits[[#This Row],[Dep]], Contract_Edits[Index], 0)),
        INDEX(Contract_Edits[Dep], MATCH(Contract_Edits[[#This Row],[Dep]], Contract_Edits[Index], 0))=Contract_Edits[[#This Row],[Index]]),
   "2-cycle","")</f>
        <v/>
      </c>
      <c r="AK44" s="511" cm="1">
        <f t="array" ref="AK44">IF(Contract_Edits[[#This Row],[BaseFlag]]&lt;&gt;1,0,
   IF(TEXT(Contract_Edits[[#This Row],[Dep]],"0")=TEXT(Contract_Edits[[#This Row],[Index]],"0"),
      0,
      MAX(0, SUMPRODUCT(--(Contract_Edits[BaseFlag]=1),
                        --(TEXT(Contract_Edits[Dep],"0")=TEXT(Contract_Edits[[#This Row],[Dep]],"0"))) - 1)
   )
)</f>
        <v>0</v>
      </c>
      <c r="AL44" s="511" t="str" cm="1">
        <f t="array" ref="AL44">IF(Contract_Edits[[#This Row],[BaseFlag]]=1,
   TEXT(Contract_Edits[[#This Row],[Index]],"0"),
   NearestBaseL(TEXT(Contract_Edits[[#This Row],[ParentKey]],"0"),500,editsIdxTxt,editsParentKeyTxt,baseIdxTxt,baseCost)
)</f>
        <v>12</v>
      </c>
      <c r="AM44" s="511" cm="1">
        <f t="array" ref="AM44">1+SUMPRODUCT(
  (Contract_Edits[BaseFlag]=1)*
  (TEXT(Contract_Edits[ParentAnchor],"0")=TEXT(Contract_Edits[[#This Row],[ParentAnchor]],"0"))*
  (VALUE(TEXT(Contract_Edits[Index],"0"))&lt;VALUE(TEXT(Contract_Edits[[#This Row],[Index]],"0")))
)</f>
        <v>1</v>
      </c>
      <c r="AN44" s="511"/>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516</v>
      </c>
      <c r="B45" t="s">
        <v>513</v>
      </c>
      <c r="C45" t="s">
        <v>535</v>
      </c>
      <c r="D45" s="444" t="s">
        <v>536</v>
      </c>
      <c r="E45">
        <v>1</v>
      </c>
      <c r="F45" s="453">
        <v>0</v>
      </c>
      <c r="G45" s="188">
        <v>0</v>
      </c>
      <c r="H45">
        <v>12</v>
      </c>
      <c r="I45">
        <v>0</v>
      </c>
      <c r="J45">
        <v>13</v>
      </c>
      <c r="K45" s="104"/>
      <c r="L45" s="449">
        <v>13</v>
      </c>
      <c r="M45" s="449"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76"/>
      <c r="R45" s="516"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5" s="179">
        <v>0</v>
      </c>
      <c r="T45" s="179">
        <v>0</v>
      </c>
      <c r="U45" s="11"/>
      <c r="V45"/>
      <c r="W45" s="22" t="s">
        <v>436</v>
      </c>
      <c r="X45" s="492" t="s">
        <v>436</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11">
        <f>--(
  ISNUMBER(SEARCH("BASE PARENT", UPPER(CLEAN(TRIM(_xlfn.XLOOKUP(TEXT(Contract_Edits[[#This Row],[Index]],"0"), baseIdxTxt, baseCost, "")))))) +
  ISNUMBER(SEARCH("DEPENDENCY GROUP", UPPER(CLEAN(TRIM(_xlfn.XLOOKUP(TEXT(Contract_Edits[[#This Row],[Index]],"0"), baseIdxTxt, baseCost, ""))))))
)</f>
        <v>1</v>
      </c>
      <c r="AG45" s="511" cm="1">
        <f t="array" ref="AG45">IF(Contract_Edits[[#This Row],[BaseFlag]]=1,
   10*BaseDepthL(TEXT(Contract_Edits[[#This Row],[Index]],"0"),500,editsIdxTxt,editsParentKeyTxt,baseIdxTxt,baseCost)-5,
   ""
)</f>
        <v>125</v>
      </c>
      <c r="AH45" s="511"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11" t="str">
        <f>IF(Contract_Edits[[#This Row],[Dep]]=0,"Root",
   IF(ISNUMBER(MATCH(Contract_Edits[[#This Row],[Dep]],Contract_Edits[Index],0)),"OK","Missing")
)</f>
        <v>OK</v>
      </c>
      <c r="AJ45" s="511" t="str">
        <f>IF(AND(Contract_Edits[[#This Row],[Dep]]&lt;&gt;0,
        ISNUMBER(MATCH(Contract_Edits[[#This Row],[Dep]], Contract_Edits[Index], 0)),
        INDEX(Contract_Edits[Dep], MATCH(Contract_Edits[[#This Row],[Dep]], Contract_Edits[Index], 0))=Contract_Edits[[#This Row],[Index]]),
   "2-cycle","")</f>
        <v/>
      </c>
      <c r="AK45" s="511" cm="1">
        <f t="array" ref="AK45">IF(Contract_Edits[[#This Row],[BaseFlag]]&lt;&gt;1,0,
   IF(TEXT(Contract_Edits[[#This Row],[Dep]],"0")=TEXT(Contract_Edits[[#This Row],[Index]],"0"),
      0,
      MAX(0, SUMPRODUCT(--(Contract_Edits[BaseFlag]=1),
                        --(TEXT(Contract_Edits[Dep],"0")=TEXT(Contract_Edits[[#This Row],[Dep]],"0"))) - 1)
   )
)</f>
        <v>0</v>
      </c>
      <c r="AL45" s="511" t="str" cm="1">
        <f t="array" ref="AL45">IF(Contract_Edits[[#This Row],[BaseFlag]]=1,
   TEXT(Contract_Edits[[#This Row],[Index]],"0"),
   NearestBaseL(TEXT(Contract_Edits[[#This Row],[ParentKey]],"0"),500,editsIdxTxt,editsParentKeyTxt,baseIdxTxt,baseCost)
)</f>
        <v>13</v>
      </c>
      <c r="AM45" s="511" cm="1">
        <f t="array" ref="AM45">1+SUMPRODUCT(
  (Contract_Edits[BaseFlag]=1)*
  (TEXT(Contract_Edits[ParentAnchor],"0")=TEXT(Contract_Edits[[#This Row],[ParentAnchor]],"0"))*
  (VALUE(TEXT(Contract_Edits[Index],"0"))&lt;VALUE(TEXT(Contract_Edits[[#This Row],[Index]],"0")))
)</f>
        <v>1</v>
      </c>
      <c r="AN45" s="511"/>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516</v>
      </c>
      <c r="B46" t="s">
        <v>513</v>
      </c>
      <c r="C46" t="s">
        <v>537</v>
      </c>
      <c r="D46" s="444" t="s">
        <v>538</v>
      </c>
      <c r="E46">
        <v>1</v>
      </c>
      <c r="F46" s="453">
        <v>0</v>
      </c>
      <c r="G46" s="188">
        <v>0</v>
      </c>
      <c r="H46">
        <v>13</v>
      </c>
      <c r="I46">
        <v>0</v>
      </c>
      <c r="J46">
        <v>14</v>
      </c>
      <c r="K46" s="104"/>
      <c r="L46" s="449">
        <v>14</v>
      </c>
      <c r="M46" s="449"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88"/>
      <c r="R46" s="516"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6" s="179">
        <v>0</v>
      </c>
      <c r="T46" s="477"/>
      <c r="U46" s="500"/>
      <c r="V46" s="193"/>
      <c r="W46" s="22" t="s">
        <v>436</v>
      </c>
      <c r="X46" s="492" t="s">
        <v>436</v>
      </c>
      <c r="Y46" s="492"/>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11">
        <f>--(
  ISNUMBER(SEARCH("BASE PARENT", UPPER(CLEAN(TRIM(_xlfn.XLOOKUP(TEXT(Contract_Edits[[#This Row],[Index]],"0"), baseIdxTxt, baseCost, "")))))) +
  ISNUMBER(SEARCH("DEPENDENCY GROUP", UPPER(CLEAN(TRIM(_xlfn.XLOOKUP(TEXT(Contract_Edits[[#This Row],[Index]],"0"), baseIdxTxt, baseCost, ""))))))
)</f>
        <v>1</v>
      </c>
      <c r="AG46" s="511" cm="1">
        <f t="array" ref="AG46">IF(Contract_Edits[[#This Row],[BaseFlag]]=1,
   10*BaseDepthL(TEXT(Contract_Edits[[#This Row],[Index]],"0"),500,editsIdxTxt,editsParentKeyTxt,baseIdxTxt,baseCost)-5,
   ""
)</f>
        <v>135</v>
      </c>
      <c r="AH46" s="511"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11" t="str">
        <f>IF(Contract_Edits[[#This Row],[Dep]]=0,"Root",
   IF(ISNUMBER(MATCH(Contract_Edits[[#This Row],[Dep]],Contract_Edits[Index],0)),"OK","Missing")
)</f>
        <v>OK</v>
      </c>
      <c r="AJ46" s="511" t="str">
        <f>IF(AND(Contract_Edits[[#This Row],[Dep]]&lt;&gt;0,
        ISNUMBER(MATCH(Contract_Edits[[#This Row],[Dep]], Contract_Edits[Index], 0)),
        INDEX(Contract_Edits[Dep], MATCH(Contract_Edits[[#This Row],[Dep]], Contract_Edits[Index], 0))=Contract_Edits[[#This Row],[Index]]),
   "2-cycle","")</f>
        <v/>
      </c>
      <c r="AK46" s="511" cm="1">
        <f t="array" ref="AK46">IF(Contract_Edits[[#This Row],[BaseFlag]]&lt;&gt;1,0,
   IF(TEXT(Contract_Edits[[#This Row],[Dep]],"0")=TEXT(Contract_Edits[[#This Row],[Index]],"0"),
      0,
      MAX(0, SUMPRODUCT(--(Contract_Edits[BaseFlag]=1),
                        --(TEXT(Contract_Edits[Dep],"0")=TEXT(Contract_Edits[[#This Row],[Dep]],"0"))) - 1)
   )
)</f>
        <v>0</v>
      </c>
      <c r="AL46" s="511" t="str" cm="1">
        <f t="array" ref="AL46">IF(Contract_Edits[[#This Row],[BaseFlag]]=1,
   TEXT(Contract_Edits[[#This Row],[Index]],"0"),
   NearestBaseL(TEXT(Contract_Edits[[#This Row],[ParentKey]],"0"),500,editsIdxTxt,editsParentKeyTxt,baseIdxTxt,baseCost)
)</f>
        <v>14</v>
      </c>
      <c r="AM46" s="511" cm="1">
        <f t="array" ref="AM46">1+SUMPRODUCT(
  (Contract_Edits[BaseFlag]=1)*
  (TEXT(Contract_Edits[ParentAnchor],"0")=TEXT(Contract_Edits[[#This Row],[ParentAnchor]],"0"))*
  (VALUE(TEXT(Contract_Edits[Index],"0"))&lt;VALUE(TEXT(Contract_Edits[[#This Row],[Index]],"0")))
)</f>
        <v>1</v>
      </c>
      <c r="AN46" s="511"/>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559</v>
      </c>
      <c r="B47" t="s">
        <v>537</v>
      </c>
      <c r="C47" t="s">
        <v>601</v>
      </c>
      <c r="D47" s="444" t="s">
        <v>1247</v>
      </c>
      <c r="E47">
        <v>2</v>
      </c>
      <c r="F47" s="453">
        <v>62.5</v>
      </c>
      <c r="G47" s="188">
        <v>125</v>
      </c>
      <c r="H47">
        <v>0</v>
      </c>
      <c r="I47">
        <v>125</v>
      </c>
      <c r="J47">
        <v>80</v>
      </c>
      <c r="K47" s="104"/>
      <c r="L47" s="449">
        <v>80</v>
      </c>
      <c r="M47" s="449"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76"/>
      <c r="R47" s="516"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7" s="179">
        <v>0</v>
      </c>
      <c r="T47" s="179">
        <v>0</v>
      </c>
      <c r="U47" s="11" t="s">
        <v>686</v>
      </c>
      <c r="V47"/>
      <c r="W47" s="22" t="s">
        <v>436</v>
      </c>
      <c r="X47" s="22" t="s">
        <v>436</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11">
        <f>--(
  ISNUMBER(SEARCH("BASE PARENT", UPPER(CLEAN(TRIM(_xlfn.XLOOKUP(TEXT(Contract_Edits[[#This Row],[Index]],"0"), baseIdxTxt, baseCost, "")))))) +
  ISNUMBER(SEARCH("DEPENDENCY GROUP", UPPER(CLEAN(TRIM(_xlfn.XLOOKUP(TEXT(Contract_Edits[[#This Row],[Index]],"0"), baseIdxTxt, baseCost, ""))))))
)</f>
        <v>0</v>
      </c>
      <c r="AG47" s="511" t="str" cm="1">
        <f t="array" ref="AG47">IF(Contract_Edits[[#This Row],[BaseFlag]]=1,
   10*BaseDepthL(TEXT(Contract_Edits[[#This Row],[Index]],"0"),500,editsIdxTxt,editsParentKeyTxt,baseIdxTxt,baseCost)-5,
   ""
)</f>
        <v/>
      </c>
      <c r="AH47" s="511"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11" t="str">
        <f>IF(Contract_Edits[[#This Row],[Dep]]=0,"Root",
   IF(ISNUMBER(MATCH(Contract_Edits[[#This Row],[Dep]],Contract_Edits[Index],0)),"OK","Missing")
)</f>
        <v>OK</v>
      </c>
      <c r="AJ47" s="511" t="str">
        <f>IF(AND(Contract_Edits[[#This Row],[Dep]]&lt;&gt;0,
        ISNUMBER(MATCH(Contract_Edits[[#This Row],[Dep]], Contract_Edits[Index], 0)),
        INDEX(Contract_Edits[Dep], MATCH(Contract_Edits[[#This Row],[Dep]], Contract_Edits[Index], 0))=Contract_Edits[[#This Row],[Index]]),
   "2-cycle","")</f>
        <v/>
      </c>
      <c r="AK47" s="511" cm="1">
        <f t="array" ref="AK47">IF(Contract_Edits[[#This Row],[BaseFlag]]&lt;&gt;1,0,
   IF(TEXT(Contract_Edits[[#This Row],[Dep]],"0")=TEXT(Contract_Edits[[#This Row],[Index]],"0"),
      0,
      MAX(0, SUMPRODUCT(--(Contract_Edits[BaseFlag]=1),
                        --(TEXT(Contract_Edits[Dep],"0")=TEXT(Contract_Edits[[#This Row],[Dep]],"0"))) - 1)
   )
)</f>
        <v>0</v>
      </c>
      <c r="AL47" s="511" t="str" cm="1">
        <f t="array" ref="AL47">IF(Contract_Edits[[#This Row],[BaseFlag]]=1,
   TEXT(Contract_Edits[[#This Row],[Index]],"0"),
   NearestBaseL(TEXT(Contract_Edits[[#This Row],[ParentKey]],"0"),500,editsIdxTxt,editsParentKeyTxt,baseIdxTxt,baseCost)
)</f>
        <v>14</v>
      </c>
      <c r="AM47" s="511" cm="1">
        <f t="array" ref="AM47">1+SUMPRODUCT(
  (Contract_Edits[BaseFlag]=1)*
  (TEXT(Contract_Edits[ParentAnchor],"0")=TEXT(Contract_Edits[[#This Row],[ParentAnchor]],"0"))*
  (VALUE(TEXT(Contract_Edits[Index],"0"))&lt;VALUE(TEXT(Contract_Edits[[#This Row],[Index]],"0")))
)</f>
        <v>2</v>
      </c>
      <c r="AN47" s="511"/>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629</v>
      </c>
      <c r="B48" t="s">
        <v>624</v>
      </c>
      <c r="C48" t="s">
        <v>661</v>
      </c>
      <c r="D48" s="444" t="s">
        <v>662</v>
      </c>
      <c r="E48">
        <v>1</v>
      </c>
      <c r="F48" s="453">
        <v>6726.5870099999993</v>
      </c>
      <c r="G48" s="188">
        <v>6726.5870099999993</v>
      </c>
      <c r="H48">
        <v>14</v>
      </c>
      <c r="I48">
        <v>6726.5870099999993</v>
      </c>
      <c r="J48">
        <v>904</v>
      </c>
      <c r="K48" s="104"/>
      <c r="L48" s="449">
        <v>904</v>
      </c>
      <c r="M48" s="449"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88"/>
      <c r="R48" s="516"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8" s="179">
        <v>0</v>
      </c>
      <c r="T48" s="477"/>
      <c r="U48" s="500" t="s">
        <v>686</v>
      </c>
      <c r="V48" s="193"/>
      <c r="W48" s="22" t="s">
        <v>436</v>
      </c>
      <c r="X48" s="492" t="s">
        <v>436</v>
      </c>
      <c r="Y48" s="492"/>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11">
        <f>--(
  ISNUMBER(SEARCH("BASE PARENT", UPPER(CLEAN(TRIM(_xlfn.XLOOKUP(TEXT(Contract_Edits[[#This Row],[Index]],"0"), baseIdxTxt, baseCost, "")))))) +
  ISNUMBER(SEARCH("DEPENDENCY GROUP", UPPER(CLEAN(TRIM(_xlfn.XLOOKUP(TEXT(Contract_Edits[[#This Row],[Index]],"0"), baseIdxTxt, baseCost, ""))))))
)</f>
        <v>0</v>
      </c>
      <c r="AG48" s="511" t="str" cm="1">
        <f t="array" ref="AG48">IF(Contract_Edits[[#This Row],[BaseFlag]]=1,
   10*BaseDepthL(TEXT(Contract_Edits[[#This Row],[Index]],"0"),500,editsIdxTxt,editsParentKeyTxt,baseIdxTxt,baseCost)-5,
   ""
)</f>
        <v/>
      </c>
      <c r="AH48" s="511"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11" t="str">
        <f>IF(Contract_Edits[[#This Row],[Dep]]=0,"Root",
   IF(ISNUMBER(MATCH(Contract_Edits[[#This Row],[Dep]],Contract_Edits[Index],0)),"OK","Missing")
)</f>
        <v>OK</v>
      </c>
      <c r="AJ48" s="511" t="str">
        <f>IF(AND(Contract_Edits[[#This Row],[Dep]]&lt;&gt;0,
        ISNUMBER(MATCH(Contract_Edits[[#This Row],[Dep]], Contract_Edits[Index], 0)),
        INDEX(Contract_Edits[Dep], MATCH(Contract_Edits[[#This Row],[Dep]], Contract_Edits[Index], 0))=Contract_Edits[[#This Row],[Index]]),
   "2-cycle","")</f>
        <v/>
      </c>
      <c r="AK48" s="511" cm="1">
        <f t="array" ref="AK48">IF(Contract_Edits[[#This Row],[BaseFlag]]&lt;&gt;1,0,
   IF(TEXT(Contract_Edits[[#This Row],[Dep]],"0")=TEXT(Contract_Edits[[#This Row],[Index]],"0"),
      0,
      MAX(0, SUMPRODUCT(--(Contract_Edits[BaseFlag]=1),
                        --(TEXT(Contract_Edits[Dep],"0")=TEXT(Contract_Edits[[#This Row],[Dep]],"0"))) - 1)
   )
)</f>
        <v>0</v>
      </c>
      <c r="AL48" s="511" t="str" cm="1">
        <f t="array" ref="AL48">IF(Contract_Edits[[#This Row],[BaseFlag]]=1,
   TEXT(Contract_Edits[[#This Row],[Index]],"0"),
   NearestBaseL(TEXT(Contract_Edits[[#This Row],[ParentKey]],"0"),500,editsIdxTxt,editsParentKeyTxt,baseIdxTxt,baseCost)
)</f>
        <v>14</v>
      </c>
      <c r="AM48" s="511" cm="1">
        <f t="array" ref="AM48">1+SUMPRODUCT(
  (Contract_Edits[BaseFlag]=1)*
  (TEXT(Contract_Edits[ParentAnchor],"0")=TEXT(Contract_Edits[[#This Row],[ParentAnchor]],"0"))*
  (VALUE(TEXT(Contract_Edits[Index],"0"))&lt;VALUE(TEXT(Contract_Edits[[#This Row],[Index]],"0")))
)</f>
        <v>2</v>
      </c>
      <c r="AN48" s="511"/>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559</v>
      </c>
      <c r="B49" t="s">
        <v>537</v>
      </c>
      <c r="C49" t="s">
        <v>537</v>
      </c>
      <c r="D49" s="444" t="s">
        <v>562</v>
      </c>
      <c r="E49">
        <v>1</v>
      </c>
      <c r="F49" s="453"/>
      <c r="G49" s="188"/>
      <c r="H49">
        <v>0</v>
      </c>
      <c r="I49"/>
      <c r="J49">
        <v>34</v>
      </c>
      <c r="K49" s="104"/>
      <c r="L49" s="449">
        <v>34</v>
      </c>
      <c r="M49" s="449"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76"/>
      <c r="R49" s="516"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49" s="179">
        <v>0</v>
      </c>
      <c r="T49" s="179">
        <v>0</v>
      </c>
      <c r="U49" s="11" t="s">
        <v>686</v>
      </c>
      <c r="V49"/>
      <c r="W49" s="22" t="s">
        <v>436</v>
      </c>
      <c r="X49" s="22" t="s">
        <v>436</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11">
        <f>--(
  ISNUMBER(SEARCH("BASE PARENT", UPPER(CLEAN(TRIM(_xlfn.XLOOKUP(TEXT(Contract_Edits[[#This Row],[Index]],"0"), baseIdxTxt, baseCost, "")))))) +
  ISNUMBER(SEARCH("DEPENDENCY GROUP", UPPER(CLEAN(TRIM(_xlfn.XLOOKUP(TEXT(Contract_Edits[[#This Row],[Index]],"0"), baseIdxTxt, baseCost, ""))))))
)</f>
        <v>0</v>
      </c>
      <c r="AG49" s="511" t="str" cm="1">
        <f t="array" ref="AG49">IF(Contract_Edits[[#This Row],[BaseFlag]]=1,
   10*BaseDepthL(TEXT(Contract_Edits[[#This Row],[Index]],"0"),500,editsIdxTxt,editsParentKeyTxt,baseIdxTxt,baseCost)-5,
   ""
)</f>
        <v/>
      </c>
      <c r="AH49" s="511"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11" t="str">
        <f>IF(Contract_Edits[[#This Row],[Dep]]=0,"Root",
   IF(ISNUMBER(MATCH(Contract_Edits[[#This Row],[Dep]],Contract_Edits[Index],0)),"OK","Missing")
)</f>
        <v>OK</v>
      </c>
      <c r="AJ49" s="511" t="str">
        <f>IF(AND(Contract_Edits[[#This Row],[Dep]]&lt;&gt;0,
        ISNUMBER(MATCH(Contract_Edits[[#This Row],[Dep]], Contract_Edits[Index], 0)),
        INDEX(Contract_Edits[Dep], MATCH(Contract_Edits[[#This Row],[Dep]], Contract_Edits[Index], 0))=Contract_Edits[[#This Row],[Index]]),
   "2-cycle","")</f>
        <v/>
      </c>
      <c r="AK49" s="511" cm="1">
        <f t="array" ref="AK49">IF(Contract_Edits[[#This Row],[BaseFlag]]&lt;&gt;1,0,
   IF(TEXT(Contract_Edits[[#This Row],[Dep]],"0")=TEXT(Contract_Edits[[#This Row],[Index]],"0"),
      0,
      MAX(0, SUMPRODUCT(--(Contract_Edits[BaseFlag]=1),
                        --(TEXT(Contract_Edits[Dep],"0")=TEXT(Contract_Edits[[#This Row],[Dep]],"0"))) - 1)
   )
)</f>
        <v>0</v>
      </c>
      <c r="AL49" s="511" t="str" cm="1">
        <f t="array" ref="AL49">IF(Contract_Edits[[#This Row],[BaseFlag]]=1,
   TEXT(Contract_Edits[[#This Row],[Index]],"0"),
   NearestBaseL(TEXT(Contract_Edits[[#This Row],[ParentKey]],"0"),500,editsIdxTxt,editsParentKeyTxt,baseIdxTxt,baseCost)
)</f>
        <v>14</v>
      </c>
      <c r="AM49" s="511" cm="1">
        <f t="array" ref="AM49">1+SUMPRODUCT(
  (Contract_Edits[BaseFlag]=1)*
  (TEXT(Contract_Edits[ParentAnchor],"0")=TEXT(Contract_Edits[[#This Row],[ParentAnchor]],"0"))*
  (VALUE(TEXT(Contract_Edits[Index],"0"))&lt;VALUE(TEXT(Contract_Edits[[#This Row],[Index]],"0")))
)</f>
        <v>2</v>
      </c>
      <c r="AN49" s="511"/>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559</v>
      </c>
      <c r="B50" t="s">
        <v>537</v>
      </c>
      <c r="C50" t="s">
        <v>537</v>
      </c>
      <c r="D50" s="444" t="s">
        <v>560</v>
      </c>
      <c r="E50">
        <v>1</v>
      </c>
      <c r="F50" s="453"/>
      <c r="G50" s="188"/>
      <c r="H50">
        <v>0</v>
      </c>
      <c r="I50"/>
      <c r="J50">
        <v>32</v>
      </c>
      <c r="K50" s="104"/>
      <c r="L50" s="449">
        <v>32</v>
      </c>
      <c r="M50" s="449"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76"/>
      <c r="R50" s="516"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0" s="179">
        <v>0</v>
      </c>
      <c r="T50" s="179">
        <v>0</v>
      </c>
      <c r="U50" s="11" t="s">
        <v>686</v>
      </c>
      <c r="V50"/>
      <c r="W50" s="22" t="s">
        <v>436</v>
      </c>
      <c r="X50" s="22" t="s">
        <v>436</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11">
        <f>--(
  ISNUMBER(SEARCH("BASE PARENT", UPPER(CLEAN(TRIM(_xlfn.XLOOKUP(TEXT(Contract_Edits[[#This Row],[Index]],"0"), baseIdxTxt, baseCost, "")))))) +
  ISNUMBER(SEARCH("DEPENDENCY GROUP", UPPER(CLEAN(TRIM(_xlfn.XLOOKUP(TEXT(Contract_Edits[[#This Row],[Index]],"0"), baseIdxTxt, baseCost, ""))))))
)</f>
        <v>0</v>
      </c>
      <c r="AG50" s="511" t="str" cm="1">
        <f t="array" ref="AG50">IF(Contract_Edits[[#This Row],[BaseFlag]]=1,
   10*BaseDepthL(TEXT(Contract_Edits[[#This Row],[Index]],"0"),500,editsIdxTxt,editsParentKeyTxt,baseIdxTxt,baseCost)-5,
   ""
)</f>
        <v/>
      </c>
      <c r="AH50" s="511"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11" t="str">
        <f>IF(Contract_Edits[[#This Row],[Dep]]=0,"Root",
   IF(ISNUMBER(MATCH(Contract_Edits[[#This Row],[Dep]],Contract_Edits[Index],0)),"OK","Missing")
)</f>
        <v>OK</v>
      </c>
      <c r="AJ50" s="511" t="str">
        <f>IF(AND(Contract_Edits[[#This Row],[Dep]]&lt;&gt;0,
        ISNUMBER(MATCH(Contract_Edits[[#This Row],[Dep]], Contract_Edits[Index], 0)),
        INDEX(Contract_Edits[Dep], MATCH(Contract_Edits[[#This Row],[Dep]], Contract_Edits[Index], 0))=Contract_Edits[[#This Row],[Index]]),
   "2-cycle","")</f>
        <v/>
      </c>
      <c r="AK50" s="511" cm="1">
        <f t="array" ref="AK50">IF(Contract_Edits[[#This Row],[BaseFlag]]&lt;&gt;1,0,
   IF(TEXT(Contract_Edits[[#This Row],[Dep]],"0")=TEXT(Contract_Edits[[#This Row],[Index]],"0"),
      0,
      MAX(0, SUMPRODUCT(--(Contract_Edits[BaseFlag]=1),
                        --(TEXT(Contract_Edits[Dep],"0")=TEXT(Contract_Edits[[#This Row],[Dep]],"0"))) - 1)
   )
)</f>
        <v>0</v>
      </c>
      <c r="AL50" s="511" t="str" cm="1">
        <f t="array" ref="AL50">IF(Contract_Edits[[#This Row],[BaseFlag]]=1,
   TEXT(Contract_Edits[[#This Row],[Index]],"0"),
   NearestBaseL(TEXT(Contract_Edits[[#This Row],[ParentKey]],"0"),500,editsIdxTxt,editsParentKeyTxt,baseIdxTxt,baseCost)
)</f>
        <v>14</v>
      </c>
      <c r="AM50" s="511" cm="1">
        <f t="array" ref="AM50">1+SUMPRODUCT(
  (Contract_Edits[BaseFlag]=1)*
  (TEXT(Contract_Edits[ParentAnchor],"0")=TEXT(Contract_Edits[[#This Row],[ParentAnchor]],"0"))*
  (VALUE(TEXT(Contract_Edits[Index],"0"))&lt;VALUE(TEXT(Contract_Edits[[#This Row],[Index]],"0")))
)</f>
        <v>2</v>
      </c>
      <c r="AN50" s="511"/>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559</v>
      </c>
      <c r="B51" t="s">
        <v>537</v>
      </c>
      <c r="C51" t="s">
        <v>537</v>
      </c>
      <c r="D51" s="444" t="s">
        <v>561</v>
      </c>
      <c r="E51">
        <v>1</v>
      </c>
      <c r="F51" s="453"/>
      <c r="G51" s="188"/>
      <c r="H51">
        <v>0</v>
      </c>
      <c r="I51"/>
      <c r="J51">
        <v>33</v>
      </c>
      <c r="K51" s="104"/>
      <c r="L51" s="449">
        <v>33</v>
      </c>
      <c r="M51" s="449"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76"/>
      <c r="R51" s="516"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1" s="179">
        <v>0</v>
      </c>
      <c r="T51" s="179">
        <v>0</v>
      </c>
      <c r="U51" s="11" t="s">
        <v>686</v>
      </c>
      <c r="V51"/>
      <c r="W51" s="22" t="s">
        <v>436</v>
      </c>
      <c r="X51" s="22" t="s">
        <v>436</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11">
        <f>--(
  ISNUMBER(SEARCH("BASE PARENT", UPPER(CLEAN(TRIM(_xlfn.XLOOKUP(TEXT(Contract_Edits[[#This Row],[Index]],"0"), baseIdxTxt, baseCost, "")))))) +
  ISNUMBER(SEARCH("DEPENDENCY GROUP", UPPER(CLEAN(TRIM(_xlfn.XLOOKUP(TEXT(Contract_Edits[[#This Row],[Index]],"0"), baseIdxTxt, baseCost, ""))))))
)</f>
        <v>0</v>
      </c>
      <c r="AG51" s="511" t="str" cm="1">
        <f t="array" ref="AG51">IF(Contract_Edits[[#This Row],[BaseFlag]]=1,
   10*BaseDepthL(TEXT(Contract_Edits[[#This Row],[Index]],"0"),500,editsIdxTxt,editsParentKeyTxt,baseIdxTxt,baseCost)-5,
   ""
)</f>
        <v/>
      </c>
      <c r="AH51" s="511"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11" t="str">
        <f>IF(Contract_Edits[[#This Row],[Dep]]=0,"Root",
   IF(ISNUMBER(MATCH(Contract_Edits[[#This Row],[Dep]],Contract_Edits[Index],0)),"OK","Missing")
)</f>
        <v>OK</v>
      </c>
      <c r="AJ51" s="511" t="str">
        <f>IF(AND(Contract_Edits[[#This Row],[Dep]]&lt;&gt;0,
        ISNUMBER(MATCH(Contract_Edits[[#This Row],[Dep]], Contract_Edits[Index], 0)),
        INDEX(Contract_Edits[Dep], MATCH(Contract_Edits[[#This Row],[Dep]], Contract_Edits[Index], 0))=Contract_Edits[[#This Row],[Index]]),
   "2-cycle","")</f>
        <v/>
      </c>
      <c r="AK51" s="511" cm="1">
        <f t="array" ref="AK51">IF(Contract_Edits[[#This Row],[BaseFlag]]&lt;&gt;1,0,
   IF(TEXT(Contract_Edits[[#This Row],[Dep]],"0")=TEXT(Contract_Edits[[#This Row],[Index]],"0"),
      0,
      MAX(0, SUMPRODUCT(--(Contract_Edits[BaseFlag]=1),
                        --(TEXT(Contract_Edits[Dep],"0")=TEXT(Contract_Edits[[#This Row],[Dep]],"0"))) - 1)
   )
)</f>
        <v>0</v>
      </c>
      <c r="AL51" s="511" t="str" cm="1">
        <f t="array" ref="AL51">IF(Contract_Edits[[#This Row],[BaseFlag]]=1,
   TEXT(Contract_Edits[[#This Row],[Index]],"0"),
   NearestBaseL(TEXT(Contract_Edits[[#This Row],[ParentKey]],"0"),500,editsIdxTxt,editsParentKeyTxt,baseIdxTxt,baseCost)
)</f>
        <v>14</v>
      </c>
      <c r="AM51" s="511" cm="1">
        <f t="array" ref="AM51">1+SUMPRODUCT(
  (Contract_Edits[BaseFlag]=1)*
  (TEXT(Contract_Edits[ParentAnchor],"0")=TEXT(Contract_Edits[[#This Row],[ParentAnchor]],"0"))*
  (VALUE(TEXT(Contract_Edits[Index],"0"))&lt;VALUE(TEXT(Contract_Edits[[#This Row],[Index]],"0")))
)</f>
        <v>2</v>
      </c>
      <c r="AN51" s="511"/>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559</v>
      </c>
      <c r="B52" t="s">
        <v>537</v>
      </c>
      <c r="C52" t="s">
        <v>537</v>
      </c>
      <c r="D52" s="444" t="s">
        <v>587</v>
      </c>
      <c r="E52">
        <v>2</v>
      </c>
      <c r="F52" s="453"/>
      <c r="G52" s="188"/>
      <c r="H52">
        <v>0</v>
      </c>
      <c r="I52"/>
      <c r="J52">
        <v>61</v>
      </c>
      <c r="K52" s="104"/>
      <c r="L52" s="449">
        <v>61</v>
      </c>
      <c r="M52" s="449"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76"/>
      <c r="R52" s="516"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2" s="179">
        <v>0</v>
      </c>
      <c r="T52" s="179">
        <v>0</v>
      </c>
      <c r="U52" s="11" t="s">
        <v>686</v>
      </c>
      <c r="V52"/>
      <c r="W52" s="22" t="s">
        <v>436</v>
      </c>
      <c r="X52" s="22" t="s">
        <v>436</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11">
        <f>--(
  ISNUMBER(SEARCH("BASE PARENT", UPPER(CLEAN(TRIM(_xlfn.XLOOKUP(TEXT(Contract_Edits[[#This Row],[Index]],"0"), baseIdxTxt, baseCost, "")))))) +
  ISNUMBER(SEARCH("DEPENDENCY GROUP", UPPER(CLEAN(TRIM(_xlfn.XLOOKUP(TEXT(Contract_Edits[[#This Row],[Index]],"0"), baseIdxTxt, baseCost, ""))))))
)</f>
        <v>0</v>
      </c>
      <c r="AG52" s="511" t="str" cm="1">
        <f t="array" ref="AG52">IF(Contract_Edits[[#This Row],[BaseFlag]]=1,
   10*BaseDepthL(TEXT(Contract_Edits[[#This Row],[Index]],"0"),500,editsIdxTxt,editsParentKeyTxt,baseIdxTxt,baseCost)-5,
   ""
)</f>
        <v/>
      </c>
      <c r="AH52" s="511"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11" t="str">
        <f>IF(Contract_Edits[[#This Row],[Dep]]=0,"Root",
   IF(ISNUMBER(MATCH(Contract_Edits[[#This Row],[Dep]],Contract_Edits[Index],0)),"OK","Missing")
)</f>
        <v>OK</v>
      </c>
      <c r="AJ52" s="511" t="str">
        <f>IF(AND(Contract_Edits[[#This Row],[Dep]]&lt;&gt;0,
        ISNUMBER(MATCH(Contract_Edits[[#This Row],[Dep]], Contract_Edits[Index], 0)),
        INDEX(Contract_Edits[Dep], MATCH(Contract_Edits[[#This Row],[Dep]], Contract_Edits[Index], 0))=Contract_Edits[[#This Row],[Index]]),
   "2-cycle","")</f>
        <v/>
      </c>
      <c r="AK52" s="511" cm="1">
        <f t="array" ref="AK52">IF(Contract_Edits[[#This Row],[BaseFlag]]&lt;&gt;1,0,
   IF(TEXT(Contract_Edits[[#This Row],[Dep]],"0")=TEXT(Contract_Edits[[#This Row],[Index]],"0"),
      0,
      MAX(0, SUMPRODUCT(--(Contract_Edits[BaseFlag]=1),
                        --(TEXT(Contract_Edits[Dep],"0")=TEXT(Contract_Edits[[#This Row],[Dep]],"0"))) - 1)
   )
)</f>
        <v>0</v>
      </c>
      <c r="AL52" s="511" t="str" cm="1">
        <f t="array" ref="AL52">IF(Contract_Edits[[#This Row],[BaseFlag]]=1,
   TEXT(Contract_Edits[[#This Row],[Index]],"0"),
   NearestBaseL(TEXT(Contract_Edits[[#This Row],[ParentKey]],"0"),500,editsIdxTxt,editsParentKeyTxt,baseIdxTxt,baseCost)
)</f>
        <v>14</v>
      </c>
      <c r="AM52" s="511" cm="1">
        <f t="array" ref="AM52">1+SUMPRODUCT(
  (Contract_Edits[BaseFlag]=1)*
  (TEXT(Contract_Edits[ParentAnchor],"0")=TEXT(Contract_Edits[[#This Row],[ParentAnchor]],"0"))*
  (VALUE(TEXT(Contract_Edits[Index],"0"))&lt;VALUE(TEXT(Contract_Edits[[#This Row],[Index]],"0")))
)</f>
        <v>2</v>
      </c>
      <c r="AN52" s="511"/>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559</v>
      </c>
      <c r="B53" t="s">
        <v>537</v>
      </c>
      <c r="C53" t="s">
        <v>594</v>
      </c>
      <c r="D53" s="444" t="s">
        <v>603</v>
      </c>
      <c r="E53">
        <v>1</v>
      </c>
      <c r="F53" s="453"/>
      <c r="G53" s="188"/>
      <c r="H53">
        <v>0</v>
      </c>
      <c r="I53"/>
      <c r="J53">
        <v>79</v>
      </c>
      <c r="K53" s="104"/>
      <c r="L53" s="449">
        <v>79</v>
      </c>
      <c r="M53" s="449"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76"/>
      <c r="R53" s="516"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3" s="179">
        <v>0</v>
      </c>
      <c r="T53" s="179">
        <v>0</v>
      </c>
      <c r="U53" s="11" t="s">
        <v>686</v>
      </c>
      <c r="V53"/>
      <c r="W53" s="22" t="s">
        <v>436</v>
      </c>
      <c r="X53" s="22" t="s">
        <v>436</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11">
        <f>--(
  ISNUMBER(SEARCH("BASE PARENT", UPPER(CLEAN(TRIM(_xlfn.XLOOKUP(TEXT(Contract_Edits[[#This Row],[Index]],"0"), baseIdxTxt, baseCost, "")))))) +
  ISNUMBER(SEARCH("DEPENDENCY GROUP", UPPER(CLEAN(TRIM(_xlfn.XLOOKUP(TEXT(Contract_Edits[[#This Row],[Index]],"0"), baseIdxTxt, baseCost, ""))))))
)</f>
        <v>0</v>
      </c>
      <c r="AG53" s="511" t="str" cm="1">
        <f t="array" ref="AG53">IF(Contract_Edits[[#This Row],[BaseFlag]]=1,
   10*BaseDepthL(TEXT(Contract_Edits[[#This Row],[Index]],"0"),500,editsIdxTxt,editsParentKeyTxt,baseIdxTxt,baseCost)-5,
   ""
)</f>
        <v/>
      </c>
      <c r="AH53" s="511"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11" t="str">
        <f>IF(Contract_Edits[[#This Row],[Dep]]=0,"Root",
   IF(ISNUMBER(MATCH(Contract_Edits[[#This Row],[Dep]],Contract_Edits[Index],0)),"OK","Missing")
)</f>
        <v>OK</v>
      </c>
      <c r="AJ53" s="511" t="str">
        <f>IF(AND(Contract_Edits[[#This Row],[Dep]]&lt;&gt;0,
        ISNUMBER(MATCH(Contract_Edits[[#This Row],[Dep]], Contract_Edits[Index], 0)),
        INDEX(Contract_Edits[Dep], MATCH(Contract_Edits[[#This Row],[Dep]], Contract_Edits[Index], 0))=Contract_Edits[[#This Row],[Index]]),
   "2-cycle","")</f>
        <v/>
      </c>
      <c r="AK53" s="511" cm="1">
        <f t="array" ref="AK53">IF(Contract_Edits[[#This Row],[BaseFlag]]&lt;&gt;1,0,
   IF(TEXT(Contract_Edits[[#This Row],[Dep]],"0")=TEXT(Contract_Edits[[#This Row],[Index]],"0"),
      0,
      MAX(0, SUMPRODUCT(--(Contract_Edits[BaseFlag]=1),
                        --(TEXT(Contract_Edits[Dep],"0")=TEXT(Contract_Edits[[#This Row],[Dep]],"0"))) - 1)
   )
)</f>
        <v>0</v>
      </c>
      <c r="AL53" s="511" t="str" cm="1">
        <f t="array" ref="AL53">IF(Contract_Edits[[#This Row],[BaseFlag]]=1,
   TEXT(Contract_Edits[[#This Row],[Index]],"0"),
   NearestBaseL(TEXT(Contract_Edits[[#This Row],[ParentKey]],"0"),500,editsIdxTxt,editsParentKeyTxt,baseIdxTxt,baseCost)
)</f>
        <v>14</v>
      </c>
      <c r="AM53" s="511" cm="1">
        <f t="array" ref="AM53">1+SUMPRODUCT(
  (Contract_Edits[BaseFlag]=1)*
  (TEXT(Contract_Edits[ParentAnchor],"0")=TEXT(Contract_Edits[[#This Row],[ParentAnchor]],"0"))*
  (VALUE(TEXT(Contract_Edits[Index],"0"))&lt;VALUE(TEXT(Contract_Edits[[#This Row],[Index]],"0")))
)</f>
        <v>2</v>
      </c>
      <c r="AN53" s="511"/>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559</v>
      </c>
      <c r="B54" t="s">
        <v>580</v>
      </c>
      <c r="C54" t="s">
        <v>583</v>
      </c>
      <c r="D54" s="444" t="s">
        <v>1252</v>
      </c>
      <c r="E54">
        <v>16</v>
      </c>
      <c r="F54" s="453">
        <v>62.5</v>
      </c>
      <c r="G54" s="188">
        <v>1000</v>
      </c>
      <c r="H54">
        <v>0</v>
      </c>
      <c r="I54">
        <v>1000</v>
      </c>
      <c r="J54">
        <v>81</v>
      </c>
      <c r="K54" s="104"/>
      <c r="L54" s="449">
        <v>81</v>
      </c>
      <c r="M54" s="449"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76"/>
      <c r="R54" s="516"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4" s="179">
        <v>0</v>
      </c>
      <c r="T54" s="179">
        <v>0</v>
      </c>
      <c r="U54" s="11"/>
      <c r="V54"/>
      <c r="W54" s="22" t="s">
        <v>436</v>
      </c>
      <c r="X54" s="22" t="s">
        <v>436</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11">
        <f>--(
  ISNUMBER(SEARCH("BASE PARENT", UPPER(CLEAN(TRIM(_xlfn.XLOOKUP(TEXT(Contract_Edits[[#This Row],[Index]],"0"), baseIdxTxt, baseCost, "")))))) +
  ISNUMBER(SEARCH("DEPENDENCY GROUP", UPPER(CLEAN(TRIM(_xlfn.XLOOKUP(TEXT(Contract_Edits[[#This Row],[Index]],"0"), baseIdxTxt, baseCost, ""))))))
)</f>
        <v>0</v>
      </c>
      <c r="AG54" s="511" t="str" cm="1">
        <f t="array" ref="AG54">IF(Contract_Edits[[#This Row],[BaseFlag]]=1,
   10*BaseDepthL(TEXT(Contract_Edits[[#This Row],[Index]],"0"),500,editsIdxTxt,editsParentKeyTxt,baseIdxTxt,baseCost)-5,
   ""
)</f>
        <v/>
      </c>
      <c r="AH54" s="511"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11" t="str">
        <f>IF(Contract_Edits[[#This Row],[Dep]]=0,"Root",
   IF(ISNUMBER(MATCH(Contract_Edits[[#This Row],[Dep]],Contract_Edits[Index],0)),"OK","Missing")
)</f>
        <v>OK</v>
      </c>
      <c r="AJ54" s="511" t="str">
        <f>IF(AND(Contract_Edits[[#This Row],[Dep]]&lt;&gt;0,
        ISNUMBER(MATCH(Contract_Edits[[#This Row],[Dep]], Contract_Edits[Index], 0)),
        INDEX(Contract_Edits[Dep], MATCH(Contract_Edits[[#This Row],[Dep]], Contract_Edits[Index], 0))=Contract_Edits[[#This Row],[Index]]),
   "2-cycle","")</f>
        <v/>
      </c>
      <c r="AK54" s="511" cm="1">
        <f t="array" ref="AK54">IF(Contract_Edits[[#This Row],[BaseFlag]]&lt;&gt;1,0,
   IF(TEXT(Contract_Edits[[#This Row],[Dep]],"0")=TEXT(Contract_Edits[[#This Row],[Index]],"0"),
      0,
      MAX(0, SUMPRODUCT(--(Contract_Edits[BaseFlag]=1),
                        --(TEXT(Contract_Edits[Dep],"0")=TEXT(Contract_Edits[[#This Row],[Dep]],"0"))) - 1)
   )
)</f>
        <v>0</v>
      </c>
      <c r="AL54" s="511" t="str" cm="1">
        <f t="array" ref="AL54">IF(Contract_Edits[[#This Row],[BaseFlag]]=1,
   TEXT(Contract_Edits[[#This Row],[Index]],"0"),
   NearestBaseL(TEXT(Contract_Edits[[#This Row],[ParentKey]],"0"),500,editsIdxTxt,editsParentKeyTxt,baseIdxTxt,baseCost)
)</f>
        <v>14</v>
      </c>
      <c r="AM54" s="511" cm="1">
        <f t="array" ref="AM54">1+SUMPRODUCT(
  (Contract_Edits[BaseFlag]=1)*
  (TEXT(Contract_Edits[ParentAnchor],"0")=TEXT(Contract_Edits[[#This Row],[ParentAnchor]],"0"))*
  (VALUE(TEXT(Contract_Edits[Index],"0"))&lt;VALUE(TEXT(Contract_Edits[[#This Row],[Index]],"0")))
)</f>
        <v>2</v>
      </c>
      <c r="AN54" s="511"/>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559</v>
      </c>
      <c r="B55" t="s">
        <v>1275</v>
      </c>
      <c r="C55" t="s">
        <v>599</v>
      </c>
      <c r="D55" s="444" t="s">
        <v>1276</v>
      </c>
      <c r="E55">
        <v>11</v>
      </c>
      <c r="F55" s="453">
        <v>62.5</v>
      </c>
      <c r="G55" s="188">
        <v>687.5</v>
      </c>
      <c r="H55">
        <v>0</v>
      </c>
      <c r="I55">
        <v>687.5</v>
      </c>
      <c r="J55">
        <v>83</v>
      </c>
      <c r="K55" s="104"/>
      <c r="L55" s="449">
        <v>83</v>
      </c>
      <c r="M55" s="449"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76"/>
      <c r="R55" s="516"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5" s="179">
        <v>0</v>
      </c>
      <c r="T55" s="179">
        <v>0</v>
      </c>
      <c r="U55" s="11"/>
      <c r="V55"/>
      <c r="W55" s="22" t="s">
        <v>436</v>
      </c>
      <c r="X55" s="22" t="s">
        <v>436</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11">
        <f>--(
  ISNUMBER(SEARCH("BASE PARENT", UPPER(CLEAN(TRIM(_xlfn.XLOOKUP(TEXT(Contract_Edits[[#This Row],[Index]],"0"), baseIdxTxt, baseCost, "")))))) +
  ISNUMBER(SEARCH("DEPENDENCY GROUP", UPPER(CLEAN(TRIM(_xlfn.XLOOKUP(TEXT(Contract_Edits[[#This Row],[Index]],"0"), baseIdxTxt, baseCost, ""))))))
)</f>
        <v>0</v>
      </c>
      <c r="AG55" s="511" t="str" cm="1">
        <f t="array" ref="AG55">IF(Contract_Edits[[#This Row],[BaseFlag]]=1,
   10*BaseDepthL(TEXT(Contract_Edits[[#This Row],[Index]],"0"),500,editsIdxTxt,editsParentKeyTxt,baseIdxTxt,baseCost)-5,
   ""
)</f>
        <v/>
      </c>
      <c r="AH55" s="511"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11" t="str">
        <f>IF(Contract_Edits[[#This Row],[Dep]]=0,"Root",
   IF(ISNUMBER(MATCH(Contract_Edits[[#This Row],[Dep]],Contract_Edits[Index],0)),"OK","Missing")
)</f>
        <v>OK</v>
      </c>
      <c r="AJ55" s="511" t="str">
        <f>IF(AND(Contract_Edits[[#This Row],[Dep]]&lt;&gt;0,
        ISNUMBER(MATCH(Contract_Edits[[#This Row],[Dep]], Contract_Edits[Index], 0)),
        INDEX(Contract_Edits[Dep], MATCH(Contract_Edits[[#This Row],[Dep]], Contract_Edits[Index], 0))=Contract_Edits[[#This Row],[Index]]),
   "2-cycle","")</f>
        <v/>
      </c>
      <c r="AK55" s="511" cm="1">
        <f t="array" ref="AK55">IF(Contract_Edits[[#This Row],[BaseFlag]]&lt;&gt;1,0,
   IF(TEXT(Contract_Edits[[#This Row],[Dep]],"0")=TEXT(Contract_Edits[[#This Row],[Index]],"0"),
      0,
      MAX(0, SUMPRODUCT(--(Contract_Edits[BaseFlag]=1),
                        --(TEXT(Contract_Edits[Dep],"0")=TEXT(Contract_Edits[[#This Row],[Dep]],"0"))) - 1)
   )
)</f>
        <v>0</v>
      </c>
      <c r="AL55" s="511" t="str" cm="1">
        <f t="array" ref="AL55">IF(Contract_Edits[[#This Row],[BaseFlag]]=1,
   TEXT(Contract_Edits[[#This Row],[Index]],"0"),
   NearestBaseL(TEXT(Contract_Edits[[#This Row],[ParentKey]],"0"),500,editsIdxTxt,editsParentKeyTxt,baseIdxTxt,baseCost)
)</f>
        <v>14</v>
      </c>
      <c r="AM55" s="511" cm="1">
        <f t="array" ref="AM55">1+SUMPRODUCT(
  (Contract_Edits[BaseFlag]=1)*
  (TEXT(Contract_Edits[ParentAnchor],"0")=TEXT(Contract_Edits[[#This Row],[ParentAnchor]],"0"))*
  (VALUE(TEXT(Contract_Edits[Index],"0"))&lt;VALUE(TEXT(Contract_Edits[[#This Row],[Index]],"0")))
)</f>
        <v>2</v>
      </c>
      <c r="AN55" s="511"/>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559</v>
      </c>
      <c r="B56" t="s">
        <v>537</v>
      </c>
      <c r="C56" t="s">
        <v>599</v>
      </c>
      <c r="D56" s="444" t="s">
        <v>1251</v>
      </c>
      <c r="E56">
        <v>15</v>
      </c>
      <c r="F56" s="453"/>
      <c r="G56" s="188"/>
      <c r="H56">
        <v>0</v>
      </c>
      <c r="I56"/>
      <c r="J56">
        <v>82</v>
      </c>
      <c r="K56" s="104"/>
      <c r="L56" s="449">
        <v>82</v>
      </c>
      <c r="M56" s="449"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76"/>
      <c r="R56" s="516"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6" s="179">
        <v>0</v>
      </c>
      <c r="T56" s="179">
        <v>0</v>
      </c>
      <c r="U56" s="11"/>
      <c r="V56"/>
      <c r="W56" s="22" t="s">
        <v>436</v>
      </c>
      <c r="X56" s="22" t="s">
        <v>436</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11">
        <f>--(
  ISNUMBER(SEARCH("BASE PARENT", UPPER(CLEAN(TRIM(_xlfn.XLOOKUP(TEXT(Contract_Edits[[#This Row],[Index]],"0"), baseIdxTxt, baseCost, "")))))) +
  ISNUMBER(SEARCH("DEPENDENCY GROUP", UPPER(CLEAN(TRIM(_xlfn.XLOOKUP(TEXT(Contract_Edits[[#This Row],[Index]],"0"), baseIdxTxt, baseCost, ""))))))
)</f>
        <v>0</v>
      </c>
      <c r="AG56" s="511" t="str" cm="1">
        <f t="array" ref="AG56">IF(Contract_Edits[[#This Row],[BaseFlag]]=1,
   10*BaseDepthL(TEXT(Contract_Edits[[#This Row],[Index]],"0"),500,editsIdxTxt,editsParentKeyTxt,baseIdxTxt,baseCost)-5,
   ""
)</f>
        <v/>
      </c>
      <c r="AH56" s="511"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11" t="str">
        <f>IF(Contract_Edits[[#This Row],[Dep]]=0,"Root",
   IF(ISNUMBER(MATCH(Contract_Edits[[#This Row],[Dep]],Contract_Edits[Index],0)),"OK","Missing")
)</f>
        <v>OK</v>
      </c>
      <c r="AJ56" s="511" t="str">
        <f>IF(AND(Contract_Edits[[#This Row],[Dep]]&lt;&gt;0,
        ISNUMBER(MATCH(Contract_Edits[[#This Row],[Dep]], Contract_Edits[Index], 0)),
        INDEX(Contract_Edits[Dep], MATCH(Contract_Edits[[#This Row],[Dep]], Contract_Edits[Index], 0))=Contract_Edits[[#This Row],[Index]]),
   "2-cycle","")</f>
        <v/>
      </c>
      <c r="AK56" s="511" cm="1">
        <f t="array" ref="AK56">IF(Contract_Edits[[#This Row],[BaseFlag]]&lt;&gt;1,0,
   IF(TEXT(Contract_Edits[[#This Row],[Dep]],"0")=TEXT(Contract_Edits[[#This Row],[Index]],"0"),
      0,
      MAX(0, SUMPRODUCT(--(Contract_Edits[BaseFlag]=1),
                        --(TEXT(Contract_Edits[Dep],"0")=TEXT(Contract_Edits[[#This Row],[Dep]],"0"))) - 1)
   )
)</f>
        <v>0</v>
      </c>
      <c r="AL56" s="511" t="str" cm="1">
        <f t="array" ref="AL56">IF(Contract_Edits[[#This Row],[BaseFlag]]=1,
   TEXT(Contract_Edits[[#This Row],[Index]],"0"),
   NearestBaseL(TEXT(Contract_Edits[[#This Row],[ParentKey]],"0"),500,editsIdxTxt,editsParentKeyTxt,baseIdxTxt,baseCost)
)</f>
        <v>14</v>
      </c>
      <c r="AM56" s="511" cm="1">
        <f t="array" ref="AM56">1+SUMPRODUCT(
  (Contract_Edits[BaseFlag]=1)*
  (TEXT(Contract_Edits[ParentAnchor],"0")=TEXT(Contract_Edits[[#This Row],[ParentAnchor]],"0"))*
  (VALUE(TEXT(Contract_Edits[Index],"0"))&lt;VALUE(TEXT(Contract_Edits[[#This Row],[Index]],"0")))
)</f>
        <v>2</v>
      </c>
      <c r="AN56" s="511"/>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516</v>
      </c>
      <c r="B57" t="s">
        <v>513</v>
      </c>
      <c r="C57" t="s">
        <v>539</v>
      </c>
      <c r="D57" s="444" t="s">
        <v>540</v>
      </c>
      <c r="E57">
        <v>1</v>
      </c>
      <c r="F57" s="453">
        <v>0</v>
      </c>
      <c r="G57" s="188">
        <v>0</v>
      </c>
      <c r="H57">
        <v>14</v>
      </c>
      <c r="I57">
        <v>0</v>
      </c>
      <c r="J57">
        <v>15</v>
      </c>
      <c r="K57" s="104"/>
      <c r="L57" s="449">
        <v>15</v>
      </c>
      <c r="M57" s="449"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88"/>
      <c r="R57" s="516"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7" s="179">
        <v>0</v>
      </c>
      <c r="T57" s="477"/>
      <c r="U57" s="500"/>
      <c r="V57" s="193"/>
      <c r="W57" s="22" t="s">
        <v>436</v>
      </c>
      <c r="X57" s="492" t="s">
        <v>436</v>
      </c>
      <c r="Y57" s="492"/>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11">
        <f>--(
  ISNUMBER(SEARCH("BASE PARENT", UPPER(CLEAN(TRIM(_xlfn.XLOOKUP(TEXT(Contract_Edits[[#This Row],[Index]],"0"), baseIdxTxt, baseCost, "")))))) +
  ISNUMBER(SEARCH("DEPENDENCY GROUP", UPPER(CLEAN(TRIM(_xlfn.XLOOKUP(TEXT(Contract_Edits[[#This Row],[Index]],"0"), baseIdxTxt, baseCost, ""))))))
)</f>
        <v>1</v>
      </c>
      <c r="AG57" s="511" cm="1">
        <f t="array" ref="AG57">IF(Contract_Edits[[#This Row],[BaseFlag]]=1,
   10*BaseDepthL(TEXT(Contract_Edits[[#This Row],[Index]],"0"),500,editsIdxTxt,editsParentKeyTxt,baseIdxTxt,baseCost)-5,
   ""
)</f>
        <v>145</v>
      </c>
      <c r="AH57" s="511"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11" t="str">
        <f>IF(Contract_Edits[[#This Row],[Dep]]=0,"Root",
   IF(ISNUMBER(MATCH(Contract_Edits[[#This Row],[Dep]],Contract_Edits[Index],0)),"OK","Missing")
)</f>
        <v>OK</v>
      </c>
      <c r="AJ57" s="511" t="str">
        <f>IF(AND(Contract_Edits[[#This Row],[Dep]]&lt;&gt;0,
        ISNUMBER(MATCH(Contract_Edits[[#This Row],[Dep]], Contract_Edits[Index], 0)),
        INDEX(Contract_Edits[Dep], MATCH(Contract_Edits[[#This Row],[Dep]], Contract_Edits[Index], 0))=Contract_Edits[[#This Row],[Index]]),
   "2-cycle","")</f>
        <v/>
      </c>
      <c r="AK57" s="511" cm="1">
        <f t="array" ref="AK57">IF(Contract_Edits[[#This Row],[BaseFlag]]&lt;&gt;1,0,
   IF(TEXT(Contract_Edits[[#This Row],[Dep]],"0")=TEXT(Contract_Edits[[#This Row],[Index]],"0"),
      0,
      MAX(0, SUMPRODUCT(--(Contract_Edits[BaseFlag]=1),
                        --(TEXT(Contract_Edits[Dep],"0")=TEXT(Contract_Edits[[#This Row],[Dep]],"0"))) - 1)
   )
)</f>
        <v>0</v>
      </c>
      <c r="AL57" s="511" t="str" cm="1">
        <f t="array" ref="AL57">IF(Contract_Edits[[#This Row],[BaseFlag]]=1,
   TEXT(Contract_Edits[[#This Row],[Index]],"0"),
   NearestBaseL(TEXT(Contract_Edits[[#This Row],[ParentKey]],"0"),500,editsIdxTxt,editsParentKeyTxt,baseIdxTxt,baseCost)
)</f>
        <v>15</v>
      </c>
      <c r="AM57" s="511" cm="1">
        <f t="array" ref="AM57">1+SUMPRODUCT(
  (Contract_Edits[BaseFlag]=1)*
  (TEXT(Contract_Edits[ParentAnchor],"0")=TEXT(Contract_Edits[[#This Row],[ParentAnchor]],"0"))*
  (VALUE(TEXT(Contract_Edits[Index],"0"))&lt;VALUE(TEXT(Contract_Edits[[#This Row],[Index]],"0")))
)</f>
        <v>1</v>
      </c>
      <c r="AN57" s="511"/>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629</v>
      </c>
      <c r="B58" t="s">
        <v>624</v>
      </c>
      <c r="C58" t="s">
        <v>541</v>
      </c>
      <c r="D58" s="444" t="s">
        <v>663</v>
      </c>
      <c r="E58">
        <v>1</v>
      </c>
      <c r="F58" s="453">
        <v>210.10060500000003</v>
      </c>
      <c r="G58" s="188">
        <v>210.10060500000003</v>
      </c>
      <c r="H58">
        <v>15</v>
      </c>
      <c r="I58">
        <v>210.10060500000003</v>
      </c>
      <c r="J58">
        <v>903</v>
      </c>
      <c r="K58" s="104"/>
      <c r="L58" s="449">
        <v>903</v>
      </c>
      <c r="M58" s="449"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88"/>
      <c r="R58" s="516"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8" s="179">
        <v>0</v>
      </c>
      <c r="T58" s="477"/>
      <c r="U58" s="500" t="s">
        <v>687</v>
      </c>
      <c r="V58" s="193"/>
      <c r="W58" s="22" t="s">
        <v>436</v>
      </c>
      <c r="X58" s="492" t="s">
        <v>436</v>
      </c>
      <c r="Y58" s="492"/>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11">
        <f>--(
  ISNUMBER(SEARCH("BASE PARENT", UPPER(CLEAN(TRIM(_xlfn.XLOOKUP(TEXT(Contract_Edits[[#This Row],[Index]],"0"), baseIdxTxt, baseCost, "")))))) +
  ISNUMBER(SEARCH("DEPENDENCY GROUP", UPPER(CLEAN(TRIM(_xlfn.XLOOKUP(TEXT(Contract_Edits[[#This Row],[Index]],"0"), baseIdxTxt, baseCost, ""))))))
)</f>
        <v>0</v>
      </c>
      <c r="AG58" s="511" t="str" cm="1">
        <f t="array" ref="AG58">IF(Contract_Edits[[#This Row],[BaseFlag]]=1,
   10*BaseDepthL(TEXT(Contract_Edits[[#This Row],[Index]],"0"),500,editsIdxTxt,editsParentKeyTxt,baseIdxTxt,baseCost)-5,
   ""
)</f>
        <v/>
      </c>
      <c r="AH58" s="511"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11" t="str">
        <f>IF(Contract_Edits[[#This Row],[Dep]]=0,"Root",
   IF(ISNUMBER(MATCH(Contract_Edits[[#This Row],[Dep]],Contract_Edits[Index],0)),"OK","Missing")
)</f>
        <v>OK</v>
      </c>
      <c r="AJ58" s="511" t="str">
        <f>IF(AND(Contract_Edits[[#This Row],[Dep]]&lt;&gt;0,
        ISNUMBER(MATCH(Contract_Edits[[#This Row],[Dep]], Contract_Edits[Index], 0)),
        INDEX(Contract_Edits[Dep], MATCH(Contract_Edits[[#This Row],[Dep]], Contract_Edits[Index], 0))=Contract_Edits[[#This Row],[Index]]),
   "2-cycle","")</f>
        <v/>
      </c>
      <c r="AK58" s="511" cm="1">
        <f t="array" ref="AK58">IF(Contract_Edits[[#This Row],[BaseFlag]]&lt;&gt;1,0,
   IF(TEXT(Contract_Edits[[#This Row],[Dep]],"0")=TEXT(Contract_Edits[[#This Row],[Index]],"0"),
      0,
      MAX(0, SUMPRODUCT(--(Contract_Edits[BaseFlag]=1),
                        --(TEXT(Contract_Edits[Dep],"0")=TEXT(Contract_Edits[[#This Row],[Dep]],"0"))) - 1)
   )
)</f>
        <v>0</v>
      </c>
      <c r="AL58" s="511" t="str" cm="1">
        <f t="array" ref="AL58">IF(Contract_Edits[[#This Row],[BaseFlag]]=1,
   TEXT(Contract_Edits[[#This Row],[Index]],"0"),
   NearestBaseL(TEXT(Contract_Edits[[#This Row],[ParentKey]],"0"),500,editsIdxTxt,editsParentKeyTxt,baseIdxTxt,baseCost)
)</f>
        <v>15</v>
      </c>
      <c r="AM58" s="511" cm="1">
        <f t="array" ref="AM58">1+SUMPRODUCT(
  (Contract_Edits[BaseFlag]=1)*
  (TEXT(Contract_Edits[ParentAnchor],"0")=TEXT(Contract_Edits[[#This Row],[ParentAnchor]],"0"))*
  (VALUE(TEXT(Contract_Edits[Index],"0"))&lt;VALUE(TEXT(Contract_Edits[[#This Row],[Index]],"0")))
)</f>
        <v>2</v>
      </c>
      <c r="AN58" s="511"/>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559</v>
      </c>
      <c r="B59" t="s">
        <v>566</v>
      </c>
      <c r="C59" t="s">
        <v>567</v>
      </c>
      <c r="D59" s="444" t="s">
        <v>568</v>
      </c>
      <c r="E59">
        <v>1</v>
      </c>
      <c r="F59" s="453"/>
      <c r="G59" s="188"/>
      <c r="H59">
        <v>0</v>
      </c>
      <c r="I59"/>
      <c r="J59">
        <v>40</v>
      </c>
      <c r="K59" s="104"/>
      <c r="L59" s="449">
        <v>40</v>
      </c>
      <c r="M59" s="449"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76"/>
      <c r="R59" s="516"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59" s="179">
        <v>0</v>
      </c>
      <c r="T59" s="179">
        <v>0</v>
      </c>
      <c r="U59" s="11" t="s">
        <v>687</v>
      </c>
      <c r="V59"/>
      <c r="W59" s="22" t="s">
        <v>436</v>
      </c>
      <c r="X59" s="22" t="s">
        <v>436</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11">
        <f>--(
  ISNUMBER(SEARCH("BASE PARENT", UPPER(CLEAN(TRIM(_xlfn.XLOOKUP(TEXT(Contract_Edits[[#This Row],[Index]],"0"), baseIdxTxt, baseCost, "")))))) +
  ISNUMBER(SEARCH("DEPENDENCY GROUP", UPPER(CLEAN(TRIM(_xlfn.XLOOKUP(TEXT(Contract_Edits[[#This Row],[Index]],"0"), baseIdxTxt, baseCost, ""))))))
)</f>
        <v>0</v>
      </c>
      <c r="AG59" s="511" t="str" cm="1">
        <f t="array" ref="AG59">IF(Contract_Edits[[#This Row],[BaseFlag]]=1,
   10*BaseDepthL(TEXT(Contract_Edits[[#This Row],[Index]],"0"),500,editsIdxTxt,editsParentKeyTxt,baseIdxTxt,baseCost)-5,
   ""
)</f>
        <v/>
      </c>
      <c r="AH59" s="511"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11" t="str">
        <f>IF(Contract_Edits[[#This Row],[Dep]]=0,"Root",
   IF(ISNUMBER(MATCH(Contract_Edits[[#This Row],[Dep]],Contract_Edits[Index],0)),"OK","Missing")
)</f>
        <v>OK</v>
      </c>
      <c r="AJ59" s="511" t="str">
        <f>IF(AND(Contract_Edits[[#This Row],[Dep]]&lt;&gt;0,
        ISNUMBER(MATCH(Contract_Edits[[#This Row],[Dep]], Contract_Edits[Index], 0)),
        INDEX(Contract_Edits[Dep], MATCH(Contract_Edits[[#This Row],[Dep]], Contract_Edits[Index], 0))=Contract_Edits[[#This Row],[Index]]),
   "2-cycle","")</f>
        <v/>
      </c>
      <c r="AK59" s="511" cm="1">
        <f t="array" ref="AK59">IF(Contract_Edits[[#This Row],[BaseFlag]]&lt;&gt;1,0,
   IF(TEXT(Contract_Edits[[#This Row],[Dep]],"0")=TEXT(Contract_Edits[[#This Row],[Index]],"0"),
      0,
      MAX(0, SUMPRODUCT(--(Contract_Edits[BaseFlag]=1),
                        --(TEXT(Contract_Edits[Dep],"0")=TEXT(Contract_Edits[[#This Row],[Dep]],"0"))) - 1)
   )
)</f>
        <v>0</v>
      </c>
      <c r="AL59" s="511" t="str" cm="1">
        <f t="array" ref="AL59">IF(Contract_Edits[[#This Row],[BaseFlag]]=1,
   TEXT(Contract_Edits[[#This Row],[Index]],"0"),
   NearestBaseL(TEXT(Contract_Edits[[#This Row],[ParentKey]],"0"),500,editsIdxTxt,editsParentKeyTxt,baseIdxTxt,baseCost)
)</f>
        <v>15</v>
      </c>
      <c r="AM59" s="511" cm="1">
        <f t="array" ref="AM59">1+SUMPRODUCT(
  (Contract_Edits[BaseFlag]=1)*
  (TEXT(Contract_Edits[ParentAnchor],"0")=TEXT(Contract_Edits[[#This Row],[ParentAnchor]],"0"))*
  (VALUE(TEXT(Contract_Edits[Index],"0"))&lt;VALUE(TEXT(Contract_Edits[[#This Row],[Index]],"0")))
)</f>
        <v>2</v>
      </c>
      <c r="AN59" s="511"/>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559</v>
      </c>
      <c r="B60" t="s">
        <v>566</v>
      </c>
      <c r="C60" t="s">
        <v>574</v>
      </c>
      <c r="D60" s="444" t="s">
        <v>590</v>
      </c>
      <c r="E60">
        <v>1</v>
      </c>
      <c r="F60" s="453"/>
      <c r="G60" s="188"/>
      <c r="H60">
        <v>0</v>
      </c>
      <c r="I60"/>
      <c r="J60">
        <v>64</v>
      </c>
      <c r="K60" s="104"/>
      <c r="L60" s="449">
        <v>64</v>
      </c>
      <c r="M60" s="449"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76"/>
      <c r="R60" s="516"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0" s="179">
        <v>0</v>
      </c>
      <c r="T60" s="179">
        <v>0</v>
      </c>
      <c r="U60" s="11" t="s">
        <v>687</v>
      </c>
      <c r="V60"/>
      <c r="W60" s="22" t="s">
        <v>436</v>
      </c>
      <c r="X60" s="22" t="s">
        <v>436</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11">
        <f>--(
  ISNUMBER(SEARCH("BASE PARENT", UPPER(CLEAN(TRIM(_xlfn.XLOOKUP(TEXT(Contract_Edits[[#This Row],[Index]],"0"), baseIdxTxt, baseCost, "")))))) +
  ISNUMBER(SEARCH("DEPENDENCY GROUP", UPPER(CLEAN(TRIM(_xlfn.XLOOKUP(TEXT(Contract_Edits[[#This Row],[Index]],"0"), baseIdxTxt, baseCost, ""))))))
)</f>
        <v>0</v>
      </c>
      <c r="AG60" s="511" t="str" cm="1">
        <f t="array" ref="AG60">IF(Contract_Edits[[#This Row],[BaseFlag]]=1,
   10*BaseDepthL(TEXT(Contract_Edits[[#This Row],[Index]],"0"),500,editsIdxTxt,editsParentKeyTxt,baseIdxTxt,baseCost)-5,
   ""
)</f>
        <v/>
      </c>
      <c r="AH60" s="511"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11" t="str">
        <f>IF(Contract_Edits[[#This Row],[Dep]]=0,"Root",
   IF(ISNUMBER(MATCH(Contract_Edits[[#This Row],[Dep]],Contract_Edits[Index],0)),"OK","Missing")
)</f>
        <v>OK</v>
      </c>
      <c r="AJ60" s="511" t="str">
        <f>IF(AND(Contract_Edits[[#This Row],[Dep]]&lt;&gt;0,
        ISNUMBER(MATCH(Contract_Edits[[#This Row],[Dep]], Contract_Edits[Index], 0)),
        INDEX(Contract_Edits[Dep], MATCH(Contract_Edits[[#This Row],[Dep]], Contract_Edits[Index], 0))=Contract_Edits[[#This Row],[Index]]),
   "2-cycle","")</f>
        <v/>
      </c>
      <c r="AK60" s="511" cm="1">
        <f t="array" ref="AK60">IF(Contract_Edits[[#This Row],[BaseFlag]]&lt;&gt;1,0,
   IF(TEXT(Contract_Edits[[#This Row],[Dep]],"0")=TEXT(Contract_Edits[[#This Row],[Index]],"0"),
      0,
      MAX(0, SUMPRODUCT(--(Contract_Edits[BaseFlag]=1),
                        --(TEXT(Contract_Edits[Dep],"0")=TEXT(Contract_Edits[[#This Row],[Dep]],"0"))) - 1)
   )
)</f>
        <v>0</v>
      </c>
      <c r="AL60" s="511" t="str" cm="1">
        <f t="array" ref="AL60">IF(Contract_Edits[[#This Row],[BaseFlag]]=1,
   TEXT(Contract_Edits[[#This Row],[Index]],"0"),
   NearestBaseL(TEXT(Contract_Edits[[#This Row],[ParentKey]],"0"),500,editsIdxTxt,editsParentKeyTxt,baseIdxTxt,baseCost)
)</f>
        <v>15</v>
      </c>
      <c r="AM60" s="511" cm="1">
        <f t="array" ref="AM60">1+SUMPRODUCT(
  (Contract_Edits[BaseFlag]=1)*
  (TEXT(Contract_Edits[ParentAnchor],"0")=TEXT(Contract_Edits[[#This Row],[ParentAnchor]],"0"))*
  (VALUE(TEXT(Contract_Edits[Index],"0"))&lt;VALUE(TEXT(Contract_Edits[[#This Row],[Index]],"0")))
)</f>
        <v>2</v>
      </c>
      <c r="AN60" s="511"/>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559</v>
      </c>
      <c r="B61" t="s">
        <v>566</v>
      </c>
      <c r="C61" t="s">
        <v>574</v>
      </c>
      <c r="D61" s="444" t="s">
        <v>586</v>
      </c>
      <c r="E61">
        <v>1</v>
      </c>
      <c r="F61" s="453"/>
      <c r="G61" s="188"/>
      <c r="H61">
        <v>0</v>
      </c>
      <c r="I61"/>
      <c r="J61">
        <v>60</v>
      </c>
      <c r="K61" s="104"/>
      <c r="L61" s="449">
        <v>60</v>
      </c>
      <c r="M61" s="449"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76"/>
      <c r="R61" s="516"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1" s="179">
        <v>0</v>
      </c>
      <c r="T61" s="179">
        <v>0</v>
      </c>
      <c r="U61" s="11" t="s">
        <v>687</v>
      </c>
      <c r="V61"/>
      <c r="W61" s="22" t="s">
        <v>436</v>
      </c>
      <c r="X61" s="22" t="s">
        <v>436</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11">
        <f>--(
  ISNUMBER(SEARCH("BASE PARENT", UPPER(CLEAN(TRIM(_xlfn.XLOOKUP(TEXT(Contract_Edits[[#This Row],[Index]],"0"), baseIdxTxt, baseCost, "")))))) +
  ISNUMBER(SEARCH("DEPENDENCY GROUP", UPPER(CLEAN(TRIM(_xlfn.XLOOKUP(TEXT(Contract_Edits[[#This Row],[Index]],"0"), baseIdxTxt, baseCost, ""))))))
)</f>
        <v>0</v>
      </c>
      <c r="AG61" s="511" t="str" cm="1">
        <f t="array" ref="AG61">IF(Contract_Edits[[#This Row],[BaseFlag]]=1,
   10*BaseDepthL(TEXT(Contract_Edits[[#This Row],[Index]],"0"),500,editsIdxTxt,editsParentKeyTxt,baseIdxTxt,baseCost)-5,
   ""
)</f>
        <v/>
      </c>
      <c r="AH61" s="511"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11" t="str">
        <f>IF(Contract_Edits[[#This Row],[Dep]]=0,"Root",
   IF(ISNUMBER(MATCH(Contract_Edits[[#This Row],[Dep]],Contract_Edits[Index],0)),"OK","Missing")
)</f>
        <v>OK</v>
      </c>
      <c r="AJ61" s="511" t="str">
        <f>IF(AND(Contract_Edits[[#This Row],[Dep]]&lt;&gt;0,
        ISNUMBER(MATCH(Contract_Edits[[#This Row],[Dep]], Contract_Edits[Index], 0)),
        INDEX(Contract_Edits[Dep], MATCH(Contract_Edits[[#This Row],[Dep]], Contract_Edits[Index], 0))=Contract_Edits[[#This Row],[Index]]),
   "2-cycle","")</f>
        <v/>
      </c>
      <c r="AK61" s="511" cm="1">
        <f t="array" ref="AK61">IF(Contract_Edits[[#This Row],[BaseFlag]]&lt;&gt;1,0,
   IF(TEXT(Contract_Edits[[#This Row],[Dep]],"0")=TEXT(Contract_Edits[[#This Row],[Index]],"0"),
      0,
      MAX(0, SUMPRODUCT(--(Contract_Edits[BaseFlag]=1),
                        --(TEXT(Contract_Edits[Dep],"0")=TEXT(Contract_Edits[[#This Row],[Dep]],"0"))) - 1)
   )
)</f>
        <v>0</v>
      </c>
      <c r="AL61" s="511" t="str" cm="1">
        <f t="array" ref="AL61">IF(Contract_Edits[[#This Row],[BaseFlag]]=1,
   TEXT(Contract_Edits[[#This Row],[Index]],"0"),
   NearestBaseL(TEXT(Contract_Edits[[#This Row],[ParentKey]],"0"),500,editsIdxTxt,editsParentKeyTxt,baseIdxTxt,baseCost)
)</f>
        <v>15</v>
      </c>
      <c r="AM61" s="511" cm="1">
        <f t="array" ref="AM61">1+SUMPRODUCT(
  (Contract_Edits[BaseFlag]=1)*
  (TEXT(Contract_Edits[ParentAnchor],"0")=TEXT(Contract_Edits[[#This Row],[ParentAnchor]],"0"))*
  (VALUE(TEXT(Contract_Edits[Index],"0"))&lt;VALUE(TEXT(Contract_Edits[[#This Row],[Index]],"0")))
)</f>
        <v>2</v>
      </c>
      <c r="AN61" s="511"/>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559</v>
      </c>
      <c r="B62" t="s">
        <v>566</v>
      </c>
      <c r="C62" t="s">
        <v>574</v>
      </c>
      <c r="D62" s="444" t="s">
        <v>588</v>
      </c>
      <c r="E62">
        <v>1</v>
      </c>
      <c r="F62" s="453"/>
      <c r="G62" s="188"/>
      <c r="H62">
        <v>0</v>
      </c>
      <c r="I62"/>
      <c r="J62">
        <v>62</v>
      </c>
      <c r="K62" s="104"/>
      <c r="L62" s="449">
        <v>62</v>
      </c>
      <c r="M62" s="449"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76"/>
      <c r="R62" s="516"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2" s="179">
        <v>0</v>
      </c>
      <c r="T62" s="179">
        <v>0</v>
      </c>
      <c r="U62" s="11" t="s">
        <v>687</v>
      </c>
      <c r="V62"/>
      <c r="W62" s="22" t="s">
        <v>436</v>
      </c>
      <c r="X62" s="22" t="s">
        <v>436</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11">
        <f>--(
  ISNUMBER(SEARCH("BASE PARENT", UPPER(CLEAN(TRIM(_xlfn.XLOOKUP(TEXT(Contract_Edits[[#This Row],[Index]],"0"), baseIdxTxt, baseCost, "")))))) +
  ISNUMBER(SEARCH("DEPENDENCY GROUP", UPPER(CLEAN(TRIM(_xlfn.XLOOKUP(TEXT(Contract_Edits[[#This Row],[Index]],"0"), baseIdxTxt, baseCost, ""))))))
)</f>
        <v>0</v>
      </c>
      <c r="AG62" s="511" t="str" cm="1">
        <f t="array" ref="AG62">IF(Contract_Edits[[#This Row],[BaseFlag]]=1,
   10*BaseDepthL(TEXT(Contract_Edits[[#This Row],[Index]],"0"),500,editsIdxTxt,editsParentKeyTxt,baseIdxTxt,baseCost)-5,
   ""
)</f>
        <v/>
      </c>
      <c r="AH62" s="511"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11" t="str">
        <f>IF(Contract_Edits[[#This Row],[Dep]]=0,"Root",
   IF(ISNUMBER(MATCH(Contract_Edits[[#This Row],[Dep]],Contract_Edits[Index],0)),"OK","Missing")
)</f>
        <v>OK</v>
      </c>
      <c r="AJ62" s="511" t="str">
        <f>IF(AND(Contract_Edits[[#This Row],[Dep]]&lt;&gt;0,
        ISNUMBER(MATCH(Contract_Edits[[#This Row],[Dep]], Contract_Edits[Index], 0)),
        INDEX(Contract_Edits[Dep], MATCH(Contract_Edits[[#This Row],[Dep]], Contract_Edits[Index], 0))=Contract_Edits[[#This Row],[Index]]),
   "2-cycle","")</f>
        <v/>
      </c>
      <c r="AK62" s="511" cm="1">
        <f t="array" ref="AK62">IF(Contract_Edits[[#This Row],[BaseFlag]]&lt;&gt;1,0,
   IF(TEXT(Contract_Edits[[#This Row],[Dep]],"0")=TEXT(Contract_Edits[[#This Row],[Index]],"0"),
      0,
      MAX(0, SUMPRODUCT(--(Contract_Edits[BaseFlag]=1),
                        --(TEXT(Contract_Edits[Dep],"0")=TEXT(Contract_Edits[[#This Row],[Dep]],"0"))) - 1)
   )
)</f>
        <v>0</v>
      </c>
      <c r="AL62" s="511" t="str" cm="1">
        <f t="array" ref="AL62">IF(Contract_Edits[[#This Row],[BaseFlag]]=1,
   TEXT(Contract_Edits[[#This Row],[Index]],"0"),
   NearestBaseL(TEXT(Contract_Edits[[#This Row],[ParentKey]],"0"),500,editsIdxTxt,editsParentKeyTxt,baseIdxTxt,baseCost)
)</f>
        <v>15</v>
      </c>
      <c r="AM62" s="511" cm="1">
        <f t="array" ref="AM62">1+SUMPRODUCT(
  (Contract_Edits[BaseFlag]=1)*
  (TEXT(Contract_Edits[ParentAnchor],"0")=TEXT(Contract_Edits[[#This Row],[ParentAnchor]],"0"))*
  (VALUE(TEXT(Contract_Edits[Index],"0"))&lt;VALUE(TEXT(Contract_Edits[[#This Row],[Index]],"0")))
)</f>
        <v>2</v>
      </c>
      <c r="AN62" s="511"/>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559</v>
      </c>
      <c r="B63" t="s">
        <v>566</v>
      </c>
      <c r="C63" t="s">
        <v>574</v>
      </c>
      <c r="D63" s="444" t="s">
        <v>597</v>
      </c>
      <c r="E63">
        <v>3</v>
      </c>
      <c r="F63" s="453"/>
      <c r="G63" s="188"/>
      <c r="H63">
        <v>0</v>
      </c>
      <c r="I63"/>
      <c r="J63">
        <v>75</v>
      </c>
      <c r="K63" s="104"/>
      <c r="L63" s="449">
        <v>75</v>
      </c>
      <c r="M63" s="449"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88"/>
      <c r="R63" s="516"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3" s="179">
        <v>0</v>
      </c>
      <c r="T63" s="477"/>
      <c r="U63" s="500" t="s">
        <v>687</v>
      </c>
      <c r="V63" s="193"/>
      <c r="W63" s="22" t="s">
        <v>436</v>
      </c>
      <c r="X63" s="22" t="s">
        <v>436</v>
      </c>
      <c r="Y63" s="492"/>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11">
        <f>--(
  ISNUMBER(SEARCH("BASE PARENT", UPPER(CLEAN(TRIM(_xlfn.XLOOKUP(TEXT(Contract_Edits[[#This Row],[Index]],"0"), baseIdxTxt, baseCost, "")))))) +
  ISNUMBER(SEARCH("DEPENDENCY GROUP", UPPER(CLEAN(TRIM(_xlfn.XLOOKUP(TEXT(Contract_Edits[[#This Row],[Index]],"0"), baseIdxTxt, baseCost, ""))))))
)</f>
        <v>0</v>
      </c>
      <c r="AG63" s="511" t="str" cm="1">
        <f t="array" ref="AG63">IF(Contract_Edits[[#This Row],[BaseFlag]]=1,
   10*BaseDepthL(TEXT(Contract_Edits[[#This Row],[Index]],"0"),500,editsIdxTxt,editsParentKeyTxt,baseIdxTxt,baseCost)-5,
   ""
)</f>
        <v/>
      </c>
      <c r="AH63" s="511"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11" t="str">
        <f>IF(Contract_Edits[[#This Row],[Dep]]=0,"Root",
   IF(ISNUMBER(MATCH(Contract_Edits[[#This Row],[Dep]],Contract_Edits[Index],0)),"OK","Missing")
)</f>
        <v>OK</v>
      </c>
      <c r="AJ63" s="511" t="str">
        <f>IF(AND(Contract_Edits[[#This Row],[Dep]]&lt;&gt;0,
        ISNUMBER(MATCH(Contract_Edits[[#This Row],[Dep]], Contract_Edits[Index], 0)),
        INDEX(Contract_Edits[Dep], MATCH(Contract_Edits[[#This Row],[Dep]], Contract_Edits[Index], 0))=Contract_Edits[[#This Row],[Index]]),
   "2-cycle","")</f>
        <v/>
      </c>
      <c r="AK63" s="511" cm="1">
        <f t="array" ref="AK63">IF(Contract_Edits[[#This Row],[BaseFlag]]&lt;&gt;1,0,
   IF(TEXT(Contract_Edits[[#This Row],[Dep]],"0")=TEXT(Contract_Edits[[#This Row],[Index]],"0"),
      0,
      MAX(0, SUMPRODUCT(--(Contract_Edits[BaseFlag]=1),
                        --(TEXT(Contract_Edits[Dep],"0")=TEXT(Contract_Edits[[#This Row],[Dep]],"0"))) - 1)
   )
)</f>
        <v>0</v>
      </c>
      <c r="AL63" s="511" t="str" cm="1">
        <f t="array" ref="AL63">IF(Contract_Edits[[#This Row],[BaseFlag]]=1,
   TEXT(Contract_Edits[[#This Row],[Index]],"0"),
   NearestBaseL(TEXT(Contract_Edits[[#This Row],[ParentKey]],"0"),500,editsIdxTxt,editsParentKeyTxt,baseIdxTxt,baseCost)
)</f>
        <v>15</v>
      </c>
      <c r="AM63" s="511" cm="1">
        <f t="array" ref="AM63">1+SUMPRODUCT(
  (Contract_Edits[BaseFlag]=1)*
  (TEXT(Contract_Edits[ParentAnchor],"0")=TEXT(Contract_Edits[[#This Row],[ParentAnchor]],"0"))*
  (VALUE(TEXT(Contract_Edits[Index],"0"))&lt;VALUE(TEXT(Contract_Edits[[#This Row],[Index]],"0")))
)</f>
        <v>2</v>
      </c>
      <c r="AN63" s="511"/>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559</v>
      </c>
      <c r="B64" t="s">
        <v>566</v>
      </c>
      <c r="C64" t="s">
        <v>574</v>
      </c>
      <c r="D64" s="444" t="s">
        <v>577</v>
      </c>
      <c r="E64">
        <v>1</v>
      </c>
      <c r="F64" s="453"/>
      <c r="G64" s="188"/>
      <c r="H64">
        <v>0</v>
      </c>
      <c r="I64"/>
      <c r="J64">
        <v>52</v>
      </c>
      <c r="K64" s="104"/>
      <c r="L64" s="449">
        <v>52</v>
      </c>
      <c r="M64" s="449"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76"/>
      <c r="R64" s="516"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4" s="179">
        <v>0</v>
      </c>
      <c r="T64" s="179">
        <v>0</v>
      </c>
      <c r="U64" s="11" t="s">
        <v>687</v>
      </c>
      <c r="V64"/>
      <c r="W64" s="22" t="s">
        <v>436</v>
      </c>
      <c r="X64" s="22" t="s">
        <v>436</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11">
        <f>--(
  ISNUMBER(SEARCH("BASE PARENT", UPPER(CLEAN(TRIM(_xlfn.XLOOKUP(TEXT(Contract_Edits[[#This Row],[Index]],"0"), baseIdxTxt, baseCost, "")))))) +
  ISNUMBER(SEARCH("DEPENDENCY GROUP", UPPER(CLEAN(TRIM(_xlfn.XLOOKUP(TEXT(Contract_Edits[[#This Row],[Index]],"0"), baseIdxTxt, baseCost, ""))))))
)</f>
        <v>0</v>
      </c>
      <c r="AG64" s="511" t="str" cm="1">
        <f t="array" ref="AG64">IF(Contract_Edits[[#This Row],[BaseFlag]]=1,
   10*BaseDepthL(TEXT(Contract_Edits[[#This Row],[Index]],"0"),500,editsIdxTxt,editsParentKeyTxt,baseIdxTxt,baseCost)-5,
   ""
)</f>
        <v/>
      </c>
      <c r="AH64" s="511"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11" t="str">
        <f>IF(Contract_Edits[[#This Row],[Dep]]=0,"Root",
   IF(ISNUMBER(MATCH(Contract_Edits[[#This Row],[Dep]],Contract_Edits[Index],0)),"OK","Missing")
)</f>
        <v>OK</v>
      </c>
      <c r="AJ64" s="511" t="str">
        <f>IF(AND(Contract_Edits[[#This Row],[Dep]]&lt;&gt;0,
        ISNUMBER(MATCH(Contract_Edits[[#This Row],[Dep]], Contract_Edits[Index], 0)),
        INDEX(Contract_Edits[Dep], MATCH(Contract_Edits[[#This Row],[Dep]], Contract_Edits[Index], 0))=Contract_Edits[[#This Row],[Index]]),
   "2-cycle","")</f>
        <v/>
      </c>
      <c r="AK64" s="511" cm="1">
        <f t="array" ref="AK64">IF(Contract_Edits[[#This Row],[BaseFlag]]&lt;&gt;1,0,
   IF(TEXT(Contract_Edits[[#This Row],[Dep]],"0")=TEXT(Contract_Edits[[#This Row],[Index]],"0"),
      0,
      MAX(0, SUMPRODUCT(--(Contract_Edits[BaseFlag]=1),
                        --(TEXT(Contract_Edits[Dep],"0")=TEXT(Contract_Edits[[#This Row],[Dep]],"0"))) - 1)
   )
)</f>
        <v>0</v>
      </c>
      <c r="AL64" s="511" t="str" cm="1">
        <f t="array" ref="AL64">IF(Contract_Edits[[#This Row],[BaseFlag]]=1,
   TEXT(Contract_Edits[[#This Row],[Index]],"0"),
   NearestBaseL(TEXT(Contract_Edits[[#This Row],[ParentKey]],"0"),500,editsIdxTxt,editsParentKeyTxt,baseIdxTxt,baseCost)
)</f>
        <v>15</v>
      </c>
      <c r="AM64" s="511" cm="1">
        <f t="array" ref="AM64">1+SUMPRODUCT(
  (Contract_Edits[BaseFlag]=1)*
  (TEXT(Contract_Edits[ParentAnchor],"0")=TEXT(Contract_Edits[[#This Row],[ParentAnchor]],"0"))*
  (VALUE(TEXT(Contract_Edits[Index],"0"))&lt;VALUE(TEXT(Contract_Edits[[#This Row],[Index]],"0")))
)</f>
        <v>2</v>
      </c>
      <c r="AN64" s="511"/>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559</v>
      </c>
      <c r="B65" t="s">
        <v>566</v>
      </c>
      <c r="C65" t="s">
        <v>574</v>
      </c>
      <c r="D65" s="444" t="s">
        <v>575</v>
      </c>
      <c r="E65">
        <v>1</v>
      </c>
      <c r="F65" s="453"/>
      <c r="G65" s="188"/>
      <c r="H65">
        <v>0</v>
      </c>
      <c r="I65"/>
      <c r="J65">
        <v>50</v>
      </c>
      <c r="K65" s="104"/>
      <c r="L65" s="449">
        <v>50</v>
      </c>
      <c r="M65" s="449"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76"/>
      <c r="R65" s="516"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5" s="179">
        <v>0</v>
      </c>
      <c r="T65" s="179">
        <v>0</v>
      </c>
      <c r="U65" s="11" t="s">
        <v>687</v>
      </c>
      <c r="V65"/>
      <c r="W65" s="22" t="s">
        <v>436</v>
      </c>
      <c r="X65" s="22" t="s">
        <v>436</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11">
        <f>--(
  ISNUMBER(SEARCH("BASE PARENT", UPPER(CLEAN(TRIM(_xlfn.XLOOKUP(TEXT(Contract_Edits[[#This Row],[Index]],"0"), baseIdxTxt, baseCost, "")))))) +
  ISNUMBER(SEARCH("DEPENDENCY GROUP", UPPER(CLEAN(TRIM(_xlfn.XLOOKUP(TEXT(Contract_Edits[[#This Row],[Index]],"0"), baseIdxTxt, baseCost, ""))))))
)</f>
        <v>0</v>
      </c>
      <c r="AG65" s="511" t="str" cm="1">
        <f t="array" ref="AG65">IF(Contract_Edits[[#This Row],[BaseFlag]]=1,
   10*BaseDepthL(TEXT(Contract_Edits[[#This Row],[Index]],"0"),500,editsIdxTxt,editsParentKeyTxt,baseIdxTxt,baseCost)-5,
   ""
)</f>
        <v/>
      </c>
      <c r="AH65" s="511"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11" t="str">
        <f>IF(Contract_Edits[[#This Row],[Dep]]=0,"Root",
   IF(ISNUMBER(MATCH(Contract_Edits[[#This Row],[Dep]],Contract_Edits[Index],0)),"OK","Missing")
)</f>
        <v>OK</v>
      </c>
      <c r="AJ65" s="511" t="str">
        <f>IF(AND(Contract_Edits[[#This Row],[Dep]]&lt;&gt;0,
        ISNUMBER(MATCH(Contract_Edits[[#This Row],[Dep]], Contract_Edits[Index], 0)),
        INDEX(Contract_Edits[Dep], MATCH(Contract_Edits[[#This Row],[Dep]], Contract_Edits[Index], 0))=Contract_Edits[[#This Row],[Index]]),
   "2-cycle","")</f>
        <v/>
      </c>
      <c r="AK65" s="511" cm="1">
        <f t="array" ref="AK65">IF(Contract_Edits[[#This Row],[BaseFlag]]&lt;&gt;1,0,
   IF(TEXT(Contract_Edits[[#This Row],[Dep]],"0")=TEXT(Contract_Edits[[#This Row],[Index]],"0"),
      0,
      MAX(0, SUMPRODUCT(--(Contract_Edits[BaseFlag]=1),
                        --(TEXT(Contract_Edits[Dep],"0")=TEXT(Contract_Edits[[#This Row],[Dep]],"0"))) - 1)
   )
)</f>
        <v>0</v>
      </c>
      <c r="AL65" s="511" t="str" cm="1">
        <f t="array" ref="AL65">IF(Contract_Edits[[#This Row],[BaseFlag]]=1,
   TEXT(Contract_Edits[[#This Row],[Index]],"0"),
   NearestBaseL(TEXT(Contract_Edits[[#This Row],[ParentKey]],"0"),500,editsIdxTxt,editsParentKeyTxt,baseIdxTxt,baseCost)
)</f>
        <v>15</v>
      </c>
      <c r="AM65" s="511" cm="1">
        <f t="array" ref="AM65">1+SUMPRODUCT(
  (Contract_Edits[BaseFlag]=1)*
  (TEXT(Contract_Edits[ParentAnchor],"0")=TEXT(Contract_Edits[[#This Row],[ParentAnchor]],"0"))*
  (VALUE(TEXT(Contract_Edits[Index],"0"))&lt;VALUE(TEXT(Contract_Edits[[#This Row],[Index]],"0")))
)</f>
        <v>2</v>
      </c>
      <c r="AN65" s="511"/>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516</v>
      </c>
      <c r="B66" t="s">
        <v>513</v>
      </c>
      <c r="C66" t="s">
        <v>541</v>
      </c>
      <c r="D66" s="444" t="s">
        <v>531</v>
      </c>
      <c r="E66">
        <v>1</v>
      </c>
      <c r="F66" s="453">
        <v>0</v>
      </c>
      <c r="G66" s="188">
        <v>0</v>
      </c>
      <c r="H66">
        <v>15</v>
      </c>
      <c r="I66">
        <v>0</v>
      </c>
      <c r="J66">
        <v>16</v>
      </c>
      <c r="K66" s="104"/>
      <c r="L66" s="449">
        <v>16</v>
      </c>
      <c r="M66" s="449"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76"/>
      <c r="R66" s="516"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6" s="179">
        <v>0</v>
      </c>
      <c r="T66" s="179">
        <v>0</v>
      </c>
      <c r="U66" s="11"/>
      <c r="V66"/>
      <c r="W66" s="22" t="s">
        <v>436</v>
      </c>
      <c r="X66" s="22" t="s">
        <v>436</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11">
        <f>--(
  ISNUMBER(SEARCH("BASE PARENT", UPPER(CLEAN(TRIM(_xlfn.XLOOKUP(TEXT(Contract_Edits[[#This Row],[Index]],"0"), baseIdxTxt, baseCost, "")))))) +
  ISNUMBER(SEARCH("DEPENDENCY GROUP", UPPER(CLEAN(TRIM(_xlfn.XLOOKUP(TEXT(Contract_Edits[[#This Row],[Index]],"0"), baseIdxTxt, baseCost, ""))))))
)</f>
        <v>1</v>
      </c>
      <c r="AG66" s="511" cm="1">
        <f t="array" ref="AG66">IF(Contract_Edits[[#This Row],[BaseFlag]]=1,
   10*BaseDepthL(TEXT(Contract_Edits[[#This Row],[Index]],"0"),500,editsIdxTxt,editsParentKeyTxt,baseIdxTxt,baseCost)-5,
   ""
)</f>
        <v>155</v>
      </c>
      <c r="AH66" s="511"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11" t="str">
        <f>IF(Contract_Edits[[#This Row],[Dep]]=0,"Root",
   IF(ISNUMBER(MATCH(Contract_Edits[[#This Row],[Dep]],Contract_Edits[Index],0)),"OK","Missing")
)</f>
        <v>OK</v>
      </c>
      <c r="AJ66" s="511" t="str">
        <f>IF(AND(Contract_Edits[[#This Row],[Dep]]&lt;&gt;0,
        ISNUMBER(MATCH(Contract_Edits[[#This Row],[Dep]], Contract_Edits[Index], 0)),
        INDEX(Contract_Edits[Dep], MATCH(Contract_Edits[[#This Row],[Dep]], Contract_Edits[Index], 0))=Contract_Edits[[#This Row],[Index]]),
   "2-cycle","")</f>
        <v/>
      </c>
      <c r="AK66" s="511" cm="1">
        <f t="array" ref="AK66">IF(Contract_Edits[[#This Row],[BaseFlag]]&lt;&gt;1,0,
   IF(TEXT(Contract_Edits[[#This Row],[Dep]],"0")=TEXT(Contract_Edits[[#This Row],[Index]],"0"),
      0,
      MAX(0, SUMPRODUCT(--(Contract_Edits[BaseFlag]=1),
                        --(TEXT(Contract_Edits[Dep],"0")=TEXT(Contract_Edits[[#This Row],[Dep]],"0"))) - 1)
   )
)</f>
        <v>0</v>
      </c>
      <c r="AL66" s="511" t="str" cm="1">
        <f t="array" ref="AL66">IF(Contract_Edits[[#This Row],[BaseFlag]]=1,
   TEXT(Contract_Edits[[#This Row],[Index]],"0"),
   NearestBaseL(TEXT(Contract_Edits[[#This Row],[ParentKey]],"0"),500,editsIdxTxt,editsParentKeyTxt,baseIdxTxt,baseCost)
)</f>
        <v>16</v>
      </c>
      <c r="AM66" s="511" cm="1">
        <f t="array" ref="AM66">1+SUMPRODUCT(
  (Contract_Edits[BaseFlag]=1)*
  (TEXT(Contract_Edits[ParentAnchor],"0")=TEXT(Contract_Edits[[#This Row],[ParentAnchor]],"0"))*
  (VALUE(TEXT(Contract_Edits[Index],"0"))&lt;VALUE(TEXT(Contract_Edits[[#This Row],[Index]],"0")))
)</f>
        <v>1</v>
      </c>
      <c r="AN66" s="511"/>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629</v>
      </c>
      <c r="B67" t="s">
        <v>625</v>
      </c>
      <c r="C67" t="s">
        <v>557</v>
      </c>
      <c r="D67" s="444" t="s">
        <v>664</v>
      </c>
      <c r="E67">
        <v>1</v>
      </c>
      <c r="F67" s="453">
        <v>150</v>
      </c>
      <c r="G67" s="188">
        <v>150</v>
      </c>
      <c r="H67">
        <v>16</v>
      </c>
      <c r="I67">
        <v>150</v>
      </c>
      <c r="J67">
        <v>901</v>
      </c>
      <c r="K67" s="104"/>
      <c r="L67" s="449">
        <v>901</v>
      </c>
      <c r="M67" s="449"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76"/>
      <c r="R67" s="516"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7" s="179">
        <v>0</v>
      </c>
      <c r="T67" s="179">
        <v>0</v>
      </c>
      <c r="U67" s="11" t="s">
        <v>688</v>
      </c>
      <c r="V67"/>
      <c r="W67" s="22" t="s">
        <v>436</v>
      </c>
      <c r="X67" s="22" t="s">
        <v>436</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11">
        <f>--(
  ISNUMBER(SEARCH("BASE PARENT", UPPER(CLEAN(TRIM(_xlfn.XLOOKUP(TEXT(Contract_Edits[[#This Row],[Index]],"0"), baseIdxTxt, baseCost, "")))))) +
  ISNUMBER(SEARCH("DEPENDENCY GROUP", UPPER(CLEAN(TRIM(_xlfn.XLOOKUP(TEXT(Contract_Edits[[#This Row],[Index]],"0"), baseIdxTxt, baseCost, ""))))))
)</f>
        <v>0</v>
      </c>
      <c r="AG67" s="511" t="str" cm="1">
        <f t="array" ref="AG67">IF(Contract_Edits[[#This Row],[BaseFlag]]=1,
   10*BaseDepthL(TEXT(Contract_Edits[[#This Row],[Index]],"0"),500,editsIdxTxt,editsParentKeyTxt,baseIdxTxt,baseCost)-5,
   ""
)</f>
        <v/>
      </c>
      <c r="AH67" s="511"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11" t="str">
        <f>IF(Contract_Edits[[#This Row],[Dep]]=0,"Root",
   IF(ISNUMBER(MATCH(Contract_Edits[[#This Row],[Dep]],Contract_Edits[Index],0)),"OK","Missing")
)</f>
        <v>OK</v>
      </c>
      <c r="AJ67" s="511" t="str">
        <f>IF(AND(Contract_Edits[[#This Row],[Dep]]&lt;&gt;0,
        ISNUMBER(MATCH(Contract_Edits[[#This Row],[Dep]], Contract_Edits[Index], 0)),
        INDEX(Contract_Edits[Dep], MATCH(Contract_Edits[[#This Row],[Dep]], Contract_Edits[Index], 0))=Contract_Edits[[#This Row],[Index]]),
   "2-cycle","")</f>
        <v/>
      </c>
      <c r="AK67" s="511" cm="1">
        <f t="array" ref="AK67">IF(Contract_Edits[[#This Row],[BaseFlag]]&lt;&gt;1,0,
   IF(TEXT(Contract_Edits[[#This Row],[Dep]],"0")=TEXT(Contract_Edits[[#This Row],[Index]],"0"),
      0,
      MAX(0, SUMPRODUCT(--(Contract_Edits[BaseFlag]=1),
                        --(TEXT(Contract_Edits[Dep],"0")=TEXT(Contract_Edits[[#This Row],[Dep]],"0"))) - 1)
   )
)</f>
        <v>0</v>
      </c>
      <c r="AL67" s="511" t="str" cm="1">
        <f t="array" ref="AL67">IF(Contract_Edits[[#This Row],[BaseFlag]]=1,
   TEXT(Contract_Edits[[#This Row],[Index]],"0"),
   NearestBaseL(TEXT(Contract_Edits[[#This Row],[ParentKey]],"0"),500,editsIdxTxt,editsParentKeyTxt,baseIdxTxt,baseCost)
)</f>
        <v>16</v>
      </c>
      <c r="AM67" s="511" cm="1">
        <f t="array" ref="AM67">1+SUMPRODUCT(
  (Contract_Edits[BaseFlag]=1)*
  (TEXT(Contract_Edits[ParentAnchor],"0")=TEXT(Contract_Edits[[#This Row],[ParentAnchor]],"0"))*
  (VALUE(TEXT(Contract_Edits[Index],"0"))&lt;VALUE(TEXT(Contract_Edits[[#This Row],[Index]],"0")))
)</f>
        <v>2</v>
      </c>
      <c r="AN67" s="511"/>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629</v>
      </c>
      <c r="B68" t="s">
        <v>624</v>
      </c>
      <c r="C68" t="s">
        <v>531</v>
      </c>
      <c r="D68" s="444" t="s">
        <v>665</v>
      </c>
      <c r="E68">
        <v>1</v>
      </c>
      <c r="F68" s="453">
        <v>0</v>
      </c>
      <c r="G68" s="188">
        <v>0</v>
      </c>
      <c r="H68">
        <v>16</v>
      </c>
      <c r="I68">
        <v>0</v>
      </c>
      <c r="J68">
        <v>907</v>
      </c>
      <c r="K68" s="104"/>
      <c r="L68" s="449">
        <v>907</v>
      </c>
      <c r="M68" s="449"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88"/>
      <c r="R68" s="516"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8" s="179">
        <v>0</v>
      </c>
      <c r="T68" s="477"/>
      <c r="U68" s="500" t="s">
        <v>688</v>
      </c>
      <c r="V68" s="193"/>
      <c r="W68" s="22" t="s">
        <v>436</v>
      </c>
      <c r="X68" s="22" t="s">
        <v>436</v>
      </c>
      <c r="Y68" s="492"/>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11">
        <f>--(
  ISNUMBER(SEARCH("BASE PARENT", UPPER(CLEAN(TRIM(_xlfn.XLOOKUP(TEXT(Contract_Edits[[#This Row],[Index]],"0"), baseIdxTxt, baseCost, "")))))) +
  ISNUMBER(SEARCH("DEPENDENCY GROUP", UPPER(CLEAN(TRIM(_xlfn.XLOOKUP(TEXT(Contract_Edits[[#This Row],[Index]],"0"), baseIdxTxt, baseCost, ""))))))
)</f>
        <v>0</v>
      </c>
      <c r="AG68" s="511" t="str" cm="1">
        <f t="array" ref="AG68">IF(Contract_Edits[[#This Row],[BaseFlag]]=1,
   10*BaseDepthL(TEXT(Contract_Edits[[#This Row],[Index]],"0"),500,editsIdxTxt,editsParentKeyTxt,baseIdxTxt,baseCost)-5,
   ""
)</f>
        <v/>
      </c>
      <c r="AH68" s="511"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11" t="str">
        <f>IF(Contract_Edits[[#This Row],[Dep]]=0,"Root",
   IF(ISNUMBER(MATCH(Contract_Edits[[#This Row],[Dep]],Contract_Edits[Index],0)),"OK","Missing")
)</f>
        <v>OK</v>
      </c>
      <c r="AJ68" s="511" t="str">
        <f>IF(AND(Contract_Edits[[#This Row],[Dep]]&lt;&gt;0,
        ISNUMBER(MATCH(Contract_Edits[[#This Row],[Dep]], Contract_Edits[Index], 0)),
        INDEX(Contract_Edits[Dep], MATCH(Contract_Edits[[#This Row],[Dep]], Contract_Edits[Index], 0))=Contract_Edits[[#This Row],[Index]]),
   "2-cycle","")</f>
        <v/>
      </c>
      <c r="AK68" s="511" cm="1">
        <f t="array" ref="AK68">IF(Contract_Edits[[#This Row],[BaseFlag]]&lt;&gt;1,0,
   IF(TEXT(Contract_Edits[[#This Row],[Dep]],"0")=TEXT(Contract_Edits[[#This Row],[Index]],"0"),
      0,
      MAX(0, SUMPRODUCT(--(Contract_Edits[BaseFlag]=1),
                        --(TEXT(Contract_Edits[Dep],"0")=TEXT(Contract_Edits[[#This Row],[Dep]],"0"))) - 1)
   )
)</f>
        <v>0</v>
      </c>
      <c r="AL68" s="511" t="str" cm="1">
        <f t="array" ref="AL68">IF(Contract_Edits[[#This Row],[BaseFlag]]=1,
   TEXT(Contract_Edits[[#This Row],[Index]],"0"),
   NearestBaseL(TEXT(Contract_Edits[[#This Row],[ParentKey]],"0"),500,editsIdxTxt,editsParentKeyTxt,baseIdxTxt,baseCost)
)</f>
        <v>16</v>
      </c>
      <c r="AM68" s="511" cm="1">
        <f t="array" ref="AM68">1+SUMPRODUCT(
  (Contract_Edits[BaseFlag]=1)*
  (TEXT(Contract_Edits[ParentAnchor],"0")=TEXT(Contract_Edits[[#This Row],[ParentAnchor]],"0"))*
  (VALUE(TEXT(Contract_Edits[Index],"0"))&lt;VALUE(TEXT(Contract_Edits[[#This Row],[Index]],"0")))
)</f>
        <v>2</v>
      </c>
      <c r="AN68" s="511"/>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559</v>
      </c>
      <c r="B69" t="s">
        <v>531</v>
      </c>
      <c r="C69" t="s">
        <v>578</v>
      </c>
      <c r="D69" s="444" t="s">
        <v>579</v>
      </c>
      <c r="E69">
        <v>1</v>
      </c>
      <c r="F69" s="453"/>
      <c r="G69" s="188"/>
      <c r="H69">
        <v>0</v>
      </c>
      <c r="I69"/>
      <c r="J69">
        <v>53</v>
      </c>
      <c r="K69" s="104"/>
      <c r="L69" s="449">
        <v>53</v>
      </c>
      <c r="M69" s="449"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76"/>
      <c r="R69" s="516"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69" s="179">
        <v>0</v>
      </c>
      <c r="T69" s="179">
        <v>0</v>
      </c>
      <c r="U69" s="11" t="s">
        <v>688</v>
      </c>
      <c r="V69"/>
      <c r="W69" s="22" t="s">
        <v>436</v>
      </c>
      <c r="X69" s="22" t="s">
        <v>436</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11">
        <f>--(
  ISNUMBER(SEARCH("BASE PARENT", UPPER(CLEAN(TRIM(_xlfn.XLOOKUP(TEXT(Contract_Edits[[#This Row],[Index]],"0"), baseIdxTxt, baseCost, "")))))) +
  ISNUMBER(SEARCH("DEPENDENCY GROUP", UPPER(CLEAN(TRIM(_xlfn.XLOOKUP(TEXT(Contract_Edits[[#This Row],[Index]],"0"), baseIdxTxt, baseCost, ""))))))
)</f>
        <v>0</v>
      </c>
      <c r="AG69" s="511" t="str" cm="1">
        <f t="array" ref="AG69">IF(Contract_Edits[[#This Row],[BaseFlag]]=1,
   10*BaseDepthL(TEXT(Contract_Edits[[#This Row],[Index]],"0"),500,editsIdxTxt,editsParentKeyTxt,baseIdxTxt,baseCost)-5,
   ""
)</f>
        <v/>
      </c>
      <c r="AH69" s="511"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11" t="str">
        <f>IF(Contract_Edits[[#This Row],[Dep]]=0,"Root",
   IF(ISNUMBER(MATCH(Contract_Edits[[#This Row],[Dep]],Contract_Edits[Index],0)),"OK","Missing")
)</f>
        <v>OK</v>
      </c>
      <c r="AJ69" s="511" t="str">
        <f>IF(AND(Contract_Edits[[#This Row],[Dep]]&lt;&gt;0,
        ISNUMBER(MATCH(Contract_Edits[[#This Row],[Dep]], Contract_Edits[Index], 0)),
        INDEX(Contract_Edits[Dep], MATCH(Contract_Edits[[#This Row],[Dep]], Contract_Edits[Index], 0))=Contract_Edits[[#This Row],[Index]]),
   "2-cycle","")</f>
        <v/>
      </c>
      <c r="AK69" s="511" cm="1">
        <f t="array" ref="AK69">IF(Contract_Edits[[#This Row],[BaseFlag]]&lt;&gt;1,0,
   IF(TEXT(Contract_Edits[[#This Row],[Dep]],"0")=TEXT(Contract_Edits[[#This Row],[Index]],"0"),
      0,
      MAX(0, SUMPRODUCT(--(Contract_Edits[BaseFlag]=1),
                        --(TEXT(Contract_Edits[Dep],"0")=TEXT(Contract_Edits[[#This Row],[Dep]],"0"))) - 1)
   )
)</f>
        <v>0</v>
      </c>
      <c r="AL69" s="511" t="str" cm="1">
        <f t="array" ref="AL69">IF(Contract_Edits[[#This Row],[BaseFlag]]=1,
   TEXT(Contract_Edits[[#This Row],[Index]],"0"),
   NearestBaseL(TEXT(Contract_Edits[[#This Row],[ParentKey]],"0"),500,editsIdxTxt,editsParentKeyTxt,baseIdxTxt,baseCost)
)</f>
        <v>16</v>
      </c>
      <c r="AM69" s="511" cm="1">
        <f t="array" ref="AM69">1+SUMPRODUCT(
  (Contract_Edits[BaseFlag]=1)*
  (TEXT(Contract_Edits[ParentAnchor],"0")=TEXT(Contract_Edits[[#This Row],[ParentAnchor]],"0"))*
  (VALUE(TEXT(Contract_Edits[Index],"0"))&lt;VALUE(TEXT(Contract_Edits[[#This Row],[Index]],"0")))
)</f>
        <v>2</v>
      </c>
      <c r="AN69" s="511"/>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559</v>
      </c>
      <c r="B70" t="s">
        <v>557</v>
      </c>
      <c r="C70" t="s">
        <v>557</v>
      </c>
      <c r="D70" s="444" t="s">
        <v>558</v>
      </c>
      <c r="E70">
        <v>1</v>
      </c>
      <c r="F70" s="453"/>
      <c r="G70" s="188"/>
      <c r="H70">
        <v>0</v>
      </c>
      <c r="I70"/>
      <c r="J70">
        <v>31</v>
      </c>
      <c r="K70" s="104"/>
      <c r="L70" s="449">
        <v>31</v>
      </c>
      <c r="M70" s="449"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76"/>
      <c r="R70" s="516"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0" s="179">
        <v>0</v>
      </c>
      <c r="T70" s="179">
        <v>0</v>
      </c>
      <c r="U70" s="11" t="s">
        <v>688</v>
      </c>
      <c r="V70"/>
      <c r="W70" s="22" t="s">
        <v>436</v>
      </c>
      <c r="X70" s="22" t="s">
        <v>436</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11">
        <f>--(
  ISNUMBER(SEARCH("BASE PARENT", UPPER(CLEAN(TRIM(_xlfn.XLOOKUP(TEXT(Contract_Edits[[#This Row],[Index]],"0"), baseIdxTxt, baseCost, "")))))) +
  ISNUMBER(SEARCH("DEPENDENCY GROUP", UPPER(CLEAN(TRIM(_xlfn.XLOOKUP(TEXT(Contract_Edits[[#This Row],[Index]],"0"), baseIdxTxt, baseCost, ""))))))
)</f>
        <v>0</v>
      </c>
      <c r="AG70" s="511" t="str" cm="1">
        <f t="array" ref="AG70">IF(Contract_Edits[[#This Row],[BaseFlag]]=1,
   10*BaseDepthL(TEXT(Contract_Edits[[#This Row],[Index]],"0"),500,editsIdxTxt,editsParentKeyTxt,baseIdxTxt,baseCost)-5,
   ""
)</f>
        <v/>
      </c>
      <c r="AH70" s="511"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11" t="str">
        <f>IF(Contract_Edits[[#This Row],[Dep]]=0,"Root",
   IF(ISNUMBER(MATCH(Contract_Edits[[#This Row],[Dep]],Contract_Edits[Index],0)),"OK","Missing")
)</f>
        <v>OK</v>
      </c>
      <c r="AJ70" s="511" t="str">
        <f>IF(AND(Contract_Edits[[#This Row],[Dep]]&lt;&gt;0,
        ISNUMBER(MATCH(Contract_Edits[[#This Row],[Dep]], Contract_Edits[Index], 0)),
        INDEX(Contract_Edits[Dep], MATCH(Contract_Edits[[#This Row],[Dep]], Contract_Edits[Index], 0))=Contract_Edits[[#This Row],[Index]]),
   "2-cycle","")</f>
        <v/>
      </c>
      <c r="AK70" s="511" cm="1">
        <f t="array" ref="AK70">IF(Contract_Edits[[#This Row],[BaseFlag]]&lt;&gt;1,0,
   IF(TEXT(Contract_Edits[[#This Row],[Dep]],"0")=TEXT(Contract_Edits[[#This Row],[Index]],"0"),
      0,
      MAX(0, SUMPRODUCT(--(Contract_Edits[BaseFlag]=1),
                        --(TEXT(Contract_Edits[Dep],"0")=TEXT(Contract_Edits[[#This Row],[Dep]],"0"))) - 1)
   )
)</f>
        <v>0</v>
      </c>
      <c r="AL70" s="511" t="str" cm="1">
        <f t="array" ref="AL70">IF(Contract_Edits[[#This Row],[BaseFlag]]=1,
   TEXT(Contract_Edits[[#This Row],[Index]],"0"),
   NearestBaseL(TEXT(Contract_Edits[[#This Row],[ParentKey]],"0"),500,editsIdxTxt,editsParentKeyTxt,baseIdxTxt,baseCost)
)</f>
        <v>16</v>
      </c>
      <c r="AM70" s="511" cm="1">
        <f t="array" ref="AM70">1+SUMPRODUCT(
  (Contract_Edits[BaseFlag]=1)*
  (TEXT(Contract_Edits[ParentAnchor],"0")=TEXT(Contract_Edits[[#This Row],[ParentAnchor]],"0"))*
  (VALUE(TEXT(Contract_Edits[Index],"0"))&lt;VALUE(TEXT(Contract_Edits[[#This Row],[Index]],"0")))
)</f>
        <v>2</v>
      </c>
      <c r="AN70" s="511"/>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559</v>
      </c>
      <c r="B71" t="s">
        <v>531</v>
      </c>
      <c r="C71" t="s">
        <v>594</v>
      </c>
      <c r="D71" s="444" t="s">
        <v>596</v>
      </c>
      <c r="E71">
        <v>1</v>
      </c>
      <c r="F71" s="453"/>
      <c r="G71" s="188"/>
      <c r="H71">
        <v>0</v>
      </c>
      <c r="I71"/>
      <c r="J71">
        <v>71</v>
      </c>
      <c r="K71" s="104"/>
      <c r="L71" s="449">
        <v>71</v>
      </c>
      <c r="M71" s="449"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76"/>
      <c r="R71" s="516"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1" s="179">
        <v>0</v>
      </c>
      <c r="T71" s="179">
        <v>0</v>
      </c>
      <c r="U71" s="11" t="s">
        <v>688</v>
      </c>
      <c r="V71"/>
      <c r="W71" s="22" t="s">
        <v>436</v>
      </c>
      <c r="X71" s="22" t="s">
        <v>436</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11">
        <f>--(
  ISNUMBER(SEARCH("BASE PARENT", UPPER(CLEAN(TRIM(_xlfn.XLOOKUP(TEXT(Contract_Edits[[#This Row],[Index]],"0"), baseIdxTxt, baseCost, "")))))) +
  ISNUMBER(SEARCH("DEPENDENCY GROUP", UPPER(CLEAN(TRIM(_xlfn.XLOOKUP(TEXT(Contract_Edits[[#This Row],[Index]],"0"), baseIdxTxt, baseCost, ""))))))
)</f>
        <v>0</v>
      </c>
      <c r="AG71" s="511" t="str" cm="1">
        <f t="array" ref="AG71">IF(Contract_Edits[[#This Row],[BaseFlag]]=1,
   10*BaseDepthL(TEXT(Contract_Edits[[#This Row],[Index]],"0"),500,editsIdxTxt,editsParentKeyTxt,baseIdxTxt,baseCost)-5,
   ""
)</f>
        <v/>
      </c>
      <c r="AH71" s="511"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11" t="str">
        <f>IF(Contract_Edits[[#This Row],[Dep]]=0,"Root",
   IF(ISNUMBER(MATCH(Contract_Edits[[#This Row],[Dep]],Contract_Edits[Index],0)),"OK","Missing")
)</f>
        <v>OK</v>
      </c>
      <c r="AJ71" s="511" t="str">
        <f>IF(AND(Contract_Edits[[#This Row],[Dep]]&lt;&gt;0,
        ISNUMBER(MATCH(Contract_Edits[[#This Row],[Dep]], Contract_Edits[Index], 0)),
        INDEX(Contract_Edits[Dep], MATCH(Contract_Edits[[#This Row],[Dep]], Contract_Edits[Index], 0))=Contract_Edits[[#This Row],[Index]]),
   "2-cycle","")</f>
        <v/>
      </c>
      <c r="AK71" s="511" cm="1">
        <f t="array" ref="AK71">IF(Contract_Edits[[#This Row],[BaseFlag]]&lt;&gt;1,0,
   IF(TEXT(Contract_Edits[[#This Row],[Dep]],"0")=TEXT(Contract_Edits[[#This Row],[Index]],"0"),
      0,
      MAX(0, SUMPRODUCT(--(Contract_Edits[BaseFlag]=1),
                        --(TEXT(Contract_Edits[Dep],"0")=TEXT(Contract_Edits[[#This Row],[Dep]],"0"))) - 1)
   )
)</f>
        <v>0</v>
      </c>
      <c r="AL71" s="511" t="str" cm="1">
        <f t="array" ref="AL71">IF(Contract_Edits[[#This Row],[BaseFlag]]=1,
   TEXT(Contract_Edits[[#This Row],[Index]],"0"),
   NearestBaseL(TEXT(Contract_Edits[[#This Row],[ParentKey]],"0"),500,editsIdxTxt,editsParentKeyTxt,baseIdxTxt,baseCost)
)</f>
        <v>16</v>
      </c>
      <c r="AM71" s="511" cm="1">
        <f t="array" ref="AM71">1+SUMPRODUCT(
  (Contract_Edits[BaseFlag]=1)*
  (TEXT(Contract_Edits[ParentAnchor],"0")=TEXT(Contract_Edits[[#This Row],[ParentAnchor]],"0"))*
  (VALUE(TEXT(Contract_Edits[Index],"0"))&lt;VALUE(TEXT(Contract_Edits[[#This Row],[Index]],"0")))
)</f>
        <v>2</v>
      </c>
      <c r="AN71" s="511"/>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516</v>
      </c>
      <c r="B72" t="s">
        <v>513</v>
      </c>
      <c r="C72" t="s">
        <v>541</v>
      </c>
      <c r="D72" s="444" t="s">
        <v>520</v>
      </c>
      <c r="E72">
        <v>1</v>
      </c>
      <c r="F72" s="453">
        <v>0</v>
      </c>
      <c r="G72" s="188">
        <v>0</v>
      </c>
      <c r="H72">
        <v>16</v>
      </c>
      <c r="I72">
        <v>0</v>
      </c>
      <c r="J72">
        <v>17</v>
      </c>
      <c r="K72" s="104"/>
      <c r="L72" s="449">
        <v>17</v>
      </c>
      <c r="M72" s="449"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76"/>
      <c r="R72" s="516"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2" s="179">
        <v>0</v>
      </c>
      <c r="T72" s="179">
        <v>0</v>
      </c>
      <c r="U72" s="11"/>
      <c r="V72"/>
      <c r="W72" s="22" t="s">
        <v>436</v>
      </c>
      <c r="X72" s="22" t="s">
        <v>436</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11">
        <f>--(
  ISNUMBER(SEARCH("BASE PARENT", UPPER(CLEAN(TRIM(_xlfn.XLOOKUP(TEXT(Contract_Edits[[#This Row],[Index]],"0"), baseIdxTxt, baseCost, "")))))) +
  ISNUMBER(SEARCH("DEPENDENCY GROUP", UPPER(CLEAN(TRIM(_xlfn.XLOOKUP(TEXT(Contract_Edits[[#This Row],[Index]],"0"), baseIdxTxt, baseCost, ""))))))
)</f>
        <v>1</v>
      </c>
      <c r="AG72" s="511" cm="1">
        <f t="array" ref="AG72">IF(Contract_Edits[[#This Row],[BaseFlag]]=1,
   10*BaseDepthL(TEXT(Contract_Edits[[#This Row],[Index]],"0"),500,editsIdxTxt,editsParentKeyTxt,baseIdxTxt,baseCost)-5,
   ""
)</f>
        <v>165</v>
      </c>
      <c r="AH72" s="511"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11" t="str">
        <f>IF(Contract_Edits[[#This Row],[Dep]]=0,"Root",
   IF(ISNUMBER(MATCH(Contract_Edits[[#This Row],[Dep]],Contract_Edits[Index],0)),"OK","Missing")
)</f>
        <v>OK</v>
      </c>
      <c r="AJ72" s="511" t="str">
        <f>IF(AND(Contract_Edits[[#This Row],[Dep]]&lt;&gt;0,
        ISNUMBER(MATCH(Contract_Edits[[#This Row],[Dep]], Contract_Edits[Index], 0)),
        INDEX(Contract_Edits[Dep], MATCH(Contract_Edits[[#This Row],[Dep]], Contract_Edits[Index], 0))=Contract_Edits[[#This Row],[Index]]),
   "2-cycle","")</f>
        <v/>
      </c>
      <c r="AK72" s="511" cm="1">
        <f t="array" ref="AK72">IF(Contract_Edits[[#This Row],[BaseFlag]]&lt;&gt;1,0,
   IF(TEXT(Contract_Edits[[#This Row],[Dep]],"0")=TEXT(Contract_Edits[[#This Row],[Index]],"0"),
      0,
      MAX(0, SUMPRODUCT(--(Contract_Edits[BaseFlag]=1),
                        --(TEXT(Contract_Edits[Dep],"0")=TEXT(Contract_Edits[[#This Row],[Dep]],"0"))) - 1)
   )
)</f>
        <v>0</v>
      </c>
      <c r="AL72" s="511" t="str" cm="1">
        <f t="array" ref="AL72">IF(Contract_Edits[[#This Row],[BaseFlag]]=1,
   TEXT(Contract_Edits[[#This Row],[Index]],"0"),
   NearestBaseL(TEXT(Contract_Edits[[#This Row],[ParentKey]],"0"),500,editsIdxTxt,editsParentKeyTxt,baseIdxTxt,baseCost)
)</f>
        <v>17</v>
      </c>
      <c r="AM72" s="511" cm="1">
        <f t="array" ref="AM72">1+SUMPRODUCT(
  (Contract_Edits[BaseFlag]=1)*
  (TEXT(Contract_Edits[ParentAnchor],"0")=TEXT(Contract_Edits[[#This Row],[ParentAnchor]],"0"))*
  (VALUE(TEXT(Contract_Edits[Index],"0"))&lt;VALUE(TEXT(Contract_Edits[[#This Row],[Index]],"0")))
)</f>
        <v>1</v>
      </c>
      <c r="AN72" s="511"/>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559</v>
      </c>
      <c r="B73" t="s">
        <v>591</v>
      </c>
      <c r="C73" t="s">
        <v>601</v>
      </c>
      <c r="D73" s="444" t="s">
        <v>602</v>
      </c>
      <c r="E73">
        <v>1</v>
      </c>
      <c r="F73" s="453"/>
      <c r="G73" s="188"/>
      <c r="H73">
        <v>0</v>
      </c>
      <c r="I73"/>
      <c r="J73">
        <v>78</v>
      </c>
      <c r="K73" s="104"/>
      <c r="L73" s="449">
        <v>78</v>
      </c>
      <c r="M73" s="449"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88"/>
      <c r="R73" s="516"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3" s="179">
        <v>0</v>
      </c>
      <c r="T73" s="477"/>
      <c r="U73" s="500" t="s">
        <v>689</v>
      </c>
      <c r="V73" s="193"/>
      <c r="W73" s="22" t="s">
        <v>436</v>
      </c>
      <c r="X73" s="22" t="s">
        <v>436</v>
      </c>
      <c r="Y73" s="492"/>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11">
        <f>--(
  ISNUMBER(SEARCH("BASE PARENT", UPPER(CLEAN(TRIM(_xlfn.XLOOKUP(TEXT(Contract_Edits[[#This Row],[Index]],"0"), baseIdxTxt, baseCost, "")))))) +
  ISNUMBER(SEARCH("DEPENDENCY GROUP", UPPER(CLEAN(TRIM(_xlfn.XLOOKUP(TEXT(Contract_Edits[[#This Row],[Index]],"0"), baseIdxTxt, baseCost, ""))))))
)</f>
        <v>0</v>
      </c>
      <c r="AG73" s="511" t="str" cm="1">
        <f t="array" ref="AG73">IF(Contract_Edits[[#This Row],[BaseFlag]]=1,
   10*BaseDepthL(TEXT(Contract_Edits[[#This Row],[Index]],"0"),500,editsIdxTxt,editsParentKeyTxt,baseIdxTxt,baseCost)-5,
   ""
)</f>
        <v/>
      </c>
      <c r="AH73" s="511"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11" t="str">
        <f>IF(Contract_Edits[[#This Row],[Dep]]=0,"Root",
   IF(ISNUMBER(MATCH(Contract_Edits[[#This Row],[Dep]],Contract_Edits[Index],0)),"OK","Missing")
)</f>
        <v>OK</v>
      </c>
      <c r="AJ73" s="511" t="str">
        <f>IF(AND(Contract_Edits[[#This Row],[Dep]]&lt;&gt;0,
        ISNUMBER(MATCH(Contract_Edits[[#This Row],[Dep]], Contract_Edits[Index], 0)),
        INDEX(Contract_Edits[Dep], MATCH(Contract_Edits[[#This Row],[Dep]], Contract_Edits[Index], 0))=Contract_Edits[[#This Row],[Index]]),
   "2-cycle","")</f>
        <v/>
      </c>
      <c r="AK73" s="511" cm="1">
        <f t="array" ref="AK73">IF(Contract_Edits[[#This Row],[BaseFlag]]&lt;&gt;1,0,
   IF(TEXT(Contract_Edits[[#This Row],[Dep]],"0")=TEXT(Contract_Edits[[#This Row],[Index]],"0"),
      0,
      MAX(0, SUMPRODUCT(--(Contract_Edits[BaseFlag]=1),
                        --(TEXT(Contract_Edits[Dep],"0")=TEXT(Contract_Edits[[#This Row],[Dep]],"0"))) - 1)
   )
)</f>
        <v>0</v>
      </c>
      <c r="AL73" s="511" t="str" cm="1">
        <f t="array" ref="AL73">IF(Contract_Edits[[#This Row],[BaseFlag]]=1,
   TEXT(Contract_Edits[[#This Row],[Index]],"0"),
   NearestBaseL(TEXT(Contract_Edits[[#This Row],[ParentKey]],"0"),500,editsIdxTxt,editsParentKeyTxt,baseIdxTxt,baseCost)
)</f>
        <v>17</v>
      </c>
      <c r="AM73" s="511" cm="1">
        <f t="array" ref="AM73">1+SUMPRODUCT(
  (Contract_Edits[BaseFlag]=1)*
  (TEXT(Contract_Edits[ParentAnchor],"0")=TEXT(Contract_Edits[[#This Row],[ParentAnchor]],"0"))*
  (VALUE(TEXT(Contract_Edits[Index],"0"))&lt;VALUE(TEXT(Contract_Edits[[#This Row],[Index]],"0")))
)</f>
        <v>2</v>
      </c>
      <c r="AN73" s="511"/>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629</v>
      </c>
      <c r="B74" t="s">
        <v>624</v>
      </c>
      <c r="C74" t="s">
        <v>520</v>
      </c>
      <c r="D74" s="444" t="s">
        <v>666</v>
      </c>
      <c r="E74">
        <v>1</v>
      </c>
      <c r="F74" s="453">
        <v>44.58382499999999</v>
      </c>
      <c r="G74" s="188">
        <v>44.58382499999999</v>
      </c>
      <c r="H74">
        <v>17</v>
      </c>
      <c r="I74">
        <v>44.58382499999999</v>
      </c>
      <c r="J74">
        <v>902</v>
      </c>
      <c r="K74" s="104"/>
      <c r="L74" s="449">
        <v>902</v>
      </c>
      <c r="M74" s="449"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88"/>
      <c r="R74" s="516"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4" s="179">
        <v>0</v>
      </c>
      <c r="T74" s="477"/>
      <c r="U74" s="500" t="s">
        <v>689</v>
      </c>
      <c r="V74" s="193"/>
      <c r="W74" s="22" t="s">
        <v>436</v>
      </c>
      <c r="X74" s="22" t="s">
        <v>436</v>
      </c>
      <c r="Y74" s="492"/>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11">
        <f>--(
  ISNUMBER(SEARCH("BASE PARENT", UPPER(CLEAN(TRIM(_xlfn.XLOOKUP(TEXT(Contract_Edits[[#This Row],[Index]],"0"), baseIdxTxt, baseCost, "")))))) +
  ISNUMBER(SEARCH("DEPENDENCY GROUP", UPPER(CLEAN(TRIM(_xlfn.XLOOKUP(TEXT(Contract_Edits[[#This Row],[Index]],"0"), baseIdxTxt, baseCost, ""))))))
)</f>
        <v>0</v>
      </c>
      <c r="AG74" s="511" t="str" cm="1">
        <f t="array" ref="AG74">IF(Contract_Edits[[#This Row],[BaseFlag]]=1,
   10*BaseDepthL(TEXT(Contract_Edits[[#This Row],[Index]],"0"),500,editsIdxTxt,editsParentKeyTxt,baseIdxTxt,baseCost)-5,
   ""
)</f>
        <v/>
      </c>
      <c r="AH74" s="511"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11" t="str">
        <f>IF(Contract_Edits[[#This Row],[Dep]]=0,"Root",
   IF(ISNUMBER(MATCH(Contract_Edits[[#This Row],[Dep]],Contract_Edits[Index],0)),"OK","Missing")
)</f>
        <v>OK</v>
      </c>
      <c r="AJ74" s="511" t="str">
        <f>IF(AND(Contract_Edits[[#This Row],[Dep]]&lt;&gt;0,
        ISNUMBER(MATCH(Contract_Edits[[#This Row],[Dep]], Contract_Edits[Index], 0)),
        INDEX(Contract_Edits[Dep], MATCH(Contract_Edits[[#This Row],[Dep]], Contract_Edits[Index], 0))=Contract_Edits[[#This Row],[Index]]),
   "2-cycle","")</f>
        <v/>
      </c>
      <c r="AK74" s="511" cm="1">
        <f t="array" ref="AK74">IF(Contract_Edits[[#This Row],[BaseFlag]]&lt;&gt;1,0,
   IF(TEXT(Contract_Edits[[#This Row],[Dep]],"0")=TEXT(Contract_Edits[[#This Row],[Index]],"0"),
      0,
      MAX(0, SUMPRODUCT(--(Contract_Edits[BaseFlag]=1),
                        --(TEXT(Contract_Edits[Dep],"0")=TEXT(Contract_Edits[[#This Row],[Dep]],"0"))) - 1)
   )
)</f>
        <v>0</v>
      </c>
      <c r="AL74" s="511" t="str" cm="1">
        <f t="array" ref="AL74">IF(Contract_Edits[[#This Row],[BaseFlag]]=1,
   TEXT(Contract_Edits[[#This Row],[Index]],"0"),
   NearestBaseL(TEXT(Contract_Edits[[#This Row],[ParentKey]],"0"),500,editsIdxTxt,editsParentKeyTxt,baseIdxTxt,baseCost)
)</f>
        <v>17</v>
      </c>
      <c r="AM74" s="511" cm="1">
        <f t="array" ref="AM74">1+SUMPRODUCT(
  (Contract_Edits[BaseFlag]=1)*
  (TEXT(Contract_Edits[ParentAnchor],"0")=TEXT(Contract_Edits[[#This Row],[ParentAnchor]],"0"))*
  (VALUE(TEXT(Contract_Edits[Index],"0"))&lt;VALUE(TEXT(Contract_Edits[[#This Row],[Index]],"0")))
)</f>
        <v>2</v>
      </c>
      <c r="AN74" s="511"/>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559</v>
      </c>
      <c r="B75" t="s">
        <v>591</v>
      </c>
      <c r="C75" t="s">
        <v>592</v>
      </c>
      <c r="D75" s="444" t="s">
        <v>593</v>
      </c>
      <c r="E75">
        <v>1</v>
      </c>
      <c r="F75" s="453"/>
      <c r="G75" s="188"/>
      <c r="H75">
        <v>0</v>
      </c>
      <c r="I75"/>
      <c r="J75">
        <v>67</v>
      </c>
      <c r="K75" s="104"/>
      <c r="L75" s="449">
        <v>67</v>
      </c>
      <c r="M75" s="449"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76"/>
      <c r="R75" s="516"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5" s="179">
        <v>0</v>
      </c>
      <c r="T75" s="179">
        <v>0</v>
      </c>
      <c r="U75" s="11" t="s">
        <v>689</v>
      </c>
      <c r="V75"/>
      <c r="W75" s="22" t="s">
        <v>436</v>
      </c>
      <c r="X75" s="22" t="s">
        <v>436</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11">
        <f>--(
  ISNUMBER(SEARCH("BASE PARENT", UPPER(CLEAN(TRIM(_xlfn.XLOOKUP(TEXT(Contract_Edits[[#This Row],[Index]],"0"), baseIdxTxt, baseCost, "")))))) +
  ISNUMBER(SEARCH("DEPENDENCY GROUP", UPPER(CLEAN(TRIM(_xlfn.XLOOKUP(TEXT(Contract_Edits[[#This Row],[Index]],"0"), baseIdxTxt, baseCost, ""))))))
)</f>
        <v>0</v>
      </c>
      <c r="AG75" s="511" t="str" cm="1">
        <f t="array" ref="AG75">IF(Contract_Edits[[#This Row],[BaseFlag]]=1,
   10*BaseDepthL(TEXT(Contract_Edits[[#This Row],[Index]],"0"),500,editsIdxTxt,editsParentKeyTxt,baseIdxTxt,baseCost)-5,
   ""
)</f>
        <v/>
      </c>
      <c r="AH75" s="511"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11" t="str">
        <f>IF(Contract_Edits[[#This Row],[Dep]]=0,"Root",
   IF(ISNUMBER(MATCH(Contract_Edits[[#This Row],[Dep]],Contract_Edits[Index],0)),"OK","Missing")
)</f>
        <v>OK</v>
      </c>
      <c r="AJ75" s="511" t="str">
        <f>IF(AND(Contract_Edits[[#This Row],[Dep]]&lt;&gt;0,
        ISNUMBER(MATCH(Contract_Edits[[#This Row],[Dep]], Contract_Edits[Index], 0)),
        INDEX(Contract_Edits[Dep], MATCH(Contract_Edits[[#This Row],[Dep]], Contract_Edits[Index], 0))=Contract_Edits[[#This Row],[Index]]),
   "2-cycle","")</f>
        <v/>
      </c>
      <c r="AK75" s="511" cm="1">
        <f t="array" ref="AK75">IF(Contract_Edits[[#This Row],[BaseFlag]]&lt;&gt;1,0,
   IF(TEXT(Contract_Edits[[#This Row],[Dep]],"0")=TEXT(Contract_Edits[[#This Row],[Index]],"0"),
      0,
      MAX(0, SUMPRODUCT(--(Contract_Edits[BaseFlag]=1),
                        --(TEXT(Contract_Edits[Dep],"0")=TEXT(Contract_Edits[[#This Row],[Dep]],"0"))) - 1)
   )
)</f>
        <v>0</v>
      </c>
      <c r="AL75" s="511" t="str" cm="1">
        <f t="array" ref="AL75">IF(Contract_Edits[[#This Row],[BaseFlag]]=1,
   TEXT(Contract_Edits[[#This Row],[Index]],"0"),
   NearestBaseL(TEXT(Contract_Edits[[#This Row],[ParentKey]],"0"),500,editsIdxTxt,editsParentKeyTxt,baseIdxTxt,baseCost)
)</f>
        <v>17</v>
      </c>
      <c r="AM75" s="511" cm="1">
        <f t="array" ref="AM75">1+SUMPRODUCT(
  (Contract_Edits[BaseFlag]=1)*
  (TEXT(Contract_Edits[ParentAnchor],"0")=TEXT(Contract_Edits[[#This Row],[ParentAnchor]],"0"))*
  (VALUE(TEXT(Contract_Edits[Index],"0"))&lt;VALUE(TEXT(Contract_Edits[[#This Row],[Index]],"0")))
)</f>
        <v>2</v>
      </c>
      <c r="AN75" s="511"/>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559</v>
      </c>
      <c r="B76" t="s">
        <v>591</v>
      </c>
      <c r="C76" t="s">
        <v>594</v>
      </c>
      <c r="D76" s="444" t="s">
        <v>595</v>
      </c>
      <c r="E76">
        <v>1</v>
      </c>
      <c r="F76" s="453"/>
      <c r="G76" s="188"/>
      <c r="H76">
        <v>0</v>
      </c>
      <c r="I76"/>
      <c r="J76">
        <v>70</v>
      </c>
      <c r="K76" s="104"/>
      <c r="L76" s="449">
        <v>70</v>
      </c>
      <c r="M76" s="449"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76"/>
      <c r="R76" s="516"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6" s="179">
        <v>0</v>
      </c>
      <c r="T76" s="179">
        <v>0</v>
      </c>
      <c r="U76" s="11" t="s">
        <v>689</v>
      </c>
      <c r="V76"/>
      <c r="W76" s="22" t="s">
        <v>436</v>
      </c>
      <c r="X76" s="22" t="s">
        <v>436</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11">
        <f>--(
  ISNUMBER(SEARCH("BASE PARENT", UPPER(CLEAN(TRIM(_xlfn.XLOOKUP(TEXT(Contract_Edits[[#This Row],[Index]],"0"), baseIdxTxt, baseCost, "")))))) +
  ISNUMBER(SEARCH("DEPENDENCY GROUP", UPPER(CLEAN(TRIM(_xlfn.XLOOKUP(TEXT(Contract_Edits[[#This Row],[Index]],"0"), baseIdxTxt, baseCost, ""))))))
)</f>
        <v>0</v>
      </c>
      <c r="AG76" s="511" t="str" cm="1">
        <f t="array" ref="AG76">IF(Contract_Edits[[#This Row],[BaseFlag]]=1,
   10*BaseDepthL(TEXT(Contract_Edits[[#This Row],[Index]],"0"),500,editsIdxTxt,editsParentKeyTxt,baseIdxTxt,baseCost)-5,
   ""
)</f>
        <v/>
      </c>
      <c r="AH76" s="511"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11" t="str">
        <f>IF(Contract_Edits[[#This Row],[Dep]]=0,"Root",
   IF(ISNUMBER(MATCH(Contract_Edits[[#This Row],[Dep]],Contract_Edits[Index],0)),"OK","Missing")
)</f>
        <v>OK</v>
      </c>
      <c r="AJ76" s="511" t="str">
        <f>IF(AND(Contract_Edits[[#This Row],[Dep]]&lt;&gt;0,
        ISNUMBER(MATCH(Contract_Edits[[#This Row],[Dep]], Contract_Edits[Index], 0)),
        INDEX(Contract_Edits[Dep], MATCH(Contract_Edits[[#This Row],[Dep]], Contract_Edits[Index], 0))=Contract_Edits[[#This Row],[Index]]),
   "2-cycle","")</f>
        <v/>
      </c>
      <c r="AK76" s="511" cm="1">
        <f t="array" ref="AK76">IF(Contract_Edits[[#This Row],[BaseFlag]]&lt;&gt;1,0,
   IF(TEXT(Contract_Edits[[#This Row],[Dep]],"0")=TEXT(Contract_Edits[[#This Row],[Index]],"0"),
      0,
      MAX(0, SUMPRODUCT(--(Contract_Edits[BaseFlag]=1),
                        --(TEXT(Contract_Edits[Dep],"0")=TEXT(Contract_Edits[[#This Row],[Dep]],"0"))) - 1)
   )
)</f>
        <v>0</v>
      </c>
      <c r="AL76" s="511" t="str" cm="1">
        <f t="array" ref="AL76">IF(Contract_Edits[[#This Row],[BaseFlag]]=1,
   TEXT(Contract_Edits[[#This Row],[Index]],"0"),
   NearestBaseL(TEXT(Contract_Edits[[#This Row],[ParentKey]],"0"),500,editsIdxTxt,editsParentKeyTxt,baseIdxTxt,baseCost)
)</f>
        <v>17</v>
      </c>
      <c r="AM76" s="511" cm="1">
        <f t="array" ref="AM76">1+SUMPRODUCT(
  (Contract_Edits[BaseFlag]=1)*
  (TEXT(Contract_Edits[ParentAnchor],"0")=TEXT(Contract_Edits[[#This Row],[ParentAnchor]],"0"))*
  (VALUE(TEXT(Contract_Edits[Index],"0"))&lt;VALUE(TEXT(Contract_Edits[[#This Row],[Index]],"0")))
)</f>
        <v>2</v>
      </c>
      <c r="AN76" s="511"/>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516</v>
      </c>
      <c r="B77" t="s">
        <v>513</v>
      </c>
      <c r="C77" t="s">
        <v>541</v>
      </c>
      <c r="D77" s="444" t="s">
        <v>532</v>
      </c>
      <c r="E77">
        <v>1</v>
      </c>
      <c r="F77" s="453">
        <v>0</v>
      </c>
      <c r="G77" s="188">
        <v>0</v>
      </c>
      <c r="H77">
        <v>17</v>
      </c>
      <c r="I77">
        <v>0</v>
      </c>
      <c r="J77">
        <v>18</v>
      </c>
      <c r="K77" s="104"/>
      <c r="L77" s="449">
        <v>18</v>
      </c>
      <c r="M77" s="449"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76"/>
      <c r="R77" s="516"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7" s="179">
        <v>0</v>
      </c>
      <c r="T77" s="179"/>
      <c r="U77" s="11"/>
      <c r="V77"/>
      <c r="W77" s="22" t="s">
        <v>436</v>
      </c>
      <c r="X77" s="22" t="s">
        <v>436</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11">
        <f>--(
  ISNUMBER(SEARCH("BASE PARENT", UPPER(CLEAN(TRIM(_xlfn.XLOOKUP(TEXT(Contract_Edits[[#This Row],[Index]],"0"), baseIdxTxt, baseCost, "")))))) +
  ISNUMBER(SEARCH("DEPENDENCY GROUP", UPPER(CLEAN(TRIM(_xlfn.XLOOKUP(TEXT(Contract_Edits[[#This Row],[Index]],"0"), baseIdxTxt, baseCost, ""))))))
)</f>
        <v>1</v>
      </c>
      <c r="AG77" s="511" cm="1">
        <f t="array" ref="AG77">IF(Contract_Edits[[#This Row],[BaseFlag]]=1,
   10*BaseDepthL(TEXT(Contract_Edits[[#This Row],[Index]],"0"),500,editsIdxTxt,editsParentKeyTxt,baseIdxTxt,baseCost)-5,
   ""
)</f>
        <v>175</v>
      </c>
      <c r="AH77" s="511"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11" t="str">
        <f>IF(Contract_Edits[[#This Row],[Dep]]=0,"Root",
   IF(ISNUMBER(MATCH(Contract_Edits[[#This Row],[Dep]],Contract_Edits[Index],0)),"OK","Missing")
)</f>
        <v>OK</v>
      </c>
      <c r="AJ77" s="511" t="str">
        <f>IF(AND(Contract_Edits[[#This Row],[Dep]]&lt;&gt;0,
        ISNUMBER(MATCH(Contract_Edits[[#This Row],[Dep]], Contract_Edits[Index], 0)),
        INDEX(Contract_Edits[Dep], MATCH(Contract_Edits[[#This Row],[Dep]], Contract_Edits[Index], 0))=Contract_Edits[[#This Row],[Index]]),
   "2-cycle","")</f>
        <v/>
      </c>
      <c r="AK77" s="511" cm="1">
        <f t="array" ref="AK77">IF(Contract_Edits[[#This Row],[BaseFlag]]&lt;&gt;1,0,
   IF(TEXT(Contract_Edits[[#This Row],[Dep]],"0")=TEXT(Contract_Edits[[#This Row],[Index]],"0"),
      0,
      MAX(0, SUMPRODUCT(--(Contract_Edits[BaseFlag]=1),
                        --(TEXT(Contract_Edits[Dep],"0")=TEXT(Contract_Edits[[#This Row],[Dep]],"0"))) - 1)
   )
)</f>
        <v>0</v>
      </c>
      <c r="AL77" s="511" t="str" cm="1">
        <f t="array" ref="AL77">IF(Contract_Edits[[#This Row],[BaseFlag]]=1,
   TEXT(Contract_Edits[[#This Row],[Index]],"0"),
   NearestBaseL(TEXT(Contract_Edits[[#This Row],[ParentKey]],"0"),500,editsIdxTxt,editsParentKeyTxt,baseIdxTxt,baseCost)
)</f>
        <v>18</v>
      </c>
      <c r="AM77" s="511" cm="1">
        <f t="array" ref="AM77">1+SUMPRODUCT(
  (Contract_Edits[BaseFlag]=1)*
  (TEXT(Contract_Edits[ParentAnchor],"0")=TEXT(Contract_Edits[[#This Row],[ParentAnchor]],"0"))*
  (VALUE(TEXT(Contract_Edits[Index],"0"))&lt;VALUE(TEXT(Contract_Edits[[#This Row],[Index]],"0")))
)</f>
        <v>1</v>
      </c>
      <c r="AN77" s="511"/>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559</v>
      </c>
      <c r="B78" t="s">
        <v>532</v>
      </c>
      <c r="C78" t="s">
        <v>532</v>
      </c>
      <c r="D78" s="444" t="s">
        <v>589</v>
      </c>
      <c r="E78">
        <v>1</v>
      </c>
      <c r="F78" s="453"/>
      <c r="G78" s="188"/>
      <c r="H78">
        <v>0</v>
      </c>
      <c r="I78"/>
      <c r="J78">
        <v>63</v>
      </c>
      <c r="K78" s="104"/>
      <c r="L78" s="449">
        <v>63</v>
      </c>
      <c r="M78" s="449"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88"/>
      <c r="R78" s="516"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8" s="179">
        <v>0</v>
      </c>
      <c r="T78" s="477"/>
      <c r="U78" s="500" t="s">
        <v>690</v>
      </c>
      <c r="V78" s="193"/>
      <c r="W78" s="22" t="s">
        <v>436</v>
      </c>
      <c r="X78" s="492" t="s">
        <v>436</v>
      </c>
      <c r="Y78" s="492"/>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11">
        <f>--(
  ISNUMBER(SEARCH("BASE PARENT", UPPER(CLEAN(TRIM(_xlfn.XLOOKUP(TEXT(Contract_Edits[[#This Row],[Index]],"0"), baseIdxTxt, baseCost, "")))))) +
  ISNUMBER(SEARCH("DEPENDENCY GROUP", UPPER(CLEAN(TRIM(_xlfn.XLOOKUP(TEXT(Contract_Edits[[#This Row],[Index]],"0"), baseIdxTxt, baseCost, ""))))))
)</f>
        <v>0</v>
      </c>
      <c r="AG78" s="511" t="str" cm="1">
        <f t="array" ref="AG78">IF(Contract_Edits[[#This Row],[BaseFlag]]=1,
   10*BaseDepthL(TEXT(Contract_Edits[[#This Row],[Index]],"0"),500,editsIdxTxt,editsParentKeyTxt,baseIdxTxt,baseCost)-5,
   ""
)</f>
        <v/>
      </c>
      <c r="AH78" s="511"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11" t="str">
        <f>IF(Contract_Edits[[#This Row],[Dep]]=0,"Root",
   IF(ISNUMBER(MATCH(Contract_Edits[[#This Row],[Dep]],Contract_Edits[Index],0)),"OK","Missing")
)</f>
        <v>OK</v>
      </c>
      <c r="AJ78" s="511" t="str">
        <f>IF(AND(Contract_Edits[[#This Row],[Dep]]&lt;&gt;0,
        ISNUMBER(MATCH(Contract_Edits[[#This Row],[Dep]], Contract_Edits[Index], 0)),
        INDEX(Contract_Edits[Dep], MATCH(Contract_Edits[[#This Row],[Dep]], Contract_Edits[Index], 0))=Contract_Edits[[#This Row],[Index]]),
   "2-cycle","")</f>
        <v/>
      </c>
      <c r="AK78" s="511" cm="1">
        <f t="array" ref="AK78">IF(Contract_Edits[[#This Row],[BaseFlag]]&lt;&gt;1,0,
   IF(TEXT(Contract_Edits[[#This Row],[Dep]],"0")=TEXT(Contract_Edits[[#This Row],[Index]],"0"),
      0,
      MAX(0, SUMPRODUCT(--(Contract_Edits[BaseFlag]=1),
                        --(TEXT(Contract_Edits[Dep],"0")=TEXT(Contract_Edits[[#This Row],[Dep]],"0"))) - 1)
   )
)</f>
        <v>0</v>
      </c>
      <c r="AL78" s="511" t="str" cm="1">
        <f t="array" ref="AL78">IF(Contract_Edits[[#This Row],[BaseFlag]]=1,
   TEXT(Contract_Edits[[#This Row],[Index]],"0"),
   NearestBaseL(TEXT(Contract_Edits[[#This Row],[ParentKey]],"0"),500,editsIdxTxt,editsParentKeyTxt,baseIdxTxt,baseCost)
)</f>
        <v>18</v>
      </c>
      <c r="AM78" s="511" cm="1">
        <f t="array" ref="AM78">1+SUMPRODUCT(
  (Contract_Edits[BaseFlag]=1)*
  (TEXT(Contract_Edits[ParentAnchor],"0")=TEXT(Contract_Edits[[#This Row],[ParentAnchor]],"0"))*
  (VALUE(TEXT(Contract_Edits[Index],"0"))&lt;VALUE(TEXT(Contract_Edits[[#This Row],[Index]],"0")))
)</f>
        <v>2</v>
      </c>
      <c r="AN78" s="511"/>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516</v>
      </c>
      <c r="B79" t="s">
        <v>513</v>
      </c>
      <c r="C79" t="s">
        <v>532</v>
      </c>
      <c r="D79" s="444" t="s">
        <v>539</v>
      </c>
      <c r="E79">
        <v>1</v>
      </c>
      <c r="F79" s="453">
        <v>0</v>
      </c>
      <c r="G79" s="188">
        <v>0</v>
      </c>
      <c r="H79">
        <v>18</v>
      </c>
      <c r="I79">
        <v>0</v>
      </c>
      <c r="J79">
        <v>19</v>
      </c>
      <c r="K79" s="104"/>
      <c r="L79" s="449">
        <v>19</v>
      </c>
      <c r="M79" s="449"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76"/>
      <c r="R79" s="516"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79" s="179">
        <v>0</v>
      </c>
      <c r="T79" s="179">
        <v>0</v>
      </c>
      <c r="U79" s="11"/>
      <c r="V79"/>
      <c r="W79" s="22" t="s">
        <v>436</v>
      </c>
      <c r="X79" s="22" t="s">
        <v>436</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11">
        <f>--(
  ISNUMBER(SEARCH("BASE PARENT", UPPER(CLEAN(TRIM(_xlfn.XLOOKUP(TEXT(Contract_Edits[[#This Row],[Index]],"0"), baseIdxTxt, baseCost, "")))))) +
  ISNUMBER(SEARCH("DEPENDENCY GROUP", UPPER(CLEAN(TRIM(_xlfn.XLOOKUP(TEXT(Contract_Edits[[#This Row],[Index]],"0"), baseIdxTxt, baseCost, ""))))))
)</f>
        <v>1</v>
      </c>
      <c r="AG79" s="511" cm="1">
        <f t="array" ref="AG79">IF(Contract_Edits[[#This Row],[BaseFlag]]=1,
   10*BaseDepthL(TEXT(Contract_Edits[[#This Row],[Index]],"0"),500,editsIdxTxt,editsParentKeyTxt,baseIdxTxt,baseCost)-5,
   ""
)</f>
        <v>185</v>
      </c>
      <c r="AH79" s="511"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11" t="str">
        <f>IF(Contract_Edits[[#This Row],[Dep]]=0,"Root",
   IF(ISNUMBER(MATCH(Contract_Edits[[#This Row],[Dep]],Contract_Edits[Index],0)),"OK","Missing")
)</f>
        <v>OK</v>
      </c>
      <c r="AJ79" s="511" t="str">
        <f>IF(AND(Contract_Edits[[#This Row],[Dep]]&lt;&gt;0,
        ISNUMBER(MATCH(Contract_Edits[[#This Row],[Dep]], Contract_Edits[Index], 0)),
        INDEX(Contract_Edits[Dep], MATCH(Contract_Edits[[#This Row],[Dep]], Contract_Edits[Index], 0))=Contract_Edits[[#This Row],[Index]]),
   "2-cycle","")</f>
        <v/>
      </c>
      <c r="AK79" s="511" cm="1">
        <f t="array" ref="AK79">IF(Contract_Edits[[#This Row],[BaseFlag]]&lt;&gt;1,0,
   IF(TEXT(Contract_Edits[[#This Row],[Dep]],"0")=TEXT(Contract_Edits[[#This Row],[Index]],"0"),
      0,
      MAX(0, SUMPRODUCT(--(Contract_Edits[BaseFlag]=1),
                        --(TEXT(Contract_Edits[Dep],"0")=TEXT(Contract_Edits[[#This Row],[Dep]],"0"))) - 1)
   )
)</f>
        <v>0</v>
      </c>
      <c r="AL79" s="511" t="str" cm="1">
        <f t="array" ref="AL79">IF(Contract_Edits[[#This Row],[BaseFlag]]=1,
   TEXT(Contract_Edits[[#This Row],[Index]],"0"),
   NearestBaseL(TEXT(Contract_Edits[[#This Row],[ParentKey]],"0"),500,editsIdxTxt,editsParentKeyTxt,baseIdxTxt,baseCost)
)</f>
        <v>19</v>
      </c>
      <c r="AM79" s="511" cm="1">
        <f t="array" ref="AM79">1+SUMPRODUCT(
  (Contract_Edits[BaseFlag]=1)*
  (TEXT(Contract_Edits[ParentAnchor],"0")=TEXT(Contract_Edits[[#This Row],[ParentAnchor]],"0"))*
  (VALUE(TEXT(Contract_Edits[Index],"0"))&lt;VALUE(TEXT(Contract_Edits[[#This Row],[Index]],"0")))
)</f>
        <v>1</v>
      </c>
      <c r="AN79" s="511"/>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629</v>
      </c>
      <c r="B80" t="s">
        <v>624</v>
      </c>
      <c r="C80" t="s">
        <v>532</v>
      </c>
      <c r="D80" s="444" t="s">
        <v>668</v>
      </c>
      <c r="E80">
        <v>1</v>
      </c>
      <c r="F80" s="453">
        <v>8621</v>
      </c>
      <c r="G80" s="188">
        <v>8621</v>
      </c>
      <c r="H80">
        <v>19</v>
      </c>
      <c r="I80">
        <v>8621</v>
      </c>
      <c r="J80">
        <v>911</v>
      </c>
      <c r="K80" s="104"/>
      <c r="L80" s="449">
        <v>911</v>
      </c>
      <c r="M80" s="449"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88"/>
      <c r="R80" s="516"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0" s="179">
        <v>0</v>
      </c>
      <c r="T80" s="477"/>
      <c r="U80" s="500" t="s">
        <v>691</v>
      </c>
      <c r="V80" s="193"/>
      <c r="W80" s="22" t="s">
        <v>436</v>
      </c>
      <c r="X80" s="492" t="s">
        <v>436</v>
      </c>
      <c r="Y80" s="492"/>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11">
        <f>--(
  ISNUMBER(SEARCH("BASE PARENT", UPPER(CLEAN(TRIM(_xlfn.XLOOKUP(TEXT(Contract_Edits[[#This Row],[Index]],"0"), baseIdxTxt, baseCost, "")))))) +
  ISNUMBER(SEARCH("DEPENDENCY GROUP", UPPER(CLEAN(TRIM(_xlfn.XLOOKUP(TEXT(Contract_Edits[[#This Row],[Index]],"0"), baseIdxTxt, baseCost, ""))))))
)</f>
        <v>0</v>
      </c>
      <c r="AG80" s="511" t="str" cm="1">
        <f t="array" ref="AG80">IF(Contract_Edits[[#This Row],[BaseFlag]]=1,
   10*BaseDepthL(TEXT(Contract_Edits[[#This Row],[Index]],"0"),500,editsIdxTxt,editsParentKeyTxt,baseIdxTxt,baseCost)-5,
   ""
)</f>
        <v/>
      </c>
      <c r="AH80" s="511"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11" t="str">
        <f>IF(Contract_Edits[[#This Row],[Dep]]=0,"Root",
   IF(ISNUMBER(MATCH(Contract_Edits[[#This Row],[Dep]],Contract_Edits[Index],0)),"OK","Missing")
)</f>
        <v>OK</v>
      </c>
      <c r="AJ80" s="511" t="str">
        <f>IF(AND(Contract_Edits[[#This Row],[Dep]]&lt;&gt;0,
        ISNUMBER(MATCH(Contract_Edits[[#This Row],[Dep]], Contract_Edits[Index], 0)),
        INDEX(Contract_Edits[Dep], MATCH(Contract_Edits[[#This Row],[Dep]], Contract_Edits[Index], 0))=Contract_Edits[[#This Row],[Index]]),
   "2-cycle","")</f>
        <v/>
      </c>
      <c r="AK80" s="511" cm="1">
        <f t="array" ref="AK80">IF(Contract_Edits[[#This Row],[BaseFlag]]&lt;&gt;1,0,
   IF(TEXT(Contract_Edits[[#This Row],[Dep]],"0")=TEXT(Contract_Edits[[#This Row],[Index]],"0"),
      0,
      MAX(0, SUMPRODUCT(--(Contract_Edits[BaseFlag]=1),
                        --(TEXT(Contract_Edits[Dep],"0")=TEXT(Contract_Edits[[#This Row],[Dep]],"0"))) - 1)
   )
)</f>
        <v>0</v>
      </c>
      <c r="AL80" s="511" t="str" cm="1">
        <f t="array" ref="AL80">IF(Contract_Edits[[#This Row],[BaseFlag]]=1,
   TEXT(Contract_Edits[[#This Row],[Index]],"0"),
   NearestBaseL(TEXT(Contract_Edits[[#This Row],[ParentKey]],"0"),500,editsIdxTxt,editsParentKeyTxt,baseIdxTxt,baseCost)
)</f>
        <v>19</v>
      </c>
      <c r="AM80" s="511" cm="1">
        <f t="array" ref="AM80">1+SUMPRODUCT(
  (Contract_Edits[BaseFlag]=1)*
  (TEXT(Contract_Edits[ParentAnchor],"0")=TEXT(Contract_Edits[[#This Row],[ParentAnchor]],"0"))*
  (VALUE(TEXT(Contract_Edits[Index],"0"))&lt;VALUE(TEXT(Contract_Edits[[#This Row],[Index]],"0")))
)</f>
        <v>2</v>
      </c>
      <c r="AN80" s="511"/>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516</v>
      </c>
      <c r="B81" t="s">
        <v>513</v>
      </c>
      <c r="C81" t="s">
        <v>528</v>
      </c>
      <c r="D81" s="444" t="s">
        <v>542</v>
      </c>
      <c r="E81">
        <v>1</v>
      </c>
      <c r="F81" s="453">
        <v>0</v>
      </c>
      <c r="G81" s="188">
        <v>0</v>
      </c>
      <c r="H81">
        <v>19</v>
      </c>
      <c r="I81">
        <v>0</v>
      </c>
      <c r="J81">
        <v>20</v>
      </c>
      <c r="K81" s="104"/>
      <c r="L81" s="449">
        <v>20</v>
      </c>
      <c r="M81" s="449"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76"/>
      <c r="R81" s="516"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1" s="179">
        <v>0</v>
      </c>
      <c r="T81" s="179">
        <v>0</v>
      </c>
      <c r="U81" s="11"/>
      <c r="V81"/>
      <c r="W81" s="22" t="s">
        <v>436</v>
      </c>
      <c r="X81" s="22" t="s">
        <v>436</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11">
        <f>--(
  ISNUMBER(SEARCH("BASE PARENT", UPPER(CLEAN(TRIM(_xlfn.XLOOKUP(TEXT(Contract_Edits[[#This Row],[Index]],"0"), baseIdxTxt, baseCost, "")))))) +
  ISNUMBER(SEARCH("DEPENDENCY GROUP", UPPER(CLEAN(TRIM(_xlfn.XLOOKUP(TEXT(Contract_Edits[[#This Row],[Index]],"0"), baseIdxTxt, baseCost, ""))))))
)</f>
        <v>1</v>
      </c>
      <c r="AG81" s="511" cm="1">
        <f t="array" ref="AG81">IF(Contract_Edits[[#This Row],[BaseFlag]]=1,
   10*BaseDepthL(TEXT(Contract_Edits[[#This Row],[Index]],"0"),500,editsIdxTxt,editsParentKeyTxt,baseIdxTxt,baseCost)-5,
   ""
)</f>
        <v>195</v>
      </c>
      <c r="AH81" s="511"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11" t="str">
        <f>IF(Contract_Edits[[#This Row],[Dep]]=0,"Root",
   IF(ISNUMBER(MATCH(Contract_Edits[[#This Row],[Dep]],Contract_Edits[Index],0)),"OK","Missing")
)</f>
        <v>OK</v>
      </c>
      <c r="AJ81" s="511" t="str">
        <f>IF(AND(Contract_Edits[[#This Row],[Dep]]&lt;&gt;0,
        ISNUMBER(MATCH(Contract_Edits[[#This Row],[Dep]], Contract_Edits[Index], 0)),
        INDEX(Contract_Edits[Dep], MATCH(Contract_Edits[[#This Row],[Dep]], Contract_Edits[Index], 0))=Contract_Edits[[#This Row],[Index]]),
   "2-cycle","")</f>
        <v/>
      </c>
      <c r="AK81" s="511" cm="1">
        <f t="array" ref="AK81">IF(Contract_Edits[[#This Row],[BaseFlag]]&lt;&gt;1,0,
   IF(TEXT(Contract_Edits[[#This Row],[Dep]],"0")=TEXT(Contract_Edits[[#This Row],[Index]],"0"),
      0,
      MAX(0, SUMPRODUCT(--(Contract_Edits[BaseFlag]=1),
                        --(TEXT(Contract_Edits[Dep],"0")=TEXT(Contract_Edits[[#This Row],[Dep]],"0"))) - 1)
   )
)</f>
        <v>0</v>
      </c>
      <c r="AL81" s="511" t="str" cm="1">
        <f t="array" ref="AL81">IF(Contract_Edits[[#This Row],[BaseFlag]]=1,
   TEXT(Contract_Edits[[#This Row],[Index]],"0"),
   NearestBaseL(TEXT(Contract_Edits[[#This Row],[ParentKey]],"0"),500,editsIdxTxt,editsParentKeyTxt,baseIdxTxt,baseCost)
)</f>
        <v>20</v>
      </c>
      <c r="AM81" s="511" cm="1">
        <f t="array" ref="AM81">1+SUMPRODUCT(
  (Contract_Edits[BaseFlag]=1)*
  (TEXT(Contract_Edits[ParentAnchor],"0")=TEXT(Contract_Edits[[#This Row],[ParentAnchor]],"0"))*
  (VALUE(TEXT(Contract_Edits[Index],"0"))&lt;VALUE(TEXT(Contract_Edits[[#This Row],[Index]],"0")))
)</f>
        <v>1</v>
      </c>
      <c r="AN81" s="511"/>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629</v>
      </c>
      <c r="B82" t="s">
        <v>625</v>
      </c>
      <c r="C82" t="s">
        <v>669</v>
      </c>
      <c r="D82" s="444" t="s">
        <v>670</v>
      </c>
      <c r="E82">
        <v>1</v>
      </c>
      <c r="F82" s="453">
        <v>5905.82</v>
      </c>
      <c r="G82" s="188">
        <v>5905.82</v>
      </c>
      <c r="H82">
        <v>20</v>
      </c>
      <c r="I82">
        <v>5905.82</v>
      </c>
      <c r="J82">
        <v>906</v>
      </c>
      <c r="K82" s="104"/>
      <c r="L82" s="449">
        <v>906</v>
      </c>
      <c r="M82" s="449"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76"/>
      <c r="R82" s="516"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2" s="179">
        <v>0</v>
      </c>
      <c r="T82" s="179">
        <v>0</v>
      </c>
      <c r="U82" s="11" t="s">
        <v>692</v>
      </c>
      <c r="V82"/>
      <c r="W82" s="22" t="s">
        <v>436</v>
      </c>
      <c r="X82" s="22" t="s">
        <v>436</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11">
        <f>--(
  ISNUMBER(SEARCH("BASE PARENT", UPPER(CLEAN(TRIM(_xlfn.XLOOKUP(TEXT(Contract_Edits[[#This Row],[Index]],"0"), baseIdxTxt, baseCost, "")))))) +
  ISNUMBER(SEARCH("DEPENDENCY GROUP", UPPER(CLEAN(TRIM(_xlfn.XLOOKUP(TEXT(Contract_Edits[[#This Row],[Index]],"0"), baseIdxTxt, baseCost, ""))))))
)</f>
        <v>0</v>
      </c>
      <c r="AG82" s="511" t="str" cm="1">
        <f t="array" ref="AG82">IF(Contract_Edits[[#This Row],[BaseFlag]]=1,
   10*BaseDepthL(TEXT(Contract_Edits[[#This Row],[Index]],"0"),500,editsIdxTxt,editsParentKeyTxt,baseIdxTxt,baseCost)-5,
   ""
)</f>
        <v/>
      </c>
      <c r="AH82" s="511"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11" t="str">
        <f>IF(Contract_Edits[[#This Row],[Dep]]=0,"Root",
   IF(ISNUMBER(MATCH(Contract_Edits[[#This Row],[Dep]],Contract_Edits[Index],0)),"OK","Missing")
)</f>
        <v>OK</v>
      </c>
      <c r="AJ82" s="511" t="str">
        <f>IF(AND(Contract_Edits[[#This Row],[Dep]]&lt;&gt;0,
        ISNUMBER(MATCH(Contract_Edits[[#This Row],[Dep]], Contract_Edits[Index], 0)),
        INDEX(Contract_Edits[Dep], MATCH(Contract_Edits[[#This Row],[Dep]], Contract_Edits[Index], 0))=Contract_Edits[[#This Row],[Index]]),
   "2-cycle","")</f>
        <v/>
      </c>
      <c r="AK82" s="511" cm="1">
        <f t="array" ref="AK82">IF(Contract_Edits[[#This Row],[BaseFlag]]&lt;&gt;1,0,
   IF(TEXT(Contract_Edits[[#This Row],[Dep]],"0")=TEXT(Contract_Edits[[#This Row],[Index]],"0"),
      0,
      MAX(0, SUMPRODUCT(--(Contract_Edits[BaseFlag]=1),
                        --(TEXT(Contract_Edits[Dep],"0")=TEXT(Contract_Edits[[#This Row],[Dep]],"0"))) - 1)
   )
)</f>
        <v>0</v>
      </c>
      <c r="AL82" s="511" t="str" cm="1">
        <f t="array" ref="AL82">IF(Contract_Edits[[#This Row],[BaseFlag]]=1,
   TEXT(Contract_Edits[[#This Row],[Index]],"0"),
   NearestBaseL(TEXT(Contract_Edits[[#This Row],[ParentKey]],"0"),500,editsIdxTxt,editsParentKeyTxt,baseIdxTxt,baseCost)
)</f>
        <v>20</v>
      </c>
      <c r="AM82" s="511" cm="1">
        <f t="array" ref="AM82">1+SUMPRODUCT(
  (Contract_Edits[BaseFlag]=1)*
  (TEXT(Contract_Edits[ParentAnchor],"0")=TEXT(Contract_Edits[[#This Row],[ParentAnchor]],"0"))*
  (VALUE(TEXT(Contract_Edits[Index],"0"))&lt;VALUE(TEXT(Contract_Edits[[#This Row],[Index]],"0")))
)</f>
        <v>2</v>
      </c>
      <c r="AN82" s="511"/>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516</v>
      </c>
      <c r="B83" t="s">
        <v>513</v>
      </c>
      <c r="C83" t="s">
        <v>543</v>
      </c>
      <c r="D83" s="444" t="s">
        <v>544</v>
      </c>
      <c r="E83">
        <v>1</v>
      </c>
      <c r="F83" s="453">
        <v>0</v>
      </c>
      <c r="G83" s="188">
        <v>0</v>
      </c>
      <c r="H83">
        <v>20</v>
      </c>
      <c r="I83">
        <v>0</v>
      </c>
      <c r="J83">
        <v>21</v>
      </c>
      <c r="K83" s="104"/>
      <c r="L83" s="449">
        <v>21</v>
      </c>
      <c r="M83" s="449"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88"/>
      <c r="R83" s="516"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3" s="179">
        <v>0</v>
      </c>
      <c r="T83" s="477"/>
      <c r="U83" s="500"/>
      <c r="V83" s="193"/>
      <c r="W83" s="22" t="s">
        <v>436</v>
      </c>
      <c r="X83" s="492" t="s">
        <v>436</v>
      </c>
      <c r="Y83" s="492"/>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11">
        <f>--(
  ISNUMBER(SEARCH("BASE PARENT", UPPER(CLEAN(TRIM(_xlfn.XLOOKUP(TEXT(Contract_Edits[[#This Row],[Index]],"0"), baseIdxTxt, baseCost, "")))))) +
  ISNUMBER(SEARCH("DEPENDENCY GROUP", UPPER(CLEAN(TRIM(_xlfn.XLOOKUP(TEXT(Contract_Edits[[#This Row],[Index]],"0"), baseIdxTxt, baseCost, ""))))))
)</f>
        <v>1</v>
      </c>
      <c r="AG83" s="511" cm="1">
        <f t="array" ref="AG83">IF(Contract_Edits[[#This Row],[BaseFlag]]=1,
   10*BaseDepthL(TEXT(Contract_Edits[[#This Row],[Index]],"0"),500,editsIdxTxt,editsParentKeyTxt,baseIdxTxt,baseCost)-5,
   ""
)</f>
        <v>205</v>
      </c>
      <c r="AH83" s="511"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11" t="str">
        <f>IF(Contract_Edits[[#This Row],[Dep]]=0,"Root",
   IF(ISNUMBER(MATCH(Contract_Edits[[#This Row],[Dep]],Contract_Edits[Index],0)),"OK","Missing")
)</f>
        <v>OK</v>
      </c>
      <c r="AJ83" s="511" t="str">
        <f>IF(AND(Contract_Edits[[#This Row],[Dep]]&lt;&gt;0,
        ISNUMBER(MATCH(Contract_Edits[[#This Row],[Dep]], Contract_Edits[Index], 0)),
        INDEX(Contract_Edits[Dep], MATCH(Contract_Edits[[#This Row],[Dep]], Contract_Edits[Index], 0))=Contract_Edits[[#This Row],[Index]]),
   "2-cycle","")</f>
        <v/>
      </c>
      <c r="AK83" s="511" cm="1">
        <f t="array" ref="AK83">IF(Contract_Edits[[#This Row],[BaseFlag]]&lt;&gt;1,0,
   IF(TEXT(Contract_Edits[[#This Row],[Dep]],"0")=TEXT(Contract_Edits[[#This Row],[Index]],"0"),
      0,
      MAX(0, SUMPRODUCT(--(Contract_Edits[BaseFlag]=1),
                        --(TEXT(Contract_Edits[Dep],"0")=TEXT(Contract_Edits[[#This Row],[Dep]],"0"))) - 1)
   )
)</f>
        <v>0</v>
      </c>
      <c r="AL83" s="511" t="str" cm="1">
        <f t="array" ref="AL83">IF(Contract_Edits[[#This Row],[BaseFlag]]=1,
   TEXT(Contract_Edits[[#This Row],[Index]],"0"),
   NearestBaseL(TEXT(Contract_Edits[[#This Row],[ParentKey]],"0"),500,editsIdxTxt,editsParentKeyTxt,baseIdxTxt,baseCost)
)</f>
        <v>21</v>
      </c>
      <c r="AM83" s="511" cm="1">
        <f t="array" ref="AM83">1+SUMPRODUCT(
  (Contract_Edits[BaseFlag]=1)*
  (TEXT(Contract_Edits[ParentAnchor],"0")=TEXT(Contract_Edits[[#This Row],[ParentAnchor]],"0"))*
  (VALUE(TEXT(Contract_Edits[Index],"0"))&lt;VALUE(TEXT(Contract_Edits[[#This Row],[Index]],"0")))
)</f>
        <v>1</v>
      </c>
      <c r="AN83" s="511"/>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516</v>
      </c>
      <c r="B84" t="s">
        <v>513</v>
      </c>
      <c r="C84" t="s">
        <v>545</v>
      </c>
      <c r="D84" s="444" t="s">
        <v>546</v>
      </c>
      <c r="E84">
        <v>1</v>
      </c>
      <c r="F84" s="453">
        <v>0</v>
      </c>
      <c r="G84" s="188">
        <v>0</v>
      </c>
      <c r="H84">
        <v>21</v>
      </c>
      <c r="I84">
        <v>0</v>
      </c>
      <c r="J84">
        <v>22</v>
      </c>
      <c r="K84" s="104"/>
      <c r="L84" s="449">
        <v>22</v>
      </c>
      <c r="M84" s="449"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76"/>
      <c r="R84" s="516"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4" s="179">
        <v>0</v>
      </c>
      <c r="T84" s="179">
        <v>0</v>
      </c>
      <c r="U84" s="11"/>
      <c r="V84"/>
      <c r="W84" s="22" t="s">
        <v>436</v>
      </c>
      <c r="X84" s="492" t="s">
        <v>436</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11">
        <f>--(
  ISNUMBER(SEARCH("BASE PARENT", UPPER(CLEAN(TRIM(_xlfn.XLOOKUP(TEXT(Contract_Edits[[#This Row],[Index]],"0"), baseIdxTxt, baseCost, "")))))) +
  ISNUMBER(SEARCH("DEPENDENCY GROUP", UPPER(CLEAN(TRIM(_xlfn.XLOOKUP(TEXT(Contract_Edits[[#This Row],[Index]],"0"), baseIdxTxt, baseCost, ""))))))
)</f>
        <v>1</v>
      </c>
      <c r="AG84" s="511" cm="1">
        <f t="array" ref="AG84">IF(Contract_Edits[[#This Row],[BaseFlag]]=1,
   10*BaseDepthL(TEXT(Contract_Edits[[#This Row],[Index]],"0"),500,editsIdxTxt,editsParentKeyTxt,baseIdxTxt,baseCost)-5,
   ""
)</f>
        <v>215</v>
      </c>
      <c r="AH84" s="511"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11" t="str">
        <f>IF(Contract_Edits[[#This Row],[Dep]]=0,"Root",
   IF(ISNUMBER(MATCH(Contract_Edits[[#This Row],[Dep]],Contract_Edits[Index],0)),"OK","Missing")
)</f>
        <v>OK</v>
      </c>
      <c r="AJ84" s="511" t="str">
        <f>IF(AND(Contract_Edits[[#This Row],[Dep]]&lt;&gt;0,
        ISNUMBER(MATCH(Contract_Edits[[#This Row],[Dep]], Contract_Edits[Index], 0)),
        INDEX(Contract_Edits[Dep], MATCH(Contract_Edits[[#This Row],[Dep]], Contract_Edits[Index], 0))=Contract_Edits[[#This Row],[Index]]),
   "2-cycle","")</f>
        <v/>
      </c>
      <c r="AK84" s="511" cm="1">
        <f t="array" ref="AK84">IF(Contract_Edits[[#This Row],[BaseFlag]]&lt;&gt;1,0,
   IF(TEXT(Contract_Edits[[#This Row],[Dep]],"0")=TEXT(Contract_Edits[[#This Row],[Index]],"0"),
      0,
      MAX(0, SUMPRODUCT(--(Contract_Edits[BaseFlag]=1),
                        --(TEXT(Contract_Edits[Dep],"0")=TEXT(Contract_Edits[[#This Row],[Dep]],"0"))) - 1)
   )
)</f>
        <v>0</v>
      </c>
      <c r="AL84" s="511" t="str" cm="1">
        <f t="array" ref="AL84">IF(Contract_Edits[[#This Row],[BaseFlag]]=1,
   TEXT(Contract_Edits[[#This Row],[Index]],"0"),
   NearestBaseL(TEXT(Contract_Edits[[#This Row],[ParentKey]],"0"),500,editsIdxTxt,editsParentKeyTxt,baseIdxTxt,baseCost)
)</f>
        <v>22</v>
      </c>
      <c r="AM84" s="511" cm="1">
        <f t="array" ref="AM84">1+SUMPRODUCT(
  (Contract_Edits[BaseFlag]=1)*
  (TEXT(Contract_Edits[ParentAnchor],"0")=TEXT(Contract_Edits[[#This Row],[ParentAnchor]],"0"))*
  (VALUE(TEXT(Contract_Edits[Index],"0"))&lt;VALUE(TEXT(Contract_Edits[[#This Row],[Index]],"0")))
)</f>
        <v>1</v>
      </c>
      <c r="AN84" s="511"/>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516</v>
      </c>
      <c r="B85" t="s">
        <v>513</v>
      </c>
      <c r="C85" t="s">
        <v>547</v>
      </c>
      <c r="D85" s="444" t="s">
        <v>548</v>
      </c>
      <c r="E85">
        <v>1</v>
      </c>
      <c r="F85" s="453">
        <v>0</v>
      </c>
      <c r="G85" s="188">
        <v>0</v>
      </c>
      <c r="H85">
        <v>22</v>
      </c>
      <c r="I85">
        <v>0</v>
      </c>
      <c r="J85">
        <v>23</v>
      </c>
      <c r="K85" s="104"/>
      <c r="L85" s="449">
        <v>23</v>
      </c>
      <c r="M85" s="449"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76"/>
      <c r="R85" s="516"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5" s="179">
        <v>0</v>
      </c>
      <c r="T85" s="179">
        <v>0</v>
      </c>
      <c r="U85" s="11"/>
      <c r="V85"/>
      <c r="W85" s="22" t="s">
        <v>436</v>
      </c>
      <c r="X85" s="492" t="s">
        <v>436</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11">
        <f>--(
  ISNUMBER(SEARCH("BASE PARENT", UPPER(CLEAN(TRIM(_xlfn.XLOOKUP(TEXT(Contract_Edits[[#This Row],[Index]],"0"), baseIdxTxt, baseCost, "")))))) +
  ISNUMBER(SEARCH("DEPENDENCY GROUP", UPPER(CLEAN(TRIM(_xlfn.XLOOKUP(TEXT(Contract_Edits[[#This Row],[Index]],"0"), baseIdxTxt, baseCost, ""))))))
)</f>
        <v>1</v>
      </c>
      <c r="AG85" s="511" cm="1">
        <f t="array" ref="AG85">IF(Contract_Edits[[#This Row],[BaseFlag]]=1,
   10*BaseDepthL(TEXT(Contract_Edits[[#This Row],[Index]],"0"),500,editsIdxTxt,editsParentKeyTxt,baseIdxTxt,baseCost)-5,
   ""
)</f>
        <v>225</v>
      </c>
      <c r="AH85" s="511"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11" t="str">
        <f>IF(Contract_Edits[[#This Row],[Dep]]=0,"Root",
   IF(ISNUMBER(MATCH(Contract_Edits[[#This Row],[Dep]],Contract_Edits[Index],0)),"OK","Missing")
)</f>
        <v>OK</v>
      </c>
      <c r="AJ85" s="511" t="str">
        <f>IF(AND(Contract_Edits[[#This Row],[Dep]]&lt;&gt;0,
        ISNUMBER(MATCH(Contract_Edits[[#This Row],[Dep]], Contract_Edits[Index], 0)),
        INDEX(Contract_Edits[Dep], MATCH(Contract_Edits[[#This Row],[Dep]], Contract_Edits[Index], 0))=Contract_Edits[[#This Row],[Index]]),
   "2-cycle","")</f>
        <v/>
      </c>
      <c r="AK85" s="511" cm="1">
        <f t="array" ref="AK85">IF(Contract_Edits[[#This Row],[BaseFlag]]&lt;&gt;1,0,
   IF(TEXT(Contract_Edits[[#This Row],[Dep]],"0")=TEXT(Contract_Edits[[#This Row],[Index]],"0"),
      0,
      MAX(0, SUMPRODUCT(--(Contract_Edits[BaseFlag]=1),
                        --(TEXT(Contract_Edits[Dep],"0")=TEXT(Contract_Edits[[#This Row],[Dep]],"0"))) - 1)
   )
)</f>
        <v>0</v>
      </c>
      <c r="AL85" s="511" t="str" cm="1">
        <f t="array" ref="AL85">IF(Contract_Edits[[#This Row],[BaseFlag]]=1,
   TEXT(Contract_Edits[[#This Row],[Index]],"0"),
   NearestBaseL(TEXT(Contract_Edits[[#This Row],[ParentKey]],"0"),500,editsIdxTxt,editsParentKeyTxt,baseIdxTxt,baseCost)
)</f>
        <v>23</v>
      </c>
      <c r="AM85" s="511" cm="1">
        <f t="array" ref="AM85">1+SUMPRODUCT(
  (Contract_Edits[BaseFlag]=1)*
  (TEXT(Contract_Edits[ParentAnchor],"0")=TEXT(Contract_Edits[[#This Row],[ParentAnchor]],"0"))*
  (VALUE(TEXT(Contract_Edits[Index],"0"))&lt;VALUE(TEXT(Contract_Edits[[#This Row],[Index]],"0")))
)</f>
        <v>1</v>
      </c>
      <c r="AN85" s="511"/>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629</v>
      </c>
      <c r="B86" t="s">
        <v>625</v>
      </c>
      <c r="C86" t="s">
        <v>547</v>
      </c>
      <c r="D86" s="444" t="s">
        <v>671</v>
      </c>
      <c r="E86">
        <v>1</v>
      </c>
      <c r="F86" s="453">
        <v>8333.2037</v>
      </c>
      <c r="G86" s="188">
        <v>8333.2037</v>
      </c>
      <c r="H86">
        <v>23</v>
      </c>
      <c r="I86">
        <v>8333.2037</v>
      </c>
      <c r="J86">
        <v>905</v>
      </c>
      <c r="K86" s="104"/>
      <c r="L86" s="449">
        <v>905</v>
      </c>
      <c r="M86" s="449"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76"/>
      <c r="R86" s="516"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6" s="179">
        <v>0</v>
      </c>
      <c r="T86" s="179">
        <v>0</v>
      </c>
      <c r="U86" s="11" t="s">
        <v>693</v>
      </c>
      <c r="V86"/>
      <c r="W86" s="22" t="s">
        <v>436</v>
      </c>
      <c r="X86" s="22" t="s">
        <v>436</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11">
        <f>--(
  ISNUMBER(SEARCH("BASE PARENT", UPPER(CLEAN(TRIM(_xlfn.XLOOKUP(TEXT(Contract_Edits[[#This Row],[Index]],"0"), baseIdxTxt, baseCost, "")))))) +
  ISNUMBER(SEARCH("DEPENDENCY GROUP", UPPER(CLEAN(TRIM(_xlfn.XLOOKUP(TEXT(Contract_Edits[[#This Row],[Index]],"0"), baseIdxTxt, baseCost, ""))))))
)</f>
        <v>0</v>
      </c>
      <c r="AG86" s="511" t="str" cm="1">
        <f t="array" ref="AG86">IF(Contract_Edits[[#This Row],[BaseFlag]]=1,
   10*BaseDepthL(TEXT(Contract_Edits[[#This Row],[Index]],"0"),500,editsIdxTxt,editsParentKeyTxt,baseIdxTxt,baseCost)-5,
   ""
)</f>
        <v/>
      </c>
      <c r="AH86" s="511"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11" t="str">
        <f>IF(Contract_Edits[[#This Row],[Dep]]=0,"Root",
   IF(ISNUMBER(MATCH(Contract_Edits[[#This Row],[Dep]],Contract_Edits[Index],0)),"OK","Missing")
)</f>
        <v>OK</v>
      </c>
      <c r="AJ86" s="511" t="str">
        <f>IF(AND(Contract_Edits[[#This Row],[Dep]]&lt;&gt;0,
        ISNUMBER(MATCH(Contract_Edits[[#This Row],[Dep]], Contract_Edits[Index], 0)),
        INDEX(Contract_Edits[Dep], MATCH(Contract_Edits[[#This Row],[Dep]], Contract_Edits[Index], 0))=Contract_Edits[[#This Row],[Index]]),
   "2-cycle","")</f>
        <v/>
      </c>
      <c r="AK86" s="511" cm="1">
        <f t="array" ref="AK86">IF(Contract_Edits[[#This Row],[BaseFlag]]&lt;&gt;1,0,
   IF(TEXT(Contract_Edits[[#This Row],[Dep]],"0")=TEXT(Contract_Edits[[#This Row],[Index]],"0"),
      0,
      MAX(0, SUMPRODUCT(--(Contract_Edits[BaseFlag]=1),
                        --(TEXT(Contract_Edits[Dep],"0")=TEXT(Contract_Edits[[#This Row],[Dep]],"0"))) - 1)
   )
)</f>
        <v>0</v>
      </c>
      <c r="AL86" s="511" t="str" cm="1">
        <f t="array" ref="AL86">IF(Contract_Edits[[#This Row],[BaseFlag]]=1,
   TEXT(Contract_Edits[[#This Row],[Index]],"0"),
   NearestBaseL(TEXT(Contract_Edits[[#This Row],[ParentKey]],"0"),500,editsIdxTxt,editsParentKeyTxt,baseIdxTxt,baseCost)
)</f>
        <v>23</v>
      </c>
      <c r="AM86" s="511" cm="1">
        <f t="array" ref="AM86">1+SUMPRODUCT(
  (Contract_Edits[BaseFlag]=1)*
  (TEXT(Contract_Edits[ParentAnchor],"0")=TEXT(Contract_Edits[[#This Row],[ParentAnchor]],"0"))*
  (VALUE(TEXT(Contract_Edits[Index],"0"))&lt;VALUE(TEXT(Contract_Edits[[#This Row],[Index]],"0")))
)</f>
        <v>2</v>
      </c>
      <c r="AN86" s="511"/>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559</v>
      </c>
      <c r="B87" t="s">
        <v>570</v>
      </c>
      <c r="C87" t="s">
        <v>571</v>
      </c>
      <c r="D87" s="444" t="s">
        <v>572</v>
      </c>
      <c r="E87">
        <v>1</v>
      </c>
      <c r="F87" s="453"/>
      <c r="G87" s="188"/>
      <c r="H87">
        <v>0</v>
      </c>
      <c r="I87"/>
      <c r="J87">
        <v>48</v>
      </c>
      <c r="K87" s="104"/>
      <c r="L87" s="449">
        <v>48</v>
      </c>
      <c r="M87" s="449"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76"/>
      <c r="R87" s="516"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7" s="179">
        <v>0</v>
      </c>
      <c r="T87" s="179">
        <v>0</v>
      </c>
      <c r="U87" s="11" t="s">
        <v>693</v>
      </c>
      <c r="V87"/>
      <c r="W87" s="22" t="s">
        <v>436</v>
      </c>
      <c r="X87" s="22" t="s">
        <v>436</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11">
        <f>--(
  ISNUMBER(SEARCH("BASE PARENT", UPPER(CLEAN(TRIM(_xlfn.XLOOKUP(TEXT(Contract_Edits[[#This Row],[Index]],"0"), baseIdxTxt, baseCost, "")))))) +
  ISNUMBER(SEARCH("DEPENDENCY GROUP", UPPER(CLEAN(TRIM(_xlfn.XLOOKUP(TEXT(Contract_Edits[[#This Row],[Index]],"0"), baseIdxTxt, baseCost, ""))))))
)</f>
        <v>0</v>
      </c>
      <c r="AG87" s="511" t="str" cm="1">
        <f t="array" ref="AG87">IF(Contract_Edits[[#This Row],[BaseFlag]]=1,
   10*BaseDepthL(TEXT(Contract_Edits[[#This Row],[Index]],"0"),500,editsIdxTxt,editsParentKeyTxt,baseIdxTxt,baseCost)-5,
   ""
)</f>
        <v/>
      </c>
      <c r="AH87" s="511"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61" t="str">
        <f>IF(Contract_Edits[[#This Row],[Dep]]=0,"Root",
   IF(ISNUMBER(MATCH(Contract_Edits[[#This Row],[Dep]],Contract_Edits[Index],0)),"OK","Missing")
)</f>
        <v>OK</v>
      </c>
      <c r="AJ87" s="461" t="str">
        <f>IF(AND(Contract_Edits[[#This Row],[Dep]]&lt;&gt;0,
        ISNUMBER(MATCH(Contract_Edits[[#This Row],[Dep]], Contract_Edits[Index], 0)),
        INDEX(Contract_Edits[Dep], MATCH(Contract_Edits[[#This Row],[Dep]], Contract_Edits[Index], 0))=Contract_Edits[[#This Row],[Index]]),
   "2-cycle","")</f>
        <v/>
      </c>
      <c r="AK87" s="461" cm="1">
        <f t="array" ref="AK87">IF(Contract_Edits[[#This Row],[BaseFlag]]&lt;&gt;1,0,
   IF(TEXT(Contract_Edits[[#This Row],[Dep]],"0")=TEXT(Contract_Edits[[#This Row],[Index]],"0"),
      0,
      MAX(0, SUMPRODUCT(--(Contract_Edits[BaseFlag]=1),
                        --(TEXT(Contract_Edits[Dep],"0")=TEXT(Contract_Edits[[#This Row],[Dep]],"0"))) - 1)
   )
)</f>
        <v>0</v>
      </c>
      <c r="AL87" s="461" t="str" cm="1">
        <f t="array" ref="AL87">IF(Contract_Edits[[#This Row],[BaseFlag]]=1,
   TEXT(Contract_Edits[[#This Row],[Index]],"0"),
   NearestBaseL(TEXT(Contract_Edits[[#This Row],[ParentKey]],"0"),500,editsIdxTxt,editsParentKeyTxt,baseIdxTxt,baseCost)
)</f>
        <v>23</v>
      </c>
      <c r="AM87" s="461" cm="1">
        <f t="array" ref="AM87">1+SUMPRODUCT(
  (Contract_Edits[BaseFlag]=1)*
  (TEXT(Contract_Edits[ParentAnchor],"0")=TEXT(Contract_Edits[[#This Row],[ParentAnchor]],"0"))*
  (VALUE(TEXT(Contract_Edits[Index],"0"))&lt;VALUE(TEXT(Contract_Edits[[#This Row],[Index]],"0")))
)</f>
        <v>2</v>
      </c>
      <c r="AN87" s="461"/>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516</v>
      </c>
      <c r="B88" t="s">
        <v>513</v>
      </c>
      <c r="C88" t="s">
        <v>537</v>
      </c>
      <c r="D88" s="444" t="s">
        <v>549</v>
      </c>
      <c r="E88">
        <v>1</v>
      </c>
      <c r="F88" s="453">
        <v>0</v>
      </c>
      <c r="G88" s="188">
        <v>0</v>
      </c>
      <c r="H88">
        <v>23</v>
      </c>
      <c r="I88">
        <v>0</v>
      </c>
      <c r="J88">
        <v>24</v>
      </c>
      <c r="K88" s="104"/>
      <c r="L88" s="449">
        <v>24</v>
      </c>
      <c r="M88" s="449"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76"/>
      <c r="R88" s="516"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8" s="179">
        <v>0</v>
      </c>
      <c r="T88" s="179">
        <v>0</v>
      </c>
      <c r="U88" s="11"/>
      <c r="V88"/>
      <c r="W88" s="22" t="s">
        <v>436</v>
      </c>
      <c r="X88" s="22" t="s">
        <v>436</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11">
        <f>--(
  ISNUMBER(SEARCH("BASE PARENT", UPPER(CLEAN(TRIM(_xlfn.XLOOKUP(TEXT(Contract_Edits[[#This Row],[Index]],"0"), baseIdxTxt, baseCost, "")))))) +
  ISNUMBER(SEARCH("DEPENDENCY GROUP", UPPER(CLEAN(TRIM(_xlfn.XLOOKUP(TEXT(Contract_Edits[[#This Row],[Index]],"0"), baseIdxTxt, baseCost, ""))))))
)</f>
        <v>1</v>
      </c>
      <c r="AG88" s="511" cm="1">
        <f t="array" ref="AG88">IF(Contract_Edits[[#This Row],[BaseFlag]]=1,
   10*BaseDepthL(TEXT(Contract_Edits[[#This Row],[Index]],"0"),500,editsIdxTxt,editsParentKeyTxt,baseIdxTxt,baseCost)-5,
   ""
)</f>
        <v>235</v>
      </c>
      <c r="AH88" s="511"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11" t="str">
        <f>IF(Contract_Edits[[#This Row],[Dep]]=0,"Root",
   IF(ISNUMBER(MATCH(Contract_Edits[[#This Row],[Dep]],Contract_Edits[Index],0)),"OK","Missing")
)</f>
        <v>OK</v>
      </c>
      <c r="AJ88" s="511" t="str">
        <f>IF(AND(Contract_Edits[[#This Row],[Dep]]&lt;&gt;0,
        ISNUMBER(MATCH(Contract_Edits[[#This Row],[Dep]], Contract_Edits[Index], 0)),
        INDEX(Contract_Edits[Dep], MATCH(Contract_Edits[[#This Row],[Dep]], Contract_Edits[Index], 0))=Contract_Edits[[#This Row],[Index]]),
   "2-cycle","")</f>
        <v/>
      </c>
      <c r="AK88" s="511" cm="1">
        <f t="array" ref="AK88">IF(Contract_Edits[[#This Row],[BaseFlag]]&lt;&gt;1,0,
   IF(TEXT(Contract_Edits[[#This Row],[Dep]],"0")=TEXT(Contract_Edits[[#This Row],[Index]],"0"),
      0,
      MAX(0, SUMPRODUCT(--(Contract_Edits[BaseFlag]=1),
                        --(TEXT(Contract_Edits[Dep],"0")=TEXT(Contract_Edits[[#This Row],[Dep]],"0"))) - 1)
   )
)</f>
        <v>0</v>
      </c>
      <c r="AL88" s="511" t="str" cm="1">
        <f t="array" ref="AL88">IF(Contract_Edits[[#This Row],[BaseFlag]]=1,
   TEXT(Contract_Edits[[#This Row],[Index]],"0"),
   NearestBaseL(TEXT(Contract_Edits[[#This Row],[ParentKey]],"0"),500,editsIdxTxt,editsParentKeyTxt,baseIdxTxt,baseCost)
)</f>
        <v>24</v>
      </c>
      <c r="AM88" s="511" cm="1">
        <f t="array" ref="AM88">1+SUMPRODUCT(
  (Contract_Edits[BaseFlag]=1)*
  (TEXT(Contract_Edits[ParentAnchor],"0")=TEXT(Contract_Edits[[#This Row],[ParentAnchor]],"0"))*
  (VALUE(TEXT(Contract_Edits[Index],"0"))&lt;VALUE(TEXT(Contract_Edits[[#This Row],[Index]],"0")))
)</f>
        <v>1</v>
      </c>
      <c r="AN88" s="511"/>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516</v>
      </c>
      <c r="B89" t="s">
        <v>513</v>
      </c>
      <c r="C89" t="s">
        <v>550</v>
      </c>
      <c r="D89" s="444" t="s">
        <v>551</v>
      </c>
      <c r="E89">
        <v>1</v>
      </c>
      <c r="F89" s="453">
        <v>0</v>
      </c>
      <c r="G89" s="188">
        <v>0</v>
      </c>
      <c r="H89">
        <v>24</v>
      </c>
      <c r="I89">
        <v>0</v>
      </c>
      <c r="J89">
        <v>25</v>
      </c>
      <c r="K89" s="104"/>
      <c r="L89" s="449">
        <v>25</v>
      </c>
      <c r="M89" s="449"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76"/>
      <c r="R89" s="516"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89" s="179">
        <v>0</v>
      </c>
      <c r="T89" s="179">
        <v>0</v>
      </c>
      <c r="U89" s="11"/>
      <c r="V89"/>
      <c r="W89" s="22" t="s">
        <v>436</v>
      </c>
      <c r="X89" s="22" t="s">
        <v>436</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11">
        <f>--(
  ISNUMBER(SEARCH("BASE PARENT", UPPER(CLEAN(TRIM(_xlfn.XLOOKUP(TEXT(Contract_Edits[[#This Row],[Index]],"0"), baseIdxTxt, baseCost, "")))))) +
  ISNUMBER(SEARCH("DEPENDENCY GROUP", UPPER(CLEAN(TRIM(_xlfn.XLOOKUP(TEXT(Contract_Edits[[#This Row],[Index]],"0"), baseIdxTxt, baseCost, ""))))))
)</f>
        <v>1</v>
      </c>
      <c r="AG89" s="511" cm="1">
        <f t="array" ref="AG89">IF(Contract_Edits[[#This Row],[BaseFlag]]=1,
   10*BaseDepthL(TEXT(Contract_Edits[[#This Row],[Index]],"0"),500,editsIdxTxt,editsParentKeyTxt,baseIdxTxt,baseCost)-5,
   ""
)</f>
        <v>245</v>
      </c>
      <c r="AH89" s="511"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11" t="str">
        <f>IF(Contract_Edits[[#This Row],[Dep]]=0,"Root",
   IF(ISNUMBER(MATCH(Contract_Edits[[#This Row],[Dep]],Contract_Edits[Index],0)),"OK","Missing")
)</f>
        <v>OK</v>
      </c>
      <c r="AJ89" s="511" t="str">
        <f>IF(AND(Contract_Edits[[#This Row],[Dep]]&lt;&gt;0,
        ISNUMBER(MATCH(Contract_Edits[[#This Row],[Dep]], Contract_Edits[Index], 0)),
        INDEX(Contract_Edits[Dep], MATCH(Contract_Edits[[#This Row],[Dep]], Contract_Edits[Index], 0))=Contract_Edits[[#This Row],[Index]]),
   "2-cycle","")</f>
        <v/>
      </c>
      <c r="AK89" s="511" cm="1">
        <f t="array" ref="AK89">IF(Contract_Edits[[#This Row],[BaseFlag]]&lt;&gt;1,0,
   IF(TEXT(Contract_Edits[[#This Row],[Dep]],"0")=TEXT(Contract_Edits[[#This Row],[Index]],"0"),
      0,
      MAX(0, SUMPRODUCT(--(Contract_Edits[BaseFlag]=1),
                        --(TEXT(Contract_Edits[Dep],"0")=TEXT(Contract_Edits[[#This Row],[Dep]],"0"))) - 1)
   )
)</f>
        <v>0</v>
      </c>
      <c r="AL89" s="511" t="str" cm="1">
        <f t="array" ref="AL89">IF(Contract_Edits[[#This Row],[BaseFlag]]=1,
   TEXT(Contract_Edits[[#This Row],[Index]],"0"),
   NearestBaseL(TEXT(Contract_Edits[[#This Row],[ParentKey]],"0"),500,editsIdxTxt,editsParentKeyTxt,baseIdxTxt,baseCost)
)</f>
        <v>25</v>
      </c>
      <c r="AM89" s="511" cm="1">
        <f t="array" ref="AM89">1+SUMPRODUCT(
  (Contract_Edits[BaseFlag]=1)*
  (TEXT(Contract_Edits[ParentAnchor],"0")=TEXT(Contract_Edits[[#This Row],[ParentAnchor]],"0"))*
  (VALUE(TEXT(Contract_Edits[Index],"0"))&lt;VALUE(TEXT(Contract_Edits[[#This Row],[Index]],"0")))
)</f>
        <v>1</v>
      </c>
      <c r="AN89" s="511"/>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516</v>
      </c>
      <c r="B90" t="s">
        <v>513</v>
      </c>
      <c r="C90" t="s">
        <v>552</v>
      </c>
      <c r="D90" s="444" t="s">
        <v>550</v>
      </c>
      <c r="E90">
        <v>1</v>
      </c>
      <c r="F90" s="453">
        <v>0</v>
      </c>
      <c r="G90" s="188">
        <v>0</v>
      </c>
      <c r="H90">
        <v>25</v>
      </c>
      <c r="I90">
        <v>0</v>
      </c>
      <c r="J90">
        <v>26</v>
      </c>
      <c r="K90" s="104"/>
      <c r="L90" s="449">
        <v>26</v>
      </c>
      <c r="M90" s="449"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76"/>
      <c r="R90" s="516"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0" s="179">
        <v>0</v>
      </c>
      <c r="T90" s="179">
        <v>0</v>
      </c>
      <c r="U90" s="11"/>
      <c r="V90"/>
      <c r="W90" s="22" t="s">
        <v>436</v>
      </c>
      <c r="X90" s="22" t="s">
        <v>436</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11">
        <f>--(
  ISNUMBER(SEARCH("BASE PARENT", UPPER(CLEAN(TRIM(_xlfn.XLOOKUP(TEXT(Contract_Edits[[#This Row],[Index]],"0"), baseIdxTxt, baseCost, "")))))) +
  ISNUMBER(SEARCH("DEPENDENCY GROUP", UPPER(CLEAN(TRIM(_xlfn.XLOOKUP(TEXT(Contract_Edits[[#This Row],[Index]],"0"), baseIdxTxt, baseCost, ""))))))
)</f>
        <v>1</v>
      </c>
      <c r="AG90" s="511" cm="1">
        <f t="array" ref="AG90">IF(Contract_Edits[[#This Row],[BaseFlag]]=1,
   10*BaseDepthL(TEXT(Contract_Edits[[#This Row],[Index]],"0"),500,editsIdxTxt,editsParentKeyTxt,baseIdxTxt,baseCost)-5,
   ""
)</f>
        <v>255</v>
      </c>
      <c r="AH90" s="511"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11" t="str">
        <f>IF(Contract_Edits[[#This Row],[Dep]]=0,"Root",
   IF(ISNUMBER(MATCH(Contract_Edits[[#This Row],[Dep]],Contract_Edits[Index],0)),"OK","Missing")
)</f>
        <v>OK</v>
      </c>
      <c r="AJ90" s="511" t="str">
        <f>IF(AND(Contract_Edits[[#This Row],[Dep]]&lt;&gt;0,
        ISNUMBER(MATCH(Contract_Edits[[#This Row],[Dep]], Contract_Edits[Index], 0)),
        INDEX(Contract_Edits[Dep], MATCH(Contract_Edits[[#This Row],[Dep]], Contract_Edits[Index], 0))=Contract_Edits[[#This Row],[Index]]),
   "2-cycle","")</f>
        <v/>
      </c>
      <c r="AK90" s="511" cm="1">
        <f t="array" ref="AK90">IF(Contract_Edits[[#This Row],[BaseFlag]]&lt;&gt;1,0,
   IF(TEXT(Contract_Edits[[#This Row],[Dep]],"0")=TEXT(Contract_Edits[[#This Row],[Index]],"0"),
      0,
      MAX(0, SUMPRODUCT(--(Contract_Edits[BaseFlag]=1),
                        --(TEXT(Contract_Edits[Dep],"0")=TEXT(Contract_Edits[[#This Row],[Dep]],"0"))) - 1)
   )
)</f>
        <v>0</v>
      </c>
      <c r="AL90" s="511" t="str" cm="1">
        <f t="array" ref="AL90">IF(Contract_Edits[[#This Row],[BaseFlag]]=1,
   TEXT(Contract_Edits[[#This Row],[Index]],"0"),
   NearestBaseL(TEXT(Contract_Edits[[#This Row],[ParentKey]],"0"),500,editsIdxTxt,editsParentKeyTxt,baseIdxTxt,baseCost)
)</f>
        <v>26</v>
      </c>
      <c r="AM90" s="511" cm="1">
        <f t="array" ref="AM90">1+SUMPRODUCT(
  (Contract_Edits[BaseFlag]=1)*
  (TEXT(Contract_Edits[ParentAnchor],"0")=TEXT(Contract_Edits[[#This Row],[ParentAnchor]],"0"))*
  (VALUE(TEXT(Contract_Edits[Index],"0"))&lt;VALUE(TEXT(Contract_Edits[[#This Row],[Index]],"0")))
)</f>
        <v>1</v>
      </c>
      <c r="AN90" s="511"/>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516</v>
      </c>
      <c r="B91" t="s">
        <v>513</v>
      </c>
      <c r="C91" t="s">
        <v>555</v>
      </c>
      <c r="D91" s="444" t="s">
        <v>556</v>
      </c>
      <c r="E91">
        <v>1</v>
      </c>
      <c r="F91" s="453">
        <v>0</v>
      </c>
      <c r="G91" s="188">
        <v>0</v>
      </c>
      <c r="H91">
        <v>27</v>
      </c>
      <c r="I91">
        <v>0</v>
      </c>
      <c r="J91">
        <v>28</v>
      </c>
      <c r="K91" s="104"/>
      <c r="L91" s="449">
        <v>28</v>
      </c>
      <c r="M91" s="449"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76"/>
      <c r="R91" s="516"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1" s="179">
        <v>0</v>
      </c>
      <c r="T91" s="179">
        <v>0</v>
      </c>
      <c r="U91" s="11"/>
      <c r="V91"/>
      <c r="W91" s="22" t="s">
        <v>436</v>
      </c>
      <c r="X91" s="22" t="s">
        <v>436</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11">
        <f>--(
  ISNUMBER(SEARCH("BASE PARENT", UPPER(CLEAN(TRIM(_xlfn.XLOOKUP(TEXT(Contract_Edits[[#This Row],[Index]],"0"), baseIdxTxt, baseCost, "")))))) +
  ISNUMBER(SEARCH("DEPENDENCY GROUP", UPPER(CLEAN(TRIM(_xlfn.XLOOKUP(TEXT(Contract_Edits[[#This Row],[Index]],"0"), baseIdxTxt, baseCost, ""))))))
)</f>
        <v>1</v>
      </c>
      <c r="AG91" s="511" cm="1">
        <f t="array" ref="AG91">IF(Contract_Edits[[#This Row],[BaseFlag]]=1,
   10*BaseDepthL(TEXT(Contract_Edits[[#This Row],[Index]],"0"),500,editsIdxTxt,editsParentKeyTxt,baseIdxTxt,baseCost)-5,
   ""
)</f>
        <v>275</v>
      </c>
      <c r="AH91" s="511"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11" t="str">
        <f>IF(Contract_Edits[[#This Row],[Dep]]=0,"Root",
   IF(ISNUMBER(MATCH(Contract_Edits[[#This Row],[Dep]],Contract_Edits[Index],0)),"OK","Missing")
)</f>
        <v>OK</v>
      </c>
      <c r="AJ91" s="511" t="str">
        <f>IF(AND(Contract_Edits[[#This Row],[Dep]]&lt;&gt;0,
        ISNUMBER(MATCH(Contract_Edits[[#This Row],[Dep]], Contract_Edits[Index], 0)),
        INDEX(Contract_Edits[Dep], MATCH(Contract_Edits[[#This Row],[Dep]], Contract_Edits[Index], 0))=Contract_Edits[[#This Row],[Index]]),
   "2-cycle","")</f>
        <v/>
      </c>
      <c r="AK91" s="511" cm="1">
        <f t="array" ref="AK91">IF(Contract_Edits[[#This Row],[BaseFlag]]&lt;&gt;1,0,
   IF(TEXT(Contract_Edits[[#This Row],[Dep]],"0")=TEXT(Contract_Edits[[#This Row],[Index]],"0"),
      0,
      MAX(0, SUMPRODUCT(--(Contract_Edits[BaseFlag]=1),
                        --(TEXT(Contract_Edits[Dep],"0")=TEXT(Contract_Edits[[#This Row],[Dep]],"0"))) - 1)
   )
)</f>
        <v>0</v>
      </c>
      <c r="AL91" s="511" t="str" cm="1">
        <f t="array" ref="AL91">IF(Contract_Edits[[#This Row],[BaseFlag]]=1,
   TEXT(Contract_Edits[[#This Row],[Index]],"0"),
   NearestBaseL(TEXT(Contract_Edits[[#This Row],[ParentKey]],"0"),500,editsIdxTxt,editsParentKeyTxt,baseIdxTxt,baseCost)
)</f>
        <v>28</v>
      </c>
      <c r="AM91" s="511" cm="1">
        <f t="array" ref="AM91">1+SUMPRODUCT(
  (Contract_Edits[BaseFlag]=1)*
  (TEXT(Contract_Edits[ParentAnchor],"0")=TEXT(Contract_Edits[[#This Row],[ParentAnchor]],"0"))*
  (VALUE(TEXT(Contract_Edits[Index],"0"))&lt;VALUE(TEXT(Contract_Edits[[#This Row],[Index]],"0")))
)</f>
        <v>1</v>
      </c>
      <c r="AN91" s="511"/>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629</v>
      </c>
      <c r="B92" t="s">
        <v>624</v>
      </c>
      <c r="C92" t="s">
        <v>555</v>
      </c>
      <c r="D92" s="444" t="s">
        <v>672</v>
      </c>
      <c r="E92">
        <v>1</v>
      </c>
      <c r="F92" s="453">
        <v>0</v>
      </c>
      <c r="G92" s="188">
        <v>0</v>
      </c>
      <c r="H92">
        <v>28</v>
      </c>
      <c r="I92">
        <v>0</v>
      </c>
      <c r="J92">
        <v>909</v>
      </c>
      <c r="K92" s="104"/>
      <c r="L92" s="449">
        <v>909</v>
      </c>
      <c r="M92" s="449"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76"/>
      <c r="R92" s="516"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2" s="179">
        <v>0</v>
      </c>
      <c r="T92" s="179">
        <v>0</v>
      </c>
      <c r="U92" s="11" t="s">
        <v>694</v>
      </c>
      <c r="V92"/>
      <c r="W92" s="22" t="s">
        <v>436</v>
      </c>
      <c r="X92" s="22" t="s">
        <v>436</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11">
        <f>--(
  ISNUMBER(SEARCH("BASE PARENT", UPPER(CLEAN(TRIM(_xlfn.XLOOKUP(TEXT(Contract_Edits[[#This Row],[Index]],"0"), baseIdxTxt, baseCost, "")))))) +
  ISNUMBER(SEARCH("DEPENDENCY GROUP", UPPER(CLEAN(TRIM(_xlfn.XLOOKUP(TEXT(Contract_Edits[[#This Row],[Index]],"0"), baseIdxTxt, baseCost, ""))))))
)</f>
        <v>0</v>
      </c>
      <c r="AG92" s="511" t="str" cm="1">
        <f t="array" ref="AG92">IF(Contract_Edits[[#This Row],[BaseFlag]]=1,
   10*BaseDepthL(TEXT(Contract_Edits[[#This Row],[Index]],"0"),500,editsIdxTxt,editsParentKeyTxt,baseIdxTxt,baseCost)-5,
   ""
)</f>
        <v/>
      </c>
      <c r="AH92" s="511"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11" t="str">
        <f>IF(Contract_Edits[[#This Row],[Dep]]=0,"Root",
   IF(ISNUMBER(MATCH(Contract_Edits[[#This Row],[Dep]],Contract_Edits[Index],0)),"OK","Missing")
)</f>
        <v>OK</v>
      </c>
      <c r="AJ92" s="511" t="str">
        <f>IF(AND(Contract_Edits[[#This Row],[Dep]]&lt;&gt;0,
        ISNUMBER(MATCH(Contract_Edits[[#This Row],[Dep]], Contract_Edits[Index], 0)),
        INDEX(Contract_Edits[Dep], MATCH(Contract_Edits[[#This Row],[Dep]], Contract_Edits[Index], 0))=Contract_Edits[[#This Row],[Index]]),
   "2-cycle","")</f>
        <v/>
      </c>
      <c r="AK92" s="511" cm="1">
        <f t="array" ref="AK92">IF(Contract_Edits[[#This Row],[BaseFlag]]&lt;&gt;1,0,
   IF(TEXT(Contract_Edits[[#This Row],[Dep]],"0")=TEXT(Contract_Edits[[#This Row],[Index]],"0"),
      0,
      MAX(0, SUMPRODUCT(--(Contract_Edits[BaseFlag]=1),
                        --(TEXT(Contract_Edits[Dep],"0")=TEXT(Contract_Edits[[#This Row],[Dep]],"0"))) - 1)
   )
)</f>
        <v>0</v>
      </c>
      <c r="AL92" s="511" t="str" cm="1">
        <f t="array" ref="AL92">IF(Contract_Edits[[#This Row],[BaseFlag]]=1,
   TEXT(Contract_Edits[[#This Row],[Index]],"0"),
   NearestBaseL(TEXT(Contract_Edits[[#This Row],[ParentKey]],"0"),500,editsIdxTxt,editsParentKeyTxt,baseIdxTxt,baseCost)
)</f>
        <v>28</v>
      </c>
      <c r="AM92" s="511" cm="1">
        <f t="array" ref="AM92">1+SUMPRODUCT(
  (Contract_Edits[BaseFlag]=1)*
  (TEXT(Contract_Edits[ParentAnchor],"0")=TEXT(Contract_Edits[[#This Row],[ParentAnchor]],"0"))*
  (VALUE(TEXT(Contract_Edits[Index],"0"))&lt;VALUE(TEXT(Contract_Edits[[#This Row],[Index]],"0")))
)</f>
        <v>1</v>
      </c>
      <c r="AN92" s="511"/>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629</v>
      </c>
      <c r="B93" t="s">
        <v>625</v>
      </c>
      <c r="C93" t="s">
        <v>673</v>
      </c>
      <c r="D93" s="444" t="s">
        <v>674</v>
      </c>
      <c r="E93">
        <v>1</v>
      </c>
      <c r="F93" s="453">
        <v>270</v>
      </c>
      <c r="G93" s="188">
        <v>270</v>
      </c>
      <c r="H93">
        <v>28</v>
      </c>
      <c r="I93">
        <v>270</v>
      </c>
      <c r="J93">
        <v>910</v>
      </c>
      <c r="K93" s="104"/>
      <c r="L93" s="449">
        <v>910</v>
      </c>
      <c r="M93" s="449"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88"/>
      <c r="R93" s="516"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3" s="179">
        <v>0</v>
      </c>
      <c r="T93" s="477"/>
      <c r="U93" s="500" t="s">
        <v>694</v>
      </c>
      <c r="V93" s="193"/>
      <c r="W93" s="22" t="s">
        <v>436</v>
      </c>
      <c r="X93" s="22" t="s">
        <v>436</v>
      </c>
      <c r="Y93" s="492"/>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11">
        <f>--(
  ISNUMBER(SEARCH("BASE PARENT", UPPER(CLEAN(TRIM(_xlfn.XLOOKUP(TEXT(Contract_Edits[[#This Row],[Index]],"0"), baseIdxTxt, baseCost, "")))))) +
  ISNUMBER(SEARCH("DEPENDENCY GROUP", UPPER(CLEAN(TRIM(_xlfn.XLOOKUP(TEXT(Contract_Edits[[#This Row],[Index]],"0"), baseIdxTxt, baseCost, ""))))))
)</f>
        <v>0</v>
      </c>
      <c r="AG93" s="511" t="str" cm="1">
        <f t="array" ref="AG93">IF(Contract_Edits[[#This Row],[BaseFlag]]=1,
   10*BaseDepthL(TEXT(Contract_Edits[[#This Row],[Index]],"0"),500,editsIdxTxt,editsParentKeyTxt,baseIdxTxt,baseCost)-5,
   ""
)</f>
        <v/>
      </c>
      <c r="AH93" s="511"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11" t="str">
        <f>IF(Contract_Edits[[#This Row],[Dep]]=0,"Root",
   IF(ISNUMBER(MATCH(Contract_Edits[[#This Row],[Dep]],Contract_Edits[Index],0)),"OK","Missing")
)</f>
        <v>OK</v>
      </c>
      <c r="AJ93" s="511" t="str">
        <f>IF(AND(Contract_Edits[[#This Row],[Dep]]&lt;&gt;0,
        ISNUMBER(MATCH(Contract_Edits[[#This Row],[Dep]], Contract_Edits[Index], 0)),
        INDEX(Contract_Edits[Dep], MATCH(Contract_Edits[[#This Row],[Dep]], Contract_Edits[Index], 0))=Contract_Edits[[#This Row],[Index]]),
   "2-cycle","")</f>
        <v/>
      </c>
      <c r="AK93" s="511" cm="1">
        <f t="array" ref="AK93">IF(Contract_Edits[[#This Row],[BaseFlag]]&lt;&gt;1,0,
   IF(TEXT(Contract_Edits[[#This Row],[Dep]],"0")=TEXT(Contract_Edits[[#This Row],[Index]],"0"),
      0,
      MAX(0, SUMPRODUCT(--(Contract_Edits[BaseFlag]=1),
                        --(TEXT(Contract_Edits[Dep],"0")=TEXT(Contract_Edits[[#This Row],[Dep]],"0"))) - 1)
   )
)</f>
        <v>0</v>
      </c>
      <c r="AL93" s="511" t="str" cm="1">
        <f t="array" ref="AL93">IF(Contract_Edits[[#This Row],[BaseFlag]]=1,
   TEXT(Contract_Edits[[#This Row],[Index]],"0"),
   NearestBaseL(TEXT(Contract_Edits[[#This Row],[ParentKey]],"0"),500,editsIdxTxt,editsParentKeyTxt,baseIdxTxt,baseCost)
)</f>
        <v>28</v>
      </c>
      <c r="AM93" s="511" cm="1">
        <f t="array" ref="AM93">1+SUMPRODUCT(
  (Contract_Edits[BaseFlag]=1)*
  (TEXT(Contract_Edits[ParentAnchor],"0")=TEXT(Contract_Edits[[#This Row],[ParentAnchor]],"0"))*
  (VALUE(TEXT(Contract_Edits[Index],"0"))&lt;VALUE(TEXT(Contract_Edits[[#This Row],[Index]],"0")))
)</f>
        <v>1</v>
      </c>
      <c r="AN93" s="511"/>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516</v>
      </c>
      <c r="B94" t="s">
        <v>513</v>
      </c>
      <c r="C94" t="s">
        <v>553</v>
      </c>
      <c r="D94" s="444" t="s">
        <v>554</v>
      </c>
      <c r="E94">
        <v>1</v>
      </c>
      <c r="F94" s="453">
        <v>0</v>
      </c>
      <c r="G94" s="188">
        <v>0</v>
      </c>
      <c r="H94">
        <v>26</v>
      </c>
      <c r="I94">
        <v>0</v>
      </c>
      <c r="J94">
        <v>27</v>
      </c>
      <c r="K94" s="104"/>
      <c r="L94" s="449">
        <v>27</v>
      </c>
      <c r="M94" s="449"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76"/>
      <c r="R94" s="516"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4" s="179">
        <v>0</v>
      </c>
      <c r="T94" s="179">
        <v>0</v>
      </c>
      <c r="U94" s="11"/>
      <c r="V94"/>
      <c r="W94" s="22" t="s">
        <v>436</v>
      </c>
      <c r="X94" s="22" t="s">
        <v>436</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11">
        <f>--(
  ISNUMBER(SEARCH("BASE PARENT", UPPER(CLEAN(TRIM(_xlfn.XLOOKUP(TEXT(Contract_Edits[[#This Row],[Index]],"0"), baseIdxTxt, baseCost, "")))))) +
  ISNUMBER(SEARCH("DEPENDENCY GROUP", UPPER(CLEAN(TRIM(_xlfn.XLOOKUP(TEXT(Contract_Edits[[#This Row],[Index]],"0"), baseIdxTxt, baseCost, ""))))))
)</f>
        <v>1</v>
      </c>
      <c r="AG94" s="511" cm="1">
        <f t="array" ref="AG94">IF(Contract_Edits[[#This Row],[BaseFlag]]=1,
   10*BaseDepthL(TEXT(Contract_Edits[[#This Row],[Index]],"0"),500,editsIdxTxt,editsParentKeyTxt,baseIdxTxt,baseCost)-5,
   ""
)</f>
        <v>265</v>
      </c>
      <c r="AH94" s="511"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11" t="str">
        <f>IF(Contract_Edits[[#This Row],[Dep]]=0,"Root",
   IF(ISNUMBER(MATCH(Contract_Edits[[#This Row],[Dep]],Contract_Edits[Index],0)),"OK","Missing")
)</f>
        <v>OK</v>
      </c>
      <c r="AJ94" s="511" t="str">
        <f>IF(AND(Contract_Edits[[#This Row],[Dep]]&lt;&gt;0,
        ISNUMBER(MATCH(Contract_Edits[[#This Row],[Dep]], Contract_Edits[Index], 0)),
        INDEX(Contract_Edits[Dep], MATCH(Contract_Edits[[#This Row],[Dep]], Contract_Edits[Index], 0))=Contract_Edits[[#This Row],[Index]]),
   "2-cycle","")</f>
        <v/>
      </c>
      <c r="AK94" s="511" cm="1">
        <f t="array" ref="AK94">IF(Contract_Edits[[#This Row],[BaseFlag]]&lt;&gt;1,0,
   IF(TEXT(Contract_Edits[[#This Row],[Dep]],"0")=TEXT(Contract_Edits[[#This Row],[Index]],"0"),
      0,
      MAX(0, SUMPRODUCT(--(Contract_Edits[BaseFlag]=1),
                        --(TEXT(Contract_Edits[Dep],"0")=TEXT(Contract_Edits[[#This Row],[Dep]],"0"))) - 1)
   )
)</f>
        <v>0</v>
      </c>
      <c r="AL94" s="511" t="str" cm="1">
        <f t="array" ref="AL94">IF(Contract_Edits[[#This Row],[BaseFlag]]=1,
   TEXT(Contract_Edits[[#This Row],[Index]],"0"),
   NearestBaseL(TEXT(Contract_Edits[[#This Row],[ParentKey]],"0"),500,editsIdxTxt,editsParentKeyTxt,baseIdxTxt,baseCost)
)</f>
        <v>27</v>
      </c>
      <c r="AM94" s="511" cm="1">
        <f t="array" ref="AM94">1+SUMPRODUCT(
  (Contract_Edits[BaseFlag]=1)*
  (TEXT(Contract_Edits[ParentAnchor],"0")=TEXT(Contract_Edits[[#This Row],[ParentAnchor]],"0"))*
  (VALUE(TEXT(Contract_Edits[Index],"0"))&lt;VALUE(TEXT(Contract_Edits[[#This Row],[Index]],"0")))
)</f>
        <v>1</v>
      </c>
      <c r="AN94" s="511"/>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516</v>
      </c>
      <c r="B95" t="s">
        <v>513</v>
      </c>
      <c r="C95" t="s">
        <v>530</v>
      </c>
      <c r="D95" s="444" t="s">
        <v>520</v>
      </c>
      <c r="E95">
        <v>1</v>
      </c>
      <c r="F95" s="453">
        <v>0</v>
      </c>
      <c r="G95" s="188">
        <v>0</v>
      </c>
      <c r="H95">
        <v>8</v>
      </c>
      <c r="I95">
        <v>0</v>
      </c>
      <c r="J95">
        <v>9</v>
      </c>
      <c r="K95" s="104"/>
      <c r="L95" s="449">
        <v>9</v>
      </c>
      <c r="M95" s="449"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76"/>
      <c r="R95" s="516"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5" s="179">
        <v>0</v>
      </c>
      <c r="T95" s="477"/>
      <c r="U95" s="500"/>
      <c r="V95" s="193"/>
      <c r="W95" s="22" t="s">
        <v>436</v>
      </c>
      <c r="X95" s="492" t="s">
        <v>436</v>
      </c>
      <c r="Y95" s="492"/>
      <c r="Z95" s="498"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11">
        <f>--(
  ISNUMBER(SEARCH("BASE PARENT", UPPER(CLEAN(TRIM(_xlfn.XLOOKUP(TEXT(Contract_Edits[[#This Row],[Index]],"0"), baseIdxTxt, baseCost, "")))))) +
  ISNUMBER(SEARCH("DEPENDENCY GROUP", UPPER(CLEAN(TRIM(_xlfn.XLOOKUP(TEXT(Contract_Edits[[#This Row],[Index]],"0"), baseIdxTxt, baseCost, ""))))))
)</f>
        <v>1</v>
      </c>
      <c r="AG95" s="511" cm="1">
        <f t="array" ref="AG95">IF(Contract_Edits[[#This Row],[BaseFlag]]=1,
   10*BaseDepthL(TEXT(Contract_Edits[[#This Row],[Index]],"0"),500,editsIdxTxt,editsParentKeyTxt,baseIdxTxt,baseCost)-5,
   ""
)</f>
        <v>85</v>
      </c>
      <c r="AH95" s="511"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11" t="str">
        <f>IF(Contract_Edits[[#This Row],[Dep]]=0,"Root",
   IF(ISNUMBER(MATCH(Contract_Edits[[#This Row],[Dep]],Contract_Edits[Index],0)),"OK","Missing")
)</f>
        <v>OK</v>
      </c>
      <c r="AJ95" s="511" t="str">
        <f>IF(AND(Contract_Edits[[#This Row],[Dep]]&lt;&gt;0,
        ISNUMBER(MATCH(Contract_Edits[[#This Row],[Dep]], Contract_Edits[Index], 0)),
        INDEX(Contract_Edits[Dep], MATCH(Contract_Edits[[#This Row],[Dep]], Contract_Edits[Index], 0))=Contract_Edits[[#This Row],[Index]]),
   "2-cycle","")</f>
        <v/>
      </c>
      <c r="AK95" s="511" cm="1">
        <f t="array" ref="AK95">IF(Contract_Edits[[#This Row],[BaseFlag]]&lt;&gt;1,0,
   IF(TEXT(Contract_Edits[[#This Row],[Dep]],"0")=TEXT(Contract_Edits[[#This Row],[Index]],"0"),
      0,
      MAX(0, SUMPRODUCT(--(Contract_Edits[BaseFlag]=1),
                        --(TEXT(Contract_Edits[Dep],"0")=TEXT(Contract_Edits[[#This Row],[Dep]],"0"))) - 1)
   )
)</f>
        <v>0</v>
      </c>
      <c r="AL95" s="511" t="str" cm="1">
        <f t="array" ref="AL95">IF(Contract_Edits[[#This Row],[BaseFlag]]=1,
   TEXT(Contract_Edits[[#This Row],[Index]],"0"),
   NearestBaseL(TEXT(Contract_Edits[[#This Row],[ParentKey]],"0"),500,editsIdxTxt,editsParentKeyTxt,baseIdxTxt,baseCost)
)</f>
        <v>9</v>
      </c>
      <c r="AM95" s="511" cm="1">
        <f t="array" ref="AM95">1+SUMPRODUCT(
  (Contract_Edits[BaseFlag]=1)*
  (TEXT(Contract_Edits[ParentAnchor],"0")=TEXT(Contract_Edits[[#This Row],[ParentAnchor]],"0"))*
  (VALUE(TEXT(Contract_Edits[Index],"0"))&lt;VALUE(TEXT(Contract_Edits[[#This Row],[Index]],"0")))
)</f>
        <v>1</v>
      </c>
      <c r="AN95" s="511"/>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9">
        <v>65</v>
      </c>
      <c r="M96" s="449"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76"/>
      <c r="R96" s="516"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6" s="179">
        <v>0</v>
      </c>
      <c r="T96" s="179">
        <v>0</v>
      </c>
      <c r="U96" s="11" t="s">
        <v>684</v>
      </c>
      <c r="V96"/>
      <c r="W96" s="22" t="s">
        <v>436</v>
      </c>
      <c r="X96" s="22" t="s">
        <v>682</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11">
        <f>--(
  ISNUMBER(SEARCH("BASE PARENT", UPPER(CLEAN(TRIM(_xlfn.XLOOKUP(TEXT(Contract_Edits[[#This Row],[Index]],"0"), baseIdxTxt, baseCost, "")))))) +
  ISNUMBER(SEARCH("DEPENDENCY GROUP", UPPER(CLEAN(TRIM(_xlfn.XLOOKUP(TEXT(Contract_Edits[[#This Row],[Index]],"0"), baseIdxTxt, baseCost, ""))))))
)</f>
        <v>0</v>
      </c>
      <c r="AG96" s="511" t="str" cm="1">
        <f t="array" ref="AG96">IF(Contract_Edits[[#This Row],[BaseFlag]]=1,
   10*BaseDepthL(TEXT(Contract_Edits[[#This Row],[Index]],"0"),500,editsIdxTxt,editsParentKeyTxt,baseIdxTxt,baseCost)-5,
   ""
)</f>
        <v/>
      </c>
      <c r="AH96" s="511"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11" t="str">
        <f>IF(Contract_Edits[[#This Row],[Dep]]=0,"Root",
   IF(ISNUMBER(MATCH(Contract_Edits[[#This Row],[Dep]],Contract_Edits[Index],0)),"OK","Missing")
)</f>
        <v>OK</v>
      </c>
      <c r="AJ96" s="511" t="str">
        <f>IF(AND(Contract_Edits[[#This Row],[Dep]]&lt;&gt;0,
        ISNUMBER(MATCH(Contract_Edits[[#This Row],[Dep]], Contract_Edits[Index], 0)),
        INDEX(Contract_Edits[Dep], MATCH(Contract_Edits[[#This Row],[Dep]], Contract_Edits[Index], 0))=Contract_Edits[[#This Row],[Index]]),
   "2-cycle","")</f>
        <v/>
      </c>
      <c r="AK96" s="511" cm="1">
        <f t="array" ref="AK96">IF(Contract_Edits[[#This Row],[BaseFlag]]&lt;&gt;1,0,
   IF(TEXT(Contract_Edits[[#This Row],[Dep]],"0")=TEXT(Contract_Edits[[#This Row],[Index]],"0"),
      0,
      MAX(0, SUMPRODUCT(--(Contract_Edits[BaseFlag]=1),
                        --(TEXT(Contract_Edits[Dep],"0")=TEXT(Contract_Edits[[#This Row],[Dep]],"0"))) - 1)
   )
)</f>
        <v>0</v>
      </c>
      <c r="AL96" s="511" t="str" cm="1">
        <f t="array" ref="AL96">IF(Contract_Edits[[#This Row],[BaseFlag]]=1,
   TEXT(Contract_Edits[[#This Row],[Index]],"0"),
   NearestBaseL(TEXT(Contract_Edits[[#This Row],[ParentKey]],"0"),500,editsIdxTxt,editsParentKeyTxt,baseIdxTxt,baseCost)
)</f>
        <v>2</v>
      </c>
      <c r="AM96" s="511" cm="1">
        <f t="array" ref="AM96">1+SUMPRODUCT(
  (Contract_Edits[BaseFlag]=1)*
  (TEXT(Contract_Edits[ParentAnchor],"0")=TEXT(Contract_Edits[[#This Row],[ParentAnchor]],"0"))*
  (VALUE(TEXT(Contract_Edits[Index],"0"))&lt;VALUE(TEXT(Contract_Edits[[#This Row],[Index]],"0")))
)</f>
        <v>2</v>
      </c>
      <c r="AN96" s="511"/>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9">
        <v>58</v>
      </c>
      <c r="M97" s="449"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76"/>
      <c r="R97" s="516"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7" s="179">
        <v>0</v>
      </c>
      <c r="T97" s="179">
        <v>0</v>
      </c>
      <c r="U97" s="11" t="s">
        <v>684</v>
      </c>
      <c r="W97" s="22" t="s">
        <v>436</v>
      </c>
      <c r="X97" s="22" t="s">
        <v>682</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11">
        <f>--(
  ISNUMBER(SEARCH("BASE PARENT", UPPER(CLEAN(TRIM(_xlfn.XLOOKUP(TEXT(Contract_Edits[[#This Row],[Index]],"0"), baseIdxTxt, baseCost, "")))))) +
  ISNUMBER(SEARCH("DEPENDENCY GROUP", UPPER(CLEAN(TRIM(_xlfn.XLOOKUP(TEXT(Contract_Edits[[#This Row],[Index]],"0"), baseIdxTxt, baseCost, ""))))))
)</f>
        <v>0</v>
      </c>
      <c r="AG97" s="511" t="str" cm="1">
        <f t="array" ref="AG97">IF(Contract_Edits[[#This Row],[BaseFlag]]=1,
   10*BaseDepthL(TEXT(Contract_Edits[[#This Row],[Index]],"0"),500,editsIdxTxt,editsParentKeyTxt,baseIdxTxt,baseCost)-5,
   ""
)</f>
        <v/>
      </c>
      <c r="AH97" s="511"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11" t="str">
        <f>IF(Contract_Edits[[#This Row],[Dep]]=0,"Root",
   IF(ISNUMBER(MATCH(Contract_Edits[[#This Row],[Dep]],Contract_Edits[Index],0)),"OK","Missing")
)</f>
        <v>OK</v>
      </c>
      <c r="AJ97" s="511" t="str">
        <f>IF(AND(Contract_Edits[[#This Row],[Dep]]&lt;&gt;0,
        ISNUMBER(MATCH(Contract_Edits[[#This Row],[Dep]], Contract_Edits[Index], 0)),
        INDEX(Contract_Edits[Dep], MATCH(Contract_Edits[[#This Row],[Dep]], Contract_Edits[Index], 0))=Contract_Edits[[#This Row],[Index]]),
   "2-cycle","")</f>
        <v/>
      </c>
      <c r="AK97" s="511" cm="1">
        <f t="array" ref="AK97">IF(Contract_Edits[[#This Row],[BaseFlag]]&lt;&gt;1,0,
   IF(TEXT(Contract_Edits[[#This Row],[Dep]],"0")=TEXT(Contract_Edits[[#This Row],[Index]],"0"),
      0,
      MAX(0, SUMPRODUCT(--(Contract_Edits[BaseFlag]=1),
                        --(TEXT(Contract_Edits[Dep],"0")=TEXT(Contract_Edits[[#This Row],[Dep]],"0"))) - 1)
   )
)</f>
        <v>0</v>
      </c>
      <c r="AL97" s="511" t="str" cm="1">
        <f t="array" ref="AL97">IF(Contract_Edits[[#This Row],[BaseFlag]]=1,
   TEXT(Contract_Edits[[#This Row],[Index]],"0"),
   NearestBaseL(TEXT(Contract_Edits[[#This Row],[ParentKey]],"0"),500,editsIdxTxt,editsParentKeyTxt,baseIdxTxt,baseCost)
)</f>
        <v>2</v>
      </c>
      <c r="AM97" s="511" cm="1">
        <f t="array" ref="AM97">1+SUMPRODUCT(
  (Contract_Edits[BaseFlag]=1)*
  (TEXT(Contract_Edits[ParentAnchor],"0")=TEXT(Contract_Edits[[#This Row],[ParentAnchor]],"0"))*
  (VALUE(TEXT(Contract_Edits[Index],"0"))&lt;VALUE(TEXT(Contract_Edits[[#This Row],[Index]],"0")))
)</f>
        <v>2</v>
      </c>
      <c r="AN97" s="511"/>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9">
        <v>69</v>
      </c>
      <c r="M98" s="449"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76"/>
      <c r="R98" s="516"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8" s="179">
        <v>0</v>
      </c>
      <c r="T98" s="179">
        <v>0</v>
      </c>
      <c r="U98" s="11" t="s">
        <v>684</v>
      </c>
      <c r="W98" s="22" t="s">
        <v>436</v>
      </c>
      <c r="X98" s="22" t="s">
        <v>682</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11">
        <f>--(
  ISNUMBER(SEARCH("BASE PARENT", UPPER(CLEAN(TRIM(_xlfn.XLOOKUP(TEXT(Contract_Edits[[#This Row],[Index]],"0"), baseIdxTxt, baseCost, "")))))) +
  ISNUMBER(SEARCH("DEPENDENCY GROUP", UPPER(CLEAN(TRIM(_xlfn.XLOOKUP(TEXT(Contract_Edits[[#This Row],[Index]],"0"), baseIdxTxt, baseCost, ""))))))
)</f>
        <v>0</v>
      </c>
      <c r="AG98" s="511" t="str" cm="1">
        <f t="array" ref="AG98">IF(Contract_Edits[[#This Row],[BaseFlag]]=1,
   10*BaseDepthL(TEXT(Contract_Edits[[#This Row],[Index]],"0"),500,editsIdxTxt,editsParentKeyTxt,baseIdxTxt,baseCost)-5,
   ""
)</f>
        <v/>
      </c>
      <c r="AH98" s="511"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11" t="str">
        <f>IF(Contract_Edits[[#This Row],[Dep]]=0,"Root",
   IF(ISNUMBER(MATCH(Contract_Edits[[#This Row],[Dep]],Contract_Edits[Index],0)),"OK","Missing")
)</f>
        <v>OK</v>
      </c>
      <c r="AJ98" s="511" t="str">
        <f>IF(AND(Contract_Edits[[#This Row],[Dep]]&lt;&gt;0,
        ISNUMBER(MATCH(Contract_Edits[[#This Row],[Dep]], Contract_Edits[Index], 0)),
        INDEX(Contract_Edits[Dep], MATCH(Contract_Edits[[#This Row],[Dep]], Contract_Edits[Index], 0))=Contract_Edits[[#This Row],[Index]]),
   "2-cycle","")</f>
        <v/>
      </c>
      <c r="AK98" s="511" cm="1">
        <f t="array" ref="AK98">IF(Contract_Edits[[#This Row],[BaseFlag]]&lt;&gt;1,0,
   IF(TEXT(Contract_Edits[[#This Row],[Dep]],"0")=TEXT(Contract_Edits[[#This Row],[Index]],"0"),
      0,
      MAX(0, SUMPRODUCT(--(Contract_Edits[BaseFlag]=1),
                        --(TEXT(Contract_Edits[Dep],"0")=TEXT(Contract_Edits[[#This Row],[Dep]],"0"))) - 1)
   )
)</f>
        <v>0</v>
      </c>
      <c r="AL98" s="511" t="str" cm="1">
        <f t="array" ref="AL98">IF(Contract_Edits[[#This Row],[BaseFlag]]=1,
   TEXT(Contract_Edits[[#This Row],[Index]],"0"),
   NearestBaseL(TEXT(Contract_Edits[[#This Row],[ParentKey]],"0"),500,editsIdxTxt,editsParentKeyTxt,baseIdxTxt,baseCost)
)</f>
        <v>2</v>
      </c>
      <c r="AM98" s="511" cm="1">
        <f t="array" ref="AM98">1+SUMPRODUCT(
  (Contract_Edits[BaseFlag]=1)*
  (TEXT(Contract_Edits[ParentAnchor],"0")=TEXT(Contract_Edits[[#This Row],[ParentAnchor]],"0"))*
  (VALUE(TEXT(Contract_Edits[Index],"0"))&lt;VALUE(TEXT(Contract_Edits[[#This Row],[Index]],"0")))
)</f>
        <v>2</v>
      </c>
      <c r="AN98" s="511"/>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9">
        <v>43</v>
      </c>
      <c r="M99" s="449"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76"/>
      <c r="R99" s="516"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99" s="179">
        <v>0</v>
      </c>
      <c r="T99" s="179">
        <v>0</v>
      </c>
      <c r="U99" s="11" t="s">
        <v>684</v>
      </c>
      <c r="W99" s="22" t="s">
        <v>436</v>
      </c>
      <c r="X99" s="22" t="s">
        <v>682</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11">
        <f>--(
  ISNUMBER(SEARCH("BASE PARENT", UPPER(CLEAN(TRIM(_xlfn.XLOOKUP(TEXT(Contract_Edits[[#This Row],[Index]],"0"), baseIdxTxt, baseCost, "")))))) +
  ISNUMBER(SEARCH("DEPENDENCY GROUP", UPPER(CLEAN(TRIM(_xlfn.XLOOKUP(TEXT(Contract_Edits[[#This Row],[Index]],"0"), baseIdxTxt, baseCost, ""))))))
)</f>
        <v>0</v>
      </c>
      <c r="AG99" s="511" t="str" cm="1">
        <f t="array" ref="AG99">IF(Contract_Edits[[#This Row],[BaseFlag]]=1,
   10*BaseDepthL(TEXT(Contract_Edits[[#This Row],[Index]],"0"),500,editsIdxTxt,editsParentKeyTxt,baseIdxTxt,baseCost)-5,
   ""
)</f>
        <v/>
      </c>
      <c r="AH99" s="511"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11" t="str">
        <f>IF(Contract_Edits[[#This Row],[Dep]]=0,"Root",
   IF(ISNUMBER(MATCH(Contract_Edits[[#This Row],[Dep]],Contract_Edits[Index],0)),"OK","Missing")
)</f>
        <v>OK</v>
      </c>
      <c r="AJ99" s="511" t="str">
        <f>IF(AND(Contract_Edits[[#This Row],[Dep]]&lt;&gt;0,
        ISNUMBER(MATCH(Contract_Edits[[#This Row],[Dep]], Contract_Edits[Index], 0)),
        INDEX(Contract_Edits[Dep], MATCH(Contract_Edits[[#This Row],[Dep]], Contract_Edits[Index], 0))=Contract_Edits[[#This Row],[Index]]),
   "2-cycle","")</f>
        <v/>
      </c>
      <c r="AK99" s="511" cm="1">
        <f t="array" ref="AK99">IF(Contract_Edits[[#This Row],[BaseFlag]]&lt;&gt;1,0,
   IF(TEXT(Contract_Edits[[#This Row],[Dep]],"0")=TEXT(Contract_Edits[[#This Row],[Index]],"0"),
      0,
      MAX(0, SUMPRODUCT(--(Contract_Edits[BaseFlag]=1),
                        --(TEXT(Contract_Edits[Dep],"0")=TEXT(Contract_Edits[[#This Row],[Dep]],"0"))) - 1)
   )
)</f>
        <v>0</v>
      </c>
      <c r="AL99" s="511" t="str" cm="1">
        <f t="array" ref="AL99">IF(Contract_Edits[[#This Row],[BaseFlag]]=1,
   TEXT(Contract_Edits[[#This Row],[Index]],"0"),
   NearestBaseL(TEXT(Contract_Edits[[#This Row],[ParentKey]],"0"),500,editsIdxTxt,editsParentKeyTxt,baseIdxTxt,baseCost)
)</f>
        <v>2</v>
      </c>
      <c r="AM99" s="511" cm="1">
        <f t="array" ref="AM99">1+SUMPRODUCT(
  (Contract_Edits[BaseFlag]=1)*
  (TEXT(Contract_Edits[ParentAnchor],"0")=TEXT(Contract_Edits[[#This Row],[ParentAnchor]],"0"))*
  (VALUE(TEXT(Contract_Edits[Index],"0"))&lt;VALUE(TEXT(Contract_Edits[[#This Row],[Index]],"0")))
)</f>
        <v>2</v>
      </c>
      <c r="AN99" s="511"/>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9">
        <v>29</v>
      </c>
      <c r="M100" s="449"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76"/>
      <c r="R100" s="516"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0" s="179">
        <v>0</v>
      </c>
      <c r="T100" s="179">
        <v>0</v>
      </c>
      <c r="U100" s="11" t="s">
        <v>684</v>
      </c>
      <c r="W100" s="22" t="s">
        <v>436</v>
      </c>
      <c r="X100" s="22" t="s">
        <v>682</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11">
        <f>--(
  ISNUMBER(SEARCH("BASE PARENT", UPPER(CLEAN(TRIM(_xlfn.XLOOKUP(TEXT(Contract_Edits[[#This Row],[Index]],"0"), baseIdxTxt, baseCost, "")))))) +
  ISNUMBER(SEARCH("DEPENDENCY GROUP", UPPER(CLEAN(TRIM(_xlfn.XLOOKUP(TEXT(Contract_Edits[[#This Row],[Index]],"0"), baseIdxTxt, baseCost, ""))))))
)</f>
        <v>0</v>
      </c>
      <c r="AG100" s="511" t="str" cm="1">
        <f t="array" ref="AG100">IF(Contract_Edits[[#This Row],[BaseFlag]]=1,
   10*BaseDepthL(TEXT(Contract_Edits[[#This Row],[Index]],"0"),500,editsIdxTxt,editsParentKeyTxt,baseIdxTxt,baseCost)-5,
   ""
)</f>
        <v/>
      </c>
      <c r="AH100" s="511"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11" t="str">
        <f>IF(Contract_Edits[[#This Row],[Dep]]=0,"Root",
   IF(ISNUMBER(MATCH(Contract_Edits[[#This Row],[Dep]],Contract_Edits[Index],0)),"OK","Missing")
)</f>
        <v>OK</v>
      </c>
      <c r="AJ100" s="511" t="str">
        <f>IF(AND(Contract_Edits[[#This Row],[Dep]]&lt;&gt;0,
        ISNUMBER(MATCH(Contract_Edits[[#This Row],[Dep]], Contract_Edits[Index], 0)),
        INDEX(Contract_Edits[Dep], MATCH(Contract_Edits[[#This Row],[Dep]], Contract_Edits[Index], 0))=Contract_Edits[[#This Row],[Index]]),
   "2-cycle","")</f>
        <v/>
      </c>
      <c r="AK100" s="511" cm="1">
        <f t="array" ref="AK100">IF(Contract_Edits[[#This Row],[BaseFlag]]&lt;&gt;1,0,
   IF(TEXT(Contract_Edits[[#This Row],[Dep]],"0")=TEXT(Contract_Edits[[#This Row],[Index]],"0"),
      0,
      MAX(0, SUMPRODUCT(--(Contract_Edits[BaseFlag]=1),
                        --(TEXT(Contract_Edits[Dep],"0")=TEXT(Contract_Edits[[#This Row],[Dep]],"0"))) - 1)
   )
)</f>
        <v>0</v>
      </c>
      <c r="AL100" s="511" t="str" cm="1">
        <f t="array" ref="AL100">IF(Contract_Edits[[#This Row],[BaseFlag]]=1,
   TEXT(Contract_Edits[[#This Row],[Index]],"0"),
   NearestBaseL(TEXT(Contract_Edits[[#This Row],[ParentKey]],"0"),500,editsIdxTxt,editsParentKeyTxt,baseIdxTxt,baseCost)
)</f>
        <v>2</v>
      </c>
      <c r="AM100" s="511" cm="1">
        <f t="array" ref="AM100">1+SUMPRODUCT(
  (Contract_Edits[BaseFlag]=1)*
  (TEXT(Contract_Edits[ParentAnchor],"0")=TEXT(Contract_Edits[[#This Row],[ParentAnchor]],"0"))*
  (VALUE(TEXT(Contract_Edits[Index],"0"))&lt;VALUE(TEXT(Contract_Edits[[#This Row],[Index]],"0")))
)</f>
        <v>2</v>
      </c>
      <c r="AN100" s="511"/>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9">
        <v>46</v>
      </c>
      <c r="M101" s="449"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76"/>
      <c r="R101" s="516"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1" s="179">
        <v>0</v>
      </c>
      <c r="T101" s="179">
        <v>0</v>
      </c>
      <c r="U101" s="11" t="s">
        <v>684</v>
      </c>
      <c r="W101" s="22" t="s">
        <v>436</v>
      </c>
      <c r="X101" s="22" t="s">
        <v>682</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11">
        <f>--(
  ISNUMBER(SEARCH("BASE PARENT", UPPER(CLEAN(TRIM(_xlfn.XLOOKUP(TEXT(Contract_Edits[[#This Row],[Index]],"0"), baseIdxTxt, baseCost, "")))))) +
  ISNUMBER(SEARCH("DEPENDENCY GROUP", UPPER(CLEAN(TRIM(_xlfn.XLOOKUP(TEXT(Contract_Edits[[#This Row],[Index]],"0"), baseIdxTxt, baseCost, ""))))))
)</f>
        <v>0</v>
      </c>
      <c r="AG101" s="511" t="str" cm="1">
        <f t="array" ref="AG101">IF(Contract_Edits[[#This Row],[BaseFlag]]=1,
   10*BaseDepthL(TEXT(Contract_Edits[[#This Row],[Index]],"0"),500,editsIdxTxt,editsParentKeyTxt,baseIdxTxt,baseCost)-5,
   ""
)</f>
        <v/>
      </c>
      <c r="AH101" s="511"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11" t="str">
        <f>IF(Contract_Edits[[#This Row],[Dep]]=0,"Root",
   IF(ISNUMBER(MATCH(Contract_Edits[[#This Row],[Dep]],Contract_Edits[Index],0)),"OK","Missing")
)</f>
        <v>OK</v>
      </c>
      <c r="AJ101" s="511" t="str">
        <f>IF(AND(Contract_Edits[[#This Row],[Dep]]&lt;&gt;0,
        ISNUMBER(MATCH(Contract_Edits[[#This Row],[Dep]], Contract_Edits[Index], 0)),
        INDEX(Contract_Edits[Dep], MATCH(Contract_Edits[[#This Row],[Dep]], Contract_Edits[Index], 0))=Contract_Edits[[#This Row],[Index]]),
   "2-cycle","")</f>
        <v/>
      </c>
      <c r="AK101" s="511" cm="1">
        <f t="array" ref="AK101">IF(Contract_Edits[[#This Row],[BaseFlag]]&lt;&gt;1,0,
   IF(TEXT(Contract_Edits[[#This Row],[Dep]],"0")=TEXT(Contract_Edits[[#This Row],[Index]],"0"),
      0,
      MAX(0, SUMPRODUCT(--(Contract_Edits[BaseFlag]=1),
                        --(TEXT(Contract_Edits[Dep],"0")=TEXT(Contract_Edits[[#This Row],[Dep]],"0"))) - 1)
   )
)</f>
        <v>0</v>
      </c>
      <c r="AL101" s="511" t="str" cm="1">
        <f t="array" ref="AL101">IF(Contract_Edits[[#This Row],[BaseFlag]]=1,
   TEXT(Contract_Edits[[#This Row],[Index]],"0"),
   NearestBaseL(TEXT(Contract_Edits[[#This Row],[ParentKey]],"0"),500,editsIdxTxt,editsParentKeyTxt,baseIdxTxt,baseCost)
)</f>
        <v>2</v>
      </c>
      <c r="AM101" s="511" cm="1">
        <f t="array" ref="AM101">1+SUMPRODUCT(
  (Contract_Edits[BaseFlag]=1)*
  (TEXT(Contract_Edits[ParentAnchor],"0")=TEXT(Contract_Edits[[#This Row],[ParentAnchor]],"0"))*
  (VALUE(TEXT(Contract_Edits[Index],"0"))&lt;VALUE(TEXT(Contract_Edits[[#This Row],[Index]],"0")))
)</f>
        <v>2</v>
      </c>
      <c r="AN101" s="511"/>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9">
        <v>42</v>
      </c>
      <c r="M102" s="449"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76"/>
      <c r="R102" s="516"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2" s="179">
        <v>0</v>
      </c>
      <c r="T102" s="179">
        <v>0</v>
      </c>
      <c r="U102" s="11" t="s">
        <v>684</v>
      </c>
      <c r="W102" s="22" t="s">
        <v>436</v>
      </c>
      <c r="X102" s="22" t="s">
        <v>682</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11">
        <f>--(
  ISNUMBER(SEARCH("BASE PARENT", UPPER(CLEAN(TRIM(_xlfn.XLOOKUP(TEXT(Contract_Edits[[#This Row],[Index]],"0"), baseIdxTxt, baseCost, "")))))) +
  ISNUMBER(SEARCH("DEPENDENCY GROUP", UPPER(CLEAN(TRIM(_xlfn.XLOOKUP(TEXT(Contract_Edits[[#This Row],[Index]],"0"), baseIdxTxt, baseCost, ""))))))
)</f>
        <v>0</v>
      </c>
      <c r="AG102" s="511" t="str" cm="1">
        <f t="array" ref="AG102">IF(Contract_Edits[[#This Row],[BaseFlag]]=1,
   10*BaseDepthL(TEXT(Contract_Edits[[#This Row],[Index]],"0"),500,editsIdxTxt,editsParentKeyTxt,baseIdxTxt,baseCost)-5,
   ""
)</f>
        <v/>
      </c>
      <c r="AH102" s="511"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11" t="str">
        <f>IF(Contract_Edits[[#This Row],[Dep]]=0,"Root",
   IF(ISNUMBER(MATCH(Contract_Edits[[#This Row],[Dep]],Contract_Edits[Index],0)),"OK","Missing")
)</f>
        <v>OK</v>
      </c>
      <c r="AJ102" s="511" t="str">
        <f>IF(AND(Contract_Edits[[#This Row],[Dep]]&lt;&gt;0,
        ISNUMBER(MATCH(Contract_Edits[[#This Row],[Dep]], Contract_Edits[Index], 0)),
        INDEX(Contract_Edits[Dep], MATCH(Contract_Edits[[#This Row],[Dep]], Contract_Edits[Index], 0))=Contract_Edits[[#This Row],[Index]]),
   "2-cycle","")</f>
        <v/>
      </c>
      <c r="AK102" s="511" cm="1">
        <f t="array" ref="AK102">IF(Contract_Edits[[#This Row],[BaseFlag]]&lt;&gt;1,0,
   IF(TEXT(Contract_Edits[[#This Row],[Dep]],"0")=TEXT(Contract_Edits[[#This Row],[Index]],"0"),
      0,
      MAX(0, SUMPRODUCT(--(Contract_Edits[BaseFlag]=1),
                        --(TEXT(Contract_Edits[Dep],"0")=TEXT(Contract_Edits[[#This Row],[Dep]],"0"))) - 1)
   )
)</f>
        <v>0</v>
      </c>
      <c r="AL102" s="511" t="str" cm="1">
        <f t="array" ref="AL102">IF(Contract_Edits[[#This Row],[BaseFlag]]=1,
   TEXT(Contract_Edits[[#This Row],[Index]],"0"),
   NearestBaseL(TEXT(Contract_Edits[[#This Row],[ParentKey]],"0"),500,editsIdxTxt,editsParentKeyTxt,baseIdxTxt,baseCost)
)</f>
        <v>2</v>
      </c>
      <c r="AM102" s="511" cm="1">
        <f t="array" ref="AM102">1+SUMPRODUCT(
  (Contract_Edits[BaseFlag]=1)*
  (TEXT(Contract_Edits[ParentAnchor],"0")=TEXT(Contract_Edits[[#This Row],[ParentAnchor]],"0"))*
  (VALUE(TEXT(Contract_Edits[Index],"0"))&lt;VALUE(TEXT(Contract_Edits[[#This Row],[Index]],"0")))
)</f>
        <v>2</v>
      </c>
      <c r="AN102" s="511"/>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9">
        <v>66</v>
      </c>
      <c r="M103" s="449"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76"/>
      <c r="R103" s="516"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3" s="179">
        <v>0</v>
      </c>
      <c r="T103" s="179">
        <v>0</v>
      </c>
      <c r="U103" s="11" t="s">
        <v>695</v>
      </c>
      <c r="W103" s="22" t="s">
        <v>436</v>
      </c>
      <c r="X103" s="22" t="s">
        <v>682</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11">
        <f>--(
  ISNUMBER(SEARCH("BASE PARENT", UPPER(CLEAN(TRIM(_xlfn.XLOOKUP(TEXT(Contract_Edits[[#This Row],[Index]],"0"), baseIdxTxt, baseCost, "")))))) +
  ISNUMBER(SEARCH("DEPENDENCY GROUP", UPPER(CLEAN(TRIM(_xlfn.XLOOKUP(TEXT(Contract_Edits[[#This Row],[Index]],"0"), baseIdxTxt, baseCost, ""))))))
)</f>
        <v>0</v>
      </c>
      <c r="AG103" s="511" t="str" cm="1">
        <f t="array" ref="AG103">IF(Contract_Edits[[#This Row],[BaseFlag]]=1,
   10*BaseDepthL(TEXT(Contract_Edits[[#This Row],[Index]],"0"),500,editsIdxTxt,editsParentKeyTxt,baseIdxTxt,baseCost)-5,
   ""
)</f>
        <v/>
      </c>
      <c r="AH103" s="511"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11" t="str">
        <f>IF(Contract_Edits[[#This Row],[Dep]]=0,"Root",
   IF(ISNUMBER(MATCH(Contract_Edits[[#This Row],[Dep]],Contract_Edits[Index],0)),"OK","Missing")
)</f>
        <v>OK</v>
      </c>
      <c r="AJ103" s="511" t="str">
        <f>IF(AND(Contract_Edits[[#This Row],[Dep]]&lt;&gt;0,
        ISNUMBER(MATCH(Contract_Edits[[#This Row],[Dep]], Contract_Edits[Index], 0)),
        INDEX(Contract_Edits[Dep], MATCH(Contract_Edits[[#This Row],[Dep]], Contract_Edits[Index], 0))=Contract_Edits[[#This Row],[Index]]),
   "2-cycle","")</f>
        <v/>
      </c>
      <c r="AK103" s="511" cm="1">
        <f t="array" ref="AK103">IF(Contract_Edits[[#This Row],[BaseFlag]]&lt;&gt;1,0,
   IF(TEXT(Contract_Edits[[#This Row],[Dep]],"0")=TEXT(Contract_Edits[[#This Row],[Index]],"0"),
      0,
      MAX(0, SUMPRODUCT(--(Contract_Edits[BaseFlag]=1),
                        --(TEXT(Contract_Edits[Dep],"0")=TEXT(Contract_Edits[[#This Row],[Dep]],"0"))) - 1)
   )
)</f>
        <v>0</v>
      </c>
      <c r="AL103" s="511" t="str" cm="1">
        <f t="array" ref="AL103">IF(Contract_Edits[[#This Row],[BaseFlag]]=1,
   TEXT(Contract_Edits[[#This Row],[Index]],"0"),
   NearestBaseL(TEXT(Contract_Edits[[#This Row],[ParentKey]],"0"),500,editsIdxTxt,editsParentKeyTxt,baseIdxTxt,baseCost)
)</f>
        <v>11</v>
      </c>
      <c r="AM103" s="511" cm="1">
        <f t="array" ref="AM103">1+SUMPRODUCT(
  (Contract_Edits[BaseFlag]=1)*
  (TEXT(Contract_Edits[ParentAnchor],"0")=TEXT(Contract_Edits[[#This Row],[ParentAnchor]],"0"))*
  (VALUE(TEXT(Contract_Edits[Index],"0"))&lt;VALUE(TEXT(Contract_Edits[[#This Row],[Index]],"0")))
)</f>
        <v>2</v>
      </c>
      <c r="AN103" s="511"/>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9">
        <v>30</v>
      </c>
      <c r="M104" s="449"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76"/>
      <c r="R104" s="516"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4" s="179">
        <v>0</v>
      </c>
      <c r="T104" s="179">
        <v>0</v>
      </c>
      <c r="U104" s="11" t="s">
        <v>686</v>
      </c>
      <c r="W104" s="22" t="s">
        <v>436</v>
      </c>
      <c r="X104" s="22" t="s">
        <v>682</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11">
        <f>--(
  ISNUMBER(SEARCH("BASE PARENT", UPPER(CLEAN(TRIM(_xlfn.XLOOKUP(TEXT(Contract_Edits[[#This Row],[Index]],"0"), baseIdxTxt, baseCost, "")))))) +
  ISNUMBER(SEARCH("DEPENDENCY GROUP", UPPER(CLEAN(TRIM(_xlfn.XLOOKUP(TEXT(Contract_Edits[[#This Row],[Index]],"0"), baseIdxTxt, baseCost, ""))))))
)</f>
        <v>0</v>
      </c>
      <c r="AG104" s="511" t="str" cm="1">
        <f t="array" ref="AG104">IF(Contract_Edits[[#This Row],[BaseFlag]]=1,
   10*BaseDepthL(TEXT(Contract_Edits[[#This Row],[Index]],"0"),500,editsIdxTxt,editsParentKeyTxt,baseIdxTxt,baseCost)-5,
   ""
)</f>
        <v/>
      </c>
      <c r="AH104" s="511"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11" t="str">
        <f>IF(Contract_Edits[[#This Row],[Dep]]=0,"Root",
   IF(ISNUMBER(MATCH(Contract_Edits[[#This Row],[Dep]],Contract_Edits[Index],0)),"OK","Missing")
)</f>
        <v>OK</v>
      </c>
      <c r="AJ104" s="511" t="str">
        <f>IF(AND(Contract_Edits[[#This Row],[Dep]]&lt;&gt;0,
        ISNUMBER(MATCH(Contract_Edits[[#This Row],[Dep]], Contract_Edits[Index], 0)),
        INDEX(Contract_Edits[Dep], MATCH(Contract_Edits[[#This Row],[Dep]], Contract_Edits[Index], 0))=Contract_Edits[[#This Row],[Index]]),
   "2-cycle","")</f>
        <v/>
      </c>
      <c r="AK104" s="511" cm="1">
        <f t="array" ref="AK104">IF(Contract_Edits[[#This Row],[BaseFlag]]&lt;&gt;1,0,
   IF(TEXT(Contract_Edits[[#This Row],[Dep]],"0")=TEXT(Contract_Edits[[#This Row],[Index]],"0"),
      0,
      MAX(0, SUMPRODUCT(--(Contract_Edits[BaseFlag]=1),
                        --(TEXT(Contract_Edits[Dep],"0")=TEXT(Contract_Edits[[#This Row],[Dep]],"0"))) - 1)
   )
)</f>
        <v>0</v>
      </c>
      <c r="AL104" s="511" t="str" cm="1">
        <f t="array" ref="AL104">IF(Contract_Edits[[#This Row],[BaseFlag]]=1,
   TEXT(Contract_Edits[[#This Row],[Index]],"0"),
   NearestBaseL(TEXT(Contract_Edits[[#This Row],[ParentKey]],"0"),500,editsIdxTxt,editsParentKeyTxt,baseIdxTxt,baseCost)
)</f>
        <v>14</v>
      </c>
      <c r="AM104" s="511" cm="1">
        <f t="array" ref="AM104">1+SUMPRODUCT(
  (Contract_Edits[BaseFlag]=1)*
  (TEXT(Contract_Edits[ParentAnchor],"0")=TEXT(Contract_Edits[[#This Row],[ParentAnchor]],"0"))*
  (VALUE(TEXT(Contract_Edits[Index],"0"))&lt;VALUE(TEXT(Contract_Edits[[#This Row],[Index]],"0")))
)</f>
        <v>2</v>
      </c>
      <c r="AN104" s="511"/>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9">
        <v>68</v>
      </c>
      <c r="M105" s="449"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76"/>
      <c r="R105" s="516"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5" s="179">
        <v>0</v>
      </c>
      <c r="T105" s="179">
        <v>0</v>
      </c>
      <c r="U105" s="11" t="s">
        <v>687</v>
      </c>
      <c r="W105" s="22" t="s">
        <v>436</v>
      </c>
      <c r="X105" s="22" t="s">
        <v>682</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11">
        <f>--(
  ISNUMBER(SEARCH("BASE PARENT", UPPER(CLEAN(TRIM(_xlfn.XLOOKUP(TEXT(Contract_Edits[[#This Row],[Index]],"0"), baseIdxTxt, baseCost, "")))))) +
  ISNUMBER(SEARCH("DEPENDENCY GROUP", UPPER(CLEAN(TRIM(_xlfn.XLOOKUP(TEXT(Contract_Edits[[#This Row],[Index]],"0"), baseIdxTxt, baseCost, ""))))))
)</f>
        <v>0</v>
      </c>
      <c r="AG105" s="511" t="str" cm="1">
        <f t="array" ref="AG105">IF(Contract_Edits[[#This Row],[BaseFlag]]=1,
   10*BaseDepthL(TEXT(Contract_Edits[[#This Row],[Index]],"0"),500,editsIdxTxt,editsParentKeyTxt,baseIdxTxt,baseCost)-5,
   ""
)</f>
        <v/>
      </c>
      <c r="AH105" s="511"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11" t="str">
        <f>IF(Contract_Edits[[#This Row],[Dep]]=0,"Root",
   IF(ISNUMBER(MATCH(Contract_Edits[[#This Row],[Dep]],Contract_Edits[Index],0)),"OK","Missing")
)</f>
        <v>OK</v>
      </c>
      <c r="AJ105" s="511" t="str">
        <f>IF(AND(Contract_Edits[[#This Row],[Dep]]&lt;&gt;0,
        ISNUMBER(MATCH(Contract_Edits[[#This Row],[Dep]], Contract_Edits[Index], 0)),
        INDEX(Contract_Edits[Dep], MATCH(Contract_Edits[[#This Row],[Dep]], Contract_Edits[Index], 0))=Contract_Edits[[#This Row],[Index]]),
   "2-cycle","")</f>
        <v/>
      </c>
      <c r="AK105" s="511" cm="1">
        <f t="array" ref="AK105">IF(Contract_Edits[[#This Row],[BaseFlag]]&lt;&gt;1,0,
   IF(TEXT(Contract_Edits[[#This Row],[Dep]],"0")=TEXT(Contract_Edits[[#This Row],[Index]],"0"),
      0,
      MAX(0, SUMPRODUCT(--(Contract_Edits[BaseFlag]=1),
                        --(TEXT(Contract_Edits[Dep],"0")=TEXT(Contract_Edits[[#This Row],[Dep]],"0"))) - 1)
   )
)</f>
        <v>0</v>
      </c>
      <c r="AL105" s="511" t="str" cm="1">
        <f t="array" ref="AL105">IF(Contract_Edits[[#This Row],[BaseFlag]]=1,
   TEXT(Contract_Edits[[#This Row],[Index]],"0"),
   NearestBaseL(TEXT(Contract_Edits[[#This Row],[ParentKey]],"0"),500,editsIdxTxt,editsParentKeyTxt,baseIdxTxt,baseCost)
)</f>
        <v>15</v>
      </c>
      <c r="AM105" s="511" cm="1">
        <f t="array" ref="AM105">1+SUMPRODUCT(
  (Contract_Edits[BaseFlag]=1)*
  (TEXT(Contract_Edits[ParentAnchor],"0")=TEXT(Contract_Edits[[#This Row],[ParentAnchor]],"0"))*
  (VALUE(TEXT(Contract_Edits[Index],"0"))&lt;VALUE(TEXT(Contract_Edits[[#This Row],[Index]],"0")))
)</f>
        <v>2</v>
      </c>
      <c r="AN105" s="511"/>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9">
        <v>57</v>
      </c>
      <c r="M106" s="449"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76"/>
      <c r="R106" s="516"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6" s="179">
        <v>0</v>
      </c>
      <c r="T106" s="179">
        <v>0</v>
      </c>
      <c r="U106" s="11" t="s">
        <v>687</v>
      </c>
      <c r="W106" s="22" t="s">
        <v>436</v>
      </c>
      <c r="X106" s="22" t="s">
        <v>682</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11">
        <f>--(
  ISNUMBER(SEARCH("BASE PARENT", UPPER(CLEAN(TRIM(_xlfn.XLOOKUP(TEXT(Contract_Edits[[#This Row],[Index]],"0"), baseIdxTxt, baseCost, "")))))) +
  ISNUMBER(SEARCH("DEPENDENCY GROUP", UPPER(CLEAN(TRIM(_xlfn.XLOOKUP(TEXT(Contract_Edits[[#This Row],[Index]],"0"), baseIdxTxt, baseCost, ""))))))
)</f>
        <v>0</v>
      </c>
      <c r="AG106" s="511" t="str" cm="1">
        <f t="array" ref="AG106">IF(Contract_Edits[[#This Row],[BaseFlag]]=1,
   10*BaseDepthL(TEXT(Contract_Edits[[#This Row],[Index]],"0"),500,editsIdxTxt,editsParentKeyTxt,baseIdxTxt,baseCost)-5,
   ""
)</f>
        <v/>
      </c>
      <c r="AH106" s="511"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11" t="str">
        <f>IF(Contract_Edits[[#This Row],[Dep]]=0,"Root",
   IF(ISNUMBER(MATCH(Contract_Edits[[#This Row],[Dep]],Contract_Edits[Index],0)),"OK","Missing")
)</f>
        <v>OK</v>
      </c>
      <c r="AJ106" s="511" t="str">
        <f>IF(AND(Contract_Edits[[#This Row],[Dep]]&lt;&gt;0,
        ISNUMBER(MATCH(Contract_Edits[[#This Row],[Dep]], Contract_Edits[Index], 0)),
        INDEX(Contract_Edits[Dep], MATCH(Contract_Edits[[#This Row],[Dep]], Contract_Edits[Index], 0))=Contract_Edits[[#This Row],[Index]]),
   "2-cycle","")</f>
        <v/>
      </c>
      <c r="AK106" s="511" cm="1">
        <f t="array" ref="AK106">IF(Contract_Edits[[#This Row],[BaseFlag]]&lt;&gt;1,0,
   IF(TEXT(Contract_Edits[[#This Row],[Dep]],"0")=TEXT(Contract_Edits[[#This Row],[Index]],"0"),
      0,
      MAX(0, SUMPRODUCT(--(Contract_Edits[BaseFlag]=1),
                        --(TEXT(Contract_Edits[Dep],"0")=TEXT(Contract_Edits[[#This Row],[Dep]],"0"))) - 1)
   )
)</f>
        <v>0</v>
      </c>
      <c r="AL106" s="511" t="str" cm="1">
        <f t="array" ref="AL106">IF(Contract_Edits[[#This Row],[BaseFlag]]=1,
   TEXT(Contract_Edits[[#This Row],[Index]],"0"),
   NearestBaseL(TEXT(Contract_Edits[[#This Row],[ParentKey]],"0"),500,editsIdxTxt,editsParentKeyTxt,baseIdxTxt,baseCost)
)</f>
        <v>15</v>
      </c>
      <c r="AM106" s="511" cm="1">
        <f t="array" ref="AM106">1+SUMPRODUCT(
  (Contract_Edits[BaseFlag]=1)*
  (TEXT(Contract_Edits[ParentAnchor],"0")=TEXT(Contract_Edits[[#This Row],[ParentAnchor]],"0"))*
  (VALUE(TEXT(Contract_Edits[Index],"0"))&lt;VALUE(TEXT(Contract_Edits[[#This Row],[Index]],"0")))
)</f>
        <v>2</v>
      </c>
      <c r="AN106" s="511"/>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9">
        <v>45</v>
      </c>
      <c r="M107" s="449"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76"/>
      <c r="R107" s="516"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7" s="179">
        <v>0</v>
      </c>
      <c r="T107" s="179">
        <v>0</v>
      </c>
      <c r="U107" s="11" t="s">
        <v>688</v>
      </c>
      <c r="W107" s="22" t="s">
        <v>436</v>
      </c>
      <c r="X107" s="22" t="s">
        <v>682</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11">
        <f>--(
  ISNUMBER(SEARCH("BASE PARENT", UPPER(CLEAN(TRIM(_xlfn.XLOOKUP(TEXT(Contract_Edits[[#This Row],[Index]],"0"), baseIdxTxt, baseCost, "")))))) +
  ISNUMBER(SEARCH("DEPENDENCY GROUP", UPPER(CLEAN(TRIM(_xlfn.XLOOKUP(TEXT(Contract_Edits[[#This Row],[Index]],"0"), baseIdxTxt, baseCost, ""))))))
)</f>
        <v>0</v>
      </c>
      <c r="AG107" s="511" t="str" cm="1">
        <f t="array" ref="AG107">IF(Contract_Edits[[#This Row],[BaseFlag]]=1,
   10*BaseDepthL(TEXT(Contract_Edits[[#This Row],[Index]],"0"),500,editsIdxTxt,editsParentKeyTxt,baseIdxTxt,baseCost)-5,
   ""
)</f>
        <v/>
      </c>
      <c r="AH107" s="511"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11" t="str">
        <f>IF(Contract_Edits[[#This Row],[Dep]]=0,"Root",
   IF(ISNUMBER(MATCH(Contract_Edits[[#This Row],[Dep]],Contract_Edits[Index],0)),"OK","Missing")
)</f>
        <v>OK</v>
      </c>
      <c r="AJ107" s="511" t="str">
        <f>IF(AND(Contract_Edits[[#This Row],[Dep]]&lt;&gt;0,
        ISNUMBER(MATCH(Contract_Edits[[#This Row],[Dep]], Contract_Edits[Index], 0)),
        INDEX(Contract_Edits[Dep], MATCH(Contract_Edits[[#This Row],[Dep]], Contract_Edits[Index], 0))=Contract_Edits[[#This Row],[Index]]),
   "2-cycle","")</f>
        <v/>
      </c>
      <c r="AK107" s="511" cm="1">
        <f t="array" ref="AK107">IF(Contract_Edits[[#This Row],[BaseFlag]]&lt;&gt;1,0,
   IF(TEXT(Contract_Edits[[#This Row],[Dep]],"0")=TEXT(Contract_Edits[[#This Row],[Index]],"0"),
      0,
      MAX(0, SUMPRODUCT(--(Contract_Edits[BaseFlag]=1),
                        --(TEXT(Contract_Edits[Dep],"0")=TEXT(Contract_Edits[[#This Row],[Dep]],"0"))) - 1)
   )
)</f>
        <v>0</v>
      </c>
      <c r="AL107" s="511" t="str" cm="1">
        <f t="array" ref="AL107">IF(Contract_Edits[[#This Row],[BaseFlag]]=1,
   TEXT(Contract_Edits[[#This Row],[Index]],"0"),
   NearestBaseL(TEXT(Contract_Edits[[#This Row],[ParentKey]],"0"),500,editsIdxTxt,editsParentKeyTxt,baseIdxTxt,baseCost)
)</f>
        <v>16</v>
      </c>
      <c r="AM107" s="511" cm="1">
        <f t="array" ref="AM107">1+SUMPRODUCT(
  (Contract_Edits[BaseFlag]=1)*
  (TEXT(Contract_Edits[ParentAnchor],"0")=TEXT(Contract_Edits[[#This Row],[ParentAnchor]],"0"))*
  (VALUE(TEXT(Contract_Edits[Index],"0"))&lt;VALUE(TEXT(Contract_Edits[[#This Row],[Index]],"0")))
)</f>
        <v>2</v>
      </c>
      <c r="AN107" s="511"/>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9">
        <v>47</v>
      </c>
      <c r="M108" s="449"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76"/>
      <c r="R108" s="516"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8" s="179">
        <v>0</v>
      </c>
      <c r="T108" s="179">
        <v>0</v>
      </c>
      <c r="U108" s="11" t="s">
        <v>688</v>
      </c>
      <c r="W108" s="22" t="s">
        <v>436</v>
      </c>
      <c r="X108" s="22" t="s">
        <v>682</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11">
        <f>--(
  ISNUMBER(SEARCH("BASE PARENT", UPPER(CLEAN(TRIM(_xlfn.XLOOKUP(TEXT(Contract_Edits[[#This Row],[Index]],"0"), baseIdxTxt, baseCost, "")))))) +
  ISNUMBER(SEARCH("DEPENDENCY GROUP", UPPER(CLEAN(TRIM(_xlfn.XLOOKUP(TEXT(Contract_Edits[[#This Row],[Index]],"0"), baseIdxTxt, baseCost, ""))))))
)</f>
        <v>0</v>
      </c>
      <c r="AG108" s="511" t="str" cm="1">
        <f t="array" ref="AG108">IF(Contract_Edits[[#This Row],[BaseFlag]]=1,
   10*BaseDepthL(TEXT(Contract_Edits[[#This Row],[Index]],"0"),500,editsIdxTxt,editsParentKeyTxt,baseIdxTxt,baseCost)-5,
   ""
)</f>
        <v/>
      </c>
      <c r="AH108" s="511"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11" t="str">
        <f>IF(Contract_Edits[[#This Row],[Dep]]=0,"Root",
   IF(ISNUMBER(MATCH(Contract_Edits[[#This Row],[Dep]],Contract_Edits[Index],0)),"OK","Missing")
)</f>
        <v>OK</v>
      </c>
      <c r="AJ108" s="511" t="str">
        <f>IF(AND(Contract_Edits[[#This Row],[Dep]]&lt;&gt;0,
        ISNUMBER(MATCH(Contract_Edits[[#This Row],[Dep]], Contract_Edits[Index], 0)),
        INDEX(Contract_Edits[Dep], MATCH(Contract_Edits[[#This Row],[Dep]], Contract_Edits[Index], 0))=Contract_Edits[[#This Row],[Index]]),
   "2-cycle","")</f>
        <v/>
      </c>
      <c r="AK108" s="511" cm="1">
        <f t="array" ref="AK108">IF(Contract_Edits[[#This Row],[BaseFlag]]&lt;&gt;1,0,
   IF(TEXT(Contract_Edits[[#This Row],[Dep]],"0")=TEXT(Contract_Edits[[#This Row],[Index]],"0"),
      0,
      MAX(0, SUMPRODUCT(--(Contract_Edits[BaseFlag]=1),
                        --(TEXT(Contract_Edits[Dep],"0")=TEXT(Contract_Edits[[#This Row],[Dep]],"0"))) - 1)
   )
)</f>
        <v>0</v>
      </c>
      <c r="AL108" s="511" t="str" cm="1">
        <f t="array" ref="AL108">IF(Contract_Edits[[#This Row],[BaseFlag]]=1,
   TEXT(Contract_Edits[[#This Row],[Index]],"0"),
   NearestBaseL(TEXT(Contract_Edits[[#This Row],[ParentKey]],"0"),500,editsIdxTxt,editsParentKeyTxt,baseIdxTxt,baseCost)
)</f>
        <v>16</v>
      </c>
      <c r="AM108" s="511" cm="1">
        <f t="array" ref="AM108">1+SUMPRODUCT(
  (Contract_Edits[BaseFlag]=1)*
  (TEXT(Contract_Edits[ParentAnchor],"0")=TEXT(Contract_Edits[[#This Row],[ParentAnchor]],"0"))*
  (VALUE(TEXT(Contract_Edits[Index],"0"))&lt;VALUE(TEXT(Contract_Edits[[#This Row],[Index]],"0")))
)</f>
        <v>2</v>
      </c>
      <c r="AN108" s="511"/>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9">
        <v>72</v>
      </c>
      <c r="M109" s="449"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76"/>
      <c r="R109" s="516"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09" s="179">
        <v>0</v>
      </c>
      <c r="T109" s="179">
        <v>0</v>
      </c>
      <c r="U109" s="11" t="s">
        <v>689</v>
      </c>
      <c r="W109" s="22" t="s">
        <v>436</v>
      </c>
      <c r="X109" s="22" t="s">
        <v>682</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11">
        <f>--(
  ISNUMBER(SEARCH("BASE PARENT", UPPER(CLEAN(TRIM(_xlfn.XLOOKUP(TEXT(Contract_Edits[[#This Row],[Index]],"0"), baseIdxTxt, baseCost, "")))))) +
  ISNUMBER(SEARCH("DEPENDENCY GROUP", UPPER(CLEAN(TRIM(_xlfn.XLOOKUP(TEXT(Contract_Edits[[#This Row],[Index]],"0"), baseIdxTxt, baseCost, ""))))))
)</f>
        <v>0</v>
      </c>
      <c r="AG109" s="511" t="str" cm="1">
        <f t="array" ref="AG109">IF(Contract_Edits[[#This Row],[BaseFlag]]=1,
   10*BaseDepthL(TEXT(Contract_Edits[[#This Row],[Index]],"0"),500,editsIdxTxt,editsParentKeyTxt,baseIdxTxt,baseCost)-5,
   ""
)</f>
        <v/>
      </c>
      <c r="AH109" s="511"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11" t="str">
        <f>IF(Contract_Edits[[#This Row],[Dep]]=0,"Root",
   IF(ISNUMBER(MATCH(Contract_Edits[[#This Row],[Dep]],Contract_Edits[Index],0)),"OK","Missing")
)</f>
        <v>OK</v>
      </c>
      <c r="AJ109" s="511" t="str">
        <f>IF(AND(Contract_Edits[[#This Row],[Dep]]&lt;&gt;0,
        ISNUMBER(MATCH(Contract_Edits[[#This Row],[Dep]], Contract_Edits[Index], 0)),
        INDEX(Contract_Edits[Dep], MATCH(Contract_Edits[[#This Row],[Dep]], Contract_Edits[Index], 0))=Contract_Edits[[#This Row],[Index]]),
   "2-cycle","")</f>
        <v/>
      </c>
      <c r="AK109" s="511" cm="1">
        <f t="array" ref="AK109">IF(Contract_Edits[[#This Row],[BaseFlag]]&lt;&gt;1,0,
   IF(TEXT(Contract_Edits[[#This Row],[Dep]],"0")=TEXT(Contract_Edits[[#This Row],[Index]],"0"),
      0,
      MAX(0, SUMPRODUCT(--(Contract_Edits[BaseFlag]=1),
                        --(TEXT(Contract_Edits[Dep],"0")=TEXT(Contract_Edits[[#This Row],[Dep]],"0"))) - 1)
   )
)</f>
        <v>0</v>
      </c>
      <c r="AL109" s="511" t="str" cm="1">
        <f t="array" ref="AL109">IF(Contract_Edits[[#This Row],[BaseFlag]]=1,
   TEXT(Contract_Edits[[#This Row],[Index]],"0"),
   NearestBaseL(TEXT(Contract_Edits[[#This Row],[ParentKey]],"0"),500,editsIdxTxt,editsParentKeyTxt,baseIdxTxt,baseCost)
)</f>
        <v>17</v>
      </c>
      <c r="AM109" s="511" cm="1">
        <f t="array" ref="AM109">1+SUMPRODUCT(
  (Contract_Edits[BaseFlag]=1)*
  (TEXT(Contract_Edits[ParentAnchor],"0")=TEXT(Contract_Edits[[#This Row],[ParentAnchor]],"0"))*
  (VALUE(TEXT(Contract_Edits[Index],"0"))&lt;VALUE(TEXT(Contract_Edits[[#This Row],[Index]],"0")))
)</f>
        <v>2</v>
      </c>
      <c r="AN109" s="511"/>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9">
        <v>37</v>
      </c>
      <c r="M110" s="449"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88"/>
      <c r="R110" s="516"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0" s="179">
        <v>0</v>
      </c>
      <c r="T110" s="477"/>
      <c r="U110" s="500" t="s">
        <v>689</v>
      </c>
      <c r="V110" s="193"/>
      <c r="W110" s="22" t="s">
        <v>436</v>
      </c>
      <c r="X110" s="492" t="s">
        <v>682</v>
      </c>
      <c r="Y110" s="492"/>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11">
        <f>--(
  ISNUMBER(SEARCH("BASE PARENT", UPPER(CLEAN(TRIM(_xlfn.XLOOKUP(TEXT(Contract_Edits[[#This Row],[Index]],"0"), baseIdxTxt, baseCost, "")))))) +
  ISNUMBER(SEARCH("DEPENDENCY GROUP", UPPER(CLEAN(TRIM(_xlfn.XLOOKUP(TEXT(Contract_Edits[[#This Row],[Index]],"0"), baseIdxTxt, baseCost, ""))))))
)</f>
        <v>0</v>
      </c>
      <c r="AG110" s="511" t="str" cm="1">
        <f t="array" ref="AG110">IF(Contract_Edits[[#This Row],[BaseFlag]]=1,
   10*BaseDepthL(TEXT(Contract_Edits[[#This Row],[Index]],"0"),500,editsIdxTxt,editsParentKeyTxt,baseIdxTxt,baseCost)-5,
   ""
)</f>
        <v/>
      </c>
      <c r="AH110" s="511"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11" t="str">
        <f>IF(Contract_Edits[[#This Row],[Dep]]=0,"Root",
   IF(ISNUMBER(MATCH(Contract_Edits[[#This Row],[Dep]],Contract_Edits[Index],0)),"OK","Missing")
)</f>
        <v>OK</v>
      </c>
      <c r="AJ110" s="511" t="str">
        <f>IF(AND(Contract_Edits[[#This Row],[Dep]]&lt;&gt;0,
        ISNUMBER(MATCH(Contract_Edits[[#This Row],[Dep]], Contract_Edits[Index], 0)),
        INDEX(Contract_Edits[Dep], MATCH(Contract_Edits[[#This Row],[Dep]], Contract_Edits[Index], 0))=Contract_Edits[[#This Row],[Index]]),
   "2-cycle","")</f>
        <v/>
      </c>
      <c r="AK110" s="511" cm="1">
        <f t="array" ref="AK110">IF(Contract_Edits[[#This Row],[BaseFlag]]&lt;&gt;1,0,
   IF(TEXT(Contract_Edits[[#This Row],[Dep]],"0")=TEXT(Contract_Edits[[#This Row],[Index]],"0"),
      0,
      MAX(0, SUMPRODUCT(--(Contract_Edits[BaseFlag]=1),
                        --(TEXT(Contract_Edits[Dep],"0")=TEXT(Contract_Edits[[#This Row],[Dep]],"0"))) - 1)
   )
)</f>
        <v>0</v>
      </c>
      <c r="AL110" s="511" t="str" cm="1">
        <f t="array" ref="AL110">IF(Contract_Edits[[#This Row],[BaseFlag]]=1,
   TEXT(Contract_Edits[[#This Row],[Index]],"0"),
   NearestBaseL(TEXT(Contract_Edits[[#This Row],[ParentKey]],"0"),500,editsIdxTxt,editsParentKeyTxt,baseIdxTxt,baseCost)
)</f>
        <v>17</v>
      </c>
      <c r="AM110" s="511" cm="1">
        <f t="array" ref="AM110">1+SUMPRODUCT(
  (Contract_Edits[BaseFlag]=1)*
  (TEXT(Contract_Edits[ParentAnchor],"0")=TEXT(Contract_Edits[[#This Row],[ParentAnchor]],"0"))*
  (VALUE(TEXT(Contract_Edits[Index],"0"))&lt;VALUE(TEXT(Contract_Edits[[#This Row],[Index]],"0")))
)</f>
        <v>2</v>
      </c>
      <c r="AN110" s="511"/>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9">
        <v>35</v>
      </c>
      <c r="M111" s="449"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76"/>
      <c r="R111" s="516"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1" s="179">
        <v>0</v>
      </c>
      <c r="T111" s="179">
        <v>0</v>
      </c>
      <c r="U111" s="11" t="s">
        <v>696</v>
      </c>
      <c r="W111" s="22" t="s">
        <v>436</v>
      </c>
      <c r="X111" s="22" t="s">
        <v>682</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11">
        <f>--(
  ISNUMBER(SEARCH("BASE PARENT", UPPER(CLEAN(TRIM(_xlfn.XLOOKUP(TEXT(Contract_Edits[[#This Row],[Index]],"0"), baseIdxTxt, baseCost, "")))))) +
  ISNUMBER(SEARCH("DEPENDENCY GROUP", UPPER(CLEAN(TRIM(_xlfn.XLOOKUP(TEXT(Contract_Edits[[#This Row],[Index]],"0"), baseIdxTxt, baseCost, ""))))))
)</f>
        <v>0</v>
      </c>
      <c r="AG111" s="511" t="str" cm="1">
        <f t="array" ref="AG111">IF(Contract_Edits[[#This Row],[BaseFlag]]=1,
   10*BaseDepthL(TEXT(Contract_Edits[[#This Row],[Index]],"0"),500,editsIdxTxt,editsParentKeyTxt,baseIdxTxt,baseCost)-5,
   ""
)</f>
        <v/>
      </c>
      <c r="AH111" s="511"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11" t="str">
        <f>IF(Contract_Edits[[#This Row],[Dep]]=0,"Root",
   IF(ISNUMBER(MATCH(Contract_Edits[[#This Row],[Dep]],Contract_Edits[Index],0)),"OK","Missing")
)</f>
        <v>OK</v>
      </c>
      <c r="AJ111" s="511" t="str">
        <f>IF(AND(Contract_Edits[[#This Row],[Dep]]&lt;&gt;0,
        ISNUMBER(MATCH(Contract_Edits[[#This Row],[Dep]], Contract_Edits[Index], 0)),
        INDEX(Contract_Edits[Dep], MATCH(Contract_Edits[[#This Row],[Dep]], Contract_Edits[Index], 0))=Contract_Edits[[#This Row],[Index]]),
   "2-cycle","")</f>
        <v/>
      </c>
      <c r="AK111" s="511" cm="1">
        <f t="array" ref="AK111">IF(Contract_Edits[[#This Row],[BaseFlag]]&lt;&gt;1,0,
   IF(TEXT(Contract_Edits[[#This Row],[Dep]],"0")=TEXT(Contract_Edits[[#This Row],[Index]],"0"),
      0,
      MAX(0, SUMPRODUCT(--(Contract_Edits[BaseFlag]=1),
                        --(TEXT(Contract_Edits[Dep],"0")=TEXT(Contract_Edits[[#This Row],[Dep]],"0"))) - 1)
   )
)</f>
        <v>0</v>
      </c>
      <c r="AL111" s="511" t="str" cm="1">
        <f t="array" ref="AL111">IF(Contract_Edits[[#This Row],[BaseFlag]]=1,
   TEXT(Contract_Edits[[#This Row],[Index]],"0"),
   NearestBaseL(TEXT(Contract_Edits[[#This Row],[ParentKey]],"0"),500,editsIdxTxt,editsParentKeyTxt,baseIdxTxt,baseCost)
)</f>
        <v>24</v>
      </c>
      <c r="AM111" s="511" cm="1">
        <f t="array" ref="AM111">1+SUMPRODUCT(
  (Contract_Edits[BaseFlag]=1)*
  (TEXT(Contract_Edits[ParentAnchor],"0")=TEXT(Contract_Edits[[#This Row],[ParentAnchor]],"0"))*
  (VALUE(TEXT(Contract_Edits[Index],"0"))&lt;VALUE(TEXT(Contract_Edits[[#This Row],[Index]],"0")))
)</f>
        <v>2</v>
      </c>
      <c r="AN111" s="511"/>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9">
        <v>36</v>
      </c>
      <c r="M112" s="449"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88"/>
      <c r="R112" s="516"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2" s="179">
        <v>0</v>
      </c>
      <c r="T112" s="477"/>
      <c r="U112" s="500" t="s">
        <v>696</v>
      </c>
      <c r="V112" s="193"/>
      <c r="W112" s="22" t="s">
        <v>436</v>
      </c>
      <c r="X112" s="492" t="s">
        <v>682</v>
      </c>
      <c r="Y112" s="492"/>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11">
        <f>--(
  ISNUMBER(SEARCH("BASE PARENT", UPPER(CLEAN(TRIM(_xlfn.XLOOKUP(TEXT(Contract_Edits[[#This Row],[Index]],"0"), baseIdxTxt, baseCost, "")))))) +
  ISNUMBER(SEARCH("DEPENDENCY GROUP", UPPER(CLEAN(TRIM(_xlfn.XLOOKUP(TEXT(Contract_Edits[[#This Row],[Index]],"0"), baseIdxTxt, baseCost, ""))))))
)</f>
        <v>0</v>
      </c>
      <c r="AG112" s="511" t="str" cm="1">
        <f t="array" ref="AG112">IF(Contract_Edits[[#This Row],[BaseFlag]]=1,
   10*BaseDepthL(TEXT(Contract_Edits[[#This Row],[Index]],"0"),500,editsIdxTxt,editsParentKeyTxt,baseIdxTxt,baseCost)-5,
   ""
)</f>
        <v/>
      </c>
      <c r="AH112" s="511"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11" t="str">
        <f>IF(Contract_Edits[[#This Row],[Dep]]=0,"Root",
   IF(ISNUMBER(MATCH(Contract_Edits[[#This Row],[Dep]],Contract_Edits[Index],0)),"OK","Missing")
)</f>
        <v>OK</v>
      </c>
      <c r="AJ112" s="511" t="str">
        <f>IF(AND(Contract_Edits[[#This Row],[Dep]]&lt;&gt;0,
        ISNUMBER(MATCH(Contract_Edits[[#This Row],[Dep]], Contract_Edits[Index], 0)),
        INDEX(Contract_Edits[Dep], MATCH(Contract_Edits[[#This Row],[Dep]], Contract_Edits[Index], 0))=Contract_Edits[[#This Row],[Index]]),
   "2-cycle","")</f>
        <v/>
      </c>
      <c r="AK112" s="511" cm="1">
        <f t="array" ref="AK112">IF(Contract_Edits[[#This Row],[BaseFlag]]&lt;&gt;1,0,
   IF(TEXT(Contract_Edits[[#This Row],[Dep]],"0")=TEXT(Contract_Edits[[#This Row],[Index]],"0"),
      0,
      MAX(0, SUMPRODUCT(--(Contract_Edits[BaseFlag]=1),
                        --(TEXT(Contract_Edits[Dep],"0")=TEXT(Contract_Edits[[#This Row],[Dep]],"0"))) - 1)
   )
)</f>
        <v>0</v>
      </c>
      <c r="AL112" s="511" t="str" cm="1">
        <f t="array" ref="AL112">IF(Contract_Edits[[#This Row],[BaseFlag]]=1,
   TEXT(Contract_Edits[[#This Row],[Index]],"0"),
   NearestBaseL(TEXT(Contract_Edits[[#This Row],[ParentKey]],"0"),500,editsIdxTxt,editsParentKeyTxt,baseIdxTxt,baseCost)
)</f>
        <v>24</v>
      </c>
      <c r="AM112" s="511" cm="1">
        <f t="array" ref="AM112">1+SUMPRODUCT(
  (Contract_Edits[BaseFlag]=1)*
  (TEXT(Contract_Edits[ParentAnchor],"0")=TEXT(Contract_Edits[[#This Row],[ParentAnchor]],"0"))*
  (VALUE(TEXT(Contract_Edits[Index],"0"))&lt;VALUE(TEXT(Contract_Edits[[#This Row],[Index]],"0")))
)</f>
        <v>2</v>
      </c>
      <c r="AN112" s="511"/>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9">
        <v>74</v>
      </c>
      <c r="M113" s="449"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88"/>
      <c r="R113" s="516"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3" s="179">
        <v>0</v>
      </c>
      <c r="T113" s="477"/>
      <c r="U113" s="500" t="s">
        <v>694</v>
      </c>
      <c r="V113" s="193"/>
      <c r="W113" s="22" t="s">
        <v>436</v>
      </c>
      <c r="X113" s="492" t="s">
        <v>682</v>
      </c>
      <c r="Y113" s="492"/>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11">
        <f>--(
  ISNUMBER(SEARCH("BASE PARENT", UPPER(CLEAN(TRIM(_xlfn.XLOOKUP(TEXT(Contract_Edits[[#This Row],[Index]],"0"), baseIdxTxt, baseCost, "")))))) +
  ISNUMBER(SEARCH("DEPENDENCY GROUP", UPPER(CLEAN(TRIM(_xlfn.XLOOKUP(TEXT(Contract_Edits[[#This Row],[Index]],"0"), baseIdxTxt, baseCost, ""))))))
)</f>
        <v>0</v>
      </c>
      <c r="AG113" s="511" t="str" cm="1">
        <f t="array" ref="AG113">IF(Contract_Edits[[#This Row],[BaseFlag]]=1,
   10*BaseDepthL(TEXT(Contract_Edits[[#This Row],[Index]],"0"),500,editsIdxTxt,editsParentKeyTxt,baseIdxTxt,baseCost)-5,
   ""
)</f>
        <v/>
      </c>
      <c r="AH113" s="511"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11" t="str">
        <f>IF(Contract_Edits[[#This Row],[Dep]]=0,"Root",
   IF(ISNUMBER(MATCH(Contract_Edits[[#This Row],[Dep]],Contract_Edits[Index],0)),"OK","Missing")
)</f>
        <v>OK</v>
      </c>
      <c r="AJ113" s="511" t="str">
        <f>IF(AND(Contract_Edits[[#This Row],[Dep]]&lt;&gt;0,
        ISNUMBER(MATCH(Contract_Edits[[#This Row],[Dep]], Contract_Edits[Index], 0)),
        INDEX(Contract_Edits[Dep], MATCH(Contract_Edits[[#This Row],[Dep]], Contract_Edits[Index], 0))=Contract_Edits[[#This Row],[Index]]),
   "2-cycle","")</f>
        <v/>
      </c>
      <c r="AK113" s="511" cm="1">
        <f t="array" ref="AK113">IF(Contract_Edits[[#This Row],[BaseFlag]]&lt;&gt;1,0,
   IF(TEXT(Contract_Edits[[#This Row],[Dep]],"0")=TEXT(Contract_Edits[[#This Row],[Index]],"0"),
      0,
      MAX(0, SUMPRODUCT(--(Contract_Edits[BaseFlag]=1),
                        --(TEXT(Contract_Edits[Dep],"0")=TEXT(Contract_Edits[[#This Row],[Dep]],"0"))) - 1)
   )
)</f>
        <v>0</v>
      </c>
      <c r="AL113" s="511" t="str" cm="1">
        <f t="array" ref="AL113">IF(Contract_Edits[[#This Row],[BaseFlag]]=1,
   TEXT(Contract_Edits[[#This Row],[Index]],"0"),
   NearestBaseL(TEXT(Contract_Edits[[#This Row],[ParentKey]],"0"),500,editsIdxTxt,editsParentKeyTxt,baseIdxTxt,baseCost)
)</f>
        <v>28</v>
      </c>
      <c r="AM113" s="511" cm="1">
        <f t="array" ref="AM113">1+SUMPRODUCT(
  (Contract_Edits[BaseFlag]=1)*
  (TEXT(Contract_Edits[ParentAnchor],"0")=TEXT(Contract_Edits[[#This Row],[ParentAnchor]],"0"))*
  (VALUE(TEXT(Contract_Edits[Index],"0"))&lt;VALUE(TEXT(Contract_Edits[[#This Row],[Index]],"0")))
)</f>
        <v>1</v>
      </c>
      <c r="AN113" s="511"/>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9">
        <v>73</v>
      </c>
      <c r="M114" s="449"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88"/>
      <c r="R114" s="516"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4" s="179">
        <v>0</v>
      </c>
      <c r="T114" s="477"/>
      <c r="U114" s="500" t="s">
        <v>694</v>
      </c>
      <c r="V114" s="193"/>
      <c r="W114" s="22" t="s">
        <v>436</v>
      </c>
      <c r="X114" s="492" t="s">
        <v>682</v>
      </c>
      <c r="Y114" s="492"/>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11">
        <f>--(
  ISNUMBER(SEARCH("BASE PARENT", UPPER(CLEAN(TRIM(_xlfn.XLOOKUP(TEXT(Contract_Edits[[#This Row],[Index]],"0"), baseIdxTxt, baseCost, "")))))) +
  ISNUMBER(SEARCH("DEPENDENCY GROUP", UPPER(CLEAN(TRIM(_xlfn.XLOOKUP(TEXT(Contract_Edits[[#This Row],[Index]],"0"), baseIdxTxt, baseCost, ""))))))
)</f>
        <v>0</v>
      </c>
      <c r="AG114" s="511" t="str" cm="1">
        <f t="array" ref="AG114">IF(Contract_Edits[[#This Row],[BaseFlag]]=1,
   10*BaseDepthL(TEXT(Contract_Edits[[#This Row],[Index]],"0"),500,editsIdxTxt,editsParentKeyTxt,baseIdxTxt,baseCost)-5,
   ""
)</f>
        <v/>
      </c>
      <c r="AH114" s="511"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11" t="str">
        <f>IF(Contract_Edits[[#This Row],[Dep]]=0,"Root",
   IF(ISNUMBER(MATCH(Contract_Edits[[#This Row],[Dep]],Contract_Edits[Index],0)),"OK","Missing")
)</f>
        <v>OK</v>
      </c>
      <c r="AJ114" s="511" t="str">
        <f>IF(AND(Contract_Edits[[#This Row],[Dep]]&lt;&gt;0,
        ISNUMBER(MATCH(Contract_Edits[[#This Row],[Dep]], Contract_Edits[Index], 0)),
        INDEX(Contract_Edits[Dep], MATCH(Contract_Edits[[#This Row],[Dep]], Contract_Edits[Index], 0))=Contract_Edits[[#This Row],[Index]]),
   "2-cycle","")</f>
        <v/>
      </c>
      <c r="AK114" s="511" cm="1">
        <f t="array" ref="AK114">IF(Contract_Edits[[#This Row],[BaseFlag]]&lt;&gt;1,0,
   IF(TEXT(Contract_Edits[[#This Row],[Dep]],"0")=TEXT(Contract_Edits[[#This Row],[Index]],"0"),
      0,
      MAX(0, SUMPRODUCT(--(Contract_Edits[BaseFlag]=1),
                        --(TEXT(Contract_Edits[Dep],"0")=TEXT(Contract_Edits[[#This Row],[Dep]],"0"))) - 1)
   )
)</f>
        <v>0</v>
      </c>
      <c r="AL114" s="511" t="str" cm="1">
        <f t="array" ref="AL114">IF(Contract_Edits[[#This Row],[BaseFlag]]=1,
   TEXT(Contract_Edits[[#This Row],[Index]],"0"),
   NearestBaseL(TEXT(Contract_Edits[[#This Row],[ParentKey]],"0"),500,editsIdxTxt,editsParentKeyTxt,baseIdxTxt,baseCost)
)</f>
        <v>28</v>
      </c>
      <c r="AM114" s="511" cm="1">
        <f t="array" ref="AM114">1+SUMPRODUCT(
  (Contract_Edits[BaseFlag]=1)*
  (TEXT(Contract_Edits[ParentAnchor],"0")=TEXT(Contract_Edits[[#This Row],[ParentAnchor]],"0"))*
  (VALUE(TEXT(Contract_Edits[Index],"0"))&lt;VALUE(TEXT(Contract_Edits[[#This Row],[Index]],"0")))
)</f>
        <v>1</v>
      </c>
      <c r="AN114" s="511"/>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9">
        <v>44</v>
      </c>
      <c r="M115" s="449"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76"/>
      <c r="R115" s="516"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5" s="179">
        <v>0</v>
      </c>
      <c r="T115" s="179">
        <v>0</v>
      </c>
      <c r="U115" s="11"/>
      <c r="W115" s="22" t="s">
        <v>436</v>
      </c>
      <c r="X115" s="22" t="s">
        <v>682</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11">
        <f>--(
  ISNUMBER(SEARCH("BASE PARENT", UPPER(CLEAN(TRIM(_xlfn.XLOOKUP(TEXT(Contract_Edits[[#This Row],[Index]],"0"), baseIdxTxt, baseCost, "")))))) +
  ISNUMBER(SEARCH("DEPENDENCY GROUP", UPPER(CLEAN(TRIM(_xlfn.XLOOKUP(TEXT(Contract_Edits[[#This Row],[Index]],"0"), baseIdxTxt, baseCost, ""))))))
)</f>
        <v>0</v>
      </c>
      <c r="AG115" s="511" t="str" cm="1">
        <f t="array" ref="AG115">IF(Contract_Edits[[#This Row],[BaseFlag]]=1,
   10*BaseDepthL(TEXT(Contract_Edits[[#This Row],[Index]],"0"),500,editsIdxTxt,editsParentKeyTxt,baseIdxTxt,baseCost)-5,
   ""
)</f>
        <v/>
      </c>
      <c r="AH115" s="511"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11" t="str">
        <f>IF(Contract_Edits[[#This Row],[Dep]]=0,"Root",
   IF(ISNUMBER(MATCH(Contract_Edits[[#This Row],[Dep]],Contract_Edits[Index],0)),"OK","Missing")
)</f>
        <v>Root</v>
      </c>
      <c r="AJ115" s="511" t="e">
        <f>IF(AND(Contract_Edits[[#This Row],[Dep]]&lt;&gt;0,
        ISNUMBER(MATCH(Contract_Edits[[#This Row],[Dep]], Contract_Edits[Index], 0)),
        INDEX(Contract_Edits[Dep], MATCH(Contract_Edits[[#This Row],[Dep]], Contract_Edits[Index], 0))=Contract_Edits[[#This Row],[Index]]),
   "2-cycle","")</f>
        <v>#N/A</v>
      </c>
      <c r="AK115" s="511" cm="1">
        <f t="array" ref="AK115">IF(Contract_Edits[[#This Row],[BaseFlag]]&lt;&gt;1,0,
   IF(TEXT(Contract_Edits[[#This Row],[Dep]],"0")=TEXT(Contract_Edits[[#This Row],[Index]],"0"),
      0,
      MAX(0, SUMPRODUCT(--(Contract_Edits[BaseFlag]=1),
                        --(TEXT(Contract_Edits[Dep],"0")=TEXT(Contract_Edits[[#This Row],[Dep]],"0"))) - 1)
   )
)</f>
        <v>0</v>
      </c>
      <c r="AL115" s="511" t="str" cm="1">
        <f t="array" ref="AL115">IF(Contract_Edits[[#This Row],[BaseFlag]]=1,
   TEXT(Contract_Edits[[#This Row],[Index]],"0"),
   NearestBaseL(TEXT(Contract_Edits[[#This Row],[ParentKey]],"0"),500,editsIdxTxt,editsParentKeyTxt,baseIdxTxt,baseCost)
)</f>
        <v>0</v>
      </c>
      <c r="AM115" s="511" cm="1">
        <f t="array" ref="AM115">1+SUMPRODUCT(
  (Contract_Edits[BaseFlag]=1)*
  (TEXT(Contract_Edits[ParentAnchor],"0")=TEXT(Contract_Edits[[#This Row],[ParentAnchor]],"0"))*
  (VALUE(TEXT(Contract_Edits[Index],"0"))&lt;VALUE(TEXT(Contract_Edits[[#This Row],[Index]],"0")))
)</f>
        <v>1</v>
      </c>
      <c r="AN115" s="511"/>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9">
        <v>4</v>
      </c>
      <c r="M116" s="449"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76"/>
      <c r="R116" s="516"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6" s="179">
        <v>0</v>
      </c>
      <c r="T116" s="179">
        <v>0</v>
      </c>
      <c r="U116" s="11"/>
      <c r="W116" s="22" t="s">
        <v>682</v>
      </c>
      <c r="X116" s="22" t="s">
        <v>682</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11">
        <f>--(
  ISNUMBER(SEARCH("BASE PARENT", UPPER(CLEAN(TRIM(_xlfn.XLOOKUP(TEXT(Contract_Edits[[#This Row],[Index]],"0"), baseIdxTxt, baseCost, "")))))) +
  ISNUMBER(SEARCH("DEPENDENCY GROUP", UPPER(CLEAN(TRIM(_xlfn.XLOOKUP(TEXT(Contract_Edits[[#This Row],[Index]],"0"), baseIdxTxt, baseCost, ""))))))
)</f>
        <v>1</v>
      </c>
      <c r="AG116" s="511" cm="1">
        <f t="array" ref="AG116">IF(Contract_Edits[[#This Row],[BaseFlag]]=1,
   10*BaseDepthL(TEXT(Contract_Edits[[#This Row],[Index]],"0"),500,editsIdxTxt,editsParentKeyTxt,baseIdxTxt,baseCost)-5,
   ""
)</f>
        <v>35</v>
      </c>
      <c r="AH116" s="511"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11" t="str">
        <f>IF(Contract_Edits[[#This Row],[Dep]]=0,"Root",
   IF(ISNUMBER(MATCH(Contract_Edits[[#This Row],[Dep]],Contract_Edits[Index],0)),"OK","Missing")
)</f>
        <v>OK</v>
      </c>
      <c r="AJ116" s="511" t="str">
        <f>IF(AND(Contract_Edits[[#This Row],[Dep]]&lt;&gt;0,
        ISNUMBER(MATCH(Contract_Edits[[#This Row],[Dep]], Contract_Edits[Index], 0)),
        INDEX(Contract_Edits[Dep], MATCH(Contract_Edits[[#This Row],[Dep]], Contract_Edits[Index], 0))=Contract_Edits[[#This Row],[Index]]),
   "2-cycle","")</f>
        <v/>
      </c>
      <c r="AK116" s="511" cm="1">
        <f t="array" ref="AK116">IF(Contract_Edits[[#This Row],[BaseFlag]]&lt;&gt;1,0,
   IF(TEXT(Contract_Edits[[#This Row],[Dep]],"0")=TEXT(Contract_Edits[[#This Row],[Index]],"0"),
      0,
      MAX(0, SUMPRODUCT(--(Contract_Edits[BaseFlag]=1),
                        --(TEXT(Contract_Edits[Dep],"0")=TEXT(Contract_Edits[[#This Row],[Dep]],"0"))) - 1)
   )
)</f>
        <v>0</v>
      </c>
      <c r="AL116" s="511" t="str" cm="1">
        <f t="array" ref="AL116">IF(Contract_Edits[[#This Row],[BaseFlag]]=1,
   TEXT(Contract_Edits[[#This Row],[Index]],"0"),
   NearestBaseL(TEXT(Contract_Edits[[#This Row],[ParentKey]],"0"),500,editsIdxTxt,editsParentKeyTxt,baseIdxTxt,baseCost)
)</f>
        <v>4</v>
      </c>
      <c r="AM116" s="511" cm="1">
        <f t="array" ref="AM116">1+SUMPRODUCT(
  (Contract_Edits[BaseFlag]=1)*
  (TEXT(Contract_Edits[ParentAnchor],"0")=TEXT(Contract_Edits[[#This Row],[ParentAnchor]],"0"))*
  (VALUE(TEXT(Contract_Edits[Index],"0"))&lt;VALUE(TEXT(Contract_Edits[[#This Row],[Index]],"0")))
)</f>
        <v>1</v>
      </c>
      <c r="AN116" s="511"/>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9">
        <v>5</v>
      </c>
      <c r="M117" s="449"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88"/>
      <c r="R117" s="516"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7" s="179">
        <v>0</v>
      </c>
      <c r="T117" s="477"/>
      <c r="U117" s="500"/>
      <c r="V117" s="193"/>
      <c r="W117" s="22" t="s">
        <v>682</v>
      </c>
      <c r="X117" s="492" t="s">
        <v>682</v>
      </c>
      <c r="Y117" s="492"/>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11">
        <f>--(
  ISNUMBER(SEARCH("BASE PARENT", UPPER(CLEAN(TRIM(_xlfn.XLOOKUP(TEXT(Contract_Edits[[#This Row],[Index]],"0"), baseIdxTxt, baseCost, "")))))) +
  ISNUMBER(SEARCH("DEPENDENCY GROUP", UPPER(CLEAN(TRIM(_xlfn.XLOOKUP(TEXT(Contract_Edits[[#This Row],[Index]],"0"), baseIdxTxt, baseCost, ""))))))
)</f>
        <v>1</v>
      </c>
      <c r="AG117" s="511" cm="1">
        <f t="array" ref="AG117">IF(Contract_Edits[[#This Row],[BaseFlag]]=1,
   10*BaseDepthL(TEXT(Contract_Edits[[#This Row],[Index]],"0"),500,editsIdxTxt,editsParentKeyTxt,baseIdxTxt,baseCost)-5,
   ""
)</f>
        <v>45</v>
      </c>
      <c r="AH117" s="511"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11" t="str">
        <f>IF(Contract_Edits[[#This Row],[Dep]]=0,"Root",
   IF(ISNUMBER(MATCH(Contract_Edits[[#This Row],[Dep]],Contract_Edits[Index],0)),"OK","Missing")
)</f>
        <v>OK</v>
      </c>
      <c r="AJ117" s="511" t="str">
        <f>IF(AND(Contract_Edits[[#This Row],[Dep]]&lt;&gt;0,
        ISNUMBER(MATCH(Contract_Edits[[#This Row],[Dep]], Contract_Edits[Index], 0)),
        INDEX(Contract_Edits[Dep], MATCH(Contract_Edits[[#This Row],[Dep]], Contract_Edits[Index], 0))=Contract_Edits[[#This Row],[Index]]),
   "2-cycle","")</f>
        <v/>
      </c>
      <c r="AK117" s="511" cm="1">
        <f t="array" ref="AK117">IF(Contract_Edits[[#This Row],[BaseFlag]]&lt;&gt;1,0,
   IF(TEXT(Contract_Edits[[#This Row],[Dep]],"0")=TEXT(Contract_Edits[[#This Row],[Index]],"0"),
      0,
      MAX(0, SUMPRODUCT(--(Contract_Edits[BaseFlag]=1),
                        --(TEXT(Contract_Edits[Dep],"0")=TEXT(Contract_Edits[[#This Row],[Dep]],"0"))) - 1)
   )
)</f>
        <v>0</v>
      </c>
      <c r="AL117" s="511" t="str" cm="1">
        <f t="array" ref="AL117">IF(Contract_Edits[[#This Row],[BaseFlag]]=1,
   TEXT(Contract_Edits[[#This Row],[Index]],"0"),
   NearestBaseL(TEXT(Contract_Edits[[#This Row],[ParentKey]],"0"),500,editsIdxTxt,editsParentKeyTxt,baseIdxTxt,baseCost)
)</f>
        <v>5</v>
      </c>
      <c r="AM117" s="511" cm="1">
        <f t="array" ref="AM117">1+SUMPRODUCT(
  (Contract_Edits[BaseFlag]=1)*
  (TEXT(Contract_Edits[ParentAnchor],"0")=TEXT(Contract_Edits[[#This Row],[ParentAnchor]],"0"))*
  (VALUE(TEXT(Contract_Edits[Index],"0"))&lt;VALUE(TEXT(Contract_Edits[[#This Row],[Index]],"0")))
)</f>
        <v>1</v>
      </c>
      <c r="AN117" s="511"/>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9">
        <v>6</v>
      </c>
      <c r="M118" s="449"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76"/>
      <c r="R118" s="516"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8" s="179">
        <v>0</v>
      </c>
      <c r="T118" s="477"/>
      <c r="U118" s="500"/>
      <c r="V118" s="193"/>
      <c r="W118" s="22" t="s">
        <v>682</v>
      </c>
      <c r="X118" s="492"/>
      <c r="Y118" s="492"/>
      <c r="Z118" s="498"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11">
        <f>--(
  ISNUMBER(SEARCH("BASE PARENT", UPPER(CLEAN(TRIM(_xlfn.XLOOKUP(TEXT(Contract_Edits[[#This Row],[Index]],"0"), baseIdxTxt, baseCost, "")))))) +
  ISNUMBER(SEARCH("DEPENDENCY GROUP", UPPER(CLEAN(TRIM(_xlfn.XLOOKUP(TEXT(Contract_Edits[[#This Row],[Index]],"0"), baseIdxTxt, baseCost, ""))))))
)</f>
        <v>1</v>
      </c>
      <c r="AG118" s="511" cm="1">
        <f t="array" ref="AG118">IF(Contract_Edits[[#This Row],[BaseFlag]]=1,
   10*BaseDepthL(TEXT(Contract_Edits[[#This Row],[Index]],"0"),500,editsIdxTxt,editsParentKeyTxt,baseIdxTxt,baseCost)-5,
   ""
)</f>
        <v>55</v>
      </c>
      <c r="AH118" s="511"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11" t="str">
        <f>IF(Contract_Edits[[#This Row],[Dep]]=0,"Root",
   IF(ISNUMBER(MATCH(Contract_Edits[[#This Row],[Dep]],Contract_Edits[Index],0)),"OK","Missing")
)</f>
        <v>OK</v>
      </c>
      <c r="AJ118" s="511" t="str">
        <f>IF(AND(Contract_Edits[[#This Row],[Dep]]&lt;&gt;0,
        ISNUMBER(MATCH(Contract_Edits[[#This Row],[Dep]], Contract_Edits[Index], 0)),
        INDEX(Contract_Edits[Dep], MATCH(Contract_Edits[[#This Row],[Dep]], Contract_Edits[Index], 0))=Contract_Edits[[#This Row],[Index]]),
   "2-cycle","")</f>
        <v/>
      </c>
      <c r="AK118" s="511" cm="1">
        <f t="array" ref="AK118">IF(Contract_Edits[[#This Row],[BaseFlag]]&lt;&gt;1,0,
   IF(TEXT(Contract_Edits[[#This Row],[Dep]],"0")=TEXT(Contract_Edits[[#This Row],[Index]],"0"),
      0,
      MAX(0, SUMPRODUCT(--(Contract_Edits[BaseFlag]=1),
                        --(TEXT(Contract_Edits[Dep],"0")=TEXT(Contract_Edits[[#This Row],[Dep]],"0"))) - 1)
   )
)</f>
        <v>0</v>
      </c>
      <c r="AL118" s="511" t="str" cm="1">
        <f t="array" ref="AL118">IF(Contract_Edits[[#This Row],[BaseFlag]]=1,
   TEXT(Contract_Edits[[#This Row],[Index]],"0"),
   NearestBaseL(TEXT(Contract_Edits[[#This Row],[ParentKey]],"0"),500,editsIdxTxt,editsParentKeyTxt,baseIdxTxt,baseCost)
)</f>
        <v>6</v>
      </c>
      <c r="AM118" s="511" cm="1">
        <f t="array" ref="AM118">1+SUMPRODUCT(
  (Contract_Edits[BaseFlag]=1)*
  (TEXT(Contract_Edits[ParentAnchor],"0")=TEXT(Contract_Edits[[#This Row],[ParentAnchor]],"0"))*
  (VALUE(TEXT(Contract_Edits[Index],"0"))&lt;VALUE(TEXT(Contract_Edits[[#This Row],[Index]],"0")))
)</f>
        <v>1</v>
      </c>
      <c r="AN118" s="511"/>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9">
        <v>3</v>
      </c>
      <c r="M119" s="449"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88"/>
      <c r="R119" s="516"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19" s="179">
        <v>0</v>
      </c>
      <c r="T119" s="477"/>
      <c r="U119" s="500"/>
      <c r="V119" s="193"/>
      <c r="W119" s="22" t="s">
        <v>682</v>
      </c>
      <c r="X119" s="492"/>
      <c r="Y119" s="492"/>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11">
        <f>--(
  ISNUMBER(SEARCH("BASE PARENT", UPPER(CLEAN(TRIM(_xlfn.XLOOKUP(TEXT(Contract_Edits[[#This Row],[Index]],"0"), baseIdxTxt, baseCost, "")))))) +
  ISNUMBER(SEARCH("DEPENDENCY GROUP", UPPER(CLEAN(TRIM(_xlfn.XLOOKUP(TEXT(Contract_Edits[[#This Row],[Index]],"0"), baseIdxTxt, baseCost, ""))))))
)</f>
        <v>1</v>
      </c>
      <c r="AG119" s="511" cm="1">
        <f t="array" ref="AG119">IF(Contract_Edits[[#This Row],[BaseFlag]]=1,
   10*BaseDepthL(TEXT(Contract_Edits[[#This Row],[Index]],"0"),500,editsIdxTxt,editsParentKeyTxt,baseIdxTxt,baseCost)-5,
   ""
)</f>
        <v>25</v>
      </c>
      <c r="AH119" s="511"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11" t="str">
        <f>IF(Contract_Edits[[#This Row],[Dep]]=0,"Root",
   IF(ISNUMBER(MATCH(Contract_Edits[[#This Row],[Dep]],Contract_Edits[Index],0)),"OK","Missing")
)</f>
        <v>OK</v>
      </c>
      <c r="AJ119" s="511" t="str">
        <f>IF(AND(Contract_Edits[[#This Row],[Dep]]&lt;&gt;0,
        ISNUMBER(MATCH(Contract_Edits[[#This Row],[Dep]], Contract_Edits[Index], 0)),
        INDEX(Contract_Edits[Dep], MATCH(Contract_Edits[[#This Row],[Dep]], Contract_Edits[Index], 0))=Contract_Edits[[#This Row],[Index]]),
   "2-cycle","")</f>
        <v/>
      </c>
      <c r="AK119" s="511" cm="1">
        <f t="array" ref="AK119">IF(Contract_Edits[[#This Row],[BaseFlag]]&lt;&gt;1,0,
   IF(TEXT(Contract_Edits[[#This Row],[Dep]],"0")=TEXT(Contract_Edits[[#This Row],[Index]],"0"),
      0,
      MAX(0, SUMPRODUCT(--(Contract_Edits[BaseFlag]=1),
                        --(TEXT(Contract_Edits[Dep],"0")=TEXT(Contract_Edits[[#This Row],[Dep]],"0"))) - 1)
   )
)</f>
        <v>0</v>
      </c>
      <c r="AL119" s="511" t="str" cm="1">
        <f t="array" ref="AL119">IF(Contract_Edits[[#This Row],[BaseFlag]]=1,
   TEXT(Contract_Edits[[#This Row],[Index]],"0"),
   NearestBaseL(TEXT(Contract_Edits[[#This Row],[ParentKey]],"0"),500,editsIdxTxt,editsParentKeyTxt,baseIdxTxt,baseCost)
)</f>
        <v>3</v>
      </c>
      <c r="AM119" s="511" cm="1">
        <f t="array" ref="AM119">1+SUMPRODUCT(
  (Contract_Edits[BaseFlag]=1)*
  (TEXT(Contract_Edits[ParentAnchor],"0")=TEXT(Contract_Edits[[#This Row],[ParentAnchor]],"0"))*
  (VALUE(TEXT(Contract_Edits[Index],"0"))&lt;VALUE(TEXT(Contract_Edits[[#This Row],[Index]],"0")))
)</f>
        <v>1</v>
      </c>
      <c r="AN119" s="511"/>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9">
        <v>913</v>
      </c>
      <c r="M120" s="449"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76"/>
      <c r="R120" s="516"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0" s="179">
        <v>0</v>
      </c>
      <c r="T120" s="179">
        <v>0</v>
      </c>
      <c r="U120" s="11"/>
      <c r="W120" s="22" t="s">
        <v>436</v>
      </c>
      <c r="X120" s="22" t="s">
        <v>682</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11">
        <f>--(
  ISNUMBER(SEARCH("BASE PARENT", UPPER(CLEAN(TRIM(_xlfn.XLOOKUP(TEXT(Contract_Edits[[#This Row],[Index]],"0"), baseIdxTxt, baseCost, "")))))) +
  ISNUMBER(SEARCH("DEPENDENCY GROUP", UPPER(CLEAN(TRIM(_xlfn.XLOOKUP(TEXT(Contract_Edits[[#This Row],[Index]],"0"), baseIdxTxt, baseCost, ""))))))
)</f>
        <v>0</v>
      </c>
      <c r="AG120" s="511" t="str" cm="1">
        <f t="array" ref="AG120">IF(Contract_Edits[[#This Row],[BaseFlag]]=1,
   10*BaseDepthL(TEXT(Contract_Edits[[#This Row],[Index]],"0"),500,editsIdxTxt,editsParentKeyTxt,baseIdxTxt,baseCost)-5,
   ""
)</f>
        <v/>
      </c>
      <c r="AH120" s="511"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11" t="str">
        <f>IF(Contract_Edits[[#This Row],[Dep]]=0,"Root",
   IF(ISNUMBER(MATCH(Contract_Edits[[#This Row],[Dep]],Contract_Edits[Index],0)),"OK","Missing")
)</f>
        <v>Root</v>
      </c>
      <c r="AJ120" s="511" t="e">
        <f>IF(AND(Contract_Edits[[#This Row],[Dep]]&lt;&gt;0,
        ISNUMBER(MATCH(Contract_Edits[[#This Row],[Dep]], Contract_Edits[Index], 0)),
        INDEX(Contract_Edits[Dep], MATCH(Contract_Edits[[#This Row],[Dep]], Contract_Edits[Index], 0))=Contract_Edits[[#This Row],[Index]]),
   "2-cycle","")</f>
        <v>#N/A</v>
      </c>
      <c r="AK120" s="511" cm="1">
        <f t="array" ref="AK120">IF(Contract_Edits[[#This Row],[BaseFlag]]&lt;&gt;1,0,
   IF(TEXT(Contract_Edits[[#This Row],[Dep]],"0")=TEXT(Contract_Edits[[#This Row],[Index]],"0"),
      0,
      MAX(0, SUMPRODUCT(--(Contract_Edits[BaseFlag]=1),
                        --(TEXT(Contract_Edits[Dep],"0")=TEXT(Contract_Edits[[#This Row],[Dep]],"0"))) - 1)
   )
)</f>
        <v>0</v>
      </c>
      <c r="AL120" s="511" t="str" cm="1">
        <f t="array" ref="AL120">IF(Contract_Edits[[#This Row],[BaseFlag]]=1,
   TEXT(Contract_Edits[[#This Row],[Index]],"0"),
   NearestBaseL(TEXT(Contract_Edits[[#This Row],[ParentKey]],"0"),500,editsIdxTxt,editsParentKeyTxt,baseIdxTxt,baseCost)
)</f>
        <v>0</v>
      </c>
      <c r="AM120" s="511" cm="1">
        <f t="array" ref="AM120">1+SUMPRODUCT(
  (Contract_Edits[BaseFlag]=1)*
  (TEXT(Contract_Edits[ParentAnchor],"0")=TEXT(Contract_Edits[[#This Row],[ParentAnchor]],"0"))*
  (VALUE(TEXT(Contract_Edits[Index],"0"))&lt;VALUE(TEXT(Contract_Edits[[#This Row],[Index]],"0")))
)</f>
        <v>1</v>
      </c>
      <c r="AN120" s="511"/>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9">
        <v>149</v>
      </c>
      <c r="M121" s="449"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76"/>
      <c r="R121" s="516"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1" s="179">
        <v>0</v>
      </c>
      <c r="T121" s="179">
        <v>0</v>
      </c>
      <c r="U121" s="11"/>
      <c r="W121" s="22" t="s">
        <v>436</v>
      </c>
      <c r="X121" s="22" t="s">
        <v>682</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11">
        <f>--(
  ISNUMBER(SEARCH("BASE PARENT", UPPER(CLEAN(TRIM(_xlfn.XLOOKUP(TEXT(Contract_Edits[[#This Row],[Index]],"0"), baseIdxTxt, baseCost, "")))))) +
  ISNUMBER(SEARCH("DEPENDENCY GROUP", UPPER(CLEAN(TRIM(_xlfn.XLOOKUP(TEXT(Contract_Edits[[#This Row],[Index]],"0"), baseIdxTxt, baseCost, ""))))))
)</f>
        <v>0</v>
      </c>
      <c r="AG121" s="511" t="str" cm="1">
        <f t="array" ref="AG121">IF(Contract_Edits[[#This Row],[BaseFlag]]=1,
   10*BaseDepthL(TEXT(Contract_Edits[[#This Row],[Index]],"0"),500,editsIdxTxt,editsParentKeyTxt,baseIdxTxt,baseCost)-5,
   ""
)</f>
        <v/>
      </c>
      <c r="AH121" s="511"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11" t="str">
        <f>IF(Contract_Edits[[#This Row],[Dep]]=0,"Root",
   IF(ISNUMBER(MATCH(Contract_Edits[[#This Row],[Dep]],Contract_Edits[Index],0)),"OK","Missing")
)</f>
        <v>Root</v>
      </c>
      <c r="AJ121" s="511" t="e">
        <f>IF(AND(Contract_Edits[[#This Row],[Dep]]&lt;&gt;0,
        ISNUMBER(MATCH(Contract_Edits[[#This Row],[Dep]], Contract_Edits[Index], 0)),
        INDEX(Contract_Edits[Dep], MATCH(Contract_Edits[[#This Row],[Dep]], Contract_Edits[Index], 0))=Contract_Edits[[#This Row],[Index]]),
   "2-cycle","")</f>
        <v>#N/A</v>
      </c>
      <c r="AK121" s="511" cm="1">
        <f t="array" ref="AK121">IF(Contract_Edits[[#This Row],[BaseFlag]]&lt;&gt;1,0,
   IF(TEXT(Contract_Edits[[#This Row],[Dep]],"0")=TEXT(Contract_Edits[[#This Row],[Index]],"0"),
      0,
      MAX(0, SUMPRODUCT(--(Contract_Edits[BaseFlag]=1),
                        --(TEXT(Contract_Edits[Dep],"0")=TEXT(Contract_Edits[[#This Row],[Dep]],"0"))) - 1)
   )
)</f>
        <v>0</v>
      </c>
      <c r="AL121" s="511" t="str" cm="1">
        <f t="array" ref="AL121">IF(Contract_Edits[[#This Row],[BaseFlag]]=1,
   TEXT(Contract_Edits[[#This Row],[Index]],"0"),
   NearestBaseL(TEXT(Contract_Edits[[#This Row],[ParentKey]],"0"),500,editsIdxTxt,editsParentKeyTxt,baseIdxTxt,baseCost)
)</f>
        <v>0</v>
      </c>
      <c r="AM121" s="511" cm="1">
        <f t="array" ref="AM121">1+SUMPRODUCT(
  (Contract_Edits[BaseFlag]=1)*
  (TEXT(Contract_Edits[ParentAnchor],"0")=TEXT(Contract_Edits[[#This Row],[ParentAnchor]],"0"))*
  (VALUE(TEXT(Contract_Edits[Index],"0"))&lt;VALUE(TEXT(Contract_Edits[[#This Row],[Index]],"0")))
)</f>
        <v>1</v>
      </c>
      <c r="AN121" s="511"/>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9">
        <v>100</v>
      </c>
      <c r="M122" s="449"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88"/>
      <c r="R122" s="516"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2" s="179">
        <v>0</v>
      </c>
      <c r="T122" s="477"/>
      <c r="U122" s="500"/>
      <c r="V122" s="193"/>
      <c r="W122" s="22" t="s">
        <v>436</v>
      </c>
      <c r="X122" s="492" t="s">
        <v>682</v>
      </c>
      <c r="Y122" s="492"/>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11">
        <f>--(
  ISNUMBER(SEARCH("BASE PARENT", UPPER(CLEAN(TRIM(_xlfn.XLOOKUP(TEXT(Contract_Edits[[#This Row],[Index]],"0"), baseIdxTxt, baseCost, "")))))) +
  ISNUMBER(SEARCH("DEPENDENCY GROUP", UPPER(CLEAN(TRIM(_xlfn.XLOOKUP(TEXT(Contract_Edits[[#This Row],[Index]],"0"), baseIdxTxt, baseCost, ""))))))
)</f>
        <v>0</v>
      </c>
      <c r="AG122" s="511" t="str" cm="1">
        <f t="array" ref="AG122">IF(Contract_Edits[[#This Row],[BaseFlag]]=1,
   10*BaseDepthL(TEXT(Contract_Edits[[#This Row],[Index]],"0"),500,editsIdxTxt,editsParentKeyTxt,baseIdxTxt,baseCost)-5,
   ""
)</f>
        <v/>
      </c>
      <c r="AH122" s="511"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11" t="str">
        <f>IF(Contract_Edits[[#This Row],[Dep]]=0,"Root",
   IF(ISNUMBER(MATCH(Contract_Edits[[#This Row],[Dep]],Contract_Edits[Index],0)),"OK","Missing")
)</f>
        <v>Root</v>
      </c>
      <c r="AJ122" s="511" t="e">
        <f>IF(AND(Contract_Edits[[#This Row],[Dep]]&lt;&gt;0,
        ISNUMBER(MATCH(Contract_Edits[[#This Row],[Dep]], Contract_Edits[Index], 0)),
        INDEX(Contract_Edits[Dep], MATCH(Contract_Edits[[#This Row],[Dep]], Contract_Edits[Index], 0))=Contract_Edits[[#This Row],[Index]]),
   "2-cycle","")</f>
        <v>#N/A</v>
      </c>
      <c r="AK122" s="511" cm="1">
        <f t="array" ref="AK122">IF(Contract_Edits[[#This Row],[BaseFlag]]&lt;&gt;1,0,
   IF(TEXT(Contract_Edits[[#This Row],[Dep]],"0")=TEXT(Contract_Edits[[#This Row],[Index]],"0"),
      0,
      MAX(0, SUMPRODUCT(--(Contract_Edits[BaseFlag]=1),
                        --(TEXT(Contract_Edits[Dep],"0")=TEXT(Contract_Edits[[#This Row],[Dep]],"0"))) - 1)
   )
)</f>
        <v>0</v>
      </c>
      <c r="AL122" s="511" t="str" cm="1">
        <f t="array" ref="AL122">IF(Contract_Edits[[#This Row],[BaseFlag]]=1,
   TEXT(Contract_Edits[[#This Row],[Index]],"0"),
   NearestBaseL(TEXT(Contract_Edits[[#This Row],[ParentKey]],"0"),500,editsIdxTxt,editsParentKeyTxt,baseIdxTxt,baseCost)
)</f>
        <v>0</v>
      </c>
      <c r="AM122" s="511" cm="1">
        <f t="array" ref="AM122">1+SUMPRODUCT(
  (Contract_Edits[BaseFlag]=1)*
  (TEXT(Contract_Edits[ParentAnchor],"0")=TEXT(Contract_Edits[[#This Row],[ParentAnchor]],"0"))*
  (VALUE(TEXT(Contract_Edits[Index],"0"))&lt;VALUE(TEXT(Contract_Edits[[#This Row],[Index]],"0")))
)</f>
        <v>1</v>
      </c>
      <c r="AN122" s="511"/>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9">
        <v>146</v>
      </c>
      <c r="M123" s="449"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88"/>
      <c r="R123" s="516"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3" s="179">
        <v>0</v>
      </c>
      <c r="T123" s="477"/>
      <c r="U123" s="500"/>
      <c r="V123" s="193"/>
      <c r="W123" s="22" t="s">
        <v>436</v>
      </c>
      <c r="X123" s="492" t="s">
        <v>682</v>
      </c>
      <c r="Y123" s="492"/>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11">
        <f>--(
  ISNUMBER(SEARCH("BASE PARENT", UPPER(CLEAN(TRIM(_xlfn.XLOOKUP(TEXT(Contract_Edits[[#This Row],[Index]],"0"), baseIdxTxt, baseCost, "")))))) +
  ISNUMBER(SEARCH("DEPENDENCY GROUP", UPPER(CLEAN(TRIM(_xlfn.XLOOKUP(TEXT(Contract_Edits[[#This Row],[Index]],"0"), baseIdxTxt, baseCost, ""))))))
)</f>
        <v>0</v>
      </c>
      <c r="AG123" s="511" t="str" cm="1">
        <f t="array" ref="AG123">IF(Contract_Edits[[#This Row],[BaseFlag]]=1,
   10*BaseDepthL(TEXT(Contract_Edits[[#This Row],[Index]],"0"),500,editsIdxTxt,editsParentKeyTxt,baseIdxTxt,baseCost)-5,
   ""
)</f>
        <v/>
      </c>
      <c r="AH123" s="511"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11" t="str">
        <f>IF(Contract_Edits[[#This Row],[Dep]]=0,"Root",
   IF(ISNUMBER(MATCH(Contract_Edits[[#This Row],[Dep]],Contract_Edits[Index],0)),"OK","Missing")
)</f>
        <v>Root</v>
      </c>
      <c r="AJ123" s="511" t="e">
        <f>IF(AND(Contract_Edits[[#This Row],[Dep]]&lt;&gt;0,
        ISNUMBER(MATCH(Contract_Edits[[#This Row],[Dep]], Contract_Edits[Index], 0)),
        INDEX(Contract_Edits[Dep], MATCH(Contract_Edits[[#This Row],[Dep]], Contract_Edits[Index], 0))=Contract_Edits[[#This Row],[Index]]),
   "2-cycle","")</f>
        <v>#N/A</v>
      </c>
      <c r="AK123" s="511" cm="1">
        <f t="array" ref="AK123">IF(Contract_Edits[[#This Row],[BaseFlag]]&lt;&gt;1,0,
   IF(TEXT(Contract_Edits[[#This Row],[Dep]],"0")=TEXT(Contract_Edits[[#This Row],[Index]],"0"),
      0,
      MAX(0, SUMPRODUCT(--(Contract_Edits[BaseFlag]=1),
                        --(TEXT(Contract_Edits[Dep],"0")=TEXT(Contract_Edits[[#This Row],[Dep]],"0"))) - 1)
   )
)</f>
        <v>0</v>
      </c>
      <c r="AL123" s="511" t="str" cm="1">
        <f t="array" ref="AL123">IF(Contract_Edits[[#This Row],[BaseFlag]]=1,
   TEXT(Contract_Edits[[#This Row],[Index]],"0"),
   NearestBaseL(TEXT(Contract_Edits[[#This Row],[ParentKey]],"0"),500,editsIdxTxt,editsParentKeyTxt,baseIdxTxt,baseCost)
)</f>
        <v>0</v>
      </c>
      <c r="AM123" s="511" cm="1">
        <f t="array" ref="AM123">1+SUMPRODUCT(
  (Contract_Edits[BaseFlag]=1)*
  (TEXT(Contract_Edits[ParentAnchor],"0")=TEXT(Contract_Edits[[#This Row],[ParentAnchor]],"0"))*
  (VALUE(TEXT(Contract_Edits[Index],"0"))&lt;VALUE(TEXT(Contract_Edits[[#This Row],[Index]],"0")))
)</f>
        <v>1</v>
      </c>
      <c r="AN123" s="511"/>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9">
        <v>176</v>
      </c>
      <c r="M124" s="449"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88"/>
      <c r="R124" s="516"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4" s="179">
        <v>0</v>
      </c>
      <c r="T124" s="477"/>
      <c r="U124" s="500"/>
      <c r="V124" s="193"/>
      <c r="W124" s="22" t="s">
        <v>436</v>
      </c>
      <c r="X124" s="492" t="s">
        <v>682</v>
      </c>
      <c r="Y124" s="492"/>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11">
        <f>--(
  ISNUMBER(SEARCH("BASE PARENT", UPPER(CLEAN(TRIM(_xlfn.XLOOKUP(TEXT(Contract_Edits[[#This Row],[Index]],"0"), baseIdxTxt, baseCost, "")))))) +
  ISNUMBER(SEARCH("DEPENDENCY GROUP", UPPER(CLEAN(TRIM(_xlfn.XLOOKUP(TEXT(Contract_Edits[[#This Row],[Index]],"0"), baseIdxTxt, baseCost, ""))))))
)</f>
        <v>0</v>
      </c>
      <c r="AG124" s="511" t="str" cm="1">
        <f t="array" ref="AG124">IF(Contract_Edits[[#This Row],[BaseFlag]]=1,
   10*BaseDepthL(TEXT(Contract_Edits[[#This Row],[Index]],"0"),500,editsIdxTxt,editsParentKeyTxt,baseIdxTxt,baseCost)-5,
   ""
)</f>
        <v/>
      </c>
      <c r="AH124" s="511"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11" t="str">
        <f>IF(Contract_Edits[[#This Row],[Dep]]=0,"Root",
   IF(ISNUMBER(MATCH(Contract_Edits[[#This Row],[Dep]],Contract_Edits[Index],0)),"OK","Missing")
)</f>
        <v>Root</v>
      </c>
      <c r="AJ124" s="511" t="e">
        <f>IF(AND(Contract_Edits[[#This Row],[Dep]]&lt;&gt;0,
        ISNUMBER(MATCH(Contract_Edits[[#This Row],[Dep]], Contract_Edits[Index], 0)),
        INDEX(Contract_Edits[Dep], MATCH(Contract_Edits[[#This Row],[Dep]], Contract_Edits[Index], 0))=Contract_Edits[[#This Row],[Index]]),
   "2-cycle","")</f>
        <v>#N/A</v>
      </c>
      <c r="AK124" s="511" cm="1">
        <f t="array" ref="AK124">IF(Contract_Edits[[#This Row],[BaseFlag]]&lt;&gt;1,0,
   IF(TEXT(Contract_Edits[[#This Row],[Dep]],"0")=TEXT(Contract_Edits[[#This Row],[Index]],"0"),
      0,
      MAX(0, SUMPRODUCT(--(Contract_Edits[BaseFlag]=1),
                        --(TEXT(Contract_Edits[Dep],"0")=TEXT(Contract_Edits[[#This Row],[Dep]],"0"))) - 1)
   )
)</f>
        <v>0</v>
      </c>
      <c r="AL124" s="511" t="str" cm="1">
        <f t="array" ref="AL124">IF(Contract_Edits[[#This Row],[BaseFlag]]=1,
   TEXT(Contract_Edits[[#This Row],[Index]],"0"),
   NearestBaseL(TEXT(Contract_Edits[[#This Row],[ParentKey]],"0"),500,editsIdxTxt,editsParentKeyTxt,baseIdxTxt,baseCost)
)</f>
        <v>0</v>
      </c>
      <c r="AM124" s="511" cm="1">
        <f t="array" ref="AM124">1+SUMPRODUCT(
  (Contract_Edits[BaseFlag]=1)*
  (TEXT(Contract_Edits[ParentAnchor],"0")=TEXT(Contract_Edits[[#This Row],[ParentAnchor]],"0"))*
  (VALUE(TEXT(Contract_Edits[Index],"0"))&lt;VALUE(TEXT(Contract_Edits[[#This Row],[Index]],"0")))
)</f>
        <v>1</v>
      </c>
      <c r="AN124" s="511"/>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9">
        <v>150</v>
      </c>
      <c r="M125" s="449"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76"/>
      <c r="R125" s="516"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5" s="179">
        <v>0</v>
      </c>
      <c r="T125" s="179">
        <v>0</v>
      </c>
      <c r="U125" s="11"/>
      <c r="W125" s="22" t="s">
        <v>436</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11">
        <f>--(
  ISNUMBER(SEARCH("BASE PARENT", UPPER(CLEAN(TRIM(_xlfn.XLOOKUP(TEXT(Contract_Edits[[#This Row],[Index]],"0"), baseIdxTxt, baseCost, "")))))) +
  ISNUMBER(SEARCH("DEPENDENCY GROUP", UPPER(CLEAN(TRIM(_xlfn.XLOOKUP(TEXT(Contract_Edits[[#This Row],[Index]],"0"), baseIdxTxt, baseCost, ""))))))
)</f>
        <v>0</v>
      </c>
      <c r="AG125" s="511" t="str" cm="1">
        <f t="array" ref="AG125">IF(Contract_Edits[[#This Row],[BaseFlag]]=1,
   10*BaseDepthL(TEXT(Contract_Edits[[#This Row],[Index]],"0"),500,editsIdxTxt,editsParentKeyTxt,baseIdxTxt,baseCost)-5,
   ""
)</f>
        <v/>
      </c>
      <c r="AH125" s="511"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11" t="str">
        <f>IF(Contract_Edits[[#This Row],[Dep]]=0,"Root",
   IF(ISNUMBER(MATCH(Contract_Edits[[#This Row],[Dep]],Contract_Edits[Index],0)),"OK","Missing")
)</f>
        <v>Root</v>
      </c>
      <c r="AJ125" s="511" t="e">
        <f>IF(AND(Contract_Edits[[#This Row],[Dep]]&lt;&gt;0,
        ISNUMBER(MATCH(Contract_Edits[[#This Row],[Dep]], Contract_Edits[Index], 0)),
        INDEX(Contract_Edits[Dep], MATCH(Contract_Edits[[#This Row],[Dep]], Contract_Edits[Index], 0))=Contract_Edits[[#This Row],[Index]]),
   "2-cycle","")</f>
        <v>#N/A</v>
      </c>
      <c r="AK125" s="511" cm="1">
        <f t="array" ref="AK125">IF(Contract_Edits[[#This Row],[BaseFlag]]&lt;&gt;1,0,
   IF(TEXT(Contract_Edits[[#This Row],[Dep]],"0")=TEXT(Contract_Edits[[#This Row],[Index]],"0"),
      0,
      MAX(0, SUMPRODUCT(--(Contract_Edits[BaseFlag]=1),
                        --(TEXT(Contract_Edits[Dep],"0")=TEXT(Contract_Edits[[#This Row],[Dep]],"0"))) - 1)
   )
)</f>
        <v>0</v>
      </c>
      <c r="AL125" s="511" t="str" cm="1">
        <f t="array" ref="AL125">IF(Contract_Edits[[#This Row],[BaseFlag]]=1,
   TEXT(Contract_Edits[[#This Row],[Index]],"0"),
   NearestBaseL(TEXT(Contract_Edits[[#This Row],[ParentKey]],"0"),500,editsIdxTxt,editsParentKeyTxt,baseIdxTxt,baseCost)
)</f>
        <v>0</v>
      </c>
      <c r="AM125" s="511" cm="1">
        <f t="array" ref="AM125">1+SUMPRODUCT(
  (Contract_Edits[BaseFlag]=1)*
  (TEXT(Contract_Edits[ParentAnchor],"0")=TEXT(Contract_Edits[[#This Row],[ParentAnchor]],"0"))*
  (VALUE(TEXT(Contract_Edits[Index],"0"))&lt;VALUE(TEXT(Contract_Edits[[#This Row],[Index]],"0")))
)</f>
        <v>1</v>
      </c>
      <c r="AN125" s="511"/>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9">
        <v>98</v>
      </c>
      <c r="M126" s="449"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88"/>
      <c r="R126" s="516"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6" s="179">
        <v>0</v>
      </c>
      <c r="T126" s="477"/>
      <c r="U126" s="500"/>
      <c r="V126" s="193"/>
      <c r="W126" s="22" t="s">
        <v>436</v>
      </c>
      <c r="X126" s="492" t="s">
        <v>682</v>
      </c>
      <c r="Y126" s="492"/>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11">
        <f>--(
  ISNUMBER(SEARCH("BASE PARENT", UPPER(CLEAN(TRIM(_xlfn.XLOOKUP(TEXT(Contract_Edits[[#This Row],[Index]],"0"), baseIdxTxt, baseCost, "")))))) +
  ISNUMBER(SEARCH("DEPENDENCY GROUP", UPPER(CLEAN(TRIM(_xlfn.XLOOKUP(TEXT(Contract_Edits[[#This Row],[Index]],"0"), baseIdxTxt, baseCost, ""))))))
)</f>
        <v>0</v>
      </c>
      <c r="AG126" s="511" t="str" cm="1">
        <f t="array" ref="AG126">IF(Contract_Edits[[#This Row],[BaseFlag]]=1,
   10*BaseDepthL(TEXT(Contract_Edits[[#This Row],[Index]],"0"),500,editsIdxTxt,editsParentKeyTxt,baseIdxTxt,baseCost)-5,
   ""
)</f>
        <v/>
      </c>
      <c r="AH126" s="511"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11" t="str">
        <f>IF(Contract_Edits[[#This Row],[Dep]]=0,"Root",
   IF(ISNUMBER(MATCH(Contract_Edits[[#This Row],[Dep]],Contract_Edits[Index],0)),"OK","Missing")
)</f>
        <v>Root</v>
      </c>
      <c r="AJ126" s="511" t="e">
        <f>IF(AND(Contract_Edits[[#This Row],[Dep]]&lt;&gt;0,
        ISNUMBER(MATCH(Contract_Edits[[#This Row],[Dep]], Contract_Edits[Index], 0)),
        INDEX(Contract_Edits[Dep], MATCH(Contract_Edits[[#This Row],[Dep]], Contract_Edits[Index], 0))=Contract_Edits[[#This Row],[Index]]),
   "2-cycle","")</f>
        <v>#N/A</v>
      </c>
      <c r="AK126" s="511" cm="1">
        <f t="array" ref="AK126">IF(Contract_Edits[[#This Row],[BaseFlag]]&lt;&gt;1,0,
   IF(TEXT(Contract_Edits[[#This Row],[Dep]],"0")=TEXT(Contract_Edits[[#This Row],[Index]],"0"),
      0,
      MAX(0, SUMPRODUCT(--(Contract_Edits[BaseFlag]=1),
                        --(TEXT(Contract_Edits[Dep],"0")=TEXT(Contract_Edits[[#This Row],[Dep]],"0"))) - 1)
   )
)</f>
        <v>0</v>
      </c>
      <c r="AL126" s="511" t="str" cm="1">
        <f t="array" ref="AL126">IF(Contract_Edits[[#This Row],[BaseFlag]]=1,
   TEXT(Contract_Edits[[#This Row],[Index]],"0"),
   NearestBaseL(TEXT(Contract_Edits[[#This Row],[ParentKey]],"0"),500,editsIdxTxt,editsParentKeyTxt,baseIdxTxt,baseCost)
)</f>
        <v>0</v>
      </c>
      <c r="AM126" s="511" cm="1">
        <f t="array" ref="AM126">1+SUMPRODUCT(
  (Contract_Edits[BaseFlag]=1)*
  (TEXT(Contract_Edits[ParentAnchor],"0")=TEXT(Contract_Edits[[#This Row],[ParentAnchor]],"0"))*
  (VALUE(TEXT(Contract_Edits[Index],"0"))&lt;VALUE(TEXT(Contract_Edits[[#This Row],[Index]],"0")))
)</f>
        <v>1</v>
      </c>
      <c r="AN126" s="511"/>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9">
        <v>143</v>
      </c>
      <c r="M127" s="449"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76"/>
      <c r="R127" s="516"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7" s="179">
        <v>0</v>
      </c>
      <c r="T127" s="179">
        <v>0</v>
      </c>
      <c r="U127" s="11"/>
      <c r="W127" s="22" t="s">
        <v>436</v>
      </c>
      <c r="X127" s="22" t="s">
        <v>682</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11">
        <f>--(
  ISNUMBER(SEARCH("BASE PARENT", UPPER(CLEAN(TRIM(_xlfn.XLOOKUP(TEXT(Contract_Edits[[#This Row],[Index]],"0"), baseIdxTxt, baseCost, "")))))) +
  ISNUMBER(SEARCH("DEPENDENCY GROUP", UPPER(CLEAN(TRIM(_xlfn.XLOOKUP(TEXT(Contract_Edits[[#This Row],[Index]],"0"), baseIdxTxt, baseCost, ""))))))
)</f>
        <v>0</v>
      </c>
      <c r="AG127" s="511" t="str" cm="1">
        <f t="array" ref="AG127">IF(Contract_Edits[[#This Row],[BaseFlag]]=1,
   10*BaseDepthL(TEXT(Contract_Edits[[#This Row],[Index]],"0"),500,editsIdxTxt,editsParentKeyTxt,baseIdxTxt,baseCost)-5,
   ""
)</f>
        <v/>
      </c>
      <c r="AH127" s="511"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11" t="str">
        <f>IF(Contract_Edits[[#This Row],[Dep]]=0,"Root",
   IF(ISNUMBER(MATCH(Contract_Edits[[#This Row],[Dep]],Contract_Edits[Index],0)),"OK","Missing")
)</f>
        <v>Root</v>
      </c>
      <c r="AJ127" s="511" t="e">
        <f>IF(AND(Contract_Edits[[#This Row],[Dep]]&lt;&gt;0,
        ISNUMBER(MATCH(Contract_Edits[[#This Row],[Dep]], Contract_Edits[Index], 0)),
        INDEX(Contract_Edits[Dep], MATCH(Contract_Edits[[#This Row],[Dep]], Contract_Edits[Index], 0))=Contract_Edits[[#This Row],[Index]]),
   "2-cycle","")</f>
        <v>#N/A</v>
      </c>
      <c r="AK127" s="511" cm="1">
        <f t="array" ref="AK127">IF(Contract_Edits[[#This Row],[BaseFlag]]&lt;&gt;1,0,
   IF(TEXT(Contract_Edits[[#This Row],[Dep]],"0")=TEXT(Contract_Edits[[#This Row],[Index]],"0"),
      0,
      MAX(0, SUMPRODUCT(--(Contract_Edits[BaseFlag]=1),
                        --(TEXT(Contract_Edits[Dep],"0")=TEXT(Contract_Edits[[#This Row],[Dep]],"0"))) - 1)
   )
)</f>
        <v>0</v>
      </c>
      <c r="AL127" s="511" t="str" cm="1">
        <f t="array" ref="AL127">IF(Contract_Edits[[#This Row],[BaseFlag]]=1,
   TEXT(Contract_Edits[[#This Row],[Index]],"0"),
   NearestBaseL(TEXT(Contract_Edits[[#This Row],[ParentKey]],"0"),500,editsIdxTxt,editsParentKeyTxt,baseIdxTxt,baseCost)
)</f>
        <v>0</v>
      </c>
      <c r="AM127" s="511" cm="1">
        <f t="array" ref="AM127">1+SUMPRODUCT(
  (Contract_Edits[BaseFlag]=1)*
  (TEXT(Contract_Edits[ParentAnchor],"0")=TEXT(Contract_Edits[[#This Row],[ParentAnchor]],"0"))*
  (VALUE(TEXT(Contract_Edits[Index],"0"))&lt;VALUE(TEXT(Contract_Edits[[#This Row],[Index]],"0")))
)</f>
        <v>1</v>
      </c>
      <c r="AN127" s="511"/>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9">
        <v>151</v>
      </c>
      <c r="M128" s="449"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88"/>
      <c r="R128" s="516"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8" s="179">
        <v>0</v>
      </c>
      <c r="T128" s="477"/>
      <c r="U128" s="500"/>
      <c r="V128" s="193"/>
      <c r="W128" s="22" t="s">
        <v>436</v>
      </c>
      <c r="X128" s="492"/>
      <c r="Y128" s="492"/>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11">
        <f>--(
  ISNUMBER(SEARCH("BASE PARENT", UPPER(CLEAN(TRIM(_xlfn.XLOOKUP(TEXT(Contract_Edits[[#This Row],[Index]],"0"), baseIdxTxt, baseCost, "")))))) +
  ISNUMBER(SEARCH("DEPENDENCY GROUP", UPPER(CLEAN(TRIM(_xlfn.XLOOKUP(TEXT(Contract_Edits[[#This Row],[Index]],"0"), baseIdxTxt, baseCost, ""))))))
)</f>
        <v>0</v>
      </c>
      <c r="AG128" s="511" t="str" cm="1">
        <f t="array" ref="AG128">IF(Contract_Edits[[#This Row],[BaseFlag]]=1,
   10*BaseDepthL(TEXT(Contract_Edits[[#This Row],[Index]],"0"),500,editsIdxTxt,editsParentKeyTxt,baseIdxTxt,baseCost)-5,
   ""
)</f>
        <v/>
      </c>
      <c r="AH128" s="511"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11" t="str">
        <f>IF(Contract_Edits[[#This Row],[Dep]]=0,"Root",
   IF(ISNUMBER(MATCH(Contract_Edits[[#This Row],[Dep]],Contract_Edits[Index],0)),"OK","Missing")
)</f>
        <v>Root</v>
      </c>
      <c r="AJ128" s="511" t="e">
        <f>IF(AND(Contract_Edits[[#This Row],[Dep]]&lt;&gt;0,
        ISNUMBER(MATCH(Contract_Edits[[#This Row],[Dep]], Contract_Edits[Index], 0)),
        INDEX(Contract_Edits[Dep], MATCH(Contract_Edits[[#This Row],[Dep]], Contract_Edits[Index], 0))=Contract_Edits[[#This Row],[Index]]),
   "2-cycle","")</f>
        <v>#N/A</v>
      </c>
      <c r="AK128" s="511" cm="1">
        <f t="array" ref="AK128">IF(Contract_Edits[[#This Row],[BaseFlag]]&lt;&gt;1,0,
   IF(TEXT(Contract_Edits[[#This Row],[Dep]],"0")=TEXT(Contract_Edits[[#This Row],[Index]],"0"),
      0,
      MAX(0, SUMPRODUCT(--(Contract_Edits[BaseFlag]=1),
                        --(TEXT(Contract_Edits[Dep],"0")=TEXT(Contract_Edits[[#This Row],[Dep]],"0"))) - 1)
   )
)</f>
        <v>0</v>
      </c>
      <c r="AL128" s="511" t="str" cm="1">
        <f t="array" ref="AL128">IF(Contract_Edits[[#This Row],[BaseFlag]]=1,
   TEXT(Contract_Edits[[#This Row],[Index]],"0"),
   NearestBaseL(TEXT(Contract_Edits[[#This Row],[ParentKey]],"0"),500,editsIdxTxt,editsParentKeyTxt,baseIdxTxt,baseCost)
)</f>
        <v>0</v>
      </c>
      <c r="AM128" s="511" cm="1">
        <f t="array" ref="AM128">1+SUMPRODUCT(
  (Contract_Edits[BaseFlag]=1)*
  (TEXT(Contract_Edits[ParentAnchor],"0")=TEXT(Contract_Edits[[#This Row],[ParentAnchor]],"0"))*
  (VALUE(TEXT(Contract_Edits[Index],"0"))&lt;VALUE(TEXT(Contract_Edits[[#This Row],[Index]],"0")))
)</f>
        <v>1</v>
      </c>
      <c r="AN128" s="511"/>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9">
        <v>101</v>
      </c>
      <c r="M129" s="449"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76"/>
      <c r="R129" s="516"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29" s="179">
        <v>0</v>
      </c>
      <c r="T129" s="179">
        <v>0</v>
      </c>
      <c r="U129" s="11"/>
      <c r="V129"/>
      <c r="W129" s="22" t="s">
        <v>436</v>
      </c>
      <c r="X129" s="22" t="s">
        <v>682</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11">
        <f>--(
  ISNUMBER(SEARCH("BASE PARENT", UPPER(CLEAN(TRIM(_xlfn.XLOOKUP(TEXT(Contract_Edits[[#This Row],[Index]],"0"), baseIdxTxt, baseCost, "")))))) +
  ISNUMBER(SEARCH("DEPENDENCY GROUP", UPPER(CLEAN(TRIM(_xlfn.XLOOKUP(TEXT(Contract_Edits[[#This Row],[Index]],"0"), baseIdxTxt, baseCost, ""))))))
)</f>
        <v>0</v>
      </c>
      <c r="AG129" s="511" t="str" cm="1">
        <f t="array" ref="AG129">IF(Contract_Edits[[#This Row],[BaseFlag]]=1,
   10*BaseDepthL(TEXT(Contract_Edits[[#This Row],[Index]],"0"),500,editsIdxTxt,editsParentKeyTxt,baseIdxTxt,baseCost)-5,
   ""
)</f>
        <v/>
      </c>
      <c r="AH129" s="511"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11" t="str">
        <f>IF(Contract_Edits[[#This Row],[Dep]]=0,"Root",
   IF(ISNUMBER(MATCH(Contract_Edits[[#This Row],[Dep]],Contract_Edits[Index],0)),"OK","Missing")
)</f>
        <v>Root</v>
      </c>
      <c r="AJ129" s="511" t="e">
        <f>IF(AND(Contract_Edits[[#This Row],[Dep]]&lt;&gt;0,
        ISNUMBER(MATCH(Contract_Edits[[#This Row],[Dep]], Contract_Edits[Index], 0)),
        INDEX(Contract_Edits[Dep], MATCH(Contract_Edits[[#This Row],[Dep]], Contract_Edits[Index], 0))=Contract_Edits[[#This Row],[Index]]),
   "2-cycle","")</f>
        <v>#N/A</v>
      </c>
      <c r="AK129" s="511" cm="1">
        <f t="array" ref="AK129">IF(Contract_Edits[[#This Row],[BaseFlag]]&lt;&gt;1,0,
   IF(TEXT(Contract_Edits[[#This Row],[Dep]],"0")=TEXT(Contract_Edits[[#This Row],[Index]],"0"),
      0,
      MAX(0, SUMPRODUCT(--(Contract_Edits[BaseFlag]=1),
                        --(TEXT(Contract_Edits[Dep],"0")=TEXT(Contract_Edits[[#This Row],[Dep]],"0"))) - 1)
   )
)</f>
        <v>0</v>
      </c>
      <c r="AL129" s="511" t="str" cm="1">
        <f t="array" ref="AL129">IF(Contract_Edits[[#This Row],[BaseFlag]]=1,
   TEXT(Contract_Edits[[#This Row],[Index]],"0"),
   NearestBaseL(TEXT(Contract_Edits[[#This Row],[ParentKey]],"0"),500,editsIdxTxt,editsParentKeyTxt,baseIdxTxt,baseCost)
)</f>
        <v>0</v>
      </c>
      <c r="AM129" s="511" cm="1">
        <f t="array" ref="AM129">1+SUMPRODUCT(
  (Contract_Edits[BaseFlag]=1)*
  (TEXT(Contract_Edits[ParentAnchor],"0")=TEXT(Contract_Edits[[#This Row],[ParentAnchor]],"0"))*
  (VALUE(TEXT(Contract_Edits[Index],"0"))&lt;VALUE(TEXT(Contract_Edits[[#This Row],[Index]],"0")))
)</f>
        <v>1</v>
      </c>
      <c r="AN129" s="511"/>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9">
        <v>137</v>
      </c>
      <c r="M130" s="449"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76"/>
      <c r="R130" s="516"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0" s="179">
        <v>0</v>
      </c>
      <c r="T130" s="179">
        <v>0</v>
      </c>
      <c r="U130" s="11"/>
      <c r="V130"/>
      <c r="W130" s="22" t="s">
        <v>436</v>
      </c>
      <c r="X130" s="22" t="s">
        <v>682</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11">
        <f>--(
  ISNUMBER(SEARCH("BASE PARENT", UPPER(CLEAN(TRIM(_xlfn.XLOOKUP(TEXT(Contract_Edits[[#This Row],[Index]],"0"), baseIdxTxt, baseCost, "")))))) +
  ISNUMBER(SEARCH("DEPENDENCY GROUP", UPPER(CLEAN(TRIM(_xlfn.XLOOKUP(TEXT(Contract_Edits[[#This Row],[Index]],"0"), baseIdxTxt, baseCost, ""))))))
)</f>
        <v>0</v>
      </c>
      <c r="AG130" s="511" t="str" cm="1">
        <f t="array" ref="AG130">IF(Contract_Edits[[#This Row],[BaseFlag]]=1,
   10*BaseDepthL(TEXT(Contract_Edits[[#This Row],[Index]],"0"),500,editsIdxTxt,editsParentKeyTxt,baseIdxTxt,baseCost)-5,
   ""
)</f>
        <v/>
      </c>
      <c r="AH130" s="511"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11" t="str">
        <f>IF(Contract_Edits[[#This Row],[Dep]]=0,"Root",
   IF(ISNUMBER(MATCH(Contract_Edits[[#This Row],[Dep]],Contract_Edits[Index],0)),"OK","Missing")
)</f>
        <v>Root</v>
      </c>
      <c r="AJ130" s="511" t="e">
        <f>IF(AND(Contract_Edits[[#This Row],[Dep]]&lt;&gt;0,
        ISNUMBER(MATCH(Contract_Edits[[#This Row],[Dep]], Contract_Edits[Index], 0)),
        INDEX(Contract_Edits[Dep], MATCH(Contract_Edits[[#This Row],[Dep]], Contract_Edits[Index], 0))=Contract_Edits[[#This Row],[Index]]),
   "2-cycle","")</f>
        <v>#N/A</v>
      </c>
      <c r="AK130" s="511" cm="1">
        <f t="array" ref="AK130">IF(Contract_Edits[[#This Row],[BaseFlag]]&lt;&gt;1,0,
   IF(TEXT(Contract_Edits[[#This Row],[Dep]],"0")=TEXT(Contract_Edits[[#This Row],[Index]],"0"),
      0,
      MAX(0, SUMPRODUCT(--(Contract_Edits[BaseFlag]=1),
                        --(TEXT(Contract_Edits[Dep],"0")=TEXT(Contract_Edits[[#This Row],[Dep]],"0"))) - 1)
   )
)</f>
        <v>0</v>
      </c>
      <c r="AL130" s="511" t="str" cm="1">
        <f t="array" ref="AL130">IF(Contract_Edits[[#This Row],[BaseFlag]]=1,
   TEXT(Contract_Edits[[#This Row],[Index]],"0"),
   NearestBaseL(TEXT(Contract_Edits[[#This Row],[ParentKey]],"0"),500,editsIdxTxt,editsParentKeyTxt,baseIdxTxt,baseCost)
)</f>
        <v>0</v>
      </c>
      <c r="AM130" s="511" cm="1">
        <f t="array" ref="AM130">1+SUMPRODUCT(
  (Contract_Edits[BaseFlag]=1)*
  (TEXT(Contract_Edits[ParentAnchor],"0")=TEXT(Contract_Edits[[#This Row],[ParentAnchor]],"0"))*
  (VALUE(TEXT(Contract_Edits[Index],"0"))&lt;VALUE(TEXT(Contract_Edits[[#This Row],[Index]],"0")))
)</f>
        <v>1</v>
      </c>
      <c r="AN130" s="511"/>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9">
        <v>148</v>
      </c>
      <c r="M131" s="449"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76"/>
      <c r="R131" s="516"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1" s="179">
        <v>0</v>
      </c>
      <c r="T131" s="179">
        <v>0</v>
      </c>
      <c r="U131" s="11"/>
      <c r="V131"/>
      <c r="W131" s="22" t="s">
        <v>436</v>
      </c>
      <c r="X131" s="22" t="s">
        <v>682</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11">
        <f>--(
  ISNUMBER(SEARCH("BASE PARENT", UPPER(CLEAN(TRIM(_xlfn.XLOOKUP(TEXT(Contract_Edits[[#This Row],[Index]],"0"), baseIdxTxt, baseCost, "")))))) +
  ISNUMBER(SEARCH("DEPENDENCY GROUP", UPPER(CLEAN(TRIM(_xlfn.XLOOKUP(TEXT(Contract_Edits[[#This Row],[Index]],"0"), baseIdxTxt, baseCost, ""))))))
)</f>
        <v>0</v>
      </c>
      <c r="AG131" s="511" t="str" cm="1">
        <f t="array" ref="AG131">IF(Contract_Edits[[#This Row],[BaseFlag]]=1,
   10*BaseDepthL(TEXT(Contract_Edits[[#This Row],[Index]],"0"),500,editsIdxTxt,editsParentKeyTxt,baseIdxTxt,baseCost)-5,
   ""
)</f>
        <v/>
      </c>
      <c r="AH131" s="511"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11" t="str">
        <f>IF(Contract_Edits[[#This Row],[Dep]]=0,"Root",
   IF(ISNUMBER(MATCH(Contract_Edits[[#This Row],[Dep]],Contract_Edits[Index],0)),"OK","Missing")
)</f>
        <v>Root</v>
      </c>
      <c r="AJ131" s="511" t="e">
        <f>IF(AND(Contract_Edits[[#This Row],[Dep]]&lt;&gt;0,
        ISNUMBER(MATCH(Contract_Edits[[#This Row],[Dep]], Contract_Edits[Index], 0)),
        INDEX(Contract_Edits[Dep], MATCH(Contract_Edits[[#This Row],[Dep]], Contract_Edits[Index], 0))=Contract_Edits[[#This Row],[Index]]),
   "2-cycle","")</f>
        <v>#N/A</v>
      </c>
      <c r="AK131" s="511" cm="1">
        <f t="array" ref="AK131">IF(Contract_Edits[[#This Row],[BaseFlag]]&lt;&gt;1,0,
   IF(TEXT(Contract_Edits[[#This Row],[Dep]],"0")=TEXT(Contract_Edits[[#This Row],[Index]],"0"),
      0,
      MAX(0, SUMPRODUCT(--(Contract_Edits[BaseFlag]=1),
                        --(TEXT(Contract_Edits[Dep],"0")=TEXT(Contract_Edits[[#This Row],[Dep]],"0"))) - 1)
   )
)</f>
        <v>0</v>
      </c>
      <c r="AL131" s="511" t="str" cm="1">
        <f t="array" ref="AL131">IF(Contract_Edits[[#This Row],[BaseFlag]]=1,
   TEXT(Contract_Edits[[#This Row],[Index]],"0"),
   NearestBaseL(TEXT(Contract_Edits[[#This Row],[ParentKey]],"0"),500,editsIdxTxt,editsParentKeyTxt,baseIdxTxt,baseCost)
)</f>
        <v>0</v>
      </c>
      <c r="AM131" s="511" cm="1">
        <f t="array" ref="AM131">1+SUMPRODUCT(
  (Contract_Edits[BaseFlag]=1)*
  (TEXT(Contract_Edits[ParentAnchor],"0")=TEXT(Contract_Edits[[#This Row],[ParentAnchor]],"0"))*
  (VALUE(TEXT(Contract_Edits[Index],"0"))&lt;VALUE(TEXT(Contract_Edits[[#This Row],[Index]],"0")))
)</f>
        <v>1</v>
      </c>
      <c r="AN131" s="511"/>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9">
        <v>128</v>
      </c>
      <c r="M132" s="449"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88"/>
      <c r="R132" s="516"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2" s="179">
        <v>0</v>
      </c>
      <c r="T132" s="477"/>
      <c r="U132" s="500"/>
      <c r="V132" s="193"/>
      <c r="W132" s="22" t="s">
        <v>436</v>
      </c>
      <c r="X132" s="492" t="s">
        <v>682</v>
      </c>
      <c r="Y132" s="492"/>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11">
        <f>--(
  ISNUMBER(SEARCH("BASE PARENT", UPPER(CLEAN(TRIM(_xlfn.XLOOKUP(TEXT(Contract_Edits[[#This Row],[Index]],"0"), baseIdxTxt, baseCost, "")))))) +
  ISNUMBER(SEARCH("DEPENDENCY GROUP", UPPER(CLEAN(TRIM(_xlfn.XLOOKUP(TEXT(Contract_Edits[[#This Row],[Index]],"0"), baseIdxTxt, baseCost, ""))))))
)</f>
        <v>0</v>
      </c>
      <c r="AG132" s="511" t="str" cm="1">
        <f t="array" ref="AG132">IF(Contract_Edits[[#This Row],[BaseFlag]]=1,
   10*BaseDepthL(TEXT(Contract_Edits[[#This Row],[Index]],"0"),500,editsIdxTxt,editsParentKeyTxt,baseIdxTxt,baseCost)-5,
   ""
)</f>
        <v/>
      </c>
      <c r="AH132" s="511"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11" t="str">
        <f>IF(Contract_Edits[[#This Row],[Dep]]=0,"Root",
   IF(ISNUMBER(MATCH(Contract_Edits[[#This Row],[Dep]],Contract_Edits[Index],0)),"OK","Missing")
)</f>
        <v>Root</v>
      </c>
      <c r="AJ132" s="511" t="e">
        <f>IF(AND(Contract_Edits[[#This Row],[Dep]]&lt;&gt;0,
        ISNUMBER(MATCH(Contract_Edits[[#This Row],[Dep]], Contract_Edits[Index], 0)),
        INDEX(Contract_Edits[Dep], MATCH(Contract_Edits[[#This Row],[Dep]], Contract_Edits[Index], 0))=Contract_Edits[[#This Row],[Index]]),
   "2-cycle","")</f>
        <v>#N/A</v>
      </c>
      <c r="AK132" s="511" cm="1">
        <f t="array" ref="AK132">IF(Contract_Edits[[#This Row],[BaseFlag]]&lt;&gt;1,0,
   IF(TEXT(Contract_Edits[[#This Row],[Dep]],"0")=TEXT(Contract_Edits[[#This Row],[Index]],"0"),
      0,
      MAX(0, SUMPRODUCT(--(Contract_Edits[BaseFlag]=1),
                        --(TEXT(Contract_Edits[Dep],"0")=TEXT(Contract_Edits[[#This Row],[Dep]],"0"))) - 1)
   )
)</f>
        <v>0</v>
      </c>
      <c r="AL132" s="511" t="str" cm="1">
        <f t="array" ref="AL132">IF(Contract_Edits[[#This Row],[BaseFlag]]=1,
   TEXT(Contract_Edits[[#This Row],[Index]],"0"),
   NearestBaseL(TEXT(Contract_Edits[[#This Row],[ParentKey]],"0"),500,editsIdxTxt,editsParentKeyTxt,baseIdxTxt,baseCost)
)</f>
        <v>0</v>
      </c>
      <c r="AM132" s="511" cm="1">
        <f t="array" ref="AM132">1+SUMPRODUCT(
  (Contract_Edits[BaseFlag]=1)*
  (TEXT(Contract_Edits[ParentAnchor],"0")=TEXT(Contract_Edits[[#This Row],[ParentAnchor]],"0"))*
  (VALUE(TEXT(Contract_Edits[Index],"0"))&lt;VALUE(TEXT(Contract_Edits[[#This Row],[Index]],"0")))
)</f>
        <v>1</v>
      </c>
      <c r="AN132" s="511"/>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12">
        <v>152</v>
      </c>
      <c r="M133" s="449"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88"/>
      <c r="R133" s="516"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3" s="179">
        <v>0</v>
      </c>
      <c r="T133" s="477"/>
      <c r="U133" s="500"/>
      <c r="V133" s="193"/>
      <c r="W133" s="22" t="s">
        <v>436</v>
      </c>
      <c r="Y133" s="492"/>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11">
        <f>--(
  ISNUMBER(SEARCH("BASE PARENT", UPPER(CLEAN(TRIM(_xlfn.XLOOKUP(TEXT(Contract_Edits[[#This Row],[Index]],"0"), baseIdxTxt, baseCost, "")))))) +
  ISNUMBER(SEARCH("DEPENDENCY GROUP", UPPER(CLEAN(TRIM(_xlfn.XLOOKUP(TEXT(Contract_Edits[[#This Row],[Index]],"0"), baseIdxTxt, baseCost, ""))))))
)</f>
        <v>0</v>
      </c>
      <c r="AG133" s="511" t="str" cm="1">
        <f t="array" ref="AG133">IF(Contract_Edits[[#This Row],[BaseFlag]]=1,
   10*BaseDepthL(TEXT(Contract_Edits[[#This Row],[Index]],"0"),500,editsIdxTxt,editsParentKeyTxt,baseIdxTxt,baseCost)-5,
   ""
)</f>
        <v/>
      </c>
      <c r="AH133" s="511"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11" t="str">
        <f>IF(Contract_Edits[[#This Row],[Dep]]=0,"Root",
   IF(ISNUMBER(MATCH(Contract_Edits[[#This Row],[Dep]],Contract_Edits[Index],0)),"OK","Missing")
)</f>
        <v>Root</v>
      </c>
      <c r="AJ133" s="511" t="e">
        <f>IF(AND(Contract_Edits[[#This Row],[Dep]]&lt;&gt;0,
        ISNUMBER(MATCH(Contract_Edits[[#This Row],[Dep]], Contract_Edits[Index], 0)),
        INDEX(Contract_Edits[Dep], MATCH(Contract_Edits[[#This Row],[Dep]], Contract_Edits[Index], 0))=Contract_Edits[[#This Row],[Index]]),
   "2-cycle","")</f>
        <v>#N/A</v>
      </c>
      <c r="AK133" s="511" cm="1">
        <f t="array" ref="AK133">IF(Contract_Edits[[#This Row],[BaseFlag]]&lt;&gt;1,0,
   IF(TEXT(Contract_Edits[[#This Row],[Dep]],"0")=TEXT(Contract_Edits[[#This Row],[Index]],"0"),
      0,
      MAX(0, SUMPRODUCT(--(Contract_Edits[BaseFlag]=1),
                        --(TEXT(Contract_Edits[Dep],"0")=TEXT(Contract_Edits[[#This Row],[Dep]],"0"))) - 1)
   )
)</f>
        <v>0</v>
      </c>
      <c r="AL133" s="511" t="str" cm="1">
        <f t="array" ref="AL133">IF(Contract_Edits[[#This Row],[BaseFlag]]=1,
   TEXT(Contract_Edits[[#This Row],[Index]],"0"),
   NearestBaseL(TEXT(Contract_Edits[[#This Row],[ParentKey]],"0"),500,editsIdxTxt,editsParentKeyTxt,baseIdxTxt,baseCost)
)</f>
        <v>0</v>
      </c>
      <c r="AM133" s="511" cm="1">
        <f t="array" ref="AM133">1+SUMPRODUCT(
  (Contract_Edits[BaseFlag]=1)*
  (TEXT(Contract_Edits[ParentAnchor],"0")=TEXT(Contract_Edits[[#This Row],[ParentAnchor]],"0"))*
  (VALUE(TEXT(Contract_Edits[Index],"0"))&lt;VALUE(TEXT(Contract_Edits[[#This Row],[Index]],"0")))
)</f>
        <v>1</v>
      </c>
      <c r="AN133" s="511"/>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9">
        <v>153</v>
      </c>
      <c r="M134" s="449"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88"/>
      <c r="R134" s="516"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4" s="179">
        <v>0</v>
      </c>
      <c r="T134" s="477"/>
      <c r="U134" s="500"/>
      <c r="V134" s="193"/>
      <c r="W134" s="22" t="s">
        <v>436</v>
      </c>
      <c r="Y134" s="492"/>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11">
        <f>--(
  ISNUMBER(SEARCH("BASE PARENT", UPPER(CLEAN(TRIM(_xlfn.XLOOKUP(TEXT(Contract_Edits[[#This Row],[Index]],"0"), baseIdxTxt, baseCost, "")))))) +
  ISNUMBER(SEARCH("DEPENDENCY GROUP", UPPER(CLEAN(TRIM(_xlfn.XLOOKUP(TEXT(Contract_Edits[[#This Row],[Index]],"0"), baseIdxTxt, baseCost, ""))))))
)</f>
        <v>0</v>
      </c>
      <c r="AG134" s="511" t="str" cm="1">
        <f t="array" ref="AG134">IF(Contract_Edits[[#This Row],[BaseFlag]]=1,
   10*BaseDepthL(TEXT(Contract_Edits[[#This Row],[Index]],"0"),500,editsIdxTxt,editsParentKeyTxt,baseIdxTxt,baseCost)-5,
   ""
)</f>
        <v/>
      </c>
      <c r="AH134" s="511"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11" t="str">
        <f>IF(Contract_Edits[[#This Row],[Dep]]=0,"Root",
   IF(ISNUMBER(MATCH(Contract_Edits[[#This Row],[Dep]],Contract_Edits[Index],0)),"OK","Missing")
)</f>
        <v>Root</v>
      </c>
      <c r="AJ134" s="511" t="e">
        <f>IF(AND(Contract_Edits[[#This Row],[Dep]]&lt;&gt;0,
        ISNUMBER(MATCH(Contract_Edits[[#This Row],[Dep]], Contract_Edits[Index], 0)),
        INDEX(Contract_Edits[Dep], MATCH(Contract_Edits[[#This Row],[Dep]], Contract_Edits[Index], 0))=Contract_Edits[[#This Row],[Index]]),
   "2-cycle","")</f>
        <v>#N/A</v>
      </c>
      <c r="AK134" s="511" cm="1">
        <f t="array" ref="AK134">IF(Contract_Edits[[#This Row],[BaseFlag]]&lt;&gt;1,0,
   IF(TEXT(Contract_Edits[[#This Row],[Dep]],"0")=TEXT(Contract_Edits[[#This Row],[Index]],"0"),
      0,
      MAX(0, SUMPRODUCT(--(Contract_Edits[BaseFlag]=1),
                        --(TEXT(Contract_Edits[Dep],"0")=TEXT(Contract_Edits[[#This Row],[Dep]],"0"))) - 1)
   )
)</f>
        <v>0</v>
      </c>
      <c r="AL134" s="511" t="str" cm="1">
        <f t="array" ref="AL134">IF(Contract_Edits[[#This Row],[BaseFlag]]=1,
   TEXT(Contract_Edits[[#This Row],[Index]],"0"),
   NearestBaseL(TEXT(Contract_Edits[[#This Row],[ParentKey]],"0"),500,editsIdxTxt,editsParentKeyTxt,baseIdxTxt,baseCost)
)</f>
        <v>0</v>
      </c>
      <c r="AM134" s="511" cm="1">
        <f t="array" ref="AM134">1+SUMPRODUCT(
  (Contract_Edits[BaseFlag]=1)*
  (TEXT(Contract_Edits[ParentAnchor],"0")=TEXT(Contract_Edits[[#This Row],[ParentAnchor]],"0"))*
  (VALUE(TEXT(Contract_Edits[Index],"0"))&lt;VALUE(TEXT(Contract_Edits[[#This Row],[Index]],"0")))
)</f>
        <v>1</v>
      </c>
      <c r="AN134" s="511"/>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9">
        <v>129</v>
      </c>
      <c r="M135" s="449"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76"/>
      <c r="R135" s="516"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5" s="179">
        <v>0</v>
      </c>
      <c r="T135" s="179">
        <v>0</v>
      </c>
      <c r="U135" s="11"/>
      <c r="V135"/>
      <c r="W135" s="22" t="s">
        <v>436</v>
      </c>
      <c r="X135" s="22" t="s">
        <v>682</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11">
        <f>--(
  ISNUMBER(SEARCH("BASE PARENT", UPPER(CLEAN(TRIM(_xlfn.XLOOKUP(TEXT(Contract_Edits[[#This Row],[Index]],"0"), baseIdxTxt, baseCost, "")))))) +
  ISNUMBER(SEARCH("DEPENDENCY GROUP", UPPER(CLEAN(TRIM(_xlfn.XLOOKUP(TEXT(Contract_Edits[[#This Row],[Index]],"0"), baseIdxTxt, baseCost, ""))))))
)</f>
        <v>0</v>
      </c>
      <c r="AG135" s="511" t="str" cm="1">
        <f t="array" ref="AG135">IF(Contract_Edits[[#This Row],[BaseFlag]]=1,
   10*BaseDepthL(TEXT(Contract_Edits[[#This Row],[Index]],"0"),500,editsIdxTxt,editsParentKeyTxt,baseIdxTxt,baseCost)-5,
   ""
)</f>
        <v/>
      </c>
      <c r="AH135" s="511"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11" t="str">
        <f>IF(Contract_Edits[[#This Row],[Dep]]=0,"Root",
   IF(ISNUMBER(MATCH(Contract_Edits[[#This Row],[Dep]],Contract_Edits[Index],0)),"OK","Missing")
)</f>
        <v>Root</v>
      </c>
      <c r="AJ135" s="511" t="e">
        <f>IF(AND(Contract_Edits[[#This Row],[Dep]]&lt;&gt;0,
        ISNUMBER(MATCH(Contract_Edits[[#This Row],[Dep]], Contract_Edits[Index], 0)),
        INDEX(Contract_Edits[Dep], MATCH(Contract_Edits[[#This Row],[Dep]], Contract_Edits[Index], 0))=Contract_Edits[[#This Row],[Index]]),
   "2-cycle","")</f>
        <v>#N/A</v>
      </c>
      <c r="AK135" s="511" cm="1">
        <f t="array" ref="AK135">IF(Contract_Edits[[#This Row],[BaseFlag]]&lt;&gt;1,0,
   IF(TEXT(Contract_Edits[[#This Row],[Dep]],"0")=TEXT(Contract_Edits[[#This Row],[Index]],"0"),
      0,
      MAX(0, SUMPRODUCT(--(Contract_Edits[BaseFlag]=1),
                        --(TEXT(Contract_Edits[Dep],"0")=TEXT(Contract_Edits[[#This Row],[Dep]],"0"))) - 1)
   )
)</f>
        <v>0</v>
      </c>
      <c r="AL135" s="511" t="str" cm="1">
        <f t="array" ref="AL135">IF(Contract_Edits[[#This Row],[BaseFlag]]=1,
   TEXT(Contract_Edits[[#This Row],[Index]],"0"),
   NearestBaseL(TEXT(Contract_Edits[[#This Row],[ParentKey]],"0"),500,editsIdxTxt,editsParentKeyTxt,baseIdxTxt,baseCost)
)</f>
        <v>0</v>
      </c>
      <c r="AM135" s="511" cm="1">
        <f t="array" ref="AM135">1+SUMPRODUCT(
  (Contract_Edits[BaseFlag]=1)*
  (TEXT(Contract_Edits[ParentAnchor],"0")=TEXT(Contract_Edits[[#This Row],[ParentAnchor]],"0"))*
  (VALUE(TEXT(Contract_Edits[Index],"0"))&lt;VALUE(TEXT(Contract_Edits[[#This Row],[Index]],"0")))
)</f>
        <v>1</v>
      </c>
      <c r="AN135" s="511"/>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9">
        <v>154</v>
      </c>
      <c r="M136" s="449"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88"/>
      <c r="R136" s="516"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6" s="179">
        <v>0</v>
      </c>
      <c r="T136" s="477"/>
      <c r="U136" s="500"/>
      <c r="V136" s="193"/>
      <c r="W136" s="22" t="s">
        <v>436</v>
      </c>
      <c r="Y136" s="492"/>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11">
        <f>--(
  ISNUMBER(SEARCH("BASE PARENT", UPPER(CLEAN(TRIM(_xlfn.XLOOKUP(TEXT(Contract_Edits[[#This Row],[Index]],"0"), baseIdxTxt, baseCost, "")))))) +
  ISNUMBER(SEARCH("DEPENDENCY GROUP", UPPER(CLEAN(TRIM(_xlfn.XLOOKUP(TEXT(Contract_Edits[[#This Row],[Index]],"0"), baseIdxTxt, baseCost, ""))))))
)</f>
        <v>0</v>
      </c>
      <c r="AG136" s="511" t="str" cm="1">
        <f t="array" ref="AG136">IF(Contract_Edits[[#This Row],[BaseFlag]]=1,
   10*BaseDepthL(TEXT(Contract_Edits[[#This Row],[Index]],"0"),500,editsIdxTxt,editsParentKeyTxt,baseIdxTxt,baseCost)-5,
   ""
)</f>
        <v/>
      </c>
      <c r="AH136" s="511"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11" t="str">
        <f>IF(Contract_Edits[[#This Row],[Dep]]=0,"Root",
   IF(ISNUMBER(MATCH(Contract_Edits[[#This Row],[Dep]],Contract_Edits[Index],0)),"OK","Missing")
)</f>
        <v>Root</v>
      </c>
      <c r="AJ136" s="511" t="e">
        <f>IF(AND(Contract_Edits[[#This Row],[Dep]]&lt;&gt;0,
        ISNUMBER(MATCH(Contract_Edits[[#This Row],[Dep]], Contract_Edits[Index], 0)),
        INDEX(Contract_Edits[Dep], MATCH(Contract_Edits[[#This Row],[Dep]], Contract_Edits[Index], 0))=Contract_Edits[[#This Row],[Index]]),
   "2-cycle","")</f>
        <v>#N/A</v>
      </c>
      <c r="AK136" s="511" cm="1">
        <f t="array" ref="AK136">IF(Contract_Edits[[#This Row],[BaseFlag]]&lt;&gt;1,0,
   IF(TEXT(Contract_Edits[[#This Row],[Dep]],"0")=TEXT(Contract_Edits[[#This Row],[Index]],"0"),
      0,
      MAX(0, SUMPRODUCT(--(Contract_Edits[BaseFlag]=1),
                        --(TEXT(Contract_Edits[Dep],"0")=TEXT(Contract_Edits[[#This Row],[Dep]],"0"))) - 1)
   )
)</f>
        <v>0</v>
      </c>
      <c r="AL136" s="511" t="str" cm="1">
        <f t="array" ref="AL136">IF(Contract_Edits[[#This Row],[BaseFlag]]=1,
   TEXT(Contract_Edits[[#This Row],[Index]],"0"),
   NearestBaseL(TEXT(Contract_Edits[[#This Row],[ParentKey]],"0"),500,editsIdxTxt,editsParentKeyTxt,baseIdxTxt,baseCost)
)</f>
        <v>0</v>
      </c>
      <c r="AM136" s="511" cm="1">
        <f t="array" ref="AM136">1+SUMPRODUCT(
  (Contract_Edits[BaseFlag]=1)*
  (TEXT(Contract_Edits[ParentAnchor],"0")=TEXT(Contract_Edits[[#This Row],[ParentAnchor]],"0"))*
  (VALUE(TEXT(Contract_Edits[Index],"0"))&lt;VALUE(TEXT(Contract_Edits[[#This Row],[Index]],"0")))
)</f>
        <v>1</v>
      </c>
      <c r="AN136" s="511"/>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9">
        <v>107</v>
      </c>
      <c r="M137" s="449"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76"/>
      <c r="R137" s="516"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7" s="179">
        <v>0</v>
      </c>
      <c r="T137" s="179">
        <v>0</v>
      </c>
      <c r="U137" s="11"/>
      <c r="V137"/>
      <c r="W137" s="22" t="s">
        <v>436</v>
      </c>
      <c r="X137" s="22" t="s">
        <v>682</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11">
        <f>--(
  ISNUMBER(SEARCH("BASE PARENT", UPPER(CLEAN(TRIM(_xlfn.XLOOKUP(TEXT(Contract_Edits[[#This Row],[Index]],"0"), baseIdxTxt, baseCost, "")))))) +
  ISNUMBER(SEARCH("DEPENDENCY GROUP", UPPER(CLEAN(TRIM(_xlfn.XLOOKUP(TEXT(Contract_Edits[[#This Row],[Index]],"0"), baseIdxTxt, baseCost, ""))))))
)</f>
        <v>0</v>
      </c>
      <c r="AG137" s="511" t="str" cm="1">
        <f t="array" ref="AG137">IF(Contract_Edits[[#This Row],[BaseFlag]]=1,
   10*BaseDepthL(TEXT(Contract_Edits[[#This Row],[Index]],"0"),500,editsIdxTxt,editsParentKeyTxt,baseIdxTxt,baseCost)-5,
   ""
)</f>
        <v/>
      </c>
      <c r="AH137" s="511"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11" t="str">
        <f>IF(Contract_Edits[[#This Row],[Dep]]=0,"Root",
   IF(ISNUMBER(MATCH(Contract_Edits[[#This Row],[Dep]],Contract_Edits[Index],0)),"OK","Missing")
)</f>
        <v>Root</v>
      </c>
      <c r="AJ137" s="511" t="e">
        <f>IF(AND(Contract_Edits[[#This Row],[Dep]]&lt;&gt;0,
        ISNUMBER(MATCH(Contract_Edits[[#This Row],[Dep]], Contract_Edits[Index], 0)),
        INDEX(Contract_Edits[Dep], MATCH(Contract_Edits[[#This Row],[Dep]], Contract_Edits[Index], 0))=Contract_Edits[[#This Row],[Index]]),
   "2-cycle","")</f>
        <v>#N/A</v>
      </c>
      <c r="AK137" s="511" cm="1">
        <f t="array" ref="AK137">IF(Contract_Edits[[#This Row],[BaseFlag]]&lt;&gt;1,0,
   IF(TEXT(Contract_Edits[[#This Row],[Dep]],"0")=TEXT(Contract_Edits[[#This Row],[Index]],"0"),
      0,
      MAX(0, SUMPRODUCT(--(Contract_Edits[BaseFlag]=1),
                        --(TEXT(Contract_Edits[Dep],"0")=TEXT(Contract_Edits[[#This Row],[Dep]],"0"))) - 1)
   )
)</f>
        <v>0</v>
      </c>
      <c r="AL137" s="511" t="str" cm="1">
        <f t="array" ref="AL137">IF(Contract_Edits[[#This Row],[BaseFlag]]=1,
   TEXT(Contract_Edits[[#This Row],[Index]],"0"),
   NearestBaseL(TEXT(Contract_Edits[[#This Row],[ParentKey]],"0"),500,editsIdxTxt,editsParentKeyTxt,baseIdxTxt,baseCost)
)</f>
        <v>0</v>
      </c>
      <c r="AM137" s="511" cm="1">
        <f t="array" ref="AM137">1+SUMPRODUCT(
  (Contract_Edits[BaseFlag]=1)*
  (TEXT(Contract_Edits[ParentAnchor],"0")=TEXT(Contract_Edits[[#This Row],[ParentAnchor]],"0"))*
  (VALUE(TEXT(Contract_Edits[Index],"0"))&lt;VALUE(TEXT(Contract_Edits[[#This Row],[Index]],"0")))
)</f>
        <v>1</v>
      </c>
      <c r="AN137" s="511"/>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9">
        <v>130</v>
      </c>
      <c r="M138" s="449"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76"/>
      <c r="R138" s="516"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8" s="179">
        <v>0</v>
      </c>
      <c r="T138" s="179">
        <v>0</v>
      </c>
      <c r="U138" s="11"/>
      <c r="V138"/>
      <c r="W138" s="22" t="s">
        <v>436</v>
      </c>
      <c r="X138" s="22" t="s">
        <v>682</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11">
        <f>--(
  ISNUMBER(SEARCH("BASE PARENT", UPPER(CLEAN(TRIM(_xlfn.XLOOKUP(TEXT(Contract_Edits[[#This Row],[Index]],"0"), baseIdxTxt, baseCost, "")))))) +
  ISNUMBER(SEARCH("DEPENDENCY GROUP", UPPER(CLEAN(TRIM(_xlfn.XLOOKUP(TEXT(Contract_Edits[[#This Row],[Index]],"0"), baseIdxTxt, baseCost, ""))))))
)</f>
        <v>0</v>
      </c>
      <c r="AG138" s="511" t="str" cm="1">
        <f t="array" ref="AG138">IF(Contract_Edits[[#This Row],[BaseFlag]]=1,
   10*BaseDepthL(TEXT(Contract_Edits[[#This Row],[Index]],"0"),500,editsIdxTxt,editsParentKeyTxt,baseIdxTxt,baseCost)-5,
   ""
)</f>
        <v/>
      </c>
      <c r="AH138" s="511"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11" t="str">
        <f>IF(Contract_Edits[[#This Row],[Dep]]=0,"Root",
   IF(ISNUMBER(MATCH(Contract_Edits[[#This Row],[Dep]],Contract_Edits[Index],0)),"OK","Missing")
)</f>
        <v>Root</v>
      </c>
      <c r="AJ138" s="511" t="e">
        <f>IF(AND(Contract_Edits[[#This Row],[Dep]]&lt;&gt;0,
        ISNUMBER(MATCH(Contract_Edits[[#This Row],[Dep]], Contract_Edits[Index], 0)),
        INDEX(Contract_Edits[Dep], MATCH(Contract_Edits[[#This Row],[Dep]], Contract_Edits[Index], 0))=Contract_Edits[[#This Row],[Index]]),
   "2-cycle","")</f>
        <v>#N/A</v>
      </c>
      <c r="AK138" s="511" cm="1">
        <f t="array" ref="AK138">IF(Contract_Edits[[#This Row],[BaseFlag]]&lt;&gt;1,0,
   IF(TEXT(Contract_Edits[[#This Row],[Dep]],"0")=TEXT(Contract_Edits[[#This Row],[Index]],"0"),
      0,
      MAX(0, SUMPRODUCT(--(Contract_Edits[BaseFlag]=1),
                        --(TEXT(Contract_Edits[Dep],"0")=TEXT(Contract_Edits[[#This Row],[Dep]],"0"))) - 1)
   )
)</f>
        <v>0</v>
      </c>
      <c r="AL138" s="511" t="str" cm="1">
        <f t="array" ref="AL138">IF(Contract_Edits[[#This Row],[BaseFlag]]=1,
   TEXT(Contract_Edits[[#This Row],[Index]],"0"),
   NearestBaseL(TEXT(Contract_Edits[[#This Row],[ParentKey]],"0"),500,editsIdxTxt,editsParentKeyTxt,baseIdxTxt,baseCost)
)</f>
        <v>0</v>
      </c>
      <c r="AM138" s="511" cm="1">
        <f t="array" ref="AM138">1+SUMPRODUCT(
  (Contract_Edits[BaseFlag]=1)*
  (TEXT(Contract_Edits[ParentAnchor],"0")=TEXT(Contract_Edits[[#This Row],[ParentAnchor]],"0"))*
  (VALUE(TEXT(Contract_Edits[Index],"0"))&lt;VALUE(TEXT(Contract_Edits[[#This Row],[Index]],"0")))
)</f>
        <v>1</v>
      </c>
      <c r="AN138" s="511"/>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9">
        <v>109</v>
      </c>
      <c r="M139" s="449"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76"/>
      <c r="R139" s="516"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39" s="179">
        <v>0</v>
      </c>
      <c r="T139" s="179">
        <v>0</v>
      </c>
      <c r="U139" s="11"/>
      <c r="V139"/>
      <c r="W139" s="22" t="s">
        <v>436</v>
      </c>
      <c r="X139" s="22" t="s">
        <v>682</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11">
        <f>--(
  ISNUMBER(SEARCH("BASE PARENT", UPPER(CLEAN(TRIM(_xlfn.XLOOKUP(TEXT(Contract_Edits[[#This Row],[Index]],"0"), baseIdxTxt, baseCost, "")))))) +
  ISNUMBER(SEARCH("DEPENDENCY GROUP", UPPER(CLEAN(TRIM(_xlfn.XLOOKUP(TEXT(Contract_Edits[[#This Row],[Index]],"0"), baseIdxTxt, baseCost, ""))))))
)</f>
        <v>0</v>
      </c>
      <c r="AG139" s="511" t="str" cm="1">
        <f t="array" ref="AG139">IF(Contract_Edits[[#This Row],[BaseFlag]]=1,
   10*BaseDepthL(TEXT(Contract_Edits[[#This Row],[Index]],"0"),500,editsIdxTxt,editsParentKeyTxt,baseIdxTxt,baseCost)-5,
   ""
)</f>
        <v/>
      </c>
      <c r="AH139" s="511"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11" t="str">
        <f>IF(Contract_Edits[[#This Row],[Dep]]=0,"Root",
   IF(ISNUMBER(MATCH(Contract_Edits[[#This Row],[Dep]],Contract_Edits[Index],0)),"OK","Missing")
)</f>
        <v>Root</v>
      </c>
      <c r="AJ139" s="511" t="e">
        <f>IF(AND(Contract_Edits[[#This Row],[Dep]]&lt;&gt;0,
        ISNUMBER(MATCH(Contract_Edits[[#This Row],[Dep]], Contract_Edits[Index], 0)),
        INDEX(Contract_Edits[Dep], MATCH(Contract_Edits[[#This Row],[Dep]], Contract_Edits[Index], 0))=Contract_Edits[[#This Row],[Index]]),
   "2-cycle","")</f>
        <v>#N/A</v>
      </c>
      <c r="AK139" s="511" cm="1">
        <f t="array" ref="AK139">IF(Contract_Edits[[#This Row],[BaseFlag]]&lt;&gt;1,0,
   IF(TEXT(Contract_Edits[[#This Row],[Dep]],"0")=TEXT(Contract_Edits[[#This Row],[Index]],"0"),
      0,
      MAX(0, SUMPRODUCT(--(Contract_Edits[BaseFlag]=1),
                        --(TEXT(Contract_Edits[Dep],"0")=TEXT(Contract_Edits[[#This Row],[Dep]],"0"))) - 1)
   )
)</f>
        <v>0</v>
      </c>
      <c r="AL139" s="511" t="str" cm="1">
        <f t="array" ref="AL139">IF(Contract_Edits[[#This Row],[BaseFlag]]=1,
   TEXT(Contract_Edits[[#This Row],[Index]],"0"),
   NearestBaseL(TEXT(Contract_Edits[[#This Row],[ParentKey]],"0"),500,editsIdxTxt,editsParentKeyTxt,baseIdxTxt,baseCost)
)</f>
        <v>0</v>
      </c>
      <c r="AM139" s="511" cm="1">
        <f t="array" ref="AM139">1+SUMPRODUCT(
  (Contract_Edits[BaseFlag]=1)*
  (TEXT(Contract_Edits[ParentAnchor],"0")=TEXT(Contract_Edits[[#This Row],[ParentAnchor]],"0"))*
  (VALUE(TEXT(Contract_Edits[Index],"0"))&lt;VALUE(TEXT(Contract_Edits[[#This Row],[Index]],"0")))
)</f>
        <v>1</v>
      </c>
      <c r="AN139" s="511"/>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9">
        <v>155</v>
      </c>
      <c r="M140" s="449"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88"/>
      <c r="R140" s="516"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0" s="179">
        <v>0</v>
      </c>
      <c r="T140" s="477"/>
      <c r="U140" s="500"/>
      <c r="V140" s="193"/>
      <c r="W140" s="22" t="s">
        <v>436</v>
      </c>
      <c r="Y140" s="492"/>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11">
        <f>--(
  ISNUMBER(SEARCH("BASE PARENT", UPPER(CLEAN(TRIM(_xlfn.XLOOKUP(TEXT(Contract_Edits[[#This Row],[Index]],"0"), baseIdxTxt, baseCost, "")))))) +
  ISNUMBER(SEARCH("DEPENDENCY GROUP", UPPER(CLEAN(TRIM(_xlfn.XLOOKUP(TEXT(Contract_Edits[[#This Row],[Index]],"0"), baseIdxTxt, baseCost, ""))))))
)</f>
        <v>0</v>
      </c>
      <c r="AG140" s="511" t="str" cm="1">
        <f t="array" ref="AG140">IF(Contract_Edits[[#This Row],[BaseFlag]]=1,
   10*BaseDepthL(TEXT(Contract_Edits[[#This Row],[Index]],"0"),500,editsIdxTxt,editsParentKeyTxt,baseIdxTxt,baseCost)-5,
   ""
)</f>
        <v/>
      </c>
      <c r="AH140" s="511"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11" t="str">
        <f>IF(Contract_Edits[[#This Row],[Dep]]=0,"Root",
   IF(ISNUMBER(MATCH(Contract_Edits[[#This Row],[Dep]],Contract_Edits[Index],0)),"OK","Missing")
)</f>
        <v>Root</v>
      </c>
      <c r="AJ140" s="511" t="e">
        <f>IF(AND(Contract_Edits[[#This Row],[Dep]]&lt;&gt;0,
        ISNUMBER(MATCH(Contract_Edits[[#This Row],[Dep]], Contract_Edits[Index], 0)),
        INDEX(Contract_Edits[Dep], MATCH(Contract_Edits[[#This Row],[Dep]], Contract_Edits[Index], 0))=Contract_Edits[[#This Row],[Index]]),
   "2-cycle","")</f>
        <v>#N/A</v>
      </c>
      <c r="AK140" s="511" cm="1">
        <f t="array" ref="AK140">IF(Contract_Edits[[#This Row],[BaseFlag]]&lt;&gt;1,0,
   IF(TEXT(Contract_Edits[[#This Row],[Dep]],"0")=TEXT(Contract_Edits[[#This Row],[Index]],"0"),
      0,
      MAX(0, SUMPRODUCT(--(Contract_Edits[BaseFlag]=1),
                        --(TEXT(Contract_Edits[Dep],"0")=TEXT(Contract_Edits[[#This Row],[Dep]],"0"))) - 1)
   )
)</f>
        <v>0</v>
      </c>
      <c r="AL140" s="511" t="str" cm="1">
        <f t="array" ref="AL140">IF(Contract_Edits[[#This Row],[BaseFlag]]=1,
   TEXT(Contract_Edits[[#This Row],[Index]],"0"),
   NearestBaseL(TEXT(Contract_Edits[[#This Row],[ParentKey]],"0"),500,editsIdxTxt,editsParentKeyTxt,baseIdxTxt,baseCost)
)</f>
        <v>0</v>
      </c>
      <c r="AM140" s="511" cm="1">
        <f t="array" ref="AM140">1+SUMPRODUCT(
  (Contract_Edits[BaseFlag]=1)*
  (TEXT(Contract_Edits[ParentAnchor],"0")=TEXT(Contract_Edits[[#This Row],[ParentAnchor]],"0"))*
  (VALUE(TEXT(Contract_Edits[Index],"0"))&lt;VALUE(TEXT(Contract_Edits[[#This Row],[Index]],"0")))
)</f>
        <v>1</v>
      </c>
      <c r="AN140" s="511"/>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9">
        <v>103</v>
      </c>
      <c r="M141" s="449"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88"/>
      <c r="R141" s="516"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1" s="179">
        <v>0</v>
      </c>
      <c r="T141" s="477"/>
      <c r="U141" s="500"/>
      <c r="V141" s="193"/>
      <c r="W141" s="22" t="s">
        <v>436</v>
      </c>
      <c r="X141" s="492" t="s">
        <v>682</v>
      </c>
      <c r="Y141" s="492"/>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11">
        <f>--(
  ISNUMBER(SEARCH("BASE PARENT", UPPER(CLEAN(TRIM(_xlfn.XLOOKUP(TEXT(Contract_Edits[[#This Row],[Index]],"0"), baseIdxTxt, baseCost, "")))))) +
  ISNUMBER(SEARCH("DEPENDENCY GROUP", UPPER(CLEAN(TRIM(_xlfn.XLOOKUP(TEXT(Contract_Edits[[#This Row],[Index]],"0"), baseIdxTxt, baseCost, ""))))))
)</f>
        <v>0</v>
      </c>
      <c r="AG141" s="511" t="str" cm="1">
        <f t="array" ref="AG141">IF(Contract_Edits[[#This Row],[BaseFlag]]=1,
   10*BaseDepthL(TEXT(Contract_Edits[[#This Row],[Index]],"0"),500,editsIdxTxt,editsParentKeyTxt,baseIdxTxt,baseCost)-5,
   ""
)</f>
        <v/>
      </c>
      <c r="AH141" s="511"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11" t="str">
        <f>IF(Contract_Edits[[#This Row],[Dep]]=0,"Root",
   IF(ISNUMBER(MATCH(Contract_Edits[[#This Row],[Dep]],Contract_Edits[Index],0)),"OK","Missing")
)</f>
        <v>Root</v>
      </c>
      <c r="AJ141" s="511" t="e">
        <f>IF(AND(Contract_Edits[[#This Row],[Dep]]&lt;&gt;0,
        ISNUMBER(MATCH(Contract_Edits[[#This Row],[Dep]], Contract_Edits[Index], 0)),
        INDEX(Contract_Edits[Dep], MATCH(Contract_Edits[[#This Row],[Dep]], Contract_Edits[Index], 0))=Contract_Edits[[#This Row],[Index]]),
   "2-cycle","")</f>
        <v>#N/A</v>
      </c>
      <c r="AK141" s="511" cm="1">
        <f t="array" ref="AK141">IF(Contract_Edits[[#This Row],[BaseFlag]]&lt;&gt;1,0,
   IF(TEXT(Contract_Edits[[#This Row],[Dep]],"0")=TEXT(Contract_Edits[[#This Row],[Index]],"0"),
      0,
      MAX(0, SUMPRODUCT(--(Contract_Edits[BaseFlag]=1),
                        --(TEXT(Contract_Edits[Dep],"0")=TEXT(Contract_Edits[[#This Row],[Dep]],"0"))) - 1)
   )
)</f>
        <v>0</v>
      </c>
      <c r="AL141" s="511" t="str" cm="1">
        <f t="array" ref="AL141">IF(Contract_Edits[[#This Row],[BaseFlag]]=1,
   TEXT(Contract_Edits[[#This Row],[Index]],"0"),
   NearestBaseL(TEXT(Contract_Edits[[#This Row],[ParentKey]],"0"),500,editsIdxTxt,editsParentKeyTxt,baseIdxTxt,baseCost)
)</f>
        <v>0</v>
      </c>
      <c r="AM141" s="511" cm="1">
        <f t="array" ref="AM141">1+SUMPRODUCT(
  (Contract_Edits[BaseFlag]=1)*
  (TEXT(Contract_Edits[ParentAnchor],"0")=TEXT(Contract_Edits[[#This Row],[ParentAnchor]],"0"))*
  (VALUE(TEXT(Contract_Edits[Index],"0"))&lt;VALUE(TEXT(Contract_Edits[[#This Row],[Index]],"0")))
)</f>
        <v>1</v>
      </c>
      <c r="AN141" s="511"/>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9">
        <v>131</v>
      </c>
      <c r="M142" s="449"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88"/>
      <c r="R142" s="516"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2" s="179">
        <v>0</v>
      </c>
      <c r="T142" s="477"/>
      <c r="U142" s="500"/>
      <c r="V142" s="193"/>
      <c r="W142" s="22" t="s">
        <v>436</v>
      </c>
      <c r="X142" s="492" t="s">
        <v>682</v>
      </c>
      <c r="Y142" s="492"/>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11">
        <f>--(
  ISNUMBER(SEARCH("BASE PARENT", UPPER(CLEAN(TRIM(_xlfn.XLOOKUP(TEXT(Contract_Edits[[#This Row],[Index]],"0"), baseIdxTxt, baseCost, "")))))) +
  ISNUMBER(SEARCH("DEPENDENCY GROUP", UPPER(CLEAN(TRIM(_xlfn.XLOOKUP(TEXT(Contract_Edits[[#This Row],[Index]],"0"), baseIdxTxt, baseCost, ""))))))
)</f>
        <v>0</v>
      </c>
      <c r="AG142" s="511" t="str" cm="1">
        <f t="array" ref="AG142">IF(Contract_Edits[[#This Row],[BaseFlag]]=1,
   10*BaseDepthL(TEXT(Contract_Edits[[#This Row],[Index]],"0"),500,editsIdxTxt,editsParentKeyTxt,baseIdxTxt,baseCost)-5,
   ""
)</f>
        <v/>
      </c>
      <c r="AH142" s="511"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11" t="str">
        <f>IF(Contract_Edits[[#This Row],[Dep]]=0,"Root",
   IF(ISNUMBER(MATCH(Contract_Edits[[#This Row],[Dep]],Contract_Edits[Index],0)),"OK","Missing")
)</f>
        <v>Root</v>
      </c>
      <c r="AJ142" s="511" t="e">
        <f>IF(AND(Contract_Edits[[#This Row],[Dep]]&lt;&gt;0,
        ISNUMBER(MATCH(Contract_Edits[[#This Row],[Dep]], Contract_Edits[Index], 0)),
        INDEX(Contract_Edits[Dep], MATCH(Contract_Edits[[#This Row],[Dep]], Contract_Edits[Index], 0))=Contract_Edits[[#This Row],[Index]]),
   "2-cycle","")</f>
        <v>#N/A</v>
      </c>
      <c r="AK142" s="511" cm="1">
        <f t="array" ref="AK142">IF(Contract_Edits[[#This Row],[BaseFlag]]&lt;&gt;1,0,
   IF(TEXT(Contract_Edits[[#This Row],[Dep]],"0")=TEXT(Contract_Edits[[#This Row],[Index]],"0"),
      0,
      MAX(0, SUMPRODUCT(--(Contract_Edits[BaseFlag]=1),
                        --(TEXT(Contract_Edits[Dep],"0")=TEXT(Contract_Edits[[#This Row],[Dep]],"0"))) - 1)
   )
)</f>
        <v>0</v>
      </c>
      <c r="AL142" s="511" t="str" cm="1">
        <f t="array" ref="AL142">IF(Contract_Edits[[#This Row],[BaseFlag]]=1,
   TEXT(Contract_Edits[[#This Row],[Index]],"0"),
   NearestBaseL(TEXT(Contract_Edits[[#This Row],[ParentKey]],"0"),500,editsIdxTxt,editsParentKeyTxt,baseIdxTxt,baseCost)
)</f>
        <v>0</v>
      </c>
      <c r="AM142" s="511" cm="1">
        <f t="array" ref="AM142">1+SUMPRODUCT(
  (Contract_Edits[BaseFlag]=1)*
  (TEXT(Contract_Edits[ParentAnchor],"0")=TEXT(Contract_Edits[[#This Row],[ParentAnchor]],"0"))*
  (VALUE(TEXT(Contract_Edits[Index],"0"))&lt;VALUE(TEXT(Contract_Edits[[#This Row],[Index]],"0")))
)</f>
        <v>1</v>
      </c>
      <c r="AN142" s="511"/>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9">
        <v>132</v>
      </c>
      <c r="M143" s="449"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76"/>
      <c r="R143" s="516"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3" s="179">
        <v>0</v>
      </c>
      <c r="T143" s="179">
        <v>0</v>
      </c>
      <c r="U143" s="11"/>
      <c r="V143"/>
      <c r="W143" s="22" t="s">
        <v>436</v>
      </c>
      <c r="X143" s="22" t="s">
        <v>682</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11">
        <f>--(
  ISNUMBER(SEARCH("BASE PARENT", UPPER(CLEAN(TRIM(_xlfn.XLOOKUP(TEXT(Contract_Edits[[#This Row],[Index]],"0"), baseIdxTxt, baseCost, "")))))) +
  ISNUMBER(SEARCH("DEPENDENCY GROUP", UPPER(CLEAN(TRIM(_xlfn.XLOOKUP(TEXT(Contract_Edits[[#This Row],[Index]],"0"), baseIdxTxt, baseCost, ""))))))
)</f>
        <v>0</v>
      </c>
      <c r="AG143" s="511" t="str" cm="1">
        <f t="array" ref="AG143">IF(Contract_Edits[[#This Row],[BaseFlag]]=1,
   10*BaseDepthL(TEXT(Contract_Edits[[#This Row],[Index]],"0"),500,editsIdxTxt,editsParentKeyTxt,baseIdxTxt,baseCost)-5,
   ""
)</f>
        <v/>
      </c>
      <c r="AH143" s="511"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11" t="str">
        <f>IF(Contract_Edits[[#This Row],[Dep]]=0,"Root",
   IF(ISNUMBER(MATCH(Contract_Edits[[#This Row],[Dep]],Contract_Edits[Index],0)),"OK","Missing")
)</f>
        <v>Root</v>
      </c>
      <c r="AJ143" s="511" t="e">
        <f>IF(AND(Contract_Edits[[#This Row],[Dep]]&lt;&gt;0,
        ISNUMBER(MATCH(Contract_Edits[[#This Row],[Dep]], Contract_Edits[Index], 0)),
        INDEX(Contract_Edits[Dep], MATCH(Contract_Edits[[#This Row],[Dep]], Contract_Edits[Index], 0))=Contract_Edits[[#This Row],[Index]]),
   "2-cycle","")</f>
        <v>#N/A</v>
      </c>
      <c r="AK143" s="511" cm="1">
        <f t="array" ref="AK143">IF(Contract_Edits[[#This Row],[BaseFlag]]&lt;&gt;1,0,
   IF(TEXT(Contract_Edits[[#This Row],[Dep]],"0")=TEXT(Contract_Edits[[#This Row],[Index]],"0"),
      0,
      MAX(0, SUMPRODUCT(--(Contract_Edits[BaseFlag]=1),
                        --(TEXT(Contract_Edits[Dep],"0")=TEXT(Contract_Edits[[#This Row],[Dep]],"0"))) - 1)
   )
)</f>
        <v>0</v>
      </c>
      <c r="AL143" s="511" t="str" cm="1">
        <f t="array" ref="AL143">IF(Contract_Edits[[#This Row],[BaseFlag]]=1,
   TEXT(Contract_Edits[[#This Row],[Index]],"0"),
   NearestBaseL(TEXT(Contract_Edits[[#This Row],[ParentKey]],"0"),500,editsIdxTxt,editsParentKeyTxt,baseIdxTxt,baseCost)
)</f>
        <v>0</v>
      </c>
      <c r="AM143" s="511" cm="1">
        <f t="array" ref="AM143">1+SUMPRODUCT(
  (Contract_Edits[BaseFlag]=1)*
  (TEXT(Contract_Edits[ParentAnchor],"0")=TEXT(Contract_Edits[[#This Row],[ParentAnchor]],"0"))*
  (VALUE(TEXT(Contract_Edits[Index],"0"))&lt;VALUE(TEXT(Contract_Edits[[#This Row],[Index]],"0")))
)</f>
        <v>1</v>
      </c>
      <c r="AN143" s="511"/>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9">
        <v>102</v>
      </c>
      <c r="M144" s="449"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76"/>
      <c r="R144" s="516"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4" s="179">
        <v>0</v>
      </c>
      <c r="T144" s="179">
        <v>0</v>
      </c>
      <c r="U144" s="11"/>
      <c r="V144"/>
      <c r="W144" s="22" t="s">
        <v>436</v>
      </c>
      <c r="X144" s="22" t="s">
        <v>682</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11">
        <f>--(
  ISNUMBER(SEARCH("BASE PARENT", UPPER(CLEAN(TRIM(_xlfn.XLOOKUP(TEXT(Contract_Edits[[#This Row],[Index]],"0"), baseIdxTxt, baseCost, "")))))) +
  ISNUMBER(SEARCH("DEPENDENCY GROUP", UPPER(CLEAN(TRIM(_xlfn.XLOOKUP(TEXT(Contract_Edits[[#This Row],[Index]],"0"), baseIdxTxt, baseCost, ""))))))
)</f>
        <v>0</v>
      </c>
      <c r="AG144" s="511" t="str" cm="1">
        <f t="array" ref="AG144">IF(Contract_Edits[[#This Row],[BaseFlag]]=1,
   10*BaseDepthL(TEXT(Contract_Edits[[#This Row],[Index]],"0"),500,editsIdxTxt,editsParentKeyTxt,baseIdxTxt,baseCost)-5,
   ""
)</f>
        <v/>
      </c>
      <c r="AH144" s="511"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11" t="str">
        <f>IF(Contract_Edits[[#This Row],[Dep]]=0,"Root",
   IF(ISNUMBER(MATCH(Contract_Edits[[#This Row],[Dep]],Contract_Edits[Index],0)),"OK","Missing")
)</f>
        <v>Root</v>
      </c>
      <c r="AJ144" s="511" t="e">
        <f>IF(AND(Contract_Edits[[#This Row],[Dep]]&lt;&gt;0,
        ISNUMBER(MATCH(Contract_Edits[[#This Row],[Dep]], Contract_Edits[Index], 0)),
        INDEX(Contract_Edits[Dep], MATCH(Contract_Edits[[#This Row],[Dep]], Contract_Edits[Index], 0))=Contract_Edits[[#This Row],[Index]]),
   "2-cycle","")</f>
        <v>#N/A</v>
      </c>
      <c r="AK144" s="511" cm="1">
        <f t="array" ref="AK144">IF(Contract_Edits[[#This Row],[BaseFlag]]&lt;&gt;1,0,
   IF(TEXT(Contract_Edits[[#This Row],[Dep]],"0")=TEXT(Contract_Edits[[#This Row],[Index]],"0"),
      0,
      MAX(0, SUMPRODUCT(--(Contract_Edits[BaseFlag]=1),
                        --(TEXT(Contract_Edits[Dep],"0")=TEXT(Contract_Edits[[#This Row],[Dep]],"0"))) - 1)
   )
)</f>
        <v>0</v>
      </c>
      <c r="AL144" s="511" t="str" cm="1">
        <f t="array" ref="AL144">IF(Contract_Edits[[#This Row],[BaseFlag]]=1,
   TEXT(Contract_Edits[[#This Row],[Index]],"0"),
   NearestBaseL(TEXT(Contract_Edits[[#This Row],[ParentKey]],"0"),500,editsIdxTxt,editsParentKeyTxt,baseIdxTxt,baseCost)
)</f>
        <v>0</v>
      </c>
      <c r="AM144" s="511" cm="1">
        <f t="array" ref="AM144">1+SUMPRODUCT(
  (Contract_Edits[BaseFlag]=1)*
  (TEXT(Contract_Edits[ParentAnchor],"0")=TEXT(Contract_Edits[[#This Row],[ParentAnchor]],"0"))*
  (VALUE(TEXT(Contract_Edits[Index],"0"))&lt;VALUE(TEXT(Contract_Edits[[#This Row],[Index]],"0")))
)</f>
        <v>1</v>
      </c>
      <c r="AN144" s="511"/>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12">
        <v>156</v>
      </c>
      <c r="M145" s="449"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88"/>
      <c r="R145" s="516"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5" s="179">
        <v>0</v>
      </c>
      <c r="T145" s="477"/>
      <c r="U145" s="500"/>
      <c r="V145" s="193"/>
      <c r="W145" s="22" t="s">
        <v>436</v>
      </c>
      <c r="Y145" s="492"/>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11">
        <f>--(
  ISNUMBER(SEARCH("BASE PARENT", UPPER(CLEAN(TRIM(_xlfn.XLOOKUP(TEXT(Contract_Edits[[#This Row],[Index]],"0"), baseIdxTxt, baseCost, "")))))) +
  ISNUMBER(SEARCH("DEPENDENCY GROUP", UPPER(CLEAN(TRIM(_xlfn.XLOOKUP(TEXT(Contract_Edits[[#This Row],[Index]],"0"), baseIdxTxt, baseCost, ""))))))
)</f>
        <v>0</v>
      </c>
      <c r="AG145" s="511" t="str" cm="1">
        <f t="array" ref="AG145">IF(Contract_Edits[[#This Row],[BaseFlag]]=1,
   10*BaseDepthL(TEXT(Contract_Edits[[#This Row],[Index]],"0"),500,editsIdxTxt,editsParentKeyTxt,baseIdxTxt,baseCost)-5,
   ""
)</f>
        <v/>
      </c>
      <c r="AH145" s="511"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11" t="str">
        <f>IF(Contract_Edits[[#This Row],[Dep]]=0,"Root",
   IF(ISNUMBER(MATCH(Contract_Edits[[#This Row],[Dep]],Contract_Edits[Index],0)),"OK","Missing")
)</f>
        <v>Root</v>
      </c>
      <c r="AJ145" s="511" t="e">
        <f>IF(AND(Contract_Edits[[#This Row],[Dep]]&lt;&gt;0,
        ISNUMBER(MATCH(Contract_Edits[[#This Row],[Dep]], Contract_Edits[Index], 0)),
        INDEX(Contract_Edits[Dep], MATCH(Contract_Edits[[#This Row],[Dep]], Contract_Edits[Index], 0))=Contract_Edits[[#This Row],[Index]]),
   "2-cycle","")</f>
        <v>#N/A</v>
      </c>
      <c r="AK145" s="511" cm="1">
        <f t="array" ref="AK145">IF(Contract_Edits[[#This Row],[BaseFlag]]&lt;&gt;1,0,
   IF(TEXT(Contract_Edits[[#This Row],[Dep]],"0")=TEXT(Contract_Edits[[#This Row],[Index]],"0"),
      0,
      MAX(0, SUMPRODUCT(--(Contract_Edits[BaseFlag]=1),
                        --(TEXT(Contract_Edits[Dep],"0")=TEXT(Contract_Edits[[#This Row],[Dep]],"0"))) - 1)
   )
)</f>
        <v>0</v>
      </c>
      <c r="AL145" s="511" t="str" cm="1">
        <f t="array" ref="AL145">IF(Contract_Edits[[#This Row],[BaseFlag]]=1,
   TEXT(Contract_Edits[[#This Row],[Index]],"0"),
   NearestBaseL(TEXT(Contract_Edits[[#This Row],[ParentKey]],"0"),500,editsIdxTxt,editsParentKeyTxt,baseIdxTxt,baseCost)
)</f>
        <v>0</v>
      </c>
      <c r="AM145" s="511" cm="1">
        <f t="array" ref="AM145">1+SUMPRODUCT(
  (Contract_Edits[BaseFlag]=1)*
  (TEXT(Contract_Edits[ParentAnchor],"0")=TEXT(Contract_Edits[[#This Row],[ParentAnchor]],"0"))*
  (VALUE(TEXT(Contract_Edits[Index],"0"))&lt;VALUE(TEXT(Contract_Edits[[#This Row],[Index]],"0")))
)</f>
        <v>1</v>
      </c>
      <c r="AN145" s="511"/>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9">
        <v>157</v>
      </c>
      <c r="M146" s="449"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88"/>
      <c r="R146" s="516"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6" s="179">
        <v>0</v>
      </c>
      <c r="T146" s="477"/>
      <c r="U146" s="500"/>
      <c r="V146" s="193"/>
      <c r="W146" s="22" t="s">
        <v>436</v>
      </c>
      <c r="Y146" s="492"/>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11">
        <f>--(
  ISNUMBER(SEARCH("BASE PARENT", UPPER(CLEAN(TRIM(_xlfn.XLOOKUP(TEXT(Contract_Edits[[#This Row],[Index]],"0"), baseIdxTxt, baseCost, "")))))) +
  ISNUMBER(SEARCH("DEPENDENCY GROUP", UPPER(CLEAN(TRIM(_xlfn.XLOOKUP(TEXT(Contract_Edits[[#This Row],[Index]],"0"), baseIdxTxt, baseCost, ""))))))
)</f>
        <v>0</v>
      </c>
      <c r="AG146" s="511" t="str" cm="1">
        <f t="array" ref="AG146">IF(Contract_Edits[[#This Row],[BaseFlag]]=1,
   10*BaseDepthL(TEXT(Contract_Edits[[#This Row],[Index]],"0"),500,editsIdxTxt,editsParentKeyTxt,baseIdxTxt,baseCost)-5,
   ""
)</f>
        <v/>
      </c>
      <c r="AH146" s="511"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11" t="str">
        <f>IF(Contract_Edits[[#This Row],[Dep]]=0,"Root",
   IF(ISNUMBER(MATCH(Contract_Edits[[#This Row],[Dep]],Contract_Edits[Index],0)),"OK","Missing")
)</f>
        <v>Root</v>
      </c>
      <c r="AJ146" s="511" t="e">
        <f>IF(AND(Contract_Edits[[#This Row],[Dep]]&lt;&gt;0,
        ISNUMBER(MATCH(Contract_Edits[[#This Row],[Dep]], Contract_Edits[Index], 0)),
        INDEX(Contract_Edits[Dep], MATCH(Contract_Edits[[#This Row],[Dep]], Contract_Edits[Index], 0))=Contract_Edits[[#This Row],[Index]]),
   "2-cycle","")</f>
        <v>#N/A</v>
      </c>
      <c r="AK146" s="511" cm="1">
        <f t="array" ref="AK146">IF(Contract_Edits[[#This Row],[BaseFlag]]&lt;&gt;1,0,
   IF(TEXT(Contract_Edits[[#This Row],[Dep]],"0")=TEXT(Contract_Edits[[#This Row],[Index]],"0"),
      0,
      MAX(0, SUMPRODUCT(--(Contract_Edits[BaseFlag]=1),
                        --(TEXT(Contract_Edits[Dep],"0")=TEXT(Contract_Edits[[#This Row],[Dep]],"0"))) - 1)
   )
)</f>
        <v>0</v>
      </c>
      <c r="AL146" s="511" t="str" cm="1">
        <f t="array" ref="AL146">IF(Contract_Edits[[#This Row],[BaseFlag]]=1,
   TEXT(Contract_Edits[[#This Row],[Index]],"0"),
   NearestBaseL(TEXT(Contract_Edits[[#This Row],[ParentKey]],"0"),500,editsIdxTxt,editsParentKeyTxt,baseIdxTxt,baseCost)
)</f>
        <v>0</v>
      </c>
      <c r="AM146" s="511" cm="1">
        <f t="array" ref="AM146">1+SUMPRODUCT(
  (Contract_Edits[BaseFlag]=1)*
  (TEXT(Contract_Edits[ParentAnchor],"0")=TEXT(Contract_Edits[[#This Row],[ParentAnchor]],"0"))*
  (VALUE(TEXT(Contract_Edits[Index],"0"))&lt;VALUE(TEXT(Contract_Edits[[#This Row],[Index]],"0")))
)</f>
        <v>1</v>
      </c>
      <c r="AN146" s="511"/>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9">
        <v>110</v>
      </c>
      <c r="M147" s="449"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76"/>
      <c r="R147" s="516"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7" s="179">
        <v>0</v>
      </c>
      <c r="T147" s="179">
        <v>0</v>
      </c>
      <c r="U147" s="11"/>
      <c r="V147"/>
      <c r="W147" s="22" t="s">
        <v>436</v>
      </c>
      <c r="X147" s="22" t="s">
        <v>682</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11">
        <f>--(
  ISNUMBER(SEARCH("BASE PARENT", UPPER(CLEAN(TRIM(_xlfn.XLOOKUP(TEXT(Contract_Edits[[#This Row],[Index]],"0"), baseIdxTxt, baseCost, "")))))) +
  ISNUMBER(SEARCH("DEPENDENCY GROUP", UPPER(CLEAN(TRIM(_xlfn.XLOOKUP(TEXT(Contract_Edits[[#This Row],[Index]],"0"), baseIdxTxt, baseCost, ""))))))
)</f>
        <v>0</v>
      </c>
      <c r="AG147" s="511" t="str" cm="1">
        <f t="array" ref="AG147">IF(Contract_Edits[[#This Row],[BaseFlag]]=1,
   10*BaseDepthL(TEXT(Contract_Edits[[#This Row],[Index]],"0"),500,editsIdxTxt,editsParentKeyTxt,baseIdxTxt,baseCost)-5,
   ""
)</f>
        <v/>
      </c>
      <c r="AH147" s="511"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11" t="str">
        <f>IF(Contract_Edits[[#This Row],[Dep]]=0,"Root",
   IF(ISNUMBER(MATCH(Contract_Edits[[#This Row],[Dep]],Contract_Edits[Index],0)),"OK","Missing")
)</f>
        <v>Root</v>
      </c>
      <c r="AJ147" s="511" t="e">
        <f>IF(AND(Contract_Edits[[#This Row],[Dep]]&lt;&gt;0,
        ISNUMBER(MATCH(Contract_Edits[[#This Row],[Dep]], Contract_Edits[Index], 0)),
        INDEX(Contract_Edits[Dep], MATCH(Contract_Edits[[#This Row],[Dep]], Contract_Edits[Index], 0))=Contract_Edits[[#This Row],[Index]]),
   "2-cycle","")</f>
        <v>#N/A</v>
      </c>
      <c r="AK147" s="511" cm="1">
        <f t="array" ref="AK147">IF(Contract_Edits[[#This Row],[BaseFlag]]&lt;&gt;1,0,
   IF(TEXT(Contract_Edits[[#This Row],[Dep]],"0")=TEXT(Contract_Edits[[#This Row],[Index]],"0"),
      0,
      MAX(0, SUMPRODUCT(--(Contract_Edits[BaseFlag]=1),
                        --(TEXT(Contract_Edits[Dep],"0")=TEXT(Contract_Edits[[#This Row],[Dep]],"0"))) - 1)
   )
)</f>
        <v>0</v>
      </c>
      <c r="AL147" s="511" t="str" cm="1">
        <f t="array" ref="AL147">IF(Contract_Edits[[#This Row],[BaseFlag]]=1,
   TEXT(Contract_Edits[[#This Row],[Index]],"0"),
   NearestBaseL(TEXT(Contract_Edits[[#This Row],[ParentKey]],"0"),500,editsIdxTxt,editsParentKeyTxt,baseIdxTxt,baseCost)
)</f>
        <v>0</v>
      </c>
      <c r="AM147" s="511" cm="1">
        <f t="array" ref="AM147">1+SUMPRODUCT(
  (Contract_Edits[BaseFlag]=1)*
  (TEXT(Contract_Edits[ParentAnchor],"0")=TEXT(Contract_Edits[[#This Row],[ParentAnchor]],"0"))*
  (VALUE(TEXT(Contract_Edits[Index],"0"))&lt;VALUE(TEXT(Contract_Edits[[#This Row],[Index]],"0")))
)</f>
        <v>1</v>
      </c>
      <c r="AN147" s="511"/>
      <c r="AO147" s="35"/>
      <c r="AP147" s="35" t="str">
        <f ca="1">IFERROR(+IF(AP$23=#REF!,Milestone_Marker,IF(AND(AP$23&gt;#REF!,AP$23&lt;#REF!+#REF!),#REF!,"")),"")</f>
        <v/>
      </c>
      <c r="AQ147" s="35" t="str">
        <f ca="1">IFERROR(+IF(AQ$23=#REF!,Milestone_Marker,IF(AND(AQ$23&gt;#REF!,AQ$23&lt;#REF!+#REF!),#REF!,"")),"")</f>
        <v/>
      </c>
      <c r="AS147" s="477"/>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9">
        <v>158</v>
      </c>
      <c r="M148" s="449"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88"/>
      <c r="R148" s="516"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8" s="179">
        <v>0</v>
      </c>
      <c r="T148" s="477"/>
      <c r="U148" s="500"/>
      <c r="V148" s="193"/>
      <c r="W148" s="22" t="s">
        <v>436</v>
      </c>
      <c r="Y148" s="492"/>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11">
        <f>--(
  ISNUMBER(SEARCH("BASE PARENT", UPPER(CLEAN(TRIM(_xlfn.XLOOKUP(TEXT(Contract_Edits[[#This Row],[Index]],"0"), baseIdxTxt, baseCost, "")))))) +
  ISNUMBER(SEARCH("DEPENDENCY GROUP", UPPER(CLEAN(TRIM(_xlfn.XLOOKUP(TEXT(Contract_Edits[[#This Row],[Index]],"0"), baseIdxTxt, baseCost, ""))))))
)</f>
        <v>0</v>
      </c>
      <c r="AG148" s="511" t="str" cm="1">
        <f t="array" ref="AG148">IF(Contract_Edits[[#This Row],[BaseFlag]]=1,
   10*BaseDepthL(TEXT(Contract_Edits[[#This Row],[Index]],"0"),500,editsIdxTxt,editsParentKeyTxt,baseIdxTxt,baseCost)-5,
   ""
)</f>
        <v/>
      </c>
      <c r="AH148" s="511"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11" t="str">
        <f>IF(Contract_Edits[[#This Row],[Dep]]=0,"Root",
   IF(ISNUMBER(MATCH(Contract_Edits[[#This Row],[Dep]],Contract_Edits[Index],0)),"OK","Missing")
)</f>
        <v>Root</v>
      </c>
      <c r="AJ148" s="511" t="e">
        <f>IF(AND(Contract_Edits[[#This Row],[Dep]]&lt;&gt;0,
        ISNUMBER(MATCH(Contract_Edits[[#This Row],[Dep]], Contract_Edits[Index], 0)),
        INDEX(Contract_Edits[Dep], MATCH(Contract_Edits[[#This Row],[Dep]], Contract_Edits[Index], 0))=Contract_Edits[[#This Row],[Index]]),
   "2-cycle","")</f>
        <v>#N/A</v>
      </c>
      <c r="AK148" s="511" cm="1">
        <f t="array" ref="AK148">IF(Contract_Edits[[#This Row],[BaseFlag]]&lt;&gt;1,0,
   IF(TEXT(Contract_Edits[[#This Row],[Dep]],"0")=TEXT(Contract_Edits[[#This Row],[Index]],"0"),
      0,
      MAX(0, SUMPRODUCT(--(Contract_Edits[BaseFlag]=1),
                        --(TEXT(Contract_Edits[Dep],"0")=TEXT(Contract_Edits[[#This Row],[Dep]],"0"))) - 1)
   )
)</f>
        <v>0</v>
      </c>
      <c r="AL148" s="511" t="str" cm="1">
        <f t="array" ref="AL148">IF(Contract_Edits[[#This Row],[BaseFlag]]=1,
   TEXT(Contract_Edits[[#This Row],[Index]],"0"),
   NearestBaseL(TEXT(Contract_Edits[[#This Row],[ParentKey]],"0"),500,editsIdxTxt,editsParentKeyTxt,baseIdxTxt,baseCost)
)</f>
        <v>0</v>
      </c>
      <c r="AM148" s="511" cm="1">
        <f t="array" ref="AM148">1+SUMPRODUCT(
  (Contract_Edits[BaseFlag]=1)*
  (TEXT(Contract_Edits[ParentAnchor],"0")=TEXT(Contract_Edits[[#This Row],[ParentAnchor]],"0"))*
  (VALUE(TEXT(Contract_Edits[Index],"0"))&lt;VALUE(TEXT(Contract_Edits[[#This Row],[Index]],"0")))
)</f>
        <v>1</v>
      </c>
      <c r="AN148" s="511"/>
      <c r="AO148" s="35"/>
      <c r="AP148" s="35" t="str">
        <f ca="1">IFERROR(+IF(AP$23=#REF!,Milestone_Marker,IF(AND(AP$23&gt;#REF!,AP$23&lt;#REF!+#REF!),#REF!,"")),"")</f>
        <v/>
      </c>
      <c r="AQ148" s="35" t="str">
        <f ca="1">IFERROR(+IF(AQ$23=#REF!,Milestone_Marker,IF(AND(AQ$23&gt;#REF!,AQ$23&lt;#REF!+#REF!),#REF!,"")),"")</f>
        <v/>
      </c>
      <c r="AR148" s="477"/>
      <c r="AS148" s="477"/>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9">
        <v>112</v>
      </c>
      <c r="M149" s="449"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76"/>
      <c r="R149" s="516"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49" s="179">
        <v>0</v>
      </c>
      <c r="T149" s="179">
        <v>0</v>
      </c>
      <c r="U149" s="11"/>
      <c r="V149"/>
      <c r="W149" s="22" t="s">
        <v>436</v>
      </c>
      <c r="X149" s="22" t="s">
        <v>682</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11">
        <f>--(
  ISNUMBER(SEARCH("BASE PARENT", UPPER(CLEAN(TRIM(_xlfn.XLOOKUP(TEXT(Contract_Edits[[#This Row],[Index]],"0"), baseIdxTxt, baseCost, "")))))) +
  ISNUMBER(SEARCH("DEPENDENCY GROUP", UPPER(CLEAN(TRIM(_xlfn.XLOOKUP(TEXT(Contract_Edits[[#This Row],[Index]],"0"), baseIdxTxt, baseCost, ""))))))
)</f>
        <v>0</v>
      </c>
      <c r="AG149" s="511" t="str" cm="1">
        <f t="array" ref="AG149">IF(Contract_Edits[[#This Row],[BaseFlag]]=1,
   10*BaseDepthL(TEXT(Contract_Edits[[#This Row],[Index]],"0"),500,editsIdxTxt,editsParentKeyTxt,baseIdxTxt,baseCost)-5,
   ""
)</f>
        <v/>
      </c>
      <c r="AH149" s="511"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11" t="str">
        <f>IF(Contract_Edits[[#This Row],[Dep]]=0,"Root",
   IF(ISNUMBER(MATCH(Contract_Edits[[#This Row],[Dep]],Contract_Edits[Index],0)),"OK","Missing")
)</f>
        <v>Root</v>
      </c>
      <c r="AJ149" s="511" t="e">
        <f>IF(AND(Contract_Edits[[#This Row],[Dep]]&lt;&gt;0,
        ISNUMBER(MATCH(Contract_Edits[[#This Row],[Dep]], Contract_Edits[Index], 0)),
        INDEX(Contract_Edits[Dep], MATCH(Contract_Edits[[#This Row],[Dep]], Contract_Edits[Index], 0))=Contract_Edits[[#This Row],[Index]]),
   "2-cycle","")</f>
        <v>#N/A</v>
      </c>
      <c r="AK149" s="511" cm="1">
        <f t="array" ref="AK149">IF(Contract_Edits[[#This Row],[BaseFlag]]&lt;&gt;1,0,
   IF(TEXT(Contract_Edits[[#This Row],[Dep]],"0")=TEXT(Contract_Edits[[#This Row],[Index]],"0"),
      0,
      MAX(0, SUMPRODUCT(--(Contract_Edits[BaseFlag]=1),
                        --(TEXT(Contract_Edits[Dep],"0")=TEXT(Contract_Edits[[#This Row],[Dep]],"0"))) - 1)
   )
)</f>
        <v>0</v>
      </c>
      <c r="AL149" s="511" t="str" cm="1">
        <f t="array" ref="AL149">IF(Contract_Edits[[#This Row],[BaseFlag]]=1,
   TEXT(Contract_Edits[[#This Row],[Index]],"0"),
   NearestBaseL(TEXT(Contract_Edits[[#This Row],[ParentKey]],"0"),500,editsIdxTxt,editsParentKeyTxt,baseIdxTxt,baseCost)
)</f>
        <v>0</v>
      </c>
      <c r="AM149" s="511" cm="1">
        <f t="array" ref="AM149">1+SUMPRODUCT(
  (Contract_Edits[BaseFlag]=1)*
  (TEXT(Contract_Edits[ParentAnchor],"0")=TEXT(Contract_Edits[[#This Row],[ParentAnchor]],"0"))*
  (VALUE(TEXT(Contract_Edits[Index],"0"))&lt;VALUE(TEXT(Contract_Edits[[#This Row],[Index]],"0")))
)</f>
        <v>1</v>
      </c>
      <c r="AN149" s="511"/>
      <c r="AO149" s="35"/>
      <c r="AP149" s="35" t="str">
        <f ca="1">IFERROR(+IF(AP$23=#REF!,Milestone_Marker,IF(AND(AP$23&gt;#REF!,AP$23&lt;#REF!+#REF!),#REF!,"")),"")</f>
        <v/>
      </c>
      <c r="AQ149" s="35" t="str">
        <f ca="1">IFERROR(+IF(AQ$23=#REF!,Milestone_Marker,IF(AND(AQ$23&gt;#REF!,AQ$23&lt;#REF!+#REF!),#REF!,"")),"")</f>
        <v/>
      </c>
      <c r="AR149" s="477"/>
      <c r="AS149" s="477"/>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9">
        <v>159</v>
      </c>
      <c r="M150" s="449"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88"/>
      <c r="R150" s="516"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0" s="179">
        <v>0</v>
      </c>
      <c r="T150" s="477"/>
      <c r="U150" s="500"/>
      <c r="V150" s="193"/>
      <c r="W150" s="22" t="s">
        <v>436</v>
      </c>
      <c r="Y150" s="492"/>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11">
        <f>--(
  ISNUMBER(SEARCH("BASE PARENT", UPPER(CLEAN(TRIM(_xlfn.XLOOKUP(TEXT(Contract_Edits[[#This Row],[Index]],"0"), baseIdxTxt, baseCost, "")))))) +
  ISNUMBER(SEARCH("DEPENDENCY GROUP", UPPER(CLEAN(TRIM(_xlfn.XLOOKUP(TEXT(Contract_Edits[[#This Row],[Index]],"0"), baseIdxTxt, baseCost, ""))))))
)</f>
        <v>0</v>
      </c>
      <c r="AG150" s="511" t="str" cm="1">
        <f t="array" ref="AG150">IF(Contract_Edits[[#This Row],[BaseFlag]]=1,
   10*BaseDepthL(TEXT(Contract_Edits[[#This Row],[Index]],"0"),500,editsIdxTxt,editsParentKeyTxt,baseIdxTxt,baseCost)-5,
   ""
)</f>
        <v/>
      </c>
      <c r="AH150" s="511"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11" t="str">
        <f>IF(Contract_Edits[[#This Row],[Dep]]=0,"Root",
   IF(ISNUMBER(MATCH(Contract_Edits[[#This Row],[Dep]],Contract_Edits[Index],0)),"OK","Missing")
)</f>
        <v>Root</v>
      </c>
      <c r="AJ150" s="511" t="e">
        <f>IF(AND(Contract_Edits[[#This Row],[Dep]]&lt;&gt;0,
        ISNUMBER(MATCH(Contract_Edits[[#This Row],[Dep]], Contract_Edits[Index], 0)),
        INDEX(Contract_Edits[Dep], MATCH(Contract_Edits[[#This Row],[Dep]], Contract_Edits[Index], 0))=Contract_Edits[[#This Row],[Index]]),
   "2-cycle","")</f>
        <v>#N/A</v>
      </c>
      <c r="AK150" s="511" cm="1">
        <f t="array" ref="AK150">IF(Contract_Edits[[#This Row],[BaseFlag]]&lt;&gt;1,0,
   IF(TEXT(Contract_Edits[[#This Row],[Dep]],"0")=TEXT(Contract_Edits[[#This Row],[Index]],"0"),
      0,
      MAX(0, SUMPRODUCT(--(Contract_Edits[BaseFlag]=1),
                        --(TEXT(Contract_Edits[Dep],"0")=TEXT(Contract_Edits[[#This Row],[Dep]],"0"))) - 1)
   )
)</f>
        <v>0</v>
      </c>
      <c r="AL150" s="511" t="str" cm="1">
        <f t="array" ref="AL150">IF(Contract_Edits[[#This Row],[BaseFlag]]=1,
   TEXT(Contract_Edits[[#This Row],[Index]],"0"),
   NearestBaseL(TEXT(Contract_Edits[[#This Row],[ParentKey]],"0"),500,editsIdxTxt,editsParentKeyTxt,baseIdxTxt,baseCost)
)</f>
        <v>0</v>
      </c>
      <c r="AM150" s="511" cm="1">
        <f t="array" ref="AM150">1+SUMPRODUCT(
  (Contract_Edits[BaseFlag]=1)*
  (TEXT(Contract_Edits[ParentAnchor],"0")=TEXT(Contract_Edits[[#This Row],[ParentAnchor]],"0"))*
  (VALUE(TEXT(Contract_Edits[Index],"0"))&lt;VALUE(TEXT(Contract_Edits[[#This Row],[Index]],"0")))
)</f>
        <v>1</v>
      </c>
      <c r="AN150" s="511"/>
      <c r="AO150" s="35"/>
      <c r="AP150" s="35" t="str">
        <f ca="1">IFERROR(+IF(AP$23=#REF!,Milestone_Marker,IF(AND(AP$23&gt;#REF!,AP$23&lt;#REF!+#REF!),#REF!,"")),"")</f>
        <v/>
      </c>
      <c r="AQ150" s="35" t="str">
        <f ca="1">IFERROR(+IF(AQ$23=#REF!,Milestone_Marker,IF(AND(AQ$23&gt;#REF!,AQ$23&lt;#REF!+#REF!),#REF!,"")),"")</f>
        <v/>
      </c>
      <c r="AR150" s="477"/>
      <c r="AS150" s="477"/>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9">
        <v>111</v>
      </c>
      <c r="M151" s="449"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76"/>
      <c r="R151" s="516"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1" s="179">
        <v>0</v>
      </c>
      <c r="T151" s="179">
        <v>0</v>
      </c>
      <c r="U151" s="11"/>
      <c r="V151"/>
      <c r="W151" s="22" t="s">
        <v>436</v>
      </c>
      <c r="X151" s="22" t="s">
        <v>682</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11">
        <f>--(
  ISNUMBER(SEARCH("BASE PARENT", UPPER(CLEAN(TRIM(_xlfn.XLOOKUP(TEXT(Contract_Edits[[#This Row],[Index]],"0"), baseIdxTxt, baseCost, "")))))) +
  ISNUMBER(SEARCH("DEPENDENCY GROUP", UPPER(CLEAN(TRIM(_xlfn.XLOOKUP(TEXT(Contract_Edits[[#This Row],[Index]],"0"), baseIdxTxt, baseCost, ""))))))
)</f>
        <v>0</v>
      </c>
      <c r="AG151" s="511" t="str" cm="1">
        <f t="array" ref="AG151">IF(Contract_Edits[[#This Row],[BaseFlag]]=1,
   10*BaseDepthL(TEXT(Contract_Edits[[#This Row],[Index]],"0"),500,editsIdxTxt,editsParentKeyTxt,baseIdxTxt,baseCost)-5,
   ""
)</f>
        <v/>
      </c>
      <c r="AH151" s="511"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11" t="str">
        <f>IF(Contract_Edits[[#This Row],[Dep]]=0,"Root",
   IF(ISNUMBER(MATCH(Contract_Edits[[#This Row],[Dep]],Contract_Edits[Index],0)),"OK","Missing")
)</f>
        <v>Root</v>
      </c>
      <c r="AJ151" s="511" t="e">
        <f>IF(AND(Contract_Edits[[#This Row],[Dep]]&lt;&gt;0,
        ISNUMBER(MATCH(Contract_Edits[[#This Row],[Dep]], Contract_Edits[Index], 0)),
        INDEX(Contract_Edits[Dep], MATCH(Contract_Edits[[#This Row],[Dep]], Contract_Edits[Index], 0))=Contract_Edits[[#This Row],[Index]]),
   "2-cycle","")</f>
        <v>#N/A</v>
      </c>
      <c r="AK151" s="511" cm="1">
        <f t="array" ref="AK151">IF(Contract_Edits[[#This Row],[BaseFlag]]&lt;&gt;1,0,
   IF(TEXT(Contract_Edits[[#This Row],[Dep]],"0")=TEXT(Contract_Edits[[#This Row],[Index]],"0"),
      0,
      MAX(0, SUMPRODUCT(--(Contract_Edits[BaseFlag]=1),
                        --(TEXT(Contract_Edits[Dep],"0")=TEXT(Contract_Edits[[#This Row],[Dep]],"0"))) - 1)
   )
)</f>
        <v>0</v>
      </c>
      <c r="AL151" s="511" t="str" cm="1">
        <f t="array" ref="AL151">IF(Contract_Edits[[#This Row],[BaseFlag]]=1,
   TEXT(Contract_Edits[[#This Row],[Index]],"0"),
   NearestBaseL(TEXT(Contract_Edits[[#This Row],[ParentKey]],"0"),500,editsIdxTxt,editsParentKeyTxt,baseIdxTxt,baseCost)
)</f>
        <v>0</v>
      </c>
      <c r="AM151" s="511" cm="1">
        <f t="array" ref="AM151">1+SUMPRODUCT(
  (Contract_Edits[BaseFlag]=1)*
  (TEXT(Contract_Edits[ParentAnchor],"0")=TEXT(Contract_Edits[[#This Row],[ParentAnchor]],"0"))*
  (VALUE(TEXT(Contract_Edits[Index],"0"))&lt;VALUE(TEXT(Contract_Edits[[#This Row],[Index]],"0")))
)</f>
        <v>1</v>
      </c>
      <c r="AN151" s="511"/>
      <c r="AO151" s="35"/>
      <c r="AP151" s="35" t="str">
        <f ca="1">IFERROR(+IF(AP$23=#REF!,Milestone_Marker,IF(AND(AP$23&gt;#REF!,AP$23&lt;#REF!+#REF!),#REF!,"")),"")</f>
        <v/>
      </c>
      <c r="AQ151" s="35" t="str">
        <f ca="1">IFERROR(+IF(AQ$23=#REF!,Milestone_Marker,IF(AND(AQ$23&gt;#REF!,AQ$23&lt;#REF!+#REF!),#REF!,"")),"")</f>
        <v/>
      </c>
      <c r="AR151" s="477"/>
      <c r="AS151" s="477"/>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9">
        <v>160</v>
      </c>
      <c r="M152" s="449"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88"/>
      <c r="R152" s="516"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2" s="179">
        <v>0</v>
      </c>
      <c r="T152" s="477"/>
      <c r="U152" s="500"/>
      <c r="V152" s="193"/>
      <c r="W152" s="22" t="s">
        <v>436</v>
      </c>
      <c r="Y152" s="492"/>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11">
        <f>--(
  ISNUMBER(SEARCH("BASE PARENT", UPPER(CLEAN(TRIM(_xlfn.XLOOKUP(TEXT(Contract_Edits[[#This Row],[Index]],"0"), baseIdxTxt, baseCost, "")))))) +
  ISNUMBER(SEARCH("DEPENDENCY GROUP", UPPER(CLEAN(TRIM(_xlfn.XLOOKUP(TEXT(Contract_Edits[[#This Row],[Index]],"0"), baseIdxTxt, baseCost, ""))))))
)</f>
        <v>0</v>
      </c>
      <c r="AG152" s="511" t="str" cm="1">
        <f t="array" ref="AG152">IF(Contract_Edits[[#This Row],[BaseFlag]]=1,
   10*BaseDepthL(TEXT(Contract_Edits[[#This Row],[Index]],"0"),500,editsIdxTxt,editsParentKeyTxt,baseIdxTxt,baseCost)-5,
   ""
)</f>
        <v/>
      </c>
      <c r="AH152" s="511"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61" t="str">
        <f>IF(Contract_Edits[[#This Row],[Dep]]=0,"Root",
   IF(ISNUMBER(MATCH(Contract_Edits[[#This Row],[Dep]],Contract_Edits[Index],0)),"OK","Missing")
)</f>
        <v>Root</v>
      </c>
      <c r="AJ152" s="461" t="e">
        <f>IF(AND(Contract_Edits[[#This Row],[Dep]]&lt;&gt;0,
        ISNUMBER(MATCH(Contract_Edits[[#This Row],[Dep]], Contract_Edits[Index], 0)),
        INDEX(Contract_Edits[Dep], MATCH(Contract_Edits[[#This Row],[Dep]], Contract_Edits[Index], 0))=Contract_Edits[[#This Row],[Index]]),
   "2-cycle","")</f>
        <v>#N/A</v>
      </c>
      <c r="AK152" s="461" cm="1">
        <f t="array" ref="AK152">IF(Contract_Edits[[#This Row],[BaseFlag]]&lt;&gt;1,0,
   IF(TEXT(Contract_Edits[[#This Row],[Dep]],"0")=TEXT(Contract_Edits[[#This Row],[Index]],"0"),
      0,
      MAX(0, SUMPRODUCT(--(Contract_Edits[BaseFlag]=1),
                        --(TEXT(Contract_Edits[Dep],"0")=TEXT(Contract_Edits[[#This Row],[Dep]],"0"))) - 1)
   )
)</f>
        <v>0</v>
      </c>
      <c r="AL152" s="461" t="str" cm="1">
        <f t="array" ref="AL152">IF(Contract_Edits[[#This Row],[BaseFlag]]=1,
   TEXT(Contract_Edits[[#This Row],[Index]],"0"),
   NearestBaseL(TEXT(Contract_Edits[[#This Row],[ParentKey]],"0"),500,editsIdxTxt,editsParentKeyTxt,baseIdxTxt,baseCost)
)</f>
        <v>0</v>
      </c>
      <c r="AM152" s="461" cm="1">
        <f t="array" ref="AM152">1+SUMPRODUCT(
  (Contract_Edits[BaseFlag]=1)*
  (TEXT(Contract_Edits[ParentAnchor],"0")=TEXT(Contract_Edits[[#This Row],[ParentAnchor]],"0"))*
  (VALUE(TEXT(Contract_Edits[Index],"0"))&lt;VALUE(TEXT(Contract_Edits[[#This Row],[Index]],"0")))
)</f>
        <v>1</v>
      </c>
      <c r="AN152" s="461"/>
      <c r="AO152" s="193"/>
      <c r="AP152" s="193"/>
      <c r="AQ152" s="193"/>
      <c r="AR152" s="477"/>
      <c r="AS152" s="477"/>
      <c r="BB152" s="34"/>
      <c r="BC152" s="34"/>
      <c r="BD152" s="34"/>
      <c r="BE152" s="34"/>
      <c r="BY152"/>
      <c r="BZ152"/>
      <c r="CA152"/>
      <c r="CB152"/>
    </row>
    <row r="153" spans="11:80" ht="15">
      <c r="K153" s="104"/>
      <c r="L153" s="449">
        <v>113</v>
      </c>
      <c r="M153" s="449"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76"/>
      <c r="R153" s="516"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3" s="179">
        <v>0</v>
      </c>
      <c r="T153" s="179">
        <v>0</v>
      </c>
      <c r="U153" s="11"/>
      <c r="V153"/>
      <c r="W153" s="22" t="s">
        <v>436</v>
      </c>
      <c r="X153" s="22" t="s">
        <v>682</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11">
        <f>--(
  ISNUMBER(SEARCH("BASE PARENT", UPPER(CLEAN(TRIM(_xlfn.XLOOKUP(TEXT(Contract_Edits[[#This Row],[Index]],"0"), baseIdxTxt, baseCost, "")))))) +
  ISNUMBER(SEARCH("DEPENDENCY GROUP", UPPER(CLEAN(TRIM(_xlfn.XLOOKUP(TEXT(Contract_Edits[[#This Row],[Index]],"0"), baseIdxTxt, baseCost, ""))))))
)</f>
        <v>0</v>
      </c>
      <c r="AG153" s="511" t="str" cm="1">
        <f t="array" ref="AG153">IF(Contract_Edits[[#This Row],[BaseFlag]]=1,
   10*BaseDepthL(TEXT(Contract_Edits[[#This Row],[Index]],"0"),500,editsIdxTxt,editsParentKeyTxt,baseIdxTxt,baseCost)-5,
   ""
)</f>
        <v/>
      </c>
      <c r="AH153" s="511"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61" t="str">
        <f>IF(Contract_Edits[[#This Row],[Dep]]=0,"Root",
   IF(ISNUMBER(MATCH(Contract_Edits[[#This Row],[Dep]],Contract_Edits[Index],0)),"OK","Missing")
)</f>
        <v>Root</v>
      </c>
      <c r="AJ153" s="461" t="e">
        <f>IF(AND(Contract_Edits[[#This Row],[Dep]]&lt;&gt;0,
        ISNUMBER(MATCH(Contract_Edits[[#This Row],[Dep]], Contract_Edits[Index], 0)),
        INDEX(Contract_Edits[Dep], MATCH(Contract_Edits[[#This Row],[Dep]], Contract_Edits[Index], 0))=Contract_Edits[[#This Row],[Index]]),
   "2-cycle","")</f>
        <v>#N/A</v>
      </c>
      <c r="AK153" s="461" cm="1">
        <f t="array" ref="AK153">IF(Contract_Edits[[#This Row],[BaseFlag]]&lt;&gt;1,0,
   IF(TEXT(Contract_Edits[[#This Row],[Dep]],"0")=TEXT(Contract_Edits[[#This Row],[Index]],"0"),
      0,
      MAX(0, SUMPRODUCT(--(Contract_Edits[BaseFlag]=1),
                        --(TEXT(Contract_Edits[Dep],"0")=TEXT(Contract_Edits[[#This Row],[Dep]],"0"))) - 1)
   )
)</f>
        <v>0</v>
      </c>
      <c r="AL153" s="461" t="str" cm="1">
        <f t="array" ref="AL153">IF(Contract_Edits[[#This Row],[BaseFlag]]=1,
   TEXT(Contract_Edits[[#This Row],[Index]],"0"),
   NearestBaseL(TEXT(Contract_Edits[[#This Row],[ParentKey]],"0"),500,editsIdxTxt,editsParentKeyTxt,baseIdxTxt,baseCost)
)</f>
        <v>0</v>
      </c>
      <c r="AM153" s="461" cm="1">
        <f t="array" ref="AM153">1+SUMPRODUCT(
  (Contract_Edits[BaseFlag]=1)*
  (TEXT(Contract_Edits[ParentAnchor],"0")=TEXT(Contract_Edits[[#This Row],[ParentAnchor]],"0"))*
  (VALUE(TEXT(Contract_Edits[Index],"0"))&lt;VALUE(TEXT(Contract_Edits[[#This Row],[Index]],"0")))
)</f>
        <v>1</v>
      </c>
      <c r="AN153" s="461"/>
      <c r="AO153" s="193"/>
      <c r="AP153" s="193"/>
      <c r="AQ153" s="193"/>
      <c r="AR153" s="477"/>
      <c r="AS153" s="477"/>
      <c r="AW153" s="770"/>
      <c r="AX153" s="770"/>
      <c r="AY153" s="770"/>
      <c r="AZ153" s="770"/>
      <c r="BB153" s="34"/>
      <c r="BC153" s="34"/>
      <c r="BD153" s="34"/>
      <c r="BE153" s="34"/>
      <c r="BY153"/>
      <c r="BZ153"/>
      <c r="CA153"/>
      <c r="CB153"/>
    </row>
    <row r="154" spans="11:80" ht="15">
      <c r="K154" s="104"/>
      <c r="L154" s="449">
        <v>161</v>
      </c>
      <c r="M154" s="449"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88"/>
      <c r="R154" s="516"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4" s="179">
        <v>0</v>
      </c>
      <c r="T154" s="477"/>
      <c r="U154" s="500"/>
      <c r="V154" s="193"/>
      <c r="W154" s="22" t="s">
        <v>436</v>
      </c>
      <c r="Y154" s="492"/>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11">
        <f>--(
  ISNUMBER(SEARCH("BASE PARENT", UPPER(CLEAN(TRIM(_xlfn.XLOOKUP(TEXT(Contract_Edits[[#This Row],[Index]],"0"), baseIdxTxt, baseCost, "")))))) +
  ISNUMBER(SEARCH("DEPENDENCY GROUP", UPPER(CLEAN(TRIM(_xlfn.XLOOKUP(TEXT(Contract_Edits[[#This Row],[Index]],"0"), baseIdxTxt, baseCost, ""))))))
)</f>
        <v>0</v>
      </c>
      <c r="AG154" s="511" t="str" cm="1">
        <f t="array" ref="AG154">IF(Contract_Edits[[#This Row],[BaseFlag]]=1,
   10*BaseDepthL(TEXT(Contract_Edits[[#This Row],[Index]],"0"),500,editsIdxTxt,editsParentKeyTxt,baseIdxTxt,baseCost)-5,
   ""
)</f>
        <v/>
      </c>
      <c r="AH154" s="511"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61" t="str">
        <f>IF(Contract_Edits[[#This Row],[Dep]]=0,"Root",
   IF(ISNUMBER(MATCH(Contract_Edits[[#This Row],[Dep]],Contract_Edits[Index],0)),"OK","Missing")
)</f>
        <v>Root</v>
      </c>
      <c r="AJ154" s="461" t="e">
        <f>IF(AND(Contract_Edits[[#This Row],[Dep]]&lt;&gt;0,
        ISNUMBER(MATCH(Contract_Edits[[#This Row],[Dep]], Contract_Edits[Index], 0)),
        INDEX(Contract_Edits[Dep], MATCH(Contract_Edits[[#This Row],[Dep]], Contract_Edits[Index], 0))=Contract_Edits[[#This Row],[Index]]),
   "2-cycle","")</f>
        <v>#N/A</v>
      </c>
      <c r="AK154" s="461" cm="1">
        <f t="array" ref="AK154">IF(Contract_Edits[[#This Row],[BaseFlag]]&lt;&gt;1,0,
   IF(TEXT(Contract_Edits[[#This Row],[Dep]],"0")=TEXT(Contract_Edits[[#This Row],[Index]],"0"),
      0,
      MAX(0, SUMPRODUCT(--(Contract_Edits[BaseFlag]=1),
                        --(TEXT(Contract_Edits[Dep],"0")=TEXT(Contract_Edits[[#This Row],[Dep]],"0"))) - 1)
   )
)</f>
        <v>0</v>
      </c>
      <c r="AL154" s="461" t="str" cm="1">
        <f t="array" ref="AL154">IF(Contract_Edits[[#This Row],[BaseFlag]]=1,
   TEXT(Contract_Edits[[#This Row],[Index]],"0"),
   NearestBaseL(TEXT(Contract_Edits[[#This Row],[ParentKey]],"0"),500,editsIdxTxt,editsParentKeyTxt,baseIdxTxt,baseCost)
)</f>
        <v>0</v>
      </c>
      <c r="AM154" s="461" cm="1">
        <f t="array" ref="AM154">1+SUMPRODUCT(
  (Contract_Edits[BaseFlag]=1)*
  (TEXT(Contract_Edits[ParentAnchor],"0")=TEXT(Contract_Edits[[#This Row],[ParentAnchor]],"0"))*
  (VALUE(TEXT(Contract_Edits[Index],"0"))&lt;VALUE(TEXT(Contract_Edits[[#This Row],[Index]],"0")))
)</f>
        <v>1</v>
      </c>
      <c r="AN154" s="461"/>
      <c r="AO154" s="193"/>
      <c r="AP154" s="193"/>
      <c r="AQ154" s="193"/>
      <c r="AR154" s="477"/>
      <c r="AS154" s="477"/>
      <c r="BC154" s="34"/>
      <c r="BD154" s="34"/>
      <c r="BE154" s="34"/>
      <c r="BZ154"/>
      <c r="CA154"/>
      <c r="CB154"/>
    </row>
    <row r="155" spans="11:80" ht="15">
      <c r="K155" s="104"/>
      <c r="L155" s="449">
        <v>85</v>
      </c>
      <c r="M155" s="449"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76"/>
      <c r="R155" s="516"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5" s="179">
        <v>0</v>
      </c>
      <c r="T155" s="179">
        <v>0</v>
      </c>
      <c r="U155" s="11"/>
      <c r="V155"/>
      <c r="W155" s="22" t="s">
        <v>436</v>
      </c>
      <c r="X155" s="22" t="s">
        <v>682</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11">
        <f>--(
  ISNUMBER(SEARCH("BASE PARENT", UPPER(CLEAN(TRIM(_xlfn.XLOOKUP(TEXT(Contract_Edits[[#This Row],[Index]],"0"), baseIdxTxt, baseCost, "")))))) +
  ISNUMBER(SEARCH("DEPENDENCY GROUP", UPPER(CLEAN(TRIM(_xlfn.XLOOKUP(TEXT(Contract_Edits[[#This Row],[Index]],"0"), baseIdxTxt, baseCost, ""))))))
)</f>
        <v>0</v>
      </c>
      <c r="AG155" s="511" t="str" cm="1">
        <f t="array" ref="AG155">IF(Contract_Edits[[#This Row],[BaseFlag]]=1,
   10*BaseDepthL(TEXT(Contract_Edits[[#This Row],[Index]],"0"),500,editsIdxTxt,editsParentKeyTxt,baseIdxTxt,baseCost)-5,
   ""
)</f>
        <v/>
      </c>
      <c r="AH155" s="511"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61" t="str">
        <f>IF(Contract_Edits[[#This Row],[Dep]]=0,"Root",
   IF(ISNUMBER(MATCH(Contract_Edits[[#This Row],[Dep]],Contract_Edits[Index],0)),"OK","Missing")
)</f>
        <v>Root</v>
      </c>
      <c r="AJ155" s="461" t="e">
        <f>IF(AND(Contract_Edits[[#This Row],[Dep]]&lt;&gt;0,
        ISNUMBER(MATCH(Contract_Edits[[#This Row],[Dep]], Contract_Edits[Index], 0)),
        INDEX(Contract_Edits[Dep], MATCH(Contract_Edits[[#This Row],[Dep]], Contract_Edits[Index], 0))=Contract_Edits[[#This Row],[Index]]),
   "2-cycle","")</f>
        <v>#N/A</v>
      </c>
      <c r="AK155" s="461" cm="1">
        <f t="array" ref="AK155">IF(Contract_Edits[[#This Row],[BaseFlag]]&lt;&gt;1,0,
   IF(TEXT(Contract_Edits[[#This Row],[Dep]],"0")=TEXT(Contract_Edits[[#This Row],[Index]],"0"),
      0,
      MAX(0, SUMPRODUCT(--(Contract_Edits[BaseFlag]=1),
                        --(TEXT(Contract_Edits[Dep],"0")=TEXT(Contract_Edits[[#This Row],[Dep]],"0"))) - 1)
   )
)</f>
        <v>0</v>
      </c>
      <c r="AL155" s="461" t="str" cm="1">
        <f t="array" ref="AL155">IF(Contract_Edits[[#This Row],[BaseFlag]]=1,
   TEXT(Contract_Edits[[#This Row],[Index]],"0"),
   NearestBaseL(TEXT(Contract_Edits[[#This Row],[ParentKey]],"0"),500,editsIdxTxt,editsParentKeyTxt,baseIdxTxt,baseCost)
)</f>
        <v>0</v>
      </c>
      <c r="AM155" s="461" cm="1">
        <f t="array" ref="AM155">1+SUMPRODUCT(
  (Contract_Edits[BaseFlag]=1)*
  (TEXT(Contract_Edits[ParentAnchor],"0")=TEXT(Contract_Edits[[#This Row],[ParentAnchor]],"0"))*
  (VALUE(TEXT(Contract_Edits[Index],"0"))&lt;VALUE(TEXT(Contract_Edits[[#This Row],[Index]],"0")))
)</f>
        <v>1</v>
      </c>
      <c r="AN155" s="461"/>
      <c r="AO155" s="193"/>
      <c r="AP155" s="193"/>
      <c r="AQ155" s="193"/>
      <c r="AR155" s="477"/>
      <c r="AS155" s="477"/>
      <c r="BC155" s="34"/>
      <c r="BD155" s="34"/>
      <c r="BE155" s="34"/>
      <c r="BZ155"/>
      <c r="CA155"/>
      <c r="CB155"/>
    </row>
    <row r="156" spans="11:80" ht="15">
      <c r="K156" s="104"/>
      <c r="L156" s="449">
        <v>84</v>
      </c>
      <c r="M156" s="449"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76"/>
      <c r="R156" s="516"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6" s="179">
        <v>0</v>
      </c>
      <c r="T156" s="179">
        <v>0</v>
      </c>
      <c r="U156" s="11"/>
      <c r="V156"/>
      <c r="W156" s="22" t="s">
        <v>436</v>
      </c>
      <c r="X156" s="22" t="s">
        <v>682</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11">
        <f>--(
  ISNUMBER(SEARCH("BASE PARENT", UPPER(CLEAN(TRIM(_xlfn.XLOOKUP(TEXT(Contract_Edits[[#This Row],[Index]],"0"), baseIdxTxt, baseCost, "")))))) +
  ISNUMBER(SEARCH("DEPENDENCY GROUP", UPPER(CLEAN(TRIM(_xlfn.XLOOKUP(TEXT(Contract_Edits[[#This Row],[Index]],"0"), baseIdxTxt, baseCost, ""))))))
)</f>
        <v>0</v>
      </c>
      <c r="AG156" s="511" t="str" cm="1">
        <f t="array" ref="AG156">IF(Contract_Edits[[#This Row],[BaseFlag]]=1,
   10*BaseDepthL(TEXT(Contract_Edits[[#This Row],[Index]],"0"),500,editsIdxTxt,editsParentKeyTxt,baseIdxTxt,baseCost)-5,
   ""
)</f>
        <v/>
      </c>
      <c r="AH156" s="511"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61" t="str">
        <f>IF(Contract_Edits[[#This Row],[Dep]]=0,"Root",
   IF(ISNUMBER(MATCH(Contract_Edits[[#This Row],[Dep]],Contract_Edits[Index],0)),"OK","Missing")
)</f>
        <v>Root</v>
      </c>
      <c r="AJ156" s="461" t="e">
        <f>IF(AND(Contract_Edits[[#This Row],[Dep]]&lt;&gt;0,
        ISNUMBER(MATCH(Contract_Edits[[#This Row],[Dep]], Contract_Edits[Index], 0)),
        INDEX(Contract_Edits[Dep], MATCH(Contract_Edits[[#This Row],[Dep]], Contract_Edits[Index], 0))=Contract_Edits[[#This Row],[Index]]),
   "2-cycle","")</f>
        <v>#N/A</v>
      </c>
      <c r="AK156" s="461" cm="1">
        <f t="array" ref="AK156">IF(Contract_Edits[[#This Row],[BaseFlag]]&lt;&gt;1,0,
   IF(TEXT(Contract_Edits[[#This Row],[Dep]],"0")=TEXT(Contract_Edits[[#This Row],[Index]],"0"),
      0,
      MAX(0, SUMPRODUCT(--(Contract_Edits[BaseFlag]=1),
                        --(TEXT(Contract_Edits[Dep],"0")=TEXT(Contract_Edits[[#This Row],[Dep]],"0"))) - 1)
   )
)</f>
        <v>0</v>
      </c>
      <c r="AL156" s="461" t="str" cm="1">
        <f t="array" ref="AL156">IF(Contract_Edits[[#This Row],[BaseFlag]]=1,
   TEXT(Contract_Edits[[#This Row],[Index]],"0"),
   NearestBaseL(TEXT(Contract_Edits[[#This Row],[ParentKey]],"0"),500,editsIdxTxt,editsParentKeyTxt,baseIdxTxt,baseCost)
)</f>
        <v>0</v>
      </c>
      <c r="AM156" s="461" cm="1">
        <f t="array" ref="AM156">1+SUMPRODUCT(
  (Contract_Edits[BaseFlag]=1)*
  (TEXT(Contract_Edits[ParentAnchor],"0")=TEXT(Contract_Edits[[#This Row],[ParentAnchor]],"0"))*
  (VALUE(TEXT(Contract_Edits[Index],"0"))&lt;VALUE(TEXT(Contract_Edits[[#This Row],[Index]],"0")))
)</f>
        <v>1</v>
      </c>
      <c r="AN156" s="461"/>
      <c r="AO156" s="193"/>
      <c r="AP156" s="193"/>
      <c r="AQ156" s="193"/>
      <c r="BC156" s="34"/>
      <c r="BD156" s="34"/>
      <c r="BE156" s="34"/>
      <c r="BZ156"/>
      <c r="CA156"/>
      <c r="CB156"/>
    </row>
    <row r="157" spans="11:80" ht="15">
      <c r="K157" s="104"/>
      <c r="L157" s="449">
        <v>114</v>
      </c>
      <c r="M157" s="449"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76"/>
      <c r="R157" s="516"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7" s="179">
        <v>0</v>
      </c>
      <c r="T157" s="179">
        <v>0</v>
      </c>
      <c r="U157" s="11"/>
      <c r="V157"/>
      <c r="W157" s="22" t="s">
        <v>436</v>
      </c>
      <c r="X157" s="22" t="s">
        <v>682</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11">
        <f>--(
  ISNUMBER(SEARCH("BASE PARENT", UPPER(CLEAN(TRIM(_xlfn.XLOOKUP(TEXT(Contract_Edits[[#This Row],[Index]],"0"), baseIdxTxt, baseCost, "")))))) +
  ISNUMBER(SEARCH("DEPENDENCY GROUP", UPPER(CLEAN(TRIM(_xlfn.XLOOKUP(TEXT(Contract_Edits[[#This Row],[Index]],"0"), baseIdxTxt, baseCost, ""))))))
)</f>
        <v>0</v>
      </c>
      <c r="AG157" s="511" t="str" cm="1">
        <f t="array" ref="AG157">IF(Contract_Edits[[#This Row],[BaseFlag]]=1,
   10*BaseDepthL(TEXT(Contract_Edits[[#This Row],[Index]],"0"),500,editsIdxTxt,editsParentKeyTxt,baseIdxTxt,baseCost)-5,
   ""
)</f>
        <v/>
      </c>
      <c r="AH157" s="511"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61" t="str">
        <f>IF(Contract_Edits[[#This Row],[Dep]]=0,"Root",
   IF(ISNUMBER(MATCH(Contract_Edits[[#This Row],[Dep]],Contract_Edits[Index],0)),"OK","Missing")
)</f>
        <v>Root</v>
      </c>
      <c r="AJ157" s="461" t="e">
        <f>IF(AND(Contract_Edits[[#This Row],[Dep]]&lt;&gt;0,
        ISNUMBER(MATCH(Contract_Edits[[#This Row],[Dep]], Contract_Edits[Index], 0)),
        INDEX(Contract_Edits[Dep], MATCH(Contract_Edits[[#This Row],[Dep]], Contract_Edits[Index], 0))=Contract_Edits[[#This Row],[Index]]),
   "2-cycle","")</f>
        <v>#N/A</v>
      </c>
      <c r="AK157" s="461" cm="1">
        <f t="array" ref="AK157">IF(Contract_Edits[[#This Row],[BaseFlag]]&lt;&gt;1,0,
   IF(TEXT(Contract_Edits[[#This Row],[Dep]],"0")=TEXT(Contract_Edits[[#This Row],[Index]],"0"),
      0,
      MAX(0, SUMPRODUCT(--(Contract_Edits[BaseFlag]=1),
                        --(TEXT(Contract_Edits[Dep],"0")=TEXT(Contract_Edits[[#This Row],[Dep]],"0"))) - 1)
   )
)</f>
        <v>0</v>
      </c>
      <c r="AL157" s="461" t="str" cm="1">
        <f t="array" ref="AL157">IF(Contract_Edits[[#This Row],[BaseFlag]]=1,
   TEXT(Contract_Edits[[#This Row],[Index]],"0"),
   NearestBaseL(TEXT(Contract_Edits[[#This Row],[ParentKey]],"0"),500,editsIdxTxt,editsParentKeyTxt,baseIdxTxt,baseCost)
)</f>
        <v>0</v>
      </c>
      <c r="AM157" s="461" cm="1">
        <f t="array" ref="AM157">1+SUMPRODUCT(
  (Contract_Edits[BaseFlag]=1)*
  (TEXT(Contract_Edits[ParentAnchor],"0")=TEXT(Contract_Edits[[#This Row],[ParentAnchor]],"0"))*
  (VALUE(TEXT(Contract_Edits[Index],"0"))&lt;VALUE(TEXT(Contract_Edits[[#This Row],[Index]],"0")))
)</f>
        <v>1</v>
      </c>
      <c r="AN157" s="461"/>
      <c r="AO157" s="193"/>
      <c r="AP157" s="193"/>
      <c r="AQ157" s="193"/>
      <c r="BC157" s="34"/>
      <c r="BD157" s="34"/>
      <c r="BE157" s="34"/>
      <c r="BZ157"/>
      <c r="CA157"/>
      <c r="CB157"/>
    </row>
    <row r="158" spans="11:80" ht="15">
      <c r="K158" s="104"/>
      <c r="L158" s="449">
        <v>115</v>
      </c>
      <c r="M158" s="449"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76"/>
      <c r="R158" s="516"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8" s="179">
        <v>0</v>
      </c>
      <c r="T158" s="179">
        <v>0</v>
      </c>
      <c r="U158" s="11"/>
      <c r="V158"/>
      <c r="W158" s="22" t="s">
        <v>436</v>
      </c>
      <c r="X158" s="22" t="s">
        <v>682</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11">
        <f>--(
  ISNUMBER(SEARCH("BASE PARENT", UPPER(CLEAN(TRIM(_xlfn.XLOOKUP(TEXT(Contract_Edits[[#This Row],[Index]],"0"), baseIdxTxt, baseCost, "")))))) +
  ISNUMBER(SEARCH("DEPENDENCY GROUP", UPPER(CLEAN(TRIM(_xlfn.XLOOKUP(TEXT(Contract_Edits[[#This Row],[Index]],"0"), baseIdxTxt, baseCost, ""))))))
)</f>
        <v>0</v>
      </c>
      <c r="AG158" s="511" t="str" cm="1">
        <f t="array" ref="AG158">IF(Contract_Edits[[#This Row],[BaseFlag]]=1,
   10*BaseDepthL(TEXT(Contract_Edits[[#This Row],[Index]],"0"),500,editsIdxTxt,editsParentKeyTxt,baseIdxTxt,baseCost)-5,
   ""
)</f>
        <v/>
      </c>
      <c r="AH158" s="511"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61" t="str">
        <f>IF(Contract_Edits[[#This Row],[Dep]]=0,"Root",
   IF(ISNUMBER(MATCH(Contract_Edits[[#This Row],[Dep]],Contract_Edits[Index],0)),"OK","Missing")
)</f>
        <v>Root</v>
      </c>
      <c r="AJ158" s="461" t="e">
        <f>IF(AND(Contract_Edits[[#This Row],[Dep]]&lt;&gt;0,
        ISNUMBER(MATCH(Contract_Edits[[#This Row],[Dep]], Contract_Edits[Index], 0)),
        INDEX(Contract_Edits[Dep], MATCH(Contract_Edits[[#This Row],[Dep]], Contract_Edits[Index], 0))=Contract_Edits[[#This Row],[Index]]),
   "2-cycle","")</f>
        <v>#N/A</v>
      </c>
      <c r="AK158" s="461" cm="1">
        <f t="array" ref="AK158">IF(Contract_Edits[[#This Row],[BaseFlag]]&lt;&gt;1,0,
   IF(TEXT(Contract_Edits[[#This Row],[Dep]],"0")=TEXT(Contract_Edits[[#This Row],[Index]],"0"),
      0,
      MAX(0, SUMPRODUCT(--(Contract_Edits[BaseFlag]=1),
                        --(TEXT(Contract_Edits[Dep],"0")=TEXT(Contract_Edits[[#This Row],[Dep]],"0"))) - 1)
   )
)</f>
        <v>0</v>
      </c>
      <c r="AL158" s="461" t="str" cm="1">
        <f t="array" ref="AL158">IF(Contract_Edits[[#This Row],[BaseFlag]]=1,
   TEXT(Contract_Edits[[#This Row],[Index]],"0"),
   NearestBaseL(TEXT(Contract_Edits[[#This Row],[ParentKey]],"0"),500,editsIdxTxt,editsParentKeyTxt,baseIdxTxt,baseCost)
)</f>
        <v>0</v>
      </c>
      <c r="AM158" s="461" cm="1">
        <f t="array" ref="AM158">1+SUMPRODUCT(
  (Contract_Edits[BaseFlag]=1)*
  (TEXT(Contract_Edits[ParentAnchor],"0")=TEXT(Contract_Edits[[#This Row],[ParentAnchor]],"0"))*
  (VALUE(TEXT(Contract_Edits[Index],"0"))&lt;VALUE(TEXT(Contract_Edits[[#This Row],[Index]],"0")))
)</f>
        <v>1</v>
      </c>
      <c r="AN158" s="461"/>
      <c r="AO158" s="193"/>
      <c r="AP158" s="193"/>
      <c r="AQ158" s="193"/>
      <c r="BC158" s="34"/>
      <c r="BD158" s="34"/>
      <c r="BE158" s="34"/>
      <c r="BZ158"/>
      <c r="CA158"/>
      <c r="CB158"/>
    </row>
    <row r="159" spans="11:80" ht="15">
      <c r="K159" s="104"/>
      <c r="L159" s="449">
        <v>162</v>
      </c>
      <c r="M159" s="449"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88"/>
      <c r="R159" s="516"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59" s="179">
        <v>0</v>
      </c>
      <c r="T159" s="477"/>
      <c r="U159" s="500"/>
      <c r="V159" s="193"/>
      <c r="W159" s="22" t="s">
        <v>436</v>
      </c>
      <c r="Y159" s="492"/>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11">
        <f>--(
  ISNUMBER(SEARCH("BASE PARENT", UPPER(CLEAN(TRIM(_xlfn.XLOOKUP(TEXT(Contract_Edits[[#This Row],[Index]],"0"), baseIdxTxt, baseCost, "")))))) +
  ISNUMBER(SEARCH("DEPENDENCY GROUP", UPPER(CLEAN(TRIM(_xlfn.XLOOKUP(TEXT(Contract_Edits[[#This Row],[Index]],"0"), baseIdxTxt, baseCost, ""))))))
)</f>
        <v>0</v>
      </c>
      <c r="AG159" s="511" t="str" cm="1">
        <f t="array" ref="AG159">IF(Contract_Edits[[#This Row],[BaseFlag]]=1,
   10*BaseDepthL(TEXT(Contract_Edits[[#This Row],[Index]],"0"),500,editsIdxTxt,editsParentKeyTxt,baseIdxTxt,baseCost)-5,
   ""
)</f>
        <v/>
      </c>
      <c r="AH159" s="511"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61" t="str">
        <f>IF(Contract_Edits[[#This Row],[Dep]]=0,"Root",
   IF(ISNUMBER(MATCH(Contract_Edits[[#This Row],[Dep]],Contract_Edits[Index],0)),"OK","Missing")
)</f>
        <v>Root</v>
      </c>
      <c r="AJ159" s="461" t="e">
        <f>IF(AND(Contract_Edits[[#This Row],[Dep]]&lt;&gt;0,
        ISNUMBER(MATCH(Contract_Edits[[#This Row],[Dep]], Contract_Edits[Index], 0)),
        INDEX(Contract_Edits[Dep], MATCH(Contract_Edits[[#This Row],[Dep]], Contract_Edits[Index], 0))=Contract_Edits[[#This Row],[Index]]),
   "2-cycle","")</f>
        <v>#N/A</v>
      </c>
      <c r="AK159" s="461" cm="1">
        <f t="array" ref="AK159">IF(Contract_Edits[[#This Row],[BaseFlag]]&lt;&gt;1,0,
   IF(TEXT(Contract_Edits[[#This Row],[Dep]],"0")=TEXT(Contract_Edits[[#This Row],[Index]],"0"),
      0,
      MAX(0, SUMPRODUCT(--(Contract_Edits[BaseFlag]=1),
                        --(TEXT(Contract_Edits[Dep],"0")=TEXT(Contract_Edits[[#This Row],[Dep]],"0"))) - 1)
   )
)</f>
        <v>0</v>
      </c>
      <c r="AL159" s="461" t="str" cm="1">
        <f t="array" ref="AL159">IF(Contract_Edits[[#This Row],[BaseFlag]]=1,
   TEXT(Contract_Edits[[#This Row],[Index]],"0"),
   NearestBaseL(TEXT(Contract_Edits[[#This Row],[ParentKey]],"0"),500,editsIdxTxt,editsParentKeyTxt,baseIdxTxt,baseCost)
)</f>
        <v>0</v>
      </c>
      <c r="AM159" s="461" cm="1">
        <f t="array" ref="AM159">1+SUMPRODUCT(
  (Contract_Edits[BaseFlag]=1)*
  (TEXT(Contract_Edits[ParentAnchor],"0")=TEXT(Contract_Edits[[#This Row],[ParentAnchor]],"0"))*
  (VALUE(TEXT(Contract_Edits[Index],"0"))&lt;VALUE(TEXT(Contract_Edits[[#This Row],[Index]],"0")))
)</f>
        <v>1</v>
      </c>
      <c r="AN159" s="461"/>
      <c r="AO159" s="193"/>
      <c r="AP159" s="193"/>
      <c r="AQ159" s="193"/>
      <c r="BC159" s="34"/>
      <c r="BD159" s="34"/>
      <c r="BE159" s="34"/>
      <c r="BZ159"/>
      <c r="CA159"/>
      <c r="CB159"/>
    </row>
    <row r="160" spans="11:80" ht="15">
      <c r="K160" s="104"/>
      <c r="L160" s="449">
        <v>135</v>
      </c>
      <c r="M160" s="449"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88"/>
      <c r="R160" s="516"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0" s="179">
        <v>0</v>
      </c>
      <c r="T160" s="477">
        <v>0</v>
      </c>
      <c r="U160" s="500"/>
      <c r="V160" s="193"/>
      <c r="W160" s="22" t="s">
        <v>436</v>
      </c>
      <c r="X160" s="492" t="s">
        <v>682</v>
      </c>
      <c r="Y160" s="492"/>
      <c r="Z160" s="498"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11">
        <f>--(
  ISNUMBER(SEARCH("BASE PARENT", UPPER(CLEAN(TRIM(_xlfn.XLOOKUP(TEXT(Contract_Edits[[#This Row],[Index]],"0"), baseIdxTxt, baseCost, "")))))) +
  ISNUMBER(SEARCH("DEPENDENCY GROUP", UPPER(CLEAN(TRIM(_xlfn.XLOOKUP(TEXT(Contract_Edits[[#This Row],[Index]],"0"), baseIdxTxt, baseCost, ""))))))
)</f>
        <v>0</v>
      </c>
      <c r="AG160" s="511" t="str" cm="1">
        <f t="array" ref="AG160">IF(Contract_Edits[[#This Row],[BaseFlag]]=1,
   10*BaseDepthL(TEXT(Contract_Edits[[#This Row],[Index]],"0"),500,editsIdxTxt,editsParentKeyTxt,baseIdxTxt,baseCost)-5,
   ""
)</f>
        <v/>
      </c>
      <c r="AH160" s="511"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61" t="str">
        <f>IF(Contract_Edits[[#This Row],[Dep]]=0,"Root",
   IF(ISNUMBER(MATCH(Contract_Edits[[#This Row],[Dep]],Contract_Edits[Index],0)),"OK","Missing")
)</f>
        <v>Root</v>
      </c>
      <c r="AJ160" s="461" t="e">
        <f>IF(AND(Contract_Edits[[#This Row],[Dep]]&lt;&gt;0,
        ISNUMBER(MATCH(Contract_Edits[[#This Row],[Dep]], Contract_Edits[Index], 0)),
        INDEX(Contract_Edits[Dep], MATCH(Contract_Edits[[#This Row],[Dep]], Contract_Edits[Index], 0))=Contract_Edits[[#This Row],[Index]]),
   "2-cycle","")</f>
        <v>#N/A</v>
      </c>
      <c r="AK160" s="461" cm="1">
        <f t="array" ref="AK160">IF(Contract_Edits[[#This Row],[BaseFlag]]&lt;&gt;1,0,
   IF(TEXT(Contract_Edits[[#This Row],[Dep]],"0")=TEXT(Contract_Edits[[#This Row],[Index]],"0"),
      0,
      MAX(0, SUMPRODUCT(--(Contract_Edits[BaseFlag]=1),
                        --(TEXT(Contract_Edits[Dep],"0")=TEXT(Contract_Edits[[#This Row],[Dep]],"0"))) - 1)
   )
)</f>
        <v>0</v>
      </c>
      <c r="AL160" s="461" t="str" cm="1">
        <f t="array" ref="AL160">IF(Contract_Edits[[#This Row],[BaseFlag]]=1,
   TEXT(Contract_Edits[[#This Row],[Index]],"0"),
   NearestBaseL(TEXT(Contract_Edits[[#This Row],[ParentKey]],"0"),500,editsIdxTxt,editsParentKeyTxt,baseIdxTxt,baseCost)
)</f>
        <v>0</v>
      </c>
      <c r="AM160" s="461" cm="1">
        <f t="array" ref="AM160">1+SUMPRODUCT(
  (Contract_Edits[BaseFlag]=1)*
  (TEXT(Contract_Edits[ParentAnchor],"0")=TEXT(Contract_Edits[[#This Row],[ParentAnchor]],"0"))*
  (VALUE(TEXT(Contract_Edits[Index],"0"))&lt;VALUE(TEXT(Contract_Edits[[#This Row],[Index]],"0")))
)</f>
        <v>1</v>
      </c>
      <c r="AN160" s="461"/>
      <c r="AO160" s="193"/>
      <c r="AP160" s="193"/>
      <c r="AQ160" s="193"/>
      <c r="BC160" s="34"/>
      <c r="BD160" s="34"/>
      <c r="BE160" s="34"/>
      <c r="BZ160"/>
      <c r="CA160"/>
      <c r="CB160"/>
    </row>
    <row r="161" spans="11:80" ht="15">
      <c r="K161" s="104"/>
      <c r="L161" s="449">
        <v>88</v>
      </c>
      <c r="M161" s="449"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76"/>
      <c r="R161" s="516"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1" s="179">
        <v>0</v>
      </c>
      <c r="T161" s="179">
        <v>0</v>
      </c>
      <c r="U161" s="11"/>
      <c r="V161"/>
      <c r="W161" s="22" t="s">
        <v>436</v>
      </c>
      <c r="X161" s="22" t="s">
        <v>682</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11">
        <f>--(
  ISNUMBER(SEARCH("BASE PARENT", UPPER(CLEAN(TRIM(_xlfn.XLOOKUP(TEXT(Contract_Edits[[#This Row],[Index]],"0"), baseIdxTxt, baseCost, "")))))) +
  ISNUMBER(SEARCH("DEPENDENCY GROUP", UPPER(CLEAN(TRIM(_xlfn.XLOOKUP(TEXT(Contract_Edits[[#This Row],[Index]],"0"), baseIdxTxt, baseCost, ""))))))
)</f>
        <v>0</v>
      </c>
      <c r="AG161" s="511" t="str" cm="1">
        <f t="array" ref="AG161">IF(Contract_Edits[[#This Row],[BaseFlag]]=1,
   10*BaseDepthL(TEXT(Contract_Edits[[#This Row],[Index]],"0"),500,editsIdxTxt,editsParentKeyTxt,baseIdxTxt,baseCost)-5,
   ""
)</f>
        <v/>
      </c>
      <c r="AH161" s="511"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61" t="str">
        <f>IF(Contract_Edits[[#This Row],[Dep]]=0,"Root",
   IF(ISNUMBER(MATCH(Contract_Edits[[#This Row],[Dep]],Contract_Edits[Index],0)),"OK","Missing")
)</f>
        <v>Root</v>
      </c>
      <c r="AJ161" s="461" t="e">
        <f>IF(AND(Contract_Edits[[#This Row],[Dep]]&lt;&gt;0,
        ISNUMBER(MATCH(Contract_Edits[[#This Row],[Dep]], Contract_Edits[Index], 0)),
        INDEX(Contract_Edits[Dep], MATCH(Contract_Edits[[#This Row],[Dep]], Contract_Edits[Index], 0))=Contract_Edits[[#This Row],[Index]]),
   "2-cycle","")</f>
        <v>#N/A</v>
      </c>
      <c r="AK161" s="461" cm="1">
        <f t="array" ref="AK161">IF(Contract_Edits[[#This Row],[BaseFlag]]&lt;&gt;1,0,
   IF(TEXT(Contract_Edits[[#This Row],[Dep]],"0")=TEXT(Contract_Edits[[#This Row],[Index]],"0"),
      0,
      MAX(0, SUMPRODUCT(--(Contract_Edits[BaseFlag]=1),
                        --(TEXT(Contract_Edits[Dep],"0")=TEXT(Contract_Edits[[#This Row],[Dep]],"0"))) - 1)
   )
)</f>
        <v>0</v>
      </c>
      <c r="AL161" s="461" t="str" cm="1">
        <f t="array" ref="AL161">IF(Contract_Edits[[#This Row],[BaseFlag]]=1,
   TEXT(Contract_Edits[[#This Row],[Index]],"0"),
   NearestBaseL(TEXT(Contract_Edits[[#This Row],[ParentKey]],"0"),500,editsIdxTxt,editsParentKeyTxt,baseIdxTxt,baseCost)
)</f>
        <v>0</v>
      </c>
      <c r="AM161" s="461" cm="1">
        <f t="array" ref="AM161">1+SUMPRODUCT(
  (Contract_Edits[BaseFlag]=1)*
  (TEXT(Contract_Edits[ParentAnchor],"0")=TEXT(Contract_Edits[[#This Row],[ParentAnchor]],"0"))*
  (VALUE(TEXT(Contract_Edits[Index],"0"))&lt;VALUE(TEXT(Contract_Edits[[#This Row],[Index]],"0")))
)</f>
        <v>1</v>
      </c>
      <c r="AN161" s="461"/>
      <c r="AO161" s="193"/>
      <c r="AP161" s="193"/>
      <c r="AQ161" s="193"/>
      <c r="BC161" s="34"/>
      <c r="BD161" s="34"/>
      <c r="BE161" s="34"/>
      <c r="BZ161"/>
      <c r="CA161"/>
      <c r="CB161"/>
    </row>
    <row r="162" spans="11:80" ht="15">
      <c r="K162" s="104"/>
      <c r="L162" s="449">
        <v>99</v>
      </c>
      <c r="M162" s="449"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76"/>
      <c r="R162" s="516"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2" s="179">
        <v>0</v>
      </c>
      <c r="T162" s="179">
        <v>0</v>
      </c>
      <c r="U162" s="11"/>
      <c r="V162"/>
      <c r="W162" s="22" t="s">
        <v>436</v>
      </c>
      <c r="X162" s="22" t="s">
        <v>682</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11">
        <f>--(
  ISNUMBER(SEARCH("BASE PARENT", UPPER(CLEAN(TRIM(_xlfn.XLOOKUP(TEXT(Contract_Edits[[#This Row],[Index]],"0"), baseIdxTxt, baseCost, "")))))) +
  ISNUMBER(SEARCH("DEPENDENCY GROUP", UPPER(CLEAN(TRIM(_xlfn.XLOOKUP(TEXT(Contract_Edits[[#This Row],[Index]],"0"), baseIdxTxt, baseCost, ""))))))
)</f>
        <v>0</v>
      </c>
      <c r="AG162" s="511" t="str" cm="1">
        <f t="array" ref="AG162">IF(Contract_Edits[[#This Row],[BaseFlag]]=1,
   10*BaseDepthL(TEXT(Contract_Edits[[#This Row],[Index]],"0"),500,editsIdxTxt,editsParentKeyTxt,baseIdxTxt,baseCost)-5,
   ""
)</f>
        <v/>
      </c>
      <c r="AH162" s="511"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61" t="str">
        <f>IF(Contract_Edits[[#This Row],[Dep]]=0,"Root",
   IF(ISNUMBER(MATCH(Contract_Edits[[#This Row],[Dep]],Contract_Edits[Index],0)),"OK","Missing")
)</f>
        <v>Root</v>
      </c>
      <c r="AJ162" s="461" t="e">
        <f>IF(AND(Contract_Edits[[#This Row],[Dep]]&lt;&gt;0,
        ISNUMBER(MATCH(Contract_Edits[[#This Row],[Dep]], Contract_Edits[Index], 0)),
        INDEX(Contract_Edits[Dep], MATCH(Contract_Edits[[#This Row],[Dep]], Contract_Edits[Index], 0))=Contract_Edits[[#This Row],[Index]]),
   "2-cycle","")</f>
        <v>#N/A</v>
      </c>
      <c r="AK162" s="461" cm="1">
        <f t="array" ref="AK162">IF(Contract_Edits[[#This Row],[BaseFlag]]&lt;&gt;1,0,
   IF(TEXT(Contract_Edits[[#This Row],[Dep]],"0")=TEXT(Contract_Edits[[#This Row],[Index]],"0"),
      0,
      MAX(0, SUMPRODUCT(--(Contract_Edits[BaseFlag]=1),
                        --(TEXT(Contract_Edits[Dep],"0")=TEXT(Contract_Edits[[#This Row],[Dep]],"0"))) - 1)
   )
)</f>
        <v>0</v>
      </c>
      <c r="AL162" s="461" t="str" cm="1">
        <f t="array" ref="AL162">IF(Contract_Edits[[#This Row],[BaseFlag]]=1,
   TEXT(Contract_Edits[[#This Row],[Index]],"0"),
   NearestBaseL(TEXT(Contract_Edits[[#This Row],[ParentKey]],"0"),500,editsIdxTxt,editsParentKeyTxt,baseIdxTxt,baseCost)
)</f>
        <v>0</v>
      </c>
      <c r="AM162" s="461" cm="1">
        <f t="array" ref="AM162">1+SUMPRODUCT(
  (Contract_Edits[BaseFlag]=1)*
  (TEXT(Contract_Edits[ParentAnchor],"0")=TEXT(Contract_Edits[[#This Row],[ParentAnchor]],"0"))*
  (VALUE(TEXT(Contract_Edits[Index],"0"))&lt;VALUE(TEXT(Contract_Edits[[#This Row],[Index]],"0")))
)</f>
        <v>1</v>
      </c>
      <c r="AN162" s="461"/>
      <c r="AO162" s="193"/>
      <c r="AP162" s="193"/>
      <c r="AQ162" s="193"/>
      <c r="BC162" s="34"/>
      <c r="BD162" s="34"/>
      <c r="BE162" s="34"/>
      <c r="BZ162"/>
      <c r="CA162"/>
      <c r="CB162"/>
    </row>
    <row r="163" spans="11:80" ht="15">
      <c r="K163" s="104"/>
      <c r="L163" s="449">
        <v>116</v>
      </c>
      <c r="M163" s="449"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88"/>
      <c r="R163" s="516"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3" s="179">
        <v>0</v>
      </c>
      <c r="T163" s="477"/>
      <c r="U163" s="500"/>
      <c r="V163" s="193"/>
      <c r="W163" s="22" t="s">
        <v>436</v>
      </c>
      <c r="X163" s="492" t="s">
        <v>682</v>
      </c>
      <c r="Y163" s="492"/>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11">
        <f>--(
  ISNUMBER(SEARCH("BASE PARENT", UPPER(CLEAN(TRIM(_xlfn.XLOOKUP(TEXT(Contract_Edits[[#This Row],[Index]],"0"), baseIdxTxt, baseCost, "")))))) +
  ISNUMBER(SEARCH("DEPENDENCY GROUP", UPPER(CLEAN(TRIM(_xlfn.XLOOKUP(TEXT(Contract_Edits[[#This Row],[Index]],"0"), baseIdxTxt, baseCost, ""))))))
)</f>
        <v>0</v>
      </c>
      <c r="AG163" s="511" t="str" cm="1">
        <f t="array" ref="AG163">IF(Contract_Edits[[#This Row],[BaseFlag]]=1,
   10*BaseDepthL(TEXT(Contract_Edits[[#This Row],[Index]],"0"),500,editsIdxTxt,editsParentKeyTxt,baseIdxTxt,baseCost)-5,
   ""
)</f>
        <v/>
      </c>
      <c r="AH163" s="511"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61" t="str">
        <f>IF(Contract_Edits[[#This Row],[Dep]]=0,"Root",
   IF(ISNUMBER(MATCH(Contract_Edits[[#This Row],[Dep]],Contract_Edits[Index],0)),"OK","Missing")
)</f>
        <v>Root</v>
      </c>
      <c r="AJ163" s="461" t="e">
        <f>IF(AND(Contract_Edits[[#This Row],[Dep]]&lt;&gt;0,
        ISNUMBER(MATCH(Contract_Edits[[#This Row],[Dep]], Contract_Edits[Index], 0)),
        INDEX(Contract_Edits[Dep], MATCH(Contract_Edits[[#This Row],[Dep]], Contract_Edits[Index], 0))=Contract_Edits[[#This Row],[Index]]),
   "2-cycle","")</f>
        <v>#N/A</v>
      </c>
      <c r="AK163" s="461" cm="1">
        <f t="array" ref="AK163">IF(Contract_Edits[[#This Row],[BaseFlag]]&lt;&gt;1,0,
   IF(TEXT(Contract_Edits[[#This Row],[Dep]],"0")=TEXT(Contract_Edits[[#This Row],[Index]],"0"),
      0,
      MAX(0, SUMPRODUCT(--(Contract_Edits[BaseFlag]=1),
                        --(TEXT(Contract_Edits[Dep],"0")=TEXT(Contract_Edits[[#This Row],[Dep]],"0"))) - 1)
   )
)</f>
        <v>0</v>
      </c>
      <c r="AL163" s="461" t="str" cm="1">
        <f t="array" ref="AL163">IF(Contract_Edits[[#This Row],[BaseFlag]]=1,
   TEXT(Contract_Edits[[#This Row],[Index]],"0"),
   NearestBaseL(TEXT(Contract_Edits[[#This Row],[ParentKey]],"0"),500,editsIdxTxt,editsParentKeyTxt,baseIdxTxt,baseCost)
)</f>
        <v>0</v>
      </c>
      <c r="AM163" s="461" cm="1">
        <f t="array" ref="AM163">1+SUMPRODUCT(
  (Contract_Edits[BaseFlag]=1)*
  (TEXT(Contract_Edits[ParentAnchor],"0")=TEXT(Contract_Edits[[#This Row],[ParentAnchor]],"0"))*
  (VALUE(TEXT(Contract_Edits[Index],"0"))&lt;VALUE(TEXT(Contract_Edits[[#This Row],[Index]],"0")))
)</f>
        <v>1</v>
      </c>
      <c r="AN163" s="461"/>
      <c r="AO163" s="193"/>
      <c r="AP163" s="193"/>
      <c r="AQ163" s="193"/>
      <c r="BC163" s="34"/>
      <c r="BD163" s="34"/>
      <c r="BE163" s="34"/>
      <c r="BZ163"/>
      <c r="CA163"/>
      <c r="CB163"/>
    </row>
    <row r="164" spans="11:80" ht="15">
      <c r="K164" s="104"/>
      <c r="L164" s="449">
        <v>163</v>
      </c>
      <c r="M164" s="449"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88"/>
      <c r="R164" s="516"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4" s="179">
        <v>0</v>
      </c>
      <c r="T164" s="477"/>
      <c r="U164" s="500"/>
      <c r="V164" s="193"/>
      <c r="W164" s="22" t="s">
        <v>436</v>
      </c>
      <c r="Y164" s="492"/>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11">
        <f>--(
  ISNUMBER(SEARCH("BASE PARENT", UPPER(CLEAN(TRIM(_xlfn.XLOOKUP(TEXT(Contract_Edits[[#This Row],[Index]],"0"), baseIdxTxt, baseCost, "")))))) +
  ISNUMBER(SEARCH("DEPENDENCY GROUP", UPPER(CLEAN(TRIM(_xlfn.XLOOKUP(TEXT(Contract_Edits[[#This Row],[Index]],"0"), baseIdxTxt, baseCost, ""))))))
)</f>
        <v>0</v>
      </c>
      <c r="AG164" s="511" t="str" cm="1">
        <f t="array" ref="AG164">IF(Contract_Edits[[#This Row],[BaseFlag]]=1,
   10*BaseDepthL(TEXT(Contract_Edits[[#This Row],[Index]],"0"),500,editsIdxTxt,editsParentKeyTxt,baseIdxTxt,baseCost)-5,
   ""
)</f>
        <v/>
      </c>
      <c r="AH164" s="511"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61" t="str">
        <f>IF(Contract_Edits[[#This Row],[Dep]]=0,"Root",
   IF(ISNUMBER(MATCH(Contract_Edits[[#This Row],[Dep]],Contract_Edits[Index],0)),"OK","Missing")
)</f>
        <v>Root</v>
      </c>
      <c r="AJ164" s="461" t="e">
        <f>IF(AND(Contract_Edits[[#This Row],[Dep]]&lt;&gt;0,
        ISNUMBER(MATCH(Contract_Edits[[#This Row],[Dep]], Contract_Edits[Index], 0)),
        INDEX(Contract_Edits[Dep], MATCH(Contract_Edits[[#This Row],[Dep]], Contract_Edits[Index], 0))=Contract_Edits[[#This Row],[Index]]),
   "2-cycle","")</f>
        <v>#N/A</v>
      </c>
      <c r="AK164" s="461" cm="1">
        <f t="array" ref="AK164">IF(Contract_Edits[[#This Row],[BaseFlag]]&lt;&gt;1,0,
   IF(TEXT(Contract_Edits[[#This Row],[Dep]],"0")=TEXT(Contract_Edits[[#This Row],[Index]],"0"),
      0,
      MAX(0, SUMPRODUCT(--(Contract_Edits[BaseFlag]=1),
                        --(TEXT(Contract_Edits[Dep],"0")=TEXT(Contract_Edits[[#This Row],[Dep]],"0"))) - 1)
   )
)</f>
        <v>0</v>
      </c>
      <c r="AL164" s="461" t="str" cm="1">
        <f t="array" ref="AL164">IF(Contract_Edits[[#This Row],[BaseFlag]]=1,
   TEXT(Contract_Edits[[#This Row],[Index]],"0"),
   NearestBaseL(TEXT(Contract_Edits[[#This Row],[ParentKey]],"0"),500,editsIdxTxt,editsParentKeyTxt,baseIdxTxt,baseCost)
)</f>
        <v>0</v>
      </c>
      <c r="AM164" s="461" cm="1">
        <f t="array" ref="AM164">1+SUMPRODUCT(
  (Contract_Edits[BaseFlag]=1)*
  (TEXT(Contract_Edits[ParentAnchor],"0")=TEXT(Contract_Edits[[#This Row],[ParentAnchor]],"0"))*
  (VALUE(TEXT(Contract_Edits[Index],"0"))&lt;VALUE(TEXT(Contract_Edits[[#This Row],[Index]],"0")))
)</f>
        <v>1</v>
      </c>
      <c r="AN164" s="461"/>
      <c r="AO164" s="193"/>
      <c r="AP164" s="193"/>
      <c r="AQ164" s="193"/>
      <c r="BC164" s="34"/>
      <c r="BD164" s="34"/>
      <c r="BE164" s="34"/>
      <c r="BZ164"/>
      <c r="CA164"/>
      <c r="CB164"/>
    </row>
    <row r="165" spans="11:80" ht="15">
      <c r="K165" s="104"/>
      <c r="L165" s="449">
        <v>104</v>
      </c>
      <c r="M165" s="449"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76"/>
      <c r="R165" s="516"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5" s="179">
        <v>0</v>
      </c>
      <c r="T165" s="179">
        <v>0</v>
      </c>
      <c r="U165" s="11"/>
      <c r="V165"/>
      <c r="W165" s="22" t="s">
        <v>436</v>
      </c>
      <c r="X165" s="22" t="s">
        <v>682</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11">
        <f>--(
  ISNUMBER(SEARCH("BASE PARENT", UPPER(CLEAN(TRIM(_xlfn.XLOOKUP(TEXT(Contract_Edits[[#This Row],[Index]],"0"), baseIdxTxt, baseCost, "")))))) +
  ISNUMBER(SEARCH("DEPENDENCY GROUP", UPPER(CLEAN(TRIM(_xlfn.XLOOKUP(TEXT(Contract_Edits[[#This Row],[Index]],"0"), baseIdxTxt, baseCost, ""))))))
)</f>
        <v>0</v>
      </c>
      <c r="AG165" s="511" t="str" cm="1">
        <f t="array" ref="AG165">IF(Contract_Edits[[#This Row],[BaseFlag]]=1,
   10*BaseDepthL(TEXT(Contract_Edits[[#This Row],[Index]],"0"),500,editsIdxTxt,editsParentKeyTxt,baseIdxTxt,baseCost)-5,
   ""
)</f>
        <v/>
      </c>
      <c r="AH165" s="511"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61" t="str">
        <f>IF(Contract_Edits[[#This Row],[Dep]]=0,"Root",
   IF(ISNUMBER(MATCH(Contract_Edits[[#This Row],[Dep]],Contract_Edits[Index],0)),"OK","Missing")
)</f>
        <v>Root</v>
      </c>
      <c r="AJ165" s="461" t="e">
        <f>IF(AND(Contract_Edits[[#This Row],[Dep]]&lt;&gt;0,
        ISNUMBER(MATCH(Contract_Edits[[#This Row],[Dep]], Contract_Edits[Index], 0)),
        INDEX(Contract_Edits[Dep], MATCH(Contract_Edits[[#This Row],[Dep]], Contract_Edits[Index], 0))=Contract_Edits[[#This Row],[Index]]),
   "2-cycle","")</f>
        <v>#N/A</v>
      </c>
      <c r="AK165" s="461" cm="1">
        <f t="array" ref="AK165">IF(Contract_Edits[[#This Row],[BaseFlag]]&lt;&gt;1,0,
   IF(TEXT(Contract_Edits[[#This Row],[Dep]],"0")=TEXT(Contract_Edits[[#This Row],[Index]],"0"),
      0,
      MAX(0, SUMPRODUCT(--(Contract_Edits[BaseFlag]=1),
                        --(TEXT(Contract_Edits[Dep],"0")=TEXT(Contract_Edits[[#This Row],[Dep]],"0"))) - 1)
   )
)</f>
        <v>0</v>
      </c>
      <c r="AL165" s="461" t="str" cm="1">
        <f t="array" ref="AL165">IF(Contract_Edits[[#This Row],[BaseFlag]]=1,
   TEXT(Contract_Edits[[#This Row],[Index]],"0"),
   NearestBaseL(TEXT(Contract_Edits[[#This Row],[ParentKey]],"0"),500,editsIdxTxt,editsParentKeyTxt,baseIdxTxt,baseCost)
)</f>
        <v>0</v>
      </c>
      <c r="AM165" s="461" cm="1">
        <f t="array" ref="AM165">1+SUMPRODUCT(
  (Contract_Edits[BaseFlag]=1)*
  (TEXT(Contract_Edits[ParentAnchor],"0")=TEXT(Contract_Edits[[#This Row],[ParentAnchor]],"0"))*
  (VALUE(TEXT(Contract_Edits[Index],"0"))&lt;VALUE(TEXT(Contract_Edits[[#This Row],[Index]],"0")))
)</f>
        <v>1</v>
      </c>
      <c r="AN165" s="461"/>
      <c r="AO165" s="193"/>
      <c r="AP165" s="193"/>
      <c r="AQ165" s="193"/>
      <c r="BC165" s="34"/>
      <c r="BD165" s="34"/>
      <c r="BE165" s="34"/>
      <c r="BZ165"/>
      <c r="CA165"/>
      <c r="CB165"/>
    </row>
    <row r="166" spans="11:80" ht="15">
      <c r="K166" s="104"/>
      <c r="L166" s="449">
        <v>86</v>
      </c>
      <c r="M166" s="449"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76"/>
      <c r="R166" s="516"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6" s="179">
        <v>0</v>
      </c>
      <c r="T166" s="179">
        <v>0</v>
      </c>
      <c r="U166" s="11"/>
      <c r="V166"/>
      <c r="W166" s="22" t="s">
        <v>436</v>
      </c>
      <c r="X166" s="22" t="s">
        <v>682</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11">
        <f>--(
  ISNUMBER(SEARCH("BASE PARENT", UPPER(CLEAN(TRIM(_xlfn.XLOOKUP(TEXT(Contract_Edits[[#This Row],[Index]],"0"), baseIdxTxt, baseCost, "")))))) +
  ISNUMBER(SEARCH("DEPENDENCY GROUP", UPPER(CLEAN(TRIM(_xlfn.XLOOKUP(TEXT(Contract_Edits[[#This Row],[Index]],"0"), baseIdxTxt, baseCost, ""))))))
)</f>
        <v>0</v>
      </c>
      <c r="AG166" s="511" t="str" cm="1">
        <f t="array" ref="AG166">IF(Contract_Edits[[#This Row],[BaseFlag]]=1,
   10*BaseDepthL(TEXT(Contract_Edits[[#This Row],[Index]],"0"),500,editsIdxTxt,editsParentKeyTxt,baseIdxTxt,baseCost)-5,
   ""
)</f>
        <v/>
      </c>
      <c r="AH166" s="511"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61" t="str">
        <f>IF(Contract_Edits[[#This Row],[Dep]]=0,"Root",
   IF(ISNUMBER(MATCH(Contract_Edits[[#This Row],[Dep]],Contract_Edits[Index],0)),"OK","Missing")
)</f>
        <v>Root</v>
      </c>
      <c r="AJ166" s="461" t="e">
        <f>IF(AND(Contract_Edits[[#This Row],[Dep]]&lt;&gt;0,
        ISNUMBER(MATCH(Contract_Edits[[#This Row],[Dep]], Contract_Edits[Index], 0)),
        INDEX(Contract_Edits[Dep], MATCH(Contract_Edits[[#This Row],[Dep]], Contract_Edits[Index], 0))=Contract_Edits[[#This Row],[Index]]),
   "2-cycle","")</f>
        <v>#N/A</v>
      </c>
      <c r="AK166" s="461" cm="1">
        <f t="array" ref="AK166">IF(Contract_Edits[[#This Row],[BaseFlag]]&lt;&gt;1,0,
   IF(TEXT(Contract_Edits[[#This Row],[Dep]],"0")=TEXT(Contract_Edits[[#This Row],[Index]],"0"),
      0,
      MAX(0, SUMPRODUCT(--(Contract_Edits[BaseFlag]=1),
                        --(TEXT(Contract_Edits[Dep],"0")=TEXT(Contract_Edits[[#This Row],[Dep]],"0"))) - 1)
   )
)</f>
        <v>0</v>
      </c>
      <c r="AL166" s="461" t="str" cm="1">
        <f t="array" ref="AL166">IF(Contract_Edits[[#This Row],[BaseFlag]]=1,
   TEXT(Contract_Edits[[#This Row],[Index]],"0"),
   NearestBaseL(TEXT(Contract_Edits[[#This Row],[ParentKey]],"0"),500,editsIdxTxt,editsParentKeyTxt,baseIdxTxt,baseCost)
)</f>
        <v>0</v>
      </c>
      <c r="AM166" s="461" cm="1">
        <f t="array" ref="AM166">1+SUMPRODUCT(
  (Contract_Edits[BaseFlag]=1)*
  (TEXT(Contract_Edits[ParentAnchor],"0")=TEXT(Contract_Edits[[#This Row],[ParentAnchor]],"0"))*
  (VALUE(TEXT(Contract_Edits[Index],"0"))&lt;VALUE(TEXT(Contract_Edits[[#This Row],[Index]],"0")))
)</f>
        <v>1</v>
      </c>
      <c r="AN166" s="461"/>
      <c r="AO166" s="193"/>
      <c r="AP166" s="193"/>
      <c r="AQ166" s="193"/>
      <c r="BC166" s="34"/>
      <c r="BD166" s="34"/>
      <c r="BE166" s="34"/>
      <c r="BZ166"/>
      <c r="CA166"/>
      <c r="CB166"/>
    </row>
    <row r="167" spans="11:80" ht="15">
      <c r="K167" s="104"/>
      <c r="L167" s="449">
        <v>96</v>
      </c>
      <c r="M167" s="449"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76"/>
      <c r="R167" s="516"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7" s="179">
        <v>0</v>
      </c>
      <c r="T167" s="179">
        <v>0</v>
      </c>
      <c r="U167" s="11"/>
      <c r="V167"/>
      <c r="W167" s="22" t="s">
        <v>436</v>
      </c>
      <c r="X167" s="22" t="s">
        <v>682</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11">
        <f>--(
  ISNUMBER(SEARCH("BASE PARENT", UPPER(CLEAN(TRIM(_xlfn.XLOOKUP(TEXT(Contract_Edits[[#This Row],[Index]],"0"), baseIdxTxt, baseCost, "")))))) +
  ISNUMBER(SEARCH("DEPENDENCY GROUP", UPPER(CLEAN(TRIM(_xlfn.XLOOKUP(TEXT(Contract_Edits[[#This Row],[Index]],"0"), baseIdxTxt, baseCost, ""))))))
)</f>
        <v>0</v>
      </c>
      <c r="AG167" s="511" t="str" cm="1">
        <f t="array" ref="AG167">IF(Contract_Edits[[#This Row],[BaseFlag]]=1,
   10*BaseDepthL(TEXT(Contract_Edits[[#This Row],[Index]],"0"),500,editsIdxTxt,editsParentKeyTxt,baseIdxTxt,baseCost)-5,
   ""
)</f>
        <v/>
      </c>
      <c r="AH167" s="511"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61" t="str">
        <f>IF(Contract_Edits[[#This Row],[Dep]]=0,"Root",
   IF(ISNUMBER(MATCH(Contract_Edits[[#This Row],[Dep]],Contract_Edits[Index],0)),"OK","Missing")
)</f>
        <v>Root</v>
      </c>
      <c r="AJ167" s="461" t="e">
        <f>IF(AND(Contract_Edits[[#This Row],[Dep]]&lt;&gt;0,
        ISNUMBER(MATCH(Contract_Edits[[#This Row],[Dep]], Contract_Edits[Index], 0)),
        INDEX(Contract_Edits[Dep], MATCH(Contract_Edits[[#This Row],[Dep]], Contract_Edits[Index], 0))=Contract_Edits[[#This Row],[Index]]),
   "2-cycle","")</f>
        <v>#N/A</v>
      </c>
      <c r="AK167" s="461" cm="1">
        <f t="array" ref="AK167">IF(Contract_Edits[[#This Row],[BaseFlag]]&lt;&gt;1,0,
   IF(TEXT(Contract_Edits[[#This Row],[Dep]],"0")=TEXT(Contract_Edits[[#This Row],[Index]],"0"),
      0,
      MAX(0, SUMPRODUCT(--(Contract_Edits[BaseFlag]=1),
                        --(TEXT(Contract_Edits[Dep],"0")=TEXT(Contract_Edits[[#This Row],[Dep]],"0"))) - 1)
   )
)</f>
        <v>0</v>
      </c>
      <c r="AL167" s="461" t="str" cm="1">
        <f t="array" ref="AL167">IF(Contract_Edits[[#This Row],[BaseFlag]]=1,
   TEXT(Contract_Edits[[#This Row],[Index]],"0"),
   NearestBaseL(TEXT(Contract_Edits[[#This Row],[ParentKey]],"0"),500,editsIdxTxt,editsParentKeyTxt,baseIdxTxt,baseCost)
)</f>
        <v>0</v>
      </c>
      <c r="AM167" s="461" cm="1">
        <f t="array" ref="AM167">1+SUMPRODUCT(
  (Contract_Edits[BaseFlag]=1)*
  (TEXT(Contract_Edits[ParentAnchor],"0")=TEXT(Contract_Edits[[#This Row],[ParentAnchor]],"0"))*
  (VALUE(TEXT(Contract_Edits[Index],"0"))&lt;VALUE(TEXT(Contract_Edits[[#This Row],[Index]],"0")))
)</f>
        <v>1</v>
      </c>
      <c r="AN167" s="461"/>
      <c r="AO167" s="193"/>
      <c r="AP167" s="193"/>
      <c r="AQ167" s="193"/>
      <c r="BC167" s="34"/>
      <c r="BD167" s="34"/>
      <c r="BE167" s="34"/>
      <c r="BZ167"/>
      <c r="CA167"/>
      <c r="CB167"/>
    </row>
    <row r="168" spans="11:80" ht="15">
      <c r="K168" s="104"/>
      <c r="L168" s="449">
        <v>117</v>
      </c>
      <c r="M168" s="449"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76"/>
      <c r="R168" s="516"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8" s="179">
        <v>0</v>
      </c>
      <c r="T168" s="179">
        <v>0</v>
      </c>
      <c r="U168" s="11"/>
      <c r="V168"/>
      <c r="W168" s="22" t="s">
        <v>436</v>
      </c>
      <c r="X168" s="22" t="s">
        <v>682</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11">
        <f>--(
  ISNUMBER(SEARCH("BASE PARENT", UPPER(CLEAN(TRIM(_xlfn.XLOOKUP(TEXT(Contract_Edits[[#This Row],[Index]],"0"), baseIdxTxt, baseCost, "")))))) +
  ISNUMBER(SEARCH("DEPENDENCY GROUP", UPPER(CLEAN(TRIM(_xlfn.XLOOKUP(TEXT(Contract_Edits[[#This Row],[Index]],"0"), baseIdxTxt, baseCost, ""))))))
)</f>
        <v>0</v>
      </c>
      <c r="AG168" s="511" t="str" cm="1">
        <f t="array" ref="AG168">IF(Contract_Edits[[#This Row],[BaseFlag]]=1,
   10*BaseDepthL(TEXT(Contract_Edits[[#This Row],[Index]],"0"),500,editsIdxTxt,editsParentKeyTxt,baseIdxTxt,baseCost)-5,
   ""
)</f>
        <v/>
      </c>
      <c r="AH168" s="511"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61" t="str">
        <f>IF(Contract_Edits[[#This Row],[Dep]]=0,"Root",
   IF(ISNUMBER(MATCH(Contract_Edits[[#This Row],[Dep]],Contract_Edits[Index],0)),"OK","Missing")
)</f>
        <v>Root</v>
      </c>
      <c r="AJ168" s="461" t="e">
        <f>IF(AND(Contract_Edits[[#This Row],[Dep]]&lt;&gt;0,
        ISNUMBER(MATCH(Contract_Edits[[#This Row],[Dep]], Contract_Edits[Index], 0)),
        INDEX(Contract_Edits[Dep], MATCH(Contract_Edits[[#This Row],[Dep]], Contract_Edits[Index], 0))=Contract_Edits[[#This Row],[Index]]),
   "2-cycle","")</f>
        <v>#N/A</v>
      </c>
      <c r="AK168" s="461" cm="1">
        <f t="array" ref="AK168">IF(Contract_Edits[[#This Row],[BaseFlag]]&lt;&gt;1,0,
   IF(TEXT(Contract_Edits[[#This Row],[Dep]],"0")=TEXT(Contract_Edits[[#This Row],[Index]],"0"),
      0,
      MAX(0, SUMPRODUCT(--(Contract_Edits[BaseFlag]=1),
                        --(TEXT(Contract_Edits[Dep],"0")=TEXT(Contract_Edits[[#This Row],[Dep]],"0"))) - 1)
   )
)</f>
        <v>0</v>
      </c>
      <c r="AL168" s="461" t="str" cm="1">
        <f t="array" ref="AL168">IF(Contract_Edits[[#This Row],[BaseFlag]]=1,
   TEXT(Contract_Edits[[#This Row],[Index]],"0"),
   NearestBaseL(TEXT(Contract_Edits[[#This Row],[ParentKey]],"0"),500,editsIdxTxt,editsParentKeyTxt,baseIdxTxt,baseCost)
)</f>
        <v>0</v>
      </c>
      <c r="AM168" s="461" cm="1">
        <f t="array" ref="AM168">1+SUMPRODUCT(
  (Contract_Edits[BaseFlag]=1)*
  (TEXT(Contract_Edits[ParentAnchor],"0")=TEXT(Contract_Edits[[#This Row],[ParentAnchor]],"0"))*
  (VALUE(TEXT(Contract_Edits[Index],"0"))&lt;VALUE(TEXT(Contract_Edits[[#This Row],[Index]],"0")))
)</f>
        <v>1</v>
      </c>
      <c r="AN168" s="461"/>
      <c r="AO168" s="193"/>
      <c r="AP168" s="193"/>
      <c r="AQ168" s="193"/>
      <c r="BC168" s="34"/>
      <c r="BD168" s="34"/>
      <c r="BE168" s="34"/>
      <c r="BZ168"/>
      <c r="CA168"/>
      <c r="CB168"/>
    </row>
    <row r="169" spans="11:80" ht="15">
      <c r="K169" s="104"/>
      <c r="L169" s="449">
        <v>118</v>
      </c>
      <c r="M169" s="449"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76"/>
      <c r="R169" s="516"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69" s="179">
        <v>0</v>
      </c>
      <c r="T169" s="179">
        <v>0</v>
      </c>
      <c r="U169" s="11"/>
      <c r="V169"/>
      <c r="W169" s="22" t="s">
        <v>436</v>
      </c>
      <c r="X169" s="22" t="s">
        <v>682</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11">
        <f>--(
  ISNUMBER(SEARCH("BASE PARENT", UPPER(CLEAN(TRIM(_xlfn.XLOOKUP(TEXT(Contract_Edits[[#This Row],[Index]],"0"), baseIdxTxt, baseCost, "")))))) +
  ISNUMBER(SEARCH("DEPENDENCY GROUP", UPPER(CLEAN(TRIM(_xlfn.XLOOKUP(TEXT(Contract_Edits[[#This Row],[Index]],"0"), baseIdxTxt, baseCost, ""))))))
)</f>
        <v>0</v>
      </c>
      <c r="AG169" s="511" t="str" cm="1">
        <f t="array" ref="AG169">IF(Contract_Edits[[#This Row],[BaseFlag]]=1,
   10*BaseDepthL(TEXT(Contract_Edits[[#This Row],[Index]],"0"),500,editsIdxTxt,editsParentKeyTxt,baseIdxTxt,baseCost)-5,
   ""
)</f>
        <v/>
      </c>
      <c r="AH169" s="511"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61" t="str">
        <f>IF(Contract_Edits[[#This Row],[Dep]]=0,"Root",
   IF(ISNUMBER(MATCH(Contract_Edits[[#This Row],[Dep]],Contract_Edits[Index],0)),"OK","Missing")
)</f>
        <v>Root</v>
      </c>
      <c r="AJ169" s="461" t="e">
        <f>IF(AND(Contract_Edits[[#This Row],[Dep]]&lt;&gt;0,
        ISNUMBER(MATCH(Contract_Edits[[#This Row],[Dep]], Contract_Edits[Index], 0)),
        INDEX(Contract_Edits[Dep], MATCH(Contract_Edits[[#This Row],[Dep]], Contract_Edits[Index], 0))=Contract_Edits[[#This Row],[Index]]),
   "2-cycle","")</f>
        <v>#N/A</v>
      </c>
      <c r="AK169" s="461" cm="1">
        <f t="array" ref="AK169">IF(Contract_Edits[[#This Row],[BaseFlag]]&lt;&gt;1,0,
   IF(TEXT(Contract_Edits[[#This Row],[Dep]],"0")=TEXT(Contract_Edits[[#This Row],[Index]],"0"),
      0,
      MAX(0, SUMPRODUCT(--(Contract_Edits[BaseFlag]=1),
                        --(TEXT(Contract_Edits[Dep],"0")=TEXT(Contract_Edits[[#This Row],[Dep]],"0"))) - 1)
   )
)</f>
        <v>0</v>
      </c>
      <c r="AL169" s="461" t="str" cm="1">
        <f t="array" ref="AL169">IF(Contract_Edits[[#This Row],[BaseFlag]]=1,
   TEXT(Contract_Edits[[#This Row],[Index]],"0"),
   NearestBaseL(TEXT(Contract_Edits[[#This Row],[ParentKey]],"0"),500,editsIdxTxt,editsParentKeyTxt,baseIdxTxt,baseCost)
)</f>
        <v>0</v>
      </c>
      <c r="AM169" s="461" cm="1">
        <f t="array" ref="AM169">1+SUMPRODUCT(
  (Contract_Edits[BaseFlag]=1)*
  (TEXT(Contract_Edits[ParentAnchor],"0")=TEXT(Contract_Edits[[#This Row],[ParentAnchor]],"0"))*
  (VALUE(TEXT(Contract_Edits[Index],"0"))&lt;VALUE(TEXT(Contract_Edits[[#This Row],[Index]],"0")))
)</f>
        <v>1</v>
      </c>
      <c r="AN169" s="461"/>
      <c r="AO169" s="193"/>
      <c r="AP169" s="193"/>
      <c r="AQ169" s="193"/>
      <c r="BC169" s="34"/>
      <c r="BD169" s="34"/>
      <c r="BE169" s="34"/>
      <c r="BZ169"/>
      <c r="CA169"/>
      <c r="CB169"/>
    </row>
    <row r="170" spans="11:80" ht="15">
      <c r="K170" s="104"/>
      <c r="L170" s="449">
        <v>120</v>
      </c>
      <c r="M170" s="449"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76"/>
      <c r="R170" s="516"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0" s="179">
        <v>0</v>
      </c>
      <c r="T170" s="179">
        <v>0</v>
      </c>
      <c r="U170" s="11"/>
      <c r="V170"/>
      <c r="W170" s="22" t="s">
        <v>436</v>
      </c>
      <c r="X170" s="22" t="s">
        <v>682</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11">
        <f>--(
  ISNUMBER(SEARCH("BASE PARENT", UPPER(CLEAN(TRIM(_xlfn.XLOOKUP(TEXT(Contract_Edits[[#This Row],[Index]],"0"), baseIdxTxt, baseCost, "")))))) +
  ISNUMBER(SEARCH("DEPENDENCY GROUP", UPPER(CLEAN(TRIM(_xlfn.XLOOKUP(TEXT(Contract_Edits[[#This Row],[Index]],"0"), baseIdxTxt, baseCost, ""))))))
)</f>
        <v>0</v>
      </c>
      <c r="AG170" s="511" t="str" cm="1">
        <f t="array" ref="AG170">IF(Contract_Edits[[#This Row],[BaseFlag]]=1,
   10*BaseDepthL(TEXT(Contract_Edits[[#This Row],[Index]],"0"),500,editsIdxTxt,editsParentKeyTxt,baseIdxTxt,baseCost)-5,
   ""
)</f>
        <v/>
      </c>
      <c r="AH170" s="511"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61" t="str">
        <f>IF(Contract_Edits[[#This Row],[Dep]]=0,"Root",
   IF(ISNUMBER(MATCH(Contract_Edits[[#This Row],[Dep]],Contract_Edits[Index],0)),"OK","Missing")
)</f>
        <v>Root</v>
      </c>
      <c r="AJ170" s="461" t="e">
        <f>IF(AND(Contract_Edits[[#This Row],[Dep]]&lt;&gt;0,
        ISNUMBER(MATCH(Contract_Edits[[#This Row],[Dep]], Contract_Edits[Index], 0)),
        INDEX(Contract_Edits[Dep], MATCH(Contract_Edits[[#This Row],[Dep]], Contract_Edits[Index], 0))=Contract_Edits[[#This Row],[Index]]),
   "2-cycle","")</f>
        <v>#N/A</v>
      </c>
      <c r="AK170" s="461" cm="1">
        <f t="array" ref="AK170">IF(Contract_Edits[[#This Row],[BaseFlag]]&lt;&gt;1,0,
   IF(TEXT(Contract_Edits[[#This Row],[Dep]],"0")=TEXT(Contract_Edits[[#This Row],[Index]],"0"),
      0,
      MAX(0, SUMPRODUCT(--(Contract_Edits[BaseFlag]=1),
                        --(TEXT(Contract_Edits[Dep],"0")=TEXT(Contract_Edits[[#This Row],[Dep]],"0"))) - 1)
   )
)</f>
        <v>0</v>
      </c>
      <c r="AL170" s="461" t="str" cm="1">
        <f t="array" ref="AL170">IF(Contract_Edits[[#This Row],[BaseFlag]]=1,
   TEXT(Contract_Edits[[#This Row],[Index]],"0"),
   NearestBaseL(TEXT(Contract_Edits[[#This Row],[ParentKey]],"0"),500,editsIdxTxt,editsParentKeyTxt,baseIdxTxt,baseCost)
)</f>
        <v>0</v>
      </c>
      <c r="AM170" s="461" cm="1">
        <f t="array" ref="AM170">1+SUMPRODUCT(
  (Contract_Edits[BaseFlag]=1)*
  (TEXT(Contract_Edits[ParentAnchor],"0")=TEXT(Contract_Edits[[#This Row],[ParentAnchor]],"0"))*
  (VALUE(TEXT(Contract_Edits[Index],"0"))&lt;VALUE(TEXT(Contract_Edits[[#This Row],[Index]],"0")))
)</f>
        <v>1</v>
      </c>
      <c r="AN170" s="461"/>
      <c r="AO170" s="193"/>
      <c r="AP170" s="193"/>
      <c r="AQ170" s="193"/>
      <c r="BC170" s="34"/>
      <c r="BD170" s="34"/>
      <c r="BE170" s="34"/>
      <c r="BZ170"/>
      <c r="CA170"/>
      <c r="CB170"/>
    </row>
    <row r="171" spans="11:80" ht="15">
      <c r="K171" s="104"/>
      <c r="L171" s="449">
        <v>164</v>
      </c>
      <c r="M171" s="449"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88"/>
      <c r="R171" s="516"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1" s="179">
        <v>0</v>
      </c>
      <c r="T171" s="477"/>
      <c r="U171" s="500"/>
      <c r="V171" s="193"/>
      <c r="W171" s="22" t="s">
        <v>436</v>
      </c>
      <c r="X171" s="492" t="s">
        <v>682</v>
      </c>
      <c r="Y171" s="492"/>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11">
        <f>--(
  ISNUMBER(SEARCH("BASE PARENT", UPPER(CLEAN(TRIM(_xlfn.XLOOKUP(TEXT(Contract_Edits[[#This Row],[Index]],"0"), baseIdxTxt, baseCost, "")))))) +
  ISNUMBER(SEARCH("DEPENDENCY GROUP", UPPER(CLEAN(TRIM(_xlfn.XLOOKUP(TEXT(Contract_Edits[[#This Row],[Index]],"0"), baseIdxTxt, baseCost, ""))))))
)</f>
        <v>0</v>
      </c>
      <c r="AG171" s="511" t="str" cm="1">
        <f t="array" ref="AG171">IF(Contract_Edits[[#This Row],[BaseFlag]]=1,
   10*BaseDepthL(TEXT(Contract_Edits[[#This Row],[Index]],"0"),500,editsIdxTxt,editsParentKeyTxt,baseIdxTxt,baseCost)-5,
   ""
)</f>
        <v/>
      </c>
      <c r="AH171" s="511"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61" t="str">
        <f>IF(Contract_Edits[[#This Row],[Dep]]=0,"Root",
   IF(ISNUMBER(MATCH(Contract_Edits[[#This Row],[Dep]],Contract_Edits[Index],0)),"OK","Missing")
)</f>
        <v>Root</v>
      </c>
      <c r="AJ171" s="461" t="e">
        <f>IF(AND(Contract_Edits[[#This Row],[Dep]]&lt;&gt;0,
        ISNUMBER(MATCH(Contract_Edits[[#This Row],[Dep]], Contract_Edits[Index], 0)),
        INDEX(Contract_Edits[Dep], MATCH(Contract_Edits[[#This Row],[Dep]], Contract_Edits[Index], 0))=Contract_Edits[[#This Row],[Index]]),
   "2-cycle","")</f>
        <v>#N/A</v>
      </c>
      <c r="AK171" s="461" cm="1">
        <f t="array" ref="AK171">IF(Contract_Edits[[#This Row],[BaseFlag]]&lt;&gt;1,0,
   IF(TEXT(Contract_Edits[[#This Row],[Dep]],"0")=TEXT(Contract_Edits[[#This Row],[Index]],"0"),
      0,
      MAX(0, SUMPRODUCT(--(Contract_Edits[BaseFlag]=1),
                        --(TEXT(Contract_Edits[Dep],"0")=TEXT(Contract_Edits[[#This Row],[Dep]],"0"))) - 1)
   )
)</f>
        <v>0</v>
      </c>
      <c r="AL171" s="461" t="str" cm="1">
        <f t="array" ref="AL171">IF(Contract_Edits[[#This Row],[BaseFlag]]=1,
   TEXT(Contract_Edits[[#This Row],[Index]],"0"),
   NearestBaseL(TEXT(Contract_Edits[[#This Row],[ParentKey]],"0"),500,editsIdxTxt,editsParentKeyTxt,baseIdxTxt,baseCost)
)</f>
        <v>0</v>
      </c>
      <c r="AM171" s="461" cm="1">
        <f t="array" ref="AM171">1+SUMPRODUCT(
  (Contract_Edits[BaseFlag]=1)*
  (TEXT(Contract_Edits[ParentAnchor],"0")=TEXT(Contract_Edits[[#This Row],[ParentAnchor]],"0"))*
  (VALUE(TEXT(Contract_Edits[Index],"0"))&lt;VALUE(TEXT(Contract_Edits[[#This Row],[Index]],"0")))
)</f>
        <v>1</v>
      </c>
      <c r="AN171" s="461"/>
      <c r="AO171" s="193"/>
      <c r="AP171" s="193"/>
      <c r="AQ171" s="193"/>
      <c r="BC171" s="34"/>
      <c r="BD171" s="34"/>
      <c r="BE171" s="34"/>
      <c r="BZ171"/>
      <c r="CA171"/>
      <c r="CB171"/>
    </row>
    <row r="172" spans="11:80" ht="15">
      <c r="K172" s="104"/>
      <c r="L172" s="449">
        <v>123</v>
      </c>
      <c r="M172" s="449"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76"/>
      <c r="R172" s="516"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2" s="179">
        <v>0</v>
      </c>
      <c r="T172" s="179">
        <v>0</v>
      </c>
      <c r="U172" s="11"/>
      <c r="V172"/>
      <c r="W172" s="22" t="s">
        <v>436</v>
      </c>
      <c r="X172" s="22" t="s">
        <v>682</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11">
        <f>--(
  ISNUMBER(SEARCH("BASE PARENT", UPPER(CLEAN(TRIM(_xlfn.XLOOKUP(TEXT(Contract_Edits[[#This Row],[Index]],"0"), baseIdxTxt, baseCost, "")))))) +
  ISNUMBER(SEARCH("DEPENDENCY GROUP", UPPER(CLEAN(TRIM(_xlfn.XLOOKUP(TEXT(Contract_Edits[[#This Row],[Index]],"0"), baseIdxTxt, baseCost, ""))))))
)</f>
        <v>0</v>
      </c>
      <c r="AG172" s="511" t="str" cm="1">
        <f t="array" ref="AG172">IF(Contract_Edits[[#This Row],[BaseFlag]]=1,
   10*BaseDepthL(TEXT(Contract_Edits[[#This Row],[Index]],"0"),500,editsIdxTxt,editsParentKeyTxt,baseIdxTxt,baseCost)-5,
   ""
)</f>
        <v/>
      </c>
      <c r="AH172" s="511"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61" t="str">
        <f>IF(Contract_Edits[[#This Row],[Dep]]=0,"Root",
   IF(ISNUMBER(MATCH(Contract_Edits[[#This Row],[Dep]],Contract_Edits[Index],0)),"OK","Missing")
)</f>
        <v>Root</v>
      </c>
      <c r="AJ172" s="461" t="e">
        <f>IF(AND(Contract_Edits[[#This Row],[Dep]]&lt;&gt;0,
        ISNUMBER(MATCH(Contract_Edits[[#This Row],[Dep]], Contract_Edits[Index], 0)),
        INDEX(Contract_Edits[Dep], MATCH(Contract_Edits[[#This Row],[Dep]], Contract_Edits[Index], 0))=Contract_Edits[[#This Row],[Index]]),
   "2-cycle","")</f>
        <v>#N/A</v>
      </c>
      <c r="AK172" s="461" cm="1">
        <f t="array" ref="AK172">IF(Contract_Edits[[#This Row],[BaseFlag]]&lt;&gt;1,0,
   IF(TEXT(Contract_Edits[[#This Row],[Dep]],"0")=TEXT(Contract_Edits[[#This Row],[Index]],"0"),
      0,
      MAX(0, SUMPRODUCT(--(Contract_Edits[BaseFlag]=1),
                        --(TEXT(Contract_Edits[Dep],"0")=TEXT(Contract_Edits[[#This Row],[Dep]],"0"))) - 1)
   )
)</f>
        <v>0</v>
      </c>
      <c r="AL172" s="461" t="str" cm="1">
        <f t="array" ref="AL172">IF(Contract_Edits[[#This Row],[BaseFlag]]=1,
   TEXT(Contract_Edits[[#This Row],[Index]],"0"),
   NearestBaseL(TEXT(Contract_Edits[[#This Row],[ParentKey]],"0"),500,editsIdxTxt,editsParentKeyTxt,baseIdxTxt,baseCost)
)</f>
        <v>0</v>
      </c>
      <c r="AM172" s="461" cm="1">
        <f t="array" ref="AM172">1+SUMPRODUCT(
  (Contract_Edits[BaseFlag]=1)*
  (TEXT(Contract_Edits[ParentAnchor],"0")=TEXT(Contract_Edits[[#This Row],[ParentAnchor]],"0"))*
  (VALUE(TEXT(Contract_Edits[Index],"0"))&lt;VALUE(TEXT(Contract_Edits[[#This Row],[Index]],"0")))
)</f>
        <v>1</v>
      </c>
      <c r="AN172" s="461"/>
      <c r="AO172" s="193"/>
      <c r="AP172" s="193"/>
      <c r="AQ172" s="193"/>
      <c r="BC172" s="34"/>
      <c r="BD172" s="34"/>
      <c r="BE172" s="34"/>
      <c r="BZ172"/>
      <c r="CA172"/>
      <c r="CB172"/>
    </row>
    <row r="173" spans="11:80" ht="15">
      <c r="K173" s="104"/>
      <c r="L173" s="449">
        <v>136</v>
      </c>
      <c r="M173" s="449"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88"/>
      <c r="R173" s="516"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3" s="179">
        <v>0</v>
      </c>
      <c r="T173" s="477"/>
      <c r="U173" s="500"/>
      <c r="V173" s="193"/>
      <c r="W173" s="22" t="s">
        <v>436</v>
      </c>
      <c r="X173" s="492" t="s">
        <v>682</v>
      </c>
      <c r="Y173" s="492"/>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11">
        <f>--(
  ISNUMBER(SEARCH("BASE PARENT", UPPER(CLEAN(TRIM(_xlfn.XLOOKUP(TEXT(Contract_Edits[[#This Row],[Index]],"0"), baseIdxTxt, baseCost, "")))))) +
  ISNUMBER(SEARCH("DEPENDENCY GROUP", UPPER(CLEAN(TRIM(_xlfn.XLOOKUP(TEXT(Contract_Edits[[#This Row],[Index]],"0"), baseIdxTxt, baseCost, ""))))))
)</f>
        <v>0</v>
      </c>
      <c r="AG173" s="511" t="str" cm="1">
        <f t="array" ref="AG173">IF(Contract_Edits[[#This Row],[BaseFlag]]=1,
   10*BaseDepthL(TEXT(Contract_Edits[[#This Row],[Index]],"0"),500,editsIdxTxt,editsParentKeyTxt,baseIdxTxt,baseCost)-5,
   ""
)</f>
        <v/>
      </c>
      <c r="AH173" s="511"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61" t="str">
        <f>IF(Contract_Edits[[#This Row],[Dep]]=0,"Root",
   IF(ISNUMBER(MATCH(Contract_Edits[[#This Row],[Dep]],Contract_Edits[Index],0)),"OK","Missing")
)</f>
        <v>Root</v>
      </c>
      <c r="AJ173" s="461" t="e">
        <f>IF(AND(Contract_Edits[[#This Row],[Dep]]&lt;&gt;0,
        ISNUMBER(MATCH(Contract_Edits[[#This Row],[Dep]], Contract_Edits[Index], 0)),
        INDEX(Contract_Edits[Dep], MATCH(Contract_Edits[[#This Row],[Dep]], Contract_Edits[Index], 0))=Contract_Edits[[#This Row],[Index]]),
   "2-cycle","")</f>
        <v>#N/A</v>
      </c>
      <c r="AK173" s="461" cm="1">
        <f t="array" ref="AK173">IF(Contract_Edits[[#This Row],[BaseFlag]]&lt;&gt;1,0,
   IF(TEXT(Contract_Edits[[#This Row],[Dep]],"0")=TEXT(Contract_Edits[[#This Row],[Index]],"0"),
      0,
      MAX(0, SUMPRODUCT(--(Contract_Edits[BaseFlag]=1),
                        --(TEXT(Contract_Edits[Dep],"0")=TEXT(Contract_Edits[[#This Row],[Dep]],"0"))) - 1)
   )
)</f>
        <v>0</v>
      </c>
      <c r="AL173" s="461" t="str" cm="1">
        <f t="array" ref="AL173">IF(Contract_Edits[[#This Row],[BaseFlag]]=1,
   TEXT(Contract_Edits[[#This Row],[Index]],"0"),
   NearestBaseL(TEXT(Contract_Edits[[#This Row],[ParentKey]],"0"),500,editsIdxTxt,editsParentKeyTxt,baseIdxTxt,baseCost)
)</f>
        <v>0</v>
      </c>
      <c r="AM173" s="461" cm="1">
        <f t="array" ref="AM173">1+SUMPRODUCT(
  (Contract_Edits[BaseFlag]=1)*
  (TEXT(Contract_Edits[ParentAnchor],"0")=TEXT(Contract_Edits[[#This Row],[ParentAnchor]],"0"))*
  (VALUE(TEXT(Contract_Edits[Index],"0"))&lt;VALUE(TEXT(Contract_Edits[[#This Row],[Index]],"0")))
)</f>
        <v>1</v>
      </c>
      <c r="AN173" s="461"/>
      <c r="AO173" s="193"/>
      <c r="AP173" s="193"/>
      <c r="AQ173" s="193"/>
      <c r="BC173" s="34"/>
      <c r="BD173" s="34"/>
      <c r="BE173" s="34"/>
      <c r="BZ173"/>
      <c r="CA173"/>
      <c r="CB173"/>
    </row>
    <row r="174" spans="11:80" ht="15">
      <c r="K174" s="104"/>
      <c r="L174" s="449">
        <v>93</v>
      </c>
      <c r="M174" s="449"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76"/>
      <c r="R174" s="516"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4" s="179">
        <v>0</v>
      </c>
      <c r="T174" s="179">
        <v>0</v>
      </c>
      <c r="U174" s="11"/>
      <c r="V174"/>
      <c r="W174" s="22" t="s">
        <v>436</v>
      </c>
      <c r="X174" s="22" t="s">
        <v>682</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11">
        <f>--(
  ISNUMBER(SEARCH("BASE PARENT", UPPER(CLEAN(TRIM(_xlfn.XLOOKUP(TEXT(Contract_Edits[[#This Row],[Index]],"0"), baseIdxTxt, baseCost, "")))))) +
  ISNUMBER(SEARCH("DEPENDENCY GROUP", UPPER(CLEAN(TRIM(_xlfn.XLOOKUP(TEXT(Contract_Edits[[#This Row],[Index]],"0"), baseIdxTxt, baseCost, ""))))))
)</f>
        <v>0</v>
      </c>
      <c r="AG174" s="511" t="str" cm="1">
        <f t="array" ref="AG174">IF(Contract_Edits[[#This Row],[BaseFlag]]=1,
   10*BaseDepthL(TEXT(Contract_Edits[[#This Row],[Index]],"0"),500,editsIdxTxt,editsParentKeyTxt,baseIdxTxt,baseCost)-5,
   ""
)</f>
        <v/>
      </c>
      <c r="AH174" s="511"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61" t="str">
        <f>IF(Contract_Edits[[#This Row],[Dep]]=0,"Root",
   IF(ISNUMBER(MATCH(Contract_Edits[[#This Row],[Dep]],Contract_Edits[Index],0)),"OK","Missing")
)</f>
        <v>Root</v>
      </c>
      <c r="AJ174" s="461" t="e">
        <f>IF(AND(Contract_Edits[[#This Row],[Dep]]&lt;&gt;0,
        ISNUMBER(MATCH(Contract_Edits[[#This Row],[Dep]], Contract_Edits[Index], 0)),
        INDEX(Contract_Edits[Dep], MATCH(Contract_Edits[[#This Row],[Dep]], Contract_Edits[Index], 0))=Contract_Edits[[#This Row],[Index]]),
   "2-cycle","")</f>
        <v>#N/A</v>
      </c>
      <c r="AK174" s="461" cm="1">
        <f t="array" ref="AK174">IF(Contract_Edits[[#This Row],[BaseFlag]]&lt;&gt;1,0,
   IF(TEXT(Contract_Edits[[#This Row],[Dep]],"0")=TEXT(Contract_Edits[[#This Row],[Index]],"0"),
      0,
      MAX(0, SUMPRODUCT(--(Contract_Edits[BaseFlag]=1),
                        --(TEXT(Contract_Edits[Dep],"0")=TEXT(Contract_Edits[[#This Row],[Dep]],"0"))) - 1)
   )
)</f>
        <v>0</v>
      </c>
      <c r="AL174" s="461" t="str" cm="1">
        <f t="array" ref="AL174">IF(Contract_Edits[[#This Row],[BaseFlag]]=1,
   TEXT(Contract_Edits[[#This Row],[Index]],"0"),
   NearestBaseL(TEXT(Contract_Edits[[#This Row],[ParentKey]],"0"),500,editsIdxTxt,editsParentKeyTxt,baseIdxTxt,baseCost)
)</f>
        <v>0</v>
      </c>
      <c r="AM174" s="461" cm="1">
        <f t="array" ref="AM174">1+SUMPRODUCT(
  (Contract_Edits[BaseFlag]=1)*
  (TEXT(Contract_Edits[ParentAnchor],"0")=TEXT(Contract_Edits[[#This Row],[ParentAnchor]],"0"))*
  (VALUE(TEXT(Contract_Edits[Index],"0"))&lt;VALUE(TEXT(Contract_Edits[[#This Row],[Index]],"0")))
)</f>
        <v>1</v>
      </c>
      <c r="AN174" s="461"/>
      <c r="AO174" s="193"/>
      <c r="AP174" s="193"/>
      <c r="AQ174" s="193"/>
      <c r="AR174" s="486"/>
      <c r="BC174" s="34"/>
      <c r="BD174" s="34"/>
      <c r="BE174" s="34"/>
      <c r="BZ174"/>
      <c r="CA174"/>
      <c r="CB174"/>
    </row>
    <row r="175" spans="11:80" ht="15">
      <c r="K175" s="104"/>
      <c r="L175" s="449">
        <v>122</v>
      </c>
      <c r="M175" s="449"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76"/>
      <c r="R175" s="516"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5" s="179">
        <v>0</v>
      </c>
      <c r="T175" s="179">
        <v>0</v>
      </c>
      <c r="U175" s="11"/>
      <c r="V175"/>
      <c r="W175" s="22" t="s">
        <v>436</v>
      </c>
      <c r="X175" s="22" t="s">
        <v>682</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11">
        <f>--(
  ISNUMBER(SEARCH("BASE PARENT", UPPER(CLEAN(TRIM(_xlfn.XLOOKUP(TEXT(Contract_Edits[[#This Row],[Index]],"0"), baseIdxTxt, baseCost, "")))))) +
  ISNUMBER(SEARCH("DEPENDENCY GROUP", UPPER(CLEAN(TRIM(_xlfn.XLOOKUP(TEXT(Contract_Edits[[#This Row],[Index]],"0"), baseIdxTxt, baseCost, ""))))))
)</f>
        <v>0</v>
      </c>
      <c r="AG175" s="511" t="str" cm="1">
        <f t="array" ref="AG175">IF(Contract_Edits[[#This Row],[BaseFlag]]=1,
   10*BaseDepthL(TEXT(Contract_Edits[[#This Row],[Index]],"0"),500,editsIdxTxt,editsParentKeyTxt,baseIdxTxt,baseCost)-5,
   ""
)</f>
        <v/>
      </c>
      <c r="AH175" s="511"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61" t="str">
        <f>IF(Contract_Edits[[#This Row],[Dep]]=0,"Root",
   IF(ISNUMBER(MATCH(Contract_Edits[[#This Row],[Dep]],Contract_Edits[Index],0)),"OK","Missing")
)</f>
        <v>Root</v>
      </c>
      <c r="AJ175" s="461" t="e">
        <f>IF(AND(Contract_Edits[[#This Row],[Dep]]&lt;&gt;0,
        ISNUMBER(MATCH(Contract_Edits[[#This Row],[Dep]], Contract_Edits[Index], 0)),
        INDEX(Contract_Edits[Dep], MATCH(Contract_Edits[[#This Row],[Dep]], Contract_Edits[Index], 0))=Contract_Edits[[#This Row],[Index]]),
   "2-cycle","")</f>
        <v>#N/A</v>
      </c>
      <c r="AK175" s="461" cm="1">
        <f t="array" ref="AK175">IF(Contract_Edits[[#This Row],[BaseFlag]]&lt;&gt;1,0,
   IF(TEXT(Contract_Edits[[#This Row],[Dep]],"0")=TEXT(Contract_Edits[[#This Row],[Index]],"0"),
      0,
      MAX(0, SUMPRODUCT(--(Contract_Edits[BaseFlag]=1),
                        --(TEXT(Contract_Edits[Dep],"0")=TEXT(Contract_Edits[[#This Row],[Dep]],"0"))) - 1)
   )
)</f>
        <v>0</v>
      </c>
      <c r="AL175" s="461" t="str" cm="1">
        <f t="array" ref="AL175">IF(Contract_Edits[[#This Row],[BaseFlag]]=1,
   TEXT(Contract_Edits[[#This Row],[Index]],"0"),
   NearestBaseL(TEXT(Contract_Edits[[#This Row],[ParentKey]],"0"),500,editsIdxTxt,editsParentKeyTxt,baseIdxTxt,baseCost)
)</f>
        <v>0</v>
      </c>
      <c r="AM175" s="461" cm="1">
        <f t="array" ref="AM175">1+SUMPRODUCT(
  (Contract_Edits[BaseFlag]=1)*
  (TEXT(Contract_Edits[ParentAnchor],"0")=TEXT(Contract_Edits[[#This Row],[ParentAnchor]],"0"))*
  (VALUE(TEXT(Contract_Edits[Index],"0"))&lt;VALUE(TEXT(Contract_Edits[[#This Row],[Index]],"0")))
)</f>
        <v>1</v>
      </c>
      <c r="AN175" s="461"/>
      <c r="AP175" s="193"/>
      <c r="AQ175" s="193"/>
      <c r="BC175" s="34"/>
      <c r="BD175" s="34"/>
      <c r="BE175" s="34"/>
      <c r="BZ175"/>
      <c r="CA175"/>
      <c r="CB175"/>
    </row>
    <row r="176" spans="11:80" ht="15">
      <c r="K176" s="104"/>
      <c r="L176" s="449">
        <v>165</v>
      </c>
      <c r="M176" s="449"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88"/>
      <c r="R176" s="516"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6" s="179">
        <v>0</v>
      </c>
      <c r="T176" s="477"/>
      <c r="U176" s="500"/>
      <c r="V176" s="193"/>
      <c r="W176" s="22" t="s">
        <v>436</v>
      </c>
      <c r="Y176" s="492"/>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11">
        <f>--(
  ISNUMBER(SEARCH("BASE PARENT", UPPER(CLEAN(TRIM(_xlfn.XLOOKUP(TEXT(Contract_Edits[[#This Row],[Index]],"0"), baseIdxTxt, baseCost, "")))))) +
  ISNUMBER(SEARCH("DEPENDENCY GROUP", UPPER(CLEAN(TRIM(_xlfn.XLOOKUP(TEXT(Contract_Edits[[#This Row],[Index]],"0"), baseIdxTxt, baseCost, ""))))))
)</f>
        <v>0</v>
      </c>
      <c r="AG176" s="511" t="str" cm="1">
        <f t="array" ref="AG176">IF(Contract_Edits[[#This Row],[BaseFlag]]=1,
   10*BaseDepthL(TEXT(Contract_Edits[[#This Row],[Index]],"0"),500,editsIdxTxt,editsParentKeyTxt,baseIdxTxt,baseCost)-5,
   ""
)</f>
        <v/>
      </c>
      <c r="AH176" s="511"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61" t="str">
        <f>IF(Contract_Edits[[#This Row],[Dep]]=0,"Root",
   IF(ISNUMBER(MATCH(Contract_Edits[[#This Row],[Dep]],Contract_Edits[Index],0)),"OK","Missing")
)</f>
        <v>Root</v>
      </c>
      <c r="AJ176" s="461" t="e">
        <f>IF(AND(Contract_Edits[[#This Row],[Dep]]&lt;&gt;0,
        ISNUMBER(MATCH(Contract_Edits[[#This Row],[Dep]], Contract_Edits[Index], 0)),
        INDEX(Contract_Edits[Dep], MATCH(Contract_Edits[[#This Row],[Dep]], Contract_Edits[Index], 0))=Contract_Edits[[#This Row],[Index]]),
   "2-cycle","")</f>
        <v>#N/A</v>
      </c>
      <c r="AK176" s="461" cm="1">
        <f t="array" ref="AK176">IF(Contract_Edits[[#This Row],[BaseFlag]]&lt;&gt;1,0,
   IF(TEXT(Contract_Edits[[#This Row],[Dep]],"0")=TEXT(Contract_Edits[[#This Row],[Index]],"0"),
      0,
      MAX(0, SUMPRODUCT(--(Contract_Edits[BaseFlag]=1),
                        --(TEXT(Contract_Edits[Dep],"0")=TEXT(Contract_Edits[[#This Row],[Dep]],"0"))) - 1)
   )
)</f>
        <v>0</v>
      </c>
      <c r="AL176" s="461" t="str" cm="1">
        <f t="array" ref="AL176">IF(Contract_Edits[[#This Row],[BaseFlag]]=1,
   TEXT(Contract_Edits[[#This Row],[Index]],"0"),
   NearestBaseL(TEXT(Contract_Edits[[#This Row],[ParentKey]],"0"),500,editsIdxTxt,editsParentKeyTxt,baseIdxTxt,baseCost)
)</f>
        <v>0</v>
      </c>
      <c r="AM176" s="461" cm="1">
        <f t="array" ref="AM176">1+SUMPRODUCT(
  (Contract_Edits[BaseFlag]=1)*
  (TEXT(Contract_Edits[ParentAnchor],"0")=TEXT(Contract_Edits[[#This Row],[ParentAnchor]],"0"))*
  (VALUE(TEXT(Contract_Edits[Index],"0"))&lt;VALUE(TEXT(Contract_Edits[[#This Row],[Index]],"0")))
)</f>
        <v>1</v>
      </c>
      <c r="AN176" s="461"/>
      <c r="AP176" s="193"/>
      <c r="AQ176" s="193"/>
      <c r="BC176" s="34"/>
      <c r="BD176" s="34"/>
      <c r="BE176" s="34"/>
      <c r="BZ176"/>
      <c r="CA176"/>
      <c r="CB176"/>
    </row>
    <row r="177" spans="11:80" ht="15">
      <c r="K177" s="104"/>
      <c r="L177" s="449">
        <v>91</v>
      </c>
      <c r="M177" s="449"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76"/>
      <c r="R177" s="516"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7" s="179">
        <v>0</v>
      </c>
      <c r="T177" s="179">
        <v>0</v>
      </c>
      <c r="U177" s="11"/>
      <c r="V177"/>
      <c r="W177" s="22" t="s">
        <v>436</v>
      </c>
      <c r="X177" s="22" t="s">
        <v>682</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11">
        <f>--(
  ISNUMBER(SEARCH("BASE PARENT", UPPER(CLEAN(TRIM(_xlfn.XLOOKUP(TEXT(Contract_Edits[[#This Row],[Index]],"0"), baseIdxTxt, baseCost, "")))))) +
  ISNUMBER(SEARCH("DEPENDENCY GROUP", UPPER(CLEAN(TRIM(_xlfn.XLOOKUP(TEXT(Contract_Edits[[#This Row],[Index]],"0"), baseIdxTxt, baseCost, ""))))))
)</f>
        <v>0</v>
      </c>
      <c r="AG177" s="511" t="str" cm="1">
        <f t="array" ref="AG177">IF(Contract_Edits[[#This Row],[BaseFlag]]=1,
   10*BaseDepthL(TEXT(Contract_Edits[[#This Row],[Index]],"0"),500,editsIdxTxt,editsParentKeyTxt,baseIdxTxt,baseCost)-5,
   ""
)</f>
        <v/>
      </c>
      <c r="AH177" s="511"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61" t="str">
        <f>IF(Contract_Edits[[#This Row],[Dep]]=0,"Root",
   IF(ISNUMBER(MATCH(Contract_Edits[[#This Row],[Dep]],Contract_Edits[Index],0)),"OK","Missing")
)</f>
        <v>Root</v>
      </c>
      <c r="AJ177" s="461" t="e">
        <f>IF(AND(Contract_Edits[[#This Row],[Dep]]&lt;&gt;0,
        ISNUMBER(MATCH(Contract_Edits[[#This Row],[Dep]], Contract_Edits[Index], 0)),
        INDEX(Contract_Edits[Dep], MATCH(Contract_Edits[[#This Row],[Dep]], Contract_Edits[Index], 0))=Contract_Edits[[#This Row],[Index]]),
   "2-cycle","")</f>
        <v>#N/A</v>
      </c>
      <c r="AK177" s="461" cm="1">
        <f t="array" ref="AK177">IF(Contract_Edits[[#This Row],[BaseFlag]]&lt;&gt;1,0,
   IF(TEXT(Contract_Edits[[#This Row],[Dep]],"0")=TEXT(Contract_Edits[[#This Row],[Index]],"0"),
      0,
      MAX(0, SUMPRODUCT(--(Contract_Edits[BaseFlag]=1),
                        --(TEXT(Contract_Edits[Dep],"0")=TEXT(Contract_Edits[[#This Row],[Dep]],"0"))) - 1)
   )
)</f>
        <v>0</v>
      </c>
      <c r="AL177" s="461" t="str" cm="1">
        <f t="array" ref="AL177">IF(Contract_Edits[[#This Row],[BaseFlag]]=1,
   TEXT(Contract_Edits[[#This Row],[Index]],"0"),
   NearestBaseL(TEXT(Contract_Edits[[#This Row],[ParentKey]],"0"),500,editsIdxTxt,editsParentKeyTxt,baseIdxTxt,baseCost)
)</f>
        <v>0</v>
      </c>
      <c r="AM177" s="461" cm="1">
        <f t="array" ref="AM177">1+SUMPRODUCT(
  (Contract_Edits[BaseFlag]=1)*
  (TEXT(Contract_Edits[ParentAnchor],"0")=TEXT(Contract_Edits[[#This Row],[ParentAnchor]],"0"))*
  (VALUE(TEXT(Contract_Edits[Index],"0"))&lt;VALUE(TEXT(Contract_Edits[[#This Row],[Index]],"0")))
)</f>
        <v>1</v>
      </c>
      <c r="AN177" s="461"/>
      <c r="AP177" s="193"/>
      <c r="AQ177" s="193"/>
      <c r="BC177" s="34"/>
      <c r="BD177" s="34"/>
      <c r="BE177" s="34"/>
      <c r="BZ177"/>
      <c r="CA177"/>
      <c r="CB177"/>
    </row>
    <row r="178" spans="11:80" ht="15">
      <c r="K178" s="104"/>
      <c r="L178" s="449">
        <v>166</v>
      </c>
      <c r="M178" s="449"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88"/>
      <c r="R178" s="516"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8" s="179">
        <v>0</v>
      </c>
      <c r="T178" s="477"/>
      <c r="U178" s="500"/>
      <c r="V178" s="193"/>
      <c r="W178" s="22" t="s">
        <v>436</v>
      </c>
      <c r="Y178" s="492"/>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11">
        <f>--(
  ISNUMBER(SEARCH("BASE PARENT", UPPER(CLEAN(TRIM(_xlfn.XLOOKUP(TEXT(Contract_Edits[[#This Row],[Index]],"0"), baseIdxTxt, baseCost, "")))))) +
  ISNUMBER(SEARCH("DEPENDENCY GROUP", UPPER(CLEAN(TRIM(_xlfn.XLOOKUP(TEXT(Contract_Edits[[#This Row],[Index]],"0"), baseIdxTxt, baseCost, ""))))))
)</f>
        <v>0</v>
      </c>
      <c r="AG178" s="511" t="str" cm="1">
        <f t="array" ref="AG178">IF(Contract_Edits[[#This Row],[BaseFlag]]=1,
   10*BaseDepthL(TEXT(Contract_Edits[[#This Row],[Index]],"0"),500,editsIdxTxt,editsParentKeyTxt,baseIdxTxt,baseCost)-5,
   ""
)</f>
        <v/>
      </c>
      <c r="AH178" s="511"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61" t="str">
        <f>IF(Contract_Edits[[#This Row],[Dep]]=0,"Root",
   IF(ISNUMBER(MATCH(Contract_Edits[[#This Row],[Dep]],Contract_Edits[Index],0)),"OK","Missing")
)</f>
        <v>Root</v>
      </c>
      <c r="AJ178" s="461" t="e">
        <f>IF(AND(Contract_Edits[[#This Row],[Dep]]&lt;&gt;0,
        ISNUMBER(MATCH(Contract_Edits[[#This Row],[Dep]], Contract_Edits[Index], 0)),
        INDEX(Contract_Edits[Dep], MATCH(Contract_Edits[[#This Row],[Dep]], Contract_Edits[Index], 0))=Contract_Edits[[#This Row],[Index]]),
   "2-cycle","")</f>
        <v>#N/A</v>
      </c>
      <c r="AK178" s="461" cm="1">
        <f t="array" ref="AK178">IF(Contract_Edits[[#This Row],[BaseFlag]]&lt;&gt;1,0,
   IF(TEXT(Contract_Edits[[#This Row],[Dep]],"0")=TEXT(Contract_Edits[[#This Row],[Index]],"0"),
      0,
      MAX(0, SUMPRODUCT(--(Contract_Edits[BaseFlag]=1),
                        --(TEXT(Contract_Edits[Dep],"0")=TEXT(Contract_Edits[[#This Row],[Dep]],"0"))) - 1)
   )
)</f>
        <v>0</v>
      </c>
      <c r="AL178" s="461" t="str" cm="1">
        <f t="array" ref="AL178">IF(Contract_Edits[[#This Row],[BaseFlag]]=1,
   TEXT(Contract_Edits[[#This Row],[Index]],"0"),
   NearestBaseL(TEXT(Contract_Edits[[#This Row],[ParentKey]],"0"),500,editsIdxTxt,editsParentKeyTxt,baseIdxTxt,baseCost)
)</f>
        <v>0</v>
      </c>
      <c r="AM178" s="461" cm="1">
        <f t="array" ref="AM178">1+SUMPRODUCT(
  (Contract_Edits[BaseFlag]=1)*
  (TEXT(Contract_Edits[ParentAnchor],"0")=TEXT(Contract_Edits[[#This Row],[ParentAnchor]],"0"))*
  (VALUE(TEXT(Contract_Edits[Index],"0"))&lt;VALUE(TEXT(Contract_Edits[[#This Row],[Index]],"0")))
)</f>
        <v>1</v>
      </c>
      <c r="AN178" s="461"/>
      <c r="AP178" s="193"/>
      <c r="AQ178" s="193"/>
      <c r="BC178" s="34"/>
      <c r="BD178" s="34"/>
      <c r="BE178" s="34"/>
      <c r="BZ178"/>
      <c r="CA178"/>
      <c r="CB178"/>
    </row>
    <row r="179" spans="11:80" ht="15">
      <c r="K179" s="104"/>
      <c r="L179" s="449">
        <v>145</v>
      </c>
      <c r="M179" s="449"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76"/>
      <c r="R179" s="516"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79" s="179">
        <v>0</v>
      </c>
      <c r="T179" s="179">
        <v>0</v>
      </c>
      <c r="U179" s="11"/>
      <c r="V179"/>
      <c r="W179" s="22" t="s">
        <v>436</v>
      </c>
      <c r="X179" s="22" t="s">
        <v>682</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11">
        <f>--(
  ISNUMBER(SEARCH("BASE PARENT", UPPER(CLEAN(TRIM(_xlfn.XLOOKUP(TEXT(Contract_Edits[[#This Row],[Index]],"0"), baseIdxTxt, baseCost, "")))))) +
  ISNUMBER(SEARCH("DEPENDENCY GROUP", UPPER(CLEAN(TRIM(_xlfn.XLOOKUP(TEXT(Contract_Edits[[#This Row],[Index]],"0"), baseIdxTxt, baseCost, ""))))))
)</f>
        <v>0</v>
      </c>
      <c r="AG179" s="511" t="str" cm="1">
        <f t="array" ref="AG179">IF(Contract_Edits[[#This Row],[BaseFlag]]=1,
   10*BaseDepthL(TEXT(Contract_Edits[[#This Row],[Index]],"0"),500,editsIdxTxt,editsParentKeyTxt,baseIdxTxt,baseCost)-5,
   ""
)</f>
        <v/>
      </c>
      <c r="AH179" s="511"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61" t="str">
        <f>IF(Contract_Edits[[#This Row],[Dep]]=0,"Root",
   IF(ISNUMBER(MATCH(Contract_Edits[[#This Row],[Dep]],Contract_Edits[Index],0)),"OK","Missing")
)</f>
        <v>Root</v>
      </c>
      <c r="AJ179" s="461" t="e">
        <f>IF(AND(Contract_Edits[[#This Row],[Dep]]&lt;&gt;0,
        ISNUMBER(MATCH(Contract_Edits[[#This Row],[Dep]], Contract_Edits[Index], 0)),
        INDEX(Contract_Edits[Dep], MATCH(Contract_Edits[[#This Row],[Dep]], Contract_Edits[Index], 0))=Contract_Edits[[#This Row],[Index]]),
   "2-cycle","")</f>
        <v>#N/A</v>
      </c>
      <c r="AK179" s="461" cm="1">
        <f t="array" ref="AK179">IF(Contract_Edits[[#This Row],[BaseFlag]]&lt;&gt;1,0,
   IF(TEXT(Contract_Edits[[#This Row],[Dep]],"0")=TEXT(Contract_Edits[[#This Row],[Index]],"0"),
      0,
      MAX(0, SUMPRODUCT(--(Contract_Edits[BaseFlag]=1),
                        --(TEXT(Contract_Edits[Dep],"0")=TEXT(Contract_Edits[[#This Row],[Dep]],"0"))) - 1)
   )
)</f>
        <v>0</v>
      </c>
      <c r="AL179" s="461" t="str" cm="1">
        <f t="array" ref="AL179">IF(Contract_Edits[[#This Row],[BaseFlag]]=1,
   TEXT(Contract_Edits[[#This Row],[Index]],"0"),
   NearestBaseL(TEXT(Contract_Edits[[#This Row],[ParentKey]],"0"),500,editsIdxTxt,editsParentKeyTxt,baseIdxTxt,baseCost)
)</f>
        <v>0</v>
      </c>
      <c r="AM179" s="461" cm="1">
        <f t="array" ref="AM179">1+SUMPRODUCT(
  (Contract_Edits[BaseFlag]=1)*
  (TEXT(Contract_Edits[ParentAnchor],"0")=TEXT(Contract_Edits[[#This Row],[ParentAnchor]],"0"))*
  (VALUE(TEXT(Contract_Edits[Index],"0"))&lt;VALUE(TEXT(Contract_Edits[[#This Row],[Index]],"0")))
)</f>
        <v>1</v>
      </c>
      <c r="AN179" s="461"/>
      <c r="AP179" s="193"/>
      <c r="AQ179" s="193"/>
      <c r="BC179" s="34"/>
      <c r="BD179" s="34"/>
      <c r="BE179" s="34"/>
      <c r="BZ179"/>
      <c r="CA179"/>
      <c r="CB179"/>
    </row>
    <row r="180" spans="11:80" ht="15">
      <c r="K180" s="104"/>
      <c r="L180" s="449">
        <v>92</v>
      </c>
      <c r="M180" s="449"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76"/>
      <c r="R180" s="516"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0" s="179">
        <v>0</v>
      </c>
      <c r="T180" s="179">
        <v>0</v>
      </c>
      <c r="U180" s="11"/>
      <c r="V180"/>
      <c r="W180" s="22" t="s">
        <v>436</v>
      </c>
      <c r="X180" s="22" t="s">
        <v>682</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11">
        <f>--(
  ISNUMBER(SEARCH("BASE PARENT", UPPER(CLEAN(TRIM(_xlfn.XLOOKUP(TEXT(Contract_Edits[[#This Row],[Index]],"0"), baseIdxTxt, baseCost, "")))))) +
  ISNUMBER(SEARCH("DEPENDENCY GROUP", UPPER(CLEAN(TRIM(_xlfn.XLOOKUP(TEXT(Contract_Edits[[#This Row],[Index]],"0"), baseIdxTxt, baseCost, ""))))))
)</f>
        <v>0</v>
      </c>
      <c r="AG180" s="511" t="str" cm="1">
        <f t="array" ref="AG180">IF(Contract_Edits[[#This Row],[BaseFlag]]=1,
   10*BaseDepthL(TEXT(Contract_Edits[[#This Row],[Index]],"0"),500,editsIdxTxt,editsParentKeyTxt,baseIdxTxt,baseCost)-5,
   ""
)</f>
        <v/>
      </c>
      <c r="AH180" s="511"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61" t="str">
        <f>IF(Contract_Edits[[#This Row],[Dep]]=0,"Root",
   IF(ISNUMBER(MATCH(Contract_Edits[[#This Row],[Dep]],Contract_Edits[Index],0)),"OK","Missing")
)</f>
        <v>Root</v>
      </c>
      <c r="AJ180" s="461" t="e">
        <f>IF(AND(Contract_Edits[[#This Row],[Dep]]&lt;&gt;0,
        ISNUMBER(MATCH(Contract_Edits[[#This Row],[Dep]], Contract_Edits[Index], 0)),
        INDEX(Contract_Edits[Dep], MATCH(Contract_Edits[[#This Row],[Dep]], Contract_Edits[Index], 0))=Contract_Edits[[#This Row],[Index]]),
   "2-cycle","")</f>
        <v>#N/A</v>
      </c>
      <c r="AK180" s="461" cm="1">
        <f t="array" ref="AK180">IF(Contract_Edits[[#This Row],[BaseFlag]]&lt;&gt;1,0,
   IF(TEXT(Contract_Edits[[#This Row],[Dep]],"0")=TEXT(Contract_Edits[[#This Row],[Index]],"0"),
      0,
      MAX(0, SUMPRODUCT(--(Contract_Edits[BaseFlag]=1),
                        --(TEXT(Contract_Edits[Dep],"0")=TEXT(Contract_Edits[[#This Row],[Dep]],"0"))) - 1)
   )
)</f>
        <v>0</v>
      </c>
      <c r="AL180" s="461" t="str" cm="1">
        <f t="array" ref="AL180">IF(Contract_Edits[[#This Row],[BaseFlag]]=1,
   TEXT(Contract_Edits[[#This Row],[Index]],"0"),
   NearestBaseL(TEXT(Contract_Edits[[#This Row],[ParentKey]],"0"),500,editsIdxTxt,editsParentKeyTxt,baseIdxTxt,baseCost)
)</f>
        <v>0</v>
      </c>
      <c r="AM180" s="461" cm="1">
        <f t="array" ref="AM180">1+SUMPRODUCT(
  (Contract_Edits[BaseFlag]=1)*
  (TEXT(Contract_Edits[ParentAnchor],"0")=TEXT(Contract_Edits[[#This Row],[ParentAnchor]],"0"))*
  (VALUE(TEXT(Contract_Edits[Index],"0"))&lt;VALUE(TEXT(Contract_Edits[[#This Row],[Index]],"0")))
)</f>
        <v>1</v>
      </c>
      <c r="AN180" s="461"/>
      <c r="AP180" s="193"/>
      <c r="AQ180" s="193"/>
      <c r="BC180" s="34"/>
      <c r="BD180" s="34"/>
      <c r="BE180" s="34"/>
      <c r="BZ180"/>
      <c r="CA180"/>
      <c r="CB180"/>
    </row>
    <row r="181" spans="11:80" ht="15">
      <c r="K181" s="104"/>
      <c r="L181" s="449">
        <v>167</v>
      </c>
      <c r="M181" s="449"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88"/>
      <c r="R181" s="516"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1" s="179">
        <v>0</v>
      </c>
      <c r="T181" s="477"/>
      <c r="U181" s="500"/>
      <c r="V181" s="193"/>
      <c r="W181" s="22" t="s">
        <v>436</v>
      </c>
      <c r="Y181" s="492"/>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11">
        <f>--(
  ISNUMBER(SEARCH("BASE PARENT", UPPER(CLEAN(TRIM(_xlfn.XLOOKUP(TEXT(Contract_Edits[[#This Row],[Index]],"0"), baseIdxTxt, baseCost, "")))))) +
  ISNUMBER(SEARCH("DEPENDENCY GROUP", UPPER(CLEAN(TRIM(_xlfn.XLOOKUP(TEXT(Contract_Edits[[#This Row],[Index]],"0"), baseIdxTxt, baseCost, ""))))))
)</f>
        <v>0</v>
      </c>
      <c r="AG181" s="511" t="str" cm="1">
        <f t="array" ref="AG181">IF(Contract_Edits[[#This Row],[BaseFlag]]=1,
   10*BaseDepthL(TEXT(Contract_Edits[[#This Row],[Index]],"0"),500,editsIdxTxt,editsParentKeyTxt,baseIdxTxt,baseCost)-5,
   ""
)</f>
        <v/>
      </c>
      <c r="AH181" s="511"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61" t="str">
        <f>IF(Contract_Edits[[#This Row],[Dep]]=0,"Root",
   IF(ISNUMBER(MATCH(Contract_Edits[[#This Row],[Dep]],Contract_Edits[Index],0)),"OK","Missing")
)</f>
        <v>Root</v>
      </c>
      <c r="AJ181" s="461" t="e">
        <f>IF(AND(Contract_Edits[[#This Row],[Dep]]&lt;&gt;0,
        ISNUMBER(MATCH(Contract_Edits[[#This Row],[Dep]], Contract_Edits[Index], 0)),
        INDEX(Contract_Edits[Dep], MATCH(Contract_Edits[[#This Row],[Dep]], Contract_Edits[Index], 0))=Contract_Edits[[#This Row],[Index]]),
   "2-cycle","")</f>
        <v>#N/A</v>
      </c>
      <c r="AK181" s="461" cm="1">
        <f t="array" ref="AK181">IF(Contract_Edits[[#This Row],[BaseFlag]]&lt;&gt;1,0,
   IF(TEXT(Contract_Edits[[#This Row],[Dep]],"0")=TEXT(Contract_Edits[[#This Row],[Index]],"0"),
      0,
      MAX(0, SUMPRODUCT(--(Contract_Edits[BaseFlag]=1),
                        --(TEXT(Contract_Edits[Dep],"0")=TEXT(Contract_Edits[[#This Row],[Dep]],"0"))) - 1)
   )
)</f>
        <v>0</v>
      </c>
      <c r="AL181" s="461" t="str" cm="1">
        <f t="array" ref="AL181">IF(Contract_Edits[[#This Row],[BaseFlag]]=1,
   TEXT(Contract_Edits[[#This Row],[Index]],"0"),
   NearestBaseL(TEXT(Contract_Edits[[#This Row],[ParentKey]],"0"),500,editsIdxTxt,editsParentKeyTxt,baseIdxTxt,baseCost)
)</f>
        <v>0</v>
      </c>
      <c r="AM181" s="461" cm="1">
        <f t="array" ref="AM181">1+SUMPRODUCT(
  (Contract_Edits[BaseFlag]=1)*
  (TEXT(Contract_Edits[ParentAnchor],"0")=TEXT(Contract_Edits[[#This Row],[ParentAnchor]],"0"))*
  (VALUE(TEXT(Contract_Edits[Index],"0"))&lt;VALUE(TEXT(Contract_Edits[[#This Row],[Index]],"0")))
)</f>
        <v>1</v>
      </c>
      <c r="AN181" s="461"/>
      <c r="AP181" s="193"/>
      <c r="AQ181" s="193"/>
      <c r="BC181" s="34"/>
      <c r="BD181" s="34"/>
      <c r="BE181" s="34"/>
      <c r="BZ181"/>
      <c r="CA181"/>
      <c r="CB181"/>
    </row>
    <row r="182" spans="11:80" ht="15">
      <c r="K182" s="104"/>
      <c r="L182" s="449">
        <v>168</v>
      </c>
      <c r="M182" s="449"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88"/>
      <c r="R182" s="516"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2" s="179">
        <v>0</v>
      </c>
      <c r="T182" s="477"/>
      <c r="U182" s="500"/>
      <c r="V182" s="193"/>
      <c r="W182" s="22" t="s">
        <v>436</v>
      </c>
      <c r="Y182" s="492"/>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11">
        <f>--(
  ISNUMBER(SEARCH("BASE PARENT", UPPER(CLEAN(TRIM(_xlfn.XLOOKUP(TEXT(Contract_Edits[[#This Row],[Index]],"0"), baseIdxTxt, baseCost, "")))))) +
  ISNUMBER(SEARCH("DEPENDENCY GROUP", UPPER(CLEAN(TRIM(_xlfn.XLOOKUP(TEXT(Contract_Edits[[#This Row],[Index]],"0"), baseIdxTxt, baseCost, ""))))))
)</f>
        <v>0</v>
      </c>
      <c r="AG182" s="511" t="str" cm="1">
        <f t="array" ref="AG182">IF(Contract_Edits[[#This Row],[BaseFlag]]=1,
   10*BaseDepthL(TEXT(Contract_Edits[[#This Row],[Index]],"0"),500,editsIdxTxt,editsParentKeyTxt,baseIdxTxt,baseCost)-5,
   ""
)</f>
        <v/>
      </c>
      <c r="AH182" s="511"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61" t="str">
        <f>IF(Contract_Edits[[#This Row],[Dep]]=0,"Root",
   IF(ISNUMBER(MATCH(Contract_Edits[[#This Row],[Dep]],Contract_Edits[Index],0)),"OK","Missing")
)</f>
        <v>Root</v>
      </c>
      <c r="AJ182" s="461" t="e">
        <f>IF(AND(Contract_Edits[[#This Row],[Dep]]&lt;&gt;0,
        ISNUMBER(MATCH(Contract_Edits[[#This Row],[Dep]], Contract_Edits[Index], 0)),
        INDEX(Contract_Edits[Dep], MATCH(Contract_Edits[[#This Row],[Dep]], Contract_Edits[Index], 0))=Contract_Edits[[#This Row],[Index]]),
   "2-cycle","")</f>
        <v>#N/A</v>
      </c>
      <c r="AK182" s="461" cm="1">
        <f t="array" ref="AK182">IF(Contract_Edits[[#This Row],[BaseFlag]]&lt;&gt;1,0,
   IF(TEXT(Contract_Edits[[#This Row],[Dep]],"0")=TEXT(Contract_Edits[[#This Row],[Index]],"0"),
      0,
      MAX(0, SUMPRODUCT(--(Contract_Edits[BaseFlag]=1),
                        --(TEXT(Contract_Edits[Dep],"0")=TEXT(Contract_Edits[[#This Row],[Dep]],"0"))) - 1)
   )
)</f>
        <v>0</v>
      </c>
      <c r="AL182" s="461" t="str" cm="1">
        <f t="array" ref="AL182">IF(Contract_Edits[[#This Row],[BaseFlag]]=1,
   TEXT(Contract_Edits[[#This Row],[Index]],"0"),
   NearestBaseL(TEXT(Contract_Edits[[#This Row],[ParentKey]],"0"),500,editsIdxTxt,editsParentKeyTxt,baseIdxTxt,baseCost)
)</f>
        <v>0</v>
      </c>
      <c r="AM182" s="461" cm="1">
        <f t="array" ref="AM182">1+SUMPRODUCT(
  (Contract_Edits[BaseFlag]=1)*
  (TEXT(Contract_Edits[ParentAnchor],"0")=TEXT(Contract_Edits[[#This Row],[ParentAnchor]],"0"))*
  (VALUE(TEXT(Contract_Edits[Index],"0"))&lt;VALUE(TEXT(Contract_Edits[[#This Row],[Index]],"0")))
)</f>
        <v>1</v>
      </c>
      <c r="AN182" s="461"/>
      <c r="AP182" s="193"/>
      <c r="AQ182" s="193"/>
      <c r="BC182" s="34"/>
      <c r="BD182" s="34"/>
      <c r="BE182" s="34"/>
      <c r="BZ182"/>
      <c r="CA182"/>
      <c r="CB182"/>
    </row>
    <row r="183" spans="11:80" ht="15">
      <c r="K183" s="104"/>
      <c r="L183" s="449">
        <v>121</v>
      </c>
      <c r="M183" s="449"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76"/>
      <c r="R183" s="516"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3" s="179">
        <v>0</v>
      </c>
      <c r="T183" s="179">
        <v>0</v>
      </c>
      <c r="U183" s="11"/>
      <c r="V183"/>
      <c r="W183" s="22" t="s">
        <v>436</v>
      </c>
      <c r="X183" s="22" t="s">
        <v>682</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11">
        <f>--(
  ISNUMBER(SEARCH("BASE PARENT", UPPER(CLEAN(TRIM(_xlfn.XLOOKUP(TEXT(Contract_Edits[[#This Row],[Index]],"0"), baseIdxTxt, baseCost, "")))))) +
  ISNUMBER(SEARCH("DEPENDENCY GROUP", UPPER(CLEAN(TRIM(_xlfn.XLOOKUP(TEXT(Contract_Edits[[#This Row],[Index]],"0"), baseIdxTxt, baseCost, ""))))))
)</f>
        <v>0</v>
      </c>
      <c r="AG183" s="511" t="str" cm="1">
        <f t="array" ref="AG183">IF(Contract_Edits[[#This Row],[BaseFlag]]=1,
   10*BaseDepthL(TEXT(Contract_Edits[[#This Row],[Index]],"0"),500,editsIdxTxt,editsParentKeyTxt,baseIdxTxt,baseCost)-5,
   ""
)</f>
        <v/>
      </c>
      <c r="AH183" s="511"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61" t="str">
        <f>IF(Contract_Edits[[#This Row],[Dep]]=0,"Root",
   IF(ISNUMBER(MATCH(Contract_Edits[[#This Row],[Dep]],Contract_Edits[Index],0)),"OK","Missing")
)</f>
        <v>Root</v>
      </c>
      <c r="AJ183" s="461" t="e">
        <f>IF(AND(Contract_Edits[[#This Row],[Dep]]&lt;&gt;0,
        ISNUMBER(MATCH(Contract_Edits[[#This Row],[Dep]], Contract_Edits[Index], 0)),
        INDEX(Contract_Edits[Dep], MATCH(Contract_Edits[[#This Row],[Dep]], Contract_Edits[Index], 0))=Contract_Edits[[#This Row],[Index]]),
   "2-cycle","")</f>
        <v>#N/A</v>
      </c>
      <c r="AK183" s="461" cm="1">
        <f t="array" ref="AK183">IF(Contract_Edits[[#This Row],[BaseFlag]]&lt;&gt;1,0,
   IF(TEXT(Contract_Edits[[#This Row],[Dep]],"0")=TEXT(Contract_Edits[[#This Row],[Index]],"0"),
      0,
      MAX(0, SUMPRODUCT(--(Contract_Edits[BaseFlag]=1),
                        --(TEXT(Contract_Edits[Dep],"0")=TEXT(Contract_Edits[[#This Row],[Dep]],"0"))) - 1)
   )
)</f>
        <v>0</v>
      </c>
      <c r="AL183" s="461" t="str" cm="1">
        <f t="array" ref="AL183">IF(Contract_Edits[[#This Row],[BaseFlag]]=1,
   TEXT(Contract_Edits[[#This Row],[Index]],"0"),
   NearestBaseL(TEXT(Contract_Edits[[#This Row],[ParentKey]],"0"),500,editsIdxTxt,editsParentKeyTxt,baseIdxTxt,baseCost)
)</f>
        <v>0</v>
      </c>
      <c r="AM183" s="461" cm="1">
        <f t="array" ref="AM183">1+SUMPRODUCT(
  (Contract_Edits[BaseFlag]=1)*
  (TEXT(Contract_Edits[ParentAnchor],"0")=TEXT(Contract_Edits[[#This Row],[ParentAnchor]],"0"))*
  (VALUE(TEXT(Contract_Edits[Index],"0"))&lt;VALUE(TEXT(Contract_Edits[[#This Row],[Index]],"0")))
)</f>
        <v>1</v>
      </c>
      <c r="AN183" s="461"/>
      <c r="AP183" s="193"/>
      <c r="AQ183" s="193"/>
      <c r="BC183" s="34"/>
      <c r="BD183" s="34"/>
      <c r="BE183" s="34"/>
      <c r="BZ183"/>
      <c r="CA183"/>
      <c r="CB183"/>
    </row>
    <row r="184" spans="11:80" ht="15">
      <c r="K184" s="104"/>
      <c r="L184" s="449">
        <v>89</v>
      </c>
      <c r="M184" s="449"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76"/>
      <c r="R184" s="516"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4" s="179">
        <v>0</v>
      </c>
      <c r="T184" s="179">
        <v>0</v>
      </c>
      <c r="U184" s="11"/>
      <c r="V184"/>
      <c r="W184" s="22" t="s">
        <v>436</v>
      </c>
      <c r="X184" s="22" t="s">
        <v>682</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11">
        <f>--(
  ISNUMBER(SEARCH("BASE PARENT", UPPER(CLEAN(TRIM(_xlfn.XLOOKUP(TEXT(Contract_Edits[[#This Row],[Index]],"0"), baseIdxTxt, baseCost, "")))))) +
  ISNUMBER(SEARCH("DEPENDENCY GROUP", UPPER(CLEAN(TRIM(_xlfn.XLOOKUP(TEXT(Contract_Edits[[#This Row],[Index]],"0"), baseIdxTxt, baseCost, ""))))))
)</f>
        <v>0</v>
      </c>
      <c r="AG184" s="511" t="str" cm="1">
        <f t="array" ref="AG184">IF(Contract_Edits[[#This Row],[BaseFlag]]=1,
   10*BaseDepthL(TEXT(Contract_Edits[[#This Row],[Index]],"0"),500,editsIdxTxt,editsParentKeyTxt,baseIdxTxt,baseCost)-5,
   ""
)</f>
        <v/>
      </c>
      <c r="AH184" s="511"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61" t="str">
        <f>IF(Contract_Edits[[#This Row],[Dep]]=0,"Root",
   IF(ISNUMBER(MATCH(Contract_Edits[[#This Row],[Dep]],Contract_Edits[Index],0)),"OK","Missing")
)</f>
        <v>Root</v>
      </c>
      <c r="AJ184" s="461" t="e">
        <f>IF(AND(Contract_Edits[[#This Row],[Dep]]&lt;&gt;0,
        ISNUMBER(MATCH(Contract_Edits[[#This Row],[Dep]], Contract_Edits[Index], 0)),
        INDEX(Contract_Edits[Dep], MATCH(Contract_Edits[[#This Row],[Dep]], Contract_Edits[Index], 0))=Contract_Edits[[#This Row],[Index]]),
   "2-cycle","")</f>
        <v>#N/A</v>
      </c>
      <c r="AK184" s="461" cm="1">
        <f t="array" ref="AK184">IF(Contract_Edits[[#This Row],[BaseFlag]]&lt;&gt;1,0,
   IF(TEXT(Contract_Edits[[#This Row],[Dep]],"0")=TEXT(Contract_Edits[[#This Row],[Index]],"0"),
      0,
      MAX(0, SUMPRODUCT(--(Contract_Edits[BaseFlag]=1),
                        --(TEXT(Contract_Edits[Dep],"0")=TEXT(Contract_Edits[[#This Row],[Dep]],"0"))) - 1)
   )
)</f>
        <v>0</v>
      </c>
      <c r="AL184" s="461" t="str" cm="1">
        <f t="array" ref="AL184">IF(Contract_Edits[[#This Row],[BaseFlag]]=1,
   TEXT(Contract_Edits[[#This Row],[Index]],"0"),
   NearestBaseL(TEXT(Contract_Edits[[#This Row],[ParentKey]],"0"),500,editsIdxTxt,editsParentKeyTxt,baseIdxTxt,baseCost)
)</f>
        <v>0</v>
      </c>
      <c r="AM184" s="461" cm="1">
        <f t="array" ref="AM184">1+SUMPRODUCT(
  (Contract_Edits[BaseFlag]=1)*
  (TEXT(Contract_Edits[ParentAnchor],"0")=TEXT(Contract_Edits[[#This Row],[ParentAnchor]],"0"))*
  (VALUE(TEXT(Contract_Edits[Index],"0"))&lt;VALUE(TEXT(Contract_Edits[[#This Row],[Index]],"0")))
)</f>
        <v>1</v>
      </c>
      <c r="AN184" s="461"/>
      <c r="AP184" s="193"/>
      <c r="AQ184" s="193"/>
      <c r="BC184" s="34"/>
      <c r="BD184" s="34"/>
      <c r="BE184" s="34"/>
      <c r="BZ184"/>
      <c r="CA184"/>
      <c r="CB184"/>
    </row>
    <row r="185" spans="11:80" ht="15">
      <c r="K185" s="104"/>
      <c r="L185" s="449">
        <v>169</v>
      </c>
      <c r="M185" s="449"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88"/>
      <c r="R185" s="516"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5" s="179">
        <v>0</v>
      </c>
      <c r="T185" s="477"/>
      <c r="U185" s="500"/>
      <c r="V185" s="193"/>
      <c r="W185" s="22" t="s">
        <v>436</v>
      </c>
      <c r="Y185" s="492"/>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11">
        <f>--(
  ISNUMBER(SEARCH("BASE PARENT", UPPER(CLEAN(TRIM(_xlfn.XLOOKUP(TEXT(Contract_Edits[[#This Row],[Index]],"0"), baseIdxTxt, baseCost, "")))))) +
  ISNUMBER(SEARCH("DEPENDENCY GROUP", UPPER(CLEAN(TRIM(_xlfn.XLOOKUP(TEXT(Contract_Edits[[#This Row],[Index]],"0"), baseIdxTxt, baseCost, ""))))))
)</f>
        <v>0</v>
      </c>
      <c r="AG185" s="511" t="str" cm="1">
        <f t="array" ref="AG185">IF(Contract_Edits[[#This Row],[BaseFlag]]=1,
   10*BaseDepthL(TEXT(Contract_Edits[[#This Row],[Index]],"0"),500,editsIdxTxt,editsParentKeyTxt,baseIdxTxt,baseCost)-5,
   ""
)</f>
        <v/>
      </c>
      <c r="AH185" s="511"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61" t="str">
        <f>IF(Contract_Edits[[#This Row],[Dep]]=0,"Root",
   IF(ISNUMBER(MATCH(Contract_Edits[[#This Row],[Dep]],Contract_Edits[Index],0)),"OK","Missing")
)</f>
        <v>Root</v>
      </c>
      <c r="AJ185" s="461" t="e">
        <f>IF(AND(Contract_Edits[[#This Row],[Dep]]&lt;&gt;0,
        ISNUMBER(MATCH(Contract_Edits[[#This Row],[Dep]], Contract_Edits[Index], 0)),
        INDEX(Contract_Edits[Dep], MATCH(Contract_Edits[[#This Row],[Dep]], Contract_Edits[Index], 0))=Contract_Edits[[#This Row],[Index]]),
   "2-cycle","")</f>
        <v>#N/A</v>
      </c>
      <c r="AK185" s="461" cm="1">
        <f t="array" ref="AK185">IF(Contract_Edits[[#This Row],[BaseFlag]]&lt;&gt;1,0,
   IF(TEXT(Contract_Edits[[#This Row],[Dep]],"0")=TEXT(Contract_Edits[[#This Row],[Index]],"0"),
      0,
      MAX(0, SUMPRODUCT(--(Contract_Edits[BaseFlag]=1),
                        --(TEXT(Contract_Edits[Dep],"0")=TEXT(Contract_Edits[[#This Row],[Dep]],"0"))) - 1)
   )
)</f>
        <v>0</v>
      </c>
      <c r="AL185" s="461" t="str" cm="1">
        <f t="array" ref="AL185">IF(Contract_Edits[[#This Row],[BaseFlag]]=1,
   TEXT(Contract_Edits[[#This Row],[Index]],"0"),
   NearestBaseL(TEXT(Contract_Edits[[#This Row],[ParentKey]],"0"),500,editsIdxTxt,editsParentKeyTxt,baseIdxTxt,baseCost)
)</f>
        <v>0</v>
      </c>
      <c r="AM185" s="461" cm="1">
        <f t="array" ref="AM185">1+SUMPRODUCT(
  (Contract_Edits[BaseFlag]=1)*
  (TEXT(Contract_Edits[ParentAnchor],"0")=TEXT(Contract_Edits[[#This Row],[ParentAnchor]],"0"))*
  (VALUE(TEXT(Contract_Edits[Index],"0"))&lt;VALUE(TEXT(Contract_Edits[[#This Row],[Index]],"0")))
)</f>
        <v>1</v>
      </c>
      <c r="AN185" s="461"/>
      <c r="AP185" s="193"/>
      <c r="AQ185" s="193"/>
      <c r="BC185" s="34"/>
      <c r="BD185" s="34"/>
      <c r="BE185" s="34"/>
      <c r="BZ185"/>
      <c r="CA185"/>
      <c r="CB185"/>
    </row>
    <row r="186" spans="11:80" ht="15">
      <c r="K186" s="104"/>
      <c r="L186" s="449">
        <v>108</v>
      </c>
      <c r="M186" s="449"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76"/>
      <c r="R186" s="516"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6" s="179">
        <v>0</v>
      </c>
      <c r="T186" s="179">
        <v>0</v>
      </c>
      <c r="U186" s="11"/>
      <c r="V186"/>
      <c r="W186" s="22" t="s">
        <v>436</v>
      </c>
      <c r="X186" s="22" t="s">
        <v>682</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11">
        <f>--(
  ISNUMBER(SEARCH("BASE PARENT", UPPER(CLEAN(TRIM(_xlfn.XLOOKUP(TEXT(Contract_Edits[[#This Row],[Index]],"0"), baseIdxTxt, baseCost, "")))))) +
  ISNUMBER(SEARCH("DEPENDENCY GROUP", UPPER(CLEAN(TRIM(_xlfn.XLOOKUP(TEXT(Contract_Edits[[#This Row],[Index]],"0"), baseIdxTxt, baseCost, ""))))))
)</f>
        <v>0</v>
      </c>
      <c r="AG186" s="511" t="str" cm="1">
        <f t="array" ref="AG186">IF(Contract_Edits[[#This Row],[BaseFlag]]=1,
   10*BaseDepthL(TEXT(Contract_Edits[[#This Row],[Index]],"0"),500,editsIdxTxt,editsParentKeyTxt,baseIdxTxt,baseCost)-5,
   ""
)</f>
        <v/>
      </c>
      <c r="AH186" s="511"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61" t="str">
        <f>IF(Contract_Edits[[#This Row],[Dep]]=0,"Root",
   IF(ISNUMBER(MATCH(Contract_Edits[[#This Row],[Dep]],Contract_Edits[Index],0)),"OK","Missing")
)</f>
        <v>Root</v>
      </c>
      <c r="AJ186" s="461" t="e">
        <f>IF(AND(Contract_Edits[[#This Row],[Dep]]&lt;&gt;0,
        ISNUMBER(MATCH(Contract_Edits[[#This Row],[Dep]], Contract_Edits[Index], 0)),
        INDEX(Contract_Edits[Dep], MATCH(Contract_Edits[[#This Row],[Dep]], Contract_Edits[Index], 0))=Contract_Edits[[#This Row],[Index]]),
   "2-cycle","")</f>
        <v>#N/A</v>
      </c>
      <c r="AK186" s="461" cm="1">
        <f t="array" ref="AK186">IF(Contract_Edits[[#This Row],[BaseFlag]]&lt;&gt;1,0,
   IF(TEXT(Contract_Edits[[#This Row],[Dep]],"0")=TEXT(Contract_Edits[[#This Row],[Index]],"0"),
      0,
      MAX(0, SUMPRODUCT(--(Contract_Edits[BaseFlag]=1),
                        --(TEXT(Contract_Edits[Dep],"0")=TEXT(Contract_Edits[[#This Row],[Dep]],"0"))) - 1)
   )
)</f>
        <v>0</v>
      </c>
      <c r="AL186" s="461" t="str" cm="1">
        <f t="array" ref="AL186">IF(Contract_Edits[[#This Row],[BaseFlag]]=1,
   TEXT(Contract_Edits[[#This Row],[Index]],"0"),
   NearestBaseL(TEXT(Contract_Edits[[#This Row],[ParentKey]],"0"),500,editsIdxTxt,editsParentKeyTxt,baseIdxTxt,baseCost)
)</f>
        <v>0</v>
      </c>
      <c r="AM186" s="461" cm="1">
        <f t="array" ref="AM186">1+SUMPRODUCT(
  (Contract_Edits[BaseFlag]=1)*
  (TEXT(Contract_Edits[ParentAnchor],"0")=TEXT(Contract_Edits[[#This Row],[ParentAnchor]],"0"))*
  (VALUE(TEXT(Contract_Edits[Index],"0"))&lt;VALUE(TEXT(Contract_Edits[[#This Row],[Index]],"0")))
)</f>
        <v>1</v>
      </c>
      <c r="AN186" s="461"/>
      <c r="AP186" s="193"/>
      <c r="AQ186" s="193"/>
      <c r="BC186" s="34"/>
      <c r="BD186" s="34"/>
      <c r="BE186" s="34"/>
      <c r="BZ186"/>
      <c r="CA186"/>
      <c r="CB186"/>
    </row>
    <row r="187" spans="11:80" ht="15">
      <c r="K187" s="104"/>
      <c r="L187" s="449">
        <v>170</v>
      </c>
      <c r="M187" s="449"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88"/>
      <c r="R187" s="516"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7" s="179">
        <v>0</v>
      </c>
      <c r="T187" s="477"/>
      <c r="U187" s="500"/>
      <c r="V187" s="193"/>
      <c r="W187" s="22" t="s">
        <v>436</v>
      </c>
      <c r="Y187" s="492"/>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11">
        <f>--(
  ISNUMBER(SEARCH("BASE PARENT", UPPER(CLEAN(TRIM(_xlfn.XLOOKUP(TEXT(Contract_Edits[[#This Row],[Index]],"0"), baseIdxTxt, baseCost, "")))))) +
  ISNUMBER(SEARCH("DEPENDENCY GROUP", UPPER(CLEAN(TRIM(_xlfn.XLOOKUP(TEXT(Contract_Edits[[#This Row],[Index]],"0"), baseIdxTxt, baseCost, ""))))))
)</f>
        <v>0</v>
      </c>
      <c r="AG187" s="511" t="str" cm="1">
        <f t="array" ref="AG187">IF(Contract_Edits[[#This Row],[BaseFlag]]=1,
   10*BaseDepthL(TEXT(Contract_Edits[[#This Row],[Index]],"0"),500,editsIdxTxt,editsParentKeyTxt,baseIdxTxt,baseCost)-5,
   ""
)</f>
        <v/>
      </c>
      <c r="AH187" s="511"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61" t="str">
        <f>IF(Contract_Edits[[#This Row],[Dep]]=0,"Root",
   IF(ISNUMBER(MATCH(Contract_Edits[[#This Row],[Dep]],Contract_Edits[Index],0)),"OK","Missing")
)</f>
        <v>Root</v>
      </c>
      <c r="AJ187" s="461" t="e">
        <f>IF(AND(Contract_Edits[[#This Row],[Dep]]&lt;&gt;0,
        ISNUMBER(MATCH(Contract_Edits[[#This Row],[Dep]], Contract_Edits[Index], 0)),
        INDEX(Contract_Edits[Dep], MATCH(Contract_Edits[[#This Row],[Dep]], Contract_Edits[Index], 0))=Contract_Edits[[#This Row],[Index]]),
   "2-cycle","")</f>
        <v>#N/A</v>
      </c>
      <c r="AK187" s="461" cm="1">
        <f t="array" ref="AK187">IF(Contract_Edits[[#This Row],[BaseFlag]]&lt;&gt;1,0,
   IF(TEXT(Contract_Edits[[#This Row],[Dep]],"0")=TEXT(Contract_Edits[[#This Row],[Index]],"0"),
      0,
      MAX(0, SUMPRODUCT(--(Contract_Edits[BaseFlag]=1),
                        --(TEXT(Contract_Edits[Dep],"0")=TEXT(Contract_Edits[[#This Row],[Dep]],"0"))) - 1)
   )
)</f>
        <v>0</v>
      </c>
      <c r="AL187" s="461" t="str" cm="1">
        <f t="array" ref="AL187">IF(Contract_Edits[[#This Row],[BaseFlag]]=1,
   TEXT(Contract_Edits[[#This Row],[Index]],"0"),
   NearestBaseL(TEXT(Contract_Edits[[#This Row],[ParentKey]],"0"),500,editsIdxTxt,editsParentKeyTxt,baseIdxTxt,baseCost)
)</f>
        <v>0</v>
      </c>
      <c r="AM187" s="461" cm="1">
        <f t="array" ref="AM187">1+SUMPRODUCT(
  (Contract_Edits[BaseFlag]=1)*
  (TEXT(Contract_Edits[ParentAnchor],"0")=TEXT(Contract_Edits[[#This Row],[ParentAnchor]],"0"))*
  (VALUE(TEXT(Contract_Edits[Index],"0"))&lt;VALUE(TEXT(Contract_Edits[[#This Row],[Index]],"0")))
)</f>
        <v>1</v>
      </c>
      <c r="AN187" s="461"/>
      <c r="AP187" s="193"/>
      <c r="AQ187" s="193"/>
      <c r="BC187" s="34"/>
      <c r="BD187" s="34"/>
      <c r="BE187" s="34"/>
      <c r="BZ187"/>
      <c r="CA187"/>
      <c r="CB187"/>
    </row>
    <row r="188" spans="11:80" ht="15">
      <c r="K188" s="104"/>
      <c r="L188" s="449">
        <v>95</v>
      </c>
      <c r="M188" s="449"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76"/>
      <c r="R188" s="516"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8" s="179">
        <v>0</v>
      </c>
      <c r="T188" s="179">
        <v>0</v>
      </c>
      <c r="U188" s="11"/>
      <c r="V188"/>
      <c r="W188" s="22" t="s">
        <v>436</v>
      </c>
      <c r="X188" s="22" t="s">
        <v>682</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11">
        <f>--(
  ISNUMBER(SEARCH("BASE PARENT", UPPER(CLEAN(TRIM(_xlfn.XLOOKUP(TEXT(Contract_Edits[[#This Row],[Index]],"0"), baseIdxTxt, baseCost, "")))))) +
  ISNUMBER(SEARCH("DEPENDENCY GROUP", UPPER(CLEAN(TRIM(_xlfn.XLOOKUP(TEXT(Contract_Edits[[#This Row],[Index]],"0"), baseIdxTxt, baseCost, ""))))))
)</f>
        <v>0</v>
      </c>
      <c r="AG188" s="511" t="str" cm="1">
        <f t="array" ref="AG188">IF(Contract_Edits[[#This Row],[BaseFlag]]=1,
   10*BaseDepthL(TEXT(Contract_Edits[[#This Row],[Index]],"0"),500,editsIdxTxt,editsParentKeyTxt,baseIdxTxt,baseCost)-5,
   ""
)</f>
        <v/>
      </c>
      <c r="AH188" s="511"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61" t="str">
        <f>IF(Contract_Edits[[#This Row],[Dep]]=0,"Root",
   IF(ISNUMBER(MATCH(Contract_Edits[[#This Row],[Dep]],Contract_Edits[Index],0)),"OK","Missing")
)</f>
        <v>Root</v>
      </c>
      <c r="AJ188" s="461" t="e">
        <f>IF(AND(Contract_Edits[[#This Row],[Dep]]&lt;&gt;0,
        ISNUMBER(MATCH(Contract_Edits[[#This Row],[Dep]], Contract_Edits[Index], 0)),
        INDEX(Contract_Edits[Dep], MATCH(Contract_Edits[[#This Row],[Dep]], Contract_Edits[Index], 0))=Contract_Edits[[#This Row],[Index]]),
   "2-cycle","")</f>
        <v>#N/A</v>
      </c>
      <c r="AK188" s="461" cm="1">
        <f t="array" ref="AK188">IF(Contract_Edits[[#This Row],[BaseFlag]]&lt;&gt;1,0,
   IF(TEXT(Contract_Edits[[#This Row],[Dep]],"0")=TEXT(Contract_Edits[[#This Row],[Index]],"0"),
      0,
      MAX(0, SUMPRODUCT(--(Contract_Edits[BaseFlag]=1),
                        --(TEXT(Contract_Edits[Dep],"0")=TEXT(Contract_Edits[[#This Row],[Dep]],"0"))) - 1)
   )
)</f>
        <v>0</v>
      </c>
      <c r="AL188" s="461" t="str" cm="1">
        <f t="array" ref="AL188">IF(Contract_Edits[[#This Row],[BaseFlag]]=1,
   TEXT(Contract_Edits[[#This Row],[Index]],"0"),
   NearestBaseL(TEXT(Contract_Edits[[#This Row],[ParentKey]],"0"),500,editsIdxTxt,editsParentKeyTxt,baseIdxTxt,baseCost)
)</f>
        <v>0</v>
      </c>
      <c r="AM188" s="461" cm="1">
        <f t="array" ref="AM188">1+SUMPRODUCT(
  (Contract_Edits[BaseFlag]=1)*
  (TEXT(Contract_Edits[ParentAnchor],"0")=TEXT(Contract_Edits[[#This Row],[ParentAnchor]],"0"))*
  (VALUE(TEXT(Contract_Edits[Index],"0"))&lt;VALUE(TEXT(Contract_Edits[[#This Row],[Index]],"0")))
)</f>
        <v>1</v>
      </c>
      <c r="AN188" s="461"/>
      <c r="AP188" s="193"/>
      <c r="AQ188" s="193"/>
      <c r="BC188" s="34"/>
      <c r="BD188" s="34"/>
      <c r="BE188" s="34"/>
      <c r="BZ188"/>
      <c r="CA188"/>
      <c r="CB188"/>
    </row>
    <row r="189" spans="11:80" ht="15.75" thickBot="1">
      <c r="K189" s="104"/>
      <c r="L189" s="449">
        <v>171</v>
      </c>
      <c r="M189" s="449"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88"/>
      <c r="R189" s="516"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89" s="179">
        <v>0</v>
      </c>
      <c r="T189" s="477"/>
      <c r="U189" s="500"/>
      <c r="V189" s="193"/>
      <c r="W189" s="22" t="s">
        <v>436</v>
      </c>
      <c r="Y189" s="492"/>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11">
        <f>--(
  ISNUMBER(SEARCH("BASE PARENT", UPPER(CLEAN(TRIM(_xlfn.XLOOKUP(TEXT(Contract_Edits[[#This Row],[Index]],"0"), baseIdxTxt, baseCost, "")))))) +
  ISNUMBER(SEARCH("DEPENDENCY GROUP", UPPER(CLEAN(TRIM(_xlfn.XLOOKUP(TEXT(Contract_Edits[[#This Row],[Index]],"0"), baseIdxTxt, baseCost, ""))))))
)</f>
        <v>0</v>
      </c>
      <c r="AG189" s="511" t="str" cm="1">
        <f t="array" ref="AG189">IF(Contract_Edits[[#This Row],[BaseFlag]]=1,
   10*BaseDepthL(TEXT(Contract_Edits[[#This Row],[Index]],"0"),500,editsIdxTxt,editsParentKeyTxt,baseIdxTxt,baseCost)-5,
   ""
)</f>
        <v/>
      </c>
      <c r="AH189" s="511"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61" t="str">
        <f>IF(Contract_Edits[[#This Row],[Dep]]=0,"Root",
   IF(ISNUMBER(MATCH(Contract_Edits[[#This Row],[Dep]],Contract_Edits[Index],0)),"OK","Missing")
)</f>
        <v>Root</v>
      </c>
      <c r="AJ189" s="461" t="e">
        <f>IF(AND(Contract_Edits[[#This Row],[Dep]]&lt;&gt;0,
        ISNUMBER(MATCH(Contract_Edits[[#This Row],[Dep]], Contract_Edits[Index], 0)),
        INDEX(Contract_Edits[Dep], MATCH(Contract_Edits[[#This Row],[Dep]], Contract_Edits[Index], 0))=Contract_Edits[[#This Row],[Index]]),
   "2-cycle","")</f>
        <v>#N/A</v>
      </c>
      <c r="AK189" s="461" cm="1">
        <f t="array" ref="AK189">IF(Contract_Edits[[#This Row],[BaseFlag]]&lt;&gt;1,0,
   IF(TEXT(Contract_Edits[[#This Row],[Dep]],"0")=TEXT(Contract_Edits[[#This Row],[Index]],"0"),
      0,
      MAX(0, SUMPRODUCT(--(Contract_Edits[BaseFlag]=1),
                        --(TEXT(Contract_Edits[Dep],"0")=TEXT(Contract_Edits[[#This Row],[Dep]],"0"))) - 1)
   )
)</f>
        <v>0</v>
      </c>
      <c r="AL189" s="461" t="str" cm="1">
        <f t="array" ref="AL189">IF(Contract_Edits[[#This Row],[BaseFlag]]=1,
   TEXT(Contract_Edits[[#This Row],[Index]],"0"),
   NearestBaseL(TEXT(Contract_Edits[[#This Row],[ParentKey]],"0"),500,editsIdxTxt,editsParentKeyTxt,baseIdxTxt,baseCost)
)</f>
        <v>0</v>
      </c>
      <c r="AM189" s="461" cm="1">
        <f t="array" ref="AM189">1+SUMPRODUCT(
  (Contract_Edits[BaseFlag]=1)*
  (TEXT(Contract_Edits[ParentAnchor],"0")=TEXT(Contract_Edits[[#This Row],[ParentAnchor]],"0"))*
  (VALUE(TEXT(Contract_Edits[Index],"0"))&lt;VALUE(TEXT(Contract_Edits[[#This Row],[Index]],"0")))
)</f>
        <v>1</v>
      </c>
      <c r="AN189" s="461"/>
    </row>
    <row r="190" spans="11:80" ht="16.5" thickTop="1" thickBot="1">
      <c r="K190" s="104"/>
      <c r="L190" s="513">
        <v>119</v>
      </c>
      <c r="M190" s="449"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76"/>
      <c r="R190" s="516"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0" s="179">
        <v>0</v>
      </c>
      <c r="T190" s="179">
        <v>0</v>
      </c>
      <c r="U190" s="11"/>
      <c r="V190"/>
      <c r="W190" s="22" t="s">
        <v>436</v>
      </c>
      <c r="X190" s="22" t="s">
        <v>682</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11">
        <f>--(
  ISNUMBER(SEARCH("BASE PARENT", UPPER(CLEAN(TRIM(_xlfn.XLOOKUP(TEXT(Contract_Edits[[#This Row],[Index]],"0"), baseIdxTxt, baseCost, "")))))) +
  ISNUMBER(SEARCH("DEPENDENCY GROUP", UPPER(CLEAN(TRIM(_xlfn.XLOOKUP(TEXT(Contract_Edits[[#This Row],[Index]],"0"), baseIdxTxt, baseCost, ""))))))
)</f>
        <v>0</v>
      </c>
      <c r="AG190" s="511" t="str" cm="1">
        <f t="array" ref="AG190">IF(Contract_Edits[[#This Row],[BaseFlag]]=1,
   10*BaseDepthL(TEXT(Contract_Edits[[#This Row],[Index]],"0"),500,editsIdxTxt,editsParentKeyTxt,baseIdxTxt,baseCost)-5,
   ""
)</f>
        <v/>
      </c>
      <c r="AH190" s="511"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61" t="str">
        <f>IF(Contract_Edits[[#This Row],[Dep]]=0,"Root",
   IF(ISNUMBER(MATCH(Contract_Edits[[#This Row],[Dep]],Contract_Edits[Index],0)),"OK","Missing")
)</f>
        <v>Root</v>
      </c>
      <c r="AJ190" s="461" t="e">
        <f>IF(AND(Contract_Edits[[#This Row],[Dep]]&lt;&gt;0,
        ISNUMBER(MATCH(Contract_Edits[[#This Row],[Dep]], Contract_Edits[Index], 0)),
        INDEX(Contract_Edits[Dep], MATCH(Contract_Edits[[#This Row],[Dep]], Contract_Edits[Index], 0))=Contract_Edits[[#This Row],[Index]]),
   "2-cycle","")</f>
        <v>#N/A</v>
      </c>
      <c r="AK190" s="461" cm="1">
        <f t="array" ref="AK190">IF(Contract_Edits[[#This Row],[BaseFlag]]&lt;&gt;1,0,
   IF(TEXT(Contract_Edits[[#This Row],[Dep]],"0")=TEXT(Contract_Edits[[#This Row],[Index]],"0"),
      0,
      MAX(0, SUMPRODUCT(--(Contract_Edits[BaseFlag]=1),
                        --(TEXT(Contract_Edits[Dep],"0")=TEXT(Contract_Edits[[#This Row],[Dep]],"0"))) - 1)
   )
)</f>
        <v>0</v>
      </c>
      <c r="AL190" s="461" t="str" cm="1">
        <f t="array" ref="AL190">IF(Contract_Edits[[#This Row],[BaseFlag]]=1,
   TEXT(Contract_Edits[[#This Row],[Index]],"0"),
   NearestBaseL(TEXT(Contract_Edits[[#This Row],[ParentKey]],"0"),500,editsIdxTxt,editsParentKeyTxt,baseIdxTxt,baseCost)
)</f>
        <v>0</v>
      </c>
      <c r="AM190" s="461" cm="1">
        <f t="array" ref="AM190">1+SUMPRODUCT(
  (Contract_Edits[BaseFlag]=1)*
  (TEXT(Contract_Edits[ParentAnchor],"0")=TEXT(Contract_Edits[[#This Row],[ParentAnchor]],"0"))*
  (VALUE(TEXT(Contract_Edits[Index],"0"))&lt;VALUE(TEXT(Contract_Edits[[#This Row],[Index]],"0")))
)</f>
        <v>1</v>
      </c>
      <c r="AN190" s="461"/>
    </row>
    <row r="191" spans="11:80" ht="16.5" thickTop="1" thickBot="1">
      <c r="K191" s="104"/>
      <c r="L191" s="513">
        <v>90</v>
      </c>
      <c r="M191" s="449"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76"/>
      <c r="R191" s="516"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1" s="179">
        <v>0</v>
      </c>
      <c r="T191" s="179">
        <v>0</v>
      </c>
      <c r="U191" s="11"/>
      <c r="V191"/>
      <c r="W191" s="22" t="s">
        <v>436</v>
      </c>
      <c r="X191" s="22" t="s">
        <v>682</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11">
        <f>--(
  ISNUMBER(SEARCH("BASE PARENT", UPPER(CLEAN(TRIM(_xlfn.XLOOKUP(TEXT(Contract_Edits[[#This Row],[Index]],"0"), baseIdxTxt, baseCost, "")))))) +
  ISNUMBER(SEARCH("DEPENDENCY GROUP", UPPER(CLEAN(TRIM(_xlfn.XLOOKUP(TEXT(Contract_Edits[[#This Row],[Index]],"0"), baseIdxTxt, baseCost, ""))))))
)</f>
        <v>0</v>
      </c>
      <c r="AG191" s="511" t="str" cm="1">
        <f t="array" ref="AG191">IF(Contract_Edits[[#This Row],[BaseFlag]]=1,
   10*BaseDepthL(TEXT(Contract_Edits[[#This Row],[Index]],"0"),500,editsIdxTxt,editsParentKeyTxt,baseIdxTxt,baseCost)-5,
   ""
)</f>
        <v/>
      </c>
      <c r="AH191" s="511"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61" t="str">
        <f>IF(Contract_Edits[[#This Row],[Dep]]=0,"Root",
   IF(ISNUMBER(MATCH(Contract_Edits[[#This Row],[Dep]],Contract_Edits[Index],0)),"OK","Missing")
)</f>
        <v>Root</v>
      </c>
      <c r="AJ191" s="461" t="e">
        <f>IF(AND(Contract_Edits[[#This Row],[Dep]]&lt;&gt;0,
        ISNUMBER(MATCH(Contract_Edits[[#This Row],[Dep]], Contract_Edits[Index], 0)),
        INDEX(Contract_Edits[Dep], MATCH(Contract_Edits[[#This Row],[Dep]], Contract_Edits[Index], 0))=Contract_Edits[[#This Row],[Index]]),
   "2-cycle","")</f>
        <v>#N/A</v>
      </c>
      <c r="AK191" s="461" cm="1">
        <f t="array" ref="AK191">IF(Contract_Edits[[#This Row],[BaseFlag]]&lt;&gt;1,0,
   IF(TEXT(Contract_Edits[[#This Row],[Dep]],"0")=TEXT(Contract_Edits[[#This Row],[Index]],"0"),
      0,
      MAX(0, SUMPRODUCT(--(Contract_Edits[BaseFlag]=1),
                        --(TEXT(Contract_Edits[Dep],"0")=TEXT(Contract_Edits[[#This Row],[Dep]],"0"))) - 1)
   )
)</f>
        <v>0</v>
      </c>
      <c r="AL191" s="461" t="str" cm="1">
        <f t="array" ref="AL191">IF(Contract_Edits[[#This Row],[BaseFlag]]=1,
   TEXT(Contract_Edits[[#This Row],[Index]],"0"),
   NearestBaseL(TEXT(Contract_Edits[[#This Row],[ParentKey]],"0"),500,editsIdxTxt,editsParentKeyTxt,baseIdxTxt,baseCost)
)</f>
        <v>0</v>
      </c>
      <c r="AM191" s="461" cm="1">
        <f t="array" ref="AM191">1+SUMPRODUCT(
  (Contract_Edits[BaseFlag]=1)*
  (TEXT(Contract_Edits[ParentAnchor],"0")=TEXT(Contract_Edits[[#This Row],[ParentAnchor]],"0"))*
  (VALUE(TEXT(Contract_Edits[Index],"0"))&lt;VALUE(TEXT(Contract_Edits[[#This Row],[Index]],"0")))
)</f>
        <v>1</v>
      </c>
      <c r="AN191" s="461"/>
    </row>
    <row r="192" spans="11:80" ht="16.5" thickTop="1" thickBot="1">
      <c r="K192" s="104"/>
      <c r="L192" s="513">
        <v>94</v>
      </c>
      <c r="M192" s="449"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76"/>
      <c r="R192" s="516"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2" s="179">
        <v>0</v>
      </c>
      <c r="T192" s="179">
        <v>0</v>
      </c>
      <c r="U192" s="11"/>
      <c r="V192"/>
      <c r="W192" s="22" t="s">
        <v>436</v>
      </c>
      <c r="X192" s="22" t="s">
        <v>682</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11">
        <f>--(
  ISNUMBER(SEARCH("BASE PARENT", UPPER(CLEAN(TRIM(_xlfn.XLOOKUP(TEXT(Contract_Edits[[#This Row],[Index]],"0"), baseIdxTxt, baseCost, "")))))) +
  ISNUMBER(SEARCH("DEPENDENCY GROUP", UPPER(CLEAN(TRIM(_xlfn.XLOOKUP(TEXT(Contract_Edits[[#This Row],[Index]],"0"), baseIdxTxt, baseCost, ""))))))
)</f>
        <v>0</v>
      </c>
      <c r="AG192" s="511" t="str" cm="1">
        <f t="array" ref="AG192">IF(Contract_Edits[[#This Row],[BaseFlag]]=1,
   10*BaseDepthL(TEXT(Contract_Edits[[#This Row],[Index]],"0"),500,editsIdxTxt,editsParentKeyTxt,baseIdxTxt,baseCost)-5,
   ""
)</f>
        <v/>
      </c>
      <c r="AH192" s="511"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61" t="str">
        <f>IF(Contract_Edits[[#This Row],[Dep]]=0,"Root",
   IF(ISNUMBER(MATCH(Contract_Edits[[#This Row],[Dep]],Contract_Edits[Index],0)),"OK","Missing")
)</f>
        <v>Root</v>
      </c>
      <c r="AJ192" s="461" t="e">
        <f>IF(AND(Contract_Edits[[#This Row],[Dep]]&lt;&gt;0,
        ISNUMBER(MATCH(Contract_Edits[[#This Row],[Dep]], Contract_Edits[Index], 0)),
        INDEX(Contract_Edits[Dep], MATCH(Contract_Edits[[#This Row],[Dep]], Contract_Edits[Index], 0))=Contract_Edits[[#This Row],[Index]]),
   "2-cycle","")</f>
        <v>#N/A</v>
      </c>
      <c r="AK192" s="461" cm="1">
        <f t="array" ref="AK192">IF(Contract_Edits[[#This Row],[BaseFlag]]&lt;&gt;1,0,
   IF(TEXT(Contract_Edits[[#This Row],[Dep]],"0")=TEXT(Contract_Edits[[#This Row],[Index]],"0"),
      0,
      MAX(0, SUMPRODUCT(--(Contract_Edits[BaseFlag]=1),
                        --(TEXT(Contract_Edits[Dep],"0")=TEXT(Contract_Edits[[#This Row],[Dep]],"0"))) - 1)
   )
)</f>
        <v>0</v>
      </c>
      <c r="AL192" s="461" t="str" cm="1">
        <f t="array" ref="AL192">IF(Contract_Edits[[#This Row],[BaseFlag]]=1,
   TEXT(Contract_Edits[[#This Row],[Index]],"0"),
   NearestBaseL(TEXT(Contract_Edits[[#This Row],[ParentKey]],"0"),500,editsIdxTxt,editsParentKeyTxt,baseIdxTxt,baseCost)
)</f>
        <v>0</v>
      </c>
      <c r="AM192" s="461" cm="1">
        <f t="array" ref="AM192">1+SUMPRODUCT(
  (Contract_Edits[BaseFlag]=1)*
  (TEXT(Contract_Edits[ParentAnchor],"0")=TEXT(Contract_Edits[[#This Row],[ParentAnchor]],"0"))*
  (VALUE(TEXT(Contract_Edits[Index],"0"))&lt;VALUE(TEXT(Contract_Edits[[#This Row],[Index]],"0")))
)</f>
        <v>1</v>
      </c>
      <c r="AN192" s="461"/>
    </row>
    <row r="193" spans="11:40" ht="16.5" thickTop="1" thickBot="1">
      <c r="K193" s="517"/>
      <c r="L193" s="513">
        <v>87</v>
      </c>
      <c r="M193" s="449"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76"/>
      <c r="R193" s="516"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3" s="179">
        <v>0</v>
      </c>
      <c r="T193" s="179">
        <v>0</v>
      </c>
      <c r="U193" s="11"/>
      <c r="V193"/>
      <c r="W193" s="22" t="s">
        <v>436</v>
      </c>
      <c r="X193" s="22" t="s">
        <v>682</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11">
        <f>--(
  ISNUMBER(SEARCH("BASE PARENT", UPPER(CLEAN(TRIM(_xlfn.XLOOKUP(TEXT(Contract_Edits[[#This Row],[Index]],"0"), baseIdxTxt, baseCost, "")))))) +
  ISNUMBER(SEARCH("DEPENDENCY GROUP", UPPER(CLEAN(TRIM(_xlfn.XLOOKUP(TEXT(Contract_Edits[[#This Row],[Index]],"0"), baseIdxTxt, baseCost, ""))))))
)</f>
        <v>0</v>
      </c>
      <c r="AG193" s="511" t="str" cm="1">
        <f t="array" ref="AG193">IF(Contract_Edits[[#This Row],[BaseFlag]]=1,
   10*BaseDepthL(TEXT(Contract_Edits[[#This Row],[Index]],"0"),500,editsIdxTxt,editsParentKeyTxt,baseIdxTxt,baseCost)-5,
   ""
)</f>
        <v/>
      </c>
      <c r="AH193" s="511"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61" t="str">
        <f>IF(Contract_Edits[[#This Row],[Dep]]=0,"Root",
   IF(ISNUMBER(MATCH(Contract_Edits[[#This Row],[Dep]],Contract_Edits[Index],0)),"OK","Missing")
)</f>
        <v>Root</v>
      </c>
      <c r="AJ193" s="461" t="e">
        <f>IF(AND(Contract_Edits[[#This Row],[Dep]]&lt;&gt;0,
        ISNUMBER(MATCH(Contract_Edits[[#This Row],[Dep]], Contract_Edits[Index], 0)),
        INDEX(Contract_Edits[Dep], MATCH(Contract_Edits[[#This Row],[Dep]], Contract_Edits[Index], 0))=Contract_Edits[[#This Row],[Index]]),
   "2-cycle","")</f>
        <v>#N/A</v>
      </c>
      <c r="AK193" s="461" cm="1">
        <f t="array" ref="AK193">IF(Contract_Edits[[#This Row],[BaseFlag]]&lt;&gt;1,0,
   IF(TEXT(Contract_Edits[[#This Row],[Dep]],"0")=TEXT(Contract_Edits[[#This Row],[Index]],"0"),
      0,
      MAX(0, SUMPRODUCT(--(Contract_Edits[BaseFlag]=1),
                        --(TEXT(Contract_Edits[Dep],"0")=TEXT(Contract_Edits[[#This Row],[Dep]],"0"))) - 1)
   )
)</f>
        <v>0</v>
      </c>
      <c r="AL193" s="461" t="str" cm="1">
        <f t="array" ref="AL193">IF(Contract_Edits[[#This Row],[BaseFlag]]=1,
   TEXT(Contract_Edits[[#This Row],[Index]],"0"),
   NearestBaseL(TEXT(Contract_Edits[[#This Row],[ParentKey]],"0"),500,editsIdxTxt,editsParentKeyTxt,baseIdxTxt,baseCost)
)</f>
        <v>0</v>
      </c>
      <c r="AM193" s="461" cm="1">
        <f t="array" ref="AM193">1+SUMPRODUCT(
  (Contract_Edits[BaseFlag]=1)*
  (TEXT(Contract_Edits[ParentAnchor],"0")=TEXT(Contract_Edits[[#This Row],[ParentAnchor]],"0"))*
  (VALUE(TEXT(Contract_Edits[Index],"0"))&lt;VALUE(TEXT(Contract_Edits[[#This Row],[Index]],"0")))
)</f>
        <v>1</v>
      </c>
      <c r="AN193" s="461"/>
    </row>
    <row r="194" spans="11:40" ht="16.5" thickTop="1" thickBot="1">
      <c r="K194" s="104"/>
      <c r="L194" s="513">
        <v>172</v>
      </c>
      <c r="M194" s="449"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88"/>
      <c r="R194" s="516"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4" s="179">
        <v>0</v>
      </c>
      <c r="T194" s="477"/>
      <c r="U194" s="500"/>
      <c r="V194" s="193"/>
      <c r="W194" s="22" t="s">
        <v>436</v>
      </c>
      <c r="Y194" s="492"/>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11">
        <f>--(
  ISNUMBER(SEARCH("BASE PARENT", UPPER(CLEAN(TRIM(_xlfn.XLOOKUP(TEXT(Contract_Edits[[#This Row],[Index]],"0"), baseIdxTxt, baseCost, "")))))) +
  ISNUMBER(SEARCH("DEPENDENCY GROUP", UPPER(CLEAN(TRIM(_xlfn.XLOOKUP(TEXT(Contract_Edits[[#This Row],[Index]],"0"), baseIdxTxt, baseCost, ""))))))
)</f>
        <v>0</v>
      </c>
      <c r="AG194" s="511" t="str" cm="1">
        <f t="array" ref="AG194">IF(Contract_Edits[[#This Row],[BaseFlag]]=1,
   10*BaseDepthL(TEXT(Contract_Edits[[#This Row],[Index]],"0"),500,editsIdxTxt,editsParentKeyTxt,baseIdxTxt,baseCost)-5,
   ""
)</f>
        <v/>
      </c>
      <c r="AH194" s="511"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61" t="str">
        <f>IF(Contract_Edits[[#This Row],[Dep]]=0,"Root",
   IF(ISNUMBER(MATCH(Contract_Edits[[#This Row],[Dep]],Contract_Edits[Index],0)),"OK","Missing")
)</f>
        <v>Root</v>
      </c>
      <c r="AJ194" s="461" t="e">
        <f>IF(AND(Contract_Edits[[#This Row],[Dep]]&lt;&gt;0,
        ISNUMBER(MATCH(Contract_Edits[[#This Row],[Dep]], Contract_Edits[Index], 0)),
        INDEX(Contract_Edits[Dep], MATCH(Contract_Edits[[#This Row],[Dep]], Contract_Edits[Index], 0))=Contract_Edits[[#This Row],[Index]]),
   "2-cycle","")</f>
        <v>#N/A</v>
      </c>
      <c r="AK194" s="461" cm="1">
        <f t="array" ref="AK194">IF(Contract_Edits[[#This Row],[BaseFlag]]&lt;&gt;1,0,
   IF(TEXT(Contract_Edits[[#This Row],[Dep]],"0")=TEXT(Contract_Edits[[#This Row],[Index]],"0"),
      0,
      MAX(0, SUMPRODUCT(--(Contract_Edits[BaseFlag]=1),
                        --(TEXT(Contract_Edits[Dep],"0")=TEXT(Contract_Edits[[#This Row],[Dep]],"0"))) - 1)
   )
)</f>
        <v>0</v>
      </c>
      <c r="AL194" s="461" t="str" cm="1">
        <f t="array" ref="AL194">IF(Contract_Edits[[#This Row],[BaseFlag]]=1,
   TEXT(Contract_Edits[[#This Row],[Index]],"0"),
   NearestBaseL(TEXT(Contract_Edits[[#This Row],[ParentKey]],"0"),500,editsIdxTxt,editsParentKeyTxt,baseIdxTxt,baseCost)
)</f>
        <v>0</v>
      </c>
      <c r="AM194" s="461" cm="1">
        <f t="array" ref="AM194">1+SUMPRODUCT(
  (Contract_Edits[BaseFlag]=1)*
  (TEXT(Contract_Edits[ParentAnchor],"0")=TEXT(Contract_Edits[[#This Row],[ParentAnchor]],"0"))*
  (VALUE(TEXT(Contract_Edits[Index],"0"))&lt;VALUE(TEXT(Contract_Edits[[#This Row],[Index]],"0")))
)</f>
        <v>1</v>
      </c>
      <c r="AN194" s="461"/>
    </row>
    <row r="195" spans="11:40" ht="16.5" thickTop="1" thickBot="1">
      <c r="K195" s="104"/>
      <c r="L195" s="513">
        <v>142</v>
      </c>
      <c r="M195" s="449"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88"/>
      <c r="R195" s="516"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5" s="179">
        <v>0</v>
      </c>
      <c r="T195" s="477"/>
      <c r="U195" s="500"/>
      <c r="V195" s="193"/>
      <c r="W195" s="22" t="s">
        <v>436</v>
      </c>
      <c r="X195" s="492" t="s">
        <v>682</v>
      </c>
      <c r="Y195" s="492"/>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11">
        <f>--(
  ISNUMBER(SEARCH("BASE PARENT", UPPER(CLEAN(TRIM(_xlfn.XLOOKUP(TEXT(Contract_Edits[[#This Row],[Index]],"0"), baseIdxTxt, baseCost, "")))))) +
  ISNUMBER(SEARCH("DEPENDENCY GROUP", UPPER(CLEAN(TRIM(_xlfn.XLOOKUP(TEXT(Contract_Edits[[#This Row],[Index]],"0"), baseIdxTxt, baseCost, ""))))))
)</f>
        <v>0</v>
      </c>
      <c r="AG195" s="511" t="str" cm="1">
        <f t="array" ref="AG195">IF(Contract_Edits[[#This Row],[BaseFlag]]=1,
   10*BaseDepthL(TEXT(Contract_Edits[[#This Row],[Index]],"0"),500,editsIdxTxt,editsParentKeyTxt,baseIdxTxt,baseCost)-5,
   ""
)</f>
        <v/>
      </c>
      <c r="AH195" s="511"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61" t="str">
        <f>IF(Contract_Edits[[#This Row],[Dep]]=0,"Root",
   IF(ISNUMBER(MATCH(Contract_Edits[[#This Row],[Dep]],Contract_Edits[Index],0)),"OK","Missing")
)</f>
        <v>Root</v>
      </c>
      <c r="AJ195" s="461" t="e">
        <f>IF(AND(Contract_Edits[[#This Row],[Dep]]&lt;&gt;0,
        ISNUMBER(MATCH(Contract_Edits[[#This Row],[Dep]], Contract_Edits[Index], 0)),
        INDEX(Contract_Edits[Dep], MATCH(Contract_Edits[[#This Row],[Dep]], Contract_Edits[Index], 0))=Contract_Edits[[#This Row],[Index]]),
   "2-cycle","")</f>
        <v>#N/A</v>
      </c>
      <c r="AK195" s="461" cm="1">
        <f t="array" ref="AK195">IF(Contract_Edits[[#This Row],[BaseFlag]]&lt;&gt;1,0,
   IF(TEXT(Contract_Edits[[#This Row],[Dep]],"0")=TEXT(Contract_Edits[[#This Row],[Index]],"0"),
      0,
      MAX(0, SUMPRODUCT(--(Contract_Edits[BaseFlag]=1),
                        --(TEXT(Contract_Edits[Dep],"0")=TEXT(Contract_Edits[[#This Row],[Dep]],"0"))) - 1)
   )
)</f>
        <v>0</v>
      </c>
      <c r="AL195" s="461" t="str" cm="1">
        <f t="array" ref="AL195">IF(Contract_Edits[[#This Row],[BaseFlag]]=1,
   TEXT(Contract_Edits[[#This Row],[Index]],"0"),
   NearestBaseL(TEXT(Contract_Edits[[#This Row],[ParentKey]],"0"),500,editsIdxTxt,editsParentKeyTxt,baseIdxTxt,baseCost)
)</f>
        <v>0</v>
      </c>
      <c r="AM195" s="461" cm="1">
        <f t="array" ref="AM195">1+SUMPRODUCT(
  (Contract_Edits[BaseFlag]=1)*
  (TEXT(Contract_Edits[ParentAnchor],"0")=TEXT(Contract_Edits[[#This Row],[ParentAnchor]],"0"))*
  (VALUE(TEXT(Contract_Edits[Index],"0"))&lt;VALUE(TEXT(Contract_Edits[[#This Row],[Index]],"0")))
)</f>
        <v>1</v>
      </c>
      <c r="AN195" s="461"/>
    </row>
    <row r="196" spans="11:40" ht="16.5" thickTop="1" thickBot="1">
      <c r="K196" s="104"/>
      <c r="L196" s="513">
        <v>138</v>
      </c>
      <c r="M196" s="449"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76"/>
      <c r="R196" s="516"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6" s="179">
        <v>0</v>
      </c>
      <c r="T196" s="179">
        <v>0</v>
      </c>
      <c r="U196" s="11"/>
      <c r="V196"/>
      <c r="W196" s="22" t="s">
        <v>436</v>
      </c>
      <c r="X196" s="22" t="s">
        <v>682</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11">
        <f>--(
  ISNUMBER(SEARCH("BASE PARENT", UPPER(CLEAN(TRIM(_xlfn.XLOOKUP(TEXT(Contract_Edits[[#This Row],[Index]],"0"), baseIdxTxt, baseCost, "")))))) +
  ISNUMBER(SEARCH("DEPENDENCY GROUP", UPPER(CLEAN(TRIM(_xlfn.XLOOKUP(TEXT(Contract_Edits[[#This Row],[Index]],"0"), baseIdxTxt, baseCost, ""))))))
)</f>
        <v>0</v>
      </c>
      <c r="AG196" s="511" t="str" cm="1">
        <f t="array" ref="AG196">IF(Contract_Edits[[#This Row],[BaseFlag]]=1,
   10*BaseDepthL(TEXT(Contract_Edits[[#This Row],[Index]],"0"),500,editsIdxTxt,editsParentKeyTxt,baseIdxTxt,baseCost)-5,
   ""
)</f>
        <v/>
      </c>
      <c r="AH196" s="511"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61" t="str">
        <f>IF(Contract_Edits[[#This Row],[Dep]]=0,"Root",
   IF(ISNUMBER(MATCH(Contract_Edits[[#This Row],[Dep]],Contract_Edits[Index],0)),"OK","Missing")
)</f>
        <v>Root</v>
      </c>
      <c r="AJ196" s="461" t="e">
        <f>IF(AND(Contract_Edits[[#This Row],[Dep]]&lt;&gt;0,
        ISNUMBER(MATCH(Contract_Edits[[#This Row],[Dep]], Contract_Edits[Index], 0)),
        INDEX(Contract_Edits[Dep], MATCH(Contract_Edits[[#This Row],[Dep]], Contract_Edits[Index], 0))=Contract_Edits[[#This Row],[Index]]),
   "2-cycle","")</f>
        <v>#N/A</v>
      </c>
      <c r="AK196" s="461" cm="1">
        <f t="array" ref="AK196">IF(Contract_Edits[[#This Row],[BaseFlag]]&lt;&gt;1,0,
   IF(TEXT(Contract_Edits[[#This Row],[Dep]],"0")=TEXT(Contract_Edits[[#This Row],[Index]],"0"),
      0,
      MAX(0, SUMPRODUCT(--(Contract_Edits[BaseFlag]=1),
                        --(TEXT(Contract_Edits[Dep],"0")=TEXT(Contract_Edits[[#This Row],[Dep]],"0"))) - 1)
   )
)</f>
        <v>0</v>
      </c>
      <c r="AL196" s="461" t="str" cm="1">
        <f t="array" ref="AL196">IF(Contract_Edits[[#This Row],[BaseFlag]]=1,
   TEXT(Contract_Edits[[#This Row],[Index]],"0"),
   NearestBaseL(TEXT(Contract_Edits[[#This Row],[ParentKey]],"0"),500,editsIdxTxt,editsParentKeyTxt,baseIdxTxt,baseCost)
)</f>
        <v>0</v>
      </c>
      <c r="AM196" s="461" cm="1">
        <f t="array" ref="AM196">1+SUMPRODUCT(
  (Contract_Edits[BaseFlag]=1)*
  (TEXT(Contract_Edits[ParentAnchor],"0")=TEXT(Contract_Edits[[#This Row],[ParentAnchor]],"0"))*
  (VALUE(TEXT(Contract_Edits[Index],"0"))&lt;VALUE(TEXT(Contract_Edits[[#This Row],[Index]],"0")))
)</f>
        <v>1</v>
      </c>
      <c r="AN196" s="461"/>
    </row>
    <row r="197" spans="11:40" ht="16.5" thickTop="1" thickBot="1">
      <c r="K197" s="104"/>
      <c r="L197" s="513">
        <v>139</v>
      </c>
      <c r="M197" s="449"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76"/>
      <c r="R197" s="516"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7" s="179">
        <v>0</v>
      </c>
      <c r="T197" s="179">
        <v>0</v>
      </c>
      <c r="U197" s="11"/>
      <c r="V197"/>
      <c r="W197" s="22" t="s">
        <v>436</v>
      </c>
      <c r="X197" s="22" t="s">
        <v>682</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11">
        <f>--(
  ISNUMBER(SEARCH("BASE PARENT", UPPER(CLEAN(TRIM(_xlfn.XLOOKUP(TEXT(Contract_Edits[[#This Row],[Index]],"0"), baseIdxTxt, baseCost, "")))))) +
  ISNUMBER(SEARCH("DEPENDENCY GROUP", UPPER(CLEAN(TRIM(_xlfn.XLOOKUP(TEXT(Contract_Edits[[#This Row],[Index]],"0"), baseIdxTxt, baseCost, ""))))))
)</f>
        <v>0</v>
      </c>
      <c r="AG197" s="511" t="str" cm="1">
        <f t="array" ref="AG197">IF(Contract_Edits[[#This Row],[BaseFlag]]=1,
   10*BaseDepthL(TEXT(Contract_Edits[[#This Row],[Index]],"0"),500,editsIdxTxt,editsParentKeyTxt,baseIdxTxt,baseCost)-5,
   ""
)</f>
        <v/>
      </c>
      <c r="AH197" s="511"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61" t="str">
        <f>IF(Contract_Edits[[#This Row],[Dep]]=0,"Root",
   IF(ISNUMBER(MATCH(Contract_Edits[[#This Row],[Dep]],Contract_Edits[Index],0)),"OK","Missing")
)</f>
        <v>Root</v>
      </c>
      <c r="AJ197" s="461" t="e">
        <f>IF(AND(Contract_Edits[[#This Row],[Dep]]&lt;&gt;0,
        ISNUMBER(MATCH(Contract_Edits[[#This Row],[Dep]], Contract_Edits[Index], 0)),
        INDEX(Contract_Edits[Dep], MATCH(Contract_Edits[[#This Row],[Dep]], Contract_Edits[Index], 0))=Contract_Edits[[#This Row],[Index]]),
   "2-cycle","")</f>
        <v>#N/A</v>
      </c>
      <c r="AK197" s="461" cm="1">
        <f t="array" ref="AK197">IF(Contract_Edits[[#This Row],[BaseFlag]]&lt;&gt;1,0,
   IF(TEXT(Contract_Edits[[#This Row],[Dep]],"0")=TEXT(Contract_Edits[[#This Row],[Index]],"0"),
      0,
      MAX(0, SUMPRODUCT(--(Contract_Edits[BaseFlag]=1),
                        --(TEXT(Contract_Edits[Dep],"0")=TEXT(Contract_Edits[[#This Row],[Dep]],"0"))) - 1)
   )
)</f>
        <v>0</v>
      </c>
      <c r="AL197" s="461" t="str" cm="1">
        <f t="array" ref="AL197">IF(Contract_Edits[[#This Row],[BaseFlag]]=1,
   TEXT(Contract_Edits[[#This Row],[Index]],"0"),
   NearestBaseL(TEXT(Contract_Edits[[#This Row],[ParentKey]],"0"),500,editsIdxTxt,editsParentKeyTxt,baseIdxTxt,baseCost)
)</f>
        <v>0</v>
      </c>
      <c r="AM197" s="461" cm="1">
        <f t="array" ref="AM197">1+SUMPRODUCT(
  (Contract_Edits[BaseFlag]=1)*
  (TEXT(Contract_Edits[ParentAnchor],"0")=TEXT(Contract_Edits[[#This Row],[ParentAnchor]],"0"))*
  (VALUE(TEXT(Contract_Edits[Index],"0"))&lt;VALUE(TEXT(Contract_Edits[[#This Row],[Index]],"0")))
)</f>
        <v>1</v>
      </c>
      <c r="AN197" s="461"/>
    </row>
    <row r="198" spans="11:40" ht="16.5" thickTop="1" thickBot="1">
      <c r="K198" s="104"/>
      <c r="L198" s="513">
        <v>140</v>
      </c>
      <c r="M198" s="449"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76"/>
      <c r="R198" s="516"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8" s="179">
        <v>0</v>
      </c>
      <c r="T198" s="477"/>
      <c r="U198" s="500"/>
      <c r="V198" s="193"/>
      <c r="W198" s="22" t="s">
        <v>436</v>
      </c>
      <c r="X198" s="492" t="s">
        <v>682</v>
      </c>
      <c r="Y198" s="492"/>
      <c r="Z198" s="498"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11">
        <f>--(
  ISNUMBER(SEARCH("BASE PARENT", UPPER(CLEAN(TRIM(_xlfn.XLOOKUP(TEXT(Contract_Edits[[#This Row],[Index]],"0"), baseIdxTxt, baseCost, "")))))) +
  ISNUMBER(SEARCH("DEPENDENCY GROUP", UPPER(CLEAN(TRIM(_xlfn.XLOOKUP(TEXT(Contract_Edits[[#This Row],[Index]],"0"), baseIdxTxt, baseCost, ""))))))
)</f>
        <v>0</v>
      </c>
      <c r="AG198" s="511" t="str" cm="1">
        <f t="array" ref="AG198">IF(Contract_Edits[[#This Row],[BaseFlag]]=1,
   10*BaseDepthL(TEXT(Contract_Edits[[#This Row],[Index]],"0"),500,editsIdxTxt,editsParentKeyTxt,baseIdxTxt,baseCost)-5,
   ""
)</f>
        <v/>
      </c>
      <c r="AH198" s="511"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61" t="str">
        <f>IF(Contract_Edits[[#This Row],[Dep]]=0,"Root",
   IF(ISNUMBER(MATCH(Contract_Edits[[#This Row],[Dep]],Contract_Edits[Index],0)),"OK","Missing")
)</f>
        <v>Root</v>
      </c>
      <c r="AJ198" s="461" t="e">
        <f>IF(AND(Contract_Edits[[#This Row],[Dep]]&lt;&gt;0,
        ISNUMBER(MATCH(Contract_Edits[[#This Row],[Dep]], Contract_Edits[Index], 0)),
        INDEX(Contract_Edits[Dep], MATCH(Contract_Edits[[#This Row],[Dep]], Contract_Edits[Index], 0))=Contract_Edits[[#This Row],[Index]]),
   "2-cycle","")</f>
        <v>#N/A</v>
      </c>
      <c r="AK198" s="461" cm="1">
        <f t="array" ref="AK198">IF(Contract_Edits[[#This Row],[BaseFlag]]&lt;&gt;1,0,
   IF(TEXT(Contract_Edits[[#This Row],[Dep]],"0")=TEXT(Contract_Edits[[#This Row],[Index]],"0"),
      0,
      MAX(0, SUMPRODUCT(--(Contract_Edits[BaseFlag]=1),
                        --(TEXT(Contract_Edits[Dep],"0")=TEXT(Contract_Edits[[#This Row],[Dep]],"0"))) - 1)
   )
)</f>
        <v>0</v>
      </c>
      <c r="AL198" s="461" t="str" cm="1">
        <f t="array" ref="AL198">IF(Contract_Edits[[#This Row],[BaseFlag]]=1,
   TEXT(Contract_Edits[[#This Row],[Index]],"0"),
   NearestBaseL(TEXT(Contract_Edits[[#This Row],[ParentKey]],"0"),500,editsIdxTxt,editsParentKeyTxt,baseIdxTxt,baseCost)
)</f>
        <v>0</v>
      </c>
      <c r="AM198" s="461" cm="1">
        <f t="array" ref="AM198">1+SUMPRODUCT(
  (Contract_Edits[BaseFlag]=1)*
  (TEXT(Contract_Edits[ParentAnchor],"0")=TEXT(Contract_Edits[[#This Row],[ParentAnchor]],"0"))*
  (VALUE(TEXT(Contract_Edits[Index],"0"))&lt;VALUE(TEXT(Contract_Edits[[#This Row],[Index]],"0")))
)</f>
        <v>1</v>
      </c>
      <c r="AN198" s="461"/>
    </row>
    <row r="199" spans="11:40" ht="16.5" thickTop="1" thickBot="1">
      <c r="K199" s="104"/>
      <c r="L199" s="513">
        <v>127</v>
      </c>
      <c r="M199" s="449"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76"/>
      <c r="R199" s="516"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199" s="179">
        <v>0</v>
      </c>
      <c r="T199" s="179">
        <v>0</v>
      </c>
      <c r="U199" s="11"/>
      <c r="V199"/>
      <c r="W199" s="22" t="s">
        <v>436</v>
      </c>
      <c r="X199" s="22" t="s">
        <v>682</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11">
        <f>--(
  ISNUMBER(SEARCH("BASE PARENT", UPPER(CLEAN(TRIM(_xlfn.XLOOKUP(TEXT(Contract_Edits[[#This Row],[Index]],"0"), baseIdxTxt, baseCost, "")))))) +
  ISNUMBER(SEARCH("DEPENDENCY GROUP", UPPER(CLEAN(TRIM(_xlfn.XLOOKUP(TEXT(Contract_Edits[[#This Row],[Index]],"0"), baseIdxTxt, baseCost, ""))))))
)</f>
        <v>0</v>
      </c>
      <c r="AG199" s="511" t="str" cm="1">
        <f t="array" ref="AG199">IF(Contract_Edits[[#This Row],[BaseFlag]]=1,
   10*BaseDepthL(TEXT(Contract_Edits[[#This Row],[Index]],"0"),500,editsIdxTxt,editsParentKeyTxt,baseIdxTxt,baseCost)-5,
   ""
)</f>
        <v/>
      </c>
      <c r="AH199" s="511"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61" t="str">
        <f>IF(Contract_Edits[[#This Row],[Dep]]=0,"Root",
   IF(ISNUMBER(MATCH(Contract_Edits[[#This Row],[Dep]],Contract_Edits[Index],0)),"OK","Missing")
)</f>
        <v>Root</v>
      </c>
      <c r="AJ199" s="461" t="e">
        <f>IF(AND(Contract_Edits[[#This Row],[Dep]]&lt;&gt;0,
        ISNUMBER(MATCH(Contract_Edits[[#This Row],[Dep]], Contract_Edits[Index], 0)),
        INDEX(Contract_Edits[Dep], MATCH(Contract_Edits[[#This Row],[Dep]], Contract_Edits[Index], 0))=Contract_Edits[[#This Row],[Index]]),
   "2-cycle","")</f>
        <v>#N/A</v>
      </c>
      <c r="AK199" s="461" cm="1">
        <f t="array" ref="AK199">IF(Contract_Edits[[#This Row],[BaseFlag]]&lt;&gt;1,0,
   IF(TEXT(Contract_Edits[[#This Row],[Dep]],"0")=TEXT(Contract_Edits[[#This Row],[Index]],"0"),
      0,
      MAX(0, SUMPRODUCT(--(Contract_Edits[BaseFlag]=1),
                        --(TEXT(Contract_Edits[Dep],"0")=TEXT(Contract_Edits[[#This Row],[Dep]],"0"))) - 1)
   )
)</f>
        <v>0</v>
      </c>
      <c r="AL199" s="461" t="str" cm="1">
        <f t="array" ref="AL199">IF(Contract_Edits[[#This Row],[BaseFlag]]=1,
   TEXT(Contract_Edits[[#This Row],[Index]],"0"),
   NearestBaseL(TEXT(Contract_Edits[[#This Row],[ParentKey]],"0"),500,editsIdxTxt,editsParentKeyTxt,baseIdxTxt,baseCost)
)</f>
        <v>0</v>
      </c>
      <c r="AM199" s="461" cm="1">
        <f t="array" ref="AM199">1+SUMPRODUCT(
  (Contract_Edits[BaseFlag]=1)*
  (TEXT(Contract_Edits[ParentAnchor],"0")=TEXT(Contract_Edits[[#This Row],[ParentAnchor]],"0"))*
  (VALUE(TEXT(Contract_Edits[Index],"0"))&lt;VALUE(TEXT(Contract_Edits[[#This Row],[Index]],"0")))
)</f>
        <v>1</v>
      </c>
      <c r="AN199" s="461"/>
    </row>
    <row r="200" spans="11:40" ht="16.5" thickTop="1" thickBot="1">
      <c r="K200" s="104"/>
      <c r="L200" s="513">
        <v>141</v>
      </c>
      <c r="M200" s="449"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76"/>
      <c r="R200" s="516"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0" s="179">
        <v>0</v>
      </c>
      <c r="T200" s="477"/>
      <c r="U200" s="500"/>
      <c r="V200" s="193"/>
      <c r="W200" s="22" t="s">
        <v>436</v>
      </c>
      <c r="X200" s="492" t="s">
        <v>682</v>
      </c>
      <c r="Y200" s="492"/>
      <c r="Z200" s="498"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11">
        <f>--(
  ISNUMBER(SEARCH("BASE PARENT", UPPER(CLEAN(TRIM(_xlfn.XLOOKUP(TEXT(Contract_Edits[[#This Row],[Index]],"0"), baseIdxTxt, baseCost, "")))))) +
  ISNUMBER(SEARCH("DEPENDENCY GROUP", UPPER(CLEAN(TRIM(_xlfn.XLOOKUP(TEXT(Contract_Edits[[#This Row],[Index]],"0"), baseIdxTxt, baseCost, ""))))))
)</f>
        <v>0</v>
      </c>
      <c r="AG200" s="511" t="str" cm="1">
        <f t="array" ref="AG200">IF(Contract_Edits[[#This Row],[BaseFlag]]=1,
   10*BaseDepthL(TEXT(Contract_Edits[[#This Row],[Index]],"0"),500,editsIdxTxt,editsParentKeyTxt,baseIdxTxt,baseCost)-5,
   ""
)</f>
        <v/>
      </c>
      <c r="AH200" s="511"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61" t="str">
        <f>IF(Contract_Edits[[#This Row],[Dep]]=0,"Root",
   IF(ISNUMBER(MATCH(Contract_Edits[[#This Row],[Dep]],Contract_Edits[Index],0)),"OK","Missing")
)</f>
        <v>Root</v>
      </c>
      <c r="AJ200" s="461" t="e">
        <f>IF(AND(Contract_Edits[[#This Row],[Dep]]&lt;&gt;0,
        ISNUMBER(MATCH(Contract_Edits[[#This Row],[Dep]], Contract_Edits[Index], 0)),
        INDEX(Contract_Edits[Dep], MATCH(Contract_Edits[[#This Row],[Dep]], Contract_Edits[Index], 0))=Contract_Edits[[#This Row],[Index]]),
   "2-cycle","")</f>
        <v>#N/A</v>
      </c>
      <c r="AK200" s="461" cm="1">
        <f t="array" ref="AK200">IF(Contract_Edits[[#This Row],[BaseFlag]]&lt;&gt;1,0,
   IF(TEXT(Contract_Edits[[#This Row],[Dep]],"0")=TEXT(Contract_Edits[[#This Row],[Index]],"0"),
      0,
      MAX(0, SUMPRODUCT(--(Contract_Edits[BaseFlag]=1),
                        --(TEXT(Contract_Edits[Dep],"0")=TEXT(Contract_Edits[[#This Row],[Dep]],"0"))) - 1)
   )
)</f>
        <v>0</v>
      </c>
      <c r="AL200" s="461" t="str" cm="1">
        <f t="array" ref="AL200">IF(Contract_Edits[[#This Row],[BaseFlag]]=1,
   TEXT(Contract_Edits[[#This Row],[Index]],"0"),
   NearestBaseL(TEXT(Contract_Edits[[#This Row],[ParentKey]],"0"),500,editsIdxTxt,editsParentKeyTxt,baseIdxTxt,baseCost)
)</f>
        <v>0</v>
      </c>
      <c r="AM200" s="461" cm="1">
        <f t="array" ref="AM200">1+SUMPRODUCT(
  (Contract_Edits[BaseFlag]=1)*
  (TEXT(Contract_Edits[ParentAnchor],"0")=TEXT(Contract_Edits[[#This Row],[ParentAnchor]],"0"))*
  (VALUE(TEXT(Contract_Edits[Index],"0"))&lt;VALUE(TEXT(Contract_Edits[[#This Row],[Index]],"0")))
)</f>
        <v>1</v>
      </c>
      <c r="AN200" s="461"/>
    </row>
    <row r="201" spans="11:40" ht="16.5" thickTop="1" thickBot="1">
      <c r="K201" s="104"/>
      <c r="L201" s="513">
        <v>134</v>
      </c>
      <c r="M201" s="449"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76"/>
      <c r="R201" s="516"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1" s="179">
        <v>0</v>
      </c>
      <c r="T201" s="179">
        <v>0</v>
      </c>
      <c r="U201" s="11"/>
      <c r="V201"/>
      <c r="W201" s="22" t="s">
        <v>436</v>
      </c>
      <c r="X201" s="22" t="s">
        <v>682</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11">
        <f>--(
  ISNUMBER(SEARCH("BASE PARENT", UPPER(CLEAN(TRIM(_xlfn.XLOOKUP(TEXT(Contract_Edits[[#This Row],[Index]],"0"), baseIdxTxt, baseCost, "")))))) +
  ISNUMBER(SEARCH("DEPENDENCY GROUP", UPPER(CLEAN(TRIM(_xlfn.XLOOKUP(TEXT(Contract_Edits[[#This Row],[Index]],"0"), baseIdxTxt, baseCost, ""))))))
)</f>
        <v>0</v>
      </c>
      <c r="AG201" s="511" t="str" cm="1">
        <f t="array" ref="AG201">IF(Contract_Edits[[#This Row],[BaseFlag]]=1,
   10*BaseDepthL(TEXT(Contract_Edits[[#This Row],[Index]],"0"),500,editsIdxTxt,editsParentKeyTxt,baseIdxTxt,baseCost)-5,
   ""
)</f>
        <v/>
      </c>
      <c r="AH201" s="511"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61" t="str">
        <f>IF(Contract_Edits[[#This Row],[Dep]]=0,"Root",
   IF(ISNUMBER(MATCH(Contract_Edits[[#This Row],[Dep]],Contract_Edits[Index],0)),"OK","Missing")
)</f>
        <v>Root</v>
      </c>
      <c r="AJ201" s="461" t="e">
        <f>IF(AND(Contract_Edits[[#This Row],[Dep]]&lt;&gt;0,
        ISNUMBER(MATCH(Contract_Edits[[#This Row],[Dep]], Contract_Edits[Index], 0)),
        INDEX(Contract_Edits[Dep], MATCH(Contract_Edits[[#This Row],[Dep]], Contract_Edits[Index], 0))=Contract_Edits[[#This Row],[Index]]),
   "2-cycle","")</f>
        <v>#N/A</v>
      </c>
      <c r="AK201" s="461" cm="1">
        <f t="array" ref="AK201">IF(Contract_Edits[[#This Row],[BaseFlag]]&lt;&gt;1,0,
   IF(TEXT(Contract_Edits[[#This Row],[Dep]],"0")=TEXT(Contract_Edits[[#This Row],[Index]],"0"),
      0,
      MAX(0, SUMPRODUCT(--(Contract_Edits[BaseFlag]=1),
                        --(TEXT(Contract_Edits[Dep],"0")=TEXT(Contract_Edits[[#This Row],[Dep]],"0"))) - 1)
   )
)</f>
        <v>0</v>
      </c>
      <c r="AL201" s="461" t="str" cm="1">
        <f t="array" ref="AL201">IF(Contract_Edits[[#This Row],[BaseFlag]]=1,
   TEXT(Contract_Edits[[#This Row],[Index]],"0"),
   NearestBaseL(TEXT(Contract_Edits[[#This Row],[ParentKey]],"0"),500,editsIdxTxt,editsParentKeyTxt,baseIdxTxt,baseCost)
)</f>
        <v>0</v>
      </c>
      <c r="AM201" s="461" cm="1">
        <f t="array" ref="AM201">1+SUMPRODUCT(
  (Contract_Edits[BaseFlag]=1)*
  (TEXT(Contract_Edits[ParentAnchor],"0")=TEXT(Contract_Edits[[#This Row],[ParentAnchor]],"0"))*
  (VALUE(TEXT(Contract_Edits[Index],"0"))&lt;VALUE(TEXT(Contract_Edits[[#This Row],[Index]],"0")))
)</f>
        <v>1</v>
      </c>
      <c r="AN201" s="461"/>
    </row>
    <row r="202" spans="11:40" ht="16.5" thickTop="1" thickBot="1">
      <c r="K202" s="104"/>
      <c r="L202" s="513">
        <v>173</v>
      </c>
      <c r="M202" s="449"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88"/>
      <c r="R202" s="516"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2" s="179">
        <v>0</v>
      </c>
      <c r="T202" s="477"/>
      <c r="U202" s="500"/>
      <c r="V202" s="193"/>
      <c r="W202" s="22" t="s">
        <v>436</v>
      </c>
      <c r="Y202" s="492"/>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11">
        <f>--(
  ISNUMBER(SEARCH("BASE PARENT", UPPER(CLEAN(TRIM(_xlfn.XLOOKUP(TEXT(Contract_Edits[[#This Row],[Index]],"0"), baseIdxTxt, baseCost, "")))))) +
  ISNUMBER(SEARCH("DEPENDENCY GROUP", UPPER(CLEAN(TRIM(_xlfn.XLOOKUP(TEXT(Contract_Edits[[#This Row],[Index]],"0"), baseIdxTxt, baseCost, ""))))))
)</f>
        <v>0</v>
      </c>
      <c r="AG202" s="511" t="str" cm="1">
        <f t="array" ref="AG202">IF(Contract_Edits[[#This Row],[BaseFlag]]=1,
   10*BaseDepthL(TEXT(Contract_Edits[[#This Row],[Index]],"0"),500,editsIdxTxt,editsParentKeyTxt,baseIdxTxt,baseCost)-5,
   ""
)</f>
        <v/>
      </c>
      <c r="AH202" s="511"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61" t="str">
        <f>IF(Contract_Edits[[#This Row],[Dep]]=0,"Root",
   IF(ISNUMBER(MATCH(Contract_Edits[[#This Row],[Dep]],Contract_Edits[Index],0)),"OK","Missing")
)</f>
        <v>Root</v>
      </c>
      <c r="AJ202" s="461" t="e">
        <f>IF(AND(Contract_Edits[[#This Row],[Dep]]&lt;&gt;0,
        ISNUMBER(MATCH(Contract_Edits[[#This Row],[Dep]], Contract_Edits[Index], 0)),
        INDEX(Contract_Edits[Dep], MATCH(Contract_Edits[[#This Row],[Dep]], Contract_Edits[Index], 0))=Contract_Edits[[#This Row],[Index]]),
   "2-cycle","")</f>
        <v>#N/A</v>
      </c>
      <c r="AK202" s="461" cm="1">
        <f t="array" ref="AK202">IF(Contract_Edits[[#This Row],[BaseFlag]]&lt;&gt;1,0,
   IF(TEXT(Contract_Edits[[#This Row],[Dep]],"0")=TEXT(Contract_Edits[[#This Row],[Index]],"0"),
      0,
      MAX(0, SUMPRODUCT(--(Contract_Edits[BaseFlag]=1),
                        --(TEXT(Contract_Edits[Dep],"0")=TEXT(Contract_Edits[[#This Row],[Dep]],"0"))) - 1)
   )
)</f>
        <v>0</v>
      </c>
      <c r="AL202" s="461" t="str" cm="1">
        <f t="array" ref="AL202">IF(Contract_Edits[[#This Row],[BaseFlag]]=1,
   TEXT(Contract_Edits[[#This Row],[Index]],"0"),
   NearestBaseL(TEXT(Contract_Edits[[#This Row],[ParentKey]],"0"),500,editsIdxTxt,editsParentKeyTxt,baseIdxTxt,baseCost)
)</f>
        <v>0</v>
      </c>
      <c r="AM202" s="461" cm="1">
        <f t="array" ref="AM202">1+SUMPRODUCT(
  (Contract_Edits[BaseFlag]=1)*
  (TEXT(Contract_Edits[ParentAnchor],"0")=TEXT(Contract_Edits[[#This Row],[ParentAnchor]],"0"))*
  (VALUE(TEXT(Contract_Edits[Index],"0"))&lt;VALUE(TEXT(Contract_Edits[[#This Row],[Index]],"0")))
)</f>
        <v>1</v>
      </c>
      <c r="AN202" s="461"/>
    </row>
    <row r="203" spans="11:40" ht="16.5" thickTop="1" thickBot="1">
      <c r="K203" s="104"/>
      <c r="L203" s="528">
        <v>174</v>
      </c>
      <c r="M203" s="449"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88"/>
      <c r="R203" s="516"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3" s="179">
        <v>0</v>
      </c>
      <c r="T203" s="477"/>
      <c r="U203" s="500"/>
      <c r="V203" s="193"/>
      <c r="W203" s="22" t="s">
        <v>436</v>
      </c>
      <c r="X203" s="492" t="s">
        <v>682</v>
      </c>
      <c r="Y203" s="492"/>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11">
        <f>--(
  ISNUMBER(SEARCH("BASE PARENT", UPPER(CLEAN(TRIM(_xlfn.XLOOKUP(TEXT(Contract_Edits[[#This Row],[Index]],"0"), baseIdxTxt, baseCost, "")))))) +
  ISNUMBER(SEARCH("DEPENDENCY GROUP", UPPER(CLEAN(TRIM(_xlfn.XLOOKUP(TEXT(Contract_Edits[[#This Row],[Index]],"0"), baseIdxTxt, baseCost, ""))))))
)</f>
        <v>0</v>
      </c>
      <c r="AG203" s="511" t="str" cm="1">
        <f t="array" ref="AG203">IF(Contract_Edits[[#This Row],[BaseFlag]]=1,
   10*BaseDepthL(TEXT(Contract_Edits[[#This Row],[Index]],"0"),500,editsIdxTxt,editsParentKeyTxt,baseIdxTxt,baseCost)-5,
   ""
)</f>
        <v/>
      </c>
      <c r="AH203" s="511"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61" t="str">
        <f>IF(Contract_Edits[[#This Row],[Dep]]=0,"Root",
   IF(ISNUMBER(MATCH(Contract_Edits[[#This Row],[Dep]],Contract_Edits[Index],0)),"OK","Missing")
)</f>
        <v>Root</v>
      </c>
      <c r="AJ203" s="461" t="e">
        <f>IF(AND(Contract_Edits[[#This Row],[Dep]]&lt;&gt;0,
        ISNUMBER(MATCH(Contract_Edits[[#This Row],[Dep]], Contract_Edits[Index], 0)),
        INDEX(Contract_Edits[Dep], MATCH(Contract_Edits[[#This Row],[Dep]], Contract_Edits[Index], 0))=Contract_Edits[[#This Row],[Index]]),
   "2-cycle","")</f>
        <v>#N/A</v>
      </c>
      <c r="AK203" s="461" cm="1">
        <f t="array" ref="AK203">IF(Contract_Edits[[#This Row],[BaseFlag]]&lt;&gt;1,0,
   IF(TEXT(Contract_Edits[[#This Row],[Dep]],"0")=TEXT(Contract_Edits[[#This Row],[Index]],"0"),
      0,
      MAX(0, SUMPRODUCT(--(Contract_Edits[BaseFlag]=1),
                        --(TEXT(Contract_Edits[Dep],"0")=TEXT(Contract_Edits[[#This Row],[Dep]],"0"))) - 1)
   )
)</f>
        <v>0</v>
      </c>
      <c r="AL203" s="461" t="str" cm="1">
        <f t="array" ref="AL203">IF(Contract_Edits[[#This Row],[BaseFlag]]=1,
   TEXT(Contract_Edits[[#This Row],[Index]],"0"),
   NearestBaseL(TEXT(Contract_Edits[[#This Row],[ParentKey]],"0"),500,editsIdxTxt,editsParentKeyTxt,baseIdxTxt,baseCost)
)</f>
        <v>0</v>
      </c>
      <c r="AM203" s="461" cm="1">
        <f t="array" ref="AM203">1+SUMPRODUCT(
  (Contract_Edits[BaseFlag]=1)*
  (TEXT(Contract_Edits[ParentAnchor],"0")=TEXT(Contract_Edits[[#This Row],[ParentAnchor]],"0"))*
  (VALUE(TEXT(Contract_Edits[Index],"0"))&lt;VALUE(TEXT(Contract_Edits[[#This Row],[Index]],"0")))
)</f>
        <v>1</v>
      </c>
      <c r="AN203" s="461"/>
    </row>
    <row r="204" spans="11:40" ht="16.5" thickTop="1" thickBot="1">
      <c r="K204" s="104"/>
      <c r="L204" s="513">
        <v>125</v>
      </c>
      <c r="M204" s="449"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76"/>
      <c r="R204" s="516"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4" s="179">
        <v>0</v>
      </c>
      <c r="T204" s="179">
        <v>0</v>
      </c>
      <c r="U204" s="11"/>
      <c r="V204"/>
      <c r="W204" s="22" t="s">
        <v>436</v>
      </c>
      <c r="X204" s="22" t="s">
        <v>682</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11">
        <f>--(
  ISNUMBER(SEARCH("BASE PARENT", UPPER(CLEAN(TRIM(_xlfn.XLOOKUP(TEXT(Contract_Edits[[#This Row],[Index]],"0"), baseIdxTxt, baseCost, "")))))) +
  ISNUMBER(SEARCH("DEPENDENCY GROUP", UPPER(CLEAN(TRIM(_xlfn.XLOOKUP(TEXT(Contract_Edits[[#This Row],[Index]],"0"), baseIdxTxt, baseCost, ""))))))
)</f>
        <v>0</v>
      </c>
      <c r="AG204" s="511" t="str" cm="1">
        <f t="array" ref="AG204">IF(Contract_Edits[[#This Row],[BaseFlag]]=1,
   10*BaseDepthL(TEXT(Contract_Edits[[#This Row],[Index]],"0"),500,editsIdxTxt,editsParentKeyTxt,baseIdxTxt,baseCost)-5,
   ""
)</f>
        <v/>
      </c>
      <c r="AH204" s="511"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61" t="str">
        <f>IF(Contract_Edits[[#This Row],[Dep]]=0,"Root",
   IF(ISNUMBER(MATCH(Contract_Edits[[#This Row],[Dep]],Contract_Edits[Index],0)),"OK","Missing")
)</f>
        <v>Root</v>
      </c>
      <c r="AJ204" s="461" t="e">
        <f>IF(AND(Contract_Edits[[#This Row],[Dep]]&lt;&gt;0,
        ISNUMBER(MATCH(Contract_Edits[[#This Row],[Dep]], Contract_Edits[Index], 0)),
        INDEX(Contract_Edits[Dep], MATCH(Contract_Edits[[#This Row],[Dep]], Contract_Edits[Index], 0))=Contract_Edits[[#This Row],[Index]]),
   "2-cycle","")</f>
        <v>#N/A</v>
      </c>
      <c r="AK204" s="461" cm="1">
        <f t="array" ref="AK204">IF(Contract_Edits[[#This Row],[BaseFlag]]&lt;&gt;1,0,
   IF(TEXT(Contract_Edits[[#This Row],[Dep]],"0")=TEXT(Contract_Edits[[#This Row],[Index]],"0"),
      0,
      MAX(0, SUMPRODUCT(--(Contract_Edits[BaseFlag]=1),
                        --(TEXT(Contract_Edits[Dep],"0")=TEXT(Contract_Edits[[#This Row],[Dep]],"0"))) - 1)
   )
)</f>
        <v>0</v>
      </c>
      <c r="AL204" s="461" t="str" cm="1">
        <f t="array" ref="AL204">IF(Contract_Edits[[#This Row],[BaseFlag]]=1,
   TEXT(Contract_Edits[[#This Row],[Index]],"0"),
   NearestBaseL(TEXT(Contract_Edits[[#This Row],[ParentKey]],"0"),500,editsIdxTxt,editsParentKeyTxt,baseIdxTxt,baseCost)
)</f>
        <v>0</v>
      </c>
      <c r="AM204" s="461" cm="1">
        <f t="array" ref="AM204">1+SUMPRODUCT(
  (Contract_Edits[BaseFlag]=1)*
  (TEXT(Contract_Edits[ParentAnchor],"0")=TEXT(Contract_Edits[[#This Row],[ParentAnchor]],"0"))*
  (VALUE(TEXT(Contract_Edits[Index],"0"))&lt;VALUE(TEXT(Contract_Edits[[#This Row],[Index]],"0")))
)</f>
        <v>1</v>
      </c>
      <c r="AN204" s="461"/>
    </row>
    <row r="205" spans="11:40" ht="16.5" thickTop="1" thickBot="1">
      <c r="K205" s="104"/>
      <c r="L205" s="513">
        <v>97</v>
      </c>
      <c r="M205" s="449"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76"/>
      <c r="R205" s="516"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5" s="179">
        <v>0</v>
      </c>
      <c r="T205" s="179">
        <v>0</v>
      </c>
      <c r="U205" s="11"/>
      <c r="V205"/>
      <c r="W205" s="22" t="s">
        <v>436</v>
      </c>
      <c r="X205" s="22" t="s">
        <v>682</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11">
        <f>--(
  ISNUMBER(SEARCH("BASE PARENT", UPPER(CLEAN(TRIM(_xlfn.XLOOKUP(TEXT(Contract_Edits[[#This Row],[Index]],"0"), baseIdxTxt, baseCost, "")))))) +
  ISNUMBER(SEARCH("DEPENDENCY GROUP", UPPER(CLEAN(TRIM(_xlfn.XLOOKUP(TEXT(Contract_Edits[[#This Row],[Index]],"0"), baseIdxTxt, baseCost, ""))))))
)</f>
        <v>0</v>
      </c>
      <c r="AG205" s="511" t="str" cm="1">
        <f t="array" ref="AG205">IF(Contract_Edits[[#This Row],[BaseFlag]]=1,
   10*BaseDepthL(TEXT(Contract_Edits[[#This Row],[Index]],"0"),500,editsIdxTxt,editsParentKeyTxt,baseIdxTxt,baseCost)-5,
   ""
)</f>
        <v/>
      </c>
      <c r="AH205" s="511"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61" t="str">
        <f>IF(Contract_Edits[[#This Row],[Dep]]=0,"Root",
   IF(ISNUMBER(MATCH(Contract_Edits[[#This Row],[Dep]],Contract_Edits[Index],0)),"OK","Missing")
)</f>
        <v>Root</v>
      </c>
      <c r="AJ205" s="461" t="e">
        <f>IF(AND(Contract_Edits[[#This Row],[Dep]]&lt;&gt;0,
        ISNUMBER(MATCH(Contract_Edits[[#This Row],[Dep]], Contract_Edits[Index], 0)),
        INDEX(Contract_Edits[Dep], MATCH(Contract_Edits[[#This Row],[Dep]], Contract_Edits[Index], 0))=Contract_Edits[[#This Row],[Index]]),
   "2-cycle","")</f>
        <v>#N/A</v>
      </c>
      <c r="AK205" s="461" cm="1">
        <f t="array" ref="AK205">IF(Contract_Edits[[#This Row],[BaseFlag]]&lt;&gt;1,0,
   IF(TEXT(Contract_Edits[[#This Row],[Dep]],"0")=TEXT(Contract_Edits[[#This Row],[Index]],"0"),
      0,
      MAX(0, SUMPRODUCT(--(Contract_Edits[BaseFlag]=1),
                        --(TEXT(Contract_Edits[Dep],"0")=TEXT(Contract_Edits[[#This Row],[Dep]],"0"))) - 1)
   )
)</f>
        <v>0</v>
      </c>
      <c r="AL205" s="461" t="str" cm="1">
        <f t="array" ref="AL205">IF(Contract_Edits[[#This Row],[BaseFlag]]=1,
   TEXT(Contract_Edits[[#This Row],[Index]],"0"),
   NearestBaseL(TEXT(Contract_Edits[[#This Row],[ParentKey]],"0"),500,editsIdxTxt,editsParentKeyTxt,baseIdxTxt,baseCost)
)</f>
        <v>0</v>
      </c>
      <c r="AM205" s="461" cm="1">
        <f t="array" ref="AM205">1+SUMPRODUCT(
  (Contract_Edits[BaseFlag]=1)*
  (TEXT(Contract_Edits[ParentAnchor],"0")=TEXT(Contract_Edits[[#This Row],[ParentAnchor]],"0"))*
  (VALUE(TEXT(Contract_Edits[Index],"0"))&lt;VALUE(TEXT(Contract_Edits[[#This Row],[Index]],"0")))
)</f>
        <v>1</v>
      </c>
      <c r="AN205" s="461"/>
    </row>
    <row r="206" spans="11:40" ht="16.5" thickTop="1" thickBot="1">
      <c r="K206" s="104"/>
      <c r="L206" s="513">
        <v>175</v>
      </c>
      <c r="M206" s="449"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88"/>
      <c r="R206" s="516"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6" s="179">
        <v>0</v>
      </c>
      <c r="T206" s="477"/>
      <c r="U206" s="500"/>
      <c r="V206" s="193"/>
      <c r="W206" s="22" t="s">
        <v>436</v>
      </c>
      <c r="X206" s="492" t="s">
        <v>682</v>
      </c>
      <c r="Y206" s="492"/>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11">
        <f>--(
  ISNUMBER(SEARCH("BASE PARENT", UPPER(CLEAN(TRIM(_xlfn.XLOOKUP(TEXT(Contract_Edits[[#This Row],[Index]],"0"), baseIdxTxt, baseCost, "")))))) +
  ISNUMBER(SEARCH("DEPENDENCY GROUP", UPPER(CLEAN(TRIM(_xlfn.XLOOKUP(TEXT(Contract_Edits[[#This Row],[Index]],"0"), baseIdxTxt, baseCost, ""))))))
)</f>
        <v>0</v>
      </c>
      <c r="AG206" s="511" t="str" cm="1">
        <f t="array" ref="AG206">IF(Contract_Edits[[#This Row],[BaseFlag]]=1,
   10*BaseDepthL(TEXT(Contract_Edits[[#This Row],[Index]],"0"),500,editsIdxTxt,editsParentKeyTxt,baseIdxTxt,baseCost)-5,
   ""
)</f>
        <v/>
      </c>
      <c r="AH206" s="511"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61" t="str">
        <f>IF(Contract_Edits[[#This Row],[Dep]]=0,"Root",
   IF(ISNUMBER(MATCH(Contract_Edits[[#This Row],[Dep]],Contract_Edits[Index],0)),"OK","Missing")
)</f>
        <v>Root</v>
      </c>
      <c r="AJ206" s="461" t="e">
        <f>IF(AND(Contract_Edits[[#This Row],[Dep]]&lt;&gt;0,
        ISNUMBER(MATCH(Contract_Edits[[#This Row],[Dep]], Contract_Edits[Index], 0)),
        INDEX(Contract_Edits[Dep], MATCH(Contract_Edits[[#This Row],[Dep]], Contract_Edits[Index], 0))=Contract_Edits[[#This Row],[Index]]),
   "2-cycle","")</f>
        <v>#N/A</v>
      </c>
      <c r="AK206" s="461" cm="1">
        <f t="array" ref="AK206">IF(Contract_Edits[[#This Row],[BaseFlag]]&lt;&gt;1,0,
   IF(TEXT(Contract_Edits[[#This Row],[Dep]],"0")=TEXT(Contract_Edits[[#This Row],[Index]],"0"),
      0,
      MAX(0, SUMPRODUCT(--(Contract_Edits[BaseFlag]=1),
                        --(TEXT(Contract_Edits[Dep],"0")=TEXT(Contract_Edits[[#This Row],[Dep]],"0"))) - 1)
   )
)</f>
        <v>0</v>
      </c>
      <c r="AL206" s="461" t="str" cm="1">
        <f t="array" ref="AL206">IF(Contract_Edits[[#This Row],[BaseFlag]]=1,
   TEXT(Contract_Edits[[#This Row],[Index]],"0"),
   NearestBaseL(TEXT(Contract_Edits[[#This Row],[ParentKey]],"0"),500,editsIdxTxt,editsParentKeyTxt,baseIdxTxt,baseCost)
)</f>
        <v>0</v>
      </c>
      <c r="AM206" s="461" cm="1">
        <f t="array" ref="AM206">1+SUMPRODUCT(
  (Contract_Edits[BaseFlag]=1)*
  (TEXT(Contract_Edits[ParentAnchor],"0")=TEXT(Contract_Edits[[#This Row],[ParentAnchor]],"0"))*
  (VALUE(TEXT(Contract_Edits[Index],"0"))&lt;VALUE(TEXT(Contract_Edits[[#This Row],[Index]],"0")))
)</f>
        <v>1</v>
      </c>
      <c r="AN206" s="461"/>
    </row>
    <row r="207" spans="11:40" ht="16.5" thickTop="1" thickBot="1">
      <c r="K207" s="104"/>
      <c r="L207" s="513">
        <v>133</v>
      </c>
      <c r="M207" s="449"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76"/>
      <c r="R207" s="516"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7" s="179">
        <v>0</v>
      </c>
      <c r="T207" s="179">
        <v>0</v>
      </c>
      <c r="U207" s="11"/>
      <c r="V207"/>
      <c r="W207" s="22" t="s">
        <v>436</v>
      </c>
      <c r="X207" s="22" t="s">
        <v>682</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11">
        <f>--(
  ISNUMBER(SEARCH("BASE PARENT", UPPER(CLEAN(TRIM(_xlfn.XLOOKUP(TEXT(Contract_Edits[[#This Row],[Index]],"0"), baseIdxTxt, baseCost, "")))))) +
  ISNUMBER(SEARCH("DEPENDENCY GROUP", UPPER(CLEAN(TRIM(_xlfn.XLOOKUP(TEXT(Contract_Edits[[#This Row],[Index]],"0"), baseIdxTxt, baseCost, ""))))))
)</f>
        <v>0</v>
      </c>
      <c r="AG207" s="511" t="str" cm="1">
        <f t="array" ref="AG207">IF(Contract_Edits[[#This Row],[BaseFlag]]=1,
   10*BaseDepthL(TEXT(Contract_Edits[[#This Row],[Index]],"0"),500,editsIdxTxt,editsParentKeyTxt,baseIdxTxt,baseCost)-5,
   ""
)</f>
        <v/>
      </c>
      <c r="AH207" s="511"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61" t="str">
        <f>IF(Contract_Edits[[#This Row],[Dep]]=0,"Root",
   IF(ISNUMBER(MATCH(Contract_Edits[[#This Row],[Dep]],Contract_Edits[Index],0)),"OK","Missing")
)</f>
        <v>Root</v>
      </c>
      <c r="AJ207" s="461" t="e">
        <f>IF(AND(Contract_Edits[[#This Row],[Dep]]&lt;&gt;0,
        ISNUMBER(MATCH(Contract_Edits[[#This Row],[Dep]], Contract_Edits[Index], 0)),
        INDEX(Contract_Edits[Dep], MATCH(Contract_Edits[[#This Row],[Dep]], Contract_Edits[Index], 0))=Contract_Edits[[#This Row],[Index]]),
   "2-cycle","")</f>
        <v>#N/A</v>
      </c>
      <c r="AK207" s="461" cm="1">
        <f t="array" ref="AK207">IF(Contract_Edits[[#This Row],[BaseFlag]]&lt;&gt;1,0,
   IF(TEXT(Contract_Edits[[#This Row],[Dep]],"0")=TEXT(Contract_Edits[[#This Row],[Index]],"0"),
      0,
      MAX(0, SUMPRODUCT(--(Contract_Edits[BaseFlag]=1),
                        --(TEXT(Contract_Edits[Dep],"0")=TEXT(Contract_Edits[[#This Row],[Dep]],"0"))) - 1)
   )
)</f>
        <v>0</v>
      </c>
      <c r="AL207" s="461" t="str" cm="1">
        <f t="array" ref="AL207">IF(Contract_Edits[[#This Row],[BaseFlag]]=1,
   TEXT(Contract_Edits[[#This Row],[Index]],"0"),
   NearestBaseL(TEXT(Contract_Edits[[#This Row],[ParentKey]],"0"),500,editsIdxTxt,editsParentKeyTxt,baseIdxTxt,baseCost)
)</f>
        <v>0</v>
      </c>
      <c r="AM207" s="461" cm="1">
        <f t="array" ref="AM207">1+SUMPRODUCT(
  (Contract_Edits[BaseFlag]=1)*
  (TEXT(Contract_Edits[ParentAnchor],"0")=TEXT(Contract_Edits[[#This Row],[ParentAnchor]],"0"))*
  (VALUE(TEXT(Contract_Edits[Index],"0"))&lt;VALUE(TEXT(Contract_Edits[[#This Row],[Index]],"0")))
)</f>
        <v>1</v>
      </c>
      <c r="AN207" s="461"/>
    </row>
    <row r="208" spans="11:40" ht="16.5" thickTop="1" thickBot="1">
      <c r="K208" s="104"/>
      <c r="L208" s="513">
        <v>105</v>
      </c>
      <c r="M208" s="449"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76"/>
      <c r="R208" s="516"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8" s="179">
        <v>0</v>
      </c>
      <c r="T208" s="179">
        <v>0</v>
      </c>
      <c r="U208" s="11"/>
      <c r="V208"/>
      <c r="W208" s="22" t="s">
        <v>436</v>
      </c>
      <c r="X208" s="22" t="s">
        <v>682</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11">
        <f>--(
  ISNUMBER(SEARCH("BASE PARENT", UPPER(CLEAN(TRIM(_xlfn.XLOOKUP(TEXT(Contract_Edits[[#This Row],[Index]],"0"), baseIdxTxt, baseCost, "")))))) +
  ISNUMBER(SEARCH("DEPENDENCY GROUP", UPPER(CLEAN(TRIM(_xlfn.XLOOKUP(TEXT(Contract_Edits[[#This Row],[Index]],"0"), baseIdxTxt, baseCost, ""))))))
)</f>
        <v>0</v>
      </c>
      <c r="AG208" s="511" t="str" cm="1">
        <f t="array" ref="AG208">IF(Contract_Edits[[#This Row],[BaseFlag]]=1,
   10*BaseDepthL(TEXT(Contract_Edits[[#This Row],[Index]],"0"),500,editsIdxTxt,editsParentKeyTxt,baseIdxTxt,baseCost)-5,
   ""
)</f>
        <v/>
      </c>
      <c r="AH208" s="511"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61" t="str">
        <f>IF(Contract_Edits[[#This Row],[Dep]]=0,"Root",
   IF(ISNUMBER(MATCH(Contract_Edits[[#This Row],[Dep]],Contract_Edits[Index],0)),"OK","Missing")
)</f>
        <v>Root</v>
      </c>
      <c r="AJ208" s="461" t="e">
        <f>IF(AND(Contract_Edits[[#This Row],[Dep]]&lt;&gt;0,
        ISNUMBER(MATCH(Contract_Edits[[#This Row],[Dep]], Contract_Edits[Index], 0)),
        INDEX(Contract_Edits[Dep], MATCH(Contract_Edits[[#This Row],[Dep]], Contract_Edits[Index], 0))=Contract_Edits[[#This Row],[Index]]),
   "2-cycle","")</f>
        <v>#N/A</v>
      </c>
      <c r="AK208" s="461" cm="1">
        <f t="array" ref="AK208">IF(Contract_Edits[[#This Row],[BaseFlag]]&lt;&gt;1,0,
   IF(TEXT(Contract_Edits[[#This Row],[Dep]],"0")=TEXT(Contract_Edits[[#This Row],[Index]],"0"),
      0,
      MAX(0, SUMPRODUCT(--(Contract_Edits[BaseFlag]=1),
                        --(TEXT(Contract_Edits[Dep],"0")=TEXT(Contract_Edits[[#This Row],[Dep]],"0"))) - 1)
   )
)</f>
        <v>0</v>
      </c>
      <c r="AL208" s="461" t="str" cm="1">
        <f t="array" ref="AL208">IF(Contract_Edits[[#This Row],[BaseFlag]]=1,
   TEXT(Contract_Edits[[#This Row],[Index]],"0"),
   NearestBaseL(TEXT(Contract_Edits[[#This Row],[ParentKey]],"0"),500,editsIdxTxt,editsParentKeyTxt,baseIdxTxt,baseCost)
)</f>
        <v>0</v>
      </c>
      <c r="AM208" s="461" cm="1">
        <f t="array" ref="AM208">1+SUMPRODUCT(
  (Contract_Edits[BaseFlag]=1)*
  (TEXT(Contract_Edits[ParentAnchor],"0")=TEXT(Contract_Edits[[#This Row],[ParentAnchor]],"0"))*
  (VALUE(TEXT(Contract_Edits[Index],"0"))&lt;VALUE(TEXT(Contract_Edits[[#This Row],[Index]],"0")))
)</f>
        <v>1</v>
      </c>
      <c r="AN208" s="461"/>
    </row>
    <row r="209" spans="11:80" ht="15.75" thickTop="1">
      <c r="K209" s="104"/>
      <c r="L209" s="514">
        <v>106</v>
      </c>
      <c r="M209" s="449"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76"/>
      <c r="R209" s="516"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09" s="179">
        <v>0</v>
      </c>
      <c r="T209" s="179">
        <v>0</v>
      </c>
      <c r="U209" s="11"/>
      <c r="V209"/>
      <c r="W209" s="22" t="s">
        <v>436</v>
      </c>
      <c r="X209" s="22" t="s">
        <v>682</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11">
        <f>--(
  ISNUMBER(SEARCH("BASE PARENT", UPPER(CLEAN(TRIM(_xlfn.XLOOKUP(TEXT(Contract_Edits[[#This Row],[Index]],"0"), baseIdxTxt, baseCost, "")))))) +
  ISNUMBER(SEARCH("DEPENDENCY GROUP", UPPER(CLEAN(TRIM(_xlfn.XLOOKUP(TEXT(Contract_Edits[[#This Row],[Index]],"0"), baseIdxTxt, baseCost, ""))))))
)</f>
        <v>0</v>
      </c>
      <c r="AG209" s="511" t="str" cm="1">
        <f t="array" ref="AG209">IF(Contract_Edits[[#This Row],[BaseFlag]]=1,
   10*BaseDepthL(TEXT(Contract_Edits[[#This Row],[Index]],"0"),500,editsIdxTxt,editsParentKeyTxt,baseIdxTxt,baseCost)-5,
   ""
)</f>
        <v/>
      </c>
      <c r="AH209" s="511"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61" t="str">
        <f>IF(Contract_Edits[[#This Row],[Dep]]=0,"Root",
   IF(ISNUMBER(MATCH(Contract_Edits[[#This Row],[Dep]],Contract_Edits[Index],0)),"OK","Missing")
)</f>
        <v>Root</v>
      </c>
      <c r="AJ209" s="461" t="e">
        <f>IF(AND(Contract_Edits[[#This Row],[Dep]]&lt;&gt;0,
        ISNUMBER(MATCH(Contract_Edits[[#This Row],[Dep]], Contract_Edits[Index], 0)),
        INDEX(Contract_Edits[Dep], MATCH(Contract_Edits[[#This Row],[Dep]], Contract_Edits[Index], 0))=Contract_Edits[[#This Row],[Index]]),
   "2-cycle","")</f>
        <v>#N/A</v>
      </c>
      <c r="AK209" s="461" cm="1">
        <f t="array" ref="AK209">IF(Contract_Edits[[#This Row],[BaseFlag]]&lt;&gt;1,0,
   IF(TEXT(Contract_Edits[[#This Row],[Dep]],"0")=TEXT(Contract_Edits[[#This Row],[Index]],"0"),
      0,
      MAX(0, SUMPRODUCT(--(Contract_Edits[BaseFlag]=1),
                        --(TEXT(Contract_Edits[Dep],"0")=TEXT(Contract_Edits[[#This Row],[Dep]],"0"))) - 1)
   )
)</f>
        <v>0</v>
      </c>
      <c r="AL209" s="461" t="str" cm="1">
        <f t="array" ref="AL209">IF(Contract_Edits[[#This Row],[BaseFlag]]=1,
   TEXT(Contract_Edits[[#This Row],[Index]],"0"),
   NearestBaseL(TEXT(Contract_Edits[[#This Row],[ParentKey]],"0"),500,editsIdxTxt,editsParentKeyTxt,baseIdxTxt,baseCost)
)</f>
        <v>0</v>
      </c>
      <c r="AM209" s="461" cm="1">
        <f t="array" ref="AM209">1+SUMPRODUCT(
  (Contract_Edits[BaseFlag]=1)*
  (TEXT(Contract_Edits[ParentAnchor],"0")=TEXT(Contract_Edits[[#This Row],[ParentAnchor]],"0"))*
  (VALUE(TEXT(Contract_Edits[Index],"0"))&lt;VALUE(TEXT(Contract_Edits[[#This Row],[Index]],"0")))
)</f>
        <v>1</v>
      </c>
      <c r="AN209" s="461"/>
    </row>
    <row r="210" spans="11:80" ht="15">
      <c r="K210" s="104"/>
      <c r="L210" s="449">
        <v>126</v>
      </c>
      <c r="M210" s="449"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76"/>
      <c r="R210" s="516"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10" s="179">
        <v>0</v>
      </c>
      <c r="T210" s="179">
        <v>0</v>
      </c>
      <c r="U210" s="11"/>
      <c r="V210"/>
      <c r="W210" s="22" t="s">
        <v>436</v>
      </c>
      <c r="X210" s="22" t="s">
        <v>682</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11">
        <f>--(
  ISNUMBER(SEARCH("BASE PARENT", UPPER(CLEAN(TRIM(_xlfn.XLOOKUP(TEXT(Contract_Edits[[#This Row],[Index]],"0"), baseIdxTxt, baseCost, "")))))) +
  ISNUMBER(SEARCH("DEPENDENCY GROUP", UPPER(CLEAN(TRIM(_xlfn.XLOOKUP(TEXT(Contract_Edits[[#This Row],[Index]],"0"), baseIdxTxt, baseCost, ""))))))
)</f>
        <v>0</v>
      </c>
      <c r="AG210" s="511" t="str" cm="1">
        <f t="array" ref="AG210">IF(Contract_Edits[[#This Row],[BaseFlag]]=1,
   10*BaseDepthL(TEXT(Contract_Edits[[#This Row],[Index]],"0"),500,editsIdxTxt,editsParentKeyTxt,baseIdxTxt,baseCost)-5,
   ""
)</f>
        <v/>
      </c>
      <c r="AH210" s="511"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61" t="str">
        <f>IF(Contract_Edits[[#This Row],[Dep]]=0,"Root",
   IF(ISNUMBER(MATCH(Contract_Edits[[#This Row],[Dep]],Contract_Edits[Index],0)),"OK","Missing")
)</f>
        <v>Root</v>
      </c>
      <c r="AJ210" s="461" t="e">
        <f>IF(AND(Contract_Edits[[#This Row],[Dep]]&lt;&gt;0,
        ISNUMBER(MATCH(Contract_Edits[[#This Row],[Dep]], Contract_Edits[Index], 0)),
        INDEX(Contract_Edits[Dep], MATCH(Contract_Edits[[#This Row],[Dep]], Contract_Edits[Index], 0))=Contract_Edits[[#This Row],[Index]]),
   "2-cycle","")</f>
        <v>#N/A</v>
      </c>
      <c r="AK210" s="461" cm="1">
        <f t="array" ref="AK210">IF(Contract_Edits[[#This Row],[BaseFlag]]&lt;&gt;1,0,
   IF(TEXT(Contract_Edits[[#This Row],[Dep]],"0")=TEXT(Contract_Edits[[#This Row],[Index]],"0"),
      0,
      MAX(0, SUMPRODUCT(--(Contract_Edits[BaseFlag]=1),
                        --(TEXT(Contract_Edits[Dep],"0")=TEXT(Contract_Edits[[#This Row],[Dep]],"0"))) - 1)
   )
)</f>
        <v>0</v>
      </c>
      <c r="AL210" s="461" t="str" cm="1">
        <f t="array" ref="AL210">IF(Contract_Edits[[#This Row],[BaseFlag]]=1,
   TEXT(Contract_Edits[[#This Row],[Index]],"0"),
   NearestBaseL(TEXT(Contract_Edits[[#This Row],[ParentKey]],"0"),500,editsIdxTxt,editsParentKeyTxt,baseIdxTxt,baseCost)
)</f>
        <v>0</v>
      </c>
      <c r="AM210" s="461" cm="1">
        <f t="array" ref="AM210">1+SUMPRODUCT(
  (Contract_Edits[BaseFlag]=1)*
  (TEXT(Contract_Edits[ParentAnchor],"0")=TEXT(Contract_Edits[[#This Row],[ParentAnchor]],"0"))*
  (VALUE(TEXT(Contract_Edits[Index],"0"))&lt;VALUE(TEXT(Contract_Edits[[#This Row],[Index]],"0")))
)</f>
        <v>1</v>
      </c>
      <c r="AN210" s="461"/>
    </row>
    <row r="211" spans="11:80" ht="15">
      <c r="K211" s="104"/>
      <c r="L211" s="449">
        <v>144</v>
      </c>
      <c r="M211" s="449"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76"/>
      <c r="R211" s="516"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11" s="179">
        <v>0</v>
      </c>
      <c r="T211" s="179">
        <v>0</v>
      </c>
      <c r="U211" s="11"/>
      <c r="V211"/>
      <c r="W211" s="22" t="s">
        <v>436</v>
      </c>
      <c r="X211" s="22" t="s">
        <v>682</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11">
        <f>--(
  ISNUMBER(SEARCH("BASE PARENT", UPPER(CLEAN(TRIM(_xlfn.XLOOKUP(TEXT(Contract_Edits[[#This Row],[Index]],"0"), baseIdxTxt, baseCost, "")))))) +
  ISNUMBER(SEARCH("DEPENDENCY GROUP", UPPER(CLEAN(TRIM(_xlfn.XLOOKUP(TEXT(Contract_Edits[[#This Row],[Index]],"0"), baseIdxTxt, baseCost, ""))))))
)</f>
        <v>0</v>
      </c>
      <c r="AG211" s="511" t="str" cm="1">
        <f t="array" ref="AG211">IF(Contract_Edits[[#This Row],[BaseFlag]]=1,
   10*BaseDepthL(TEXT(Contract_Edits[[#This Row],[Index]],"0"),500,editsIdxTxt,editsParentKeyTxt,baseIdxTxt,baseCost)-5,
   ""
)</f>
        <v/>
      </c>
      <c r="AH211" s="511"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61" t="str">
        <f>IF(Contract_Edits[[#This Row],[Dep]]=0,"Root",
   IF(ISNUMBER(MATCH(Contract_Edits[[#This Row],[Dep]],Contract_Edits[Index],0)),"OK","Missing")
)</f>
        <v>Root</v>
      </c>
      <c r="AJ211" s="461" t="e">
        <f>IF(AND(Contract_Edits[[#This Row],[Dep]]&lt;&gt;0,
        ISNUMBER(MATCH(Contract_Edits[[#This Row],[Dep]], Contract_Edits[Index], 0)),
        INDEX(Contract_Edits[Dep], MATCH(Contract_Edits[[#This Row],[Dep]], Contract_Edits[Index], 0))=Contract_Edits[[#This Row],[Index]]),
   "2-cycle","")</f>
        <v>#N/A</v>
      </c>
      <c r="AK211" s="461" cm="1">
        <f t="array" ref="AK211">IF(Contract_Edits[[#This Row],[BaseFlag]]&lt;&gt;1,0,
   IF(TEXT(Contract_Edits[[#This Row],[Dep]],"0")=TEXT(Contract_Edits[[#This Row],[Index]],"0"),
      0,
      MAX(0, SUMPRODUCT(--(Contract_Edits[BaseFlag]=1),
                        --(TEXT(Contract_Edits[Dep],"0")=TEXT(Contract_Edits[[#This Row],[Dep]],"0"))) - 1)
   )
)</f>
        <v>0</v>
      </c>
      <c r="AL211" s="461" t="str" cm="1">
        <f t="array" ref="AL211">IF(Contract_Edits[[#This Row],[BaseFlag]]=1,
   TEXT(Contract_Edits[[#This Row],[Index]],"0"),
   NearestBaseL(TEXT(Contract_Edits[[#This Row],[ParentKey]],"0"),500,editsIdxTxt,editsParentKeyTxt,baseIdxTxt,baseCost)
)</f>
        <v>0</v>
      </c>
      <c r="AM211" s="461" cm="1">
        <f t="array" ref="AM211">1+SUMPRODUCT(
  (Contract_Edits[BaseFlag]=1)*
  (TEXT(Contract_Edits[ParentAnchor],"0")=TEXT(Contract_Edits[[#This Row],[ParentAnchor]],"0"))*
  (VALUE(TEXT(Contract_Edits[Index],"0"))&lt;VALUE(TEXT(Contract_Edits[[#This Row],[Index]],"0")))
)</f>
        <v>1</v>
      </c>
      <c r="AN211" s="461"/>
    </row>
    <row r="212" spans="11:80" ht="15">
      <c r="L212" s="449">
        <v>147</v>
      </c>
      <c r="M212" s="449"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88"/>
      <c r="R212" s="516"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12" s="179">
        <v>0</v>
      </c>
      <c r="T212" s="477"/>
      <c r="U212" s="500"/>
      <c r="V212" s="193"/>
      <c r="W212" s="22" t="s">
        <v>436</v>
      </c>
      <c r="X212" s="492" t="s">
        <v>682</v>
      </c>
      <c r="Y212" s="492"/>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11">
        <f>--(
  ISNUMBER(SEARCH("BASE PARENT", UPPER(CLEAN(TRIM(_xlfn.XLOOKUP(TEXT(Contract_Edits[[#This Row],[Index]],"0"), baseIdxTxt, baseCost, "")))))) +
  ISNUMBER(SEARCH("DEPENDENCY GROUP", UPPER(CLEAN(TRIM(_xlfn.XLOOKUP(TEXT(Contract_Edits[[#This Row],[Index]],"0"), baseIdxTxt, baseCost, ""))))))
)</f>
        <v>0</v>
      </c>
      <c r="AG212" s="511" t="str" cm="1">
        <f t="array" ref="AG212">IF(Contract_Edits[[#This Row],[BaseFlag]]=1,
   10*BaseDepthL(TEXT(Contract_Edits[[#This Row],[Index]],"0"),500,editsIdxTxt,editsParentKeyTxt,baseIdxTxt,baseCost)-5,
   ""
)</f>
        <v/>
      </c>
      <c r="AH212" s="511"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61" t="str">
        <f>IF(Contract_Edits[[#This Row],[Dep]]=0,"Root",
   IF(ISNUMBER(MATCH(Contract_Edits[[#This Row],[Dep]],Contract_Edits[Index],0)),"OK","Missing")
)</f>
        <v>Root</v>
      </c>
      <c r="AJ212" s="461" t="e">
        <f>IF(AND(Contract_Edits[[#This Row],[Dep]]&lt;&gt;0,
        ISNUMBER(MATCH(Contract_Edits[[#This Row],[Dep]], Contract_Edits[Index], 0)),
        INDEX(Contract_Edits[Dep], MATCH(Contract_Edits[[#This Row],[Dep]], Contract_Edits[Index], 0))=Contract_Edits[[#This Row],[Index]]),
   "2-cycle","")</f>
        <v>#N/A</v>
      </c>
      <c r="AK212" s="461" cm="1">
        <f t="array" ref="AK212">IF(Contract_Edits[[#This Row],[BaseFlag]]&lt;&gt;1,0,
   IF(TEXT(Contract_Edits[[#This Row],[Dep]],"0")=TEXT(Contract_Edits[[#This Row],[Index]],"0"),
      0,
      MAX(0, SUMPRODUCT(--(Contract_Edits[BaseFlag]=1),
                        --(TEXT(Contract_Edits[Dep],"0")=TEXT(Contract_Edits[[#This Row],[Dep]],"0"))) - 1)
   )
)</f>
        <v>0</v>
      </c>
      <c r="AL212" s="461" t="str" cm="1">
        <f t="array" ref="AL212">IF(Contract_Edits[[#This Row],[BaseFlag]]=1,
   TEXT(Contract_Edits[[#This Row],[Index]],"0"),
   NearestBaseL(TEXT(Contract_Edits[[#This Row],[ParentKey]],"0"),500,editsIdxTxt,editsParentKeyTxt,baseIdxTxt,baseCost)
)</f>
        <v>0</v>
      </c>
      <c r="AM212" s="461" cm="1">
        <f t="array" ref="AM212">1+SUMPRODUCT(
  (Contract_Edits[BaseFlag]=1)*
  (TEXT(Contract_Edits[ParentAnchor],"0")=TEXT(Contract_Edits[[#This Row],[ParentAnchor]],"0"))*
  (VALUE(TEXT(Contract_Edits[Index],"0"))&lt;VALUE(TEXT(Contract_Edits[[#This Row],[Index]],"0")))
)</f>
        <v>1</v>
      </c>
      <c r="AN212" s="461"/>
      <c r="AO212" s="477" t="e" cm="1" vm="1">
        <f t="array" ref="AO212">_xlfn._xlws.FILTER(
   tblContractBase[Index],
   ISNA(MATCH(tblContractBase[Index], Contract_Edits[Index], 0))
)</f>
        <v>#VALUE!</v>
      </c>
      <c r="AP212" s="486" t="str" cm="1">
        <f t="array" ref="AP212">_xlfn.LET(
  _xlpm.bIdx, TEXT(tblContractBase[Index],"0"),
  _xlpm.eIdx, TEXT(Contract_Edits[Index],"0"),
  _xlpm.isBP, ISNUMBER(SEARCH("BASE PARENT", UPPER(tblContractBase[Cost Code]))),
  _xlfn._xlws.FILTER(tblContractBase[Index], _xlpm.isBP*ISNA(MATCH(_xlpm.bIdx, _xlpm.eIdx, 0)), "None")
)</f>
        <v>None</v>
      </c>
      <c r="AQ212" s="486" t="str" cm="1">
        <f t="array" ref="AQ212">_xlfn.LET(
  _xlpm.bIdx, TEXT(tblContractBase[Index],"0"),
  _xlpm.eIdx, TEXT(Contract_Edits[Index],"0"),
  _xlfn._xlws.FILTER(tblContractBase[Index], ISNA(MATCH(_xlpm.bIdx, _xlpm.eIdx, 0)), "None")
)</f>
        <v>None</v>
      </c>
    </row>
    <row r="213" spans="11:80" ht="15">
      <c r="L213" s="449">
        <v>124</v>
      </c>
      <c r="M213" s="449"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88"/>
      <c r="R213" s="516"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46181</v>
      </c>
      <c r="S213" s="179">
        <v>0</v>
      </c>
      <c r="T213" s="477"/>
      <c r="U213" s="500"/>
      <c r="V213" s="193"/>
      <c r="W213" s="22" t="s">
        <v>436</v>
      </c>
      <c r="X213" s="492" t="s">
        <v>682</v>
      </c>
      <c r="Y213" s="492"/>
      <c r="Z213" s="498"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11">
        <f>--(
  ISNUMBER(SEARCH("BASE PARENT", UPPER(CLEAN(TRIM(_xlfn.XLOOKUP(TEXT(Contract_Edits[[#This Row],[Index]],"0"), baseIdxTxt, baseCost, "")))))) +
  ISNUMBER(SEARCH("DEPENDENCY GROUP", UPPER(CLEAN(TRIM(_xlfn.XLOOKUP(TEXT(Contract_Edits[[#This Row],[Index]],"0"), baseIdxTxt, baseCost, ""))))))
)</f>
        <v>0</v>
      </c>
      <c r="AG213" s="511" t="str" cm="1">
        <f t="array" ref="AG213">IF(Contract_Edits[[#This Row],[BaseFlag]]=1,
   10*BaseDepthL(TEXT(Contract_Edits[[#This Row],[Index]],"0"),500,editsIdxTxt,editsParentKeyTxt,baseIdxTxt,baseCost)-5,
   ""
)</f>
        <v/>
      </c>
      <c r="AH213" s="511"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61" t="str">
        <f>IF(Contract_Edits[[#This Row],[Dep]]=0,"Root",
   IF(ISNUMBER(MATCH(Contract_Edits[[#This Row],[Dep]],Contract_Edits[Index],0)),"OK","Missing")
)</f>
        <v>Root</v>
      </c>
      <c r="AJ213" s="461" t="e">
        <f>IF(AND(Contract_Edits[[#This Row],[Dep]]&lt;&gt;0,
        ISNUMBER(MATCH(Contract_Edits[[#This Row],[Dep]], Contract_Edits[Index], 0)),
        INDEX(Contract_Edits[Dep], MATCH(Contract_Edits[[#This Row],[Dep]], Contract_Edits[Index], 0))=Contract_Edits[[#This Row],[Index]]),
   "2-cycle","")</f>
        <v>#N/A</v>
      </c>
      <c r="AK213" s="461" cm="1">
        <f t="array" ref="AK213">IF(Contract_Edits[[#This Row],[BaseFlag]]&lt;&gt;1,0,
   IF(TEXT(Contract_Edits[[#This Row],[Dep]],"0")=TEXT(Contract_Edits[[#This Row],[Index]],"0"),
      0,
      MAX(0, SUMPRODUCT(--(Contract_Edits[BaseFlag]=1),
                        --(TEXT(Contract_Edits[Dep],"0")=TEXT(Contract_Edits[[#This Row],[Dep]],"0"))) - 1)
   )
)</f>
        <v>0</v>
      </c>
      <c r="AL213" s="461" t="str" cm="1">
        <f t="array" ref="AL213">IF(Contract_Edits[[#This Row],[BaseFlag]]=1,
   TEXT(Contract_Edits[[#This Row],[Index]],"0"),
   NearestBaseL(TEXT(Contract_Edits[[#This Row],[ParentKey]],"0"),500,editsIdxTxt,editsParentKeyTxt,baseIdxTxt,baseCost)
)</f>
        <v>0</v>
      </c>
      <c r="AM213" s="461" cm="1">
        <f t="array" ref="AM213">1+SUMPRODUCT(
  (Contract_Edits[BaseFlag]=1)*
  (TEXT(Contract_Edits[ParentAnchor],"0")=TEXT(Contract_Edits[[#This Row],[ParentAnchor]],"0"))*
  (VALUE(TEXT(Contract_Edits[Index],"0"))&lt;VALUE(TEXT(Contract_Edits[[#This Row],[Index]],"0")))
)</f>
        <v>1</v>
      </c>
      <c r="AN213" s="461"/>
    </row>
    <row r="214" spans="11:80" ht="15">
      <c r="M214"/>
      <c r="T214" s="34"/>
      <c r="V214" s="193"/>
      <c r="Y214" s="492"/>
      <c r="AD214" s="193"/>
      <c r="AI214" s="34"/>
      <c r="AJ214" s="34"/>
      <c r="AK214" s="34"/>
      <c r="AL214" s="34"/>
      <c r="AM214" s="34"/>
      <c r="AN214" s="34"/>
      <c r="AO214" s="477"/>
    </row>
    <row r="215" spans="11:80" ht="15">
      <c r="AK215" s="477"/>
      <c r="AL215" s="477"/>
      <c r="AM215" s="477"/>
      <c r="AN215" s="477"/>
      <c r="AQ215" s="193"/>
      <c r="BE215" s="34"/>
      <c r="CB215"/>
    </row>
    <row r="216" spans="11:80" ht="15">
      <c r="AK216" s="477"/>
      <c r="AL216" s="477"/>
      <c r="AM216" s="477"/>
      <c r="AN216" s="477"/>
      <c r="AQ216" s="193"/>
      <c r="BE216" s="34"/>
      <c r="CB216"/>
    </row>
    <row r="217" spans="11:80" ht="15">
      <c r="AK217" s="477"/>
      <c r="AL217" s="477"/>
      <c r="AM217" s="477"/>
      <c r="AN217" s="477"/>
      <c r="AQ217" s="193"/>
      <c r="BE217" s="34"/>
      <c r="CB217"/>
    </row>
    <row r="218" spans="11:80" ht="15">
      <c r="AK218" s="477"/>
      <c r="AL218" s="477"/>
      <c r="AM218" s="477"/>
      <c r="AN218" s="477"/>
      <c r="AQ218" s="193"/>
      <c r="BE218" s="34"/>
      <c r="CB218"/>
    </row>
    <row r="219" spans="11:80" ht="15">
      <c r="AK219" s="477"/>
      <c r="AL219" s="477"/>
      <c r="AM219" s="477"/>
      <c r="AN219" s="477"/>
      <c r="AQ219" s="193"/>
      <c r="BE219" s="34"/>
      <c r="CB219"/>
    </row>
    <row r="220" spans="11:80" ht="15">
      <c r="AK220" s="477"/>
      <c r="AL220" s="477"/>
      <c r="AM220" s="477"/>
      <c r="AN220" s="477"/>
      <c r="AQ220" s="193"/>
      <c r="BE220" s="34"/>
      <c r="CB220"/>
    </row>
    <row r="221" spans="11:80" ht="15">
      <c r="AK221" s="477"/>
      <c r="AL221" s="477"/>
      <c r="AM221" s="477"/>
      <c r="AN221" s="477"/>
      <c r="AQ221" s="193"/>
      <c r="BE221" s="34"/>
      <c r="CB221"/>
    </row>
    <row r="222" spans="11:80" ht="15">
      <c r="AK222" s="477"/>
      <c r="AL222" s="477"/>
      <c r="AM222" s="477"/>
      <c r="AN222" s="477"/>
      <c r="AQ222" s="193"/>
      <c r="BE222" s="34"/>
      <c r="CB222"/>
    </row>
    <row r="223" spans="11:80" ht="15">
      <c r="AK223" s="477"/>
      <c r="AL223" s="477"/>
      <c r="AM223" s="477"/>
      <c r="AN223" s="477"/>
      <c r="AQ223" s="193"/>
      <c r="BE223" s="34"/>
      <c r="CB223"/>
    </row>
    <row r="224" spans="11:80" ht="15">
      <c r="AK224" s="477"/>
      <c r="AL224" s="477"/>
      <c r="AM224" s="477"/>
      <c r="AN224" s="477"/>
      <c r="AQ224" s="193"/>
      <c r="BE224" s="34"/>
      <c r="CB224"/>
    </row>
    <row r="225" spans="37:80" ht="15">
      <c r="AK225" s="477"/>
      <c r="AL225" s="477"/>
      <c r="AM225" s="477"/>
      <c r="AN225" s="477"/>
      <c r="AQ225" s="193"/>
      <c r="BE225" s="34"/>
      <c r="CB225"/>
    </row>
    <row r="226" spans="37:80" ht="15">
      <c r="AK226" s="477"/>
      <c r="AL226" s="477"/>
      <c r="AM226" s="477"/>
      <c r="AN226" s="477"/>
      <c r="AQ226" s="193"/>
      <c r="BE226" s="34"/>
      <c r="CB226"/>
    </row>
    <row r="227" spans="37:80" ht="15">
      <c r="AK227" s="477"/>
      <c r="AL227" s="477"/>
      <c r="AM227" s="477"/>
      <c r="AN227" s="477"/>
      <c r="AQ227" s="193"/>
      <c r="BE227" s="34"/>
      <c r="CB227"/>
    </row>
    <row r="228" spans="37:80" ht="15">
      <c r="AK228" s="477"/>
      <c r="AL228" s="477"/>
      <c r="AM228" s="477"/>
      <c r="AN228" s="477"/>
      <c r="AQ228" s="193"/>
      <c r="BE228" s="34"/>
      <c r="CB228"/>
    </row>
    <row r="229" spans="37:80" ht="15">
      <c r="AK229" s="477"/>
      <c r="AL229" s="477"/>
      <c r="AM229" s="477"/>
      <c r="AN229" s="477"/>
      <c r="AQ229" s="193"/>
      <c r="BE229" s="34"/>
      <c r="CB229"/>
    </row>
    <row r="230" spans="37:80" ht="15">
      <c r="AK230" s="477"/>
      <c r="AL230" s="477"/>
      <c r="AM230" s="477"/>
      <c r="AN230" s="477"/>
      <c r="AQ230" s="193"/>
      <c r="BE230" s="34"/>
      <c r="CB230"/>
    </row>
    <row r="231" spans="37:80" ht="15">
      <c r="AK231" s="477"/>
      <c r="AL231" s="477"/>
      <c r="AM231" s="477"/>
      <c r="AN231" s="477"/>
      <c r="AQ231" s="193"/>
      <c r="BE231" s="34"/>
      <c r="CB231"/>
    </row>
    <row r="232" spans="37:80" ht="15">
      <c r="AK232" s="477"/>
      <c r="AL232" s="477"/>
      <c r="AM232" s="477"/>
      <c r="AN232" s="477"/>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D5:E5"/>
    <mergeCell ref="F6:H6"/>
    <mergeCell ref="I4:K4"/>
    <mergeCell ref="F4:H4"/>
    <mergeCell ref="D4:E4"/>
    <mergeCell ref="L2:N2"/>
    <mergeCell ref="L3:N3"/>
    <mergeCell ref="L1:N1"/>
    <mergeCell ref="O2:R2"/>
    <mergeCell ref="O1:R1"/>
    <mergeCell ref="O3:R3"/>
    <mergeCell ref="B1:C1"/>
    <mergeCell ref="B2:C2"/>
    <mergeCell ref="I1:K1"/>
    <mergeCell ref="I2:K2"/>
    <mergeCell ref="I3:K3"/>
    <mergeCell ref="F2:H2"/>
    <mergeCell ref="F3:H3"/>
    <mergeCell ref="F1:H1"/>
    <mergeCell ref="D2:E2"/>
    <mergeCell ref="D3:E3"/>
    <mergeCell ref="AW153:AZ153"/>
    <mergeCell ref="I6:K6"/>
    <mergeCell ref="I5:K5"/>
    <mergeCell ref="F5:H5"/>
    <mergeCell ref="L4:N4"/>
    <mergeCell ref="L5:N5"/>
    <mergeCell ref="L6:N6"/>
    <mergeCell ref="O6:R6"/>
    <mergeCell ref="O4:R4"/>
    <mergeCell ref="O5:R5"/>
  </mergeCells>
  <phoneticPr fontId="22" type="noConversion"/>
  <conditionalFormatting sqref="AE23:AG23 AI23:AK23 AN23:DE23">
    <cfRule type="expression" dxfId="38" priority="155">
      <formula>AE$23&lt;=TODAY()</formula>
    </cfRule>
  </conditionalFormatting>
  <conditionalFormatting sqref="AR31:EE31 AZ69:EE77">
    <cfRule type="expression" dxfId="37" priority="132">
      <formula>#REF!&lt;=Today</formula>
    </cfRule>
  </conditionalFormatting>
  <conditionalFormatting sqref="AZ73:EB77">
    <cfRule type="expression" dxfId="36" priority="130">
      <formula>#REF!&lt;=Today</formula>
    </cfRule>
  </conditionalFormatting>
  <conditionalFormatting sqref="BW11:EZ12 BW14:EZ21">
    <cfRule type="expression" dxfId="35" priority="139">
      <formula>#REF!&lt;=Today</formula>
    </cfRule>
  </conditionalFormatting>
  <conditionalFormatting sqref="AU8:DZ8">
    <cfRule type="expression" dxfId="34" priority="290">
      <formula>#REF!&lt;=TODAY()</formula>
    </cfRule>
  </conditionalFormatting>
  <conditionalFormatting sqref="B96:B123 J24:J95">
    <cfRule type="expression" dxfId="33" priority="49">
      <formula>ISNUMBER(MATCH($B24,$I:$I,0))</formula>
    </cfRule>
  </conditionalFormatting>
  <conditionalFormatting sqref="H96:J123 A24:J95">
    <cfRule type="expression" dxfId="32" priority="26">
      <formula>$A24="Base"</formula>
    </cfRule>
    <cfRule type="expression" dxfId="31" priority="50">
      <formula>$A24="Vendor Tabs"</formula>
    </cfRule>
    <cfRule type="expression" dxfId="30" priority="51">
      <formula>$A24="Glasgow DB"</formula>
    </cfRule>
    <cfRule type="expression" dxfId="29" priority="52">
      <formula>$A24="Buy Your Home"</formula>
    </cfRule>
    <cfRule type="expression" dxfId="28" priority="53">
      <formula>$A24="Tim Flemming"</formula>
    </cfRule>
  </conditionalFormatting>
  <conditionalFormatting sqref="T215:T251 U24:U213 M24:M213">
    <cfRule type="expression" dxfId="27" priority="33">
      <formula>M24&gt;0</formula>
    </cfRule>
  </conditionalFormatting>
  <conditionalFormatting sqref="L215:L251 L24:L213">
    <cfRule type="expression" dxfId="26" priority="31">
      <formula>ISNUMBER(MATCH($L24,$T:$T,0))</formula>
    </cfRule>
  </conditionalFormatting>
  <conditionalFormatting sqref="AH23">
    <cfRule type="expression" dxfId="25" priority="29">
      <formula>AH$23&lt;=TODAY()</formula>
    </cfRule>
  </conditionalFormatting>
  <conditionalFormatting sqref="K191:K192">
    <cfRule type="expression" dxfId="24" priority="1173">
      <formula>#REF!&lt;&gt;$L191</formula>
    </cfRule>
  </conditionalFormatting>
  <conditionalFormatting sqref="K199">
    <cfRule type="expression" dxfId="23" priority="1211">
      <formula>$J95&lt;&gt;#REF!</formula>
    </cfRule>
  </conditionalFormatting>
  <conditionalFormatting sqref="K24:K86">
    <cfRule type="expression" dxfId="22" priority="1213">
      <formula>$J24&lt;&gt;$L24</formula>
    </cfRule>
  </conditionalFormatting>
  <conditionalFormatting sqref="B9:B22">
    <cfRule type="expression" dxfId="21" priority="6">
      <formula>$A9="Glasgow DB"</formula>
    </cfRule>
    <cfRule type="expression" dxfId="20" priority="7">
      <formula>$A9="Buy Your Home"</formula>
    </cfRule>
    <cfRule type="expression" dxfId="19" priority="8">
      <formula>$A9="Tim Flemming"</formula>
    </cfRule>
  </conditionalFormatting>
  <conditionalFormatting sqref="A9:Z22">
    <cfRule type="expression" dxfId="18" priority="9">
      <formula>$W9="Yes"</formula>
    </cfRule>
  </conditionalFormatting>
  <conditionalFormatting sqref="L24:Q250">
    <cfRule type="expression" dxfId="17" priority="1357">
      <formula>#REF!= "Order Check"</formula>
    </cfRule>
  </conditionalFormatting>
  <conditionalFormatting sqref="L40:V41 L47:AH213 L24:AH36 L37:W39 L42:W46 X37:AH46">
    <cfRule type="expression" dxfId="16" priority="5">
      <formula>$AK24&gt;0</formula>
    </cfRule>
    <cfRule type="expression" dxfId="15" priority="1376">
      <formula>$AF24=1</formula>
    </cfRule>
  </conditionalFormatting>
  <conditionalFormatting sqref="L215:AG250">
    <cfRule type="expression" dxfId="14" priority="1392">
      <formula>$AE215=1</formula>
    </cfRule>
  </conditionalFormatting>
  <conditionalFormatting sqref="AL23:AM23">
    <cfRule type="expression" dxfId="13" priority="4">
      <formula>AL$23&lt;=TODAY()</formula>
    </cfRule>
  </conditionalFormatting>
  <conditionalFormatting sqref="K195">
    <cfRule type="expression" dxfId="12" priority="1413">
      <formula>#REF!&lt;&gt;$L195</formula>
    </cfRule>
  </conditionalFormatting>
  <conditionalFormatting sqref="K99:K194">
    <cfRule type="expression" dxfId="11" priority="1437">
      <formula>#REF!&lt;&gt;$L99</formula>
    </cfRule>
  </conditionalFormatting>
  <conditionalFormatting sqref="K155">
    <cfRule type="expression" dxfId="10" priority="1438">
      <formula>#REF!&lt;&gt;#REF!</formula>
    </cfRule>
  </conditionalFormatting>
  <conditionalFormatting sqref="W40">
    <cfRule type="expression" dxfId="9" priority="1606">
      <formula>$AK41&gt;0</formula>
    </cfRule>
    <cfRule type="expression" dxfId="8" priority="1607">
      <formula>$AF41=1</formula>
    </cfRule>
  </conditionalFormatting>
  <conditionalFormatting sqref="W41">
    <cfRule type="expression" dxfId="7" priority="1">
      <formula>$AK41&gt;0</formula>
    </cfRule>
    <cfRule type="expression" dxfId="6" priority="2">
      <formula>$AF41=1</formula>
    </cfRule>
  </conditionalFormatting>
  <conditionalFormatting sqref="K87:K98">
    <cfRule type="expression" dxfId="5" priority="1649">
      <formula>#REF!&lt;&gt;$L87</formula>
    </cfRule>
  </conditionalFormatting>
  <conditionalFormatting sqref="K196:K250">
    <cfRule type="expression" dxfId="4" priority="1738">
      <formula>$J95&lt;&gt;$L196</formula>
    </cfRule>
  </conditionalFormatting>
  <conditionalFormatting sqref="K212:K213">
    <cfRule type="expression" dxfId="3" priority="1739">
      <formula>$B114&lt;&gt;$L211</formula>
    </cfRule>
  </conditionalFormatting>
  <conditionalFormatting sqref="K214:K250">
    <cfRule type="expression" dxfId="2" priority="1740">
      <formula>$B116&lt;&gt;$L215</formula>
    </cfRule>
  </conditionalFormatting>
  <conditionalFormatting sqref="K211">
    <cfRule type="expression" dxfId="1"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18" t="s">
        <v>697</v>
      </c>
    </row>
    <row r="4" spans="2:5">
      <c r="B4" t="str">
        <v>2 - Demolition - Demolition - 19 Base Parent</v>
      </c>
      <c r="E4" s="519"/>
    </row>
    <row r="5" spans="2:5">
      <c r="B5" t="str">
        <v>3 - Excavation - Equipment, Trenching, Bac - 19 Base Parent</v>
      </c>
      <c r="E5" s="520" t="s">
        <v>698</v>
      </c>
    </row>
    <row r="6" spans="2:5">
      <c r="B6" t="str">
        <v>4 - Plumbing - Groundwork - 19 Base Parent</v>
      </c>
      <c r="E6" s="519" t="s">
        <v>699</v>
      </c>
    </row>
    <row r="7" spans="2:5">
      <c r="B7" t="str">
        <v>5 - Concrete - Slabs, driveways, Foundat - 19 Base Parent</v>
      </c>
      <c r="E7" s="519"/>
    </row>
    <row r="8" spans="2:5">
      <c r="B8" t="str">
        <v>6 - Roofing - Repair, Dry-in, Shingles - 19 Base Parent</v>
      </c>
      <c r="E8" s="520" t="s">
        <v>700</v>
      </c>
    </row>
    <row r="9" spans="2:5">
      <c r="B9" t="str">
        <v>7 - Framing - Walls, Floors, etc - 19 Base Parent</v>
      </c>
      <c r="E9" s="519" t="s">
        <v>701</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18" t="s">
        <v>702</v>
      </c>
    </row>
    <row r="14" spans="2:5">
      <c r="B14" t="str">
        <v>12 - Insulation - Walls, Roofs, etc - 19 Base Parent</v>
      </c>
      <c r="E14" s="519"/>
    </row>
    <row r="15" spans="2:5">
      <c r="B15" t="str">
        <v>13 - Drywall - sheetrock, tape, mud, san - 19 Base Parent</v>
      </c>
      <c r="E15" s="520" t="s">
        <v>703</v>
      </c>
    </row>
    <row r="16" spans="2:5">
      <c r="B16" t="str">
        <v>14 - Cabinetry - Cabinets,  Shelving - 19 Base Parent</v>
      </c>
      <c r="E16" s="522" t="s">
        <v>704</v>
      </c>
    </row>
    <row r="17" spans="2:5">
      <c r="B17" t="str">
        <v>15 - Installation - Doors &amp; Windows - 19 Base Parent</v>
      </c>
      <c r="E17" s="521"/>
    </row>
    <row r="18" spans="2:5">
      <c r="B18" t="str">
        <v>16 - Trim - Electrical - 19 Base Parent</v>
      </c>
      <c r="E18" s="521" t="s">
        <v>705</v>
      </c>
    </row>
    <row r="19" spans="2:5">
      <c r="B19" t="str">
        <v>17 - Trim - Plumbing - 19 Base Parent</v>
      </c>
    </row>
    <row r="20" spans="2:5">
      <c r="B20" t="str">
        <v>18 - Trim - HVAC - 19 Base Parent</v>
      </c>
      <c r="E20" t="s">
        <v>706</v>
      </c>
    </row>
    <row r="21" spans="2:5">
      <c r="B21" t="str">
        <v>19 - HVAC - Installation - 19 Base Parent</v>
      </c>
    </row>
    <row r="22" spans="2:5" ht="23.25">
      <c r="B22" t="str">
        <v>20 - Flooring - Floor covering - 19 Base Parent</v>
      </c>
      <c r="E22" s="518" t="s">
        <v>707</v>
      </c>
    </row>
    <row r="23" spans="2:5">
      <c r="B23" t="str">
        <v>21 - Siding - Exterior walls - 19 Base Parent</v>
      </c>
      <c r="E23" s="519"/>
    </row>
    <row r="24" spans="2:5">
      <c r="B24" t="str">
        <v>22 - Tile - Backsplash, Shower Enclos - 19 Base Parent</v>
      </c>
      <c r="E24" s="520" t="s">
        <v>708</v>
      </c>
    </row>
    <row r="25" spans="2:5">
      <c r="B25" t="str">
        <v>23 - Paint - Prime, Finish, Trim, bath - 19 Base Parent</v>
      </c>
      <c r="E25" s="521" t="s">
        <v>709</v>
      </c>
    </row>
    <row r="26" spans="2:5">
      <c r="B26" t="str">
        <v>24 - Cabinetry - Template, Install Counter - 19 Base Parent</v>
      </c>
      <c r="E26" s="521"/>
    </row>
    <row r="27" spans="2:5">
      <c r="B27" t="str">
        <v>25 - Final - Final Details to prepare  - 19 Base Parent</v>
      </c>
      <c r="E27" s="521" t="s">
        <v>710</v>
      </c>
    </row>
    <row r="28" spans="2:5">
      <c r="B28" t="str">
        <v>26 - Cleaning - Final - 19 Base Parent</v>
      </c>
    </row>
    <row r="29" spans="2:5">
      <c r="B29" t="str">
        <v>27 - Draws - Deposits, Draws, Contract - 19 Base Parent</v>
      </c>
      <c r="E29" s="520" t="s">
        <v>711</v>
      </c>
    </row>
    <row r="30" spans="2:5">
      <c r="B30" t="str">
        <v>28 - Exterior - Landscaping, Fence, Sod,  - 19 Base Parent</v>
      </c>
      <c r="E30" s="521" t="s">
        <v>712</v>
      </c>
    </row>
    <row r="31" spans="2:5">
      <c r="E31" s="521"/>
    </row>
    <row r="32" spans="2:5">
      <c r="E32" s="521" t="s">
        <v>713</v>
      </c>
    </row>
    <row r="33" spans="5:5">
      <c r="E33" s="521"/>
    </row>
    <row r="34" spans="5:5">
      <c r="E34" s="521" t="s">
        <v>714</v>
      </c>
    </row>
    <row r="36" spans="5:5" ht="23.25">
      <c r="E36" s="518" t="s">
        <v>715</v>
      </c>
    </row>
    <row r="37" spans="5:5">
      <c r="E37" s="519"/>
    </row>
    <row r="38" spans="5:5">
      <c r="E38" s="520" t="s">
        <v>716</v>
      </c>
    </row>
    <row r="39" spans="5:5">
      <c r="E39" s="521" t="s">
        <v>717</v>
      </c>
    </row>
    <row r="40" spans="5:5">
      <c r="E40" s="521"/>
    </row>
    <row r="41" spans="5:5">
      <c r="E41" s="521" t="s">
        <v>718</v>
      </c>
    </row>
    <row r="42" spans="5:5">
      <c r="E42" s="521"/>
    </row>
    <row r="43" spans="5:5">
      <c r="E43" s="521" t="s">
        <v>719</v>
      </c>
    </row>
    <row r="44" spans="5:5">
      <c r="E44" s="521"/>
    </row>
    <row r="45" spans="5:5">
      <c r="E45" s="521" t="s">
        <v>720</v>
      </c>
    </row>
    <row r="46" spans="5:5">
      <c r="E46" s="523" t="s">
        <v>721</v>
      </c>
    </row>
    <row r="47" spans="5:5">
      <c r="E47" s="523"/>
    </row>
    <row r="48" spans="5:5">
      <c r="E48" s="523" t="s">
        <v>722</v>
      </c>
    </row>
    <row r="49" spans="5:5">
      <c r="E49" s="521"/>
    </row>
    <row r="50" spans="5:5">
      <c r="E50" s="521" t="s">
        <v>723</v>
      </c>
    </row>
    <row r="52" spans="5:5" ht="23.25">
      <c r="E52" s="518" t="s">
        <v>724</v>
      </c>
    </row>
    <row r="53" spans="5:5">
      <c r="E53" s="519"/>
    </row>
    <row r="54" spans="5:5">
      <c r="E54" s="520" t="s">
        <v>725</v>
      </c>
    </row>
    <row r="55" spans="5:5">
      <c r="E55" s="521" t="s">
        <v>726</v>
      </c>
    </row>
    <row r="56" spans="5:5">
      <c r="E56" s="521"/>
    </row>
    <row r="57" spans="5:5">
      <c r="E57" s="521" t="s">
        <v>727</v>
      </c>
    </row>
    <row r="59" spans="5:5" ht="23.25">
      <c r="E59" s="518" t="s">
        <v>728</v>
      </c>
    </row>
    <row r="60" spans="5:5">
      <c r="E60" s="519"/>
    </row>
    <row r="61" spans="5:5">
      <c r="E61" s="520" t="s">
        <v>729</v>
      </c>
    </row>
    <row r="62" spans="5:5">
      <c r="E62" s="521" t="s">
        <v>730</v>
      </c>
    </row>
    <row r="63" spans="5:5">
      <c r="E63" s="521"/>
    </row>
    <row r="64" spans="5:5">
      <c r="E64" s="521" t="s">
        <v>731</v>
      </c>
    </row>
    <row r="65" spans="5:5">
      <c r="E65" s="523" t="s">
        <v>732</v>
      </c>
    </row>
    <row r="66" spans="5:5">
      <c r="E66" s="521"/>
    </row>
    <row r="67" spans="5:5">
      <c r="E67" s="521" t="s">
        <v>733</v>
      </c>
    </row>
    <row r="68" spans="5:5">
      <c r="E68" s="523"/>
    </row>
    <row r="69" spans="5:5">
      <c r="E69" s="523" t="s">
        <v>734</v>
      </c>
    </row>
    <row r="70" spans="5:5">
      <c r="E70" s="523"/>
    </row>
    <row r="71" spans="5:5">
      <c r="E71" s="523" t="s">
        <v>735</v>
      </c>
    </row>
    <row r="72" spans="5:5">
      <c r="E72" s="523"/>
    </row>
    <row r="73" spans="5:5">
      <c r="E73" s="523" t="s">
        <v>736</v>
      </c>
    </row>
    <row r="75" spans="5:5" ht="23.25">
      <c r="E75" s="518" t="s">
        <v>737</v>
      </c>
    </row>
    <row r="76" spans="5:5">
      <c r="E76" s="519"/>
    </row>
    <row r="77" spans="5:5">
      <c r="E77" s="519" t="s">
        <v>738</v>
      </c>
    </row>
    <row r="78" spans="5:5">
      <c r="E78" s="519"/>
    </row>
    <row r="79" spans="5:5">
      <c r="E79" s="519" t="s">
        <v>739</v>
      </c>
    </row>
    <row r="82" spans="5:5" ht="23.25">
      <c r="E82" s="518" t="s">
        <v>740</v>
      </c>
    </row>
    <row r="83" spans="5:5">
      <c r="E83" s="519"/>
    </row>
    <row r="84" spans="5:5">
      <c r="E84" s="520" t="s">
        <v>741</v>
      </c>
    </row>
    <row r="85" spans="5:5">
      <c r="E85" s="519"/>
    </row>
    <row r="86" spans="5:5">
      <c r="E86" s="519" t="s">
        <v>742</v>
      </c>
    </row>
    <row r="87" spans="5:5">
      <c r="E87" s="519"/>
    </row>
    <row r="88" spans="5:5">
      <c r="E88" s="519" t="s">
        <v>743</v>
      </c>
    </row>
    <row r="89" spans="5:5">
      <c r="E89" s="519"/>
    </row>
    <row r="90" spans="5:5">
      <c r="E90" s="519" t="s">
        <v>744</v>
      </c>
    </row>
    <row r="91" spans="5:5">
      <c r="E91" s="519"/>
    </row>
    <row r="92" spans="5:5">
      <c r="E92" s="519" t="s">
        <v>745</v>
      </c>
    </row>
    <row r="93" spans="5:5">
      <c r="E93" s="519"/>
    </row>
    <row r="94" spans="5:5">
      <c r="E94" s="520" t="s">
        <v>746</v>
      </c>
    </row>
    <row r="95" spans="5:5">
      <c r="E95" s="519"/>
    </row>
    <row r="96" spans="5:5">
      <c r="E96" s="520" t="s">
        <v>747</v>
      </c>
    </row>
    <row r="97" spans="5:5">
      <c r="E97" s="519"/>
    </row>
    <row r="98" spans="5:5">
      <c r="E98" s="519" t="s">
        <v>748</v>
      </c>
    </row>
    <row r="99" spans="5:5">
      <c r="E99" s="519"/>
    </row>
    <row r="100" spans="5:5">
      <c r="E100" s="519" t="s">
        <v>749</v>
      </c>
    </row>
    <row r="101" spans="5:5">
      <c r="E101" s="519"/>
    </row>
    <row r="102" spans="5:5">
      <c r="E102" s="520" t="s">
        <v>750</v>
      </c>
    </row>
    <row r="103" spans="5:5">
      <c r="E103" s="519"/>
    </row>
    <row r="104" spans="5:5">
      <c r="E104" s="519" t="s">
        <v>751</v>
      </c>
    </row>
    <row r="105" spans="5:5">
      <c r="E105" s="519"/>
    </row>
    <row r="106" spans="5:5">
      <c r="E106" s="519" t="s">
        <v>752</v>
      </c>
    </row>
    <row r="110" spans="5:5" ht="23.25">
      <c r="E110" s="518" t="s">
        <v>753</v>
      </c>
    </row>
    <row r="111" spans="5:5">
      <c r="E111" s="519"/>
    </row>
    <row r="112" spans="5:5">
      <c r="E112" s="520" t="s">
        <v>754</v>
      </c>
    </row>
    <row r="113" spans="5:5">
      <c r="E113" s="519"/>
    </row>
    <row r="114" spans="5:5">
      <c r="E114" s="519" t="s">
        <v>755</v>
      </c>
    </row>
    <row r="118" spans="5:5">
      <c r="E118" t="s">
        <v>756</v>
      </c>
    </row>
    <row r="119" spans="5:5">
      <c r="E119" s="519"/>
    </row>
    <row r="120" spans="5:5">
      <c r="E120" s="520" t="s">
        <v>757</v>
      </c>
    </row>
    <row r="121" spans="5:5">
      <c r="E121" s="519"/>
    </row>
    <row r="122" spans="5:5">
      <c r="E122" s="520" t="s">
        <v>758</v>
      </c>
    </row>
    <row r="123" spans="5:5">
      <c r="E123" s="519"/>
    </row>
    <row r="124" spans="5:5">
      <c r="E124" s="520" t="s">
        <v>759</v>
      </c>
    </row>
  </sheetData>
  <conditionalFormatting sqref="B3">
    <cfRule type="expression" dxfId="0"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9"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505</v>
      </c>
      <c r="B1" s="22" t="s">
        <v>506</v>
      </c>
      <c r="C1" s="22" t="s">
        <v>507</v>
      </c>
      <c r="D1" s="22" t="s">
        <v>508</v>
      </c>
      <c r="E1" s="491" t="s">
        <v>619</v>
      </c>
      <c r="F1" t="s">
        <v>641</v>
      </c>
      <c r="G1" t="s">
        <v>642</v>
      </c>
      <c r="H1" s="490" t="s">
        <v>109</v>
      </c>
      <c r="I1" s="22" t="s">
        <v>609</v>
      </c>
      <c r="J1" s="22" t="s">
        <v>760</v>
      </c>
      <c r="K1" s="22" t="s">
        <v>553</v>
      </c>
      <c r="L1" s="22" t="s">
        <v>761</v>
      </c>
      <c r="M1" s="22" t="s">
        <v>762</v>
      </c>
    </row>
    <row r="2" spans="1:13">
      <c r="A2">
        <v>908</v>
      </c>
      <c r="B2" t="s">
        <v>624</v>
      </c>
      <c r="C2" t="s">
        <v>656</v>
      </c>
      <c r="D2" t="s">
        <v>656</v>
      </c>
      <c r="E2" s="188">
        <v>2615</v>
      </c>
      <c r="F2"/>
      <c r="G2"/>
      <c r="H2" s="489">
        <f ca="1">+'Gnatt Chart'!R24</f>
        <v>46178</v>
      </c>
      <c r="I2">
        <f ca="1">_xlfn.DAYS(qryGnattToDraws[[#This Row],[Date]],$H$2)</f>
        <v>0</v>
      </c>
      <c r="J2" s="540">
        <f>IF(ROW()=2,+qryGnattToDraws[[#This Row],[Price]],+qryGnattToDraws[[#This Row],[Price]]+J1)</f>
        <v>2615</v>
      </c>
      <c r="L2" s="188">
        <f>IF(qryGnattToDraws[[#This Row],[Draws]]&gt;0,+K2*Profit!$B$43/24,0)</f>
        <v>0</v>
      </c>
      <c r="M2" s="188"/>
    </row>
    <row r="3" spans="1:13">
      <c r="A3">
        <v>900</v>
      </c>
      <c r="B3" t="s">
        <v>624</v>
      </c>
      <c r="C3" t="s">
        <v>657</v>
      </c>
      <c r="D3" t="s">
        <v>658</v>
      </c>
      <c r="E3" s="188">
        <v>505</v>
      </c>
      <c r="F3"/>
      <c r="G3"/>
      <c r="H3" s="489">
        <f ca="1">+'Gnatt Chart'!R25</f>
        <v>46181</v>
      </c>
      <c r="I3">
        <f ca="1">_xlfn.DAYS(qryGnattToDraws[[#This Row],[Date]],$H$2)</f>
        <v>3</v>
      </c>
      <c r="J3" s="539">
        <f>IF(ROW()=2,+qryGnattToDraws[[#This Row],[Price]],+qryGnattToDraws[[#This Row],[Price]]+J2)</f>
        <v>3120</v>
      </c>
      <c r="L3" s="188">
        <f>IF(qryGnattToDraws[[#This Row],[Draws]]&gt;0,+K3*Profit!$B$43/24,0)</f>
        <v>0</v>
      </c>
      <c r="M3" s="188">
        <f>+qryGnattToDraws[[#This Row],[Interest]]+M2</f>
        <v>0</v>
      </c>
    </row>
    <row r="4" spans="1:13">
      <c r="A4">
        <v>59</v>
      </c>
      <c r="B4" t="s">
        <v>563</v>
      </c>
      <c r="C4" t="s">
        <v>517</v>
      </c>
      <c r="D4" t="s">
        <v>585</v>
      </c>
      <c r="F4"/>
      <c r="G4"/>
      <c r="H4" s="489">
        <f ca="1">+'Gnatt Chart'!R26</f>
        <v>46181</v>
      </c>
      <c r="I4">
        <f ca="1">_xlfn.DAYS(qryGnattToDraws[[#This Row],[Date]],$H$2)</f>
        <v>3</v>
      </c>
      <c r="J4" s="539">
        <f>IF(ROW()=2,+qryGnattToDraws[[#This Row],[Price]],+qryGnattToDraws[[#This Row],[Price]]+J3)</f>
        <v>3120</v>
      </c>
      <c r="L4" s="188">
        <f>IF(qryGnattToDraws[[#This Row],[Draws]]&gt;0,+K4*Profit!$B$43/24,0)</f>
        <v>0</v>
      </c>
      <c r="M4" s="188">
        <f>+qryGnattToDraws[[#This Row],[Interest]]+M3</f>
        <v>0</v>
      </c>
    </row>
    <row r="5" spans="1:13">
      <c r="A5">
        <v>55</v>
      </c>
      <c r="B5" t="s">
        <v>563</v>
      </c>
      <c r="C5" t="s">
        <v>517</v>
      </c>
      <c r="D5" t="s">
        <v>582</v>
      </c>
      <c r="F5"/>
      <c r="G5"/>
      <c r="H5" s="489">
        <f ca="1">+'Gnatt Chart'!R27</f>
        <v>46181</v>
      </c>
      <c r="I5">
        <f ca="1">_xlfn.DAYS(qryGnattToDraws[[#This Row],[Date]],$H$2)</f>
        <v>3</v>
      </c>
      <c r="J5" s="539">
        <f>IF(ROW()=2,+qryGnattToDraws[[#This Row],[Price]],+qryGnattToDraws[[#This Row],[Price]]+J4)</f>
        <v>3120</v>
      </c>
      <c r="L5" s="188">
        <f>IF(qryGnattToDraws[[#This Row],[Draws]]&gt;0,+K5*Profit!$B$43/24,0)</f>
        <v>0</v>
      </c>
      <c r="M5" s="188">
        <f>+qryGnattToDraws[[#This Row],[Interest]]+M4</f>
        <v>0</v>
      </c>
    </row>
    <row r="6" spans="1:13">
      <c r="A6">
        <v>41</v>
      </c>
      <c r="B6" t="s">
        <v>563</v>
      </c>
      <c r="C6" t="s">
        <v>567</v>
      </c>
      <c r="D6" t="s">
        <v>569</v>
      </c>
      <c r="F6"/>
      <c r="G6"/>
      <c r="H6" s="489">
        <f ca="1">+'Gnatt Chart'!R28</f>
        <v>46181</v>
      </c>
      <c r="I6">
        <f ca="1">_xlfn.DAYS(qryGnattToDraws[[#This Row],[Date]],$H$2)</f>
        <v>3</v>
      </c>
      <c r="J6" s="539">
        <f>IF(ROW()=2,+qryGnattToDraws[[#This Row],[Price]],+qryGnattToDraws[[#This Row],[Price]]+J5)</f>
        <v>3120</v>
      </c>
      <c r="L6" s="188">
        <f>IF(qryGnattToDraws[[#This Row],[Draws]]&gt;0,+K6*Profit!$B$43/24,0)</f>
        <v>0</v>
      </c>
      <c r="M6" s="188">
        <f>+qryGnattToDraws[[#This Row],[Interest]]+M5</f>
        <v>0</v>
      </c>
    </row>
    <row r="7" spans="1:13">
      <c r="A7">
        <v>49</v>
      </c>
      <c r="B7" t="s">
        <v>563</v>
      </c>
      <c r="C7" t="s">
        <v>517</v>
      </c>
      <c r="D7" t="s">
        <v>573</v>
      </c>
      <c r="F7"/>
      <c r="G7"/>
      <c r="H7" s="489">
        <f ca="1">+'Gnatt Chart'!R29</f>
        <v>46181</v>
      </c>
      <c r="I7">
        <f ca="1">_xlfn.DAYS(qryGnattToDraws[[#This Row],[Date]],$H$2)</f>
        <v>3</v>
      </c>
      <c r="J7" s="539">
        <f>IF(ROW()=2,+qryGnattToDraws[[#This Row],[Price]],+qryGnattToDraws[[#This Row],[Price]]+J6)</f>
        <v>3120</v>
      </c>
      <c r="L7" s="188">
        <f>IF(qryGnattToDraws[[#This Row],[Draws]]&gt;0,+K7*Profit!$B$43/24,0)</f>
        <v>0</v>
      </c>
      <c r="M7" s="188">
        <f>+qryGnattToDraws[[#This Row],[Interest]]+M6</f>
        <v>0</v>
      </c>
    </row>
    <row r="8" spans="1:13">
      <c r="A8">
        <v>38</v>
      </c>
      <c r="B8" t="s">
        <v>563</v>
      </c>
      <c r="C8" t="s">
        <v>517</v>
      </c>
      <c r="D8" t="s">
        <v>564</v>
      </c>
      <c r="F8"/>
      <c r="G8"/>
      <c r="H8" s="489">
        <f ca="1">+'Gnatt Chart'!R30</f>
        <v>46181</v>
      </c>
      <c r="I8">
        <f ca="1">_xlfn.DAYS(qryGnattToDraws[[#This Row],[Date]],$H$2)</f>
        <v>3</v>
      </c>
      <c r="J8" s="539">
        <f>IF(ROW()=2,+qryGnattToDraws[[#This Row],[Price]],+qryGnattToDraws[[#This Row],[Price]]+J7)</f>
        <v>3120</v>
      </c>
      <c r="L8" s="188">
        <f>IF(qryGnattToDraws[[#This Row],[Draws]]&gt;0,+K8*Profit!$B$43/24,0)</f>
        <v>0</v>
      </c>
      <c r="M8" s="188">
        <f>+qryGnattToDraws[[#This Row],[Interest]]+M7</f>
        <v>0</v>
      </c>
    </row>
    <row r="9" spans="1:13">
      <c r="A9">
        <v>39</v>
      </c>
      <c r="B9" t="s">
        <v>563</v>
      </c>
      <c r="D9" t="s">
        <v>565</v>
      </c>
      <c r="F9"/>
      <c r="G9"/>
      <c r="H9" s="489">
        <f ca="1">+'Gnatt Chart'!R31</f>
        <v>46181</v>
      </c>
      <c r="I9">
        <f ca="1">_xlfn.DAYS(qryGnattToDraws[[#This Row],[Date]],$H$2)</f>
        <v>3</v>
      </c>
      <c r="J9" s="539">
        <f>IF(ROW()=2,+qryGnattToDraws[[#This Row],[Price]],+qryGnattToDraws[[#This Row],[Price]]+J8)</f>
        <v>3120</v>
      </c>
      <c r="L9" s="188">
        <f>IF(qryGnattToDraws[[#This Row],[Draws]]&gt;0,+K9*Profit!$B$43/24,0)</f>
        <v>0</v>
      </c>
      <c r="M9" s="188">
        <f>+qryGnattToDraws[[#This Row],[Interest]]+M8</f>
        <v>0</v>
      </c>
    </row>
    <row r="10" spans="1:13">
      <c r="A10">
        <v>77</v>
      </c>
      <c r="B10" t="s">
        <v>563</v>
      </c>
      <c r="C10" t="s">
        <v>599</v>
      </c>
      <c r="D10" t="s">
        <v>600</v>
      </c>
      <c r="F10"/>
      <c r="G10"/>
      <c r="H10" s="489">
        <f ca="1">+'Gnatt Chart'!R32</f>
        <v>46181</v>
      </c>
      <c r="I10">
        <f ca="1">_xlfn.DAYS(qryGnattToDraws[[#This Row],[Date]],$H$2)</f>
        <v>3</v>
      </c>
      <c r="J10" s="539">
        <f>IF(ROW()=2,+qryGnattToDraws[[#This Row],[Price]],+qryGnattToDraws[[#This Row],[Price]]+J9)</f>
        <v>3120</v>
      </c>
      <c r="L10" s="188">
        <f>IF(qryGnattToDraws[[#This Row],[Draws]]&gt;0,+K10*Profit!$B$43/24,0)</f>
        <v>0</v>
      </c>
      <c r="M10" s="188">
        <f>+qryGnattToDraws[[#This Row],[Interest]]+M9</f>
        <v>0</v>
      </c>
    </row>
    <row r="11" spans="1:13">
      <c r="A11">
        <v>76</v>
      </c>
      <c r="B11" t="s">
        <v>563</v>
      </c>
      <c r="C11" t="s">
        <v>537</v>
      </c>
      <c r="D11" t="s">
        <v>598</v>
      </c>
      <c r="F11"/>
      <c r="G11"/>
      <c r="H11" s="489">
        <f ca="1">+'Gnatt Chart'!R33</f>
        <v>46181</v>
      </c>
      <c r="I11">
        <f ca="1">_xlfn.DAYS(qryGnattToDraws[[#This Row],[Date]],$H$2)</f>
        <v>3</v>
      </c>
      <c r="J11" s="539">
        <f>IF(ROW()=2,+qryGnattToDraws[[#This Row],[Price]],+qryGnattToDraws[[#This Row],[Price]]+J10)</f>
        <v>3120</v>
      </c>
      <c r="L11" s="188">
        <f>IF(qryGnattToDraws[[#This Row],[Draws]]&gt;0,+K11*Profit!$B$43/24,0)</f>
        <v>0</v>
      </c>
      <c r="M11" s="188">
        <f>+qryGnattToDraws[[#This Row],[Interest]]+M10</f>
        <v>0</v>
      </c>
    </row>
    <row r="12" spans="1:13">
      <c r="A12">
        <v>912</v>
      </c>
      <c r="B12" t="s">
        <v>624</v>
      </c>
      <c r="C12" t="s">
        <v>659</v>
      </c>
      <c r="D12" t="s">
        <v>660</v>
      </c>
      <c r="E12" s="188">
        <v>-310.864125</v>
      </c>
      <c r="F12"/>
      <c r="G12"/>
      <c r="H12" s="489">
        <f ca="1">+'Gnatt Chart'!R34</f>
        <v>46181</v>
      </c>
      <c r="I12">
        <f ca="1">_xlfn.DAYS(qryGnattToDraws[[#This Row],[Date]],$H$2)</f>
        <v>3</v>
      </c>
      <c r="J12" s="539">
        <f>IF(ROW()=2,+qryGnattToDraws[[#This Row],[Price]],+qryGnattToDraws[[#This Row],[Price]]+J11)</f>
        <v>2809.1358749999999</v>
      </c>
      <c r="L12" s="188">
        <f>IF(qryGnattToDraws[[#This Row],[Draws]]&gt;0,+K12*Profit!$B$43/24,0)</f>
        <v>0</v>
      </c>
      <c r="M12" s="188">
        <f>+qryGnattToDraws[[#This Row],[Interest]]+M11</f>
        <v>0</v>
      </c>
    </row>
    <row r="13" spans="1:13">
      <c r="A13">
        <v>51</v>
      </c>
      <c r="B13" t="s">
        <v>566</v>
      </c>
      <c r="C13" t="s">
        <v>574</v>
      </c>
      <c r="D13" t="s">
        <v>576</v>
      </c>
      <c r="F13"/>
      <c r="G13"/>
      <c r="H13" s="489">
        <f ca="1">+'Gnatt Chart'!R35</f>
        <v>46181</v>
      </c>
      <c r="I13">
        <f ca="1">_xlfn.DAYS(qryGnattToDraws[[#This Row],[Date]],$H$2)</f>
        <v>3</v>
      </c>
      <c r="J13" s="539">
        <f>IF(ROW()=2,+qryGnattToDraws[[#This Row],[Price]],+qryGnattToDraws[[#This Row],[Price]]+J12)</f>
        <v>2809.1358749999999</v>
      </c>
      <c r="L13" s="188">
        <f>IF(qryGnattToDraws[[#This Row],[Draws]]&gt;0,+K13*Profit!$B$43/24,0)</f>
        <v>0</v>
      </c>
      <c r="M13" s="188">
        <f>+qryGnattToDraws[[#This Row],[Interest]]+M12</f>
        <v>0</v>
      </c>
    </row>
    <row r="14" spans="1:13">
      <c r="A14">
        <v>56</v>
      </c>
      <c r="B14" t="s">
        <v>580</v>
      </c>
      <c r="C14" t="s">
        <v>583</v>
      </c>
      <c r="D14" t="s">
        <v>584</v>
      </c>
      <c r="F14"/>
      <c r="G14"/>
      <c r="H14" s="489">
        <f ca="1">+'Gnatt Chart'!R36</f>
        <v>46181</v>
      </c>
      <c r="I14">
        <f ca="1">_xlfn.DAYS(qryGnattToDraws[[#This Row],[Date]],$H$2)</f>
        <v>3</v>
      </c>
      <c r="J14" s="539">
        <f>IF(ROW()=2,+qryGnattToDraws[[#This Row],[Price]],+qryGnattToDraws[[#This Row],[Price]]+J13)</f>
        <v>2809.1358749999999</v>
      </c>
      <c r="L14" s="188">
        <f>IF(qryGnattToDraws[[#This Row],[Draws]]&gt;0,+K14*Profit!$B$43/24,0)</f>
        <v>0</v>
      </c>
      <c r="M14" s="188">
        <f>+qryGnattToDraws[[#This Row],[Interest]]+M13</f>
        <v>0</v>
      </c>
    </row>
    <row r="15" spans="1:13">
      <c r="A15">
        <v>54</v>
      </c>
      <c r="B15" t="s">
        <v>580</v>
      </c>
      <c r="D15" t="s">
        <v>581</v>
      </c>
      <c r="F15"/>
      <c r="G15"/>
      <c r="H15" s="489">
        <f ca="1">+'Gnatt Chart'!R37</f>
        <v>46181</v>
      </c>
      <c r="I15">
        <f ca="1">_xlfn.DAYS(qryGnattToDraws[[#This Row],[Date]],$H$2)</f>
        <v>3</v>
      </c>
      <c r="J15" s="539">
        <f>IF(ROW()=2,+qryGnattToDraws[[#This Row],[Price]],+qryGnattToDraws[[#This Row],[Price]]+J14)</f>
        <v>2809.1358749999999</v>
      </c>
      <c r="L15" s="188">
        <f>IF(qryGnattToDraws[[#This Row],[Draws]]&gt;0,+K15*Profit!$B$43/24,0)</f>
        <v>0</v>
      </c>
      <c r="M15" s="188">
        <f>+qryGnattToDraws[[#This Row],[Interest]]+M14</f>
        <v>0</v>
      </c>
    </row>
    <row r="16" spans="1:13">
      <c r="A16">
        <v>80</v>
      </c>
      <c r="B16" t="s">
        <v>537</v>
      </c>
      <c r="C16" t="s">
        <v>601</v>
      </c>
      <c r="D16" t="s">
        <v>1247</v>
      </c>
      <c r="E16" s="188">
        <v>125</v>
      </c>
      <c r="F16"/>
      <c r="G16"/>
      <c r="H16" s="489">
        <f ca="1">+'Gnatt Chart'!R38</f>
        <v>46181</v>
      </c>
      <c r="I16">
        <f ca="1">_xlfn.DAYS(qryGnattToDraws[[#This Row],[Date]],$H$2)</f>
        <v>3</v>
      </c>
      <c r="J16" s="539">
        <f>IF(ROW()=2,+qryGnattToDraws[[#This Row],[Price]],+qryGnattToDraws[[#This Row],[Price]]+J15)</f>
        <v>2934.1358749999999</v>
      </c>
      <c r="K16" s="188"/>
      <c r="L16" s="188">
        <f>IF(qryGnattToDraws[[#This Row],[Draws]]&gt;0,+K16*Profit!$B$43/24,0)</f>
        <v>0</v>
      </c>
      <c r="M16" s="188">
        <f>+qryGnattToDraws[[#This Row],[Interest]]+M15</f>
        <v>0</v>
      </c>
    </row>
    <row r="17" spans="1:13">
      <c r="A17">
        <v>904</v>
      </c>
      <c r="B17" t="s">
        <v>624</v>
      </c>
      <c r="C17" t="s">
        <v>661</v>
      </c>
      <c r="D17" t="s">
        <v>662</v>
      </c>
      <c r="E17" s="188">
        <v>6726.5870099999993</v>
      </c>
      <c r="F17"/>
      <c r="G17"/>
      <c r="H17" s="489">
        <f ca="1">+'Gnatt Chart'!R39</f>
        <v>46181</v>
      </c>
      <c r="I17">
        <f ca="1">_xlfn.DAYS(qryGnattToDraws[[#This Row],[Date]],$H$2)</f>
        <v>3</v>
      </c>
      <c r="J17" s="539">
        <f>IF(ROW()=2,+qryGnattToDraws[[#This Row],[Price]],+qryGnattToDraws[[#This Row],[Price]]+J16)</f>
        <v>9660.7228849999992</v>
      </c>
      <c r="K17" s="188"/>
      <c r="L17" s="188">
        <f>IF(qryGnattToDraws[[#This Row],[Draws]]&gt;0,+K17*Profit!$B$43/24,0)</f>
        <v>0</v>
      </c>
      <c r="M17" s="188">
        <f>+qryGnattToDraws[[#This Row],[Interest]]+M16</f>
        <v>0</v>
      </c>
    </row>
    <row r="18" spans="1:13">
      <c r="A18">
        <v>34</v>
      </c>
      <c r="B18" t="s">
        <v>537</v>
      </c>
      <c r="C18" t="s">
        <v>537</v>
      </c>
      <c r="D18" t="s">
        <v>562</v>
      </c>
      <c r="F18"/>
      <c r="G18"/>
      <c r="H18" s="489">
        <f ca="1">+'Gnatt Chart'!R40</f>
        <v>46181</v>
      </c>
      <c r="I18">
        <f ca="1">_xlfn.DAYS(qryGnattToDraws[[#This Row],[Date]],$H$2)</f>
        <v>3</v>
      </c>
      <c r="J18" s="539">
        <f>IF(ROW()=2,+qryGnattToDraws[[#This Row],[Price]],+qryGnattToDraws[[#This Row],[Price]]+J17)</f>
        <v>9660.7228849999992</v>
      </c>
      <c r="K18" s="188"/>
      <c r="L18" s="188">
        <f>IF(qryGnattToDraws[[#This Row],[Draws]]&gt;0,+K18*Profit!$B$43/24,0)</f>
        <v>0</v>
      </c>
      <c r="M18" s="188">
        <f>+qryGnattToDraws[[#This Row],[Interest]]+M17</f>
        <v>0</v>
      </c>
    </row>
    <row r="19" spans="1:13">
      <c r="A19">
        <v>32</v>
      </c>
      <c r="B19" t="s">
        <v>537</v>
      </c>
      <c r="C19" t="s">
        <v>537</v>
      </c>
      <c r="D19" t="s">
        <v>560</v>
      </c>
      <c r="F19"/>
      <c r="G19"/>
      <c r="H19" s="489">
        <f ca="1">+'Gnatt Chart'!R41</f>
        <v>46181</v>
      </c>
      <c r="I19">
        <f ca="1">_xlfn.DAYS(qryGnattToDraws[[#This Row],[Date]],$H$2)</f>
        <v>3</v>
      </c>
      <c r="J19" s="539">
        <f>IF(ROW()=2,+qryGnattToDraws[[#This Row],[Price]],+qryGnattToDraws[[#This Row],[Price]]+J18)</f>
        <v>9660.7228849999992</v>
      </c>
      <c r="L19" s="188">
        <f>IF(qryGnattToDraws[[#This Row],[Draws]]&gt;0,+K19*Profit!$B$43/24,0)</f>
        <v>0</v>
      </c>
      <c r="M19" s="188">
        <f>+qryGnattToDraws[[#This Row],[Interest]]+M18</f>
        <v>0</v>
      </c>
    </row>
    <row r="20" spans="1:13">
      <c r="A20">
        <v>33</v>
      </c>
      <c r="B20" t="s">
        <v>537</v>
      </c>
      <c r="C20" t="s">
        <v>537</v>
      </c>
      <c r="D20" t="s">
        <v>561</v>
      </c>
      <c r="F20"/>
      <c r="G20"/>
      <c r="H20" s="489">
        <f ca="1">+'Gnatt Chart'!R42</f>
        <v>46181</v>
      </c>
      <c r="I20">
        <f ca="1">_xlfn.DAYS(qryGnattToDraws[[#This Row],[Date]],$H$2)</f>
        <v>3</v>
      </c>
      <c r="J20" s="539">
        <f>IF(ROW()=2,+qryGnattToDraws[[#This Row],[Price]],+qryGnattToDraws[[#This Row],[Price]]+J19)</f>
        <v>9660.7228849999992</v>
      </c>
      <c r="L20" s="188">
        <f>IF(qryGnattToDraws[[#This Row],[Draws]]&gt;0,+K20*Profit!$B$43/24,0)</f>
        <v>0</v>
      </c>
      <c r="M20" s="188">
        <f>+qryGnattToDraws[[#This Row],[Interest]]+M19</f>
        <v>0</v>
      </c>
    </row>
    <row r="21" spans="1:13">
      <c r="A21">
        <v>61</v>
      </c>
      <c r="B21" t="s">
        <v>537</v>
      </c>
      <c r="C21" t="s">
        <v>537</v>
      </c>
      <c r="D21" t="s">
        <v>587</v>
      </c>
      <c r="F21"/>
      <c r="G21"/>
      <c r="H21" s="489">
        <f ca="1">+'Gnatt Chart'!R43</f>
        <v>46181</v>
      </c>
      <c r="I21">
        <f ca="1">_xlfn.DAYS(qryGnattToDraws[[#This Row],[Date]],$H$2)</f>
        <v>3</v>
      </c>
      <c r="J21" s="539">
        <f>IF(ROW()=2,+qryGnattToDraws[[#This Row],[Price]],+qryGnattToDraws[[#This Row],[Price]]+J20)</f>
        <v>9660.7228849999992</v>
      </c>
      <c r="K21" s="188"/>
      <c r="L21" s="188">
        <f>IF(qryGnattToDraws[[#This Row],[Draws]]&gt;0,+K21*Profit!$B$43/24,0)</f>
        <v>0</v>
      </c>
      <c r="M21" s="188">
        <f>+qryGnattToDraws[[#This Row],[Interest]]+M20</f>
        <v>0</v>
      </c>
    </row>
    <row r="22" spans="1:13">
      <c r="A22">
        <v>79</v>
      </c>
      <c r="B22" t="s">
        <v>537</v>
      </c>
      <c r="C22" t="s">
        <v>594</v>
      </c>
      <c r="D22" t="s">
        <v>603</v>
      </c>
      <c r="F22"/>
      <c r="G22"/>
      <c r="H22" s="489">
        <f ca="1">+'Gnatt Chart'!R44</f>
        <v>46181</v>
      </c>
      <c r="I22">
        <f ca="1">_xlfn.DAYS(qryGnattToDraws[[#This Row],[Date]],$H$2)</f>
        <v>3</v>
      </c>
      <c r="J22" s="539">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580</v>
      </c>
      <c r="C23" t="s">
        <v>583</v>
      </c>
      <c r="D23" t="s">
        <v>1252</v>
      </c>
      <c r="E23" s="188">
        <v>1000</v>
      </c>
      <c r="F23"/>
      <c r="G23"/>
      <c r="H23" s="489">
        <f ca="1">+'Gnatt Chart'!R45</f>
        <v>46181</v>
      </c>
      <c r="I23">
        <f ca="1">_xlfn.DAYS(qryGnattToDraws[[#This Row],[Date]],$H$2)</f>
        <v>3</v>
      </c>
      <c r="J23" s="539">
        <f>IF(ROW()=2,+qryGnattToDraws[[#This Row],[Price]],+qryGnattToDraws[[#This Row],[Price]]+J22)</f>
        <v>10660.722884999999</v>
      </c>
      <c r="L23" s="188">
        <f>IF(qryGnattToDraws[[#This Row],[Draws]]&gt;0,+K23*Profit!$B$43/24,0)</f>
        <v>0</v>
      </c>
      <c r="M23" s="188">
        <f>+qryGnattToDraws[[#This Row],[Interest]]+M22</f>
        <v>41.500855393479164</v>
      </c>
    </row>
    <row r="24" spans="1:13">
      <c r="A24">
        <v>83</v>
      </c>
      <c r="B24" t="s">
        <v>1275</v>
      </c>
      <c r="C24" t="s">
        <v>599</v>
      </c>
      <c r="D24" t="s">
        <v>1276</v>
      </c>
      <c r="E24" s="188">
        <v>687.5</v>
      </c>
      <c r="F24"/>
      <c r="G24"/>
      <c r="H24" s="489">
        <f ca="1">+'Gnatt Chart'!R46</f>
        <v>46181</v>
      </c>
      <c r="I24">
        <f ca="1">_xlfn.DAYS(qryGnattToDraws[[#This Row],[Date]],$H$2)</f>
        <v>3</v>
      </c>
      <c r="J24" s="539">
        <f>IF(ROW()=2,+qryGnattToDraws[[#This Row],[Price]],+qryGnattToDraws[[#This Row],[Price]]+J23)</f>
        <v>11348.222884999999</v>
      </c>
      <c r="L24" s="188">
        <f>IF(qryGnattToDraws[[#This Row],[Draws]]&gt;0,+K24*Profit!$B$43/24,0)</f>
        <v>0</v>
      </c>
      <c r="M24" s="188">
        <f>+qryGnattToDraws[[#This Row],[Interest]]+M23</f>
        <v>41.500855393479164</v>
      </c>
    </row>
    <row r="25" spans="1:13">
      <c r="A25">
        <v>82</v>
      </c>
      <c r="B25" t="s">
        <v>537</v>
      </c>
      <c r="C25" t="s">
        <v>599</v>
      </c>
      <c r="D25" t="s">
        <v>1251</v>
      </c>
      <c r="F25"/>
      <c r="G25"/>
      <c r="H25" s="489">
        <f ca="1">+'Gnatt Chart'!R47</f>
        <v>46181</v>
      </c>
      <c r="I25">
        <f ca="1">_xlfn.DAYS(qryGnattToDraws[[#This Row],[Date]],$H$2)</f>
        <v>3</v>
      </c>
      <c r="J25" s="539">
        <f>IF(ROW()=2,+qryGnattToDraws[[#This Row],[Price]],+qryGnattToDraws[[#This Row],[Price]]+J24)</f>
        <v>11348.222884999999</v>
      </c>
      <c r="L25" s="188">
        <f>IF(qryGnattToDraws[[#This Row],[Draws]]&gt;0,+K25*Profit!$B$43/24,0)</f>
        <v>0</v>
      </c>
      <c r="M25" s="188">
        <f>+qryGnattToDraws[[#This Row],[Interest]]+M24</f>
        <v>41.500855393479164</v>
      </c>
    </row>
    <row r="26" spans="1:13">
      <c r="A26">
        <v>903</v>
      </c>
      <c r="B26" t="s">
        <v>624</v>
      </c>
      <c r="C26" t="s">
        <v>541</v>
      </c>
      <c r="D26" t="s">
        <v>663</v>
      </c>
      <c r="E26" s="188">
        <v>210.10060500000003</v>
      </c>
      <c r="F26"/>
      <c r="G26"/>
      <c r="H26" s="489">
        <f ca="1">+'Gnatt Chart'!R48</f>
        <v>46181</v>
      </c>
      <c r="I26">
        <f ca="1">_xlfn.DAYS(qryGnattToDraws[[#This Row],[Date]],$H$2)</f>
        <v>3</v>
      </c>
      <c r="J26" s="539">
        <f>IF(ROW()=2,+qryGnattToDraws[[#This Row],[Price]],+qryGnattToDraws[[#This Row],[Price]]+J25)</f>
        <v>11558.323489999999</v>
      </c>
      <c r="L26" s="188">
        <f>IF(qryGnattToDraws[[#This Row],[Draws]]&gt;0,+K26*Profit!$B$43/24,0)</f>
        <v>0</v>
      </c>
      <c r="M26" s="188">
        <f>+qryGnattToDraws[[#This Row],[Interest]]+M25</f>
        <v>41.500855393479164</v>
      </c>
    </row>
    <row r="27" spans="1:13">
      <c r="A27">
        <v>40</v>
      </c>
      <c r="B27" t="s">
        <v>566</v>
      </c>
      <c r="C27" t="s">
        <v>567</v>
      </c>
      <c r="D27" t="s">
        <v>568</v>
      </c>
      <c r="F27"/>
      <c r="G27"/>
      <c r="H27" s="489">
        <f ca="1">+'Gnatt Chart'!R49</f>
        <v>46181</v>
      </c>
      <c r="I27">
        <f ca="1">_xlfn.DAYS(qryGnattToDraws[[#This Row],[Date]],$H$2)</f>
        <v>3</v>
      </c>
      <c r="J27" s="539">
        <f>IF(ROW()=2,+qryGnattToDraws[[#This Row],[Price]],+qryGnattToDraws[[#This Row],[Price]]+J26)</f>
        <v>11558.323489999999</v>
      </c>
      <c r="L27" s="188">
        <f>IF(qryGnattToDraws[[#This Row],[Draws]]&gt;0,+K27*Profit!$B$43/24,0)</f>
        <v>0</v>
      </c>
      <c r="M27" s="188">
        <f>+qryGnattToDraws[[#This Row],[Interest]]+M26</f>
        <v>41.500855393479164</v>
      </c>
    </row>
    <row r="28" spans="1:13">
      <c r="A28">
        <v>64</v>
      </c>
      <c r="B28" t="s">
        <v>566</v>
      </c>
      <c r="C28" t="s">
        <v>574</v>
      </c>
      <c r="D28" t="s">
        <v>590</v>
      </c>
      <c r="F28"/>
      <c r="G28"/>
      <c r="H28" s="489">
        <f ca="1">+'Gnatt Chart'!R50</f>
        <v>46181</v>
      </c>
      <c r="I28">
        <f ca="1">_xlfn.DAYS(qryGnattToDraws[[#This Row],[Date]],$H$2)</f>
        <v>3</v>
      </c>
      <c r="J28" s="539">
        <f>IF(ROW()=2,+qryGnattToDraws[[#This Row],[Price]],+qryGnattToDraws[[#This Row],[Price]]+J27)</f>
        <v>11558.323489999999</v>
      </c>
      <c r="L28" s="188">
        <f>IF(qryGnattToDraws[[#This Row],[Draws]]&gt;0,+K28*Profit!$B$43/24,0)</f>
        <v>0</v>
      </c>
      <c r="M28" s="188">
        <f>+qryGnattToDraws[[#This Row],[Interest]]+M27</f>
        <v>41.500855393479164</v>
      </c>
    </row>
    <row r="29" spans="1:13">
      <c r="A29">
        <v>60</v>
      </c>
      <c r="B29" t="s">
        <v>566</v>
      </c>
      <c r="C29" t="s">
        <v>574</v>
      </c>
      <c r="D29" t="s">
        <v>586</v>
      </c>
      <c r="F29"/>
      <c r="G29"/>
      <c r="H29" s="489">
        <f ca="1">+'Gnatt Chart'!R51</f>
        <v>46181</v>
      </c>
      <c r="I29">
        <f ca="1">_xlfn.DAYS(qryGnattToDraws[[#This Row],[Date]],$H$2)</f>
        <v>3</v>
      </c>
      <c r="J29" s="539">
        <f>IF(ROW()=2,+qryGnattToDraws[[#This Row],[Price]],+qryGnattToDraws[[#This Row],[Price]]+J28)</f>
        <v>11558.323489999999</v>
      </c>
      <c r="L29" s="188">
        <f>IF(qryGnattToDraws[[#This Row],[Draws]]&gt;0,+K29*Profit!$B$43/24,0)</f>
        <v>0</v>
      </c>
      <c r="M29" s="188">
        <f>+qryGnattToDraws[[#This Row],[Interest]]+M28</f>
        <v>41.500855393479164</v>
      </c>
    </row>
    <row r="30" spans="1:13">
      <c r="A30">
        <v>62</v>
      </c>
      <c r="B30" t="s">
        <v>566</v>
      </c>
      <c r="C30" t="s">
        <v>574</v>
      </c>
      <c r="D30" t="s">
        <v>588</v>
      </c>
      <c r="F30"/>
      <c r="G30"/>
      <c r="H30" s="489">
        <f ca="1">+'Gnatt Chart'!R52</f>
        <v>46181</v>
      </c>
      <c r="I30">
        <f ca="1">_xlfn.DAYS(qryGnattToDraws[[#This Row],[Date]],$H$2)</f>
        <v>3</v>
      </c>
      <c r="J30" s="539">
        <f>IF(ROW()=2,+qryGnattToDraws[[#This Row],[Price]],+qryGnattToDraws[[#This Row],[Price]]+J29)</f>
        <v>11558.323489999999</v>
      </c>
      <c r="L30" s="188">
        <f>IF(qryGnattToDraws[[#This Row],[Draws]]&gt;0,+K30*Profit!$B$43/24,0)</f>
        <v>0</v>
      </c>
      <c r="M30" s="188">
        <f>+qryGnattToDraws[[#This Row],[Interest]]+M29</f>
        <v>41.500855393479164</v>
      </c>
    </row>
    <row r="31" spans="1:13">
      <c r="A31">
        <v>75</v>
      </c>
      <c r="B31" t="s">
        <v>566</v>
      </c>
      <c r="C31" t="s">
        <v>574</v>
      </c>
      <c r="D31" t="s">
        <v>597</v>
      </c>
      <c r="F31"/>
      <c r="G31"/>
      <c r="H31" s="489">
        <f ca="1">+'Gnatt Chart'!R53</f>
        <v>46181</v>
      </c>
      <c r="I31">
        <f ca="1">_xlfn.DAYS(qryGnattToDraws[[#This Row],[Date]],$H$2)</f>
        <v>3</v>
      </c>
      <c r="J31" s="539">
        <f>IF(ROW()=2,+qryGnattToDraws[[#This Row],[Price]],+qryGnattToDraws[[#This Row],[Price]]+J30)</f>
        <v>11558.323489999999</v>
      </c>
      <c r="L31" s="188">
        <f>IF(qryGnattToDraws[[#This Row],[Draws]]&gt;0,+K31*Profit!$B$43/24,0)</f>
        <v>0</v>
      </c>
      <c r="M31" s="188">
        <f>+qryGnattToDraws[[#This Row],[Interest]]+M30</f>
        <v>41.500855393479164</v>
      </c>
    </row>
    <row r="32" spans="1:13">
      <c r="A32">
        <v>52</v>
      </c>
      <c r="B32" t="s">
        <v>566</v>
      </c>
      <c r="C32" t="s">
        <v>574</v>
      </c>
      <c r="D32" t="s">
        <v>577</v>
      </c>
      <c r="F32"/>
      <c r="G32"/>
      <c r="H32" s="489">
        <f ca="1">+'Gnatt Chart'!R54</f>
        <v>46181</v>
      </c>
      <c r="I32">
        <f ca="1">_xlfn.DAYS(qryGnattToDraws[[#This Row],[Date]],$H$2)</f>
        <v>3</v>
      </c>
      <c r="J32" s="539">
        <f>IF(ROW()=2,+qryGnattToDraws[[#This Row],[Price]],+qryGnattToDraws[[#This Row],[Price]]+J31)</f>
        <v>11558.323489999999</v>
      </c>
      <c r="L32" s="188">
        <f>IF(qryGnattToDraws[[#This Row],[Draws]]&gt;0,+K32*Profit!$B$43/24,0)</f>
        <v>0</v>
      </c>
      <c r="M32" s="188">
        <f>+qryGnattToDraws[[#This Row],[Interest]]+M31</f>
        <v>41.500855393479164</v>
      </c>
    </row>
    <row r="33" spans="1:13">
      <c r="A33">
        <v>50</v>
      </c>
      <c r="B33" t="s">
        <v>566</v>
      </c>
      <c r="C33" t="s">
        <v>574</v>
      </c>
      <c r="D33" t="s">
        <v>575</v>
      </c>
      <c r="F33"/>
      <c r="G33"/>
      <c r="H33" s="489">
        <f ca="1">+'Gnatt Chart'!R55</f>
        <v>46181</v>
      </c>
      <c r="I33">
        <f ca="1">_xlfn.DAYS(qryGnattToDraws[[#This Row],[Date]],$H$2)</f>
        <v>3</v>
      </c>
      <c r="J33" s="539">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625</v>
      </c>
      <c r="C34" t="s">
        <v>557</v>
      </c>
      <c r="D34" t="s">
        <v>664</v>
      </c>
      <c r="E34" s="188">
        <v>150</v>
      </c>
      <c r="F34"/>
      <c r="G34"/>
      <c r="H34" s="489">
        <f ca="1">+'Gnatt Chart'!R56</f>
        <v>46181</v>
      </c>
      <c r="I34">
        <f ca="1">_xlfn.DAYS(qryGnattToDraws[[#This Row],[Date]],$H$2)</f>
        <v>3</v>
      </c>
      <c r="J34" s="539">
        <f>IF(ROW()=2,+qryGnattToDraws[[#This Row],[Price]],+qryGnattToDraws[[#This Row],[Price]]+J33)</f>
        <v>11708.323489999999</v>
      </c>
      <c r="L34" s="188">
        <f>IF(qryGnattToDraws[[#This Row],[Draws]]&gt;0,+K34*Profit!$B$43/24,0)</f>
        <v>0</v>
      </c>
      <c r="M34" s="188">
        <f>+qryGnattToDraws[[#This Row],[Interest]]+M33</f>
        <v>41.500855393479164</v>
      </c>
    </row>
    <row r="35" spans="1:13">
      <c r="A35">
        <v>907</v>
      </c>
      <c r="B35" t="s">
        <v>624</v>
      </c>
      <c r="C35" t="s">
        <v>531</v>
      </c>
      <c r="D35" t="s">
        <v>665</v>
      </c>
      <c r="E35" s="188">
        <v>0</v>
      </c>
      <c r="F35"/>
      <c r="G35"/>
      <c r="H35" s="489">
        <f ca="1">+'Gnatt Chart'!R57</f>
        <v>46181</v>
      </c>
      <c r="I35">
        <f ca="1">_xlfn.DAYS(qryGnattToDraws[[#This Row],[Date]],$H$2)</f>
        <v>3</v>
      </c>
      <c r="J35" s="539">
        <f>IF(ROW()=2,+qryGnattToDraws[[#This Row],[Price]],+qryGnattToDraws[[#This Row],[Price]]+J34)</f>
        <v>11708.323489999999</v>
      </c>
      <c r="L35" s="188">
        <f>IF(qryGnattToDraws[[#This Row],[Draws]]&gt;0,+K35*Profit!$B$43/24,0)</f>
        <v>0</v>
      </c>
      <c r="M35" s="188">
        <f>+qryGnattToDraws[[#This Row],[Interest]]+M34</f>
        <v>41.500855393479164</v>
      </c>
    </row>
    <row r="36" spans="1:13">
      <c r="A36">
        <v>53</v>
      </c>
      <c r="B36" t="s">
        <v>531</v>
      </c>
      <c r="C36" t="s">
        <v>578</v>
      </c>
      <c r="D36" t="s">
        <v>579</v>
      </c>
      <c r="F36"/>
      <c r="G36"/>
      <c r="H36" s="489">
        <f ca="1">+'Gnatt Chart'!R58</f>
        <v>46181</v>
      </c>
      <c r="I36">
        <f ca="1">_xlfn.DAYS(qryGnattToDraws[[#This Row],[Date]],$H$2)</f>
        <v>3</v>
      </c>
      <c r="J36" s="539">
        <f>IF(ROW()=2,+qryGnattToDraws[[#This Row],[Price]],+qryGnattToDraws[[#This Row],[Price]]+J35)</f>
        <v>11708.323489999999</v>
      </c>
      <c r="L36" s="188">
        <f>IF(qryGnattToDraws[[#This Row],[Draws]]&gt;0,+K36*Profit!$B$43/24,0)</f>
        <v>0</v>
      </c>
      <c r="M36" s="188">
        <f>+qryGnattToDraws[[#This Row],[Interest]]+M35</f>
        <v>41.500855393479164</v>
      </c>
    </row>
    <row r="37" spans="1:13">
      <c r="A37">
        <v>31</v>
      </c>
      <c r="B37" t="s">
        <v>557</v>
      </c>
      <c r="C37" t="s">
        <v>557</v>
      </c>
      <c r="D37" t="s">
        <v>558</v>
      </c>
      <c r="F37"/>
      <c r="G37"/>
      <c r="H37" s="489">
        <f ca="1">+'Gnatt Chart'!R59</f>
        <v>46181</v>
      </c>
      <c r="I37">
        <f ca="1">_xlfn.DAYS(qryGnattToDraws[[#This Row],[Date]],$H$2)</f>
        <v>3</v>
      </c>
      <c r="J37" s="539">
        <f>IF(ROW()=2,+qryGnattToDraws[[#This Row],[Price]],+qryGnattToDraws[[#This Row],[Price]]+J36)</f>
        <v>11708.323489999999</v>
      </c>
      <c r="L37" s="188">
        <f>IF(qryGnattToDraws[[#This Row],[Draws]]&gt;0,+K37*Profit!$B$43/24,0)</f>
        <v>0</v>
      </c>
      <c r="M37" s="188">
        <f>+qryGnattToDraws[[#This Row],[Interest]]+M36</f>
        <v>41.500855393479164</v>
      </c>
    </row>
    <row r="38" spans="1:13">
      <c r="A38">
        <v>71</v>
      </c>
      <c r="B38" t="s">
        <v>531</v>
      </c>
      <c r="C38" t="s">
        <v>594</v>
      </c>
      <c r="D38" t="s">
        <v>596</v>
      </c>
      <c r="F38"/>
      <c r="G38"/>
      <c r="H38" s="489">
        <f ca="1">+'Gnatt Chart'!R60</f>
        <v>46181</v>
      </c>
      <c r="I38">
        <f ca="1">_xlfn.DAYS(qryGnattToDraws[[#This Row],[Date]],$H$2)</f>
        <v>3</v>
      </c>
      <c r="J38" s="539">
        <f>IF(ROW()=2,+qryGnattToDraws[[#This Row],[Price]],+qryGnattToDraws[[#This Row],[Price]]+J37)</f>
        <v>11708.323489999999</v>
      </c>
      <c r="L38" s="188">
        <f>IF(qryGnattToDraws[[#This Row],[Draws]]&gt;0,+K38*Profit!$B$43/24,0)</f>
        <v>0</v>
      </c>
      <c r="M38" s="188">
        <f>+qryGnattToDraws[[#This Row],[Interest]]+M37</f>
        <v>41.500855393479164</v>
      </c>
    </row>
    <row r="39" spans="1:13">
      <c r="A39">
        <v>78</v>
      </c>
      <c r="B39" t="s">
        <v>591</v>
      </c>
      <c r="C39" t="s">
        <v>601</v>
      </c>
      <c r="D39" t="s">
        <v>602</v>
      </c>
      <c r="F39"/>
      <c r="G39"/>
      <c r="H39" s="489">
        <f ca="1">+'Gnatt Chart'!R61</f>
        <v>46181</v>
      </c>
      <c r="I39">
        <f ca="1">_xlfn.DAYS(qryGnattToDraws[[#This Row],[Date]],$H$2)</f>
        <v>3</v>
      </c>
      <c r="J39" s="539">
        <f>IF(ROW()=2,+qryGnattToDraws[[#This Row],[Price]],+qryGnattToDraws[[#This Row],[Price]]+J38)</f>
        <v>11708.323489999999</v>
      </c>
      <c r="L39" s="188">
        <f>IF(qryGnattToDraws[[#This Row],[Draws]]&gt;0,+K39*Profit!$B$43/24,0)</f>
        <v>0</v>
      </c>
      <c r="M39" s="188">
        <f>+qryGnattToDraws[[#This Row],[Interest]]+M38</f>
        <v>41.500855393479164</v>
      </c>
    </row>
    <row r="40" spans="1:13">
      <c r="A40">
        <v>902</v>
      </c>
      <c r="B40" t="s">
        <v>624</v>
      </c>
      <c r="C40" t="s">
        <v>520</v>
      </c>
      <c r="D40" t="s">
        <v>666</v>
      </c>
      <c r="E40" s="188">
        <v>44.58382499999999</v>
      </c>
      <c r="F40"/>
      <c r="G40"/>
      <c r="H40" s="489">
        <f ca="1">+'Gnatt Chart'!R62</f>
        <v>46181</v>
      </c>
      <c r="I40">
        <f ca="1">_xlfn.DAYS(qryGnattToDraws[[#This Row],[Date]],$H$2)</f>
        <v>3</v>
      </c>
      <c r="J40" s="539">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591</v>
      </c>
      <c r="C41" t="s">
        <v>592</v>
      </c>
      <c r="D41" t="s">
        <v>593</v>
      </c>
      <c r="F41"/>
      <c r="G41"/>
      <c r="H41" s="489">
        <f ca="1">+'Gnatt Chart'!R63</f>
        <v>46181</v>
      </c>
      <c r="I41">
        <f ca="1">_xlfn.DAYS(qryGnattToDraws[[#This Row],[Date]],$H$2)</f>
        <v>3</v>
      </c>
      <c r="J41" s="539">
        <f>IF(ROW()=2,+qryGnattToDraws[[#This Row],[Price]],+qryGnattToDraws[[#This Row],[Price]]+J40)</f>
        <v>11752.907314999999</v>
      </c>
      <c r="L41" s="188">
        <f>IF(qryGnattToDraws[[#This Row],[Draws]]&gt;0,+K41*Profit!$B$43/24,0)</f>
        <v>0</v>
      </c>
      <c r="M41" s="188">
        <f>+qryGnattToDraws[[#This Row],[Interest]]+M40</f>
        <v>41.500855393479164</v>
      </c>
    </row>
    <row r="42" spans="1:13">
      <c r="A42">
        <v>70</v>
      </c>
      <c r="B42" t="s">
        <v>591</v>
      </c>
      <c r="C42" t="s">
        <v>594</v>
      </c>
      <c r="D42" t="s">
        <v>595</v>
      </c>
      <c r="F42"/>
      <c r="G42"/>
      <c r="H42" s="489">
        <f ca="1">+'Gnatt Chart'!R64</f>
        <v>46181</v>
      </c>
      <c r="I42">
        <f ca="1">_xlfn.DAYS(qryGnattToDraws[[#This Row],[Date]],$H$2)</f>
        <v>3</v>
      </c>
      <c r="J42" s="539">
        <f>IF(ROW()=2,+qryGnattToDraws[[#This Row],[Price]],+qryGnattToDraws[[#This Row],[Price]]+J41)</f>
        <v>11752.907314999999</v>
      </c>
      <c r="L42" s="188">
        <f>IF(qryGnattToDraws[[#This Row],[Draws]]&gt;0,+K42*Profit!$B$43/24,0)</f>
        <v>0</v>
      </c>
      <c r="M42" s="188">
        <f>+qryGnattToDraws[[#This Row],[Interest]]+M41</f>
        <v>41.500855393479164</v>
      </c>
    </row>
    <row r="43" spans="1:13">
      <c r="A43">
        <v>63</v>
      </c>
      <c r="B43" t="s">
        <v>532</v>
      </c>
      <c r="C43" t="s">
        <v>532</v>
      </c>
      <c r="D43" t="s">
        <v>589</v>
      </c>
      <c r="F43"/>
      <c r="G43"/>
      <c r="H43" s="489">
        <f ca="1">+'Gnatt Chart'!R65</f>
        <v>46181</v>
      </c>
      <c r="I43">
        <f ca="1">_xlfn.DAYS(qryGnattToDraws[[#This Row],[Date]],$H$2)</f>
        <v>3</v>
      </c>
      <c r="J43" s="539">
        <f>IF(ROW()=2,+qryGnattToDraws[[#This Row],[Price]],+qryGnattToDraws[[#This Row],[Price]]+J42)</f>
        <v>11752.907314999999</v>
      </c>
      <c r="L43" s="188">
        <f>IF(qryGnattToDraws[[#This Row],[Draws]]&gt;0,+K43*Profit!$B$43/24,0)</f>
        <v>0</v>
      </c>
      <c r="M43" s="188">
        <f>+qryGnattToDraws[[#This Row],[Interest]]+M42</f>
        <v>41.500855393479164</v>
      </c>
    </row>
    <row r="44" spans="1:13">
      <c r="A44">
        <v>911</v>
      </c>
      <c r="B44" t="s">
        <v>624</v>
      </c>
      <c r="C44" t="s">
        <v>532</v>
      </c>
      <c r="D44" t="s">
        <v>668</v>
      </c>
      <c r="E44" s="188">
        <v>8621</v>
      </c>
      <c r="F44"/>
      <c r="G44"/>
      <c r="H44" s="489">
        <f ca="1">+'Gnatt Chart'!R66</f>
        <v>46181</v>
      </c>
      <c r="I44">
        <f ca="1">_xlfn.DAYS(qryGnattToDraws[[#This Row],[Date]],$H$2)</f>
        <v>3</v>
      </c>
      <c r="J44" s="539">
        <f>IF(ROW()=2,+qryGnattToDraws[[#This Row],[Price]],+qryGnattToDraws[[#This Row],[Price]]+J43)</f>
        <v>20373.907314999997</v>
      </c>
      <c r="L44" s="188">
        <f>IF(qryGnattToDraws[[#This Row],[Draws]]&gt;0,+K44*Profit!$B$43/24,0)</f>
        <v>0</v>
      </c>
      <c r="M44" s="188">
        <f>+qryGnattToDraws[[#This Row],[Interest]]+M43</f>
        <v>41.500855393479164</v>
      </c>
    </row>
    <row r="45" spans="1:13">
      <c r="A45">
        <v>906</v>
      </c>
      <c r="B45" t="s">
        <v>625</v>
      </c>
      <c r="C45" t="s">
        <v>669</v>
      </c>
      <c r="D45" t="s">
        <v>670</v>
      </c>
      <c r="E45" s="188">
        <v>5905.82</v>
      </c>
      <c r="F45"/>
      <c r="G45"/>
      <c r="H45" s="489">
        <f ca="1">+'Gnatt Chart'!R67</f>
        <v>46181</v>
      </c>
      <c r="I45">
        <f ca="1">_xlfn.DAYS(qryGnattToDraws[[#This Row],[Date]],$H$2)</f>
        <v>3</v>
      </c>
      <c r="J45" s="539">
        <f>IF(ROW()=2,+qryGnattToDraws[[#This Row],[Price]],+qryGnattToDraws[[#This Row],[Price]]+J44)</f>
        <v>26279.727314999996</v>
      </c>
      <c r="L45" s="188">
        <f>IF(qryGnattToDraws[[#This Row],[Draws]]&gt;0,+K45*Profit!$B$43/24,0)</f>
        <v>0</v>
      </c>
      <c r="M45" s="188">
        <f>+qryGnattToDraws[[#This Row],[Interest]]+M44</f>
        <v>41.500855393479164</v>
      </c>
    </row>
    <row r="46" spans="1:13">
      <c r="A46">
        <v>905</v>
      </c>
      <c r="B46" t="s">
        <v>625</v>
      </c>
      <c r="C46" t="s">
        <v>547</v>
      </c>
      <c r="D46" t="s">
        <v>671</v>
      </c>
      <c r="E46" s="188">
        <v>8333.2037</v>
      </c>
      <c r="F46"/>
      <c r="G46"/>
      <c r="H46" s="489">
        <f ca="1">+'Gnatt Chart'!R68</f>
        <v>46181</v>
      </c>
      <c r="I46">
        <f ca="1">_xlfn.DAYS(qryGnattToDraws[[#This Row],[Date]],$H$2)</f>
        <v>3</v>
      </c>
      <c r="J46" s="539">
        <f>IF(ROW()=2,+qryGnattToDraws[[#This Row],[Price]],+qryGnattToDraws[[#This Row],[Price]]+J45)</f>
        <v>34612.931014999995</v>
      </c>
      <c r="L46" s="188">
        <f>IF(qryGnattToDraws[[#This Row],[Draws]]&gt;0,+K46*Profit!$B$43/24,0)</f>
        <v>0</v>
      </c>
      <c r="M46" s="188">
        <f>+qryGnattToDraws[[#This Row],[Interest]]+M45</f>
        <v>41.500855393479164</v>
      </c>
    </row>
    <row r="47" spans="1:13">
      <c r="A47">
        <v>48</v>
      </c>
      <c r="B47" t="s">
        <v>570</v>
      </c>
      <c r="C47" t="s">
        <v>571</v>
      </c>
      <c r="D47" t="s">
        <v>572</v>
      </c>
      <c r="F47"/>
      <c r="G47"/>
      <c r="H47" s="489">
        <f ca="1">+'Gnatt Chart'!R69</f>
        <v>46181</v>
      </c>
      <c r="I47">
        <f ca="1">_xlfn.DAYS(qryGnattToDraws[[#This Row],[Date]],$H$2)</f>
        <v>3</v>
      </c>
      <c r="J47" s="539">
        <f>IF(ROW()=2,+qryGnattToDraws[[#This Row],[Price]],+qryGnattToDraws[[#This Row],[Price]]+J46)</f>
        <v>34612.931014999995</v>
      </c>
      <c r="L47" s="188">
        <f>IF(qryGnattToDraws[[#This Row],[Draws]]&gt;0,+K47*Profit!$B$43/24,0)</f>
        <v>0</v>
      </c>
      <c r="M47" s="188">
        <f>+qryGnattToDraws[[#This Row],[Interest]]+M46</f>
        <v>41.500855393479164</v>
      </c>
    </row>
    <row r="48" spans="1:13">
      <c r="A48">
        <v>909</v>
      </c>
      <c r="B48" t="s">
        <v>624</v>
      </c>
      <c r="C48" t="s">
        <v>555</v>
      </c>
      <c r="D48" t="s">
        <v>672</v>
      </c>
      <c r="E48" s="188">
        <v>0</v>
      </c>
      <c r="F48"/>
      <c r="G48"/>
      <c r="H48" s="489">
        <f ca="1">+'Gnatt Chart'!R70</f>
        <v>46181</v>
      </c>
      <c r="I48">
        <f ca="1">_xlfn.DAYS(qryGnattToDraws[[#This Row],[Date]],$H$2)</f>
        <v>3</v>
      </c>
      <c r="J48" s="539">
        <f>IF(ROW()=2,+qryGnattToDraws[[#This Row],[Price]],+qryGnattToDraws[[#This Row],[Price]]+J47)</f>
        <v>34612.931014999995</v>
      </c>
      <c r="L48" s="188">
        <f>IF(qryGnattToDraws[[#This Row],[Draws]]&gt;0,+K48*Profit!$B$43/24,0)</f>
        <v>0</v>
      </c>
      <c r="M48" s="188">
        <f>+qryGnattToDraws[[#This Row],[Interest]]+M47</f>
        <v>41.500855393479164</v>
      </c>
    </row>
    <row r="49" spans="1:13">
      <c r="A49">
        <v>910</v>
      </c>
      <c r="B49" t="s">
        <v>625</v>
      </c>
      <c r="C49" t="s">
        <v>673</v>
      </c>
      <c r="D49" t="s">
        <v>674</v>
      </c>
      <c r="E49" s="188">
        <v>270</v>
      </c>
      <c r="F49"/>
      <c r="G49"/>
      <c r="H49" s="489">
        <f ca="1">+'Gnatt Chart'!R71</f>
        <v>46181</v>
      </c>
      <c r="I49">
        <f ca="1">_xlfn.DAYS(qryGnattToDraws[[#This Row],[Date]],$H$2)</f>
        <v>3</v>
      </c>
      <c r="J49" s="541">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763</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764</v>
      </c>
    </row>
    <row r="2" spans="1:11">
      <c r="I2" s="788" t="s">
        <v>9</v>
      </c>
      <c r="J2" s="788" t="str">
        <f>IF(Profit!$Q$6,IF(K2,"Yes","No"),"No")</f>
        <v>Yes</v>
      </c>
      <c r="K2" s="790" t="b">
        <v>1</v>
      </c>
    </row>
    <row r="3" spans="1:11" s="3" customFormat="1" ht="15.75" thickBot="1">
      <c r="A3" s="3" t="s">
        <v>765</v>
      </c>
      <c r="B3" s="3" t="s">
        <v>109</v>
      </c>
      <c r="C3" s="13" t="s">
        <v>766</v>
      </c>
      <c r="D3" s="3" t="s">
        <v>767</v>
      </c>
      <c r="E3" s="13" t="s">
        <v>768</v>
      </c>
      <c r="F3" s="3" t="s">
        <v>769</v>
      </c>
      <c r="I3" s="789"/>
      <c r="J3" s="789"/>
      <c r="K3" s="791"/>
    </row>
    <row r="4" spans="1:11" s="3" customFormat="1">
      <c r="C4" s="13"/>
      <c r="E4" s="13"/>
    </row>
    <row r="5" spans="1:11" s="3" customFormat="1">
      <c r="A5" s="326" t="s">
        <v>770</v>
      </c>
      <c r="B5" s="329">
        <v>45316</v>
      </c>
      <c r="C5" s="456"/>
      <c r="D5" s="327">
        <v>2</v>
      </c>
      <c r="E5" s="328">
        <v>35</v>
      </c>
      <c r="F5" s="328">
        <f>+D5*E5</f>
        <v>70</v>
      </c>
    </row>
    <row r="6" spans="1:11" s="3" customFormat="1">
      <c r="A6" s="326" t="s">
        <v>771</v>
      </c>
      <c r="B6" s="329"/>
      <c r="C6" s="456"/>
      <c r="D6" s="327">
        <v>1</v>
      </c>
      <c r="E6" s="328">
        <v>750</v>
      </c>
      <c r="F6" s="328">
        <f t="shared" ref="F6:F8" si="0">+D6*E6</f>
        <v>750</v>
      </c>
    </row>
    <row r="7" spans="1:11" s="3" customFormat="1">
      <c r="A7" s="326" t="s">
        <v>772</v>
      </c>
      <c r="B7" s="329"/>
      <c r="C7" s="456"/>
      <c r="D7" s="327">
        <v>1</v>
      </c>
      <c r="E7" s="328">
        <v>800</v>
      </c>
      <c r="F7" s="328">
        <f t="shared" si="0"/>
        <v>800</v>
      </c>
    </row>
    <row r="8" spans="1:11" s="3" customFormat="1">
      <c r="A8" s="326" t="s">
        <v>773</v>
      </c>
      <c r="B8" s="329"/>
      <c r="C8" s="456"/>
      <c r="D8" s="457">
        <v>1.7500000000000002E-2</v>
      </c>
      <c r="E8" s="328">
        <f>+Profit!$B$44</f>
        <v>0</v>
      </c>
      <c r="F8" s="328">
        <f t="shared" si="0"/>
        <v>0</v>
      </c>
    </row>
    <row r="9" spans="1:11" s="3" customFormat="1">
      <c r="A9" s="326" t="s">
        <v>774</v>
      </c>
      <c r="B9" s="329"/>
      <c r="C9" s="456"/>
      <c r="D9" s="327">
        <v>1</v>
      </c>
      <c r="E9" s="328">
        <v>995</v>
      </c>
      <c r="F9" s="328">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770</v>
      </c>
      <c r="B13" s="12">
        <v>45316</v>
      </c>
      <c r="C13" s="207"/>
      <c r="D13">
        <v>0</v>
      </c>
      <c r="E13" s="14">
        <v>35</v>
      </c>
      <c r="F13" s="14">
        <f t="shared" si="1"/>
        <v>0</v>
      </c>
      <c r="G13"/>
      <c r="H13" s="3"/>
      <c r="I13" s="3"/>
    </row>
    <row r="14" spans="1:11">
      <c r="A14" s="2" t="s">
        <v>770</v>
      </c>
      <c r="B14" s="12">
        <v>45322</v>
      </c>
      <c r="C14" s="207"/>
      <c r="D14">
        <v>0</v>
      </c>
      <c r="E14" s="14">
        <v>55</v>
      </c>
      <c r="F14" s="14">
        <f t="shared" si="1"/>
        <v>0</v>
      </c>
    </row>
    <row r="15" spans="1:11">
      <c r="A15" s="2" t="s">
        <v>775</v>
      </c>
      <c r="B15" s="12"/>
      <c r="C15" s="207"/>
      <c r="D15">
        <v>0</v>
      </c>
      <c r="E15" s="14"/>
      <c r="F15" s="14">
        <f t="shared" si="1"/>
        <v>0</v>
      </c>
    </row>
    <row r="16" spans="1:11">
      <c r="A16" s="2" t="s">
        <v>776</v>
      </c>
      <c r="B16" s="12">
        <v>45315</v>
      </c>
      <c r="C16" s="207"/>
      <c r="D16">
        <v>0</v>
      </c>
      <c r="E16" s="14">
        <v>201.25</v>
      </c>
      <c r="F16" s="14">
        <f>+D16*E16</f>
        <v>0</v>
      </c>
    </row>
    <row r="17" spans="1:10">
      <c r="A17" s="2" t="s">
        <v>777</v>
      </c>
      <c r="B17" s="12">
        <v>45322</v>
      </c>
      <c r="C17" s="207"/>
      <c r="D17">
        <v>0</v>
      </c>
      <c r="E17" s="14">
        <v>46</v>
      </c>
      <c r="F17" s="14">
        <f>+D17*E17</f>
        <v>0</v>
      </c>
    </row>
    <row r="18" spans="1:10">
      <c r="A18" s="2" t="s">
        <v>778</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87"/>
      <c r="D31" s="564"/>
      <c r="E31" s="564"/>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779</v>
      </c>
      <c r="B1" s="7" t="s">
        <v>780</v>
      </c>
    </row>
    <row r="2" spans="1:5">
      <c r="A2" s="3" t="s">
        <v>781</v>
      </c>
      <c r="B2" s="6"/>
      <c r="C2" s="4"/>
    </row>
    <row r="4" spans="1:5">
      <c r="A4" s="2" t="s">
        <v>782</v>
      </c>
      <c r="B4" s="1">
        <v>0</v>
      </c>
      <c r="C4" s="1">
        <v>0</v>
      </c>
    </row>
    <row r="5" spans="1:5">
      <c r="A5" s="2" t="s">
        <v>783</v>
      </c>
      <c r="B5" s="1">
        <v>33</v>
      </c>
      <c r="C5"/>
      <c r="D5" s="1"/>
    </row>
    <row r="6" spans="1:5" ht="15.75" thickBot="1">
      <c r="A6" s="2" t="s">
        <v>784</v>
      </c>
      <c r="B6" s="20">
        <v>0</v>
      </c>
      <c r="C6" s="20">
        <f>B5*B6</f>
        <v>0</v>
      </c>
      <c r="D6" s="29"/>
    </row>
    <row r="7" spans="1:5">
      <c r="C7" s="9" t="s">
        <v>785</v>
      </c>
      <c r="D7" s="1">
        <f>SUM(C4:C6)</f>
        <v>0</v>
      </c>
    </row>
    <row r="8" spans="1:5">
      <c r="D8" s="1"/>
    </row>
    <row r="10" spans="1:5" ht="15.75" thickBot="1">
      <c r="D10" s="29"/>
    </row>
    <row r="11" spans="1:5">
      <c r="D11" s="30" t="s">
        <v>786</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787</v>
      </c>
    </row>
    <row r="2" spans="1:7" s="3" customFormat="1">
      <c r="B2" s="3" t="s">
        <v>788</v>
      </c>
      <c r="C2" s="3" t="s">
        <v>789</v>
      </c>
      <c r="D2" s="8" t="s">
        <v>790</v>
      </c>
      <c r="E2" s="3" t="s">
        <v>791</v>
      </c>
      <c r="F2" s="8" t="s">
        <v>504</v>
      </c>
      <c r="G2" s="3" t="s">
        <v>792</v>
      </c>
    </row>
    <row r="3" spans="1:7">
      <c r="A3" s="116" t="s">
        <v>793</v>
      </c>
      <c r="B3" s="116"/>
      <c r="C3" s="117">
        <v>0</v>
      </c>
      <c r="D3" s="118">
        <v>0</v>
      </c>
      <c r="E3">
        <f>+C3*D3</f>
        <v>0</v>
      </c>
      <c r="F3" s="26">
        <f t="shared" ref="F3:F44" si="0">+E3*0.0725</f>
        <v>0</v>
      </c>
    </row>
    <row r="4" spans="1:7">
      <c r="A4" s="116" t="s">
        <v>794</v>
      </c>
      <c r="B4" s="116"/>
      <c r="C4" s="117">
        <v>0</v>
      </c>
      <c r="D4" s="118">
        <v>0</v>
      </c>
      <c r="E4">
        <f t="shared" ref="E4:E61" si="1">+C4*D4</f>
        <v>0</v>
      </c>
      <c r="F4" s="26">
        <f t="shared" si="0"/>
        <v>0</v>
      </c>
    </row>
    <row r="5" spans="1:7">
      <c r="A5" s="116" t="s">
        <v>795</v>
      </c>
      <c r="B5" s="116"/>
      <c r="C5" s="117">
        <v>0</v>
      </c>
      <c r="D5" s="118">
        <v>0</v>
      </c>
      <c r="E5">
        <f t="shared" si="1"/>
        <v>0</v>
      </c>
      <c r="F5" s="26">
        <f t="shared" si="0"/>
        <v>0</v>
      </c>
    </row>
    <row r="6" spans="1:7">
      <c r="A6" s="116" t="s">
        <v>796</v>
      </c>
      <c r="B6" s="116"/>
      <c r="C6" s="117">
        <v>0</v>
      </c>
      <c r="D6" s="118">
        <v>0</v>
      </c>
      <c r="E6">
        <f t="shared" si="1"/>
        <v>0</v>
      </c>
      <c r="F6" s="26">
        <f t="shared" si="0"/>
        <v>0</v>
      </c>
    </row>
    <row r="7" spans="1:7">
      <c r="A7" s="116" t="s">
        <v>797</v>
      </c>
      <c r="B7" s="116"/>
      <c r="C7" s="117">
        <v>0</v>
      </c>
      <c r="D7" s="118">
        <v>0</v>
      </c>
      <c r="E7">
        <f t="shared" si="1"/>
        <v>0</v>
      </c>
      <c r="F7" s="26">
        <f t="shared" si="0"/>
        <v>0</v>
      </c>
    </row>
    <row r="8" spans="1:7">
      <c r="A8" s="116" t="s">
        <v>798</v>
      </c>
      <c r="B8" s="116"/>
      <c r="C8" s="117">
        <v>0</v>
      </c>
      <c r="D8" s="118">
        <v>0</v>
      </c>
      <c r="E8">
        <f t="shared" si="1"/>
        <v>0</v>
      </c>
      <c r="F8" s="26">
        <f t="shared" si="0"/>
        <v>0</v>
      </c>
    </row>
    <row r="9" spans="1:7">
      <c r="A9" s="116" t="s">
        <v>799</v>
      </c>
      <c r="B9" s="116"/>
      <c r="C9" s="117">
        <v>0</v>
      </c>
      <c r="D9" s="118">
        <v>0</v>
      </c>
      <c r="E9">
        <f t="shared" si="1"/>
        <v>0</v>
      </c>
      <c r="F9" s="26">
        <f t="shared" si="0"/>
        <v>0</v>
      </c>
    </row>
    <row r="10" spans="1:7">
      <c r="A10" s="116" t="s">
        <v>319</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800</v>
      </c>
      <c r="B12" s="116"/>
      <c r="C12" s="117">
        <v>0</v>
      </c>
      <c r="D12" s="118">
        <v>0</v>
      </c>
      <c r="E12">
        <f t="shared" si="1"/>
        <v>0</v>
      </c>
      <c r="F12" s="26">
        <f t="shared" si="0"/>
        <v>0</v>
      </c>
    </row>
    <row r="13" spans="1:7">
      <c r="A13" s="116" t="s">
        <v>801</v>
      </c>
      <c r="B13" s="116"/>
      <c r="C13" s="117">
        <v>0</v>
      </c>
      <c r="D13" s="118">
        <v>0</v>
      </c>
      <c r="E13">
        <f t="shared" si="1"/>
        <v>0</v>
      </c>
      <c r="F13" s="26">
        <f t="shared" si="0"/>
        <v>0</v>
      </c>
    </row>
    <row r="14" spans="1:7">
      <c r="A14" s="116" t="s">
        <v>802</v>
      </c>
      <c r="B14" s="116"/>
      <c r="C14" s="117">
        <v>0</v>
      </c>
      <c r="D14" s="118">
        <v>0</v>
      </c>
      <c r="E14">
        <f t="shared" si="1"/>
        <v>0</v>
      </c>
      <c r="F14" s="26">
        <f t="shared" si="0"/>
        <v>0</v>
      </c>
    </row>
    <row r="15" spans="1:7">
      <c r="A15" s="116" t="s">
        <v>803</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804</v>
      </c>
      <c r="B17" s="116"/>
      <c r="C17" s="117">
        <v>0</v>
      </c>
      <c r="D17" s="118">
        <v>0</v>
      </c>
      <c r="E17">
        <f t="shared" si="1"/>
        <v>0</v>
      </c>
      <c r="F17" s="26">
        <f t="shared" si="0"/>
        <v>0</v>
      </c>
    </row>
    <row r="18" spans="1:6">
      <c r="A18" s="116" t="s">
        <v>805</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806</v>
      </c>
      <c r="B20" s="116"/>
      <c r="C20" s="117">
        <v>0</v>
      </c>
      <c r="D20" s="118">
        <v>0</v>
      </c>
      <c r="E20">
        <f t="shared" si="1"/>
        <v>0</v>
      </c>
      <c r="F20" s="26">
        <f t="shared" si="0"/>
        <v>0</v>
      </c>
    </row>
    <row r="21" spans="1:6">
      <c r="A21" s="116" t="s">
        <v>807</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808</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809</v>
      </c>
      <c r="B26" s="116"/>
      <c r="C26" s="117">
        <v>0</v>
      </c>
      <c r="D26" s="118">
        <v>0</v>
      </c>
      <c r="E26">
        <f t="shared" si="1"/>
        <v>0</v>
      </c>
      <c r="F26" s="26">
        <f t="shared" si="0"/>
        <v>0</v>
      </c>
    </row>
    <row r="27" spans="1:6">
      <c r="A27" s="116" t="s">
        <v>810</v>
      </c>
      <c r="B27" s="116"/>
      <c r="C27" s="117">
        <v>0</v>
      </c>
      <c r="D27" s="118">
        <v>0</v>
      </c>
      <c r="E27">
        <f t="shared" si="1"/>
        <v>0</v>
      </c>
      <c r="F27" s="26">
        <f t="shared" si="0"/>
        <v>0</v>
      </c>
    </row>
    <row r="28" spans="1:6">
      <c r="A28" s="116" t="s">
        <v>811</v>
      </c>
      <c r="B28" s="116"/>
      <c r="C28" s="117">
        <v>0</v>
      </c>
      <c r="D28" s="118">
        <v>0</v>
      </c>
      <c r="E28">
        <f t="shared" si="1"/>
        <v>0</v>
      </c>
      <c r="F28" s="26">
        <f t="shared" si="0"/>
        <v>0</v>
      </c>
    </row>
    <row r="29" spans="1:6">
      <c r="A29" s="116" t="s">
        <v>812</v>
      </c>
      <c r="B29" s="116"/>
      <c r="C29" s="117">
        <v>0</v>
      </c>
      <c r="D29" s="118">
        <v>0</v>
      </c>
      <c r="E29">
        <f t="shared" si="1"/>
        <v>0</v>
      </c>
      <c r="F29" s="26">
        <f t="shared" si="0"/>
        <v>0</v>
      </c>
    </row>
    <row r="30" spans="1:6">
      <c r="A30" s="116" t="s">
        <v>813</v>
      </c>
      <c r="B30" s="116"/>
      <c r="C30" s="117">
        <v>0</v>
      </c>
      <c r="D30" s="118">
        <v>0</v>
      </c>
      <c r="E30">
        <f t="shared" si="1"/>
        <v>0</v>
      </c>
      <c r="F30" s="26">
        <f t="shared" si="0"/>
        <v>0</v>
      </c>
    </row>
    <row r="31" spans="1:6">
      <c r="A31" s="116" t="s">
        <v>814</v>
      </c>
      <c r="B31" s="116"/>
      <c r="C31" s="117">
        <v>0</v>
      </c>
      <c r="D31" s="118">
        <v>0</v>
      </c>
      <c r="E31">
        <f t="shared" si="1"/>
        <v>0</v>
      </c>
      <c r="F31" s="26">
        <f t="shared" si="0"/>
        <v>0</v>
      </c>
    </row>
    <row r="32" spans="1:6">
      <c r="A32" s="116" t="s">
        <v>815</v>
      </c>
      <c r="B32" s="116"/>
      <c r="C32" s="117">
        <v>0</v>
      </c>
      <c r="D32" s="118">
        <v>0</v>
      </c>
      <c r="E32">
        <f t="shared" si="1"/>
        <v>0</v>
      </c>
      <c r="F32" s="26">
        <f t="shared" si="0"/>
        <v>0</v>
      </c>
    </row>
    <row r="33" spans="1:6">
      <c r="A33" s="116" t="s">
        <v>816</v>
      </c>
      <c r="B33" s="116"/>
      <c r="C33" s="117">
        <v>0</v>
      </c>
      <c r="D33" s="118">
        <v>0</v>
      </c>
      <c r="E33">
        <f t="shared" si="1"/>
        <v>0</v>
      </c>
      <c r="F33" s="26">
        <f t="shared" si="0"/>
        <v>0</v>
      </c>
    </row>
    <row r="34" spans="1:6">
      <c r="A34" s="116" t="s">
        <v>817</v>
      </c>
      <c r="B34" s="116"/>
      <c r="C34" s="117">
        <v>0</v>
      </c>
      <c r="D34" s="118">
        <v>0</v>
      </c>
      <c r="E34">
        <f t="shared" si="1"/>
        <v>0</v>
      </c>
      <c r="F34" s="26">
        <f t="shared" si="0"/>
        <v>0</v>
      </c>
    </row>
    <row r="35" spans="1:6">
      <c r="A35" s="116" t="s">
        <v>818</v>
      </c>
      <c r="B35" s="116"/>
      <c r="C35" s="117">
        <v>0</v>
      </c>
      <c r="D35" s="118">
        <v>0</v>
      </c>
      <c r="E35">
        <f t="shared" si="1"/>
        <v>0</v>
      </c>
      <c r="F35" s="26">
        <f t="shared" si="0"/>
        <v>0</v>
      </c>
    </row>
    <row r="36" spans="1:6">
      <c r="A36" s="116" t="s">
        <v>819</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820</v>
      </c>
      <c r="B38" s="116"/>
      <c r="C38" s="117">
        <v>0</v>
      </c>
      <c r="D38" s="118">
        <v>0</v>
      </c>
      <c r="E38">
        <f t="shared" si="1"/>
        <v>0</v>
      </c>
      <c r="F38" s="26">
        <f t="shared" si="0"/>
        <v>0</v>
      </c>
    </row>
    <row r="39" spans="1:6">
      <c r="A39" s="116" t="s">
        <v>821</v>
      </c>
      <c r="B39" s="116"/>
      <c r="C39" s="117">
        <v>0</v>
      </c>
      <c r="D39" s="118">
        <v>0</v>
      </c>
      <c r="E39">
        <f t="shared" si="1"/>
        <v>0</v>
      </c>
      <c r="F39" s="26">
        <f t="shared" si="0"/>
        <v>0</v>
      </c>
    </row>
    <row r="40" spans="1:6">
      <c r="A40" s="116" t="s">
        <v>822</v>
      </c>
      <c r="B40" s="116"/>
      <c r="C40" s="117">
        <v>0</v>
      </c>
      <c r="D40" s="118">
        <v>0</v>
      </c>
      <c r="E40">
        <f t="shared" si="1"/>
        <v>0</v>
      </c>
      <c r="F40" s="26">
        <f t="shared" si="0"/>
        <v>0</v>
      </c>
    </row>
    <row r="41" spans="1:6">
      <c r="A41" s="116" t="s">
        <v>823</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824</v>
      </c>
      <c r="B43" s="116"/>
      <c r="C43" s="117">
        <v>0</v>
      </c>
      <c r="D43" s="118">
        <v>0</v>
      </c>
      <c r="E43">
        <f t="shared" ref="E43:E57" si="2">+C43*D43</f>
        <v>0</v>
      </c>
      <c r="F43" s="26">
        <f t="shared" si="0"/>
        <v>0</v>
      </c>
    </row>
    <row r="44" spans="1:6">
      <c r="A44" s="116" t="s">
        <v>825</v>
      </c>
      <c r="B44" s="116"/>
      <c r="C44" s="117">
        <v>0</v>
      </c>
      <c r="D44" s="118">
        <v>0</v>
      </c>
      <c r="E44">
        <f t="shared" si="2"/>
        <v>0</v>
      </c>
      <c r="F44" s="26">
        <f t="shared" si="0"/>
        <v>0</v>
      </c>
    </row>
    <row r="45" spans="1:6">
      <c r="A45" s="116" t="s">
        <v>826</v>
      </c>
      <c r="B45" s="116">
        <v>6973242570225</v>
      </c>
      <c r="C45" s="117">
        <v>0</v>
      </c>
      <c r="D45" s="118">
        <v>49.97</v>
      </c>
      <c r="E45">
        <f t="shared" si="2"/>
        <v>0</v>
      </c>
      <c r="F45" s="26">
        <f>+E45*0.0725</f>
        <v>0</v>
      </c>
    </row>
    <row r="46" spans="1:6">
      <c r="A46" s="116" t="s">
        <v>827</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828</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829</v>
      </c>
      <c r="D1" s="32"/>
      <c r="E1" s="32"/>
      <c r="L1" s="788" t="s">
        <v>9</v>
      </c>
      <c r="M1" s="788" t="str">
        <f>IF(Profit!$Q$6,IF(N1,"Yes","No"),"No")</f>
        <v>No</v>
      </c>
      <c r="N1" s="790" t="b">
        <v>0</v>
      </c>
    </row>
    <row r="2" spans="1:15" s="3" customFormat="1" ht="15.75" thickBot="1">
      <c r="B2" s="3" t="s">
        <v>109</v>
      </c>
      <c r="C2" s="3" t="s">
        <v>508</v>
      </c>
      <c r="D2" s="3" t="s">
        <v>830</v>
      </c>
      <c r="E2" s="3" t="s">
        <v>831</v>
      </c>
      <c r="F2" s="3" t="s">
        <v>832</v>
      </c>
      <c r="G2" s="3" t="s">
        <v>509</v>
      </c>
      <c r="H2" s="8" t="s">
        <v>790</v>
      </c>
      <c r="I2" s="6" t="s">
        <v>791</v>
      </c>
      <c r="J2" s="13" t="s">
        <v>504</v>
      </c>
      <c r="K2" s="3" t="s">
        <v>792</v>
      </c>
      <c r="L2" s="789"/>
      <c r="M2" s="789"/>
      <c r="N2" s="791"/>
    </row>
    <row r="3" spans="1:15" s="3" customFormat="1">
      <c r="A3" s="331"/>
      <c r="B3" s="331"/>
      <c r="C3" s="331" t="s">
        <v>833</v>
      </c>
      <c r="D3" s="331"/>
      <c r="E3" s="136">
        <f>78+24</f>
        <v>102</v>
      </c>
      <c r="F3" s="331"/>
      <c r="G3" s="331"/>
      <c r="H3" s="332"/>
      <c r="I3" s="342"/>
      <c r="J3" s="333"/>
      <c r="L3"/>
      <c r="M3"/>
      <c r="N3" s="5"/>
    </row>
    <row r="4" spans="1:15" s="3" customFormat="1">
      <c r="C4" s="331" t="s">
        <v>834</v>
      </c>
      <c r="D4" s="326"/>
      <c r="E4" s="326"/>
      <c r="F4" s="326"/>
      <c r="G4" s="340"/>
      <c r="H4" s="334"/>
      <c r="I4" s="334"/>
      <c r="J4" s="335"/>
      <c r="L4"/>
      <c r="M4"/>
      <c r="N4" s="5"/>
    </row>
    <row r="5" spans="1:15" s="3" customFormat="1">
      <c r="A5" s="326" t="s">
        <v>835</v>
      </c>
      <c r="B5" s="326"/>
      <c r="C5" s="326" t="s">
        <v>836</v>
      </c>
      <c r="D5" s="326"/>
      <c r="E5" s="326"/>
      <c r="F5" s="326"/>
      <c r="G5" s="439">
        <f>0.76*$E$3*(1+M5)</f>
        <v>85.272000000000006</v>
      </c>
      <c r="H5" s="173">
        <v>3.75</v>
      </c>
      <c r="I5" s="334">
        <f>H5*G5</f>
        <v>319.77000000000004</v>
      </c>
      <c r="J5" s="335">
        <f t="shared" ref="J5" si="0">+I5*0.0725</f>
        <v>23.183325</v>
      </c>
      <c r="L5" s="2" t="s">
        <v>837</v>
      </c>
      <c r="M5" s="441">
        <v>0.1</v>
      </c>
      <c r="N5" s="5"/>
    </row>
    <row r="6" spans="1:15" s="3" customFormat="1">
      <c r="A6" s="326" t="s">
        <v>838</v>
      </c>
      <c r="B6" s="326"/>
      <c r="C6" s="326" t="s">
        <v>839</v>
      </c>
      <c r="D6" s="326"/>
      <c r="E6" s="326"/>
      <c r="F6" s="326"/>
      <c r="G6" s="439">
        <f>0.1*$E$3*(1+$M$5)</f>
        <v>11.220000000000002</v>
      </c>
      <c r="H6" s="173">
        <v>5.75</v>
      </c>
      <c r="I6" s="334">
        <f>H6*G6</f>
        <v>64.515000000000015</v>
      </c>
      <c r="J6" s="335">
        <f t="shared" ref="J6" si="1">+I6*0.0725</f>
        <v>4.677337500000001</v>
      </c>
      <c r="L6"/>
      <c r="M6"/>
      <c r="N6" s="5"/>
    </row>
    <row r="7" spans="1:15" s="3" customFormat="1">
      <c r="A7" s="326" t="s">
        <v>840</v>
      </c>
      <c r="B7" s="326"/>
      <c r="C7" s="326" t="s">
        <v>839</v>
      </c>
      <c r="D7" s="326"/>
      <c r="E7" s="326"/>
      <c r="F7" s="326"/>
      <c r="G7" s="439">
        <f>0.1*$E$3*(1+$M$5)*2</f>
        <v>22.440000000000005</v>
      </c>
      <c r="H7" s="173">
        <v>5.75</v>
      </c>
      <c r="I7" s="334">
        <f>H7*G7</f>
        <v>129.03000000000003</v>
      </c>
      <c r="J7" s="335">
        <f t="shared" ref="J7" si="2">+I7*0.0725</f>
        <v>9.3546750000000021</v>
      </c>
      <c r="L7"/>
      <c r="M7">
        <f>+M12/E3</f>
        <v>4.9019607843137254E-2</v>
      </c>
      <c r="N7" s="5"/>
    </row>
    <row r="8" spans="1:15" s="3" customFormat="1">
      <c r="A8" s="326" t="s">
        <v>841</v>
      </c>
      <c r="B8" s="326"/>
      <c r="C8" s="326" t="s">
        <v>842</v>
      </c>
      <c r="D8" s="326"/>
      <c r="E8" s="326"/>
      <c r="F8" s="326"/>
      <c r="G8" s="439">
        <v>68</v>
      </c>
      <c r="H8" s="173">
        <v>12.82</v>
      </c>
      <c r="I8" s="334">
        <f>H8*G8</f>
        <v>871.76</v>
      </c>
      <c r="J8" s="335">
        <f t="shared" ref="J8" si="3">+I8*0.0725</f>
        <v>63.202599999999997</v>
      </c>
      <c r="L8"/>
      <c r="M8"/>
      <c r="N8" s="5"/>
      <c r="O8" s="32" t="s">
        <v>843</v>
      </c>
    </row>
    <row r="9" spans="1:15" s="3" customFormat="1">
      <c r="A9" s="326" t="s">
        <v>844</v>
      </c>
      <c r="B9" s="326"/>
      <c r="C9" s="326" t="s">
        <v>842</v>
      </c>
      <c r="D9" s="326"/>
      <c r="E9" s="326"/>
      <c r="F9" s="326"/>
      <c r="G9" s="439">
        <v>25</v>
      </c>
      <c r="H9" s="173">
        <v>12.82</v>
      </c>
      <c r="I9" s="334">
        <f t="shared" ref="I9:I10" si="4">H9*G9</f>
        <v>320.5</v>
      </c>
      <c r="J9" s="335">
        <f t="shared" ref="J9:J10" si="5">+I9*0.0725</f>
        <v>23.236249999999998</v>
      </c>
      <c r="L9"/>
      <c r="M9"/>
      <c r="N9" s="5"/>
      <c r="O9" s="32"/>
    </row>
    <row r="10" spans="1:15" s="3" customFormat="1">
      <c r="A10" s="326" t="s">
        <v>845</v>
      </c>
      <c r="B10" s="326"/>
      <c r="C10" s="326" t="s">
        <v>842</v>
      </c>
      <c r="D10" s="326"/>
      <c r="E10" s="326"/>
      <c r="F10" s="326"/>
      <c r="G10" s="439">
        <f>580/12.82</f>
        <v>45.241809672386893</v>
      </c>
      <c r="H10" s="173">
        <v>12.82</v>
      </c>
      <c r="I10" s="334">
        <f t="shared" si="4"/>
        <v>580</v>
      </c>
      <c r="J10" s="335">
        <f t="shared" si="5"/>
        <v>42.05</v>
      </c>
      <c r="L10"/>
      <c r="M10"/>
      <c r="N10" s="5"/>
      <c r="O10" s="32"/>
    </row>
    <row r="11" spans="1:15" s="3" customFormat="1">
      <c r="A11" s="326"/>
      <c r="B11" s="326"/>
      <c r="C11" s="326"/>
      <c r="D11" s="326"/>
      <c r="E11" s="326"/>
      <c r="F11" s="326"/>
      <c r="G11" s="439"/>
      <c r="H11" s="173"/>
      <c r="I11" s="334"/>
      <c r="J11" s="335"/>
      <c r="L11"/>
      <c r="M11"/>
      <c r="N11" s="5"/>
      <c r="O11" s="32"/>
    </row>
    <row r="12" spans="1:15" s="3" customFormat="1">
      <c r="A12" s="326"/>
      <c r="B12" s="326"/>
      <c r="C12" s="326"/>
      <c r="D12" s="326"/>
      <c r="E12" s="326"/>
      <c r="F12" s="326"/>
      <c r="G12" s="340"/>
      <c r="H12" s="334"/>
      <c r="I12" s="334"/>
      <c r="J12" s="335"/>
      <c r="L12"/>
      <c r="M12">
        <v>5</v>
      </c>
      <c r="N12" s="5"/>
    </row>
    <row r="13" spans="1:15" s="3" customFormat="1">
      <c r="A13" s="326"/>
      <c r="B13" s="326"/>
      <c r="C13" s="331" t="s">
        <v>846</v>
      </c>
      <c r="D13" s="326" t="s">
        <v>847</v>
      </c>
      <c r="E13" s="136">
        <v>14</v>
      </c>
      <c r="F13" s="326"/>
      <c r="G13" s="340"/>
      <c r="H13" s="334"/>
      <c r="I13" s="334"/>
      <c r="J13" s="335"/>
      <c r="L13"/>
      <c r="M13"/>
      <c r="N13" s="5"/>
    </row>
    <row r="14" spans="1:15" s="3" customFormat="1">
      <c r="A14" s="326" t="s">
        <v>848</v>
      </c>
      <c r="B14" s="326"/>
      <c r="C14" s="326" t="s">
        <v>836</v>
      </c>
      <c r="D14" s="326"/>
      <c r="E14" s="326"/>
      <c r="F14" s="326"/>
      <c r="G14" s="439">
        <f>2*$E$13*(1+$M$5)</f>
        <v>30.800000000000004</v>
      </c>
      <c r="H14" s="173">
        <v>3.75</v>
      </c>
      <c r="I14" s="334">
        <f>H14*G14</f>
        <v>115.50000000000001</v>
      </c>
      <c r="J14" s="335">
        <f t="shared" ref="J14" si="6">+I14*0.0725</f>
        <v>8.3737500000000011</v>
      </c>
      <c r="L14"/>
      <c r="M14"/>
      <c r="N14" s="5"/>
    </row>
    <row r="15" spans="1:15" s="3" customFormat="1">
      <c r="A15" s="326" t="s">
        <v>849</v>
      </c>
      <c r="B15" s="326"/>
      <c r="C15" s="326" t="s">
        <v>836</v>
      </c>
      <c r="D15" s="326"/>
      <c r="E15" s="326"/>
      <c r="F15" s="326"/>
      <c r="G15" s="439">
        <f>2*$E$13*(1+$M$5)</f>
        <v>30.800000000000004</v>
      </c>
      <c r="H15" s="173">
        <v>3.75</v>
      </c>
      <c r="I15" s="334">
        <f t="shared" ref="I15:I17" si="7">H15*G15</f>
        <v>115.50000000000001</v>
      </c>
      <c r="J15" s="335">
        <f t="shared" ref="J15:J17" si="8">+I15*0.0725</f>
        <v>8.3737500000000011</v>
      </c>
      <c r="L15"/>
      <c r="M15"/>
      <c r="N15" s="5"/>
    </row>
    <row r="16" spans="1:15" s="3" customFormat="1">
      <c r="A16" s="326" t="s">
        <v>850</v>
      </c>
      <c r="B16" s="326"/>
      <c r="C16" s="326" t="s">
        <v>851</v>
      </c>
      <c r="D16" s="326"/>
      <c r="E16" s="326"/>
      <c r="F16" s="326"/>
      <c r="G16" s="439">
        <f>1*$E$13*(1+$M$5)</f>
        <v>15.400000000000002</v>
      </c>
      <c r="H16" s="173">
        <v>5</v>
      </c>
      <c r="I16" s="334">
        <f t="shared" si="7"/>
        <v>77.000000000000014</v>
      </c>
      <c r="J16" s="335">
        <f t="shared" si="8"/>
        <v>5.5825000000000005</v>
      </c>
      <c r="L16"/>
      <c r="M16"/>
      <c r="N16" s="5"/>
    </row>
    <row r="17" spans="1:14" s="3" customFormat="1">
      <c r="A17" s="326" t="s">
        <v>852</v>
      </c>
      <c r="B17" s="326"/>
      <c r="C17" s="326" t="s">
        <v>836</v>
      </c>
      <c r="D17" s="326"/>
      <c r="E17" s="326"/>
      <c r="F17" s="326"/>
      <c r="G17" s="439">
        <f>0.5*$E$13*(1+$M$5)</f>
        <v>7.7000000000000011</v>
      </c>
      <c r="H17" s="173">
        <v>3.75</v>
      </c>
      <c r="I17" s="334">
        <f t="shared" si="7"/>
        <v>28.875000000000004</v>
      </c>
      <c r="J17" s="335">
        <f t="shared" si="8"/>
        <v>2.0934375000000003</v>
      </c>
      <c r="L17"/>
      <c r="M17"/>
      <c r="N17" s="5"/>
    </row>
    <row r="18" spans="1:14" s="3" customFormat="1">
      <c r="A18" s="326"/>
      <c r="B18" s="326"/>
      <c r="C18" s="326"/>
      <c r="D18" s="326"/>
      <c r="E18" s="326"/>
      <c r="F18" s="326"/>
      <c r="G18" s="340"/>
      <c r="H18" s="334"/>
      <c r="I18" s="334"/>
      <c r="J18" s="335"/>
      <c r="L18"/>
      <c r="M18"/>
      <c r="N18" s="5"/>
    </row>
    <row r="19" spans="1:14" s="3" customFormat="1">
      <c r="A19" s="326"/>
      <c r="B19" s="326"/>
      <c r="C19" s="331" t="s">
        <v>853</v>
      </c>
      <c r="D19" s="326" t="s">
        <v>847</v>
      </c>
      <c r="E19" s="136">
        <v>0</v>
      </c>
      <c r="F19" s="326"/>
      <c r="G19" s="340"/>
      <c r="H19" s="334"/>
      <c r="I19" s="334"/>
      <c r="J19" s="335"/>
      <c r="L19"/>
      <c r="M19"/>
      <c r="N19" s="5"/>
    </row>
    <row r="20" spans="1:14" s="3" customFormat="1">
      <c r="A20" s="326" t="s">
        <v>848</v>
      </c>
      <c r="B20" s="326"/>
      <c r="C20" s="326" t="s">
        <v>836</v>
      </c>
      <c r="D20" s="326"/>
      <c r="E20" s="326"/>
      <c r="F20" s="326"/>
      <c r="G20" s="439">
        <f>2*$E$19*(1+$M$5)</f>
        <v>0</v>
      </c>
      <c r="H20" s="173">
        <v>3.75</v>
      </c>
      <c r="I20" s="334">
        <f>H20*G20</f>
        <v>0</v>
      </c>
      <c r="J20" s="335">
        <f t="shared" ref="J20:J23" si="9">+I20*0.0725</f>
        <v>0</v>
      </c>
      <c r="L20"/>
      <c r="M20"/>
      <c r="N20" s="5"/>
    </row>
    <row r="21" spans="1:14" s="3" customFormat="1">
      <c r="A21" s="326" t="s">
        <v>849</v>
      </c>
      <c r="B21" s="326"/>
      <c r="C21" s="326" t="s">
        <v>836</v>
      </c>
      <c r="D21" s="326"/>
      <c r="E21" s="326"/>
      <c r="F21" s="326"/>
      <c r="G21" s="439">
        <f>2*$E$19*(1+$M$5)</f>
        <v>0</v>
      </c>
      <c r="H21" s="173">
        <v>3.75</v>
      </c>
      <c r="I21" s="334">
        <f t="shared" ref="I21:I23" si="10">H21*G21</f>
        <v>0</v>
      </c>
      <c r="J21" s="335">
        <f t="shared" si="9"/>
        <v>0</v>
      </c>
      <c r="L21"/>
      <c r="M21"/>
      <c r="N21" s="5"/>
    </row>
    <row r="22" spans="1:14" s="3" customFormat="1">
      <c r="A22" s="326" t="s">
        <v>850</v>
      </c>
      <c r="B22" s="326"/>
      <c r="C22" s="326" t="s">
        <v>851</v>
      </c>
      <c r="D22" s="326"/>
      <c r="E22" s="326"/>
      <c r="F22" s="326"/>
      <c r="G22" s="439">
        <f>2*$E$19*(1+$M$5)</f>
        <v>0</v>
      </c>
      <c r="H22" s="173">
        <v>5</v>
      </c>
      <c r="I22" s="334">
        <f t="shared" si="10"/>
        <v>0</v>
      </c>
      <c r="J22" s="335">
        <f t="shared" si="9"/>
        <v>0</v>
      </c>
      <c r="L22"/>
      <c r="M22"/>
      <c r="N22" s="5"/>
    </row>
    <row r="23" spans="1:14" s="3" customFormat="1">
      <c r="A23" s="326" t="s">
        <v>852</v>
      </c>
      <c r="B23" s="326"/>
      <c r="C23" s="326" t="s">
        <v>836</v>
      </c>
      <c r="D23" s="326"/>
      <c r="E23" s="326"/>
      <c r="F23" s="326"/>
      <c r="G23" s="439">
        <f>2*$E$19*(1+$M$5)</f>
        <v>0</v>
      </c>
      <c r="H23" s="173">
        <v>3.75</v>
      </c>
      <c r="I23" s="334">
        <f t="shared" si="10"/>
        <v>0</v>
      </c>
      <c r="J23" s="335">
        <f t="shared" si="9"/>
        <v>0</v>
      </c>
      <c r="L23"/>
      <c r="M23"/>
      <c r="N23" s="5"/>
    </row>
    <row r="24" spans="1:14" s="3" customFormat="1">
      <c r="A24" s="326"/>
      <c r="B24" s="326"/>
      <c r="C24" s="326"/>
      <c r="D24" s="326"/>
      <c r="E24" s="326"/>
      <c r="F24" s="326"/>
      <c r="G24" s="340"/>
      <c r="H24" s="334"/>
      <c r="I24" s="334"/>
      <c r="J24" s="335"/>
      <c r="L24"/>
      <c r="M24"/>
      <c r="N24" s="5"/>
    </row>
    <row r="25" spans="1:14" s="3" customFormat="1">
      <c r="A25" s="326"/>
      <c r="B25" s="326"/>
      <c r="C25" s="331" t="s">
        <v>583</v>
      </c>
      <c r="D25" s="326" t="s">
        <v>854</v>
      </c>
      <c r="E25" s="136">
        <v>10</v>
      </c>
      <c r="F25" s="326"/>
      <c r="G25" s="340"/>
      <c r="H25" s="334"/>
      <c r="I25" s="334"/>
      <c r="J25" s="335"/>
      <c r="L25"/>
      <c r="M25"/>
      <c r="N25" s="5"/>
    </row>
    <row r="26" spans="1:14" s="3" customFormat="1">
      <c r="A26" s="326"/>
      <c r="B26" s="326"/>
      <c r="C26" s="326"/>
      <c r="D26" s="326" t="s">
        <v>855</v>
      </c>
      <c r="E26" s="136">
        <v>14</v>
      </c>
      <c r="F26" s="326"/>
      <c r="G26" s="439"/>
      <c r="H26" s="334"/>
      <c r="I26" s="334"/>
      <c r="J26" s="335"/>
      <c r="L26"/>
      <c r="M26"/>
      <c r="N26" s="5"/>
    </row>
    <row r="27" spans="1:14" s="3" customFormat="1">
      <c r="A27" s="326"/>
      <c r="B27" s="326"/>
      <c r="C27" s="326"/>
      <c r="D27" s="326" t="s">
        <v>856</v>
      </c>
      <c r="E27" s="442">
        <v>2</v>
      </c>
      <c r="F27" s="326"/>
      <c r="G27" s="439"/>
      <c r="H27" s="334"/>
      <c r="I27" s="334"/>
      <c r="J27" s="335"/>
      <c r="L27"/>
      <c r="M27"/>
      <c r="N27" s="5"/>
    </row>
    <row r="28" spans="1:14" s="3" customFormat="1">
      <c r="A28" s="326" t="s">
        <v>857</v>
      </c>
      <c r="B28" s="326"/>
      <c r="C28" s="326" t="s">
        <v>858</v>
      </c>
      <c r="D28" s="326"/>
      <c r="E28" s="326"/>
      <c r="F28" s="326"/>
      <c r="G28" s="439">
        <f>+E26*(1+$M$5)</f>
        <v>15.400000000000002</v>
      </c>
      <c r="H28" s="173">
        <v>10</v>
      </c>
      <c r="I28" s="334">
        <f t="shared" ref="I28:I30" si="11">H28*G28</f>
        <v>154.00000000000003</v>
      </c>
      <c r="J28" s="335">
        <f t="shared" ref="J28:J30" si="12">+I28*0.0725</f>
        <v>11.165000000000001</v>
      </c>
      <c r="L28"/>
      <c r="M28"/>
      <c r="N28" s="5"/>
    </row>
    <row r="29" spans="1:14" s="3" customFormat="1">
      <c r="A29" s="326" t="s">
        <v>859</v>
      </c>
      <c r="B29" s="326"/>
      <c r="C29" s="326" t="s">
        <v>860</v>
      </c>
      <c r="D29" s="326"/>
      <c r="E29" s="326"/>
      <c r="F29" s="326"/>
      <c r="G29" s="439">
        <f>+E25*(1+$M$5)</f>
        <v>11</v>
      </c>
      <c r="H29" s="173">
        <v>20</v>
      </c>
      <c r="I29" s="334">
        <f t="shared" si="11"/>
        <v>220</v>
      </c>
      <c r="J29" s="335">
        <f t="shared" si="12"/>
        <v>15.95</v>
      </c>
      <c r="L29"/>
      <c r="M29"/>
      <c r="N29" s="5"/>
    </row>
    <row r="30" spans="1:14" s="3" customFormat="1">
      <c r="A30" s="326" t="s">
        <v>861</v>
      </c>
      <c r="B30" s="326"/>
      <c r="C30" s="326" t="s">
        <v>862</v>
      </c>
      <c r="D30" s="326"/>
      <c r="E30" s="326"/>
      <c r="F30" s="326"/>
      <c r="G30" s="439">
        <f>+E25*E26/(10/2)*(1+$M$5)</f>
        <v>30.800000000000004</v>
      </c>
      <c r="H30" s="173">
        <v>7</v>
      </c>
      <c r="I30" s="334">
        <f t="shared" si="11"/>
        <v>215.60000000000002</v>
      </c>
      <c r="J30" s="335">
        <f t="shared" si="12"/>
        <v>15.631</v>
      </c>
      <c r="L30"/>
      <c r="M30"/>
      <c r="N30" s="5"/>
    </row>
    <row r="31" spans="1:14" s="3" customFormat="1">
      <c r="A31" s="326" t="s">
        <v>863</v>
      </c>
      <c r="B31" s="326"/>
      <c r="C31" s="326" t="s">
        <v>864</v>
      </c>
      <c r="D31" s="326"/>
      <c r="E31" s="326"/>
      <c r="F31" s="326"/>
      <c r="G31" s="439">
        <f>1.5*$E$27</f>
        <v>3</v>
      </c>
      <c r="H31" s="173">
        <v>12</v>
      </c>
      <c r="I31" s="334">
        <f t="shared" ref="I31" si="13">H31*G31</f>
        <v>36</v>
      </c>
      <c r="J31" s="335">
        <f t="shared" ref="J31" si="14">+I31*0.0725</f>
        <v>2.61</v>
      </c>
      <c r="L31"/>
      <c r="M31"/>
      <c r="N31" s="5"/>
    </row>
    <row r="32" spans="1:14" s="3" customFormat="1">
      <c r="A32" s="326" t="s">
        <v>865</v>
      </c>
      <c r="B32" s="326"/>
      <c r="C32" s="326" t="s">
        <v>860</v>
      </c>
      <c r="D32" s="326"/>
      <c r="E32" s="326"/>
      <c r="F32" s="326"/>
      <c r="G32" s="439">
        <f>+E26/14</f>
        <v>1</v>
      </c>
      <c r="H32" s="173">
        <v>20</v>
      </c>
      <c r="I32" s="334">
        <f t="shared" ref="I32:I34" si="15">H32*G32</f>
        <v>20</v>
      </c>
      <c r="J32" s="335">
        <f t="shared" ref="J32:J34" si="16">+I32*0.0725</f>
        <v>1.45</v>
      </c>
      <c r="L32"/>
      <c r="M32"/>
      <c r="N32" s="5"/>
    </row>
    <row r="33" spans="1:14" s="3" customFormat="1">
      <c r="A33" s="326" t="s">
        <v>522</v>
      </c>
      <c r="B33" s="326"/>
      <c r="C33" s="326" t="s">
        <v>866</v>
      </c>
      <c r="D33" s="326"/>
      <c r="E33" s="326"/>
      <c r="F33" s="326"/>
      <c r="G33" s="439">
        <f>+G31*2*2.5</f>
        <v>15</v>
      </c>
      <c r="H33" s="173">
        <v>6</v>
      </c>
      <c r="I33" s="334">
        <f t="shared" si="15"/>
        <v>90</v>
      </c>
      <c r="J33" s="335">
        <f t="shared" si="16"/>
        <v>6.5249999999999995</v>
      </c>
      <c r="L33"/>
      <c r="M33"/>
      <c r="N33" s="5"/>
    </row>
    <row r="34" spans="1:14" s="3" customFormat="1">
      <c r="A34" s="326" t="s">
        <v>867</v>
      </c>
      <c r="B34" s="326"/>
      <c r="C34" s="326" t="s">
        <v>868</v>
      </c>
      <c r="D34" s="326"/>
      <c r="E34" s="326"/>
      <c r="F34" s="326"/>
      <c r="G34" s="439">
        <v>1</v>
      </c>
      <c r="H34" s="173">
        <v>100</v>
      </c>
      <c r="I34" s="334">
        <f t="shared" si="15"/>
        <v>100</v>
      </c>
      <c r="J34" s="335">
        <f t="shared" si="16"/>
        <v>7.2499999999999991</v>
      </c>
      <c r="L34"/>
      <c r="M34"/>
      <c r="N34" s="5"/>
    </row>
    <row r="35" spans="1:14" s="3" customFormat="1">
      <c r="A35" s="326"/>
      <c r="B35" s="326"/>
      <c r="C35" s="326"/>
      <c r="D35" s="326" t="s">
        <v>869</v>
      </c>
      <c r="E35" s="136">
        <v>24</v>
      </c>
      <c r="F35" s="326"/>
      <c r="G35" s="439"/>
      <c r="H35" s="334"/>
      <c r="I35" s="334"/>
      <c r="J35" s="335"/>
      <c r="L35"/>
      <c r="M35"/>
      <c r="N35" s="5"/>
    </row>
    <row r="36" spans="1:14" s="3" customFormat="1">
      <c r="A36" s="326"/>
      <c r="B36" s="326"/>
      <c r="C36" s="331" t="s">
        <v>870</v>
      </c>
      <c r="D36" s="326"/>
      <c r="E36" s="326"/>
      <c r="F36" s="326"/>
      <c r="G36" s="439"/>
      <c r="H36" s="334"/>
      <c r="I36" s="334"/>
      <c r="J36" s="335"/>
      <c r="L36"/>
      <c r="M36"/>
      <c r="N36" s="5"/>
    </row>
    <row r="37" spans="1:14" s="3" customFormat="1">
      <c r="A37" s="326" t="s">
        <v>871</v>
      </c>
      <c r="B37" s="326"/>
      <c r="C37" s="326" t="s">
        <v>872</v>
      </c>
      <c r="D37" s="326"/>
      <c r="E37" s="326"/>
      <c r="F37" s="326"/>
      <c r="G37" s="439">
        <f>2*$E$35/12</f>
        <v>4</v>
      </c>
      <c r="H37" s="173">
        <v>7.5</v>
      </c>
      <c r="I37" s="334">
        <f t="shared" ref="I37:I39" si="17">H37*G37</f>
        <v>30</v>
      </c>
      <c r="J37" s="335">
        <f t="shared" ref="J37:J39" si="18">+I37*0.0725</f>
        <v>2.1749999999999998</v>
      </c>
      <c r="L37"/>
      <c r="M37"/>
      <c r="N37" s="5"/>
    </row>
    <row r="38" spans="1:14" s="3" customFormat="1">
      <c r="A38" s="326" t="s">
        <v>873</v>
      </c>
      <c r="B38" s="326"/>
      <c r="C38" s="326" t="s">
        <v>874</v>
      </c>
      <c r="D38" s="326"/>
      <c r="E38" s="326"/>
      <c r="F38" s="326"/>
      <c r="G38" s="439">
        <f>2.5*$E$35</f>
        <v>60</v>
      </c>
      <c r="H38" s="173">
        <v>1.5</v>
      </c>
      <c r="I38" s="334">
        <f t="shared" si="17"/>
        <v>90</v>
      </c>
      <c r="J38" s="335">
        <f t="shared" si="18"/>
        <v>6.5249999999999995</v>
      </c>
      <c r="L38"/>
      <c r="M38"/>
      <c r="N38" s="5"/>
    </row>
    <row r="39" spans="1:14" s="3" customFormat="1">
      <c r="A39" s="326" t="s">
        <v>875</v>
      </c>
      <c r="B39" s="326"/>
      <c r="C39" s="326" t="s">
        <v>876</v>
      </c>
      <c r="D39" s="326"/>
      <c r="E39" s="326"/>
      <c r="F39" s="326"/>
      <c r="G39" s="439">
        <f>$E$35/6</f>
        <v>4</v>
      </c>
      <c r="H39" s="173">
        <v>12</v>
      </c>
      <c r="I39" s="334">
        <f t="shared" si="17"/>
        <v>48</v>
      </c>
      <c r="J39" s="335">
        <f t="shared" si="18"/>
        <v>3.4799999999999995</v>
      </c>
      <c r="L39"/>
      <c r="M39"/>
      <c r="N39" s="5"/>
    </row>
    <row r="40" spans="1:14" s="3" customFormat="1">
      <c r="A40" s="326"/>
      <c r="B40" s="326"/>
      <c r="C40" s="326"/>
      <c r="D40" s="326" t="s">
        <v>877</v>
      </c>
      <c r="E40" s="136">
        <v>1</v>
      </c>
      <c r="F40" s="326"/>
      <c r="G40" s="439"/>
      <c r="H40" s="334"/>
      <c r="I40" s="334"/>
      <c r="J40" s="335"/>
      <c r="L40"/>
      <c r="M40"/>
      <c r="N40" s="5"/>
    </row>
    <row r="41" spans="1:14" s="3" customFormat="1" ht="14.25" customHeight="1">
      <c r="A41" s="326"/>
      <c r="B41" s="326"/>
      <c r="C41" s="326"/>
      <c r="D41" s="326" t="s">
        <v>878</v>
      </c>
      <c r="E41" s="136">
        <v>4</v>
      </c>
      <c r="F41" s="326"/>
      <c r="G41" s="439"/>
      <c r="H41" s="334"/>
      <c r="I41" s="334"/>
      <c r="J41" s="335"/>
      <c r="L41"/>
      <c r="M41"/>
      <c r="N41" s="5"/>
    </row>
    <row r="42" spans="1:14" s="3" customFormat="1" ht="14.25" customHeight="1">
      <c r="A42" s="326"/>
      <c r="B42" s="326"/>
      <c r="C42" s="326"/>
      <c r="D42" s="326" t="s">
        <v>879</v>
      </c>
      <c r="E42" s="442">
        <v>3</v>
      </c>
      <c r="F42" s="326"/>
      <c r="G42" s="439"/>
      <c r="H42" s="334"/>
      <c r="I42" s="334"/>
      <c r="J42" s="335"/>
      <c r="L42"/>
      <c r="M42"/>
      <c r="N42" s="5"/>
    </row>
    <row r="43" spans="1:14" s="3" customFormat="1" ht="14.25" customHeight="1">
      <c r="A43" s="326"/>
      <c r="B43" s="326"/>
      <c r="C43" s="331" t="s">
        <v>880</v>
      </c>
      <c r="D43" s="326"/>
      <c r="E43" s="326"/>
      <c r="F43" s="326"/>
      <c r="G43" s="439"/>
      <c r="H43" s="334"/>
      <c r="I43" s="334"/>
      <c r="J43" s="335"/>
      <c r="L43"/>
      <c r="M43"/>
      <c r="N43" s="5"/>
    </row>
    <row r="44" spans="1:14" s="3" customFormat="1" ht="14.25" customHeight="1">
      <c r="A44" s="326" t="s">
        <v>881</v>
      </c>
      <c r="B44" s="326"/>
      <c r="C44" s="326" t="s">
        <v>882</v>
      </c>
      <c r="D44" s="326"/>
      <c r="E44" s="326"/>
      <c r="F44" s="326"/>
      <c r="G44" s="439">
        <f>+(E41/2) + 1</f>
        <v>3</v>
      </c>
      <c r="H44" s="173">
        <v>18</v>
      </c>
      <c r="I44" s="334">
        <f t="shared" ref="I44:I46" si="19">H44*G44</f>
        <v>54</v>
      </c>
      <c r="J44" s="335">
        <f t="shared" ref="J44:J46" si="20">+I44*0.0725</f>
        <v>3.9149999999999996</v>
      </c>
      <c r="L44"/>
      <c r="M44"/>
      <c r="N44" s="5"/>
    </row>
    <row r="45" spans="1:14" s="3" customFormat="1" ht="14.25" customHeight="1">
      <c r="A45" s="326" t="s">
        <v>883</v>
      </c>
      <c r="B45" s="326"/>
      <c r="C45" s="326" t="s">
        <v>884</v>
      </c>
      <c r="D45" s="326"/>
      <c r="E45" s="326"/>
      <c r="F45" s="326"/>
      <c r="G45" s="439">
        <f>2*E42*E41/10</f>
        <v>2.4</v>
      </c>
      <c r="H45" s="173">
        <v>7</v>
      </c>
      <c r="I45" s="334">
        <f t="shared" si="19"/>
        <v>16.8</v>
      </c>
      <c r="J45" s="335">
        <f t="shared" si="20"/>
        <v>1.218</v>
      </c>
      <c r="L45"/>
      <c r="M45"/>
      <c r="N45" s="5"/>
    </row>
    <row r="46" spans="1:14" s="3" customFormat="1" ht="14.25" customHeight="1">
      <c r="A46" s="326" t="s">
        <v>885</v>
      </c>
      <c r="B46" s="326"/>
      <c r="C46" s="326" t="s">
        <v>886</v>
      </c>
      <c r="D46" s="326"/>
      <c r="E46" s="326"/>
      <c r="F46" s="326"/>
      <c r="G46" s="439">
        <f>+E42*E41/8</f>
        <v>1.5</v>
      </c>
      <c r="H46" s="173">
        <v>10</v>
      </c>
      <c r="I46" s="334">
        <f t="shared" si="19"/>
        <v>15</v>
      </c>
      <c r="J46" s="335">
        <f t="shared" si="20"/>
        <v>1.0874999999999999</v>
      </c>
      <c r="L46"/>
      <c r="M46"/>
      <c r="N46" s="5"/>
    </row>
    <row r="47" spans="1:14" s="3" customFormat="1" ht="14.25" customHeight="1">
      <c r="A47" s="326"/>
      <c r="B47" s="326"/>
      <c r="C47" s="326"/>
      <c r="D47" s="326"/>
      <c r="E47" s="326"/>
      <c r="F47" s="326"/>
      <c r="G47" s="439"/>
      <c r="H47" s="173"/>
      <c r="I47" s="334"/>
      <c r="J47" s="335"/>
      <c r="L47"/>
      <c r="M47"/>
      <c r="N47" s="5"/>
    </row>
    <row r="48" spans="1:14" s="3" customFormat="1" ht="14.25" customHeight="1">
      <c r="A48" s="326"/>
      <c r="B48" s="326"/>
      <c r="C48" s="331" t="s">
        <v>541</v>
      </c>
      <c r="D48" s="326"/>
      <c r="E48" s="326"/>
      <c r="F48" s="326"/>
      <c r="G48" s="439"/>
      <c r="H48" s="173"/>
      <c r="I48" s="334"/>
      <c r="J48" s="335"/>
      <c r="L48"/>
      <c r="M48"/>
      <c r="N48" s="5"/>
    </row>
    <row r="49" spans="1:14" s="3" customFormat="1" ht="14.25" customHeight="1">
      <c r="A49" s="326" t="s">
        <v>887</v>
      </c>
      <c r="B49" s="326"/>
      <c r="C49" s="326" t="s">
        <v>888</v>
      </c>
      <c r="D49" s="326"/>
      <c r="E49" s="326"/>
      <c r="F49" s="326"/>
      <c r="G49" s="439">
        <f>+G6</f>
        <v>11.220000000000002</v>
      </c>
      <c r="H49" s="173">
        <v>6.42</v>
      </c>
      <c r="I49" s="334">
        <f t="shared" ref="I49" si="21">H49*G49</f>
        <v>72.03240000000001</v>
      </c>
      <c r="J49" s="335">
        <f t="shared" ref="J49" si="22">+I49*0.0725</f>
        <v>5.2223490000000004</v>
      </c>
      <c r="L49" t="s">
        <v>889</v>
      </c>
      <c r="M49"/>
      <c r="N49" s="5"/>
    </row>
    <row r="50" spans="1:14" s="3" customFormat="1" ht="14.25" customHeight="1">
      <c r="A50" s="326" t="s">
        <v>890</v>
      </c>
      <c r="B50" s="326"/>
      <c r="C50" s="326" t="s">
        <v>891</v>
      </c>
      <c r="D50" s="326"/>
      <c r="E50" s="326"/>
      <c r="F50" s="326"/>
      <c r="G50" s="439">
        <f>+G6/10</f>
        <v>1.1220000000000003</v>
      </c>
      <c r="H50" s="173">
        <v>92.65</v>
      </c>
      <c r="I50" s="334">
        <f>H50*G50</f>
        <v>103.95330000000004</v>
      </c>
      <c r="J50" s="335">
        <f>+I50*0.0725</f>
        <v>7.5366142500000022</v>
      </c>
      <c r="L50"/>
      <c r="M50"/>
      <c r="N50" s="5"/>
    </row>
    <row r="51" spans="1:14" s="3" customFormat="1" ht="14.25" customHeight="1">
      <c r="A51" s="326"/>
      <c r="B51" s="326"/>
      <c r="C51" s="326"/>
      <c r="D51" s="326"/>
      <c r="E51" s="326"/>
      <c r="F51" s="326"/>
      <c r="G51" s="439"/>
      <c r="H51" s="173"/>
      <c r="I51" s="334"/>
      <c r="J51" s="335"/>
      <c r="L51"/>
      <c r="M51"/>
      <c r="N51" s="5"/>
    </row>
    <row r="52" spans="1:14" s="3" customFormat="1" ht="14.25" customHeight="1">
      <c r="A52" s="326"/>
      <c r="B52" s="326"/>
      <c r="C52" s="326" t="s">
        <v>892</v>
      </c>
      <c r="D52" s="326"/>
      <c r="E52" s="326"/>
      <c r="F52" s="326"/>
      <c r="G52" s="439"/>
      <c r="H52" s="173"/>
      <c r="I52" s="334"/>
      <c r="J52" s="335"/>
      <c r="L52"/>
      <c r="M52"/>
      <c r="N52" s="5"/>
    </row>
    <row r="53" spans="1:14" s="3" customFormat="1" ht="14.25" customHeight="1">
      <c r="A53" s="326"/>
      <c r="B53" s="326"/>
      <c r="C53" s="326"/>
      <c r="D53" s="326"/>
      <c r="E53" s="326"/>
      <c r="F53" s="326"/>
      <c r="G53" s="439"/>
      <c r="H53" s="173"/>
      <c r="I53" s="334"/>
      <c r="J53" s="335"/>
      <c r="L53"/>
      <c r="M53"/>
      <c r="N53" s="5"/>
    </row>
    <row r="54" spans="1:14" s="3" customFormat="1" ht="14.25" customHeight="1">
      <c r="A54" s="326"/>
      <c r="B54" s="326"/>
      <c r="C54" s="326"/>
      <c r="D54" s="326"/>
      <c r="E54" s="326"/>
      <c r="F54" s="326"/>
      <c r="G54" s="439"/>
      <c r="H54" s="173"/>
      <c r="I54" s="334"/>
      <c r="J54" s="335"/>
      <c r="L54"/>
      <c r="M54"/>
      <c r="N54" s="5"/>
    </row>
    <row r="55" spans="1:14" s="3" customFormat="1" ht="14.25" customHeight="1">
      <c r="A55" s="326"/>
      <c r="B55" s="326"/>
      <c r="C55" s="326"/>
      <c r="D55" s="326"/>
      <c r="E55" s="326"/>
      <c r="F55" s="326"/>
      <c r="G55" s="439"/>
      <c r="H55" s="173"/>
      <c r="I55" s="334"/>
      <c r="J55" s="335"/>
      <c r="L55"/>
      <c r="M55"/>
      <c r="N55" s="5"/>
    </row>
    <row r="56" spans="1:14" s="3" customFormat="1" ht="14.25" customHeight="1">
      <c r="A56" s="326"/>
      <c r="B56" s="326"/>
      <c r="C56" s="326"/>
      <c r="D56" s="326"/>
      <c r="E56" s="326"/>
      <c r="F56" s="326"/>
      <c r="G56" s="439"/>
      <c r="H56" s="173"/>
      <c r="I56" s="334"/>
      <c r="J56" s="335"/>
      <c r="L56"/>
      <c r="M56"/>
      <c r="N56" s="5"/>
    </row>
    <row r="57" spans="1:14" s="3" customFormat="1" ht="14.25" customHeight="1">
      <c r="A57" s="326"/>
      <c r="B57" s="326"/>
      <c r="C57" s="326"/>
      <c r="D57" s="326"/>
      <c r="E57" s="326"/>
      <c r="F57" s="326"/>
      <c r="G57" s="439"/>
      <c r="H57" s="173"/>
      <c r="I57" s="334"/>
      <c r="J57" s="335"/>
      <c r="L57"/>
      <c r="M57"/>
      <c r="N57" s="5"/>
    </row>
    <row r="58" spans="1:14" s="3" customFormat="1" ht="14.25" customHeight="1">
      <c r="A58" s="326"/>
      <c r="B58" s="326"/>
      <c r="C58" s="326" t="s">
        <v>893</v>
      </c>
      <c r="D58" s="326"/>
      <c r="E58" s="326"/>
      <c r="F58" s="326"/>
      <c r="G58" s="439"/>
      <c r="H58" s="173"/>
      <c r="I58" s="334"/>
      <c r="J58" s="335"/>
      <c r="L58"/>
      <c r="M58"/>
      <c r="N58" s="5"/>
    </row>
    <row r="59" spans="1:14" s="3" customFormat="1" ht="14.25" customHeight="1">
      <c r="A59" s="326"/>
      <c r="B59" s="326"/>
      <c r="C59" s="326" t="s">
        <v>894</v>
      </c>
      <c r="D59" s="326"/>
      <c r="E59" s="326"/>
      <c r="F59" s="326"/>
      <c r="G59" s="439">
        <v>0</v>
      </c>
      <c r="H59" s="173">
        <v>6525</v>
      </c>
      <c r="I59" s="334">
        <f t="shared" ref="I59" si="23">H59*G59</f>
        <v>0</v>
      </c>
      <c r="J59" s="335">
        <f t="shared" ref="J59" si="24">+I59*0.0725</f>
        <v>0</v>
      </c>
      <c r="L59"/>
      <c r="M59"/>
      <c r="N59" s="5"/>
    </row>
    <row r="60" spans="1:14" s="3" customFormat="1" ht="14.25" customHeight="1">
      <c r="A60" s="326"/>
      <c r="B60" s="326"/>
      <c r="C60" s="326"/>
      <c r="D60" s="326"/>
      <c r="E60" s="326"/>
      <c r="F60" s="326"/>
      <c r="G60" s="439"/>
      <c r="H60" s="173"/>
      <c r="I60" s="334"/>
      <c r="J60" s="335"/>
      <c r="L60"/>
      <c r="M60"/>
      <c r="N60" s="5"/>
    </row>
    <row r="61" spans="1:14" s="3" customFormat="1" ht="14.25" customHeight="1">
      <c r="A61" s="326"/>
      <c r="B61" s="326"/>
      <c r="C61" s="326"/>
      <c r="D61" s="326"/>
      <c r="E61" s="326"/>
      <c r="F61" s="326"/>
      <c r="G61" s="439"/>
      <c r="H61" s="173"/>
      <c r="I61" s="334"/>
      <c r="J61" s="335"/>
      <c r="L61"/>
      <c r="M61"/>
      <c r="N61" s="5"/>
    </row>
    <row r="62" spans="1:14" s="3" customFormat="1" ht="14.25" customHeight="1">
      <c r="A62" s="326"/>
      <c r="B62" s="326"/>
      <c r="C62" s="326"/>
      <c r="D62" s="326"/>
      <c r="E62" s="326"/>
      <c r="F62" s="326"/>
      <c r="G62" s="439"/>
      <c r="H62" s="334"/>
      <c r="I62" s="334"/>
      <c r="J62" s="335"/>
      <c r="L62"/>
      <c r="M62"/>
      <c r="N62" s="5"/>
    </row>
    <row r="63" spans="1:14">
      <c r="A63" s="326"/>
      <c r="B63" s="326"/>
      <c r="C63" s="440"/>
      <c r="D63" s="326"/>
      <c r="E63" s="338"/>
      <c r="F63" s="326"/>
      <c r="G63" s="341"/>
      <c r="H63" s="334"/>
      <c r="I63" s="334"/>
      <c r="J63" s="339"/>
      <c r="K63"/>
    </row>
    <row r="64" spans="1:14" s="3" customFormat="1">
      <c r="G64" s="787" t="s">
        <v>895</v>
      </c>
      <c r="H64" s="564"/>
      <c r="I64" s="564"/>
      <c r="J64" s="30"/>
      <c r="K64" s="1">
        <f>IF(M1="Yes",SUM(I4:I63)+SUM(J4:J63),0)</f>
        <v>0</v>
      </c>
      <c r="L64"/>
      <c r="M64"/>
      <c r="N64" s="5"/>
    </row>
    <row r="65" spans="1:14" s="3" customFormat="1">
      <c r="L65"/>
      <c r="M65"/>
      <c r="N65" s="5"/>
    </row>
    <row r="66" spans="1:14" s="3" customFormat="1">
      <c r="A66" t="s">
        <v>896</v>
      </c>
      <c r="B66"/>
      <c r="D66" s="32"/>
      <c r="L66"/>
      <c r="M66"/>
      <c r="N66" s="5"/>
    </row>
    <row r="67" spans="1:14">
      <c r="C67" s="95" t="s">
        <v>897</v>
      </c>
      <c r="D67" s="95"/>
      <c r="F67" s="95" t="s">
        <v>898</v>
      </c>
      <c r="G67" s="179">
        <v>0</v>
      </c>
      <c r="H67" s="173">
        <v>68.540000000000006</v>
      </c>
      <c r="I67" s="5">
        <f t="shared" ref="I67:I80" si="25">+G67*H67</f>
        <v>0</v>
      </c>
      <c r="J67" s="26">
        <f t="shared" ref="J67:J80" si="26">+I67*0.0725</f>
        <v>0</v>
      </c>
      <c r="K67"/>
      <c r="N67" s="5"/>
    </row>
    <row r="68" spans="1:14">
      <c r="C68" s="95" t="s">
        <v>899</v>
      </c>
      <c r="D68" s="95" t="s">
        <v>900</v>
      </c>
      <c r="F68" s="95" t="s">
        <v>901</v>
      </c>
      <c r="G68" s="179">
        <v>0</v>
      </c>
      <c r="H68" s="173">
        <f>35.99*5</f>
        <v>179.95000000000002</v>
      </c>
      <c r="I68" s="5">
        <f t="shared" si="25"/>
        <v>0</v>
      </c>
      <c r="J68" s="26">
        <f t="shared" si="26"/>
        <v>0</v>
      </c>
      <c r="K68"/>
      <c r="N68" s="5"/>
    </row>
    <row r="69" spans="1:14">
      <c r="C69" s="95" t="s">
        <v>899</v>
      </c>
      <c r="D69" s="95" t="s">
        <v>902</v>
      </c>
      <c r="F69" s="95" t="s">
        <v>901</v>
      </c>
      <c r="G69" s="179">
        <v>0</v>
      </c>
      <c r="H69" s="173">
        <f>35.99*5</f>
        <v>179.95000000000002</v>
      </c>
      <c r="I69" s="5">
        <f t="shared" si="25"/>
        <v>0</v>
      </c>
      <c r="J69" s="26">
        <f t="shared" si="26"/>
        <v>0</v>
      </c>
      <c r="K69"/>
      <c r="N69" s="5"/>
    </row>
    <row r="70" spans="1:14">
      <c r="C70" s="95" t="s">
        <v>897</v>
      </c>
      <c r="D70" s="95"/>
      <c r="F70" s="95" t="s">
        <v>903</v>
      </c>
      <c r="G70" s="179">
        <v>0</v>
      </c>
      <c r="H70" s="173">
        <v>85.89</v>
      </c>
      <c r="I70" s="5">
        <f t="shared" si="25"/>
        <v>0</v>
      </c>
      <c r="J70" s="26">
        <f t="shared" si="26"/>
        <v>0</v>
      </c>
      <c r="K70"/>
    </row>
    <row r="71" spans="1:14">
      <c r="A71" t="s">
        <v>1261</v>
      </c>
      <c r="C71" s="95"/>
      <c r="D71" s="95"/>
      <c r="F71" s="95"/>
      <c r="G71" s="179"/>
      <c r="H71" s="173"/>
      <c r="J71" s="26"/>
      <c r="K71"/>
    </row>
    <row r="72" spans="1:14">
      <c r="B72" s="107">
        <v>46149</v>
      </c>
      <c r="C72" s="95" t="s">
        <v>1262</v>
      </c>
      <c r="D72" s="95"/>
      <c r="F72" s="95">
        <v>312276</v>
      </c>
      <c r="G72" s="179">
        <v>1</v>
      </c>
      <c r="H72" s="173">
        <v>-22.17</v>
      </c>
      <c r="I72" s="5">
        <f>+G72*H72</f>
        <v>-22.17</v>
      </c>
      <c r="J72" s="26">
        <f t="shared" si="26"/>
        <v>-1.6073250000000001</v>
      </c>
      <c r="K72"/>
    </row>
    <row r="73" spans="1:14">
      <c r="C73" s="95" t="s">
        <v>1263</v>
      </c>
      <c r="D73" s="95"/>
      <c r="F73" s="95">
        <v>313813</v>
      </c>
      <c r="G73" s="179">
        <v>3</v>
      </c>
      <c r="H73" s="173">
        <v>-40.97</v>
      </c>
      <c r="I73" s="5">
        <f t="shared" si="25"/>
        <v>-122.91</v>
      </c>
      <c r="J73" s="26">
        <f t="shared" si="26"/>
        <v>-8.9109749999999988</v>
      </c>
      <c r="K73"/>
    </row>
    <row r="74" spans="1:14">
      <c r="C74" s="95" t="s">
        <v>1264</v>
      </c>
      <c r="D74" s="95"/>
      <c r="F74" s="95">
        <v>312520</v>
      </c>
      <c r="G74" s="179">
        <v>6</v>
      </c>
      <c r="H74" s="173">
        <v>-12.3</v>
      </c>
      <c r="I74" s="5">
        <f t="shared" si="25"/>
        <v>-73.800000000000011</v>
      </c>
      <c r="J74" s="26">
        <f t="shared" si="26"/>
        <v>-5.3505000000000003</v>
      </c>
      <c r="K74"/>
    </row>
    <row r="75" spans="1:14">
      <c r="C75" s="95" t="s">
        <v>1265</v>
      </c>
      <c r="D75" s="95"/>
      <c r="F75" s="95">
        <v>197672</v>
      </c>
      <c r="G75" s="179">
        <v>1</v>
      </c>
      <c r="H75" s="173">
        <v>-13.05</v>
      </c>
      <c r="I75" s="5">
        <f t="shared" si="25"/>
        <v>-13.05</v>
      </c>
      <c r="J75" s="26">
        <f t="shared" si="26"/>
        <v>-0.94612499999999999</v>
      </c>
      <c r="K75"/>
    </row>
    <row r="76" spans="1:14">
      <c r="C76" s="95" t="s">
        <v>1266</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904</v>
      </c>
      <c r="C78" s="95"/>
      <c r="D78" s="95"/>
      <c r="F78" s="95"/>
      <c r="G78" s="179"/>
      <c r="H78" s="173"/>
      <c r="I78" s="5">
        <f t="shared" si="25"/>
        <v>0</v>
      </c>
      <c r="J78" s="26">
        <f t="shared" si="26"/>
        <v>0</v>
      </c>
      <c r="K78"/>
    </row>
    <row r="79" spans="1:14">
      <c r="C79" s="95" t="s">
        <v>905</v>
      </c>
      <c r="D79" s="95"/>
      <c r="F79" s="95" t="s">
        <v>906</v>
      </c>
      <c r="G79" s="179">
        <v>0</v>
      </c>
      <c r="H79" s="173">
        <v>109.95</v>
      </c>
      <c r="I79" s="5">
        <f t="shared" si="25"/>
        <v>0</v>
      </c>
      <c r="J79" s="26">
        <f t="shared" si="26"/>
        <v>0</v>
      </c>
      <c r="K79"/>
    </row>
    <row r="80" spans="1:14">
      <c r="C80" s="95" t="s">
        <v>907</v>
      </c>
      <c r="D80" s="95"/>
      <c r="F80" s="95" t="s">
        <v>908</v>
      </c>
      <c r="G80" s="179">
        <v>0</v>
      </c>
      <c r="H80" s="173">
        <v>65.64</v>
      </c>
      <c r="I80" s="5">
        <f t="shared" si="25"/>
        <v>0</v>
      </c>
      <c r="J80" s="26">
        <f t="shared" si="26"/>
        <v>0</v>
      </c>
      <c r="K80"/>
    </row>
    <row r="82" spans="1:11">
      <c r="K82"/>
    </row>
    <row r="83" spans="1:11">
      <c r="C83" s="95" t="s">
        <v>909</v>
      </c>
      <c r="D83" s="95"/>
      <c r="F83" s="95" t="s">
        <v>910</v>
      </c>
      <c r="G83" s="179"/>
      <c r="H83" s="173">
        <v>33.99</v>
      </c>
      <c r="I83" s="5">
        <f>+G83*H83</f>
        <v>0</v>
      </c>
      <c r="J83" s="26">
        <f>+I83*0.0725</f>
        <v>0</v>
      </c>
      <c r="K83"/>
    </row>
    <row r="84" spans="1:11">
      <c r="C84" s="95" t="s">
        <v>911</v>
      </c>
      <c r="D84" s="95"/>
      <c r="F84" s="95" t="s">
        <v>910</v>
      </c>
      <c r="G84" s="179"/>
      <c r="H84" s="173">
        <v>33.99</v>
      </c>
      <c r="I84" s="5">
        <f t="shared" ref="I84:I93" si="27">+G84*H84</f>
        <v>0</v>
      </c>
      <c r="J84" s="26">
        <f t="shared" ref="J84:J93" si="28">+I84*0.0725</f>
        <v>0</v>
      </c>
      <c r="K84"/>
    </row>
    <row r="85" spans="1:11">
      <c r="A85" t="s">
        <v>912</v>
      </c>
      <c r="C85" s="95" t="s">
        <v>913</v>
      </c>
      <c r="D85" s="95"/>
      <c r="F85" s="95">
        <v>185342</v>
      </c>
      <c r="G85" s="179"/>
      <c r="H85" s="179">
        <f>147/5</f>
        <v>29.4</v>
      </c>
      <c r="I85" s="5">
        <f t="shared" si="27"/>
        <v>0</v>
      </c>
      <c r="J85" s="26">
        <f t="shared" si="28"/>
        <v>0</v>
      </c>
      <c r="K85"/>
    </row>
    <row r="86" spans="1:11">
      <c r="C86" s="95" t="s">
        <v>914</v>
      </c>
      <c r="D86" s="95"/>
      <c r="F86" s="95" t="s">
        <v>915</v>
      </c>
      <c r="G86" s="179">
        <v>0</v>
      </c>
      <c r="H86" s="173">
        <f>5*25.79</f>
        <v>128.94999999999999</v>
      </c>
      <c r="I86" s="5">
        <f t="shared" si="27"/>
        <v>0</v>
      </c>
      <c r="J86" s="26">
        <f t="shared" si="28"/>
        <v>0</v>
      </c>
      <c r="K86"/>
    </row>
    <row r="87" spans="1:11">
      <c r="A87" t="s">
        <v>541</v>
      </c>
      <c r="C87" s="95"/>
      <c r="D87" s="95"/>
      <c r="F87" s="95"/>
      <c r="G87" s="179"/>
      <c r="H87" s="173"/>
      <c r="I87" s="5">
        <f t="shared" si="27"/>
        <v>0</v>
      </c>
      <c r="J87" s="26">
        <f t="shared" si="28"/>
        <v>0</v>
      </c>
      <c r="K87"/>
    </row>
    <row r="88" spans="1:11">
      <c r="C88" s="95" t="s">
        <v>916</v>
      </c>
      <c r="D88" s="95"/>
      <c r="F88" s="95" t="s">
        <v>917</v>
      </c>
      <c r="G88" s="179">
        <v>0</v>
      </c>
      <c r="H88" s="173">
        <f>5*63.05</f>
        <v>315.25</v>
      </c>
      <c r="I88" s="5">
        <f t="shared" si="27"/>
        <v>0</v>
      </c>
      <c r="J88" s="26">
        <f t="shared" si="28"/>
        <v>0</v>
      </c>
      <c r="K88"/>
    </row>
    <row r="89" spans="1:11">
      <c r="C89" s="95" t="s">
        <v>918</v>
      </c>
      <c r="D89" s="95"/>
      <c r="F89" s="95">
        <v>389832</v>
      </c>
      <c r="G89" s="179">
        <v>0</v>
      </c>
      <c r="H89" s="173">
        <v>39.979999999999997</v>
      </c>
      <c r="I89" s="5">
        <f t="shared" si="27"/>
        <v>0</v>
      </c>
      <c r="J89" s="26">
        <f t="shared" si="28"/>
        <v>0</v>
      </c>
      <c r="K89"/>
    </row>
    <row r="90" spans="1:11">
      <c r="C90" s="95" t="s">
        <v>919</v>
      </c>
      <c r="D90" s="95"/>
      <c r="F90" s="95">
        <v>985007</v>
      </c>
      <c r="G90" s="179"/>
      <c r="H90" s="173">
        <v>52.23</v>
      </c>
      <c r="I90" s="5">
        <f t="shared" si="27"/>
        <v>0</v>
      </c>
      <c r="J90" s="26">
        <f t="shared" si="28"/>
        <v>0</v>
      </c>
      <c r="K90"/>
    </row>
    <row r="91" spans="1:11">
      <c r="C91" s="95" t="s">
        <v>920</v>
      </c>
      <c r="D91" s="95"/>
      <c r="F91" s="95">
        <v>814917</v>
      </c>
      <c r="G91" s="179"/>
      <c r="H91" s="173">
        <f>109/5</f>
        <v>21.8</v>
      </c>
      <c r="I91" s="5">
        <f t="shared" si="27"/>
        <v>0</v>
      </c>
      <c r="J91" s="26">
        <f t="shared" si="28"/>
        <v>0</v>
      </c>
      <c r="K91"/>
    </row>
    <row r="92" spans="1:11">
      <c r="C92" s="95" t="s">
        <v>921</v>
      </c>
      <c r="D92" s="95"/>
      <c r="F92" s="95" t="s">
        <v>922</v>
      </c>
      <c r="G92" s="179">
        <v>0</v>
      </c>
      <c r="H92" s="173">
        <v>40</v>
      </c>
      <c r="I92" s="5">
        <f t="shared" si="27"/>
        <v>0</v>
      </c>
      <c r="J92" s="26">
        <f t="shared" si="28"/>
        <v>0</v>
      </c>
      <c r="K92"/>
    </row>
    <row r="93" spans="1:11">
      <c r="C93" s="2" t="s">
        <v>923</v>
      </c>
      <c r="F93" s="95" t="s">
        <v>924</v>
      </c>
      <c r="G93" s="179">
        <v>0</v>
      </c>
      <c r="H93" s="173">
        <v>50.24</v>
      </c>
      <c r="I93" s="5">
        <f t="shared" si="27"/>
        <v>0</v>
      </c>
      <c r="J93" s="26">
        <f t="shared" si="28"/>
        <v>0</v>
      </c>
    </row>
    <row r="94" spans="1:11">
      <c r="A94" t="s">
        <v>661</v>
      </c>
      <c r="D94" s="32"/>
      <c r="E94" s="96">
        <v>0</v>
      </c>
      <c r="G94"/>
      <c r="H94" s="5"/>
      <c r="J94" s="1"/>
      <c r="K94"/>
    </row>
    <row r="95" spans="1:11">
      <c r="C95" s="95" t="s">
        <v>925</v>
      </c>
      <c r="D95" s="95" t="s">
        <v>926</v>
      </c>
      <c r="E95" s="181"/>
      <c r="F95" s="95" t="s">
        <v>927</v>
      </c>
      <c r="G95" s="179">
        <v>0</v>
      </c>
      <c r="H95" s="173">
        <v>74.37</v>
      </c>
      <c r="I95" s="5">
        <f t="shared" ref="I95:I96" si="29">+G95*H95</f>
        <v>0</v>
      </c>
      <c r="J95" s="26">
        <f t="shared" ref="J95:J96" si="30">+I95*0.0725</f>
        <v>0</v>
      </c>
      <c r="K95"/>
    </row>
    <row r="96" spans="1:11">
      <c r="C96" s="95" t="s">
        <v>928</v>
      </c>
      <c r="D96" s="95"/>
      <c r="F96" s="95"/>
      <c r="G96" s="179"/>
      <c r="H96" s="173"/>
      <c r="I96" s="5">
        <f t="shared" si="29"/>
        <v>0</v>
      </c>
      <c r="J96" s="26">
        <f t="shared" si="30"/>
        <v>0</v>
      </c>
      <c r="K96"/>
    </row>
    <row r="97" spans="1:16">
      <c r="E97" s="121">
        <f>+E3</f>
        <v>102</v>
      </c>
      <c r="G97"/>
      <c r="H97" s="5"/>
      <c r="J97" s="1"/>
      <c r="K97"/>
    </row>
    <row r="98" spans="1:16">
      <c r="A98" t="s">
        <v>929</v>
      </c>
      <c r="D98" s="32"/>
      <c r="E98" s="96">
        <v>0</v>
      </c>
      <c r="G98"/>
      <c r="H98" s="5"/>
      <c r="J98" s="1"/>
      <c r="K98"/>
    </row>
    <row r="99" spans="1:16">
      <c r="C99" s="95" t="s">
        <v>930</v>
      </c>
      <c r="D99" s="95" t="s">
        <v>931</v>
      </c>
      <c r="E99" s="181"/>
      <c r="F99" s="95" t="s">
        <v>932</v>
      </c>
      <c r="G99" s="179"/>
      <c r="H99" s="173">
        <v>55.99</v>
      </c>
      <c r="I99" s="5">
        <f t="shared" ref="I99:I103" si="31">+G99*H99</f>
        <v>0</v>
      </c>
      <c r="J99" s="26">
        <f t="shared" ref="J99:J103" si="32">+I99*0.0725</f>
        <v>0</v>
      </c>
      <c r="K99"/>
    </row>
    <row r="100" spans="1:16">
      <c r="A100" t="s">
        <v>933</v>
      </c>
      <c r="D100" s="32"/>
      <c r="E100" s="96">
        <v>500</v>
      </c>
      <c r="G100" s="179"/>
      <c r="H100" s="173"/>
      <c r="I100" s="5">
        <f t="shared" si="31"/>
        <v>0</v>
      </c>
      <c r="J100" s="26">
        <f t="shared" si="32"/>
        <v>0</v>
      </c>
      <c r="K100"/>
    </row>
    <row r="101" spans="1:16">
      <c r="C101" s="95" t="s">
        <v>934</v>
      </c>
      <c r="D101" s="95"/>
      <c r="F101" s="95" t="s">
        <v>935</v>
      </c>
      <c r="G101" s="179">
        <v>0</v>
      </c>
      <c r="H101" s="173">
        <v>47.98</v>
      </c>
      <c r="I101" s="5">
        <f t="shared" si="31"/>
        <v>0</v>
      </c>
      <c r="J101" s="26">
        <f t="shared" si="32"/>
        <v>0</v>
      </c>
      <c r="K101"/>
    </row>
    <row r="102" spans="1:16">
      <c r="C102" s="2" t="s">
        <v>936</v>
      </c>
      <c r="F102" s="95" t="s">
        <v>937</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87" t="s">
        <v>938</v>
      </c>
      <c r="H105" s="564"/>
      <c r="I105" s="564"/>
      <c r="J105" s="30"/>
      <c r="K105" s="1">
        <f>IF($M$1="No",SUM(I67:I104)+SUM(J67:J104),0)</f>
        <v>-310.864125</v>
      </c>
      <c r="P105" s="2"/>
    </row>
    <row r="107" spans="1:16">
      <c r="C107" s="2" t="s">
        <v>939</v>
      </c>
      <c r="G107"/>
      <c r="H107" s="5"/>
      <c r="I107" s="1"/>
      <c r="J107" s="1"/>
      <c r="K107"/>
    </row>
    <row r="108" spans="1:16">
      <c r="C108" s="95" t="s">
        <v>940</v>
      </c>
      <c r="D108" s="95"/>
      <c r="E108" s="121">
        <f>+$E$3</f>
        <v>102</v>
      </c>
      <c r="F108" s="95" t="s">
        <v>941</v>
      </c>
      <c r="G108" s="179">
        <v>0</v>
      </c>
      <c r="H108" s="173">
        <v>0</v>
      </c>
      <c r="I108" s="1">
        <f>IF(G108="yes",E108*#REF!,H108)</f>
        <v>0</v>
      </c>
      <c r="J108" s="1"/>
      <c r="K108"/>
    </row>
    <row r="109" spans="1:16">
      <c r="C109" s="95" t="s">
        <v>939</v>
      </c>
      <c r="D109" s="95"/>
      <c r="E109" s="121">
        <v>200</v>
      </c>
      <c r="F109" s="95" t="s">
        <v>583</v>
      </c>
      <c r="G109" s="179">
        <v>0</v>
      </c>
      <c r="H109" s="173">
        <v>0</v>
      </c>
      <c r="I109" s="1">
        <f>IF(G109="yes",E109*#REF!,H109)</f>
        <v>0</v>
      </c>
      <c r="J109" s="1"/>
      <c r="K109"/>
    </row>
    <row r="110" spans="1:16" ht="15.75" thickBot="1">
      <c r="C110" s="95" t="s">
        <v>939</v>
      </c>
      <c r="D110" s="95"/>
      <c r="E110" s="121">
        <f>+$E$3</f>
        <v>102</v>
      </c>
      <c r="F110" s="95" t="s">
        <v>942</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943</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765</v>
      </c>
      <c r="B1" s="3" t="s">
        <v>109</v>
      </c>
      <c r="C1" s="13" t="s">
        <v>766</v>
      </c>
      <c r="D1" s="3" t="s">
        <v>767</v>
      </c>
      <c r="E1" s="13" t="s">
        <v>768</v>
      </c>
      <c r="F1" s="3" t="s">
        <v>769</v>
      </c>
    </row>
    <row r="2" spans="1:10" ht="15.75" thickBot="1">
      <c r="A2" s="326" t="s">
        <v>944</v>
      </c>
      <c r="B2" s="327"/>
      <c r="C2" s="328"/>
      <c r="D2" s="327"/>
      <c r="E2" s="328"/>
      <c r="F2" s="328">
        <v>0</v>
      </c>
    </row>
    <row r="3" spans="1:10">
      <c r="A3" s="326" t="s">
        <v>945</v>
      </c>
      <c r="B3" s="329"/>
      <c r="C3" s="328" t="s">
        <v>946</v>
      </c>
      <c r="D3" s="327">
        <v>4</v>
      </c>
      <c r="E3" s="328">
        <v>75</v>
      </c>
      <c r="F3" s="328">
        <f>IF($I$3="Yes",+D3*E3,0)</f>
        <v>0</v>
      </c>
      <c r="H3" s="788" t="s">
        <v>9</v>
      </c>
      <c r="I3" s="788" t="str">
        <f>IF(Profit!$Q$6,IF(J3,"Yes","N0"),"no")</f>
        <v>N0</v>
      </c>
      <c r="J3" s="790" t="b">
        <v>0</v>
      </c>
    </row>
    <row r="4" spans="1:10" ht="15.75" thickBot="1">
      <c r="A4" s="326" t="s">
        <v>945</v>
      </c>
      <c r="B4" s="330"/>
      <c r="C4" s="328" t="s">
        <v>947</v>
      </c>
      <c r="D4" s="327">
        <v>4</v>
      </c>
      <c r="E4" s="328">
        <v>325</v>
      </c>
      <c r="F4" s="328">
        <f t="shared" ref="F4:F5" si="0">IF($I$3="Yes",+D4*E4,0)</f>
        <v>0</v>
      </c>
      <c r="H4" s="789"/>
      <c r="I4" s="789"/>
      <c r="J4" s="791"/>
    </row>
    <row r="5" spans="1:10">
      <c r="A5" s="326" t="s">
        <v>945</v>
      </c>
      <c r="B5" s="327"/>
      <c r="C5" s="328" t="s">
        <v>948</v>
      </c>
      <c r="D5" s="327">
        <v>4</v>
      </c>
      <c r="E5" s="328">
        <v>104</v>
      </c>
      <c r="F5" s="328">
        <f t="shared" si="0"/>
        <v>0</v>
      </c>
      <c r="G5">
        <f>IF(I3="yes",+SUM(F2:F5),0)</f>
        <v>0</v>
      </c>
    </row>
    <row r="6" spans="1:10" s="22" customFormat="1">
      <c r="A6" s="95" t="s">
        <v>945</v>
      </c>
      <c r="B6" s="362">
        <v>45925</v>
      </c>
      <c r="C6" s="363" t="s">
        <v>949</v>
      </c>
      <c r="D6" s="179">
        <v>1</v>
      </c>
      <c r="E6" s="363">
        <v>100</v>
      </c>
      <c r="F6" s="363">
        <f>IF($I$3="Yes",0,+D6*E6)</f>
        <v>100</v>
      </c>
      <c r="G6"/>
    </row>
    <row r="7" spans="1:10">
      <c r="A7" s="95" t="s">
        <v>945</v>
      </c>
      <c r="B7" s="364">
        <v>45971</v>
      </c>
      <c r="C7" s="363" t="s">
        <v>947</v>
      </c>
      <c r="D7" s="179">
        <v>1</v>
      </c>
      <c r="E7" s="363">
        <v>400</v>
      </c>
      <c r="F7" s="363">
        <f t="shared" ref="F7:F19" si="1">IF($I$3="Yes",0,+D7*E7)</f>
        <v>400</v>
      </c>
    </row>
    <row r="8" spans="1:10">
      <c r="A8" s="95" t="s">
        <v>945</v>
      </c>
      <c r="B8" s="362">
        <v>45961</v>
      </c>
      <c r="C8" s="363" t="s">
        <v>950</v>
      </c>
      <c r="D8" s="179">
        <v>1</v>
      </c>
      <c r="E8" s="363">
        <v>5</v>
      </c>
      <c r="F8" s="363">
        <f t="shared" si="1"/>
        <v>5</v>
      </c>
    </row>
    <row r="9" spans="1:10">
      <c r="A9" s="95" t="s">
        <v>1260</v>
      </c>
      <c r="B9" s="364">
        <v>46146</v>
      </c>
      <c r="C9" s="363" t="s">
        <v>1259</v>
      </c>
      <c r="D9" s="179">
        <v>0</v>
      </c>
      <c r="E9" s="363">
        <v>42.35</v>
      </c>
      <c r="F9" s="363">
        <f t="shared" si="1"/>
        <v>0</v>
      </c>
    </row>
    <row r="10" spans="1:10">
      <c r="A10" s="95" t="s">
        <v>945</v>
      </c>
      <c r="B10" s="179"/>
      <c r="C10" s="363" t="s">
        <v>951</v>
      </c>
      <c r="D10" s="179">
        <v>0</v>
      </c>
      <c r="E10" s="363">
        <v>6.35</v>
      </c>
      <c r="F10" s="363">
        <f t="shared" si="1"/>
        <v>0</v>
      </c>
    </row>
    <row r="11" spans="1:10">
      <c r="A11" s="95" t="s">
        <v>945</v>
      </c>
      <c r="B11" s="179"/>
      <c r="C11" s="363" t="s">
        <v>952</v>
      </c>
      <c r="D11" s="179"/>
      <c r="E11" s="363">
        <v>2.5</v>
      </c>
      <c r="F11" s="363">
        <f t="shared" si="1"/>
        <v>0</v>
      </c>
    </row>
    <row r="12" spans="1:10">
      <c r="A12" s="95" t="s">
        <v>945</v>
      </c>
      <c r="B12" s="179"/>
      <c r="C12" s="363" t="s">
        <v>953</v>
      </c>
      <c r="D12" s="179">
        <v>0</v>
      </c>
      <c r="E12" s="363">
        <f>(8.5+10+17.34)/3</f>
        <v>11.946666666666667</v>
      </c>
      <c r="F12" s="363">
        <f t="shared" si="1"/>
        <v>0</v>
      </c>
    </row>
    <row r="13" spans="1:10">
      <c r="A13" s="95" t="s">
        <v>945</v>
      </c>
      <c r="B13" s="364"/>
      <c r="C13" s="363" t="s">
        <v>954</v>
      </c>
      <c r="D13" s="179">
        <v>0</v>
      </c>
      <c r="E13" s="363">
        <v>73.13</v>
      </c>
      <c r="F13" s="363">
        <f t="shared" si="1"/>
        <v>0</v>
      </c>
    </row>
    <row r="14" spans="1:10">
      <c r="A14" s="95" t="s">
        <v>945</v>
      </c>
      <c r="B14" s="364"/>
      <c r="C14" s="363" t="s">
        <v>955</v>
      </c>
      <c r="D14" s="179">
        <v>0</v>
      </c>
      <c r="E14" s="363">
        <v>472</v>
      </c>
      <c r="F14" s="363">
        <f t="shared" si="1"/>
        <v>0</v>
      </c>
    </row>
    <row r="15" spans="1:10">
      <c r="A15" s="95" t="s">
        <v>956</v>
      </c>
      <c r="B15" s="364"/>
      <c r="C15" s="363"/>
      <c r="D15" s="179">
        <v>0</v>
      </c>
      <c r="E15" s="363">
        <v>600</v>
      </c>
      <c r="F15" s="363">
        <f t="shared" si="1"/>
        <v>0</v>
      </c>
    </row>
    <row r="16" spans="1:10">
      <c r="A16" s="95" t="s">
        <v>957</v>
      </c>
      <c r="B16" s="364"/>
      <c r="C16" s="95" t="s">
        <v>958</v>
      </c>
      <c r="D16" s="179">
        <v>0</v>
      </c>
      <c r="E16" s="363">
        <v>300</v>
      </c>
      <c r="F16" s="363">
        <f t="shared" si="1"/>
        <v>0</v>
      </c>
    </row>
    <row r="17" spans="1:10">
      <c r="A17" s="95" t="s">
        <v>956</v>
      </c>
      <c r="B17" s="365"/>
      <c r="C17" s="95" t="s">
        <v>959</v>
      </c>
      <c r="D17" s="179">
        <v>0</v>
      </c>
      <c r="E17" s="363">
        <v>450</v>
      </c>
      <c r="F17" s="363">
        <f t="shared" si="1"/>
        <v>0</v>
      </c>
    </row>
    <row r="18" spans="1:10">
      <c r="A18" s="95" t="s">
        <v>956</v>
      </c>
      <c r="B18" s="364"/>
      <c r="C18" s="363" t="s">
        <v>960</v>
      </c>
      <c r="D18" s="179">
        <v>0</v>
      </c>
      <c r="E18" s="363">
        <v>100</v>
      </c>
      <c r="F18" s="363">
        <f t="shared" si="1"/>
        <v>0</v>
      </c>
      <c r="I18" s="3"/>
    </row>
    <row r="19" spans="1:10">
      <c r="A19" s="95" t="s">
        <v>956</v>
      </c>
      <c r="B19" s="364"/>
      <c r="C19" s="363" t="s">
        <v>961</v>
      </c>
      <c r="D19" s="179">
        <v>0</v>
      </c>
      <c r="E19" s="363">
        <v>150</v>
      </c>
      <c r="F19" s="363">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9"/>
    <col min="2" max="2" width="22" bestFit="1" customWidth="1"/>
    <col min="3" max="3" width="11" bestFit="1" customWidth="1"/>
    <col min="10" max="10" width="19.28515625" bestFit="1" customWidth="1"/>
  </cols>
  <sheetData>
    <row r="1" spans="1:12">
      <c r="B1" s="3" t="s">
        <v>557</v>
      </c>
      <c r="C1" s="3"/>
      <c r="E1" s="5"/>
      <c r="F1" s="14"/>
      <c r="G1" s="14"/>
      <c r="H1" s="14"/>
    </row>
    <row r="2" spans="1:12">
      <c r="B2" s="2"/>
      <c r="C2" s="2"/>
      <c r="D2" s="3"/>
      <c r="E2" s="8"/>
      <c r="F2" s="13"/>
      <c r="G2" s="13"/>
      <c r="H2" s="13"/>
    </row>
    <row r="3" spans="1:12" ht="15.75" thickBot="1">
      <c r="A3" s="531" t="s">
        <v>109</v>
      </c>
      <c r="B3" s="3" t="s">
        <v>508</v>
      </c>
      <c r="C3" s="3" t="s">
        <v>962</v>
      </c>
      <c r="D3" s="3" t="s">
        <v>789</v>
      </c>
      <c r="E3" s="8" t="s">
        <v>790</v>
      </c>
      <c r="F3" s="13" t="s">
        <v>791</v>
      </c>
      <c r="G3" s="13" t="s">
        <v>504</v>
      </c>
      <c r="H3" s="13" t="s">
        <v>792</v>
      </c>
    </row>
    <row r="4" spans="1:12">
      <c r="B4" s="331" t="s">
        <v>833</v>
      </c>
      <c r="C4" s="331"/>
      <c r="D4" s="331"/>
      <c r="E4" s="332"/>
      <c r="F4" s="333"/>
      <c r="G4" s="333"/>
      <c r="H4" s="333"/>
      <c r="J4" s="788" t="s">
        <v>9</v>
      </c>
      <c r="K4" s="788" t="str">
        <f>IF(Profit!$Q$6,IF(L4,"Yes","N0"),"no")</f>
        <v>N0</v>
      </c>
      <c r="L4" s="790" t="b">
        <v>0</v>
      </c>
    </row>
    <row r="5" spans="1:12" ht="15.75" thickBot="1">
      <c r="B5" s="326" t="s">
        <v>963</v>
      </c>
      <c r="C5" s="326">
        <v>977057</v>
      </c>
      <c r="D5" s="327">
        <v>1</v>
      </c>
      <c r="E5" s="334">
        <v>149</v>
      </c>
      <c r="F5" s="328">
        <f>+D5*E5</f>
        <v>149</v>
      </c>
      <c r="G5" s="335">
        <f>+F5*0.0725</f>
        <v>10.802499999999998</v>
      </c>
      <c r="H5" s="333"/>
      <c r="J5" s="789"/>
      <c r="K5" s="789"/>
      <c r="L5" s="791"/>
    </row>
    <row r="6" spans="1:12">
      <c r="B6" s="326" t="s">
        <v>964</v>
      </c>
      <c r="C6" s="326">
        <v>3648606</v>
      </c>
      <c r="D6" s="327">
        <v>1</v>
      </c>
      <c r="E6" s="334">
        <v>700</v>
      </c>
      <c r="F6" s="328">
        <f>+D6*E6</f>
        <v>700</v>
      </c>
      <c r="G6" s="335">
        <f t="shared" ref="G6" si="0">+F6*0.0725</f>
        <v>50.75</v>
      </c>
      <c r="H6" s="333"/>
    </row>
    <row r="7" spans="1:12" ht="15.75" thickBot="1">
      <c r="B7" s="326" t="s">
        <v>965</v>
      </c>
      <c r="C7" s="326">
        <v>1654366</v>
      </c>
      <c r="D7" s="327">
        <v>1</v>
      </c>
      <c r="E7" s="334">
        <v>450</v>
      </c>
      <c r="F7" s="328">
        <f>+D7*E7</f>
        <v>450</v>
      </c>
      <c r="G7" s="335">
        <f t="shared" ref="G7" si="1">+F7*0.0725</f>
        <v>32.625</v>
      </c>
      <c r="H7" s="336"/>
    </row>
    <row r="8" spans="1:12">
      <c r="B8" s="331"/>
      <c r="C8" s="331"/>
      <c r="D8" s="331"/>
      <c r="E8" s="166" t="s">
        <v>966</v>
      </c>
      <c r="F8" s="328"/>
      <c r="G8" s="328"/>
      <c r="H8" s="328">
        <f>IF(K4="yes",+SUM(F5:F7)+SUM(G5:G7),0)</f>
        <v>0</v>
      </c>
    </row>
    <row r="9" spans="1:12">
      <c r="B9" s="95" t="s">
        <v>967</v>
      </c>
      <c r="C9" s="95">
        <v>977057</v>
      </c>
      <c r="D9" s="179">
        <v>0</v>
      </c>
      <c r="E9" s="173">
        <v>149</v>
      </c>
      <c r="F9" s="14">
        <f>+D9*E9</f>
        <v>0</v>
      </c>
      <c r="G9" s="26">
        <f>+F9*0.0725</f>
        <v>0</v>
      </c>
      <c r="H9" s="13"/>
    </row>
    <row r="10" spans="1:12">
      <c r="B10" s="95" t="s">
        <v>968</v>
      </c>
      <c r="C10" s="95"/>
      <c r="D10" s="179">
        <v>0</v>
      </c>
      <c r="E10" s="173">
        <v>400</v>
      </c>
      <c r="F10" s="14">
        <f>+D10*E10</f>
        <v>0</v>
      </c>
      <c r="G10" s="26">
        <f>+F10*0.0725</f>
        <v>0</v>
      </c>
      <c r="H10" s="14"/>
    </row>
    <row r="11" spans="1:12">
      <c r="A11" s="489" t="s">
        <v>969</v>
      </c>
      <c r="B11" s="95" t="s">
        <v>970</v>
      </c>
      <c r="C11" s="95">
        <v>1008246199</v>
      </c>
      <c r="D11" s="179">
        <v>0</v>
      </c>
      <c r="E11" s="173">
        <v>448</v>
      </c>
      <c r="F11" s="14">
        <f>+D11*E11</f>
        <v>0</v>
      </c>
      <c r="G11" s="26">
        <f>+F11*0.0725</f>
        <v>0</v>
      </c>
      <c r="H11" s="14"/>
    </row>
    <row r="12" spans="1:12" ht="15.75" thickBot="1">
      <c r="B12" s="95" t="s">
        <v>971</v>
      </c>
      <c r="C12" s="95">
        <v>205954</v>
      </c>
      <c r="D12" s="179">
        <v>0</v>
      </c>
      <c r="E12" s="173">
        <v>0</v>
      </c>
      <c r="F12" s="21"/>
      <c r="G12" s="21"/>
      <c r="H12" s="21"/>
    </row>
    <row r="13" spans="1:12">
      <c r="B13" s="95"/>
      <c r="C13" s="95"/>
      <c r="D13" s="179"/>
      <c r="E13" s="180" t="s">
        <v>972</v>
      </c>
      <c r="F13" s="14"/>
      <c r="G13" s="14"/>
      <c r="H13" s="14">
        <f>IF(K4="yes",0,+SUM(F9:F12)+SUM(G9:G12))</f>
        <v>0</v>
      </c>
    </row>
    <row r="14" spans="1:12">
      <c r="B14" s="95" t="s">
        <v>973</v>
      </c>
      <c r="C14" s="95">
        <v>206436</v>
      </c>
      <c r="D14" s="179">
        <v>0</v>
      </c>
      <c r="E14" s="180">
        <v>12.98</v>
      </c>
      <c r="F14" s="14">
        <v>0</v>
      </c>
      <c r="G14" s="26">
        <f>+F14*0.0725</f>
        <v>0</v>
      </c>
      <c r="H14" s="14">
        <v>0</v>
      </c>
    </row>
    <row r="15" spans="1:12">
      <c r="B15" s="95" t="s">
        <v>974</v>
      </c>
      <c r="C15" s="95">
        <v>1006760329</v>
      </c>
      <c r="D15" s="179">
        <v>0</v>
      </c>
      <c r="E15" s="173">
        <v>698</v>
      </c>
      <c r="F15" s="14" t="s">
        <v>319</v>
      </c>
      <c r="G15" s="14"/>
      <c r="H15" s="14"/>
    </row>
    <row r="16" spans="1:12">
      <c r="B16" s="95" t="s">
        <v>973</v>
      </c>
      <c r="C16" s="95">
        <v>1630551</v>
      </c>
      <c r="D16" s="179">
        <v>0</v>
      </c>
      <c r="E16" s="173">
        <v>32.979999999999997</v>
      </c>
      <c r="F16" s="14">
        <f>+D16*E16</f>
        <v>0</v>
      </c>
      <c r="G16" s="26">
        <f>+F16*0.0725</f>
        <v>0</v>
      </c>
      <c r="H16" s="14"/>
    </row>
    <row r="17" spans="1:9">
      <c r="B17" s="95" t="s">
        <v>975</v>
      </c>
      <c r="C17" s="95">
        <v>3648606</v>
      </c>
      <c r="D17" s="179">
        <v>0</v>
      </c>
      <c r="E17" s="173">
        <v>700</v>
      </c>
      <c r="F17" s="14">
        <f>+D17*E17</f>
        <v>0</v>
      </c>
      <c r="G17" s="26">
        <f t="shared" ref="G17:G29" si="2">+F17*0.0725</f>
        <v>0</v>
      </c>
      <c r="H17" s="14"/>
    </row>
    <row r="18" spans="1:9">
      <c r="B18" s="95" t="s">
        <v>976</v>
      </c>
      <c r="C18" s="95">
        <v>1654366</v>
      </c>
      <c r="D18" s="179">
        <v>0</v>
      </c>
      <c r="E18" s="173">
        <v>374.29</v>
      </c>
      <c r="F18" s="14">
        <f>+D18*E18</f>
        <v>0</v>
      </c>
      <c r="G18" s="26">
        <f t="shared" si="2"/>
        <v>0</v>
      </c>
      <c r="H18" s="14"/>
    </row>
    <row r="19" spans="1:9">
      <c r="B19" s="95" t="s">
        <v>977</v>
      </c>
      <c r="C19" s="95">
        <v>118694</v>
      </c>
      <c r="D19" s="179">
        <v>0</v>
      </c>
      <c r="E19" s="173">
        <v>39.28</v>
      </c>
      <c r="F19" s="14">
        <f>+D19*E19</f>
        <v>0</v>
      </c>
      <c r="G19" s="26">
        <f t="shared" si="2"/>
        <v>0</v>
      </c>
      <c r="H19" s="14"/>
    </row>
    <row r="20" spans="1:9">
      <c r="B20" s="95" t="s">
        <v>978</v>
      </c>
      <c r="C20" s="181"/>
      <c r="D20" s="179">
        <v>0</v>
      </c>
      <c r="E20" s="173">
        <v>189</v>
      </c>
      <c r="F20" s="14">
        <f>+D20*E20</f>
        <v>0</v>
      </c>
      <c r="G20" s="26">
        <f t="shared" si="2"/>
        <v>0</v>
      </c>
      <c r="H20" s="14"/>
    </row>
    <row r="21" spans="1:9">
      <c r="B21" s="95" t="s">
        <v>979</v>
      </c>
      <c r="C21" s="181">
        <v>206332</v>
      </c>
      <c r="D21" s="179">
        <v>0</v>
      </c>
      <c r="E21" s="173">
        <v>32.85</v>
      </c>
      <c r="F21" s="14" t="s">
        <v>319</v>
      </c>
      <c r="G21" s="26"/>
      <c r="H21" s="14"/>
    </row>
    <row r="22" spans="1:9">
      <c r="B22" s="95" t="s">
        <v>980</v>
      </c>
      <c r="C22" s="181"/>
      <c r="D22" s="179">
        <v>0</v>
      </c>
      <c r="E22" s="173">
        <v>169</v>
      </c>
      <c r="F22" s="14">
        <f t="shared" ref="F22:F29" si="3">+D22*E22</f>
        <v>0</v>
      </c>
      <c r="G22" s="26">
        <f t="shared" si="2"/>
        <v>0</v>
      </c>
      <c r="H22" s="14"/>
    </row>
    <row r="23" spans="1:9">
      <c r="B23" s="181" t="s">
        <v>981</v>
      </c>
      <c r="C23" s="181">
        <v>1692925</v>
      </c>
      <c r="D23" s="179">
        <v>0</v>
      </c>
      <c r="E23" s="173">
        <v>170.39</v>
      </c>
      <c r="F23" s="14">
        <f t="shared" si="3"/>
        <v>0</v>
      </c>
      <c r="G23" s="26">
        <f t="shared" si="2"/>
        <v>0</v>
      </c>
      <c r="H23" s="14"/>
    </row>
    <row r="24" spans="1:9">
      <c r="A24" s="489">
        <v>45929</v>
      </c>
      <c r="B24" s="181" t="s">
        <v>982</v>
      </c>
      <c r="C24" s="181"/>
      <c r="D24" s="179">
        <v>1</v>
      </c>
      <c r="E24" s="173">
        <v>75</v>
      </c>
      <c r="F24" s="14">
        <f t="shared" si="3"/>
        <v>75</v>
      </c>
      <c r="G24" s="26"/>
      <c r="H24" s="14"/>
    </row>
    <row r="25" spans="1:9">
      <c r="A25" s="489">
        <v>45929</v>
      </c>
      <c r="B25" s="181" t="s">
        <v>983</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984</v>
      </c>
      <c r="C29" s="181"/>
      <c r="D29" s="179">
        <v>0</v>
      </c>
      <c r="E29" s="173">
        <v>0</v>
      </c>
      <c r="F29" s="14">
        <f t="shared" si="3"/>
        <v>0</v>
      </c>
      <c r="G29" s="26">
        <f t="shared" si="2"/>
        <v>0</v>
      </c>
      <c r="H29" s="21"/>
    </row>
    <row r="30" spans="1:9">
      <c r="C30" s="2"/>
      <c r="D30" s="564" t="s">
        <v>985</v>
      </c>
      <c r="E30" s="564"/>
      <c r="F30" s="564"/>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520</v>
      </c>
      <c r="C1" s="3"/>
    </row>
    <row r="2" spans="1:12">
      <c r="D2" s="3"/>
      <c r="E2" s="8"/>
      <c r="F2" s="13"/>
      <c r="G2" s="13"/>
      <c r="H2" s="13"/>
    </row>
    <row r="3" spans="1:12">
      <c r="A3" t="s">
        <v>109</v>
      </c>
      <c r="B3" s="3" t="s">
        <v>508</v>
      </c>
      <c r="C3" s="3" t="s">
        <v>962</v>
      </c>
      <c r="D3" s="3" t="s">
        <v>789</v>
      </c>
      <c r="E3" s="8" t="s">
        <v>790</v>
      </c>
      <c r="F3" s="13" t="s">
        <v>791</v>
      </c>
      <c r="G3" s="13" t="s">
        <v>504</v>
      </c>
      <c r="H3" s="13" t="s">
        <v>792</v>
      </c>
    </row>
    <row r="4" spans="1:12" ht="15.75" thickBot="1">
      <c r="B4" s="3" t="s">
        <v>833</v>
      </c>
      <c r="C4" s="3"/>
      <c r="D4" s="3"/>
      <c r="E4" s="8"/>
      <c r="F4" s="13"/>
      <c r="G4" s="13"/>
      <c r="H4" s="13"/>
    </row>
    <row r="5" spans="1:12">
      <c r="B5" s="337" t="s">
        <v>986</v>
      </c>
      <c r="C5" s="337"/>
      <c r="D5" s="327">
        <v>0</v>
      </c>
      <c r="E5" s="334">
        <v>179</v>
      </c>
      <c r="F5" s="328">
        <f>+D5*E5</f>
        <v>0</v>
      </c>
      <c r="G5" s="335">
        <f t="shared" ref="G5:G10" si="0">+F5*0.0725</f>
        <v>0</v>
      </c>
      <c r="H5" s="333"/>
      <c r="J5" s="788" t="s">
        <v>9</v>
      </c>
      <c r="K5" s="788" t="str">
        <f>IF(Profit!Q6,IF(L5,"Yes","No"),"No")</f>
        <v>No</v>
      </c>
      <c r="L5" s="790" t="b">
        <v>0</v>
      </c>
    </row>
    <row r="6" spans="1:12" ht="15.75" thickBot="1">
      <c r="B6" s="337" t="s">
        <v>987</v>
      </c>
      <c r="C6" s="337"/>
      <c r="D6" s="327">
        <v>3</v>
      </c>
      <c r="E6" s="334">
        <v>53.98</v>
      </c>
      <c r="F6" s="328">
        <f>+D6*E6</f>
        <v>161.94</v>
      </c>
      <c r="G6" s="335">
        <f t="shared" si="0"/>
        <v>11.740649999999999</v>
      </c>
      <c r="H6" s="333"/>
      <c r="J6" s="789"/>
      <c r="K6" s="789"/>
      <c r="L6" s="791"/>
    </row>
    <row r="7" spans="1:12">
      <c r="B7" s="337" t="s">
        <v>812</v>
      </c>
      <c r="C7" s="337"/>
      <c r="D7" s="327">
        <v>3</v>
      </c>
      <c r="E7" s="334">
        <v>95</v>
      </c>
      <c r="F7" s="328">
        <f>+D7*E7</f>
        <v>285</v>
      </c>
      <c r="G7" s="335">
        <f t="shared" si="0"/>
        <v>20.662499999999998</v>
      </c>
      <c r="H7" s="333"/>
    </row>
    <row r="8" spans="1:12">
      <c r="B8" s="337" t="s">
        <v>988</v>
      </c>
      <c r="C8" s="337"/>
      <c r="D8" s="327">
        <v>1</v>
      </c>
      <c r="E8" s="334">
        <v>250</v>
      </c>
      <c r="F8" s="328">
        <f>+D8*E8</f>
        <v>250</v>
      </c>
      <c r="G8" s="335">
        <f t="shared" ref="G8" si="1">+F8*0.0725</f>
        <v>18.125</v>
      </c>
      <c r="H8" s="333"/>
    </row>
    <row r="9" spans="1:12">
      <c r="B9" s="337" t="s">
        <v>989</v>
      </c>
      <c r="C9" s="337"/>
      <c r="D9" s="327">
        <v>4</v>
      </c>
      <c r="E9" s="334">
        <v>39.979999999999997</v>
      </c>
      <c r="F9" s="328">
        <v>0</v>
      </c>
      <c r="G9" s="335">
        <f t="shared" si="0"/>
        <v>0</v>
      </c>
      <c r="H9" s="333"/>
    </row>
    <row r="10" spans="1:12" ht="15.75" thickBot="1">
      <c r="B10" s="337" t="s">
        <v>990</v>
      </c>
      <c r="C10" s="337">
        <v>732291231619</v>
      </c>
      <c r="D10" s="327">
        <v>3</v>
      </c>
      <c r="E10" s="334">
        <v>99</v>
      </c>
      <c r="F10" s="336">
        <f>+D10*E10</f>
        <v>297</v>
      </c>
      <c r="G10" s="336">
        <f t="shared" si="0"/>
        <v>21.532499999999999</v>
      </c>
      <c r="H10" s="336"/>
    </row>
    <row r="11" spans="1:12">
      <c r="B11" s="337"/>
      <c r="C11" s="337"/>
      <c r="D11" s="327"/>
      <c r="E11" s="334"/>
      <c r="F11" s="328"/>
      <c r="G11" s="328"/>
      <c r="H11" s="328">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1248</v>
      </c>
      <c r="C15" s="181" t="s">
        <v>1249</v>
      </c>
      <c r="D15" s="179">
        <v>1</v>
      </c>
      <c r="E15" s="173">
        <v>24.49</v>
      </c>
      <c r="F15" s="14">
        <f>+D15*E15</f>
        <v>24.49</v>
      </c>
      <c r="G15" s="26">
        <f t="shared" si="2"/>
        <v>1.7755249999999998</v>
      </c>
    </row>
    <row r="16" spans="1:12">
      <c r="A16" s="107">
        <v>46132</v>
      </c>
      <c r="B16" s="181" t="s">
        <v>1248</v>
      </c>
      <c r="C16" s="181" t="s">
        <v>1250</v>
      </c>
      <c r="D16" s="179">
        <v>1</v>
      </c>
      <c r="E16" s="173">
        <v>17.079999999999998</v>
      </c>
      <c r="F16" s="14">
        <f>+D16*E16</f>
        <v>17.079999999999998</v>
      </c>
      <c r="G16" s="26">
        <f t="shared" si="2"/>
        <v>1.2382999999999997</v>
      </c>
    </row>
    <row r="17" spans="2:11">
      <c r="B17" s="181" t="s">
        <v>991</v>
      </c>
      <c r="C17" s="181">
        <v>1227792</v>
      </c>
      <c r="D17" s="179">
        <v>0</v>
      </c>
      <c r="E17" s="173">
        <v>15.47</v>
      </c>
      <c r="F17" s="14">
        <f>+D17*E17</f>
        <v>0</v>
      </c>
      <c r="G17" s="26">
        <f t="shared" si="2"/>
        <v>0</v>
      </c>
    </row>
    <row r="18" spans="2:11">
      <c r="B18" s="181" t="s">
        <v>992</v>
      </c>
      <c r="C18" s="181">
        <v>1233228</v>
      </c>
      <c r="D18" s="179">
        <v>0</v>
      </c>
      <c r="E18" s="173">
        <v>39.979999999999997</v>
      </c>
      <c r="F18" s="14">
        <v>0</v>
      </c>
      <c r="G18" s="26">
        <f t="shared" si="2"/>
        <v>0</v>
      </c>
    </row>
    <row r="19" spans="2:11">
      <c r="B19" s="181" t="s">
        <v>993</v>
      </c>
      <c r="C19" s="181" t="s">
        <v>319</v>
      </c>
      <c r="D19" s="179">
        <v>0</v>
      </c>
      <c r="E19" s="173">
        <v>6.99</v>
      </c>
      <c r="F19" s="14">
        <f t="shared" ref="F19:F30" si="3">+D19*E19</f>
        <v>0</v>
      </c>
      <c r="G19" s="26">
        <f t="shared" si="2"/>
        <v>0</v>
      </c>
    </row>
    <row r="20" spans="2:11">
      <c r="B20" s="181" t="s">
        <v>994</v>
      </c>
      <c r="C20" s="181"/>
      <c r="D20" s="179">
        <v>0</v>
      </c>
      <c r="E20" s="173">
        <v>24.4</v>
      </c>
      <c r="F20" s="14">
        <f t="shared" si="3"/>
        <v>0</v>
      </c>
      <c r="G20" s="26">
        <f t="shared" si="2"/>
        <v>0</v>
      </c>
    </row>
    <row r="21" spans="2:11">
      <c r="B21" s="181" t="s">
        <v>990</v>
      </c>
      <c r="C21" s="181" t="s">
        <v>995</v>
      </c>
      <c r="D21" s="179">
        <v>0</v>
      </c>
      <c r="E21" s="173">
        <v>89.1</v>
      </c>
      <c r="F21" s="14">
        <f t="shared" si="3"/>
        <v>0</v>
      </c>
      <c r="G21" s="26">
        <f t="shared" si="2"/>
        <v>0</v>
      </c>
    </row>
    <row r="22" spans="2:11">
      <c r="B22" s="181" t="s">
        <v>996</v>
      </c>
      <c r="C22" s="189">
        <v>26508261804</v>
      </c>
      <c r="D22" s="179">
        <v>0</v>
      </c>
      <c r="E22" s="173">
        <v>114</v>
      </c>
      <c r="F22" s="14">
        <f t="shared" si="3"/>
        <v>0</v>
      </c>
      <c r="G22" s="26">
        <f t="shared" si="2"/>
        <v>0</v>
      </c>
    </row>
    <row r="23" spans="2:11">
      <c r="B23" s="181" t="s">
        <v>812</v>
      </c>
      <c r="C23" s="181">
        <v>6925699939094</v>
      </c>
      <c r="D23" s="179">
        <v>0</v>
      </c>
      <c r="E23" s="173">
        <v>34.979999999999997</v>
      </c>
      <c r="F23" s="14">
        <f t="shared" si="3"/>
        <v>0</v>
      </c>
      <c r="G23" s="26">
        <f t="shared" si="2"/>
        <v>0</v>
      </c>
    </row>
    <row r="24" spans="2:11">
      <c r="B24" s="181" t="s">
        <v>997</v>
      </c>
      <c r="C24" s="181"/>
      <c r="D24" s="179">
        <v>0</v>
      </c>
      <c r="E24" s="173"/>
      <c r="F24" s="14">
        <f t="shared" si="3"/>
        <v>0</v>
      </c>
      <c r="G24" s="26">
        <f t="shared" si="2"/>
        <v>0</v>
      </c>
    </row>
    <row r="25" spans="2:11">
      <c r="B25" s="181" t="s">
        <v>986</v>
      </c>
      <c r="C25" s="181">
        <v>38877656754</v>
      </c>
      <c r="D25" s="179">
        <v>0</v>
      </c>
      <c r="E25" s="173">
        <v>169</v>
      </c>
      <c r="F25" s="14">
        <f t="shared" si="3"/>
        <v>0</v>
      </c>
      <c r="G25" s="26">
        <f t="shared" si="2"/>
        <v>0</v>
      </c>
    </row>
    <row r="26" spans="2:11">
      <c r="B26" s="181" t="s">
        <v>990</v>
      </c>
      <c r="C26" s="181">
        <v>732291231619</v>
      </c>
      <c r="D26" s="179">
        <v>0</v>
      </c>
      <c r="E26" s="173">
        <v>99</v>
      </c>
      <c r="F26" s="14">
        <f t="shared" si="3"/>
        <v>0</v>
      </c>
      <c r="G26" s="26">
        <f t="shared" si="2"/>
        <v>0</v>
      </c>
    </row>
    <row r="27" spans="2:11">
      <c r="B27" s="181" t="s">
        <v>998</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540</v>
      </c>
      <c r="B1" s="32"/>
      <c r="C1" s="32"/>
    </row>
    <row r="2" spans="1:15">
      <c r="D2" s="3"/>
      <c r="E2" s="8"/>
      <c r="F2" s="13"/>
      <c r="G2" s="13"/>
      <c r="H2" s="13"/>
      <c r="K2" s="788" t="s">
        <v>9</v>
      </c>
      <c r="L2" s="788" t="str">
        <f>IF(Profit!Q6,IF(M2,"Yes","No"),"No")</f>
        <v>No</v>
      </c>
      <c r="M2" s="790" t="b">
        <v>0</v>
      </c>
    </row>
    <row r="3" spans="1:15" s="22" customFormat="1" ht="14.25" customHeight="1" thickBot="1">
      <c r="A3" s="3" t="s">
        <v>508</v>
      </c>
      <c r="B3" s="3" t="s">
        <v>109</v>
      </c>
      <c r="C3" s="3" t="s">
        <v>962</v>
      </c>
      <c r="D3" s="3" t="s">
        <v>789</v>
      </c>
      <c r="E3" s="8" t="s">
        <v>790</v>
      </c>
      <c r="F3" s="13" t="s">
        <v>791</v>
      </c>
      <c r="G3" s="13"/>
      <c r="H3" s="13" t="s">
        <v>792</v>
      </c>
      <c r="K3" s="789"/>
      <c r="L3" s="789"/>
      <c r="M3" s="791"/>
    </row>
    <row r="4" spans="1:15" s="22" customFormat="1" ht="14.25" customHeight="1">
      <c r="A4" s="3"/>
      <c r="B4" s="3"/>
      <c r="C4" s="3"/>
      <c r="D4" s="3"/>
      <c r="E4" s="8"/>
      <c r="F4" s="13"/>
      <c r="G4" s="13"/>
      <c r="H4" s="13"/>
      <c r="K4"/>
      <c r="L4"/>
      <c r="M4"/>
    </row>
    <row r="5" spans="1:15" s="22" customFormat="1" ht="14.25" customHeight="1">
      <c r="A5" s="3" t="s">
        <v>999</v>
      </c>
      <c r="B5" s="366">
        <v>45694</v>
      </c>
      <c r="C5" s="3"/>
      <c r="D5" s="3">
        <v>0</v>
      </c>
      <c r="E5" s="8">
        <v>2500</v>
      </c>
      <c r="F5" s="14">
        <f t="shared" ref="F5" si="0">+D5*E5</f>
        <v>0</v>
      </c>
      <c r="G5" s="14">
        <f>+F5*0.0725</f>
        <v>0</v>
      </c>
      <c r="H5" s="13"/>
      <c r="K5"/>
      <c r="L5"/>
      <c r="M5"/>
    </row>
    <row r="6" spans="1:15" s="22" customFormat="1" ht="14.25" customHeight="1">
      <c r="A6" s="3" t="s">
        <v>1000</v>
      </c>
      <c r="B6" s="3"/>
      <c r="C6" s="3"/>
      <c r="D6" s="3">
        <v>0</v>
      </c>
      <c r="E6" s="8">
        <v>350</v>
      </c>
      <c r="F6" s="14">
        <f t="shared" ref="F6:F18" si="1">+D6*E6</f>
        <v>0</v>
      </c>
      <c r="G6" s="14">
        <f>+F6*0.0725</f>
        <v>0</v>
      </c>
      <c r="H6" s="13"/>
      <c r="J6" s="22" t="s">
        <v>1001</v>
      </c>
      <c r="K6" t="s">
        <v>1002</v>
      </c>
      <c r="L6" t="s">
        <v>1003</v>
      </c>
      <c r="M6" t="s">
        <v>594</v>
      </c>
      <c r="N6" s="22" t="s">
        <v>601</v>
      </c>
      <c r="O6" s="22" t="s">
        <v>1004</v>
      </c>
    </row>
    <row r="7" spans="1:15" ht="14.25" customHeight="1">
      <c r="A7" s="32" t="s">
        <v>1005</v>
      </c>
      <c r="B7" s="32"/>
      <c r="C7" s="32">
        <v>935605</v>
      </c>
      <c r="D7" s="181">
        <v>0</v>
      </c>
      <c r="E7" s="173">
        <v>209</v>
      </c>
      <c r="F7" s="14">
        <f t="shared" si="1"/>
        <v>0</v>
      </c>
      <c r="G7" s="14">
        <f t="shared" ref="G7:G43" si="2">+F7*0.0725</f>
        <v>0</v>
      </c>
      <c r="H7" s="13"/>
      <c r="N7">
        <v>3</v>
      </c>
      <c r="O7">
        <v>2</v>
      </c>
    </row>
    <row r="8" spans="1:15" ht="14.25" customHeight="1">
      <c r="A8" s="32" t="s">
        <v>1006</v>
      </c>
      <c r="B8" s="32"/>
      <c r="C8" s="32">
        <v>935604</v>
      </c>
      <c r="D8" s="181">
        <f t="shared" ref="D8:D17" si="3">SUM(J8:O8)</f>
        <v>0</v>
      </c>
      <c r="E8" s="173">
        <v>209</v>
      </c>
      <c r="F8" s="14">
        <f t="shared" si="1"/>
        <v>0</v>
      </c>
      <c r="G8" s="14">
        <f t="shared" si="2"/>
        <v>0</v>
      </c>
      <c r="H8" s="13"/>
    </row>
    <row r="9" spans="1:15" ht="14.25" customHeight="1">
      <c r="A9" s="32" t="s">
        <v>1007</v>
      </c>
      <c r="B9" s="32"/>
      <c r="C9" s="32">
        <v>935599</v>
      </c>
      <c r="D9" s="181">
        <f t="shared" si="3"/>
        <v>0</v>
      </c>
      <c r="E9" s="173">
        <v>198.56</v>
      </c>
      <c r="F9" s="14">
        <f>+D9*E9</f>
        <v>0</v>
      </c>
      <c r="G9" s="14">
        <f t="shared" si="2"/>
        <v>0</v>
      </c>
      <c r="H9" s="13"/>
    </row>
    <row r="10" spans="1:15" ht="14.25" customHeight="1">
      <c r="A10" s="32" t="s">
        <v>1008</v>
      </c>
      <c r="B10" s="32"/>
      <c r="C10" s="32">
        <v>14005</v>
      </c>
      <c r="D10" s="181">
        <f t="shared" si="3"/>
        <v>0</v>
      </c>
      <c r="E10" s="173">
        <v>179</v>
      </c>
      <c r="F10" s="14">
        <f t="shared" si="1"/>
        <v>0</v>
      </c>
      <c r="G10" s="14">
        <f t="shared" si="2"/>
        <v>0</v>
      </c>
    </row>
    <row r="11" spans="1:15" ht="14.25" customHeight="1">
      <c r="A11" s="32" t="s">
        <v>1009</v>
      </c>
      <c r="B11" s="32"/>
      <c r="C11" s="32">
        <v>14006</v>
      </c>
      <c r="D11" s="181">
        <f t="shared" si="3"/>
        <v>0</v>
      </c>
      <c r="E11" s="173">
        <v>179</v>
      </c>
      <c r="F11" s="14">
        <f t="shared" si="1"/>
        <v>0</v>
      </c>
      <c r="G11" s="14">
        <f t="shared" si="2"/>
        <v>0</v>
      </c>
    </row>
    <row r="12" spans="1:15" ht="14.25" customHeight="1">
      <c r="A12" s="32" t="s">
        <v>1010</v>
      </c>
      <c r="B12" s="32"/>
      <c r="C12" s="32">
        <v>935587</v>
      </c>
      <c r="D12" s="181">
        <f t="shared" si="3"/>
        <v>0</v>
      </c>
      <c r="E12" s="173">
        <v>198.55</v>
      </c>
      <c r="F12" s="14">
        <f>+D12*E12</f>
        <v>0</v>
      </c>
      <c r="G12" s="14">
        <f t="shared" si="2"/>
        <v>0</v>
      </c>
    </row>
    <row r="13" spans="1:15" ht="14.25" customHeight="1">
      <c r="A13" s="32" t="s">
        <v>1011</v>
      </c>
      <c r="B13" s="32"/>
      <c r="C13" s="32">
        <v>49504</v>
      </c>
      <c r="D13" s="181">
        <f t="shared" si="3"/>
        <v>0</v>
      </c>
      <c r="E13" s="173">
        <v>103</v>
      </c>
      <c r="F13" s="14">
        <f t="shared" si="1"/>
        <v>0</v>
      </c>
      <c r="G13" s="14">
        <f t="shared" si="2"/>
        <v>0</v>
      </c>
    </row>
    <row r="14" spans="1:15" ht="14.25" customHeight="1">
      <c r="A14" s="32" t="s">
        <v>1012</v>
      </c>
      <c r="B14" s="32"/>
      <c r="C14" s="32">
        <v>49706</v>
      </c>
      <c r="D14" s="181">
        <v>0</v>
      </c>
      <c r="E14" s="173">
        <v>103</v>
      </c>
      <c r="F14" s="14">
        <f t="shared" si="1"/>
        <v>0</v>
      </c>
      <c r="G14" s="14">
        <f t="shared" si="2"/>
        <v>0</v>
      </c>
      <c r="K14">
        <v>1</v>
      </c>
      <c r="L14">
        <v>2</v>
      </c>
    </row>
    <row r="15" spans="1:15" ht="14.25" customHeight="1">
      <c r="A15" s="32" t="s">
        <v>1013</v>
      </c>
      <c r="B15" s="32"/>
      <c r="C15" s="32">
        <v>47025</v>
      </c>
      <c r="D15" s="181">
        <v>0</v>
      </c>
      <c r="E15" s="173">
        <v>99</v>
      </c>
      <c r="F15" s="14">
        <f t="shared" si="1"/>
        <v>0</v>
      </c>
      <c r="G15" s="14">
        <f t="shared" si="2"/>
        <v>0</v>
      </c>
      <c r="L15">
        <v>1</v>
      </c>
    </row>
    <row r="16" spans="1:15" ht="14.25" customHeight="1">
      <c r="A16" s="32" t="s">
        <v>1014</v>
      </c>
      <c r="B16" s="32"/>
      <c r="C16" s="32">
        <v>47422</v>
      </c>
      <c r="D16" s="181">
        <f t="shared" si="3"/>
        <v>0</v>
      </c>
      <c r="E16" s="173">
        <v>99</v>
      </c>
      <c r="F16" s="14">
        <f t="shared" si="1"/>
        <v>0</v>
      </c>
      <c r="G16" s="14">
        <f t="shared" si="2"/>
        <v>0</v>
      </c>
    </row>
    <row r="17" spans="1:13" ht="14.25" customHeight="1">
      <c r="A17" s="32" t="s">
        <v>1015</v>
      </c>
      <c r="B17" s="32"/>
      <c r="C17" s="32">
        <v>43359</v>
      </c>
      <c r="D17" s="181">
        <f t="shared" si="3"/>
        <v>0</v>
      </c>
      <c r="E17" s="173">
        <v>95</v>
      </c>
      <c r="F17" s="14">
        <f t="shared" si="1"/>
        <v>0</v>
      </c>
      <c r="G17" s="14">
        <f t="shared" si="2"/>
        <v>0</v>
      </c>
    </row>
    <row r="18" spans="1:13" ht="14.25" customHeight="1">
      <c r="A18" s="32" t="s">
        <v>1016</v>
      </c>
      <c r="B18" s="32"/>
      <c r="C18" s="32">
        <v>44035</v>
      </c>
      <c r="D18" s="181">
        <v>0</v>
      </c>
      <c r="E18" s="173">
        <v>95</v>
      </c>
      <c r="F18" s="14">
        <f t="shared" si="1"/>
        <v>0</v>
      </c>
      <c r="G18" s="14">
        <f t="shared" si="2"/>
        <v>0</v>
      </c>
      <c r="J18">
        <v>2</v>
      </c>
      <c r="K18">
        <v>2</v>
      </c>
      <c r="L18">
        <v>4</v>
      </c>
      <c r="M18">
        <v>1</v>
      </c>
    </row>
    <row r="19" spans="1:13" ht="14.25" customHeight="1">
      <c r="A19" s="32" t="s">
        <v>1017</v>
      </c>
      <c r="B19" s="32"/>
      <c r="C19" s="32">
        <v>44035</v>
      </c>
      <c r="D19" s="181">
        <v>0</v>
      </c>
      <c r="E19" s="173">
        <v>95</v>
      </c>
      <c r="F19" s="14">
        <f t="shared" ref="F19" si="4">+D19*E19</f>
        <v>0</v>
      </c>
      <c r="G19" s="14">
        <f t="shared" ref="G19" si="5">+F19*0.0725</f>
        <v>0</v>
      </c>
      <c r="J19">
        <v>2</v>
      </c>
      <c r="M19">
        <v>1</v>
      </c>
    </row>
    <row r="20" spans="1:13" ht="14.25" customHeight="1">
      <c r="A20" s="32" t="s">
        <v>1018</v>
      </c>
      <c r="B20" s="32"/>
      <c r="C20" s="32"/>
      <c r="D20" s="181">
        <v>0</v>
      </c>
      <c r="E20" s="173">
        <v>95</v>
      </c>
      <c r="F20" s="14">
        <f t="shared" ref="F20" si="6">+D20*E20</f>
        <v>0</v>
      </c>
      <c r="G20" s="14">
        <f t="shared" ref="G20" si="7">+F20*0.0725</f>
        <v>0</v>
      </c>
      <c r="K20">
        <v>1</v>
      </c>
      <c r="M20">
        <v>1</v>
      </c>
    </row>
    <row r="21" spans="1:13" ht="14.25" customHeight="1">
      <c r="A21" s="218" t="s">
        <v>1019</v>
      </c>
      <c r="B21" s="218"/>
      <c r="C21" s="218">
        <v>25598</v>
      </c>
      <c r="D21" s="179">
        <v>0</v>
      </c>
      <c r="E21" s="173">
        <v>101</v>
      </c>
      <c r="F21" s="14">
        <f t="shared" ref="F21:F43" si="8">+D21*E21</f>
        <v>0</v>
      </c>
      <c r="G21" s="14">
        <f t="shared" si="2"/>
        <v>0</v>
      </c>
    </row>
    <row r="22" spans="1:13" ht="14.25" customHeight="1">
      <c r="A22" s="218" t="s">
        <v>1020</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1021</v>
      </c>
      <c r="B24" s="218"/>
      <c r="C24" s="218"/>
      <c r="D24" s="179"/>
      <c r="E24" s="173"/>
    </row>
    <row r="25" spans="1:13" ht="14.25" customHeight="1">
      <c r="A25" s="218" t="s">
        <v>1022</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1023</v>
      </c>
      <c r="B27" s="32"/>
      <c r="C27" s="32"/>
      <c r="D27" s="179">
        <v>0</v>
      </c>
      <c r="E27" s="173">
        <v>284.56</v>
      </c>
      <c r="F27" s="14">
        <f t="shared" si="8"/>
        <v>0</v>
      </c>
      <c r="G27" s="14">
        <f t="shared" si="2"/>
        <v>0</v>
      </c>
    </row>
    <row r="28" spans="1:13" ht="14.25" customHeight="1">
      <c r="A28" s="32" t="s">
        <v>1024</v>
      </c>
      <c r="B28" s="32"/>
      <c r="C28" s="32">
        <v>72904</v>
      </c>
      <c r="D28" s="179">
        <v>0</v>
      </c>
      <c r="E28" s="173">
        <v>429.62</v>
      </c>
      <c r="F28" s="14">
        <f>+D28*E28</f>
        <v>0</v>
      </c>
      <c r="G28" s="14">
        <f t="shared" si="2"/>
        <v>0</v>
      </c>
    </row>
    <row r="29" spans="1:13" ht="14.25" customHeight="1">
      <c r="A29" s="32" t="s">
        <v>1025</v>
      </c>
      <c r="B29" s="32"/>
      <c r="C29" s="32" t="s">
        <v>1026</v>
      </c>
      <c r="D29" s="179">
        <v>0</v>
      </c>
      <c r="E29" s="173">
        <v>8.77</v>
      </c>
      <c r="F29" s="14">
        <f t="shared" si="8"/>
        <v>0</v>
      </c>
      <c r="G29" s="14">
        <f t="shared" si="2"/>
        <v>0</v>
      </c>
    </row>
    <row r="30" spans="1:13" ht="14.25" customHeight="1">
      <c r="A30" s="218" t="s">
        <v>1027</v>
      </c>
      <c r="B30" s="218"/>
      <c r="C30" s="218" t="s">
        <v>1028</v>
      </c>
      <c r="D30" s="179">
        <v>0</v>
      </c>
      <c r="E30" s="173">
        <v>18.88</v>
      </c>
      <c r="F30" s="14">
        <f t="shared" si="8"/>
        <v>0</v>
      </c>
      <c r="G30" s="14">
        <f t="shared" si="2"/>
        <v>0</v>
      </c>
    </row>
    <row r="31" spans="1:13" ht="14.25" customHeight="1">
      <c r="A31" s="218" t="s">
        <v>1029</v>
      </c>
      <c r="B31" s="218"/>
      <c r="C31" s="218" t="s">
        <v>1030</v>
      </c>
      <c r="D31" s="179">
        <v>0</v>
      </c>
      <c r="E31" s="173">
        <v>47.14</v>
      </c>
      <c r="F31" s="14">
        <f t="shared" si="8"/>
        <v>0</v>
      </c>
      <c r="G31" s="14">
        <f t="shared" si="2"/>
        <v>0</v>
      </c>
    </row>
    <row r="32" spans="1:13" ht="14.25" customHeight="1">
      <c r="A32" s="218" t="s">
        <v>1029</v>
      </c>
      <c r="B32" s="218"/>
      <c r="C32" s="218" t="s">
        <v>1031</v>
      </c>
      <c r="D32" s="179">
        <v>0</v>
      </c>
      <c r="E32" s="173">
        <v>27.73</v>
      </c>
      <c r="F32" s="14">
        <f t="shared" si="8"/>
        <v>0</v>
      </c>
      <c r="G32" s="14">
        <f t="shared" si="2"/>
        <v>0</v>
      </c>
    </row>
    <row r="33" spans="1:11" ht="14.25" customHeight="1">
      <c r="A33" s="32" t="s">
        <v>1032</v>
      </c>
      <c r="B33" s="32" t="s">
        <v>1033</v>
      </c>
      <c r="C33" s="32">
        <v>100619</v>
      </c>
      <c r="D33" s="179">
        <v>1</v>
      </c>
      <c r="E33" s="173">
        <v>65.08</v>
      </c>
      <c r="F33" s="14">
        <f t="shared" si="8"/>
        <v>65.08</v>
      </c>
      <c r="G33" s="14">
        <f t="shared" si="2"/>
        <v>4.7182999999999993</v>
      </c>
    </row>
    <row r="34" spans="1:11" ht="14.25" customHeight="1">
      <c r="A34" s="32" t="s">
        <v>1034</v>
      </c>
      <c r="B34" s="32" t="s">
        <v>1035</v>
      </c>
      <c r="C34" s="32" t="s">
        <v>319</v>
      </c>
      <c r="D34" s="179">
        <v>1</v>
      </c>
      <c r="E34" s="173">
        <v>39.04</v>
      </c>
      <c r="F34" s="14">
        <f t="shared" si="8"/>
        <v>39.04</v>
      </c>
      <c r="G34" s="14">
        <f t="shared" si="2"/>
        <v>2.8303999999999996</v>
      </c>
    </row>
    <row r="35" spans="1:11" ht="14.25" customHeight="1">
      <c r="A35" s="32" t="s">
        <v>1036</v>
      </c>
      <c r="B35" s="32" t="s">
        <v>1037</v>
      </c>
      <c r="C35" s="32"/>
      <c r="D35" s="179">
        <v>1</v>
      </c>
      <c r="E35" s="173">
        <v>91.778000000000006</v>
      </c>
      <c r="F35" s="14">
        <f t="shared" si="8"/>
        <v>91.778000000000006</v>
      </c>
      <c r="G35" s="14">
        <f t="shared" si="2"/>
        <v>6.653905</v>
      </c>
    </row>
    <row r="36" spans="1:11" ht="14.25" customHeight="1">
      <c r="A36" s="32" t="s">
        <v>1038</v>
      </c>
      <c r="B36" s="32"/>
      <c r="C36" s="32" t="s">
        <v>1039</v>
      </c>
      <c r="D36" s="179">
        <v>0</v>
      </c>
      <c r="E36" s="173">
        <v>69.97</v>
      </c>
      <c r="F36" s="14">
        <f t="shared" si="8"/>
        <v>0</v>
      </c>
      <c r="G36" s="14">
        <f t="shared" si="2"/>
        <v>0</v>
      </c>
    </row>
    <row r="37" spans="1:11" ht="14.25" customHeight="1">
      <c r="A37" s="32" t="s">
        <v>1040</v>
      </c>
      <c r="B37" s="32"/>
      <c r="C37" s="32" t="s">
        <v>1041</v>
      </c>
      <c r="D37" s="179">
        <v>0</v>
      </c>
      <c r="E37" s="173">
        <v>289</v>
      </c>
      <c r="F37" s="14">
        <f t="shared" si="8"/>
        <v>0</v>
      </c>
      <c r="G37" s="14">
        <f t="shared" si="2"/>
        <v>0</v>
      </c>
    </row>
    <row r="38" spans="1:11" ht="14.25" customHeight="1">
      <c r="A38" s="32" t="s">
        <v>1042</v>
      </c>
      <c r="B38" s="32"/>
      <c r="C38" s="32" t="s">
        <v>1043</v>
      </c>
      <c r="D38" s="179">
        <v>0</v>
      </c>
      <c r="E38" s="173">
        <v>15</v>
      </c>
      <c r="F38" s="14">
        <v>0</v>
      </c>
      <c r="G38" s="14">
        <f t="shared" si="2"/>
        <v>0</v>
      </c>
    </row>
    <row r="39" spans="1:11" ht="14.25" customHeight="1">
      <c r="A39" s="32" t="s">
        <v>1044</v>
      </c>
      <c r="B39" s="32"/>
      <c r="C39" s="32"/>
      <c r="D39" s="179"/>
      <c r="E39" s="173"/>
      <c r="F39" s="14">
        <f t="shared" si="8"/>
        <v>0</v>
      </c>
      <c r="G39" s="14">
        <f t="shared" si="2"/>
        <v>0</v>
      </c>
    </row>
    <row r="40" spans="1:11" ht="14.25" customHeight="1">
      <c r="A40" s="32" t="s">
        <v>1045</v>
      </c>
      <c r="B40" s="32"/>
      <c r="C40" s="32">
        <v>30699285174</v>
      </c>
      <c r="D40" s="179">
        <v>0</v>
      </c>
      <c r="E40" s="173">
        <v>12.93</v>
      </c>
      <c r="F40" s="14">
        <f t="shared" si="8"/>
        <v>0</v>
      </c>
      <c r="G40" s="14">
        <f t="shared" si="2"/>
        <v>0</v>
      </c>
    </row>
    <row r="41" spans="1:11" ht="14.25" customHeight="1">
      <c r="A41" s="32" t="s">
        <v>1046</v>
      </c>
      <c r="B41" s="32"/>
      <c r="C41" s="190">
        <v>883351469845</v>
      </c>
      <c r="D41" s="179">
        <v>0</v>
      </c>
      <c r="E41" s="173">
        <v>47.97</v>
      </c>
      <c r="F41" s="14">
        <f t="shared" si="8"/>
        <v>0</v>
      </c>
      <c r="G41" s="14">
        <f t="shared" si="2"/>
        <v>0</v>
      </c>
    </row>
    <row r="42" spans="1:11" ht="14.25" customHeight="1">
      <c r="A42" s="32" t="s">
        <v>1047</v>
      </c>
      <c r="B42" s="32"/>
      <c r="C42" s="190">
        <v>883351891448</v>
      </c>
      <c r="D42" s="179">
        <v>0</v>
      </c>
      <c r="E42" s="173">
        <v>77.569999999999993</v>
      </c>
      <c r="F42" s="14">
        <f t="shared" si="8"/>
        <v>0</v>
      </c>
      <c r="G42" s="14">
        <f t="shared" si="2"/>
        <v>0</v>
      </c>
    </row>
    <row r="43" spans="1:11" ht="14.25" customHeight="1" thickBot="1">
      <c r="A43" s="32" t="s">
        <v>1048</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661</v>
      </c>
      <c r="C1" s="3"/>
    </row>
    <row r="2" spans="1:14">
      <c r="D2" s="3"/>
      <c r="E2" s="8"/>
      <c r="F2" s="534">
        <v>0.1</v>
      </c>
      <c r="G2" s="13"/>
      <c r="H2" s="13"/>
      <c r="I2" s="13"/>
      <c r="L2" s="788" t="s">
        <v>9</v>
      </c>
      <c r="M2" s="788" t="str">
        <f>IF(Profit!Q6,IF(N2,"Yes","No"),"No")</f>
        <v>No</v>
      </c>
      <c r="N2" s="790" t="b">
        <v>0</v>
      </c>
    </row>
    <row r="3" spans="1:14" ht="15.75" thickBot="1">
      <c r="A3" t="s">
        <v>109</v>
      </c>
      <c r="B3" s="31" t="s">
        <v>508</v>
      </c>
      <c r="C3" s="31" t="s">
        <v>962</v>
      </c>
      <c r="D3" s="31" t="s">
        <v>789</v>
      </c>
      <c r="E3" s="185" t="s">
        <v>790</v>
      </c>
      <c r="F3" s="185" t="s">
        <v>1229</v>
      </c>
      <c r="G3" s="186" t="s">
        <v>791</v>
      </c>
      <c r="H3" s="186" t="s">
        <v>504</v>
      </c>
      <c r="I3" s="186" t="s">
        <v>792</v>
      </c>
      <c r="L3" s="789"/>
      <c r="M3" s="789"/>
      <c r="N3" s="791"/>
    </row>
    <row r="4" spans="1:14">
      <c r="B4" s="331" t="s">
        <v>1049</v>
      </c>
      <c r="C4" s="331"/>
      <c r="D4" s="331">
        <v>2</v>
      </c>
      <c r="E4" s="412">
        <v>2500</v>
      </c>
      <c r="F4" s="412"/>
      <c r="G4" s="339">
        <f>D4*E4</f>
        <v>5000</v>
      </c>
      <c r="H4" s="335">
        <f t="shared" ref="H4:H8" si="0">+G4*0.0725</f>
        <v>362.5</v>
      </c>
      <c r="I4" s="455">
        <f>SUM(G4:H4)</f>
        <v>5362.5</v>
      </c>
    </row>
    <row r="5" spans="1:14">
      <c r="B5" s="331" t="s">
        <v>1050</v>
      </c>
      <c r="C5" s="331"/>
      <c r="D5" s="331">
        <v>0</v>
      </c>
      <c r="E5" s="413">
        <v>700</v>
      </c>
      <c r="F5" s="413"/>
      <c r="G5" s="339">
        <f>D5*E5</f>
        <v>0</v>
      </c>
      <c r="H5" s="335">
        <f t="shared" si="0"/>
        <v>0</v>
      </c>
      <c r="I5" s="455">
        <f>SUM(G5:H5)</f>
        <v>0</v>
      </c>
    </row>
    <row r="6" spans="1:14">
      <c r="B6" s="331" t="s">
        <v>1051</v>
      </c>
      <c r="C6" s="331"/>
      <c r="D6" s="331">
        <v>5</v>
      </c>
      <c r="E6" s="413">
        <v>300</v>
      </c>
      <c r="F6" s="413"/>
      <c r="G6" s="339">
        <f t="shared" ref="G6:G8" si="1">D6*E6</f>
        <v>1500</v>
      </c>
      <c r="H6" s="335">
        <f t="shared" si="0"/>
        <v>108.74999999999999</v>
      </c>
      <c r="I6" s="455">
        <f t="shared" ref="I6:I8" si="2">SUM(G6:H6)</f>
        <v>1608.75</v>
      </c>
    </row>
    <row r="7" spans="1:14">
      <c r="B7" s="331" t="s">
        <v>1052</v>
      </c>
      <c r="C7" s="331"/>
      <c r="D7" s="331">
        <v>5</v>
      </c>
      <c r="E7" s="413">
        <v>450</v>
      </c>
      <c r="F7" s="413"/>
      <c r="G7" s="339">
        <f t="shared" si="1"/>
        <v>2250</v>
      </c>
      <c r="H7" s="335">
        <f t="shared" si="0"/>
        <v>163.125</v>
      </c>
      <c r="I7" s="455">
        <f t="shared" si="2"/>
        <v>2413.125</v>
      </c>
    </row>
    <row r="8" spans="1:14">
      <c r="B8" s="331"/>
      <c r="C8" s="331"/>
      <c r="D8" s="331"/>
      <c r="E8" s="413"/>
      <c r="F8" s="413"/>
      <c r="G8" s="339">
        <f t="shared" si="1"/>
        <v>0</v>
      </c>
      <c r="H8" s="335">
        <f t="shared" si="0"/>
        <v>0</v>
      </c>
      <c r="I8" s="455">
        <f t="shared" si="2"/>
        <v>0</v>
      </c>
    </row>
    <row r="9" spans="1:14">
      <c r="B9" s="331"/>
      <c r="C9" s="331"/>
      <c r="D9" s="337"/>
      <c r="E9" s="332"/>
      <c r="F9" s="332"/>
      <c r="G9" s="339"/>
      <c r="H9" s="335"/>
      <c r="I9" s="455"/>
      <c r="J9" s="14">
        <f>IF(M2="Yes",+SUM(G4:H9),0)</f>
        <v>0</v>
      </c>
    </row>
    <row r="10" spans="1:14">
      <c r="B10" s="331"/>
      <c r="C10" s="331"/>
      <c r="D10" s="337"/>
      <c r="E10" s="332"/>
      <c r="F10" s="332"/>
      <c r="G10" s="339"/>
      <c r="H10" s="335"/>
      <c r="I10" s="455"/>
    </row>
    <row r="11" spans="1:14">
      <c r="B11" s="183" t="s">
        <v>1243</v>
      </c>
      <c r="C11" s="183" t="s">
        <v>1053</v>
      </c>
      <c r="D11" s="181">
        <v>0</v>
      </c>
      <c r="E11" s="184">
        <v>154</v>
      </c>
      <c r="F11" s="184"/>
      <c r="G11" s="1">
        <f>D11*E11</f>
        <v>0</v>
      </c>
      <c r="H11" s="26">
        <f t="shared" ref="H11:H30" si="3">+G11*0.0725</f>
        <v>0</v>
      </c>
      <c r="I11" s="13"/>
    </row>
    <row r="12" spans="1:14">
      <c r="A12" s="451">
        <v>46090</v>
      </c>
      <c r="B12" s="181" t="s">
        <v>1228</v>
      </c>
      <c r="C12" s="181">
        <v>795984</v>
      </c>
      <c r="D12" s="179">
        <v>1</v>
      </c>
      <c r="E12" s="173">
        <v>437.8</v>
      </c>
      <c r="F12" s="179">
        <f>-E12*$F$2</f>
        <v>-43.78</v>
      </c>
      <c r="G12" s="1">
        <f>(D12*E12)+F12</f>
        <v>394.02</v>
      </c>
      <c r="H12" s="26">
        <f t="shared" si="3"/>
        <v>28.566449999999996</v>
      </c>
    </row>
    <row r="13" spans="1:14">
      <c r="A13" s="451">
        <v>46090</v>
      </c>
      <c r="B13" s="181" t="s">
        <v>1230</v>
      </c>
      <c r="C13" s="181" t="s">
        <v>1054</v>
      </c>
      <c r="D13" s="179">
        <v>1</v>
      </c>
      <c r="E13" s="173">
        <v>250.84</v>
      </c>
      <c r="F13" s="179">
        <f t="shared" ref="F13:F30" si="4">-E13*$F$2</f>
        <v>-25.084000000000003</v>
      </c>
      <c r="G13" s="1">
        <f t="shared" ref="G13:G30" si="5">(D13*E13)+F13</f>
        <v>225.756</v>
      </c>
      <c r="H13" s="26">
        <f t="shared" si="3"/>
        <v>16.36731</v>
      </c>
    </row>
    <row r="14" spans="1:14">
      <c r="A14" s="451">
        <v>46090</v>
      </c>
      <c r="B14" s="181" t="s">
        <v>1231</v>
      </c>
      <c r="C14" s="181" t="s">
        <v>1055</v>
      </c>
      <c r="D14" s="179">
        <v>1</v>
      </c>
      <c r="E14" s="173">
        <v>275.36</v>
      </c>
      <c r="F14" s="179">
        <f t="shared" si="4"/>
        <v>-27.536000000000001</v>
      </c>
      <c r="G14" s="1">
        <f t="shared" si="5"/>
        <v>247.82400000000001</v>
      </c>
      <c r="H14" s="26">
        <f t="shared" si="3"/>
        <v>17.96724</v>
      </c>
    </row>
    <row r="15" spans="1:14">
      <c r="A15" s="451">
        <v>46090</v>
      </c>
      <c r="B15" s="181" t="s">
        <v>1232</v>
      </c>
      <c r="C15" s="181" t="s">
        <v>1056</v>
      </c>
      <c r="D15" s="179">
        <v>1</v>
      </c>
      <c r="E15" s="173">
        <v>175.4</v>
      </c>
      <c r="F15" s="179">
        <f t="shared" si="4"/>
        <v>-17.540000000000003</v>
      </c>
      <c r="G15" s="1">
        <f t="shared" si="5"/>
        <v>157.86000000000001</v>
      </c>
      <c r="H15" s="26">
        <f t="shared" si="3"/>
        <v>11.444850000000001</v>
      </c>
    </row>
    <row r="16" spans="1:14">
      <c r="A16" s="451">
        <v>46090</v>
      </c>
      <c r="B16" s="181" t="s">
        <v>1233</v>
      </c>
      <c r="C16" s="181" t="s">
        <v>1057</v>
      </c>
      <c r="D16" s="179">
        <v>1</v>
      </c>
      <c r="E16" s="173">
        <v>207.32</v>
      </c>
      <c r="F16" s="179">
        <f t="shared" si="4"/>
        <v>-20.731999999999999</v>
      </c>
      <c r="G16" s="1">
        <f t="shared" si="5"/>
        <v>186.58799999999999</v>
      </c>
      <c r="H16" s="26">
        <f t="shared" si="3"/>
        <v>13.527629999999998</v>
      </c>
    </row>
    <row r="17" spans="1:12">
      <c r="A17" s="451">
        <v>46090</v>
      </c>
      <c r="B17" s="181" t="s">
        <v>1234</v>
      </c>
      <c r="C17" s="181" t="s">
        <v>1058</v>
      </c>
      <c r="D17" s="179">
        <v>1</v>
      </c>
      <c r="E17" s="173">
        <v>314.24</v>
      </c>
      <c r="F17" s="179">
        <f t="shared" si="4"/>
        <v>-31.424000000000003</v>
      </c>
      <c r="G17" s="1">
        <f t="shared" si="5"/>
        <v>282.81600000000003</v>
      </c>
      <c r="H17" s="26">
        <f t="shared" si="3"/>
        <v>20.504160000000002</v>
      </c>
    </row>
    <row r="18" spans="1:12">
      <c r="A18" s="451">
        <v>46090</v>
      </c>
      <c r="B18" s="181" t="s">
        <v>1235</v>
      </c>
      <c r="C18" s="181"/>
      <c r="D18" s="179">
        <v>1</v>
      </c>
      <c r="E18" s="173">
        <v>184.18</v>
      </c>
      <c r="F18" s="179">
        <f t="shared" si="4"/>
        <v>-18.418000000000003</v>
      </c>
      <c r="G18" s="1">
        <f t="shared" si="5"/>
        <v>165.762</v>
      </c>
      <c r="H18" s="26">
        <f t="shared" si="3"/>
        <v>12.017745</v>
      </c>
    </row>
    <row r="19" spans="1:12">
      <c r="A19" s="451">
        <v>46090</v>
      </c>
      <c r="B19" s="181" t="s">
        <v>1236</v>
      </c>
      <c r="C19" s="181"/>
      <c r="D19" s="179">
        <v>1</v>
      </c>
      <c r="E19" s="173">
        <v>432.24</v>
      </c>
      <c r="F19" s="179">
        <f t="shared" si="4"/>
        <v>-43.224000000000004</v>
      </c>
      <c r="G19" s="1">
        <f t="shared" si="5"/>
        <v>389.01600000000002</v>
      </c>
      <c r="H19" s="26">
        <f t="shared" si="3"/>
        <v>28.203659999999999</v>
      </c>
    </row>
    <row r="20" spans="1:12">
      <c r="A20" s="451">
        <v>46090</v>
      </c>
      <c r="B20" s="181" t="s">
        <v>1237</v>
      </c>
      <c r="C20" s="181"/>
      <c r="D20" s="179">
        <v>1</v>
      </c>
      <c r="E20" s="173">
        <v>239.26</v>
      </c>
      <c r="F20" s="179">
        <f t="shared" si="4"/>
        <v>-23.926000000000002</v>
      </c>
      <c r="G20" s="1">
        <f t="shared" si="5"/>
        <v>215.334</v>
      </c>
      <c r="H20" s="26">
        <f t="shared" si="3"/>
        <v>15.611714999999998</v>
      </c>
    </row>
    <row r="21" spans="1:12">
      <c r="A21" s="451">
        <v>46090</v>
      </c>
      <c r="B21" s="181" t="s">
        <v>1238</v>
      </c>
      <c r="C21" s="181"/>
      <c r="D21" s="179">
        <v>1</v>
      </c>
      <c r="E21" s="173">
        <v>380</v>
      </c>
      <c r="F21" s="179">
        <f t="shared" si="4"/>
        <v>-38</v>
      </c>
      <c r="G21" s="1">
        <f t="shared" si="5"/>
        <v>342</v>
      </c>
      <c r="H21" s="26">
        <f t="shared" si="3"/>
        <v>24.794999999999998</v>
      </c>
    </row>
    <row r="22" spans="1:12">
      <c r="A22" s="451">
        <v>46090</v>
      </c>
      <c r="B22" s="181" t="s">
        <v>1239</v>
      </c>
      <c r="C22" s="181">
        <v>795984</v>
      </c>
      <c r="D22" s="179">
        <v>1</v>
      </c>
      <c r="E22" s="173">
        <v>50</v>
      </c>
      <c r="F22" s="179">
        <f t="shared" si="4"/>
        <v>-5</v>
      </c>
      <c r="G22" s="1">
        <f t="shared" si="5"/>
        <v>45</v>
      </c>
      <c r="H22" s="26">
        <f t="shared" si="3"/>
        <v>3.2624999999999997</v>
      </c>
    </row>
    <row r="23" spans="1:12">
      <c r="A23" s="451">
        <v>46090</v>
      </c>
      <c r="B23" s="181" t="s">
        <v>1240</v>
      </c>
      <c r="C23" s="181"/>
      <c r="D23" s="179">
        <v>1</v>
      </c>
      <c r="E23" s="173">
        <v>38</v>
      </c>
      <c r="F23" s="179">
        <f t="shared" si="4"/>
        <v>-3.8000000000000003</v>
      </c>
      <c r="G23" s="1">
        <f t="shared" si="5"/>
        <v>34.200000000000003</v>
      </c>
      <c r="H23" s="26">
        <f t="shared" si="3"/>
        <v>2.4794999999999998</v>
      </c>
    </row>
    <row r="24" spans="1:12">
      <c r="A24" s="451">
        <v>46090</v>
      </c>
      <c r="B24" s="181" t="s">
        <v>1241</v>
      </c>
      <c r="C24" s="181" t="s">
        <v>1059</v>
      </c>
      <c r="D24" s="179">
        <v>1</v>
      </c>
      <c r="E24" s="173">
        <v>220</v>
      </c>
      <c r="F24" s="179">
        <f t="shared" si="4"/>
        <v>-22</v>
      </c>
      <c r="G24" s="1">
        <f t="shared" si="5"/>
        <v>198</v>
      </c>
      <c r="H24" s="26">
        <f t="shared" si="3"/>
        <v>14.354999999999999</v>
      </c>
    </row>
    <row r="25" spans="1:12">
      <c r="A25" s="451">
        <v>46090</v>
      </c>
      <c r="B25" s="181" t="s">
        <v>1242</v>
      </c>
      <c r="C25" s="181"/>
      <c r="D25" s="179">
        <v>1</v>
      </c>
      <c r="E25" s="173">
        <v>160</v>
      </c>
      <c r="F25" s="179">
        <f>-E25*$F$2</f>
        <v>-16</v>
      </c>
      <c r="G25" s="1">
        <f>(D25*E25)+F25</f>
        <v>144</v>
      </c>
      <c r="H25" s="26">
        <f>+G25*0.0725</f>
        <v>10.44</v>
      </c>
    </row>
    <row r="26" spans="1:12">
      <c r="A26" s="451">
        <v>46126</v>
      </c>
      <c r="B26" s="181" t="s">
        <v>1245</v>
      </c>
      <c r="C26" s="181"/>
      <c r="D26" s="179">
        <v>1</v>
      </c>
      <c r="E26" s="173">
        <v>207.58</v>
      </c>
      <c r="F26" s="179">
        <v>0</v>
      </c>
      <c r="G26" s="1">
        <f t="shared" si="5"/>
        <v>207.58</v>
      </c>
      <c r="H26" s="26">
        <f t="shared" si="3"/>
        <v>15.04955</v>
      </c>
    </row>
    <row r="27" spans="1:12">
      <c r="A27" s="451">
        <v>46126</v>
      </c>
      <c r="B27" s="181" t="s">
        <v>1246</v>
      </c>
      <c r="C27" s="181"/>
      <c r="D27" s="179">
        <v>1</v>
      </c>
      <c r="E27" s="173">
        <v>27.02</v>
      </c>
      <c r="F27" s="179"/>
      <c r="G27" s="1">
        <f t="shared" ref="G27" si="6">(D27*E27)+F27</f>
        <v>27.02</v>
      </c>
      <c r="H27" s="26">
        <f t="shared" ref="H27" si="7">+G27*0.0725</f>
        <v>1.9589499999999997</v>
      </c>
    </row>
    <row r="28" spans="1:12">
      <c r="A28" s="451">
        <v>46126</v>
      </c>
      <c r="B28" s="181" t="s">
        <v>1241</v>
      </c>
      <c r="C28" s="181"/>
      <c r="D28" s="179">
        <v>1</v>
      </c>
      <c r="E28" s="173">
        <v>280.10000000000002</v>
      </c>
      <c r="F28" s="179"/>
      <c r="G28" s="1">
        <f t="shared" ref="G28" si="8">(D28*E28)+F28</f>
        <v>280.10000000000002</v>
      </c>
      <c r="H28" s="26">
        <f t="shared" ref="H28" si="9">+G28*0.0725</f>
        <v>20.30725</v>
      </c>
    </row>
    <row r="30" spans="1:12" ht="15.75" thickBot="1">
      <c r="B30" s="181" t="s">
        <v>1060</v>
      </c>
      <c r="C30" s="181"/>
      <c r="D30" s="179">
        <v>1</v>
      </c>
      <c r="E30" s="173"/>
      <c r="F30" s="179">
        <f t="shared" si="4"/>
        <v>0</v>
      </c>
      <c r="G30" s="1">
        <f t="shared" si="5"/>
        <v>0</v>
      </c>
      <c r="H30" s="21">
        <f t="shared" si="3"/>
        <v>0</v>
      </c>
      <c r="I30" s="21"/>
    </row>
    <row r="31" spans="1:12">
      <c r="J31" s="14">
        <f>+SUM(G11:H30)</f>
        <v>3799.7345099999998</v>
      </c>
      <c r="L31" s="1"/>
    </row>
    <row r="32" spans="1:12">
      <c r="B32" s="32" t="s">
        <v>1061</v>
      </c>
    </row>
    <row r="33" spans="1:10">
      <c r="B33" s="3" t="s">
        <v>508</v>
      </c>
      <c r="C33" s="3" t="s">
        <v>962</v>
      </c>
      <c r="D33" s="3" t="s">
        <v>789</v>
      </c>
      <c r="E33" s="8" t="s">
        <v>790</v>
      </c>
      <c r="F33" s="8"/>
      <c r="G33" s="13" t="s">
        <v>791</v>
      </c>
      <c r="H33" s="13"/>
      <c r="I33" s="13" t="s">
        <v>792</v>
      </c>
    </row>
    <row r="34" spans="1:10">
      <c r="A34" s="107">
        <v>46141</v>
      </c>
      <c r="B34" t="s">
        <v>1258</v>
      </c>
      <c r="C34" s="95" t="s">
        <v>1062</v>
      </c>
      <c r="D34" s="179">
        <v>1</v>
      </c>
      <c r="E34" s="173">
        <v>2729</v>
      </c>
      <c r="F34" s="173"/>
      <c r="G34" s="1">
        <f>D34*E34</f>
        <v>2729</v>
      </c>
      <c r="H34" s="26">
        <f>+G34*0.0725</f>
        <v>197.85249999999999</v>
      </c>
    </row>
    <row r="35" spans="1:10">
      <c r="B35" s="95"/>
      <c r="C35" s="95" t="s">
        <v>1063</v>
      </c>
      <c r="D35" s="179">
        <v>0</v>
      </c>
      <c r="E35" s="173">
        <v>0</v>
      </c>
      <c r="F35" s="173"/>
      <c r="G35" s="1">
        <f>D35*E35</f>
        <v>0</v>
      </c>
      <c r="H35" s="26">
        <f>+G35*0.0725</f>
        <v>0</v>
      </c>
    </row>
    <row r="36" spans="1:10">
      <c r="B36" s="95"/>
      <c r="C36" s="95" t="s">
        <v>1064</v>
      </c>
      <c r="D36" s="179">
        <v>0</v>
      </c>
      <c r="E36" s="173">
        <v>0</v>
      </c>
      <c r="F36" s="173"/>
      <c r="G36" s="1">
        <f>D36*E36</f>
        <v>0</v>
      </c>
      <c r="H36" s="26">
        <f>+G36*0.0725</f>
        <v>0</v>
      </c>
    </row>
    <row r="37" spans="1:10">
      <c r="B37" s="28" t="s">
        <v>1065</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1066</v>
      </c>
    </row>
    <row r="43" spans="1:10">
      <c r="B43" s="3" t="s">
        <v>508</v>
      </c>
      <c r="C43" s="3" t="s">
        <v>962</v>
      </c>
      <c r="D43" s="3" t="s">
        <v>789</v>
      </c>
      <c r="E43" s="8" t="s">
        <v>790</v>
      </c>
      <c r="F43" s="8"/>
      <c r="G43" s="13" t="s">
        <v>791</v>
      </c>
      <c r="H43" s="13"/>
      <c r="I43" s="13" t="s">
        <v>792</v>
      </c>
    </row>
    <row r="44" spans="1:10">
      <c r="B44" s="183" t="s">
        <v>1067</v>
      </c>
      <c r="C44" s="183"/>
      <c r="D44" s="183">
        <v>0</v>
      </c>
      <c r="E44" s="184">
        <v>1100</v>
      </c>
      <c r="F44" s="184"/>
      <c r="G44" s="14">
        <f t="shared" ref="G44:G49" si="10">+D44*E44</f>
        <v>0</v>
      </c>
      <c r="H44" s="26">
        <f t="shared" ref="H44:H49" si="11">+G44*0.0725</f>
        <v>0</v>
      </c>
      <c r="I44" s="13"/>
    </row>
    <row r="45" spans="1:10">
      <c r="B45" s="95" t="s">
        <v>1068</v>
      </c>
      <c r="C45" s="95">
        <v>400390</v>
      </c>
      <c r="D45" s="179">
        <v>0</v>
      </c>
      <c r="E45" s="173">
        <v>2.0499999999999998</v>
      </c>
      <c r="F45" s="173"/>
      <c r="G45" s="14">
        <f t="shared" si="10"/>
        <v>0</v>
      </c>
      <c r="H45" s="26">
        <f t="shared" si="11"/>
        <v>0</v>
      </c>
    </row>
    <row r="46" spans="1:10">
      <c r="B46" s="95" t="s">
        <v>1069</v>
      </c>
      <c r="C46" s="95">
        <v>376787</v>
      </c>
      <c r="D46" s="179">
        <v>0</v>
      </c>
      <c r="E46" s="173">
        <v>4.9800000000000004</v>
      </c>
      <c r="F46" s="173"/>
      <c r="G46" s="14">
        <f t="shared" si="10"/>
        <v>0</v>
      </c>
      <c r="H46" s="26">
        <f t="shared" si="11"/>
        <v>0</v>
      </c>
    </row>
    <row r="47" spans="1:10">
      <c r="B47" s="95" t="s">
        <v>319</v>
      </c>
      <c r="C47" s="95" t="s">
        <v>319</v>
      </c>
      <c r="D47" s="179">
        <v>0</v>
      </c>
      <c r="E47" s="173">
        <v>0</v>
      </c>
      <c r="F47" s="173"/>
      <c r="G47" s="14">
        <f t="shared" si="10"/>
        <v>0</v>
      </c>
      <c r="H47" s="26">
        <f t="shared" si="11"/>
        <v>0</v>
      </c>
    </row>
    <row r="48" spans="1:10">
      <c r="B48" s="95" t="s">
        <v>1070</v>
      </c>
      <c r="C48" s="95">
        <v>2280072</v>
      </c>
      <c r="D48" s="179">
        <v>0</v>
      </c>
      <c r="E48" s="173">
        <v>18.97</v>
      </c>
      <c r="F48" s="173"/>
      <c r="G48" s="14">
        <f t="shared" si="10"/>
        <v>0</v>
      </c>
      <c r="H48" s="26">
        <f t="shared" si="11"/>
        <v>0</v>
      </c>
    </row>
    <row r="49" spans="2:12" ht="15.75" thickBot="1">
      <c r="B49" s="95" t="s">
        <v>1071</v>
      </c>
      <c r="C49" s="95">
        <v>1000707539</v>
      </c>
      <c r="D49" s="179">
        <v>0</v>
      </c>
      <c r="E49" s="173">
        <v>1.98</v>
      </c>
      <c r="F49" s="173"/>
      <c r="G49" s="21">
        <f t="shared" si="10"/>
        <v>0</v>
      </c>
      <c r="H49" s="21">
        <f t="shared" si="11"/>
        <v>0</v>
      </c>
      <c r="I49" s="21"/>
    </row>
    <row r="50" spans="2:12">
      <c r="J50" s="14">
        <f>+SUM(G44:H49)</f>
        <v>0</v>
      </c>
    </row>
    <row r="51" spans="2:12" ht="15.75" thickBot="1">
      <c r="J51" s="21"/>
      <c r="L51" s="3" t="s">
        <v>319</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547</v>
      </c>
      <c r="D1" s="32"/>
      <c r="E1" s="32"/>
      <c r="L1" s="788" t="s">
        <v>9</v>
      </c>
      <c r="M1" s="788" t="str">
        <f>IF(Profit!Q6,IF(N1,"Yes","No"),"No")</f>
        <v>No</v>
      </c>
      <c r="N1" s="790" t="b">
        <v>0</v>
      </c>
    </row>
    <row r="2" spans="1:18" s="3" customFormat="1" ht="15.75" thickBot="1">
      <c r="A2" s="3" t="s">
        <v>109</v>
      </c>
      <c r="B2" s="3" t="s">
        <v>1072</v>
      </c>
      <c r="C2" s="3" t="s">
        <v>508</v>
      </c>
      <c r="D2" s="3" t="s">
        <v>830</v>
      </c>
      <c r="E2" s="3" t="s">
        <v>831</v>
      </c>
      <c r="F2" s="3" t="s">
        <v>832</v>
      </c>
      <c r="G2" s="3" t="s">
        <v>509</v>
      </c>
      <c r="H2" s="8" t="s">
        <v>790</v>
      </c>
      <c r="I2" s="6" t="s">
        <v>791</v>
      </c>
      <c r="J2" s="13" t="s">
        <v>504</v>
      </c>
      <c r="K2" s="3" t="s">
        <v>792</v>
      </c>
      <c r="L2" s="789"/>
      <c r="M2" s="789"/>
      <c r="N2" s="791"/>
      <c r="O2" s="32"/>
    </row>
    <row r="3" spans="1:18" s="3" customFormat="1">
      <c r="B3" s="331"/>
      <c r="C3" s="331" t="s">
        <v>833</v>
      </c>
      <c r="D3" s="331"/>
      <c r="E3" s="338">
        <f>+Profit!K9</f>
        <v>1277</v>
      </c>
      <c r="F3" s="331"/>
      <c r="G3" s="331"/>
      <c r="H3" s="332"/>
      <c r="I3" s="342"/>
      <c r="J3" s="333"/>
      <c r="L3"/>
      <c r="M3"/>
      <c r="N3" s="5"/>
      <c r="O3" s="32"/>
    </row>
    <row r="4" spans="1:18" s="3" customFormat="1">
      <c r="B4" s="326" t="s">
        <v>896</v>
      </c>
      <c r="C4" s="326" t="s">
        <v>1073</v>
      </c>
      <c r="D4" s="326"/>
      <c r="E4" s="326"/>
      <c r="F4" s="326" t="s">
        <v>898</v>
      </c>
      <c r="G4" s="439">
        <f>+$E$3/84.45</f>
        <v>15.12137359384251</v>
      </c>
      <c r="H4" s="334">
        <v>47.91</v>
      </c>
      <c r="I4" s="334">
        <f>+G4*H4</f>
        <v>724.46500888099456</v>
      </c>
      <c r="J4" s="335">
        <f>+I4*0.0725</f>
        <v>52.523713143872101</v>
      </c>
      <c r="N4" s="5"/>
      <c r="O4" s="32"/>
    </row>
    <row r="5" spans="1:18" s="3" customFormat="1">
      <c r="B5" s="326" t="s">
        <v>904</v>
      </c>
      <c r="C5" s="326" t="s">
        <v>911</v>
      </c>
      <c r="D5" s="326"/>
      <c r="E5" s="326"/>
      <c r="F5" s="326" t="s">
        <v>910</v>
      </c>
      <c r="G5" s="439">
        <f>+$E$3/168.9</f>
        <v>7.5606867969212548</v>
      </c>
      <c r="H5" s="334">
        <v>44.24</v>
      </c>
      <c r="I5" s="334">
        <f t="shared" ref="I5:I12" si="0">+G5*H5</f>
        <v>334.48478389579634</v>
      </c>
      <c r="J5" s="335">
        <f>+I5*0.0725</f>
        <v>24.250146832445232</v>
      </c>
      <c r="N5" s="5"/>
      <c r="O5" s="32"/>
    </row>
    <row r="6" spans="1:18" s="3" customFormat="1">
      <c r="B6" s="326" t="s">
        <v>912</v>
      </c>
      <c r="C6" s="326" t="s">
        <v>912</v>
      </c>
      <c r="D6" s="326"/>
      <c r="E6" s="326"/>
      <c r="F6" s="326">
        <v>185342</v>
      </c>
      <c r="G6" s="439">
        <f>+$E$3/168.9</f>
        <v>7.5606867969212548</v>
      </c>
      <c r="H6" s="327">
        <f>147/5</f>
        <v>29.4</v>
      </c>
      <c r="I6" s="334">
        <f t="shared" si="0"/>
        <v>222.28419182948488</v>
      </c>
      <c r="J6" s="335">
        <f>+I6*0.0725</f>
        <v>16.115603907637652</v>
      </c>
      <c r="N6" s="5"/>
      <c r="O6" s="32"/>
    </row>
    <row r="7" spans="1:18">
      <c r="B7" s="326" t="s">
        <v>541</v>
      </c>
      <c r="C7" s="326" t="s">
        <v>919</v>
      </c>
      <c r="D7" s="326"/>
      <c r="E7" s="326"/>
      <c r="F7" s="326">
        <v>985007</v>
      </c>
      <c r="G7" s="439"/>
      <c r="H7" s="334">
        <v>52.23</v>
      </c>
      <c r="I7" s="334">
        <f t="shared" si="0"/>
        <v>0</v>
      </c>
      <c r="J7" s="335">
        <f>+I7*0.0725</f>
        <v>0</v>
      </c>
    </row>
    <row r="8" spans="1:18">
      <c r="B8" s="326"/>
      <c r="C8" s="326" t="s">
        <v>541</v>
      </c>
      <c r="D8" s="326"/>
      <c r="E8" s="326"/>
      <c r="F8" s="326"/>
      <c r="G8" s="439">
        <v>2</v>
      </c>
      <c r="H8" s="334">
        <v>4.9141503848431025</v>
      </c>
      <c r="I8" s="334">
        <f t="shared" ref="I8:I11" si="1">+G8*H8</f>
        <v>9.828300769686205</v>
      </c>
      <c r="J8" s="335">
        <f t="shared" ref="J8:J12" si="2">+I8*0.0725</f>
        <v>0.71255180580224986</v>
      </c>
    </row>
    <row r="9" spans="1:18">
      <c r="B9" s="326" t="s">
        <v>555</v>
      </c>
      <c r="C9" s="326" t="s">
        <v>1074</v>
      </c>
      <c r="D9" s="326"/>
      <c r="E9" s="326"/>
      <c r="F9" s="326"/>
      <c r="G9" s="439">
        <v>1</v>
      </c>
      <c r="H9" s="334">
        <v>45</v>
      </c>
      <c r="I9" s="334">
        <f t="shared" si="1"/>
        <v>45</v>
      </c>
      <c r="J9" s="335">
        <f t="shared" si="2"/>
        <v>3.2624999999999997</v>
      </c>
    </row>
    <row r="10" spans="1:18">
      <c r="B10" s="326"/>
      <c r="C10" s="326" t="s">
        <v>1075</v>
      </c>
      <c r="D10" s="326"/>
      <c r="E10" s="326"/>
      <c r="F10" s="326"/>
      <c r="G10" s="439">
        <v>0</v>
      </c>
      <c r="H10" s="334">
        <v>6800</v>
      </c>
      <c r="I10" s="334">
        <f t="shared" si="1"/>
        <v>0</v>
      </c>
      <c r="J10" s="335">
        <f t="shared" si="2"/>
        <v>0</v>
      </c>
    </row>
    <row r="11" spans="1:18">
      <c r="B11" s="326"/>
      <c r="C11" s="326" t="s">
        <v>1076</v>
      </c>
      <c r="D11" s="326"/>
      <c r="E11" s="326"/>
      <c r="F11" s="326"/>
      <c r="G11" s="439">
        <v>0</v>
      </c>
      <c r="H11" s="334">
        <v>3400</v>
      </c>
      <c r="I11" s="334">
        <f t="shared" si="1"/>
        <v>0</v>
      </c>
      <c r="J11" s="335">
        <f t="shared" si="2"/>
        <v>0</v>
      </c>
    </row>
    <row r="12" spans="1:18">
      <c r="B12" s="326" t="s">
        <v>939</v>
      </c>
      <c r="C12" s="326" t="s">
        <v>1077</v>
      </c>
      <c r="D12" s="326"/>
      <c r="E12" s="338">
        <f>+$F$3</f>
        <v>0</v>
      </c>
      <c r="F12" s="326" t="s">
        <v>941</v>
      </c>
      <c r="G12" s="439">
        <v>0</v>
      </c>
      <c r="H12" s="334">
        <f>+E3/0.2035</f>
        <v>6275.184275184276</v>
      </c>
      <c r="I12" s="334">
        <f t="shared" si="0"/>
        <v>0</v>
      </c>
      <c r="J12" s="335">
        <f t="shared" si="2"/>
        <v>0</v>
      </c>
      <c r="M12" s="454"/>
    </row>
    <row r="13" spans="1:18" s="3" customFormat="1">
      <c r="G13" s="787" t="s">
        <v>895</v>
      </c>
      <c r="H13" s="564"/>
      <c r="I13" s="564"/>
      <c r="J13" s="30"/>
      <c r="K13" s="1">
        <f>IF(M1="Yes",SUM(I4:J12),0)</f>
        <v>0</v>
      </c>
      <c r="L13"/>
      <c r="M13"/>
      <c r="N13" s="5"/>
      <c r="O13" s="32"/>
    </row>
    <row r="14" spans="1:18" s="3" customFormat="1">
      <c r="L14"/>
      <c r="M14"/>
      <c r="N14" s="5"/>
      <c r="O14" s="32"/>
      <c r="P14" s="30"/>
      <c r="Q14" s="30"/>
      <c r="R14" s="30"/>
    </row>
    <row r="15" spans="1:18" s="3" customFormat="1">
      <c r="B15" t="s">
        <v>896</v>
      </c>
      <c r="D15" s="32"/>
      <c r="L15"/>
      <c r="M15"/>
      <c r="N15" s="5"/>
      <c r="O15" s="32"/>
      <c r="P15" s="30"/>
      <c r="Q15" s="30"/>
      <c r="R15" s="30"/>
    </row>
    <row r="16" spans="1:18">
      <c r="C16" s="95" t="s">
        <v>897</v>
      </c>
      <c r="D16" s="95"/>
      <c r="F16" s="95" t="s">
        <v>898</v>
      </c>
      <c r="G16" s="179">
        <v>0</v>
      </c>
      <c r="H16" s="173">
        <v>68.540000000000006</v>
      </c>
      <c r="I16" s="5">
        <f t="shared" ref="I16:I23" si="3">+G16*H16</f>
        <v>0</v>
      </c>
      <c r="J16" s="26">
        <f t="shared" ref="J16:J23" si="4">+I16*0.0725</f>
        <v>0</v>
      </c>
      <c r="K16"/>
      <c r="N16" s="5"/>
      <c r="P16" s="2"/>
      <c r="Q16" s="2"/>
      <c r="R16" s="30"/>
    </row>
    <row r="17" spans="1:18">
      <c r="C17" s="95" t="s">
        <v>899</v>
      </c>
      <c r="D17" s="95" t="s">
        <v>900</v>
      </c>
      <c r="F17" s="95" t="s">
        <v>901</v>
      </c>
      <c r="G17" s="179">
        <v>0</v>
      </c>
      <c r="H17" s="173">
        <f>35.99*5</f>
        <v>179.95000000000002</v>
      </c>
      <c r="I17" s="5">
        <f t="shared" si="3"/>
        <v>0</v>
      </c>
      <c r="J17" s="26">
        <f t="shared" si="4"/>
        <v>0</v>
      </c>
      <c r="K17"/>
      <c r="N17" s="5"/>
      <c r="O17" s="32"/>
      <c r="P17" s="530"/>
      <c r="Q17" s="30"/>
      <c r="R17" s="30"/>
    </row>
    <row r="18" spans="1:18">
      <c r="C18" s="95" t="s">
        <v>899</v>
      </c>
      <c r="D18" s="95" t="s">
        <v>902</v>
      </c>
      <c r="F18" s="95" t="s">
        <v>901</v>
      </c>
      <c r="G18" s="179">
        <v>0</v>
      </c>
      <c r="H18" s="173">
        <f>35.99*5</f>
        <v>179.95000000000002</v>
      </c>
      <c r="I18" s="5">
        <f t="shared" si="3"/>
        <v>0</v>
      </c>
      <c r="J18" s="26">
        <f t="shared" si="4"/>
        <v>0</v>
      </c>
      <c r="K18"/>
      <c r="N18" s="5"/>
      <c r="O18" s="32"/>
      <c r="P18" s="30"/>
      <c r="Q18" s="30"/>
      <c r="R18" s="30"/>
    </row>
    <row r="19" spans="1:18">
      <c r="A19" s="107">
        <v>45928</v>
      </c>
      <c r="C19" s="95" t="s">
        <v>899</v>
      </c>
      <c r="D19" s="95" t="s">
        <v>1078</v>
      </c>
      <c r="F19" s="95" t="s">
        <v>903</v>
      </c>
      <c r="G19" s="179">
        <v>3</v>
      </c>
      <c r="H19" s="173">
        <v>140</v>
      </c>
      <c r="I19" s="5">
        <f t="shared" si="3"/>
        <v>420</v>
      </c>
      <c r="J19" s="26">
        <f t="shared" si="4"/>
        <v>30.45</v>
      </c>
      <c r="K19"/>
      <c r="L19" s="19" t="s">
        <v>1079</v>
      </c>
      <c r="P19" s="30"/>
      <c r="Q19" s="30"/>
      <c r="R19" s="30"/>
    </row>
    <row r="20" spans="1:18">
      <c r="C20" s="95" t="s">
        <v>1080</v>
      </c>
      <c r="D20" s="95" t="s">
        <v>1078</v>
      </c>
      <c r="F20" s="95" t="s">
        <v>903</v>
      </c>
      <c r="G20" s="179">
        <v>0</v>
      </c>
      <c r="H20" s="173">
        <v>130</v>
      </c>
      <c r="I20" s="5">
        <f t="shared" ref="I20" si="5">+G20*H20</f>
        <v>0</v>
      </c>
      <c r="J20" s="26">
        <f t="shared" ref="J20" si="6">+I20*0.0725</f>
        <v>0</v>
      </c>
      <c r="K20"/>
      <c r="L20" s="19"/>
      <c r="P20" s="30"/>
      <c r="Q20" s="30"/>
      <c r="R20" s="30"/>
    </row>
    <row r="21" spans="1:18">
      <c r="B21" t="s">
        <v>904</v>
      </c>
      <c r="C21" s="95"/>
      <c r="D21" s="95"/>
      <c r="F21" s="95"/>
      <c r="G21" s="179"/>
      <c r="H21" s="173"/>
      <c r="I21" s="5">
        <f t="shared" si="3"/>
        <v>0</v>
      </c>
      <c r="J21" s="26">
        <f t="shared" si="4"/>
        <v>0</v>
      </c>
      <c r="K21"/>
      <c r="P21" s="30"/>
      <c r="Q21" s="30"/>
      <c r="R21" s="30"/>
    </row>
    <row r="22" spans="1:18">
      <c r="A22" s="107">
        <v>45928</v>
      </c>
      <c r="C22" s="95" t="s">
        <v>905</v>
      </c>
      <c r="D22" s="95"/>
      <c r="F22" s="95" t="s">
        <v>906</v>
      </c>
      <c r="G22" s="179">
        <v>1</v>
      </c>
      <c r="H22" s="173">
        <v>217.45</v>
      </c>
      <c r="I22" s="5">
        <f t="shared" si="3"/>
        <v>217.45</v>
      </c>
      <c r="J22" s="26">
        <f t="shared" si="4"/>
        <v>15.765124999999998</v>
      </c>
      <c r="K22"/>
      <c r="L22" s="19" t="s">
        <v>1081</v>
      </c>
      <c r="P22" s="30"/>
      <c r="Q22" s="30"/>
      <c r="R22" s="30"/>
    </row>
    <row r="23" spans="1:18">
      <c r="A23" s="107">
        <v>45928</v>
      </c>
      <c r="C23" s="95" t="s">
        <v>907</v>
      </c>
      <c r="D23" s="95"/>
      <c r="F23" s="95" t="s">
        <v>908</v>
      </c>
      <c r="G23" s="179">
        <v>3</v>
      </c>
      <c r="H23" s="173">
        <v>44.24</v>
      </c>
      <c r="I23" s="5">
        <f t="shared" si="3"/>
        <v>132.72</v>
      </c>
      <c r="J23" s="26">
        <f t="shared" si="4"/>
        <v>9.6221999999999994</v>
      </c>
      <c r="K23"/>
      <c r="P23" s="2"/>
      <c r="Q23" s="2"/>
      <c r="R23" s="30"/>
    </row>
    <row r="24" spans="1:18">
      <c r="P24" s="2"/>
      <c r="Q24" s="2"/>
      <c r="R24" s="30"/>
    </row>
    <row r="25" spans="1:18">
      <c r="B25" t="s">
        <v>912</v>
      </c>
      <c r="K25"/>
      <c r="P25" s="2"/>
      <c r="Q25" s="2"/>
      <c r="R25" s="30"/>
    </row>
    <row r="26" spans="1:18">
      <c r="C26" s="95" t="s">
        <v>909</v>
      </c>
      <c r="D26" s="95"/>
      <c r="F26" s="95" t="s">
        <v>910</v>
      </c>
      <c r="G26" s="179"/>
      <c r="H26" s="173">
        <v>33.99</v>
      </c>
      <c r="I26" s="5">
        <f>+G26*H26</f>
        <v>0</v>
      </c>
      <c r="J26" s="26">
        <f>+I26*0.0725</f>
        <v>0</v>
      </c>
      <c r="K26"/>
      <c r="P26" s="2"/>
      <c r="Q26" s="2"/>
      <c r="R26" s="30"/>
    </row>
    <row r="27" spans="1:18">
      <c r="C27" s="95" t="s">
        <v>911</v>
      </c>
      <c r="D27" s="95"/>
      <c r="F27" s="95" t="s">
        <v>910</v>
      </c>
      <c r="G27" s="179"/>
      <c r="H27" s="173">
        <v>33.99</v>
      </c>
      <c r="I27" s="5">
        <f t="shared" ref="I27:I36" si="7">+G27*H27</f>
        <v>0</v>
      </c>
      <c r="J27" s="26">
        <f t="shared" ref="J27:J36" si="8">+I27*0.0725</f>
        <v>0</v>
      </c>
      <c r="K27"/>
    </row>
    <row r="28" spans="1:18">
      <c r="C28" s="95" t="s">
        <v>1082</v>
      </c>
      <c r="D28" s="95"/>
      <c r="F28" s="95" t="s">
        <v>1083</v>
      </c>
      <c r="G28" s="179">
        <v>0</v>
      </c>
      <c r="H28" s="173">
        <v>15.85</v>
      </c>
      <c r="I28" s="5">
        <f t="shared" si="7"/>
        <v>0</v>
      </c>
      <c r="J28" s="26">
        <f t="shared" si="8"/>
        <v>0</v>
      </c>
      <c r="K28"/>
      <c r="L28" s="19" t="s">
        <v>1084</v>
      </c>
    </row>
    <row r="29" spans="1:18">
      <c r="C29" s="95" t="s">
        <v>914</v>
      </c>
      <c r="D29" s="95"/>
      <c r="F29" s="95" t="s">
        <v>915</v>
      </c>
      <c r="G29" s="179">
        <v>0</v>
      </c>
      <c r="H29" s="173">
        <f>5*25.79</f>
        <v>128.94999999999999</v>
      </c>
      <c r="I29" s="5">
        <f t="shared" si="7"/>
        <v>0</v>
      </c>
      <c r="J29" s="26">
        <f t="shared" si="8"/>
        <v>0</v>
      </c>
      <c r="K29"/>
    </row>
    <row r="30" spans="1:18">
      <c r="B30" t="s">
        <v>541</v>
      </c>
      <c r="C30" s="95"/>
      <c r="D30" s="95"/>
      <c r="F30" s="95"/>
      <c r="G30" s="179"/>
      <c r="H30" s="173"/>
      <c r="I30" s="5">
        <f t="shared" si="7"/>
        <v>0</v>
      </c>
      <c r="J30" s="26">
        <f t="shared" si="8"/>
        <v>0</v>
      </c>
      <c r="K30"/>
    </row>
    <row r="31" spans="1:18">
      <c r="C31" s="95" t="s">
        <v>916</v>
      </c>
      <c r="D31" s="95"/>
      <c r="F31" s="95" t="s">
        <v>917</v>
      </c>
      <c r="G31" s="179">
        <v>0</v>
      </c>
      <c r="H31" s="173">
        <f>5*63.05</f>
        <v>315.25</v>
      </c>
      <c r="I31" s="5">
        <f t="shared" si="7"/>
        <v>0</v>
      </c>
      <c r="J31" s="26">
        <f t="shared" si="8"/>
        <v>0</v>
      </c>
      <c r="K31"/>
    </row>
    <row r="32" spans="1:18">
      <c r="C32" s="95" t="s">
        <v>918</v>
      </c>
      <c r="D32" s="95"/>
      <c r="F32" s="95">
        <v>389832</v>
      </c>
      <c r="G32" s="179">
        <v>0</v>
      </c>
      <c r="H32" s="173">
        <v>39.979999999999997</v>
      </c>
      <c r="I32" s="5">
        <f t="shared" si="7"/>
        <v>0</v>
      </c>
      <c r="J32" s="26">
        <f t="shared" si="8"/>
        <v>0</v>
      </c>
      <c r="K32"/>
    </row>
    <row r="33" spans="2:16">
      <c r="C33" s="95" t="s">
        <v>919</v>
      </c>
      <c r="D33" s="95"/>
      <c r="F33" s="95">
        <v>985007</v>
      </c>
      <c r="G33" s="179"/>
      <c r="H33" s="173">
        <v>52.23</v>
      </c>
      <c r="I33" s="5">
        <f t="shared" si="7"/>
        <v>0</v>
      </c>
      <c r="J33" s="26">
        <f t="shared" si="8"/>
        <v>0</v>
      </c>
      <c r="K33"/>
      <c r="L33" s="19" t="s">
        <v>1085</v>
      </c>
    </row>
    <row r="34" spans="2:16">
      <c r="C34" s="95" t="s">
        <v>920</v>
      </c>
      <c r="D34" s="95"/>
      <c r="F34" s="95">
        <v>814917</v>
      </c>
      <c r="G34" s="179"/>
      <c r="H34" s="173">
        <f>109/5</f>
        <v>21.8</v>
      </c>
      <c r="I34" s="5">
        <f t="shared" si="7"/>
        <v>0</v>
      </c>
      <c r="J34" s="26">
        <f t="shared" si="8"/>
        <v>0</v>
      </c>
      <c r="K34"/>
    </row>
    <row r="35" spans="2:16">
      <c r="C35" s="95" t="s">
        <v>921</v>
      </c>
      <c r="D35" s="95"/>
      <c r="F35" s="95" t="s">
        <v>922</v>
      </c>
      <c r="G35" s="179">
        <v>0</v>
      </c>
      <c r="H35" s="173">
        <v>40</v>
      </c>
      <c r="I35" s="5">
        <f t="shared" si="7"/>
        <v>0</v>
      </c>
      <c r="J35" s="26">
        <f t="shared" si="8"/>
        <v>0</v>
      </c>
      <c r="K35"/>
    </row>
    <row r="36" spans="2:16">
      <c r="C36" s="2" t="s">
        <v>923</v>
      </c>
      <c r="F36" s="95" t="s">
        <v>924</v>
      </c>
      <c r="G36" s="179">
        <v>0</v>
      </c>
      <c r="H36" s="173">
        <v>50.24</v>
      </c>
      <c r="I36" s="5">
        <f t="shared" si="7"/>
        <v>0</v>
      </c>
      <c r="J36" s="26">
        <f t="shared" si="8"/>
        <v>0</v>
      </c>
    </row>
    <row r="37" spans="2:16">
      <c r="B37" t="s">
        <v>661</v>
      </c>
      <c r="D37" s="32"/>
      <c r="E37" s="96">
        <v>0</v>
      </c>
      <c r="G37"/>
      <c r="H37" s="5"/>
      <c r="J37" s="1"/>
      <c r="K37"/>
    </row>
    <row r="38" spans="2:16">
      <c r="C38" s="95" t="s">
        <v>925</v>
      </c>
      <c r="D38" s="95" t="s">
        <v>1086</v>
      </c>
      <c r="E38" s="181"/>
      <c r="F38" s="95" t="s">
        <v>927</v>
      </c>
      <c r="G38" s="179">
        <v>1</v>
      </c>
      <c r="H38" s="173">
        <v>54.95</v>
      </c>
      <c r="I38" s="5">
        <f t="shared" ref="I38:I39" si="9">+G38*H38</f>
        <v>54.95</v>
      </c>
      <c r="J38" s="26">
        <f t="shared" ref="J38:J39" si="10">+I38*0.0725</f>
        <v>3.9838749999999998</v>
      </c>
      <c r="K38"/>
      <c r="L38" t="s">
        <v>1087</v>
      </c>
    </row>
    <row r="39" spans="2:16">
      <c r="C39" s="95" t="s">
        <v>928</v>
      </c>
      <c r="D39" s="95"/>
      <c r="F39" s="95"/>
      <c r="G39" s="179"/>
      <c r="H39" s="173"/>
      <c r="I39" s="5">
        <f t="shared" si="9"/>
        <v>0</v>
      </c>
      <c r="J39" s="26">
        <f t="shared" si="10"/>
        <v>0</v>
      </c>
      <c r="K39"/>
    </row>
    <row r="40" spans="2:16">
      <c r="E40" s="121">
        <f>+E3</f>
        <v>1277</v>
      </c>
      <c r="G40"/>
      <c r="H40" s="5"/>
      <c r="J40" s="1"/>
      <c r="K40"/>
    </row>
    <row r="41" spans="2:16">
      <c r="B41" t="s">
        <v>929</v>
      </c>
      <c r="D41" s="32"/>
      <c r="E41" s="96">
        <v>0</v>
      </c>
      <c r="G41"/>
      <c r="H41" s="5"/>
      <c r="J41" s="1"/>
      <c r="K41"/>
    </row>
    <row r="42" spans="2:16">
      <c r="C42" s="95" t="s">
        <v>930</v>
      </c>
      <c r="D42" s="95" t="s">
        <v>1088</v>
      </c>
      <c r="E42" s="181"/>
      <c r="F42" s="95" t="s">
        <v>1089</v>
      </c>
      <c r="G42" s="179">
        <v>1</v>
      </c>
      <c r="H42" s="173">
        <v>45</v>
      </c>
      <c r="I42" s="5">
        <f t="shared" ref="I42:I46" si="11">+G42*H42</f>
        <v>45</v>
      </c>
      <c r="J42" s="26">
        <f t="shared" ref="J42:J46" si="12">+I42*0.0725</f>
        <v>3.2624999999999997</v>
      </c>
      <c r="K42"/>
      <c r="L42" s="19" t="s">
        <v>1090</v>
      </c>
    </row>
    <row r="43" spans="2:16">
      <c r="B43" t="s">
        <v>933</v>
      </c>
      <c r="D43" s="32"/>
      <c r="E43" s="96">
        <v>500</v>
      </c>
      <c r="G43" s="179"/>
      <c r="H43" s="173"/>
      <c r="I43" s="5">
        <f t="shared" si="11"/>
        <v>0</v>
      </c>
      <c r="J43" s="26">
        <f t="shared" si="12"/>
        <v>0</v>
      </c>
      <c r="K43"/>
    </row>
    <row r="44" spans="2:16">
      <c r="C44" s="95" t="s">
        <v>934</v>
      </c>
      <c r="D44" s="95"/>
      <c r="F44" s="95" t="s">
        <v>935</v>
      </c>
      <c r="G44" s="179">
        <v>0</v>
      </c>
      <c r="H44" s="173">
        <v>47.98</v>
      </c>
      <c r="I44" s="5">
        <f t="shared" si="11"/>
        <v>0</v>
      </c>
      <c r="J44" s="26">
        <f t="shared" si="12"/>
        <v>0</v>
      </c>
      <c r="K44"/>
    </row>
    <row r="45" spans="2:16">
      <c r="C45" s="2" t="s">
        <v>936</v>
      </c>
      <c r="F45" s="95" t="s">
        <v>937</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87" t="s">
        <v>938</v>
      </c>
      <c r="H48" s="564"/>
      <c r="I48" s="564"/>
      <c r="J48" s="30"/>
      <c r="K48" s="1">
        <f>IF($M$1="No",SUM(I16:I47)+SUM(J16:J47),0)</f>
        <v>933.20370000000014</v>
      </c>
      <c r="P48" s="2"/>
    </row>
    <row r="50" spans="3:13">
      <c r="C50" s="2" t="s">
        <v>939</v>
      </c>
      <c r="G50"/>
      <c r="H50" s="5"/>
      <c r="I50" s="1"/>
      <c r="J50" s="1"/>
      <c r="K50"/>
    </row>
    <row r="51" spans="3:13">
      <c r="C51" s="95" t="s">
        <v>940</v>
      </c>
      <c r="D51" s="95"/>
      <c r="E51" s="121">
        <f>+$E$3</f>
        <v>1277</v>
      </c>
      <c r="F51" s="95" t="s">
        <v>941</v>
      </c>
      <c r="G51" s="179">
        <v>0</v>
      </c>
      <c r="H51" s="173">
        <v>6900</v>
      </c>
      <c r="I51" s="1">
        <f>IF(G51="yes",E51*#REF!,H51)</f>
        <v>6900</v>
      </c>
      <c r="J51" s="1"/>
      <c r="K51"/>
    </row>
    <row r="52" spans="3:13">
      <c r="C52" s="95" t="s">
        <v>1267</v>
      </c>
      <c r="D52" s="95"/>
      <c r="E52" s="121">
        <v>200</v>
      </c>
      <c r="F52" s="95" t="s">
        <v>583</v>
      </c>
      <c r="G52" s="179">
        <v>0</v>
      </c>
      <c r="H52" s="173">
        <v>500</v>
      </c>
      <c r="I52" s="1">
        <f>IF(G52="yes",E52*#REF!,H52)</f>
        <v>500</v>
      </c>
      <c r="J52" s="1"/>
      <c r="K52"/>
    </row>
    <row r="53" spans="3:13" ht="15.75" thickBot="1">
      <c r="C53" s="95" t="s">
        <v>939</v>
      </c>
      <c r="D53" s="95"/>
      <c r="E53" s="121">
        <f>+$E$3</f>
        <v>1277</v>
      </c>
      <c r="F53" s="95" t="s">
        <v>942</v>
      </c>
      <c r="G53" s="179">
        <v>0</v>
      </c>
      <c r="H53" s="173">
        <v>0</v>
      </c>
      <c r="I53" s="1">
        <f>IF(G53="yes",E53*#REF!,H53)</f>
        <v>0</v>
      </c>
      <c r="J53" s="1"/>
      <c r="K53" s="23"/>
      <c r="M53" s="3"/>
    </row>
    <row r="54" spans="3:13">
      <c r="G54"/>
      <c r="H54" s="5"/>
      <c r="I54" s="1"/>
      <c r="J54" s="1"/>
      <c r="K54" s="1">
        <f>IF($M$1="No",SUM(I51:I53)+SUM(J51:J53),0)</f>
        <v>7400</v>
      </c>
      <c r="M54" s="1"/>
    </row>
    <row r="55" spans="3:13">
      <c r="G55"/>
      <c r="H55" s="5"/>
      <c r="I55" s="5" t="s">
        <v>943</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1091</v>
      </c>
      <c r="B1" s="32"/>
      <c r="J1" s="788" t="s">
        <v>9</v>
      </c>
      <c r="K1" s="788" t="str">
        <f>IF(Profit!Q6,IF(L1,"Yes","No"),"No")</f>
        <v>No</v>
      </c>
      <c r="L1" s="790" t="b">
        <v>0</v>
      </c>
    </row>
    <row r="2" spans="1:14" s="3" customFormat="1" ht="15.75" thickBot="1">
      <c r="A2" s="186" t="s">
        <v>508</v>
      </c>
      <c r="B2" s="186" t="s">
        <v>831</v>
      </c>
      <c r="C2" s="186" t="s">
        <v>832</v>
      </c>
      <c r="D2" s="186" t="s">
        <v>509</v>
      </c>
      <c r="E2" s="186" t="s">
        <v>790</v>
      </c>
      <c r="F2" s="186" t="s">
        <v>791</v>
      </c>
      <c r="G2" s="186" t="s">
        <v>504</v>
      </c>
      <c r="H2" s="186" t="s">
        <v>792</v>
      </c>
      <c r="J2" s="789"/>
      <c r="K2" s="789"/>
      <c r="L2" s="791"/>
    </row>
    <row r="3" spans="1:14">
      <c r="A3" s="331" t="s">
        <v>833</v>
      </c>
      <c r="B3" s="338">
        <f>+Profit!K9</f>
        <v>1277</v>
      </c>
      <c r="C3" s="326"/>
      <c r="D3" s="327"/>
      <c r="E3" s="334"/>
      <c r="F3" s="339"/>
      <c r="G3" s="335"/>
      <c r="H3" s="327"/>
      <c r="J3" s="3"/>
    </row>
    <row r="4" spans="1:14">
      <c r="A4" s="326" t="s">
        <v>1092</v>
      </c>
      <c r="B4" s="338">
        <f>+B3</f>
        <v>1277</v>
      </c>
      <c r="C4" s="326" t="s">
        <v>941</v>
      </c>
      <c r="D4" s="443">
        <v>1390</v>
      </c>
      <c r="E4" s="334">
        <f>+K4/D4</f>
        <v>2</v>
      </c>
      <c r="F4" s="339">
        <f>+D4*E4</f>
        <v>2780</v>
      </c>
      <c r="G4" s="335"/>
      <c r="H4" s="327"/>
      <c r="J4" s="3"/>
      <c r="K4">
        <v>2780</v>
      </c>
    </row>
    <row r="5" spans="1:14" ht="15.75" thickBot="1">
      <c r="A5" s="326" t="s">
        <v>539</v>
      </c>
      <c r="B5" s="338">
        <f>+B4</f>
        <v>1277</v>
      </c>
      <c r="C5" s="326"/>
      <c r="D5" s="443">
        <v>1390</v>
      </c>
      <c r="E5" s="327">
        <v>2.2482014388489207</v>
      </c>
      <c r="F5" s="339">
        <f>+D5*E5</f>
        <v>3124.9999999999995</v>
      </c>
      <c r="G5" s="335"/>
      <c r="H5" s="315"/>
      <c r="J5" s="3"/>
      <c r="K5">
        <v>3125</v>
      </c>
    </row>
    <row r="6" spans="1:14">
      <c r="A6" s="326"/>
      <c r="B6" s="338"/>
      <c r="C6" s="326"/>
      <c r="D6" s="327"/>
      <c r="E6" s="334"/>
      <c r="F6" s="339"/>
      <c r="G6" s="335"/>
      <c r="H6" s="328">
        <f>IF(K1="Yes",SUM(F4:G5),0)</f>
        <v>0</v>
      </c>
      <c r="J6" s="3"/>
      <c r="M6">
        <f>24*24</f>
        <v>576</v>
      </c>
    </row>
    <row r="7" spans="1:14">
      <c r="B7" s="121"/>
      <c r="D7"/>
      <c r="E7" s="5"/>
      <c r="F7" s="1"/>
      <c r="G7" s="26"/>
      <c r="H7"/>
      <c r="J7" s="6">
        <f>SUM(F4:F5)</f>
        <v>5905</v>
      </c>
      <c r="M7">
        <f>12*6</f>
        <v>72</v>
      </c>
    </row>
    <row r="8" spans="1:14">
      <c r="A8" s="95" t="s">
        <v>1094</v>
      </c>
      <c r="B8" s="136">
        <v>300</v>
      </c>
      <c r="C8" s="95" t="s">
        <v>941</v>
      </c>
      <c r="D8" s="179">
        <v>1</v>
      </c>
      <c r="E8" s="173">
        <v>5905.82</v>
      </c>
      <c r="F8" s="339">
        <f>+D8*E8</f>
        <v>5905.82</v>
      </c>
      <c r="G8" s="26"/>
      <c r="H8"/>
      <c r="I8" s="177"/>
      <c r="M8">
        <f>8*14/2</f>
        <v>56</v>
      </c>
    </row>
    <row r="9" spans="1:14">
      <c r="A9" s="95" t="s">
        <v>1095</v>
      </c>
      <c r="B9" s="136">
        <v>800</v>
      </c>
      <c r="C9" s="95"/>
      <c r="D9" s="179">
        <v>0</v>
      </c>
      <c r="E9" s="173">
        <v>6.22</v>
      </c>
      <c r="F9" s="339">
        <f t="shared" ref="F9:F20" si="0">B9*E9*D9</f>
        <v>0</v>
      </c>
      <c r="G9" s="26">
        <f t="shared" ref="G9:G20" si="1">+F9*0.0725</f>
        <v>0</v>
      </c>
      <c r="H9"/>
      <c r="M9">
        <f>24*26</f>
        <v>624</v>
      </c>
    </row>
    <row r="10" spans="1:14">
      <c r="A10" s="95" t="s">
        <v>1093</v>
      </c>
      <c r="B10" s="136">
        <v>1800</v>
      </c>
      <c r="C10" s="95"/>
      <c r="D10" s="179">
        <v>0</v>
      </c>
      <c r="E10" s="173">
        <v>3</v>
      </c>
      <c r="F10" s="339">
        <f t="shared" si="0"/>
        <v>0</v>
      </c>
      <c r="G10" s="26">
        <f t="shared" si="1"/>
        <v>0</v>
      </c>
      <c r="H10"/>
      <c r="M10">
        <f>22*18</f>
        <v>396</v>
      </c>
    </row>
    <row r="11" spans="1:14">
      <c r="A11" s="95"/>
      <c r="B11" s="136"/>
      <c r="C11" s="95"/>
      <c r="D11" s="179"/>
      <c r="E11" s="173"/>
      <c r="F11" s="339">
        <f t="shared" si="0"/>
        <v>0</v>
      </c>
      <c r="G11" s="26">
        <f t="shared" si="1"/>
        <v>0</v>
      </c>
      <c r="H11"/>
      <c r="M11">
        <f>18*18.5</f>
        <v>333</v>
      </c>
    </row>
    <row r="12" spans="1:14">
      <c r="A12" s="95"/>
      <c r="B12" s="136"/>
      <c r="C12" s="95"/>
      <c r="D12" s="179"/>
      <c r="E12" s="173"/>
      <c r="F12" s="339">
        <f t="shared" si="0"/>
        <v>0</v>
      </c>
      <c r="G12" s="26">
        <f t="shared" si="1"/>
        <v>0</v>
      </c>
      <c r="H12"/>
      <c r="M12">
        <v>400</v>
      </c>
    </row>
    <row r="13" spans="1:14">
      <c r="A13" s="95"/>
      <c r="B13" s="136"/>
      <c r="C13" s="95"/>
      <c r="D13" s="179"/>
      <c r="E13" s="173"/>
      <c r="F13" s="339">
        <f t="shared" si="0"/>
        <v>0</v>
      </c>
      <c r="G13" s="26">
        <f t="shared" si="1"/>
        <v>0</v>
      </c>
      <c r="H13"/>
      <c r="N13">
        <f>SUM(M6:M12)</f>
        <v>2457</v>
      </c>
    </row>
    <row r="14" spans="1:14">
      <c r="A14" s="95"/>
      <c r="B14" s="136"/>
      <c r="C14" s="95"/>
      <c r="D14" s="179"/>
      <c r="E14" s="173"/>
      <c r="F14" s="339">
        <f t="shared" si="0"/>
        <v>0</v>
      </c>
      <c r="G14" s="26">
        <f t="shared" si="1"/>
        <v>0</v>
      </c>
      <c r="H14"/>
    </row>
    <row r="15" spans="1:14">
      <c r="A15" s="95"/>
      <c r="B15" s="136"/>
      <c r="C15" s="95"/>
      <c r="D15" s="179"/>
      <c r="E15" s="173"/>
      <c r="F15" s="339">
        <f t="shared" si="0"/>
        <v>0</v>
      </c>
      <c r="G15" s="26">
        <f t="shared" si="1"/>
        <v>0</v>
      </c>
      <c r="H15"/>
    </row>
    <row r="16" spans="1:14">
      <c r="A16" s="95" t="s">
        <v>1096</v>
      </c>
      <c r="B16" s="136"/>
      <c r="C16" s="95"/>
      <c r="D16" s="179">
        <v>0</v>
      </c>
      <c r="E16" s="173">
        <v>0</v>
      </c>
      <c r="F16" s="339">
        <f t="shared" si="0"/>
        <v>0</v>
      </c>
      <c r="G16" s="26">
        <f t="shared" si="1"/>
        <v>0</v>
      </c>
      <c r="H16"/>
    </row>
    <row r="17" spans="1:11">
      <c r="A17" s="95" t="s">
        <v>1096</v>
      </c>
      <c r="B17" s="136"/>
      <c r="C17" s="95"/>
      <c r="D17" s="179">
        <v>0</v>
      </c>
      <c r="E17" s="173"/>
      <c r="F17" s="339">
        <f t="shared" si="0"/>
        <v>0</v>
      </c>
      <c r="G17" s="26">
        <f t="shared" si="1"/>
        <v>0</v>
      </c>
      <c r="H17"/>
    </row>
    <row r="18" spans="1:11">
      <c r="A18" s="95" t="s">
        <v>1096</v>
      </c>
      <c r="B18" s="136"/>
      <c r="C18" s="95"/>
      <c r="D18" s="179">
        <v>0</v>
      </c>
      <c r="E18" s="173"/>
      <c r="F18" s="339">
        <f t="shared" si="0"/>
        <v>0</v>
      </c>
      <c r="G18" s="26">
        <f t="shared" si="1"/>
        <v>0</v>
      </c>
      <c r="H18"/>
    </row>
    <row r="19" spans="1:11">
      <c r="A19" s="95" t="s">
        <v>1096</v>
      </c>
      <c r="B19" s="136"/>
      <c r="C19" s="95"/>
      <c r="D19" s="179">
        <v>0</v>
      </c>
      <c r="E19" s="173"/>
      <c r="F19" s="339">
        <f t="shared" si="0"/>
        <v>0</v>
      </c>
      <c r="G19" s="26">
        <f t="shared" si="1"/>
        <v>0</v>
      </c>
      <c r="H19"/>
    </row>
    <row r="20" spans="1:11" ht="15.75" thickBot="1">
      <c r="A20" s="95" t="s">
        <v>1097</v>
      </c>
      <c r="B20" s="136">
        <f>+$B$3</f>
        <v>1277</v>
      </c>
      <c r="C20" s="95"/>
      <c r="D20" s="179">
        <v>0</v>
      </c>
      <c r="E20" s="173">
        <v>1</v>
      </c>
      <c r="F20" s="339">
        <f t="shared" si="0"/>
        <v>0</v>
      </c>
      <c r="G20" s="26">
        <f t="shared" si="1"/>
        <v>0</v>
      </c>
      <c r="H20" s="23"/>
      <c r="K20" s="3"/>
    </row>
    <row r="21" spans="1:11">
      <c r="D21"/>
      <c r="E21" s="5"/>
      <c r="F21" s="1"/>
      <c r="G21" s="1"/>
      <c r="H21" s="14">
        <f>IF(K1="No",SUM(F8:G20),0)</f>
        <v>5905.82</v>
      </c>
      <c r="J21" s="2"/>
    </row>
    <row r="22" spans="1:11">
      <c r="A22" s="2" t="s">
        <v>1098</v>
      </c>
      <c r="D22"/>
      <c r="F22" s="5">
        <v>0</v>
      </c>
      <c r="I22" s="14">
        <f>SUM(H6:H21)</f>
        <v>5905.82</v>
      </c>
      <c r="J22" s="2"/>
    </row>
    <row r="23" spans="1:11">
      <c r="A23" s="2" t="s">
        <v>319</v>
      </c>
      <c r="D23" t="s">
        <v>319</v>
      </c>
      <c r="E23" s="5" t="s">
        <v>319</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88" t="s">
        <v>9</v>
      </c>
      <c r="K1" s="788" t="str">
        <f>IF(Profit!Q6,IF(L1,"Yes","No"),"No")</f>
        <v>No</v>
      </c>
      <c r="L1" s="790" t="b">
        <v>0</v>
      </c>
    </row>
    <row r="2" spans="1:16" ht="15.75" thickBot="1">
      <c r="A2" s="32" t="s">
        <v>532</v>
      </c>
      <c r="B2" s="32"/>
      <c r="C2" s="32"/>
      <c r="J2" s="789"/>
      <c r="K2" s="789"/>
      <c r="L2" s="791"/>
    </row>
    <row r="3" spans="1:16" s="22" customFormat="1">
      <c r="A3" s="3" t="s">
        <v>765</v>
      </c>
      <c r="B3" s="3" t="s">
        <v>508</v>
      </c>
      <c r="C3" s="3" t="s">
        <v>109</v>
      </c>
      <c r="D3" s="3" t="s">
        <v>1099</v>
      </c>
      <c r="E3" s="3" t="s">
        <v>789</v>
      </c>
      <c r="F3" s="8" t="s">
        <v>790</v>
      </c>
      <c r="G3" s="16" t="s">
        <v>769</v>
      </c>
      <c r="H3" s="3" t="s">
        <v>792</v>
      </c>
      <c r="J3" s="3"/>
      <c r="K3" s="3"/>
    </row>
    <row r="4" spans="1:16" s="22" customFormat="1" ht="15.75" thickBot="1">
      <c r="A4" s="327"/>
      <c r="B4" s="327" t="s">
        <v>1100</v>
      </c>
      <c r="C4" s="327"/>
      <c r="D4" s="326" t="s">
        <v>1101</v>
      </c>
      <c r="E4" s="343">
        <v>0</v>
      </c>
      <c r="F4" s="334">
        <v>7000</v>
      </c>
      <c r="G4" s="335">
        <f>+E4*F4</f>
        <v>0</v>
      </c>
      <c r="H4" s="344"/>
      <c r="J4" s="3"/>
      <c r="K4" s="3"/>
    </row>
    <row r="5" spans="1:16" s="22" customFormat="1">
      <c r="A5" s="331"/>
      <c r="B5" s="331"/>
      <c r="C5" s="331"/>
      <c r="D5" s="331"/>
      <c r="E5" s="331"/>
      <c r="F5" s="332"/>
      <c r="G5" s="345"/>
      <c r="H5" s="346">
        <f>IF(K1="Yes",+SUM(G4),0)</f>
        <v>0</v>
      </c>
      <c r="J5" s="3"/>
      <c r="K5" s="3"/>
    </row>
    <row r="6" spans="1:16" s="22" customFormat="1">
      <c r="A6" s="3"/>
      <c r="B6" s="3"/>
      <c r="C6" s="3"/>
      <c r="D6" s="3"/>
      <c r="E6" s="3"/>
      <c r="F6" s="8"/>
      <c r="G6" s="16"/>
      <c r="H6" s="3"/>
      <c r="J6" s="3"/>
      <c r="K6" s="3"/>
    </row>
    <row r="7" spans="1:16" s="22" customFormat="1">
      <c r="A7" s="3"/>
      <c r="B7" s="3" t="s">
        <v>319</v>
      </c>
      <c r="C7" s="3"/>
      <c r="D7" s="3" t="s">
        <v>319</v>
      </c>
      <c r="E7" s="3">
        <v>0</v>
      </c>
      <c r="F7" s="8" t="s">
        <v>319</v>
      </c>
      <c r="G7" s="16"/>
      <c r="H7" s="3"/>
      <c r="J7" s="3"/>
      <c r="K7" s="3"/>
    </row>
    <row r="8" spans="1:16">
      <c r="A8"/>
      <c r="B8" t="s">
        <v>1100</v>
      </c>
      <c r="C8"/>
      <c r="D8" s="2" t="s">
        <v>1101</v>
      </c>
      <c r="E8" s="11">
        <v>1</v>
      </c>
      <c r="F8" s="5">
        <v>8340</v>
      </c>
      <c r="G8" s="26">
        <f>+E8*F8</f>
        <v>8340</v>
      </c>
    </row>
    <row r="9" spans="1:16">
      <c r="A9"/>
      <c r="B9" t="s">
        <v>1102</v>
      </c>
      <c r="C9"/>
      <c r="D9" s="2" t="s">
        <v>1103</v>
      </c>
      <c r="E9" s="11">
        <v>0</v>
      </c>
      <c r="F9" s="5">
        <v>8.98</v>
      </c>
      <c r="G9" s="26">
        <f>+E9*F9</f>
        <v>0</v>
      </c>
    </row>
    <row r="10" spans="1:16">
      <c r="A10"/>
      <c r="B10" t="s">
        <v>1104</v>
      </c>
      <c r="C10"/>
      <c r="D10" s="2" t="s">
        <v>1105</v>
      </c>
      <c r="E10" s="11">
        <v>0</v>
      </c>
      <c r="F10" s="5">
        <v>22.97</v>
      </c>
      <c r="G10" s="26">
        <f t="shared" ref="G10:G15" si="0">+E10*F10</f>
        <v>0</v>
      </c>
    </row>
    <row r="11" spans="1:16">
      <c r="A11"/>
      <c r="B11" t="s">
        <v>1106</v>
      </c>
      <c r="C11"/>
      <c r="D11" s="2" t="s">
        <v>1107</v>
      </c>
      <c r="E11" s="11">
        <v>0</v>
      </c>
      <c r="F11" s="5">
        <v>44.93</v>
      </c>
      <c r="G11" s="26">
        <f t="shared" si="0"/>
        <v>0</v>
      </c>
    </row>
    <row r="12" spans="1:16">
      <c r="A12"/>
      <c r="B12" t="s">
        <v>1108</v>
      </c>
      <c r="C12"/>
      <c r="D12" s="2" t="s">
        <v>1109</v>
      </c>
      <c r="E12" s="11">
        <v>0</v>
      </c>
      <c r="F12" s="5">
        <v>5.98</v>
      </c>
      <c r="G12" s="26">
        <f t="shared" si="0"/>
        <v>0</v>
      </c>
    </row>
    <row r="13" spans="1:16">
      <c r="A13"/>
      <c r="B13" t="s">
        <v>1108</v>
      </c>
      <c r="C13"/>
      <c r="D13" s="2" t="s">
        <v>1110</v>
      </c>
      <c r="E13" s="11">
        <v>0</v>
      </c>
      <c r="F13" s="5">
        <v>4.97</v>
      </c>
      <c r="G13" s="26">
        <f t="shared" si="0"/>
        <v>0</v>
      </c>
      <c r="K13" s="32"/>
      <c r="L13" s="2"/>
      <c r="N13" s="5"/>
      <c r="O13" s="26"/>
    </row>
    <row r="14" spans="1:16">
      <c r="A14"/>
      <c r="B14" t="s">
        <v>1111</v>
      </c>
      <c r="C14"/>
      <c r="D14" s="2" t="s">
        <v>1112</v>
      </c>
      <c r="E14" s="11">
        <v>0</v>
      </c>
      <c r="F14" s="5">
        <v>23</v>
      </c>
      <c r="G14" s="26">
        <f t="shared" si="0"/>
        <v>0</v>
      </c>
      <c r="K14" s="3"/>
      <c r="L14" s="3"/>
      <c r="M14" s="3"/>
      <c r="N14" s="8"/>
      <c r="O14" s="16"/>
      <c r="P14" s="3"/>
    </row>
    <row r="15" spans="1:16">
      <c r="A15"/>
      <c r="B15" t="s">
        <v>1113</v>
      </c>
      <c r="C15"/>
      <c r="D15" s="2" t="s">
        <v>1101</v>
      </c>
      <c r="E15" s="11">
        <v>1</v>
      </c>
      <c r="F15" s="5">
        <v>281</v>
      </c>
      <c r="G15" s="26">
        <f t="shared" si="0"/>
        <v>281</v>
      </c>
      <c r="L15" s="2"/>
      <c r="M15" s="11"/>
      <c r="N15" s="5"/>
      <c r="O15" s="26"/>
    </row>
    <row r="16" spans="1:16" ht="15.75" thickBot="1">
      <c r="A16" s="2" t="s">
        <v>1114</v>
      </c>
      <c r="B16" s="2" t="s">
        <v>1115</v>
      </c>
      <c r="C16" s="372">
        <v>45700</v>
      </c>
      <c r="E16">
        <v>0</v>
      </c>
      <c r="F16" s="5">
        <v>254.72</v>
      </c>
      <c r="G16" s="29">
        <f>+E16*F16</f>
        <v>0</v>
      </c>
      <c r="H16" s="29"/>
      <c r="L16" s="2"/>
      <c r="M16" s="11"/>
      <c r="N16" s="5"/>
      <c r="O16" s="26"/>
    </row>
    <row r="17" spans="5:16">
      <c r="E17" s="787"/>
      <c r="F17" s="564"/>
      <c r="G17" s="564"/>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87"/>
      <c r="N24" s="564"/>
      <c r="O24" s="56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531</v>
      </c>
      <c r="B1" s="3"/>
      <c r="I1" s="788" t="s">
        <v>9</v>
      </c>
      <c r="J1" s="788" t="str">
        <f>IF(Profit!Q6,IF(K1,"Yes","No"),"No")</f>
        <v>No</v>
      </c>
      <c r="K1" s="790" t="b">
        <v>0</v>
      </c>
    </row>
    <row r="2" spans="1:11" ht="15.75" thickBot="1">
      <c r="C2" s="3"/>
      <c r="D2" s="8"/>
      <c r="E2" s="13"/>
      <c r="F2" s="13"/>
      <c r="G2" s="13"/>
      <c r="I2" s="789"/>
      <c r="J2" s="789"/>
      <c r="K2" s="791"/>
    </row>
    <row r="3" spans="1:11">
      <c r="A3" s="3" t="s">
        <v>508</v>
      </c>
      <c r="B3" s="3" t="s">
        <v>962</v>
      </c>
      <c r="C3" s="3" t="s">
        <v>789</v>
      </c>
      <c r="D3" s="8" t="s">
        <v>790</v>
      </c>
      <c r="E3" s="13" t="s">
        <v>791</v>
      </c>
      <c r="F3" s="13" t="s">
        <v>504</v>
      </c>
      <c r="G3" s="13" t="s">
        <v>792</v>
      </c>
    </row>
    <row r="4" spans="1:11">
      <c r="A4" s="337" t="s">
        <v>1116</v>
      </c>
      <c r="B4" s="337" t="s">
        <v>1117</v>
      </c>
      <c r="C4" s="327">
        <v>4</v>
      </c>
      <c r="D4" s="334">
        <v>21.97</v>
      </c>
      <c r="E4" s="328">
        <f>+C4*D4</f>
        <v>87.88</v>
      </c>
      <c r="F4" s="335">
        <f t="shared" ref="F4:F7" si="0">+E4*0.0725</f>
        <v>6.3712999999999989</v>
      </c>
      <c r="G4" s="333"/>
    </row>
    <row r="5" spans="1:11">
      <c r="A5" s="337" t="s">
        <v>1118</v>
      </c>
      <c r="B5" s="337" t="s">
        <v>1119</v>
      </c>
      <c r="C5" s="327">
        <v>2</v>
      </c>
      <c r="D5" s="334">
        <v>79.97</v>
      </c>
      <c r="E5" s="328">
        <f t="shared" ref="E5:E7" si="1">+C5*D5</f>
        <v>159.94</v>
      </c>
      <c r="F5" s="335">
        <f t="shared" si="0"/>
        <v>11.595649999999999</v>
      </c>
      <c r="G5" s="328"/>
    </row>
    <row r="6" spans="1:11">
      <c r="A6" s="337" t="s">
        <v>1120</v>
      </c>
      <c r="B6" s="337" t="s">
        <v>1121</v>
      </c>
      <c r="C6" s="327">
        <v>1</v>
      </c>
      <c r="D6" s="334">
        <v>123</v>
      </c>
      <c r="E6" s="328">
        <f t="shared" si="1"/>
        <v>123</v>
      </c>
      <c r="F6" s="335">
        <f t="shared" si="0"/>
        <v>8.9174999999999986</v>
      </c>
      <c r="G6" s="328"/>
    </row>
    <row r="7" spans="1:11" ht="15.75" thickBot="1">
      <c r="A7" s="337" t="s">
        <v>1122</v>
      </c>
      <c r="B7" s="337" t="s">
        <v>1123</v>
      </c>
      <c r="C7" s="327">
        <v>2</v>
      </c>
      <c r="D7" s="334">
        <v>54.98</v>
      </c>
      <c r="E7" s="328">
        <f t="shared" si="1"/>
        <v>109.96</v>
      </c>
      <c r="F7" s="335">
        <f t="shared" si="0"/>
        <v>7.9720999999999993</v>
      </c>
      <c r="G7" s="336"/>
    </row>
    <row r="8" spans="1:11">
      <c r="A8" s="331"/>
      <c r="B8" s="331"/>
      <c r="C8" s="331"/>
      <c r="D8" s="332"/>
      <c r="E8" s="333"/>
      <c r="F8" s="333"/>
      <c r="G8" s="328">
        <f>IF(J1="Yes",SUM(E4:F7),0)</f>
        <v>0</v>
      </c>
    </row>
    <row r="9" spans="1:11">
      <c r="A9" s="3"/>
      <c r="B9" s="3"/>
      <c r="C9" s="3"/>
      <c r="D9" s="8"/>
      <c r="E9" s="13"/>
      <c r="F9" s="13"/>
    </row>
    <row r="10" spans="1:11">
      <c r="A10" s="3"/>
      <c r="B10" s="3"/>
      <c r="C10" s="3"/>
      <c r="D10" s="8"/>
      <c r="E10" s="13"/>
      <c r="F10" s="13"/>
      <c r="G10" s="13"/>
    </row>
    <row r="11" spans="1:11">
      <c r="A11" s="3" t="s">
        <v>1124</v>
      </c>
      <c r="B11" s="3" t="s">
        <v>1125</v>
      </c>
      <c r="C11" s="30">
        <v>0</v>
      </c>
      <c r="D11" s="8">
        <v>39.97</v>
      </c>
      <c r="E11" s="14">
        <f>+C11*D11</f>
        <v>0</v>
      </c>
      <c r="F11" s="26">
        <f t="shared" ref="F11:F33" si="2">+E11*0.0725</f>
        <v>0</v>
      </c>
      <c r="G11" s="13"/>
    </row>
    <row r="12" spans="1:11">
      <c r="A12" s="30" t="s">
        <v>1116</v>
      </c>
      <c r="B12" s="30" t="s">
        <v>1117</v>
      </c>
      <c r="C12">
        <v>0</v>
      </c>
      <c r="D12" s="5">
        <v>21.97</v>
      </c>
      <c r="E12" s="14">
        <f>+C12*D12</f>
        <v>0</v>
      </c>
      <c r="F12" s="26">
        <f t="shared" si="2"/>
        <v>0</v>
      </c>
    </row>
    <row r="13" spans="1:11">
      <c r="A13" s="30" t="s">
        <v>1116</v>
      </c>
      <c r="B13" s="30" t="s">
        <v>1126</v>
      </c>
      <c r="C13">
        <v>0</v>
      </c>
      <c r="D13" s="5">
        <v>29.97</v>
      </c>
      <c r="E13" s="14">
        <f>+C13*D13</f>
        <v>0</v>
      </c>
      <c r="F13" s="26">
        <f t="shared" si="2"/>
        <v>0</v>
      </c>
    </row>
    <row r="14" spans="1:11">
      <c r="A14" s="30" t="s">
        <v>1116</v>
      </c>
      <c r="B14" s="30" t="s">
        <v>1127</v>
      </c>
      <c r="C14">
        <v>0</v>
      </c>
      <c r="D14" s="5">
        <v>21.97</v>
      </c>
      <c r="E14" s="14">
        <f>+C14*D14</f>
        <v>0</v>
      </c>
      <c r="F14" s="26">
        <f t="shared" si="2"/>
        <v>0</v>
      </c>
    </row>
    <row r="15" spans="1:11">
      <c r="A15" s="30" t="s">
        <v>1116</v>
      </c>
      <c r="B15" s="30" t="s">
        <v>1128</v>
      </c>
      <c r="C15">
        <v>0</v>
      </c>
      <c r="D15" s="5">
        <v>69.97</v>
      </c>
      <c r="E15" s="14">
        <f>+C15*D15</f>
        <v>0</v>
      </c>
      <c r="F15" s="26">
        <f t="shared" si="2"/>
        <v>0</v>
      </c>
    </row>
    <row r="16" spans="1:11">
      <c r="A16" s="30" t="s">
        <v>1129</v>
      </c>
      <c r="B16" s="30" t="s">
        <v>1130</v>
      </c>
      <c r="C16">
        <v>0</v>
      </c>
      <c r="D16" s="5">
        <v>64.97</v>
      </c>
      <c r="E16" s="14">
        <f t="shared" ref="E16:E33" si="3">+C16*D16</f>
        <v>0</v>
      </c>
      <c r="F16" s="26">
        <f t="shared" si="2"/>
        <v>0</v>
      </c>
    </row>
    <row r="17" spans="1:6">
      <c r="A17" s="30" t="s">
        <v>1131</v>
      </c>
      <c r="B17" s="30" t="s">
        <v>1132</v>
      </c>
      <c r="C17">
        <v>0</v>
      </c>
      <c r="D17" s="5">
        <v>89.97</v>
      </c>
      <c r="E17" s="14">
        <f t="shared" si="3"/>
        <v>0</v>
      </c>
      <c r="F17" s="26">
        <f t="shared" si="2"/>
        <v>0</v>
      </c>
    </row>
    <row r="18" spans="1:6">
      <c r="A18" s="30" t="s">
        <v>1133</v>
      </c>
      <c r="B18" s="30">
        <v>2535475</v>
      </c>
      <c r="C18">
        <v>0</v>
      </c>
      <c r="D18" s="5">
        <v>24.98</v>
      </c>
      <c r="E18" s="14">
        <f t="shared" si="3"/>
        <v>0</v>
      </c>
      <c r="F18" s="26">
        <f t="shared" si="2"/>
        <v>0</v>
      </c>
    </row>
    <row r="19" spans="1:6">
      <c r="A19" s="30" t="s">
        <v>1134</v>
      </c>
      <c r="B19" s="30"/>
      <c r="C19">
        <v>0</v>
      </c>
      <c r="D19" s="5">
        <v>10.9</v>
      </c>
      <c r="E19" s="14">
        <f t="shared" si="3"/>
        <v>0</v>
      </c>
      <c r="F19" s="26">
        <f t="shared" si="2"/>
        <v>0</v>
      </c>
    </row>
    <row r="20" spans="1:6">
      <c r="A20" s="30" t="s">
        <v>1135</v>
      </c>
      <c r="B20" s="30" t="s">
        <v>1136</v>
      </c>
      <c r="C20">
        <v>0</v>
      </c>
      <c r="D20" s="5">
        <v>62.97</v>
      </c>
      <c r="E20" s="14">
        <f t="shared" si="3"/>
        <v>0</v>
      </c>
      <c r="F20" s="26">
        <f t="shared" si="2"/>
        <v>0</v>
      </c>
    </row>
    <row r="21" spans="1:6">
      <c r="A21" s="30" t="s">
        <v>1122</v>
      </c>
      <c r="B21" s="30" t="s">
        <v>1123</v>
      </c>
      <c r="C21">
        <v>0</v>
      </c>
      <c r="D21" s="5">
        <v>54.98</v>
      </c>
      <c r="E21" s="14">
        <f t="shared" si="3"/>
        <v>0</v>
      </c>
      <c r="F21" s="26">
        <f t="shared" si="2"/>
        <v>0</v>
      </c>
    </row>
    <row r="22" spans="1:6">
      <c r="A22" s="30" t="s">
        <v>1137</v>
      </c>
      <c r="B22" s="30" t="s">
        <v>1138</v>
      </c>
      <c r="C22">
        <v>0</v>
      </c>
      <c r="D22" s="5">
        <v>17.97</v>
      </c>
      <c r="E22" s="14">
        <f t="shared" si="3"/>
        <v>0</v>
      </c>
      <c r="F22" s="26">
        <f t="shared" si="2"/>
        <v>0</v>
      </c>
    </row>
    <row r="23" spans="1:6">
      <c r="A23" s="30" t="s">
        <v>1139</v>
      </c>
      <c r="B23" s="30" t="s">
        <v>1140</v>
      </c>
      <c r="C23">
        <v>0</v>
      </c>
      <c r="D23" s="5">
        <v>16.98</v>
      </c>
      <c r="E23" s="14">
        <f t="shared" si="3"/>
        <v>0</v>
      </c>
      <c r="F23" s="26">
        <f t="shared" si="2"/>
        <v>0</v>
      </c>
    </row>
    <row r="24" spans="1:6">
      <c r="A24" s="30" t="s">
        <v>1141</v>
      </c>
      <c r="B24" s="30" t="s">
        <v>1142</v>
      </c>
      <c r="C24">
        <v>0</v>
      </c>
      <c r="D24" s="5">
        <v>3.27</v>
      </c>
      <c r="E24" s="14">
        <f t="shared" si="3"/>
        <v>0</v>
      </c>
      <c r="F24" s="26">
        <f t="shared" si="2"/>
        <v>0</v>
      </c>
    </row>
    <row r="25" spans="1:6">
      <c r="A25" s="30" t="s">
        <v>1118</v>
      </c>
      <c r="B25" s="30" t="s">
        <v>1119</v>
      </c>
      <c r="C25">
        <v>0</v>
      </c>
      <c r="D25" s="5">
        <v>79.97</v>
      </c>
      <c r="E25" s="14">
        <f t="shared" si="3"/>
        <v>0</v>
      </c>
      <c r="F25" s="26">
        <f t="shared" si="2"/>
        <v>0</v>
      </c>
    </row>
    <row r="26" spans="1:6">
      <c r="A26" s="30" t="s">
        <v>1120</v>
      </c>
      <c r="B26" s="30" t="s">
        <v>1121</v>
      </c>
      <c r="C26">
        <v>0</v>
      </c>
      <c r="D26" s="5">
        <v>123</v>
      </c>
      <c r="E26" s="14">
        <f t="shared" si="3"/>
        <v>0</v>
      </c>
      <c r="F26" s="26">
        <f t="shared" si="2"/>
        <v>0</v>
      </c>
    </row>
    <row r="27" spans="1:6">
      <c r="A27" s="30" t="s">
        <v>1143</v>
      </c>
      <c r="B27" s="30" t="s">
        <v>1144</v>
      </c>
      <c r="C27">
        <v>0</v>
      </c>
      <c r="D27" s="5">
        <v>13.98</v>
      </c>
      <c r="E27" s="14">
        <f t="shared" si="3"/>
        <v>0</v>
      </c>
      <c r="F27" s="26">
        <f t="shared" si="2"/>
        <v>0</v>
      </c>
    </row>
    <row r="28" spans="1:6">
      <c r="A28" s="30" t="s">
        <v>1145</v>
      </c>
      <c r="B28" s="30">
        <v>39800072986</v>
      </c>
      <c r="C28">
        <v>0</v>
      </c>
      <c r="D28" s="5">
        <v>17.87</v>
      </c>
      <c r="E28" s="14">
        <f t="shared" si="3"/>
        <v>0</v>
      </c>
      <c r="F28" s="26">
        <f t="shared" si="2"/>
        <v>0</v>
      </c>
    </row>
    <row r="29" spans="1:6">
      <c r="A29" s="30" t="s">
        <v>1146</v>
      </c>
      <c r="B29" s="190">
        <v>46335120372</v>
      </c>
      <c r="C29">
        <v>0</v>
      </c>
      <c r="D29" s="5">
        <v>99.97</v>
      </c>
      <c r="E29" s="14">
        <f t="shared" si="3"/>
        <v>0</v>
      </c>
      <c r="F29" s="26">
        <f t="shared" si="2"/>
        <v>0</v>
      </c>
    </row>
    <row r="30" spans="1:6">
      <c r="A30" s="30" t="s">
        <v>1147</v>
      </c>
      <c r="B30" s="190">
        <v>792145370178</v>
      </c>
      <c r="C30">
        <v>0</v>
      </c>
      <c r="D30" s="5">
        <v>59.97</v>
      </c>
      <c r="E30" s="14">
        <f t="shared" si="3"/>
        <v>0</v>
      </c>
      <c r="F30" s="26">
        <f t="shared" si="2"/>
        <v>0</v>
      </c>
    </row>
    <row r="31" spans="1:6">
      <c r="A31" s="30" t="s">
        <v>1148</v>
      </c>
      <c r="B31" s="30">
        <v>82392573331</v>
      </c>
      <c r="C31">
        <v>0</v>
      </c>
      <c r="D31" s="5">
        <v>109</v>
      </c>
      <c r="E31" s="14">
        <f t="shared" si="3"/>
        <v>0</v>
      </c>
      <c r="F31" s="26">
        <f t="shared" si="2"/>
        <v>0</v>
      </c>
    </row>
    <row r="32" spans="1:6">
      <c r="A32" s="30" t="s">
        <v>1149</v>
      </c>
      <c r="B32" s="30">
        <v>5190530</v>
      </c>
      <c r="C32">
        <v>0</v>
      </c>
      <c r="D32" s="5">
        <v>18.98</v>
      </c>
      <c r="E32" s="14">
        <f t="shared" si="3"/>
        <v>0</v>
      </c>
      <c r="F32" s="26">
        <f t="shared" si="2"/>
        <v>0</v>
      </c>
    </row>
    <row r="33" spans="1:10" ht="15.75" thickBot="1">
      <c r="A33" s="30" t="s">
        <v>1150</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1151</v>
      </c>
      <c r="B1" s="16"/>
      <c r="H1" s="788" t="s">
        <v>9</v>
      </c>
      <c r="I1" s="788" t="str">
        <f>IF(Profit!Q6,IF(J1,"Yes","No"),"No")</f>
        <v>No</v>
      </c>
      <c r="J1" s="790" t="b">
        <v>0</v>
      </c>
    </row>
    <row r="2" spans="1:10" s="15" customFormat="1" ht="15.75" thickBot="1">
      <c r="A2" s="3" t="s">
        <v>1152</v>
      </c>
      <c r="B2" s="17" t="s">
        <v>1153</v>
      </c>
      <c r="C2" s="30" t="s">
        <v>1154</v>
      </c>
      <c r="D2" s="3" t="s">
        <v>789</v>
      </c>
      <c r="E2" s="8" t="s">
        <v>1155</v>
      </c>
      <c r="F2" s="6" t="s">
        <v>1156</v>
      </c>
      <c r="G2" s="15" t="s">
        <v>792</v>
      </c>
      <c r="H2" s="789"/>
      <c r="I2" s="789"/>
      <c r="J2" s="791"/>
    </row>
    <row r="4" spans="1:10">
      <c r="A4" s="2" t="s">
        <v>1157</v>
      </c>
      <c r="B4" s="18">
        <v>0.79</v>
      </c>
      <c r="C4" s="2">
        <v>500</v>
      </c>
      <c r="D4">
        <v>0</v>
      </c>
      <c r="E4" s="5">
        <v>60</v>
      </c>
      <c r="F4" s="1">
        <f>+C4*B4*D4</f>
        <v>0</v>
      </c>
    </row>
    <row r="5" spans="1:10">
      <c r="A5" s="2" t="s">
        <v>1158</v>
      </c>
      <c r="B5" s="18">
        <v>1</v>
      </c>
      <c r="C5" s="2">
        <f>24*10</f>
        <v>240</v>
      </c>
      <c r="D5">
        <v>0</v>
      </c>
      <c r="E5" s="5">
        <v>60</v>
      </c>
      <c r="F5" s="1">
        <f>+C5*B5*D5</f>
        <v>0</v>
      </c>
    </row>
    <row r="6" spans="1:10">
      <c r="A6" s="2" t="s">
        <v>1159</v>
      </c>
      <c r="B6" s="18" t="s">
        <v>319</v>
      </c>
      <c r="C6" s="532">
        <v>45934</v>
      </c>
      <c r="D6">
        <v>1</v>
      </c>
      <c r="E6" s="5">
        <v>135</v>
      </c>
      <c r="F6" s="1">
        <f t="shared" ref="F6:F11" si="0">+D6*E6</f>
        <v>135</v>
      </c>
      <c r="G6">
        <v>135</v>
      </c>
    </row>
    <row r="7" spans="1:10">
      <c r="A7" s="2" t="s">
        <v>1159</v>
      </c>
      <c r="B7" s="18" t="s">
        <v>319</v>
      </c>
      <c r="C7" s="372">
        <v>46151</v>
      </c>
      <c r="D7">
        <v>1</v>
      </c>
      <c r="E7" s="5">
        <v>135</v>
      </c>
      <c r="F7" s="1">
        <v>135</v>
      </c>
      <c r="G7">
        <v>135</v>
      </c>
    </row>
    <row r="8" spans="1:10">
      <c r="A8" s="2" t="s">
        <v>1160</v>
      </c>
      <c r="D8">
        <v>0</v>
      </c>
      <c r="E8" s="5">
        <v>165</v>
      </c>
      <c r="F8" s="1">
        <f t="shared" si="0"/>
        <v>0</v>
      </c>
    </row>
    <row r="9" spans="1:10">
      <c r="A9" s="2" t="s">
        <v>1161</v>
      </c>
      <c r="B9" s="18">
        <v>0.13636363636363635</v>
      </c>
      <c r="D9">
        <v>0</v>
      </c>
      <c r="E9" s="5">
        <v>1385</v>
      </c>
      <c r="F9" s="1">
        <f t="shared" si="0"/>
        <v>0</v>
      </c>
      <c r="G9">
        <v>1385</v>
      </c>
    </row>
    <row r="10" spans="1:10">
      <c r="A10" s="2" t="s">
        <v>1162</v>
      </c>
      <c r="D10">
        <v>0</v>
      </c>
      <c r="E10" s="5">
        <v>15</v>
      </c>
      <c r="F10" s="1">
        <f t="shared" si="0"/>
        <v>0</v>
      </c>
    </row>
    <row r="11" spans="1:10">
      <c r="A11" s="2" t="s">
        <v>1163</v>
      </c>
      <c r="D11">
        <v>0</v>
      </c>
      <c r="E11" s="5">
        <v>1100</v>
      </c>
      <c r="F11" s="1">
        <f t="shared" si="0"/>
        <v>0</v>
      </c>
    </row>
    <row r="12" spans="1:10">
      <c r="A12" s="2" t="s">
        <v>1164</v>
      </c>
      <c r="D12">
        <v>0</v>
      </c>
      <c r="E12" s="5">
        <v>285</v>
      </c>
      <c r="F12" s="1">
        <v>0</v>
      </c>
    </row>
    <row r="13" spans="1:10">
      <c r="A13" s="2" t="s">
        <v>1165</v>
      </c>
      <c r="D13">
        <v>0</v>
      </c>
      <c r="E13" s="5">
        <v>975</v>
      </c>
      <c r="F13" s="1">
        <f>+D13*E13</f>
        <v>0</v>
      </c>
    </row>
    <row r="14" spans="1:10">
      <c r="A14" s="2" t="s">
        <v>1166</v>
      </c>
      <c r="B14" s="18" t="s">
        <v>319</v>
      </c>
      <c r="D14">
        <v>0</v>
      </c>
      <c r="E14" s="5">
        <v>60</v>
      </c>
      <c r="F14" s="1">
        <f>+D14*E14</f>
        <v>0</v>
      </c>
    </row>
    <row r="15" spans="1:10">
      <c r="A15" s="2" t="s">
        <v>1166</v>
      </c>
      <c r="B15" s="18" t="s">
        <v>319</v>
      </c>
      <c r="D15">
        <v>0</v>
      </c>
      <c r="E15" s="5">
        <v>60</v>
      </c>
      <c r="F15" s="1">
        <f>+D15*E15</f>
        <v>0</v>
      </c>
    </row>
    <row r="16" spans="1:10" ht="15.75" thickBot="1">
      <c r="A16" s="2" t="s">
        <v>1166</v>
      </c>
      <c r="B16" s="18" t="s">
        <v>319</v>
      </c>
      <c r="D16">
        <v>0</v>
      </c>
      <c r="E16" s="5">
        <v>60</v>
      </c>
      <c r="F16" s="29">
        <f>+D16*E16</f>
        <v>0</v>
      </c>
      <c r="G16" s="23"/>
    </row>
    <row r="17" spans="3:7">
      <c r="C17" s="2">
        <f>+SUM(C4:C16)</f>
        <v>92825</v>
      </c>
      <c r="F17" s="15" t="s">
        <v>792</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555</v>
      </c>
      <c r="B1" s="32"/>
      <c r="C1" s="16"/>
      <c r="H1" s="788" t="s">
        <v>9</v>
      </c>
      <c r="I1" s="788" t="str">
        <f>IF(Profit!$Q$6,IF(J1="No","No","Yes"),"no")</f>
        <v>Yes</v>
      </c>
      <c r="J1" s="792"/>
    </row>
    <row r="2" spans="1:10" s="50" customFormat="1" ht="30.75" thickBot="1">
      <c r="A2" s="50" t="s">
        <v>1152</v>
      </c>
      <c r="B2" s="50" t="s">
        <v>509</v>
      </c>
      <c r="C2" s="217" t="s">
        <v>1167</v>
      </c>
      <c r="D2" s="50" t="s">
        <v>792</v>
      </c>
      <c r="E2" s="50" t="s">
        <v>1168</v>
      </c>
      <c r="F2" s="178"/>
      <c r="G2" s="217">
        <v>20</v>
      </c>
      <c r="H2" s="789"/>
      <c r="I2" s="789"/>
      <c r="J2" s="793"/>
    </row>
    <row r="4" spans="1:10">
      <c r="A4" s="2" t="s">
        <v>1169</v>
      </c>
      <c r="B4" s="2">
        <v>0</v>
      </c>
      <c r="C4" s="18">
        <v>800</v>
      </c>
      <c r="D4" s="5">
        <f>+B4*C4</f>
        <v>0</v>
      </c>
    </row>
    <row r="5" spans="1:10">
      <c r="A5" s="2" t="s">
        <v>1170</v>
      </c>
      <c r="B5" s="2">
        <v>0</v>
      </c>
      <c r="C5" s="18">
        <v>28.46</v>
      </c>
      <c r="D5" s="5">
        <f t="shared" ref="D5:D15" si="0">+B5*C5</f>
        <v>0</v>
      </c>
    </row>
    <row r="6" spans="1:10">
      <c r="A6" s="2" t="s">
        <v>1171</v>
      </c>
      <c r="B6" s="2">
        <v>0</v>
      </c>
      <c r="C6" s="18">
        <v>32.979999999999997</v>
      </c>
      <c r="D6" s="5">
        <f t="shared" si="0"/>
        <v>0</v>
      </c>
    </row>
    <row r="7" spans="1:10">
      <c r="A7" s="2" t="s">
        <v>1172</v>
      </c>
      <c r="B7" s="2">
        <v>0</v>
      </c>
      <c r="C7" s="18">
        <v>28.47</v>
      </c>
      <c r="D7" s="5">
        <f t="shared" si="0"/>
        <v>0</v>
      </c>
    </row>
    <row r="8" spans="1:10">
      <c r="A8" s="2" t="s">
        <v>1173</v>
      </c>
      <c r="D8" s="5">
        <f t="shared" si="0"/>
        <v>0</v>
      </c>
    </row>
    <row r="9" spans="1:10">
      <c r="A9" s="2" t="s">
        <v>1174</v>
      </c>
      <c r="B9" s="2">
        <v>0</v>
      </c>
      <c r="C9" s="18">
        <v>1000</v>
      </c>
      <c r="D9" s="5">
        <f t="shared" si="0"/>
        <v>0</v>
      </c>
    </row>
    <row r="10" spans="1:10">
      <c r="A10" s="2" t="s">
        <v>1175</v>
      </c>
      <c r="D10" s="5">
        <f t="shared" si="0"/>
        <v>0</v>
      </c>
    </row>
    <row r="11" spans="1:10">
      <c r="A11" s="2" t="s">
        <v>1175</v>
      </c>
      <c r="D11" s="5">
        <f t="shared" si="0"/>
        <v>0</v>
      </c>
    </row>
    <row r="12" spans="1:10">
      <c r="A12" s="2" t="s">
        <v>1176</v>
      </c>
      <c r="B12" s="2">
        <v>0</v>
      </c>
      <c r="C12" s="18">
        <v>5500</v>
      </c>
      <c r="D12" s="5">
        <f t="shared" si="0"/>
        <v>0</v>
      </c>
    </row>
    <row r="13" spans="1:10">
      <c r="A13" s="2" t="s">
        <v>1177</v>
      </c>
      <c r="C13" s="18">
        <v>1604326</v>
      </c>
      <c r="D13" s="5">
        <f t="shared" si="0"/>
        <v>0</v>
      </c>
    </row>
    <row r="14" spans="1:10">
      <c r="A14" s="2" t="s">
        <v>1178</v>
      </c>
      <c r="C14" s="18">
        <v>228556</v>
      </c>
      <c r="D14" s="5">
        <f t="shared" si="0"/>
        <v>0</v>
      </c>
    </row>
    <row r="15" spans="1:10">
      <c r="A15" s="2" t="s">
        <v>1179</v>
      </c>
      <c r="B15" s="2">
        <v>0</v>
      </c>
      <c r="C15" s="18">
        <v>400</v>
      </c>
      <c r="D15" s="5">
        <f t="shared" si="0"/>
        <v>0</v>
      </c>
      <c r="I15" s="3" t="s">
        <v>319</v>
      </c>
    </row>
    <row r="16" spans="1:10">
      <c r="A16" s="2" t="s">
        <v>1180</v>
      </c>
      <c r="B16" s="2">
        <v>0</v>
      </c>
      <c r="C16" s="18">
        <v>7.33</v>
      </c>
      <c r="D16" s="5">
        <f>+B16*C16</f>
        <v>0</v>
      </c>
      <c r="I16" s="3"/>
    </row>
    <row r="17" spans="1:9">
      <c r="A17" s="2" t="s">
        <v>1181</v>
      </c>
      <c r="B17" s="2">
        <v>0</v>
      </c>
      <c r="C17" s="18">
        <v>9.9700000000000006</v>
      </c>
      <c r="D17" s="5">
        <f>+B17*C17</f>
        <v>0</v>
      </c>
      <c r="I17" s="3"/>
    </row>
    <row r="18" spans="1:9">
      <c r="A18" s="2" t="s">
        <v>1182</v>
      </c>
      <c r="B18" s="2">
        <v>0</v>
      </c>
      <c r="C18" s="18">
        <v>3.98</v>
      </c>
      <c r="D18" s="5">
        <f>+B18*C18</f>
        <v>0</v>
      </c>
      <c r="I18" s="3"/>
    </row>
    <row r="19" spans="1:9">
      <c r="A19" s="2" t="s">
        <v>1183</v>
      </c>
      <c r="B19" s="2">
        <v>0</v>
      </c>
      <c r="C19" s="18">
        <v>7.68</v>
      </c>
      <c r="D19" s="5">
        <f>+B19*C19</f>
        <v>0</v>
      </c>
      <c r="H19" s="1"/>
      <c r="I19" t="s">
        <v>319</v>
      </c>
    </row>
    <row r="20" spans="1:9">
      <c r="A20" s="2" t="s">
        <v>1184</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799" t="s">
        <v>1185</v>
      </c>
      <c r="C2" s="800"/>
      <c r="D2" s="195" t="s">
        <v>435</v>
      </c>
      <c r="E2" s="201" t="s">
        <v>1186</v>
      </c>
      <c r="F2" s="114" t="s">
        <v>1187</v>
      </c>
      <c r="G2" s="102"/>
      <c r="H2" s="99"/>
    </row>
    <row r="3" spans="1:11" ht="15.75" thickBot="1">
      <c r="B3" s="110" t="s">
        <v>437</v>
      </c>
      <c r="C3" s="111">
        <f>+SUM(E3:G3)</f>
        <v>335000</v>
      </c>
      <c r="D3" s="111"/>
      <c r="E3" s="176">
        <v>50000</v>
      </c>
      <c r="F3" s="198">
        <v>285000</v>
      </c>
      <c r="G3" s="174"/>
      <c r="I3" s="50"/>
      <c r="J3" s="50"/>
      <c r="K3" s="50"/>
    </row>
    <row r="4" spans="1:11">
      <c r="B4" s="110" t="s">
        <v>438</v>
      </c>
      <c r="C4" s="111">
        <f>+SUM(E4:$G$4)</f>
        <v>89099.277500000011</v>
      </c>
      <c r="D4" s="111"/>
      <c r="E4" s="176">
        <v>10000.13875</v>
      </c>
      <c r="F4" s="199">
        <v>79099.138750000013</v>
      </c>
      <c r="G4" s="174"/>
      <c r="I4" s="50"/>
      <c r="J4" s="50"/>
      <c r="K4" s="50"/>
    </row>
    <row r="5" spans="1:11">
      <c r="B5" s="112" t="s">
        <v>439</v>
      </c>
      <c r="C5" s="113">
        <f>+SUM(E5:G5)</f>
        <v>84974.5</v>
      </c>
      <c r="D5" s="113"/>
      <c r="E5" s="176">
        <v>0</v>
      </c>
      <c r="F5" s="199">
        <v>84974.5</v>
      </c>
      <c r="G5" s="100"/>
      <c r="I5" s="50"/>
      <c r="J5" s="50"/>
      <c r="K5" s="50"/>
    </row>
    <row r="6" spans="1:11" ht="15.75" thickBot="1">
      <c r="B6" s="101" t="s">
        <v>440</v>
      </c>
      <c r="C6" s="97">
        <f>+SUM($E$6:$G$6)</f>
        <v>91406.693999999989</v>
      </c>
      <c r="D6" s="97"/>
      <c r="E6" s="196">
        <v>30489.599999999999</v>
      </c>
      <c r="F6" s="196">
        <v>60917.093999999997</v>
      </c>
      <c r="G6" s="100"/>
      <c r="I6" s="50"/>
      <c r="J6" s="50"/>
      <c r="K6" s="50"/>
    </row>
    <row r="7" spans="1:11" ht="15.75" thickBot="1">
      <c r="B7" s="101" t="s">
        <v>441</v>
      </c>
      <c r="C7" s="97">
        <f>+SUM($E$7:$G$7)</f>
        <v>0</v>
      </c>
      <c r="D7" s="97"/>
      <c r="E7" s="176"/>
      <c r="F7" s="200"/>
      <c r="G7" s="100"/>
      <c r="I7" s="50"/>
      <c r="J7" s="50"/>
      <c r="K7" s="50"/>
    </row>
    <row r="8" spans="1:11" ht="15.75" thickBot="1">
      <c r="B8" s="101" t="s">
        <v>442</v>
      </c>
      <c r="C8" s="794">
        <f>+AVERAGE(E3:F3)</f>
        <v>167500</v>
      </c>
      <c r="D8" s="795"/>
      <c r="E8" s="801"/>
      <c r="F8" s="580"/>
      <c r="G8" s="565"/>
      <c r="I8" s="50"/>
      <c r="J8" s="50"/>
      <c r="K8" s="50"/>
    </row>
    <row r="9" spans="1:11" ht="15.75" thickBot="1">
      <c r="B9" s="101" t="s">
        <v>443</v>
      </c>
      <c r="C9" s="794">
        <f>+AVERAGE(E4:F4)</f>
        <v>44549.638750000006</v>
      </c>
      <c r="D9" s="795"/>
      <c r="E9" s="625"/>
      <c r="F9" s="582"/>
      <c r="G9" s="583"/>
      <c r="I9" s="50"/>
      <c r="J9" s="50"/>
      <c r="K9" s="50"/>
    </row>
    <row r="10" spans="1:11" ht="15.75" thickBot="1">
      <c r="B10" s="101" t="s">
        <v>444</v>
      </c>
      <c r="C10" s="794">
        <f>+AVERAGE(E5:F5)</f>
        <v>42487.25</v>
      </c>
      <c r="D10" s="795"/>
      <c r="E10" s="802" t="s">
        <v>1188</v>
      </c>
      <c r="F10" s="667"/>
      <c r="G10" s="665"/>
      <c r="I10" s="50"/>
      <c r="J10" s="50"/>
      <c r="K10" s="50"/>
    </row>
    <row r="11" spans="1:11" ht="15.75" thickBot="1">
      <c r="B11" s="101" t="s">
        <v>446</v>
      </c>
      <c r="C11" s="794">
        <f>+AVERAGE(E6:F6)</f>
        <v>45703.346999999994</v>
      </c>
      <c r="D11" s="795"/>
      <c r="E11" s="796" t="s">
        <v>1189</v>
      </c>
      <c r="F11" s="797"/>
      <c r="G11" s="79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799" t="s">
        <v>1190</v>
      </c>
      <c r="C2" s="800"/>
      <c r="D2" s="195" t="s">
        <v>435</v>
      </c>
      <c r="E2" s="201" t="s">
        <v>1191</v>
      </c>
      <c r="F2" s="114" t="s">
        <v>1192</v>
      </c>
      <c r="G2" s="102"/>
      <c r="H2" s="99"/>
    </row>
    <row r="3" spans="1:8" ht="15.75" thickBot="1">
      <c r="B3" s="110" t="s">
        <v>437</v>
      </c>
      <c r="C3" s="111">
        <f>+SUM(E3:G3)</f>
        <v>750000</v>
      </c>
      <c r="D3" s="111"/>
      <c r="E3" s="176">
        <v>435000</v>
      </c>
      <c r="F3" s="198">
        <v>315000</v>
      </c>
      <c r="G3" s="174"/>
    </row>
    <row r="4" spans="1:8">
      <c r="B4" s="110" t="s">
        <v>438</v>
      </c>
      <c r="C4" s="111">
        <f>+SUM(E4:$G$4)</f>
        <v>352369</v>
      </c>
      <c r="D4" s="111"/>
      <c r="E4" s="176">
        <v>249869</v>
      </c>
      <c r="F4" s="199">
        <v>102500</v>
      </c>
      <c r="G4" s="174"/>
    </row>
    <row r="5" spans="1:8">
      <c r="B5" s="112" t="s">
        <v>439</v>
      </c>
      <c r="C5" s="113">
        <f>+SUM(E5:G5)</f>
        <v>242267</v>
      </c>
      <c r="D5" s="113"/>
      <c r="E5" s="176">
        <v>98192</v>
      </c>
      <c r="F5" s="199">
        <f>+F3+-F4-F6</f>
        <v>144075</v>
      </c>
      <c r="G5" s="100"/>
    </row>
    <row r="6" spans="1:8" ht="15.75" thickBot="1">
      <c r="B6" s="101" t="s">
        <v>440</v>
      </c>
      <c r="C6" s="97">
        <f>+SUM($E$6:$G$6)</f>
        <v>155363.89666666667</v>
      </c>
      <c r="D6" s="97"/>
      <c r="E6" s="176">
        <v>86938.896666666667</v>
      </c>
      <c r="F6" s="199">
        <v>68425</v>
      </c>
      <c r="G6" s="100"/>
    </row>
    <row r="7" spans="1:8" ht="15.75" thickBot="1">
      <c r="B7" s="101" t="s">
        <v>441</v>
      </c>
      <c r="C7" s="97">
        <f>+SUM($E$7:$G$7)</f>
        <v>0</v>
      </c>
      <c r="D7" s="97"/>
      <c r="E7" s="176"/>
      <c r="F7" s="200"/>
      <c r="G7" s="100"/>
    </row>
    <row r="8" spans="1:8" ht="15.75" thickBot="1">
      <c r="B8" s="101" t="s">
        <v>442</v>
      </c>
      <c r="C8" s="794">
        <f>+AVERAGE(E3:F3)</f>
        <v>375000</v>
      </c>
      <c r="D8" s="795"/>
      <c r="E8" s="801"/>
      <c r="F8" s="580"/>
      <c r="G8" s="565"/>
    </row>
    <row r="9" spans="1:8" ht="15.75" thickBot="1">
      <c r="B9" s="101" t="s">
        <v>443</v>
      </c>
      <c r="C9" s="794">
        <f>+AVERAGE(E4:F4)</f>
        <v>176184.5</v>
      </c>
      <c r="D9" s="795"/>
      <c r="E9" s="625"/>
      <c r="F9" s="582"/>
      <c r="G9" s="583"/>
    </row>
    <row r="10" spans="1:8" ht="15.75" thickBot="1">
      <c r="B10" s="101" t="s">
        <v>444</v>
      </c>
      <c r="C10" s="794">
        <f>+AVERAGE(E5:F5)</f>
        <v>121133.5</v>
      </c>
      <c r="D10" s="795"/>
      <c r="E10" s="802" t="s">
        <v>1188</v>
      </c>
      <c r="F10" s="667"/>
      <c r="G10" s="665"/>
    </row>
    <row r="11" spans="1:8" ht="15.75" thickBot="1">
      <c r="B11" s="101" t="s">
        <v>446</v>
      </c>
      <c r="C11" s="794">
        <f>+AVERAGE(E6:F6)</f>
        <v>77681.948333333334</v>
      </c>
      <c r="D11" s="795"/>
      <c r="E11" s="796" t="s">
        <v>1189</v>
      </c>
      <c r="F11" s="797"/>
      <c r="G11" s="79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799" t="s">
        <v>1193</v>
      </c>
      <c r="C2" s="806"/>
      <c r="D2" s="195" t="s">
        <v>435</v>
      </c>
      <c r="E2" s="109" t="s">
        <v>1194</v>
      </c>
      <c r="F2" s="109" t="s">
        <v>1195</v>
      </c>
      <c r="G2" s="109" t="s">
        <v>1196</v>
      </c>
      <c r="H2" s="114" t="s">
        <v>1197</v>
      </c>
      <c r="I2" s="102"/>
      <c r="J2" s="99"/>
    </row>
    <row r="3" spans="1:10" ht="15.75" thickBot="1">
      <c r="A3" s="104"/>
      <c r="B3" s="110" t="s">
        <v>437</v>
      </c>
      <c r="C3" s="111">
        <f>+SUM(E3:I3)</f>
        <v>1262529</v>
      </c>
      <c r="D3" s="111"/>
      <c r="E3" s="176">
        <v>210000</v>
      </c>
      <c r="F3" s="176">
        <v>423529</v>
      </c>
      <c r="G3" s="176">
        <v>330000</v>
      </c>
      <c r="H3" s="175">
        <v>299000</v>
      </c>
      <c r="I3" s="174"/>
    </row>
    <row r="4" spans="1:10">
      <c r="A4" s="104"/>
      <c r="B4" s="110" t="s">
        <v>438</v>
      </c>
      <c r="C4" s="111">
        <f>+SUM(E4:$I$4)</f>
        <v>554594.92000000004</v>
      </c>
      <c r="D4" s="111"/>
      <c r="E4" s="176">
        <v>127000</v>
      </c>
      <c r="F4" s="176">
        <v>174585.47</v>
      </c>
      <c r="G4" s="176">
        <v>85975.790000000008</v>
      </c>
      <c r="H4" s="175">
        <v>167033.66</v>
      </c>
      <c r="I4" s="174"/>
    </row>
    <row r="5" spans="1:10">
      <c r="A5" s="104"/>
      <c r="B5" s="112" t="s">
        <v>439</v>
      </c>
      <c r="C5" s="113">
        <f>+SUM(E5:I5)</f>
        <v>148708.10749999998</v>
      </c>
      <c r="D5" s="113"/>
      <c r="E5" s="176">
        <v>15000</v>
      </c>
      <c r="F5" s="176">
        <v>12223</v>
      </c>
      <c r="G5" s="176">
        <v>82805.727499999994</v>
      </c>
      <c r="H5" s="175">
        <v>38679.380000000005</v>
      </c>
      <c r="I5" s="100"/>
    </row>
    <row r="6" spans="1:10" ht="15.75" thickBot="1">
      <c r="A6" s="104"/>
      <c r="B6" s="101" t="s">
        <v>440</v>
      </c>
      <c r="C6" s="97">
        <f>+SUM($E$6:$I$6)</f>
        <v>471212.07700000005</v>
      </c>
      <c r="D6" s="97"/>
      <c r="E6" s="176">
        <v>67485.868000000002</v>
      </c>
      <c r="F6" s="176">
        <v>154708.03800000003</v>
      </c>
      <c r="G6" s="176">
        <v>154490.20250000001</v>
      </c>
      <c r="H6" s="175">
        <v>94527.968499999988</v>
      </c>
      <c r="I6" s="100"/>
    </row>
    <row r="7" spans="1:10" ht="15.75" thickBot="1">
      <c r="A7" s="104"/>
      <c r="B7" s="101" t="s">
        <v>441</v>
      </c>
      <c r="C7" s="97">
        <f>+SUM($E$7:$I$7)</f>
        <v>15470.803800000003</v>
      </c>
      <c r="D7" s="97"/>
      <c r="E7" s="197"/>
      <c r="F7" s="204">
        <v>15470.803800000003</v>
      </c>
      <c r="G7" s="204"/>
      <c r="H7" s="206"/>
      <c r="I7" s="100"/>
    </row>
    <row r="8" spans="1:10" ht="15.75" thickBot="1">
      <c r="A8" s="104"/>
      <c r="B8" s="101" t="s">
        <v>442</v>
      </c>
      <c r="C8" s="794">
        <f>+AVERAGE(E3:H3)</f>
        <v>315632.25</v>
      </c>
      <c r="D8" s="803"/>
      <c r="E8" s="801"/>
      <c r="F8" s="580"/>
      <c r="G8" s="580"/>
      <c r="H8" s="580"/>
      <c r="I8" s="565"/>
    </row>
    <row r="9" spans="1:10" ht="15.75" thickBot="1">
      <c r="A9" s="104"/>
      <c r="B9" s="101" t="s">
        <v>443</v>
      </c>
      <c r="C9" s="794">
        <f>+AVERAGE(E4:H4)</f>
        <v>138648.73000000001</v>
      </c>
      <c r="D9" s="803"/>
      <c r="E9" s="625"/>
      <c r="F9" s="582"/>
      <c r="G9" s="582"/>
      <c r="H9" s="582"/>
      <c r="I9" s="583"/>
    </row>
    <row r="10" spans="1:10" ht="15.75" thickBot="1">
      <c r="A10" s="104"/>
      <c r="B10" s="101" t="s">
        <v>444</v>
      </c>
      <c r="C10" s="794">
        <f>+AVERAGE(E5:H5)</f>
        <v>37177.026874999996</v>
      </c>
      <c r="D10" s="803"/>
      <c r="E10" s="802" t="s">
        <v>1188</v>
      </c>
      <c r="F10" s="807"/>
      <c r="G10" s="807"/>
      <c r="H10" s="807"/>
      <c r="I10" s="808"/>
    </row>
    <row r="11" spans="1:10" ht="15.75" thickBot="1">
      <c r="B11" s="101" t="s">
        <v>446</v>
      </c>
      <c r="C11" s="794">
        <f>+AVERAGE(E6:H6)</f>
        <v>117803.01925000001</v>
      </c>
      <c r="D11" s="803"/>
      <c r="E11" s="796" t="s">
        <v>1189</v>
      </c>
      <c r="F11" s="804"/>
      <c r="G11" s="804"/>
      <c r="H11" s="804"/>
      <c r="I11" s="80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1193</v>
      </c>
      <c r="C2" s="800"/>
      <c r="D2" s="195" t="s">
        <v>435</v>
      </c>
      <c r="E2" s="201" t="s">
        <v>1198</v>
      </c>
      <c r="F2" s="201" t="s">
        <v>1199</v>
      </c>
      <c r="G2" s="114" t="s">
        <v>1200</v>
      </c>
      <c r="H2" s="102"/>
      <c r="I2" s="99"/>
    </row>
    <row r="3" spans="1:9" ht="15.75" thickBot="1">
      <c r="B3" s="110" t="s">
        <v>437</v>
      </c>
      <c r="C3" s="111">
        <f>+SUM(E3:H3)</f>
        <v>811800</v>
      </c>
      <c r="D3" s="111"/>
      <c r="E3" s="176">
        <v>363900</v>
      </c>
      <c r="F3" s="202">
        <v>210000</v>
      </c>
      <c r="G3" s="198">
        <v>237900</v>
      </c>
      <c r="H3" s="174"/>
    </row>
    <row r="4" spans="1:9">
      <c r="B4" s="110" t="s">
        <v>438</v>
      </c>
      <c r="C4" s="111">
        <f>+SUM(E4:$H$4)</f>
        <v>401770.9</v>
      </c>
      <c r="D4" s="111"/>
      <c r="E4" s="176">
        <v>220000</v>
      </c>
      <c r="F4" s="203">
        <v>107061.9</v>
      </c>
      <c r="G4" s="199">
        <v>74709</v>
      </c>
      <c r="H4" s="174"/>
    </row>
    <row r="5" spans="1:9">
      <c r="B5" s="112" t="s">
        <v>439</v>
      </c>
      <c r="C5" s="113">
        <f>+SUM(E5:H5)</f>
        <v>146350.07515412499</v>
      </c>
      <c r="D5" s="113"/>
      <c r="E5" s="176">
        <v>27507.698</v>
      </c>
      <c r="F5" s="203">
        <v>47760.57</v>
      </c>
      <c r="G5" s="199">
        <v>71081.80715412501</v>
      </c>
      <c r="H5" s="100"/>
    </row>
    <row r="6" spans="1:9" ht="15.75" thickBot="1">
      <c r="B6" s="101" t="s">
        <v>440</v>
      </c>
      <c r="C6" s="97">
        <f>+SUM($E$6:$H$6)</f>
        <v>257067.10484587503</v>
      </c>
      <c r="D6" s="97"/>
      <c r="E6" s="176">
        <v>92658.781999999992</v>
      </c>
      <c r="F6" s="203">
        <v>64240.530000000028</v>
      </c>
      <c r="G6" s="199">
        <v>100167.792845875</v>
      </c>
      <c r="H6" s="100"/>
    </row>
    <row r="7" spans="1:9" ht="15.75" thickBot="1">
      <c r="B7" s="101" t="s">
        <v>441</v>
      </c>
      <c r="C7" s="97">
        <f>+SUM($E$7:$H$7)</f>
        <v>0</v>
      </c>
      <c r="D7" s="97"/>
      <c r="E7" s="197"/>
      <c r="F7" s="204"/>
      <c r="G7" s="205"/>
      <c r="H7" s="100"/>
    </row>
    <row r="8" spans="1:9" ht="15.75" thickBot="1">
      <c r="B8" s="101" t="s">
        <v>442</v>
      </c>
      <c r="C8" s="794">
        <f>+AVERAGE(E3:G3)</f>
        <v>270600</v>
      </c>
      <c r="D8" s="795"/>
      <c r="E8" s="801"/>
      <c r="F8" s="809"/>
      <c r="G8" s="580"/>
      <c r="H8" s="565"/>
    </row>
    <row r="9" spans="1:9" ht="15.75" thickBot="1">
      <c r="B9" s="101" t="s">
        <v>443</v>
      </c>
      <c r="C9" s="794">
        <f>+AVERAGE(E4:G4)</f>
        <v>133923.63333333333</v>
      </c>
      <c r="D9" s="795"/>
      <c r="E9" s="625"/>
      <c r="F9" s="582"/>
      <c r="G9" s="582"/>
      <c r="H9" s="583"/>
    </row>
    <row r="10" spans="1:9" ht="15.75" thickBot="1">
      <c r="B10" s="101" t="s">
        <v>444</v>
      </c>
      <c r="C10" s="794">
        <f>+AVERAGE(E5:G5)</f>
        <v>48783.358384708328</v>
      </c>
      <c r="D10" s="795"/>
      <c r="E10" s="802" t="s">
        <v>1188</v>
      </c>
      <c r="F10" s="807"/>
      <c r="G10" s="667"/>
      <c r="H10" s="665"/>
    </row>
    <row r="11" spans="1:9" ht="15.75" thickBot="1">
      <c r="B11" s="101" t="s">
        <v>446</v>
      </c>
      <c r="C11" s="794">
        <f>+AVERAGE(E6:G6)</f>
        <v>85689.034948625005</v>
      </c>
      <c r="D11" s="795"/>
      <c r="E11" s="796" t="s">
        <v>1189</v>
      </c>
      <c r="F11" s="804"/>
      <c r="G11" s="797"/>
      <c r="H11" s="79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1193</v>
      </c>
      <c r="C2" s="800"/>
      <c r="D2" s="195" t="s">
        <v>435</v>
      </c>
      <c r="E2" s="201" t="s">
        <v>1201</v>
      </c>
      <c r="F2" s="201" t="s">
        <v>1202</v>
      </c>
      <c r="G2" s="114" t="s">
        <v>1203</v>
      </c>
      <c r="H2" s="102"/>
      <c r="I2" s="99"/>
    </row>
    <row r="3" spans="1:9" ht="15.75" thickBot="1">
      <c r="B3" s="110" t="s">
        <v>437</v>
      </c>
      <c r="C3" s="111">
        <f>+SUM(E3:H3)</f>
        <v>540000</v>
      </c>
      <c r="D3" s="111"/>
      <c r="E3" s="176">
        <v>150000</v>
      </c>
      <c r="F3" s="202">
        <v>195000</v>
      </c>
      <c r="G3" s="198">
        <v>195000</v>
      </c>
      <c r="H3" s="174"/>
    </row>
    <row r="4" spans="1:9">
      <c r="B4" s="110" t="s">
        <v>438</v>
      </c>
      <c r="C4" s="111">
        <f>+SUM(E4:$H$4)</f>
        <v>310642.71000000002</v>
      </c>
      <c r="D4" s="111"/>
      <c r="E4" s="176">
        <v>71644.86</v>
      </c>
      <c r="F4" s="203">
        <v>110309.86</v>
      </c>
      <c r="G4" s="199">
        <v>128687.99</v>
      </c>
      <c r="H4" s="174"/>
    </row>
    <row r="5" spans="1:9">
      <c r="B5" s="112" t="s">
        <v>439</v>
      </c>
      <c r="C5" s="113">
        <f>+SUM(E5:H5)</f>
        <v>49980.701499999996</v>
      </c>
      <c r="D5" s="113"/>
      <c r="E5" s="176">
        <v>6302.96</v>
      </c>
      <c r="F5" s="203">
        <v>20425.14</v>
      </c>
      <c r="G5" s="199">
        <v>23252.601500000001</v>
      </c>
      <c r="H5" s="100"/>
    </row>
    <row r="6" spans="1:9" ht="15.75" thickBot="1">
      <c r="B6" s="101" t="s">
        <v>440</v>
      </c>
      <c r="C6" s="97">
        <f>+SUM($E$6:$H$6)</f>
        <v>116039.9257777778</v>
      </c>
      <c r="D6" s="97"/>
      <c r="E6" s="176">
        <v>37694.072</v>
      </c>
      <c r="F6" s="203">
        <v>52771.490000000005</v>
      </c>
      <c r="G6" s="199">
        <v>25574.363777777784</v>
      </c>
      <c r="H6" s="100"/>
    </row>
    <row r="7" spans="1:9" ht="15.75" thickBot="1">
      <c r="B7" s="101" t="s">
        <v>441</v>
      </c>
      <c r="C7" s="97">
        <f>+SUM($E$7:$H$7)</f>
        <v>0</v>
      </c>
      <c r="D7" s="97"/>
      <c r="E7" s="197"/>
      <c r="F7" s="204"/>
      <c r="G7" s="205"/>
      <c r="H7" s="100"/>
    </row>
    <row r="8" spans="1:9" ht="15.75" thickBot="1">
      <c r="B8" s="101" t="s">
        <v>442</v>
      </c>
      <c r="C8" s="794">
        <f>+AVERAGE(E3:G3)</f>
        <v>180000</v>
      </c>
      <c r="D8" s="795"/>
      <c r="E8" s="801"/>
      <c r="F8" s="809"/>
      <c r="G8" s="580"/>
      <c r="H8" s="565"/>
    </row>
    <row r="9" spans="1:9" ht="15.75" thickBot="1">
      <c r="B9" s="101" t="s">
        <v>443</v>
      </c>
      <c r="C9" s="794">
        <f>+AVERAGE(E4:G4)</f>
        <v>103547.57</v>
      </c>
      <c r="D9" s="795"/>
      <c r="E9" s="625"/>
      <c r="F9" s="582"/>
      <c r="G9" s="582"/>
      <c r="H9" s="583"/>
    </row>
    <row r="10" spans="1:9" ht="15.75" thickBot="1">
      <c r="B10" s="101" t="s">
        <v>444</v>
      </c>
      <c r="C10" s="794">
        <f>+AVERAGE(E5:G5)</f>
        <v>16660.233833333332</v>
      </c>
      <c r="D10" s="795"/>
      <c r="E10" s="802" t="s">
        <v>1188</v>
      </c>
      <c r="F10" s="807"/>
      <c r="G10" s="667"/>
      <c r="H10" s="665"/>
    </row>
    <row r="11" spans="1:9" ht="15.75" thickBot="1">
      <c r="B11" s="101" t="s">
        <v>446</v>
      </c>
      <c r="C11" s="794">
        <f>+AVERAGE(E6:G6)</f>
        <v>38679.975259259263</v>
      </c>
      <c r="D11" s="795"/>
      <c r="E11" s="796" t="s">
        <v>1189</v>
      </c>
      <c r="F11" s="804"/>
      <c r="G11" s="797"/>
      <c r="H11" s="79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27" t="s">
        <v>1204</v>
      </c>
      <c r="C1" s="728"/>
      <c r="E1" s="727" t="s">
        <v>1205</v>
      </c>
      <c r="F1" s="728"/>
      <c r="H1" s="727" t="s">
        <v>1206</v>
      </c>
      <c r="I1" s="728"/>
      <c r="L1" s="727" t="s">
        <v>1207</v>
      </c>
      <c r="M1" s="728"/>
    </row>
    <row r="2" spans="1:14">
      <c r="A2" s="2" t="s">
        <v>1208</v>
      </c>
    </row>
    <row r="3" spans="1:14">
      <c r="A3" s="2" t="s">
        <v>1209</v>
      </c>
      <c r="B3" s="219">
        <v>0.56000000000000005</v>
      </c>
      <c r="E3" s="219">
        <f>+B3</f>
        <v>0.56000000000000005</v>
      </c>
      <c r="H3" s="219">
        <f>+E3</f>
        <v>0.56000000000000005</v>
      </c>
      <c r="L3" s="219">
        <f>+E3</f>
        <v>0.56000000000000005</v>
      </c>
    </row>
    <row r="4" spans="1:14" ht="15.75" thickBot="1">
      <c r="A4" s="2" t="s">
        <v>1210</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1211</v>
      </c>
      <c r="B12" s="727" t="s">
        <v>1204</v>
      </c>
      <c r="C12" s="728"/>
      <c r="D12" s="3"/>
      <c r="E12" s="727" t="s">
        <v>1205</v>
      </c>
      <c r="F12" s="728"/>
      <c r="G12" s="3"/>
      <c r="H12" s="727" t="s">
        <v>1206</v>
      </c>
      <c r="I12" s="728"/>
      <c r="J12" s="3"/>
      <c r="K12" s="3"/>
    </row>
    <row r="13" spans="1:14">
      <c r="A13" s="2" t="s">
        <v>1212</v>
      </c>
      <c r="B13" s="219">
        <v>0.2</v>
      </c>
      <c r="C13">
        <f>+B13*STR!$C$4</f>
        <v>0</v>
      </c>
      <c r="E13" s="219">
        <f>+B13</f>
        <v>0.2</v>
      </c>
      <c r="F13">
        <f>+E13*STR!$F$4</f>
        <v>0</v>
      </c>
      <c r="H13" s="219">
        <f>+E13</f>
        <v>0.2</v>
      </c>
      <c r="I13">
        <f>+H13*STR!$M$4</f>
        <v>0</v>
      </c>
      <c r="K13" s="4">
        <f>+C13+F13+I13</f>
        <v>0</v>
      </c>
    </row>
    <row r="14" spans="1:14" ht="15.75" thickBot="1">
      <c r="A14" s="2" t="s">
        <v>1213</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1214</v>
      </c>
      <c r="C2">
        <v>1000</v>
      </c>
    </row>
    <row r="3" spans="1:3">
      <c r="A3" t="s">
        <v>1215</v>
      </c>
      <c r="C3">
        <v>9000</v>
      </c>
    </row>
    <row r="18" spans="6:7">
      <c r="F18" s="30" t="s">
        <v>1216</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3.xml>�� 
</file>

<file path=customXml/item24.xml>�� 
</file>

<file path=customXml/item25.xml>�� 
</file>

<file path=customXml/item26.xml>�� 
</file>

<file path=customXml/item27.xml>�� 
</file>

<file path=customXml/item28.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5.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6.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7.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8.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9.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10.xml><?xml version="1.0" encoding="utf-8"?>
<ds:datastoreItem xmlns:ds="http://schemas.openxmlformats.org/officeDocument/2006/customXml" ds:itemID="{91C90751-2A68-4A7E-9A23-3586ED9AC4CD}">
  <ds:schemaRefs>
    <ds:schemaRef ds:uri="http://gemini/pivotcustomization/Diagrams"/>
  </ds:schemaRefs>
</ds:datastoreItem>
</file>

<file path=customXml/itemProps11.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12.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3.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4.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15.xml><?xml version="1.0" encoding="utf-8"?>
<ds:datastoreItem xmlns:ds="http://schemas.openxmlformats.org/officeDocument/2006/customXml" ds:itemID="{C8DEC3D8-E357-4A8C-AFF9-645AD3C1C068}">
  <ds:schemaRefs>
    <ds:schemaRef ds:uri="http://schemas.microsoft.com/DataMashup"/>
  </ds:schemaRefs>
</ds:datastoreItem>
</file>

<file path=customXml/itemProps16.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17.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18.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19.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20.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21.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22.xml><?xml version="1.0" encoding="utf-8"?>
<ds:datastoreItem xmlns:ds="http://schemas.openxmlformats.org/officeDocument/2006/customXml" ds:itemID="{98C4DA37-4AFD-4CD2-9A66-0C8B8DF4AF27}">
  <ds:schemaRefs>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ab9fedca-001d-4cc9-b244-d9c3be5a27d3"/>
    <ds:schemaRef ds:uri="http://www.w3.org/XML/1998/namespace"/>
    <ds:schemaRef ds:uri="http://purl.org/dc/terms/"/>
    <ds:schemaRef ds:uri="http://schemas.microsoft.com/office/infopath/2007/PartnerControls"/>
    <ds:schemaRef ds:uri="42cc25d9-27fe-4f07-accb-ded05ec47eee"/>
    <ds:schemaRef ds:uri="http://purl.org/dc/dcmitype/"/>
  </ds:schemaRefs>
</ds:datastoreItem>
</file>

<file path=customXml/itemProps23.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2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7.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8.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2026-06-05T12:15:38Z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