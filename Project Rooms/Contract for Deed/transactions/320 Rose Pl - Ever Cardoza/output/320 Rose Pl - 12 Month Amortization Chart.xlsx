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15720" tabRatio="600" firstSheet="0" activeTab="0" autoFilterDateGrouping="1"/>
  </bookViews>
  <sheets>
    <sheet xmlns:r="http://schemas.openxmlformats.org/officeDocument/2006/relationships" name="12 Month Chart" sheetId="1" state="visible" r:id="rId1"/>
  </sheets>
  <definedNames>
    <definedName name="_xlnm.Print_Area" localSheetId="0">'12 Month Chart'!$A$1:$K$21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00%"/>
    <numFmt numFmtId="166" formatCode="yyyy-mm-dd h:mm:ss"/>
  </numFmts>
  <fonts count="4">
    <font>
      <name val="Aptos Narrow"/>
      <family val="2"/>
      <color theme="1"/>
      <sz val="11"/>
      <scheme val="minor"/>
    </font>
    <font>
      <name val="Calibri"/>
      <family val="2"/>
      <b val="1"/>
      <color theme="1"/>
      <sz val="16"/>
    </font>
    <font>
      <name val="Calibri"/>
      <family val="2"/>
      <color theme="1"/>
      <sz val="11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7EAD9"/>
        <bgColor indexed="64"/>
      </patternFill>
    </fill>
    <fill>
      <patternFill patternType="solid">
        <fgColor rgb="FFD9F0E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49" fontId="0" fillId="0" borderId="0" pivotButton="0" quotePrefix="0" xfId="0"/>
    <xf numFmtId="0" fontId="2" fillId="0" borderId="0" pivotButton="0" quotePrefix="0" xfId="0"/>
    <xf numFmtId="49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49" fontId="3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164" fontId="2" fillId="0" borderId="1" pivotButton="0" quotePrefix="0" xfId="0"/>
    <xf numFmtId="165" fontId="2" fillId="0" borderId="1" pivotButton="0" quotePrefix="0" xfId="0"/>
    <xf numFmtId="0" fontId="3" fillId="3" borderId="1" pivotButton="0" quotePrefix="0" xfId="0"/>
    <xf numFmtId="164" fontId="3" fillId="3" borderId="1" pivotButton="0" quotePrefix="0" xfId="0"/>
    <xf numFmtId="0" fontId="3" fillId="3" borderId="1" pivotButton="0" quotePrefix="0" xfId="0"/>
    <xf numFmtId="0" fontId="3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left" vertical="center" wrapText="1"/>
    </xf>
    <xf numFmtId="166" fontId="2" fillId="0" borderId="0" applyAlignment="1" pivotButton="0" quotePrefix="0" xfId="0">
      <alignment horizontal="left" vertical="center" wrapText="1"/>
    </xf>
    <xf numFmtId="166" fontId="2" fillId="0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21"/>
  <sheetViews>
    <sheetView tabSelected="1" workbookViewId="0">
      <selection activeCell="A1" sqref="A1:K1"/>
    </sheetView>
  </sheetViews>
  <sheetFormatPr baseColWidth="8" defaultRowHeight="15"/>
  <cols>
    <col width="8.7109375" customWidth="1" min="1" max="1"/>
    <col width="8.7109375" customWidth="1" style="1" min="2" max="2"/>
    <col width="10.7109375" customWidth="1" min="3" max="9"/>
    <col width="11.7109375" customWidth="1" min="10" max="10"/>
    <col width="12.7109375" customWidth="1" min="11" max="11"/>
  </cols>
  <sheetData>
    <row r="1" ht="21" customHeight="1">
      <c r="A1" s="15" t="inlineStr">
        <is>
          <t>320 Rose Pl - 12 Month Amortization Chart</t>
        </is>
      </c>
    </row>
    <row r="2">
      <c r="A2" s="2" t="n"/>
      <c r="B2" s="3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3">
      <c r="A3" s="13" t="inlineStr">
        <is>
          <t>Buyer</t>
        </is>
      </c>
      <c r="C3" s="17" t="inlineStr">
        <is>
          <t>Ever Amarildo Cardoza Bolanos and Maria Geraldina Sarmiento</t>
        </is>
      </c>
      <c r="G3" s="13" t="inlineStr">
        <is>
          <t>Property</t>
        </is>
      </c>
      <c r="I3" s="17" t="inlineStr">
        <is>
          <t>320 Rose Pl, Wendell, NC 27591</t>
        </is>
      </c>
    </row>
    <row r="4">
      <c r="A4" s="13" t="inlineStr">
        <is>
          <t>Contract Date</t>
        </is>
      </c>
      <c r="C4" s="18" t="n">
        <v>46204</v>
      </c>
      <c r="G4" s="13" t="inlineStr">
        <is>
          <t>Sale Amount</t>
        </is>
      </c>
      <c r="I4" s="17" t="n">
        <v>346500</v>
      </c>
    </row>
    <row r="5">
      <c r="A5" s="13" t="inlineStr">
        <is>
          <t>Down Payment</t>
        </is>
      </c>
      <c r="C5" s="17" t="n">
        <v>20790</v>
      </c>
      <c r="G5" s="13" t="inlineStr">
        <is>
          <t>Loan Amount</t>
        </is>
      </c>
      <c r="I5" s="17" t="n">
        <v>325710</v>
      </c>
    </row>
    <row r="6">
      <c r="A6" s="13" t="inlineStr">
        <is>
          <t>Buyer Rate</t>
        </is>
      </c>
      <c r="C6" s="17" t="n">
        <v>0.08499999999999999</v>
      </c>
      <c r="G6" s="13" t="inlineStr">
        <is>
          <t>Monthly Total Payment</t>
        </is>
      </c>
      <c r="I6" s="17" t="n">
        <v>2701.026666666667</v>
      </c>
    </row>
    <row r="7">
      <c r="A7" s="2" t="n"/>
      <c r="B7" s="3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</row>
    <row r="8" ht="36" customHeight="1">
      <c r="A8" s="4" t="inlineStr">
        <is>
          <t>Payment #</t>
        </is>
      </c>
      <c r="B8" s="5" t="inlineStr">
        <is>
          <t>Due Date</t>
        </is>
      </c>
      <c r="C8" s="4" t="inlineStr">
        <is>
          <t>Beginning Balance</t>
        </is>
      </c>
      <c r="D8" s="4" t="inlineStr">
        <is>
          <t>Interest Rate</t>
        </is>
      </c>
      <c r="E8" s="4" t="inlineStr">
        <is>
          <t>Scheduled Payment</t>
        </is>
      </c>
      <c r="F8" s="4" t="inlineStr">
        <is>
          <t>Principal</t>
        </is>
      </c>
      <c r="G8" s="4" t="inlineStr">
        <is>
          <t>Interest</t>
        </is>
      </c>
      <c r="H8" s="4" t="inlineStr">
        <is>
          <t>Insurance</t>
        </is>
      </c>
      <c r="I8" s="4" t="inlineStr">
        <is>
          <t>Taxes</t>
        </is>
      </c>
      <c r="J8" s="4" t="inlineStr">
        <is>
          <t>Total Payment</t>
        </is>
      </c>
      <c r="K8" s="4" t="inlineStr">
        <is>
          <t>Ending Balance</t>
        </is>
      </c>
    </row>
    <row r="9">
      <c r="A9" s="6" t="n">
        <v>1</v>
      </c>
      <c r="B9" s="19" t="n">
        <v>46230</v>
      </c>
      <c r="C9" s="8" t="n">
        <v>325710</v>
      </c>
      <c r="D9" s="9" t="n">
        <v>0.08499999999999999</v>
      </c>
      <c r="E9" s="8" t="n">
        <v>2504.43</v>
      </c>
      <c r="F9" s="8" t="n">
        <v>197.3199999999997</v>
      </c>
      <c r="G9" s="8" t="n">
        <v>2307.11</v>
      </c>
      <c r="H9" s="8" t="n">
        <v>51.5</v>
      </c>
      <c r="I9" s="8" t="n">
        <v>145.0966666666667</v>
      </c>
      <c r="J9" s="8" t="n">
        <v>2701.026666666667</v>
      </c>
      <c r="K9" s="8" t="n">
        <v>325512.68</v>
      </c>
    </row>
    <row r="10">
      <c r="A10" s="6" t="n">
        <v>2</v>
      </c>
      <c r="B10" s="19" t="n">
        <v>46260</v>
      </c>
      <c r="C10" s="8" t="n">
        <v>325512.68</v>
      </c>
      <c r="D10" s="9" t="n">
        <v>0.08499999999999999</v>
      </c>
      <c r="E10" s="8" t="n">
        <v>2504.43</v>
      </c>
      <c r="F10" s="8" t="n">
        <v>198.7199999999998</v>
      </c>
      <c r="G10" s="8" t="n">
        <v>2305.71</v>
      </c>
      <c r="H10" s="8" t="n">
        <v>51.5</v>
      </c>
      <c r="I10" s="8" t="n">
        <v>145.0966666666667</v>
      </c>
      <c r="J10" s="8" t="n">
        <v>2701.026666666667</v>
      </c>
      <c r="K10" s="8" t="n">
        <v>325313.96</v>
      </c>
    </row>
    <row r="11">
      <c r="A11" s="6" t="n">
        <v>3</v>
      </c>
      <c r="B11" s="19" t="n">
        <v>46290</v>
      </c>
      <c r="C11" s="8" t="n">
        <v>325313.96</v>
      </c>
      <c r="D11" s="9" t="n">
        <v>0.08499999999999999</v>
      </c>
      <c r="E11" s="8" t="n">
        <v>2504.43</v>
      </c>
      <c r="F11" s="8" t="n">
        <v>200.1199999999999</v>
      </c>
      <c r="G11" s="8" t="n">
        <v>2304.31</v>
      </c>
      <c r="H11" s="8" t="n">
        <v>51.5</v>
      </c>
      <c r="I11" s="8" t="n">
        <v>145.0966666666667</v>
      </c>
      <c r="J11" s="8" t="n">
        <v>2701.026666666667</v>
      </c>
      <c r="K11" s="8" t="n">
        <v>325113.84</v>
      </c>
    </row>
    <row r="12">
      <c r="A12" s="6" t="n">
        <v>4</v>
      </c>
      <c r="B12" s="19" t="n">
        <v>46320</v>
      </c>
      <c r="C12" s="8" t="n">
        <v>325113.84</v>
      </c>
      <c r="D12" s="9" t="n">
        <v>0.08499999999999999</v>
      </c>
      <c r="E12" s="8" t="n">
        <v>2504.43</v>
      </c>
      <c r="F12" s="8" t="n">
        <v>201.54</v>
      </c>
      <c r="G12" s="8" t="n">
        <v>2302.89</v>
      </c>
      <c r="H12" s="8" t="n">
        <v>51.5</v>
      </c>
      <c r="I12" s="8" t="n">
        <v>145.0966666666667</v>
      </c>
      <c r="J12" s="8" t="n">
        <v>2701.026666666667</v>
      </c>
      <c r="K12" s="8" t="n">
        <v>324912.3</v>
      </c>
    </row>
    <row r="13">
      <c r="A13" s="6" t="n">
        <v>5</v>
      </c>
      <c r="B13" s="19" t="n">
        <v>46350</v>
      </c>
      <c r="C13" s="8" t="n">
        <v>324912.3</v>
      </c>
      <c r="D13" s="9" t="n">
        <v>0.08499999999999999</v>
      </c>
      <c r="E13" s="8" t="n">
        <v>2504.43</v>
      </c>
      <c r="F13" s="8" t="n">
        <v>202.9699999999998</v>
      </c>
      <c r="G13" s="8" t="n">
        <v>2301.46</v>
      </c>
      <c r="H13" s="8" t="n">
        <v>51.5</v>
      </c>
      <c r="I13" s="8" t="n">
        <v>145.0966666666667</v>
      </c>
      <c r="J13" s="8" t="n">
        <v>2701.026666666667</v>
      </c>
      <c r="K13" s="8" t="n">
        <v>324709.3300000001</v>
      </c>
    </row>
    <row r="14">
      <c r="A14" s="6" t="n">
        <v>6</v>
      </c>
      <c r="B14" s="19" t="n">
        <v>46380</v>
      </c>
      <c r="C14" s="8" t="n">
        <v>324709.3300000001</v>
      </c>
      <c r="D14" s="9" t="n">
        <v>0.08499999999999999</v>
      </c>
      <c r="E14" s="8" t="n">
        <v>2504.43</v>
      </c>
      <c r="F14" s="8" t="n">
        <v>204.4099999999999</v>
      </c>
      <c r="G14" s="8" t="n">
        <v>2300.02</v>
      </c>
      <c r="H14" s="8" t="n">
        <v>51.5</v>
      </c>
      <c r="I14" s="8" t="n">
        <v>145.0966666666667</v>
      </c>
      <c r="J14" s="8" t="n">
        <v>2701.026666666667</v>
      </c>
      <c r="K14" s="8" t="n">
        <v>324504.9200000001</v>
      </c>
    </row>
    <row r="15">
      <c r="A15" s="6" t="n">
        <v>7</v>
      </c>
      <c r="B15" s="19" t="n">
        <v>46410</v>
      </c>
      <c r="C15" s="8" t="n">
        <v>324504.9200000001</v>
      </c>
      <c r="D15" s="9" t="n">
        <v>0.08499999999999999</v>
      </c>
      <c r="E15" s="8" t="n">
        <v>2504.43</v>
      </c>
      <c r="F15" s="8" t="n">
        <v>205.8499999999999</v>
      </c>
      <c r="G15" s="8" t="n">
        <v>2298.58</v>
      </c>
      <c r="H15" s="8" t="n">
        <v>51.5</v>
      </c>
      <c r="I15" s="8" t="n">
        <v>145.0966666666667</v>
      </c>
      <c r="J15" s="8" t="n">
        <v>2701.026666666667</v>
      </c>
      <c r="K15" s="8" t="n">
        <v>324299.0700000001</v>
      </c>
    </row>
    <row r="16">
      <c r="A16" s="6" t="n">
        <v>8</v>
      </c>
      <c r="B16" s="19" t="n">
        <v>46440</v>
      </c>
      <c r="C16" s="8" t="n">
        <v>324299.0700000001</v>
      </c>
      <c r="D16" s="9" t="n">
        <v>0.08499999999999999</v>
      </c>
      <c r="E16" s="8" t="n">
        <v>2504.43</v>
      </c>
      <c r="F16" s="8" t="n">
        <v>207.3099999999999</v>
      </c>
      <c r="G16" s="8" t="n">
        <v>2297.12</v>
      </c>
      <c r="H16" s="8" t="n">
        <v>51.5</v>
      </c>
      <c r="I16" s="8" t="n">
        <v>145.0966666666667</v>
      </c>
      <c r="J16" s="8" t="n">
        <v>2701.026666666667</v>
      </c>
      <c r="K16" s="8" t="n">
        <v>324091.7600000001</v>
      </c>
    </row>
    <row r="17">
      <c r="A17" s="6" t="n">
        <v>9</v>
      </c>
      <c r="B17" s="19" t="n">
        <v>46470</v>
      </c>
      <c r="C17" s="8" t="n">
        <v>324091.7600000001</v>
      </c>
      <c r="D17" s="9" t="n">
        <v>0.08499999999999999</v>
      </c>
      <c r="E17" s="8" t="n">
        <v>2504.43</v>
      </c>
      <c r="F17" s="8" t="n">
        <v>208.7799999999997</v>
      </c>
      <c r="G17" s="8" t="n">
        <v>2295.65</v>
      </c>
      <c r="H17" s="8" t="n">
        <v>51.5</v>
      </c>
      <c r="I17" s="8" t="n">
        <v>145.0966666666667</v>
      </c>
      <c r="J17" s="8" t="n">
        <v>2701.026666666667</v>
      </c>
      <c r="K17" s="8" t="n">
        <v>323882.9800000001</v>
      </c>
    </row>
    <row r="18">
      <c r="A18" s="6" t="n">
        <v>10</v>
      </c>
      <c r="B18" s="19" t="n">
        <v>46500</v>
      </c>
      <c r="C18" s="8" t="n">
        <v>323882.9800000001</v>
      </c>
      <c r="D18" s="9" t="n">
        <v>0.08499999999999999</v>
      </c>
      <c r="E18" s="8" t="n">
        <v>2504.43</v>
      </c>
      <c r="F18" s="8" t="n">
        <v>210.2599999999998</v>
      </c>
      <c r="G18" s="8" t="n">
        <v>2294.17</v>
      </c>
      <c r="H18" s="8" t="n">
        <v>51.5</v>
      </c>
      <c r="I18" s="8" t="n">
        <v>145.0966666666667</v>
      </c>
      <c r="J18" s="8" t="n">
        <v>2701.026666666667</v>
      </c>
      <c r="K18" s="8" t="n">
        <v>323672.7200000001</v>
      </c>
    </row>
    <row r="19">
      <c r="A19" s="6" t="n">
        <v>11</v>
      </c>
      <c r="B19" s="19" t="n">
        <v>46530</v>
      </c>
      <c r="C19" s="8" t="n">
        <v>323672.7200000001</v>
      </c>
      <c r="D19" s="9" t="n">
        <v>0.08499999999999999</v>
      </c>
      <c r="E19" s="8" t="n">
        <v>2504.43</v>
      </c>
      <c r="F19" s="8" t="n">
        <v>211.75</v>
      </c>
      <c r="G19" s="8" t="n">
        <v>2292.68</v>
      </c>
      <c r="H19" s="8" t="n">
        <v>51.5</v>
      </c>
      <c r="I19" s="8" t="n">
        <v>145.0966666666667</v>
      </c>
      <c r="J19" s="8" t="n">
        <v>2701.026666666667</v>
      </c>
      <c r="K19" s="8" t="n">
        <v>323460.9700000001</v>
      </c>
    </row>
    <row r="20">
      <c r="A20" s="6" t="n">
        <v>12</v>
      </c>
      <c r="B20" s="19" t="n">
        <v>46560</v>
      </c>
      <c r="C20" s="8" t="n">
        <v>323460.9700000001</v>
      </c>
      <c r="D20" s="9" t="n">
        <v>0.08499999999999999</v>
      </c>
      <c r="E20" s="8" t="n">
        <v>2504.43</v>
      </c>
      <c r="F20" s="8" t="n">
        <v>213.25</v>
      </c>
      <c r="G20" s="8" t="n">
        <v>2291.18</v>
      </c>
      <c r="H20" s="8" t="n">
        <v>51.5</v>
      </c>
      <c r="I20" s="8" t="n">
        <v>145.0966666666667</v>
      </c>
      <c r="J20" s="8" t="n">
        <v>2701.026666666667</v>
      </c>
      <c r="K20" s="8" t="n">
        <v>323247.7200000001</v>
      </c>
    </row>
    <row r="21">
      <c r="A21" s="12" t="inlineStr">
        <is>
          <t>Totals for displayed 12-month period</t>
        </is>
      </c>
      <c r="B21" s="20" t="n"/>
      <c r="C21" s="20" t="n"/>
      <c r="D21" s="21" t="n"/>
      <c r="E21" s="11">
        <f>SUM(E9:E20)</f>
        <v/>
      </c>
      <c r="F21" s="11">
        <f>SUM(F9:F20)</f>
        <v/>
      </c>
      <c r="G21" s="11">
        <f>SUM(G9:G20)</f>
        <v/>
      </c>
      <c r="H21" s="11">
        <f>SUM(H9:H20)</f>
        <v/>
      </c>
      <c r="I21" s="11">
        <f>SUM(I9:I20)</f>
        <v/>
      </c>
      <c r="J21" s="11">
        <f>SUM(J9:J20)</f>
        <v/>
      </c>
      <c r="K21" s="12" t="n"/>
    </row>
  </sheetData>
  <mergeCells count="18">
    <mergeCell ref="A4:B4"/>
    <mergeCell ref="G4:H4"/>
    <mergeCell ref="A6:B6"/>
    <mergeCell ref="C3:F3"/>
    <mergeCell ref="C4:F4"/>
    <mergeCell ref="I5:K5"/>
    <mergeCell ref="A21:D21"/>
    <mergeCell ref="A5:B5"/>
    <mergeCell ref="G5:H5"/>
    <mergeCell ref="C6:F6"/>
    <mergeCell ref="A1:K1"/>
    <mergeCell ref="G6:H6"/>
    <mergeCell ref="I4:K4"/>
    <mergeCell ref="I3:K3"/>
    <mergeCell ref="C5:F5"/>
    <mergeCell ref="A3:B3"/>
    <mergeCell ref="G3:H3"/>
    <mergeCell ref="I6:K6"/>
  </mergeCells>
  <pageMargins left="0.25" right="0.25" top="0.35" bottom="0.35" header="0.3" footer="0.3"/>
  <pageSetup orientation="landscape" horizontalDpi="4800" verticalDpi="48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Wes Will Buy Your Home</dc:creator>
  <dcterms:created xmlns:dcterms="http://purl.org/dc/terms/" xmlns:xsi="http://www.w3.org/2001/XMLSchema-instance" xsi:type="dcterms:W3CDTF">2026-06-11T13:12:16Z</dcterms:created>
  <dcterms:modified xmlns:dcterms="http://purl.org/dc/terms/" xmlns:xsi="http://www.w3.org/2001/XMLSchema-instance" xsi:type="dcterms:W3CDTF">2026-06-11T13:56:11Z</dcterms:modified>
  <cp:lastModifiedBy>Wes Will Buy Your Home</cp:lastModifiedBy>
</cp:coreProperties>
</file>