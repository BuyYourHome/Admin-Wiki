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x\Wiki Files\Project Rooms\Contract for Deed\transactions\320 Rose Pl - Ever Cardoza\output\"/>
    </mc:Choice>
  </mc:AlternateContent>
  <xr:revisionPtr revIDLastSave="0" documentId="13_ncr:1_{0A0B0D07-05A9-4A0F-A7E6-8B7DCE9FD598}" xr6:coauthVersionLast="47" xr6:coauthVersionMax="47" xr10:uidLastSave="{00000000-0000-0000-0000-000000000000}"/>
  <bookViews>
    <workbookView xWindow="-120" yWindow="-120" windowWidth="38640" windowHeight="15720" xr2:uid="{708B81A7-2176-43A6-9774-3105644AC06C}"/>
  </bookViews>
  <sheets>
    <sheet name="12 Month Chart" sheetId="1" r:id="rId1"/>
  </sheets>
  <definedNames>
    <definedName name="_xlnm.Print_Area" localSheetId="0">'12 Month Chart'!$A$1:$K$21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1" i="1" l="1"/>
  <c r="I21" i="1"/>
  <c r="H21" i="1"/>
  <c r="G21" i="1"/>
  <c r="F21" i="1"/>
  <c r="E21" i="1"/>
  <c r="K20" i="1"/>
  <c r="J20" i="1"/>
  <c r="I20" i="1"/>
  <c r="H20" i="1"/>
  <c r="G20" i="1"/>
  <c r="F20" i="1"/>
  <c r="E20" i="1"/>
  <c r="D20" i="1"/>
  <c r="C20" i="1"/>
  <c r="A20" i="1"/>
  <c r="K19" i="1"/>
  <c r="J19" i="1"/>
  <c r="I19" i="1"/>
  <c r="H19" i="1"/>
  <c r="G19" i="1"/>
  <c r="F19" i="1"/>
  <c r="E19" i="1"/>
  <c r="D19" i="1"/>
  <c r="C19" i="1"/>
  <c r="A19" i="1"/>
  <c r="K18" i="1"/>
  <c r="J18" i="1"/>
  <c r="I18" i="1"/>
  <c r="H18" i="1"/>
  <c r="G18" i="1"/>
  <c r="F18" i="1"/>
  <c r="E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K14" i="1"/>
  <c r="J14" i="1"/>
  <c r="I14" i="1"/>
  <c r="H14" i="1"/>
  <c r="G14" i="1"/>
  <c r="F14" i="1"/>
  <c r="E14" i="1"/>
  <c r="D14" i="1"/>
  <c r="C14" i="1"/>
  <c r="A14" i="1"/>
  <c r="K13" i="1"/>
  <c r="J13" i="1"/>
  <c r="I13" i="1"/>
  <c r="H13" i="1"/>
  <c r="G13" i="1"/>
  <c r="F13" i="1"/>
  <c r="E13" i="1"/>
  <c r="D13" i="1"/>
  <c r="C13" i="1"/>
  <c r="A13" i="1"/>
  <c r="K12" i="1"/>
  <c r="J12" i="1"/>
  <c r="I12" i="1"/>
  <c r="H12" i="1"/>
  <c r="G12" i="1"/>
  <c r="F12" i="1"/>
  <c r="E12" i="1"/>
  <c r="D12" i="1"/>
  <c r="C12" i="1"/>
  <c r="A12" i="1"/>
  <c r="K11" i="1"/>
  <c r="J11" i="1"/>
  <c r="I11" i="1"/>
  <c r="H11" i="1"/>
  <c r="G11" i="1"/>
  <c r="F11" i="1"/>
  <c r="E11" i="1"/>
  <c r="D11" i="1"/>
  <c r="C11" i="1"/>
  <c r="A11" i="1"/>
  <c r="K10" i="1"/>
  <c r="J10" i="1"/>
  <c r="I10" i="1"/>
  <c r="H10" i="1"/>
  <c r="G10" i="1"/>
  <c r="F10" i="1"/>
  <c r="E10" i="1"/>
  <c r="D10" i="1"/>
  <c r="C10" i="1"/>
  <c r="A10" i="1"/>
  <c r="K9" i="1"/>
  <c r="J9" i="1"/>
  <c r="I9" i="1"/>
  <c r="H9" i="1"/>
  <c r="G9" i="1"/>
  <c r="F9" i="1"/>
  <c r="E9" i="1"/>
  <c r="D9" i="1"/>
  <c r="C9" i="1"/>
  <c r="A9" i="1"/>
</calcChain>
</file>

<file path=xl/sharedStrings.xml><?xml version="1.0" encoding="utf-8"?>
<sst xmlns="http://schemas.openxmlformats.org/spreadsheetml/2006/main" count="33" uniqueCount="33">
  <si>
    <t>320 Rose Pl - 12 Month Amortization Chart</t>
  </si>
  <si>
    <t>Buyer</t>
  </si>
  <si>
    <t>Property</t>
  </si>
  <si>
    <t>Buyer rate</t>
  </si>
  <si>
    <t>Payment #</t>
  </si>
  <si>
    <t>Due Date</t>
  </si>
  <si>
    <t>Beginning Balance</t>
  </si>
  <si>
    <t>Interest Rate</t>
  </si>
  <si>
    <t>Scheduled Payment</t>
  </si>
  <si>
    <t>Principal</t>
  </si>
  <si>
    <t>Interest</t>
  </si>
  <si>
    <t>Insurance</t>
  </si>
  <si>
    <t>Taxes</t>
  </si>
  <si>
    <t>Total Payment</t>
  </si>
  <si>
    <t>Ending Balance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</si>
  <si>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</si>
  <si>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</si>
  <si>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</si>
  <si>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</si>
  <si>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</si>
  <si>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</si>
  <si>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</si>
  <si>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</si>
  <si>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</si>
  <si>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</si>
  <si>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</si>
  <si>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</si>
  <si>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Totals for displayed 12-month period</t>
  </si>
  <si>
    <t>Contract Date</t>
  </si>
  <si>
    <t>Down Payment</t>
  </si>
  <si>
    <t>Sale Amount</t>
  </si>
  <si>
    <t>Loan Amount</t>
  </si>
  <si>
    <t>Monthly Total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</si>
</sst>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%"/>
  </numFmts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  <fill>
      <patternFill patternType="solid">
        <fgColor rgb="FFD9F0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7C1B-7023-4DD8-9CDA-B68232D3B795}">
  <sheetPr>
    <pageSetUpPr fitToPage="1"/>
  </sheetPr>
  <dimension ref="A1:K21"/>
  <sheetViews>
    <sheetView tabSelected="1" workbookViewId="0">
      <selection sqref="A1:K1"/>
    </sheetView>
  </sheetViews>
  <sheetFormatPr defaultRowHeight="15" x14ac:dyDescent="0.25"/>
  <cols>
    <col min="1" max="1" width="8.7109375" customWidth="1"/>
    <col min="2" max="2" width="8.7109375" style="1" customWidth="1"/>
    <col min="3" max="3" width="13.7109375" customWidth="1"/>
    <col min="4" max="4" width="9.7109375" customWidth="1"/>
    <col min="5" max="5" width="13.7109375" customWidth="1"/>
    <col min="6" max="7" width="8.7109375" customWidth="1"/>
    <col min="8" max="9" width="10.7109375" customWidth="1"/>
    <col min="10" max="10" width="12.7109375" customWidth="1"/>
    <col min="11" max="11" width="13.7109375" customWidth="1"/>
  </cols>
  <sheetData>
    <row r="1" spans="1:11" ht="2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2"/>
      <c r="B2" s="3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15" t="s">
        <v>1</v>
      </c>
      <c r="B3" s="15"/>
      <c r="C3" s="16"/>
      <c r="D3" s="16"/>
      <c r="E3" s="16"/>
      <c r="F3" s="15" t="s">
        <v>2</v>
      </c>
      <c r="G3" s="15"/>
      <c r="H3" s="16"/>
      <c r="I3" s="16"/>
      <c r="J3" s="16"/>
      <c r="K3" s="16"/>
    </row>
    <row r="4" spans="1:11" x14ac:dyDescent="0.25">
      <c r="A4" s="15" t="s">
        <v>28</v>
      </c>
      <c r="B4" s="15"/>
      <c r="C4" s="16"/>
      <c r="D4" s="16"/>
      <c r="E4" s="16"/>
      <c r="F4" s="15" t="s">
        <v>30</v>
      </c>
      <c r="G4" s="15"/>
      <c r="H4" s="16"/>
      <c r="I4" s="16"/>
      <c r="J4" s="16"/>
      <c r="K4" s="16"/>
    </row>
    <row r="5" spans="1:11" x14ac:dyDescent="0.25">
      <c r="A5" s="15" t="s">
        <v>29</v>
      </c>
      <c r="B5" s="15"/>
      <c r="C5" s="16"/>
      <c r="D5" s="16"/>
      <c r="E5" s="16"/>
      <c r="F5" s="15" t="s">
        <v>31</v>
      </c>
      <c r="G5" s="15"/>
      <c r="H5" s="16"/>
      <c r="I5" s="16"/>
      <c r="J5" s="16"/>
      <c r="K5" s="16"/>
    </row>
    <row r="6" spans="1:11" x14ac:dyDescent="0.25">
      <c r="A6" s="15" t="s">
        <v>3</v>
      </c>
      <c r="B6" s="15"/>
      <c r="C6" s="16"/>
      <c r="D6" s="16"/>
      <c r="E6" s="16"/>
      <c r="F6" s="15" t="s">
        <v>32</v>
      </c>
      <c r="G6" s="15"/>
      <c r="H6" s="16"/>
      <c r="I6" s="16"/>
      <c r="J6" s="16"/>
      <c r="K6" s="16"/>
    </row>
    <row r="7" spans="1:11" x14ac:dyDescent="0.25">
      <c r="A7" s="2"/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 ht="36" customHeight="1" x14ac:dyDescent="0.25">
      <c r="A8" s="4" t="s">
        <v>4</v>
      </c>
      <c r="B8" s="5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</row>
    <row r="9" spans="1:11" x14ac:dyDescent="0.25">
      <c r="A9" s="6">
        <f>1</f>
        <v>1</v>
      </c>
      <c r="B9" s="7" t="s">
        <v>15</v>
      </c>
      <c r="C9" s="8">
        <f>325710</f>
        <v>325710</v>
      </c>
      <c r="D9" s="9">
        <f t="shared" ref="D9:D20" si="0">0.085</f>
        <v>8.5000000000000006E-2</v>
      </c>
      <c r="E9" s="8">
        <f t="shared" ref="E9:E20" si="1">2504.43</f>
        <v>2504.4299999999998</v>
      </c>
      <c r="F9" s="8">
        <f>197.32</f>
        <v>197.32</v>
      </c>
      <c r="G9" s="8">
        <f>2307.11</f>
        <v>2307.11</v>
      </c>
      <c r="H9" s="8">
        <f t="shared" ref="H9:H20" si="2">51.5</f>
        <v>51.5</v>
      </c>
      <c r="I9" s="8">
        <f t="shared" ref="I9:I20" si="3">145.096666666667</f>
        <v>145.09666666666701</v>
      </c>
      <c r="J9" s="8">
        <f t="shared" ref="J9:J20" si="4">2701.02666666667</f>
        <v>2701.0266666666698</v>
      </c>
      <c r="K9" s="8">
        <f>325512.68</f>
        <v>325512.68</v>
      </c>
    </row>
    <row r="10" spans="1:11" x14ac:dyDescent="0.25">
      <c r="A10" s="6">
        <f>2</f>
        <v>2</v>
      </c>
      <c r="B10" s="7" t="s">
        <v>16</v>
      </c>
      <c r="C10" s="8">
        <f>325512.68</f>
        <v>325512.68</v>
      </c>
      <c r="D10" s="9">
        <f t="shared" si="0"/>
        <v>8.5000000000000006E-2</v>
      </c>
      <c r="E10" s="8">
        <f t="shared" si="1"/>
        <v>2504.4299999999998</v>
      </c>
      <c r="F10" s="8">
        <f>198.72</f>
        <v>198.72</v>
      </c>
      <c r="G10" s="8">
        <f>2305.71</f>
        <v>2305.71</v>
      </c>
      <c r="H10" s="8">
        <f t="shared" si="2"/>
        <v>51.5</v>
      </c>
      <c r="I10" s="8">
        <f t="shared" si="3"/>
        <v>145.09666666666701</v>
      </c>
      <c r="J10" s="8">
        <f t="shared" si="4"/>
        <v>2701.0266666666698</v>
      </c>
      <c r="K10" s="8">
        <f>325313.96</f>
        <v>325313.96000000002</v>
      </c>
    </row>
    <row r="11" spans="1:11" x14ac:dyDescent="0.25">
      <c r="A11" s="6">
        <f>3</f>
        <v>3</v>
      </c>
      <c r="B11" s="7" t="s">
        <v>17</v>
      </c>
      <c r="C11" s="8">
        <f>325313.96</f>
        <v>325313.96000000002</v>
      </c>
      <c r="D11" s="9">
        <f t="shared" si="0"/>
        <v>8.5000000000000006E-2</v>
      </c>
      <c r="E11" s="8">
        <f t="shared" si="1"/>
        <v>2504.4299999999998</v>
      </c>
      <c r="F11" s="8">
        <f>200.12</f>
        <v>200.12</v>
      </c>
      <c r="G11" s="8">
        <f>2304.31</f>
        <v>2304.31</v>
      </c>
      <c r="H11" s="8">
        <f t="shared" si="2"/>
        <v>51.5</v>
      </c>
      <c r="I11" s="8">
        <f t="shared" si="3"/>
        <v>145.09666666666701</v>
      </c>
      <c r="J11" s="8">
        <f t="shared" si="4"/>
        <v>2701.0266666666698</v>
      </c>
      <c r="K11" s="8">
        <f>325113.84</f>
        <v>325113.84000000003</v>
      </c>
    </row>
    <row r="12" spans="1:11" x14ac:dyDescent="0.25">
      <c r="A12" s="6">
        <f>4</f>
        <v>4</v>
      </c>
      <c r="B12" s="7" t="s">
        <v>18</v>
      </c>
      <c r="C12" s="8">
        <f>325113.84</f>
        <v>325113.84000000003</v>
      </c>
      <c r="D12" s="9">
        <f t="shared" si="0"/>
        <v>8.5000000000000006E-2</v>
      </c>
      <c r="E12" s="8">
        <f t="shared" si="1"/>
        <v>2504.4299999999998</v>
      </c>
      <c r="F12" s="8">
        <f>201.54</f>
        <v>201.54</v>
      </c>
      <c r="G12" s="8">
        <f>2302.89</f>
        <v>2302.89</v>
      </c>
      <c r="H12" s="8">
        <f t="shared" si="2"/>
        <v>51.5</v>
      </c>
      <c r="I12" s="8">
        <f t="shared" si="3"/>
        <v>145.09666666666701</v>
      </c>
      <c r="J12" s="8">
        <f t="shared" si="4"/>
        <v>2701.0266666666698</v>
      </c>
      <c r="K12" s="8">
        <f>324912.3</f>
        <v>324912.3</v>
      </c>
    </row>
    <row r="13" spans="1:11" x14ac:dyDescent="0.25">
      <c r="A13" s="6">
        <f>5</f>
        <v>5</v>
      </c>
      <c r="B13" s="7" t="s">
        <v>19</v>
      </c>
      <c r="C13" s="8">
        <f>324912.3</f>
        <v>324912.3</v>
      </c>
      <c r="D13" s="9">
        <f t="shared" si="0"/>
        <v>8.5000000000000006E-2</v>
      </c>
      <c r="E13" s="8">
        <f t="shared" si="1"/>
        <v>2504.4299999999998</v>
      </c>
      <c r="F13" s="8">
        <f>202.97</f>
        <v>202.97</v>
      </c>
      <c r="G13" s="8">
        <f>2301.46</f>
        <v>2301.46</v>
      </c>
      <c r="H13" s="8">
        <f t="shared" si="2"/>
        <v>51.5</v>
      </c>
      <c r="I13" s="8">
        <f t="shared" si="3"/>
        <v>145.09666666666701</v>
      </c>
      <c r="J13" s="8">
        <f t="shared" si="4"/>
        <v>2701.0266666666698</v>
      </c>
      <c r="K13" s="8">
        <f>324709.33</f>
        <v>324709.33</v>
      </c>
    </row>
    <row r="14" spans="1:11" x14ac:dyDescent="0.25">
      <c r="A14" s="6">
        <f>6</f>
        <v>6</v>
      </c>
      <c r="B14" s="7" t="s">
        <v>20</v>
      </c>
      <c r="C14" s="8">
        <f>324709.33</f>
        <v>324709.33</v>
      </c>
      <c r="D14" s="9">
        <f t="shared" si="0"/>
        <v>8.5000000000000006E-2</v>
      </c>
      <c r="E14" s="8">
        <f t="shared" si="1"/>
        <v>2504.4299999999998</v>
      </c>
      <c r="F14" s="8">
        <f>204.41</f>
        <v>204.41</v>
      </c>
      <c r="G14" s="8">
        <f>2300.02</f>
        <v>2300.02</v>
      </c>
      <c r="H14" s="8">
        <f t="shared" si="2"/>
        <v>51.5</v>
      </c>
      <c r="I14" s="8">
        <f t="shared" si="3"/>
        <v>145.09666666666701</v>
      </c>
      <c r="J14" s="8">
        <f t="shared" si="4"/>
        <v>2701.0266666666698</v>
      </c>
      <c r="K14" s="8">
        <f>324504.92</f>
        <v>324504.92</v>
      </c>
    </row>
    <row r="15" spans="1:11" x14ac:dyDescent="0.25">
      <c r="A15" s="6">
        <f>7</f>
        <v>7</v>
      </c>
      <c r="B15" s="7" t="s">
        <v>21</v>
      </c>
      <c r="C15" s="8">
        <f>324504.92</f>
        <v>324504.92</v>
      </c>
      <c r="D15" s="9">
        <f t="shared" si="0"/>
        <v>8.5000000000000006E-2</v>
      </c>
      <c r="E15" s="8">
        <f t="shared" si="1"/>
        <v>2504.4299999999998</v>
      </c>
      <c r="F15" s="8">
        <f>205.85</f>
        <v>205.85</v>
      </c>
      <c r="G15" s="8">
        <f>2298.58</f>
        <v>2298.58</v>
      </c>
      <c r="H15" s="8">
        <f t="shared" si="2"/>
        <v>51.5</v>
      </c>
      <c r="I15" s="8">
        <f t="shared" si="3"/>
        <v>145.09666666666701</v>
      </c>
      <c r="J15" s="8">
        <f t="shared" si="4"/>
        <v>2701.0266666666698</v>
      </c>
      <c r="K15" s="8">
        <f>324299.07</f>
        <v>324299.07</v>
      </c>
    </row>
    <row r="16" spans="1:11" x14ac:dyDescent="0.25">
      <c r="A16" s="6">
        <f>8</f>
        <v>8</v>
      </c>
      <c r="B16" s="7" t="s">
        <v>22</v>
      </c>
      <c r="C16" s="8">
        <f>324299.07</f>
        <v>324299.07</v>
      </c>
      <c r="D16" s="9">
        <f t="shared" si="0"/>
        <v>8.5000000000000006E-2</v>
      </c>
      <c r="E16" s="8">
        <f t="shared" si="1"/>
        <v>2504.4299999999998</v>
      </c>
      <c r="F16" s="8">
        <f>207.31</f>
        <v>207.31</v>
      </c>
      <c r="G16" s="8">
        <f>2297.12</f>
        <v>2297.12</v>
      </c>
      <c r="H16" s="8">
        <f t="shared" si="2"/>
        <v>51.5</v>
      </c>
      <c r="I16" s="8">
        <f t="shared" si="3"/>
        <v>145.09666666666701</v>
      </c>
      <c r="J16" s="8">
        <f t="shared" si="4"/>
        <v>2701.0266666666698</v>
      </c>
      <c r="K16" s="8">
        <f>324091.76</f>
        <v>324091.76</v>
      </c>
    </row>
    <row r="17" spans="1:11" x14ac:dyDescent="0.25">
      <c r="A17" s="6">
        <f>9</f>
        <v>9</v>
      </c>
      <c r="B17" s="7" t="s">
        <v>23</v>
      </c>
      <c r="C17" s="8">
        <f>324091.76</f>
        <v>324091.76</v>
      </c>
      <c r="D17" s="9">
        <f t="shared" si="0"/>
        <v>8.5000000000000006E-2</v>
      </c>
      <c r="E17" s="8">
        <f t="shared" si="1"/>
        <v>2504.4299999999998</v>
      </c>
      <c r="F17" s="8">
        <f>208.78</f>
        <v>208.78</v>
      </c>
      <c r="G17" s="8">
        <f>2295.65</f>
        <v>2295.65</v>
      </c>
      <c r="H17" s="8">
        <f t="shared" si="2"/>
        <v>51.5</v>
      </c>
      <c r="I17" s="8">
        <f t="shared" si="3"/>
        <v>145.09666666666701</v>
      </c>
      <c r="J17" s="8">
        <f t="shared" si="4"/>
        <v>2701.0266666666698</v>
      </c>
      <c r="K17" s="8">
        <f>323882.98</f>
        <v>323882.98</v>
      </c>
    </row>
    <row r="18" spans="1:11" x14ac:dyDescent="0.25">
      <c r="A18" s="6">
        <f>10</f>
        <v>10</v>
      </c>
      <c r="B18" s="7" t="s">
        <v>24</v>
      </c>
      <c r="C18" s="8">
        <f>323882.98</f>
        <v>323882.98</v>
      </c>
      <c r="D18" s="9">
        <f t="shared" si="0"/>
        <v>8.5000000000000006E-2</v>
      </c>
      <c r="E18" s="8">
        <f t="shared" si="1"/>
        <v>2504.4299999999998</v>
      </c>
      <c r="F18" s="8">
        <f>210.26</f>
        <v>210.26</v>
      </c>
      <c r="G18" s="8">
        <f>2294.17</f>
        <v>2294.17</v>
      </c>
      <c r="H18" s="8">
        <f t="shared" si="2"/>
        <v>51.5</v>
      </c>
      <c r="I18" s="8">
        <f t="shared" si="3"/>
        <v>145.09666666666701</v>
      </c>
      <c r="J18" s="8">
        <f t="shared" si="4"/>
        <v>2701.0266666666698</v>
      </c>
      <c r="K18" s="8">
        <f>323672.72</f>
        <v>323672.71999999997</v>
      </c>
    </row>
    <row r="19" spans="1:11" x14ac:dyDescent="0.25">
      <c r="A19" s="6">
        <f>11</f>
        <v>11</v>
      </c>
      <c r="B19" s="7" t="s">
        <v>25</v>
      </c>
      <c r="C19" s="8">
        <f>323672.72</f>
        <v>323672.71999999997</v>
      </c>
      <c r="D19" s="9">
        <f t="shared" si="0"/>
        <v>8.5000000000000006E-2</v>
      </c>
      <c r="E19" s="8">
        <f t="shared" si="1"/>
        <v>2504.4299999999998</v>
      </c>
      <c r="F19" s="8">
        <f>211.75</f>
        <v>211.75</v>
      </c>
      <c r="G19" s="8">
        <f>2292.68</f>
        <v>2292.6799999999998</v>
      </c>
      <c r="H19" s="8">
        <f t="shared" si="2"/>
        <v>51.5</v>
      </c>
      <c r="I19" s="8">
        <f t="shared" si="3"/>
        <v>145.09666666666701</v>
      </c>
      <c r="J19" s="8">
        <f t="shared" si="4"/>
        <v>2701.0266666666698</v>
      </c>
      <c r="K19" s="8">
        <f>323460.97</f>
        <v>323460.96999999997</v>
      </c>
    </row>
    <row r="20" spans="1:11" x14ac:dyDescent="0.25">
      <c r="A20" s="6">
        <f>12</f>
        <v>12</v>
      </c>
      <c r="B20" s="7" t="s">
        <v>26</v>
      </c>
      <c r="C20" s="8">
        <f>323460.97</f>
        <v>323460.96999999997</v>
      </c>
      <c r="D20" s="9">
        <f t="shared" si="0"/>
        <v>8.5000000000000006E-2</v>
      </c>
      <c r="E20" s="8">
        <f t="shared" si="1"/>
        <v>2504.4299999999998</v>
      </c>
      <c r="F20" s="8">
        <f>213.25</f>
        <v>213.25</v>
      </c>
      <c r="G20" s="8">
        <f>2291.18</f>
        <v>2291.1799999999998</v>
      </c>
      <c r="H20" s="8">
        <f t="shared" si="2"/>
        <v>51.5</v>
      </c>
      <c r="I20" s="8">
        <f t="shared" si="3"/>
        <v>145.09666666666701</v>
      </c>
      <c r="J20" s="8">
        <f t="shared" si="4"/>
        <v>2701.0266666666698</v>
      </c>
      <c r="K20" s="8">
        <f>323247.72</f>
        <v>323247.71999999997</v>
      </c>
    </row>
    <row r="21" spans="1:11" x14ac:dyDescent="0.25">
      <c r="A21" s="14" t="s">
        <v>27</v>
      </c>
      <c r="B21" s="14"/>
      <c r="C21" s="14"/>
      <c r="D21" s="14"/>
      <c r="E21" s="11">
        <f t="shared" ref="E21:J21" si="5">SUM(E9:E20)</f>
        <v>30053.16</v>
      </c>
      <c r="F21" s="11">
        <f t="shared" si="5"/>
        <v>2462.2799999999997</v>
      </c>
      <c r="G21" s="11">
        <f t="shared" si="5"/>
        <v>27590.880000000005</v>
      </c>
      <c r="H21" s="11">
        <f t="shared" si="5"/>
        <v>618</v>
      </c>
      <c r="I21" s="11">
        <f t="shared" si="5"/>
        <v>1741.1600000000042</v>
      </c>
      <c r="J21" s="11">
        <f t="shared" si="5"/>
        <v>32412.320000000032</v>
      </c>
      <c r="K21" s="10"/>
    </row>
  </sheetData>
  <mergeCells count="18">
    <mergeCell ref="F6:G6"/>
    <mergeCell ref="H6:K6"/>
    <mergeCell ref="A1:K1"/>
    <mergeCell ref="A21:D21"/>
    <mergeCell ref="A3:B3"/>
    <mergeCell ref="C3:E3"/>
    <mergeCell ref="F3:G3"/>
    <mergeCell ref="H3:K3"/>
    <mergeCell ref="A4:B4"/>
    <mergeCell ref="C4:E4"/>
    <mergeCell ref="F4:G4"/>
    <mergeCell ref="H4:K4"/>
    <mergeCell ref="A5:B5"/>
    <mergeCell ref="C5:E5"/>
    <mergeCell ref="F5:G5"/>
    <mergeCell ref="H5:K5"/>
    <mergeCell ref="A6:B6"/>
    <mergeCell ref="C6:E6"/>
  </mergeCells>
  <pageMargins left="0.25" right="0.25" top="0.35" bottom="0.35" header="0.3" footer="0.3"/>
  <pageSetup orientation="landscape" horizontalDpi="4800" verticalDpi="48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 Month Chart</vt:lpstr>
      <vt:lpstr>'12 Month Chart'!Print_Area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 Will Buy Your Home</dc:creator>
  <cp:lastModifiedBy>Wes Will Buy Your Home</cp:lastModifiedBy>
  <dcterms:created xsi:type="dcterms:W3CDTF">2026-06-11T11:50:24Z</dcterms:created>
  <dcterms:modified xsi:type="dcterms:W3CDTF">2026-06-11T12:56:41Z</dcterms:modified>
</cp:coreProperties>
</file>