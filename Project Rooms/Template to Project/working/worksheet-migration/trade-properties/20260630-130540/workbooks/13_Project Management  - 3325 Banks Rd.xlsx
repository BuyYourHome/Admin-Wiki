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trlProps/ctrlProp6.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Codex\Wiki Files\Project Rooms\Project Management Spreadsheet Redesign\working\worksheet-migration\trade-properties\20260630-130540\workbooks\"/>
    </mc:Choice>
  </mc:AlternateContent>
  <xr:revisionPtr revIDLastSave="0" documentId="13_ncr:1_{F6546F6C-D83B-4EFA-8AC4-3A80B6105522}" xr6:coauthVersionLast="47" xr6:coauthVersionMax="47" xr10:uidLastSave="{00000000-0000-0000-0000-000000000000}"/>
  <bookViews>
    <workbookView xWindow="-120" yWindow="-120" windowWidth="38640" windowHeight="15720" tabRatio="889" firstSheet="1" activeTab="1" xr2:uid="{00000000-000D-0000-FFFF-FFFF00000000}"/>
  </bookViews>
  <sheets>
    <sheet name="Profit" sheetId="1" r:id="rId1"/>
    <sheet name="Trade Properties" sheetId="52" r:id="rId2"/>
    <sheet name="MOG" sheetId="33" r:id="rId3"/>
    <sheet name="Todo" sheetId="19" r:id="rId4"/>
    <sheet name="Contact" sheetId="10" r:id="rId5"/>
    <sheet name="Carrying" sheetId="51" r:id="rId6"/>
    <sheet name="Proposal" sheetId="36" r:id="rId7"/>
    <sheet name="ProposalUpdate" sheetId="47" r:id="rId8"/>
    <sheet name="Gnatt Chart" sheetId="37" r:id="rId9"/>
    <sheet name="Taxes" sheetId="48" r:id="rId10"/>
    <sheet name="Financing" sheetId="34" r:id="rId11"/>
    <sheet name="Seller Advance" sheetId="9" r:id="rId12"/>
    <sheet name="MISC 2" sheetId="50" r:id="rId13"/>
    <sheet name="Demo &amp; Trash Haul" sheetId="21" r:id="rId14"/>
    <sheet name="Appliances" sheetId="15" r:id="rId15"/>
    <sheet name="Plumbing Fixtures" sheetId="22" r:id="rId16"/>
    <sheet name="Windows &amp; Doors" sheetId="20" r:id="rId17"/>
    <sheet name="Cabinets" sheetId="6" r:id="rId18"/>
    <sheet name="Paint" sheetId="4" r:id="rId19"/>
    <sheet name="Flooring" sheetId="3" r:id="rId20"/>
    <sheet name="HVAC" sheetId="18" r:id="rId21"/>
    <sheet name="Electrical Fixtures" sheetId="35" r:id="rId22"/>
    <sheet name="Landscape" sheetId="13" r:id="rId23"/>
    <sheet name="Exterior" sheetId="16" r:id="rId24"/>
  </sheets>
  <externalReferences>
    <externalReference r:id="rId25"/>
  </externalReferences>
  <definedNames>
    <definedName name="_xlnm._FilterDatabase" localSheetId="8" hidden="1">'Gnatt Chart'!$A$1:$DU$28</definedName>
    <definedName name="baseCost">#REF!</definedName>
    <definedName name="BaseDepth">_xlfn.LAMBDA(_xlpm.i,_xlpm.editsIdxTxt,_xlpm.editsParentKeyTxt,_xlpm.baseIdxTxt,_xlpm.baseCost,   IF(_xlpm.i="0", 0,      IF(BaseFlagOf(_xlpm.i, _xlpm.baseIdxTxt, _xlpm.baseCost),         1 + BaseDepth( ParentOf(_xlpm.i,_xlpm.editsIdxTxt,_xlpm.editsParentKeyTxt),                        _xlpm.editsIdxTxt,_xlpm.editsParentKeyTxt, _xlpm.baseIdxTxt,_xlpm.baseCost),         0      )   ) )</definedName>
    <definedName name="BaseDepthL">_xlfn.LAMBDA(_xlpm.i,_xlpm.limit,_xlpm.editsIdxTxt,_xlpm.editsParentKeyTxt,_xlpm.baseIdxTxt,_xlpm.baseCost,   IF(_xlpm.limit&lt;=0, 0,     IF(_xlpm.i="0", 0,       IF(         ISNUMBER(SEARCH("BASE PARENT", UPPER(_xlfn.XLOOKUP(TEXT(_xlpm.i,"0"), _xlpm.baseIdxTxt, _xlpm.baseCost, "")))),         1 + BaseDepthL(               IF(                 TEXT(_xlfn.IFNA(_xlfn.XLOOKUP(TEXT(_xlpm.i,"0"), _xlpm.editsIdxTxt, _xlpm.editsParentKeyTxt),"0"),"0")                 = TEXT(_xlpm.i,"0"),                 "0",                 TEXT(_xlfn.IFNA(_xlfn.XLOOKUP(TEXT(_xlpm.i,"0"), _xlpm.editsIdxTxt, _xlpm.editsParentKeyTxt),"0"),"0")               ),               _xlpm.limit-1,               _xlpm.editsIdxTxt, _xlpm.editsParentKeyTxt, _xlpm.baseIdxTxt, _xlpm.baseCost             ),         0       )     )   ) )</definedName>
    <definedName name="BaseFlagOf">_xlfn.LAMBDA(_xlpm.i,_xlpm.baseIdxTxt,_xlpm.baseCost,   --ISNUMBER(SEARCH("BASE PARENT", UPPER(_xlfn.XLOOKUP(TEXT(_xlpm.i,"0"), _xlpm.baseIdxTxt, _xlpm.baseCost, "")))) )</definedName>
    <definedName name="baseIdxTxt">TEXT(#REF!,"0")</definedName>
    <definedName name="cfdContractDate">[1]Amortization!$J$13</definedName>
    <definedName name="cfdContractMonths">[1]Amortization!$P$14</definedName>
    <definedName name="cfdEndDate">[1]Amortization!$S$14</definedName>
    <definedName name="cfdFirstRateMonths">[1]Amortization!$P$13</definedName>
    <definedName name="cfdRate1">[1]Amortization!$O$8</definedName>
    <definedName name="cfdRate1Payment">[1]Amortization!$V$8</definedName>
    <definedName name="cfdRate2">[1]Amortization!$O$11</definedName>
    <definedName name="cfdRate2Payment">[1]Amortization!$V$11</definedName>
    <definedName name="cfdRateChangeDate">[1]Amortization!$S$13</definedName>
    <definedName name="DepTitlesUsed">_xlfn.ANCHORARRAY(#REF!)</definedName>
    <definedName name="downPaymentRefinancedFirstMortgage">[1]Amortization!$AH$5</definedName>
    <definedName name="editsIdxTxt">TEXT(#REF!,"0")</definedName>
    <definedName name="editsParentKeyTxt">TEXT(#REF!,"0")</definedName>
    <definedName name="ExternalData_3" localSheetId="7" hidden="1">ProposalUpdate!$B$4:$H$20</definedName>
    <definedName name="ExternalData_4" localSheetId="8" hidden="1">'Gnatt Chart'!$A$29:$O$45</definedName>
    <definedName name="Milestone_Marker" localSheetId="1">'[1]Gnatt Chart'!$G$4</definedName>
    <definedName name="Milestone_Marker">'Gnatt Chart'!$G$4</definedName>
    <definedName name="NearestBase">_xlfn.LAMBDA(_xlpm.i,_xlpm.editsIdxTxt,_xlpm.editsParentKeyTxt,_xlpm.baseIdxTxt,_xlpm.baseCost,   IF(_xlpm.i="0", "0",      IF(BaseFlagOf(_xlpm.i, _xlpm.baseIdxTxt, _xlpm.baseCost),         TEXT(_xlpm.i,"0"),         NearestBase( ParentOf(_xlpm.i,_xlpm.editsIdxTxt,_xlpm.editsParentKeyTxt),                      _xlpm.editsIdxTxt,_xlpm.editsParentKeyTxt, _xlpm.baseIdxTxt,_xlpm.baseCost)      )   ) )</definedName>
    <definedName name="NearestBaseL">_xlfn.LAMBDA(_xlpm.i,_xlpm.limit,_xlpm.editsIdxTxt,_xlpm.editsParentKeyTxt,_xlpm.baseIdxTxt,_xlpm.baseCost,   IF(_xlpm.limit&lt;=0, "0",     IF(_xlpm.i="0", "0",       IF(         ISNUMBER(SEARCH("BASE PARENT", UPPER(_xlfn.XLOOKUP(TEXT(_xlpm.i,"0"), _xlpm.baseIdxTxt, _xlpm.baseCost, "")))),         TEXT(_xlpm.i,"0"),         NearestBaseL(           IF(             TEXT(_xlfn.IFNA(_xlfn.XLOOKUP(TEXT(_xlpm.i,"0"), _xlpm.editsIdxTxt, _xlpm.editsParentKeyTxt),"0"),"0")             = TEXT(_xlpm.i,"0"),             "0",             TEXT(_xlfn.IFNA(_xlfn.XLOOKUP(TEXT(_xlpm.i,"0"), _xlpm.editsIdxTxt, _xlpm.editsParentKeyTxt),"0"),"0")           ),           _xlpm.limit-1,           _xlpm.editsIdxTxt, _xlpm.editsParentKeyTxt, _xlpm.baseIdxTxt, _xlpm.baseCost         )       )     )   ) )</definedName>
    <definedName name="ParentOf">_xlfn.LAMBDA(_xlpm.i,_xlpm.editsIdxTxt,_xlpm.editsParentKeyTxt,   _xlfn.LET(_xlpm.p, _xlfn.IFNA(_xlfn.XLOOKUP(TEXT(_xlpm.i,"0"), _xlpm.editsIdxTxt, _xlpm.editsParentKeyTxt), "0"),       IF(TEXT(_xlpm.p,"0")=TEXT(_xlpm.i,"0"), "0", TEXT(_xlpm.p,"0"))) )</definedName>
    <definedName name="Project_Start" localSheetId="1">'[1]Gnatt Chart'!$F$2</definedName>
    <definedName name="Project_Start">'Gnatt Chart'!$F$2</definedName>
    <definedName name="Scrolling_Increment" localSheetId="1">'[1]Gnatt Chart'!$AB$24</definedName>
    <definedName name="Scrolling_Increment">'Gnatt Chart'!$AB$26</definedName>
    <definedName name="subjectInterestRate">[1]Amortization!$D$4</definedName>
    <definedName name="subjectKnownBalance">[1]Amortization!$D$3</definedName>
    <definedName name="subjectKnownBalanceDate">[1]Amortization!$D$7</definedName>
    <definedName name="subjectMortgageEndDate">[1]Amortization!$D$8</definedName>
    <definedName name="subjectPayment">[1]Amortization!$D$6</definedName>
    <definedName name="subjectRemainingMonths">[1]Amortization!$E$5</definedName>
    <definedName name="Today" localSheetId="8">TODAY()</definedName>
    <definedName name="tradeMonthlyNetSpread">'Trade Properties'!$T$13</definedName>
    <definedName name="tradeNetCreditIncluded">'Trade Properties'!$T$10</definedName>
    <definedName name="tradePropertyConditionsForDocs">'Trade Properties'!$T$21</definedName>
    <definedName name="tradePropertyListForDocs">'Trade Properties'!$T$20</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52" l="1"/>
  <c r="K16" i="52"/>
  <c r="H16" i="52"/>
  <c r="I16" i="52" s="1"/>
  <c r="D16" i="52"/>
  <c r="B16" i="52"/>
  <c r="A16" i="52"/>
  <c r="S15" i="52"/>
  <c r="K15" i="52"/>
  <c r="H15" i="52"/>
  <c r="D15" i="52"/>
  <c r="B15" i="52"/>
  <c r="A15" i="52"/>
  <c r="K14" i="52"/>
  <c r="H14" i="52"/>
  <c r="I14" i="52" s="1"/>
  <c r="D14" i="52"/>
  <c r="D17" i="52" s="1"/>
  <c r="S6" i="52" s="1"/>
  <c r="B14" i="52"/>
  <c r="A14" i="52"/>
  <c r="G6" i="52"/>
  <c r="E6" i="52"/>
  <c r="D6" i="52"/>
  <c r="C6" i="52"/>
  <c r="C16" i="52"/>
  <c r="S4" i="52"/>
  <c r="C14" i="52"/>
  <c r="A5" i="47"/>
  <c r="A6" i="47"/>
  <c r="A7" i="47"/>
  <c r="A8" i="47"/>
  <c r="A9" i="47"/>
  <c r="A10" i="47"/>
  <c r="A11" i="47"/>
  <c r="A12" i="47"/>
  <c r="A13" i="47"/>
  <c r="A14" i="47"/>
  <c r="A15" i="47"/>
  <c r="A16" i="47"/>
  <c r="A17" i="47"/>
  <c r="A18" i="47"/>
  <c r="A19" i="47"/>
  <c r="A20" i="47"/>
  <c r="T20" i="52" l="1"/>
  <c r="K17" i="52"/>
  <c r="S5" i="52" s="1"/>
  <c r="H3" i="52"/>
  <c r="F6" i="52"/>
  <c r="J6" i="52" s="1"/>
  <c r="J3" i="52"/>
  <c r="E16" i="52"/>
  <c r="F16" i="52" s="1"/>
  <c r="H17" i="52"/>
  <c r="E14" i="52"/>
  <c r="F14" i="52" s="1"/>
  <c r="I15" i="52"/>
  <c r="I17" i="52" s="1"/>
  <c r="J5" i="52"/>
  <c r="J4" i="52"/>
  <c r="H4" i="52"/>
  <c r="H5" i="52"/>
  <c r="C15" i="52"/>
  <c r="E15" i="52" s="1"/>
  <c r="F49" i="51"/>
  <c r="F50" i="51" s="1"/>
  <c r="F51" i="51" s="1"/>
  <c r="F52" i="51" s="1"/>
  <c r="F53" i="51" s="1"/>
  <c r="F54" i="51" s="1"/>
  <c r="F55" i="51" s="1"/>
  <c r="F56" i="51" s="1"/>
  <c r="F57" i="51" s="1"/>
  <c r="F58" i="51" s="1"/>
  <c r="F59" i="51" s="1"/>
  <c r="F60" i="51" s="1"/>
  <c r="F61" i="51" s="1"/>
  <c r="F62" i="51" s="1"/>
  <c r="F63" i="51" s="1"/>
  <c r="F64" i="51" s="1"/>
  <c r="F66" i="51" s="1"/>
  <c r="F67" i="51" s="1"/>
  <c r="F68" i="51" s="1"/>
  <c r="F69" i="51" s="1"/>
  <c r="F70" i="51" s="1"/>
  <c r="F71" i="51" s="1"/>
  <c r="F72" i="51" s="1"/>
  <c r="F73" i="51" s="1"/>
  <c r="F74" i="51" s="1"/>
  <c r="F75" i="51" s="1"/>
  <c r="F76" i="51" s="1"/>
  <c r="F77" i="51" s="1"/>
  <c r="F78" i="51" s="1"/>
  <c r="F79" i="51" s="1"/>
  <c r="F80" i="51" s="1"/>
  <c r="F81" i="51" s="1"/>
  <c r="F82" i="51" s="1"/>
  <c r="F83" i="51" s="1"/>
  <c r="F84" i="51" s="1"/>
  <c r="F85" i="51" s="1"/>
  <c r="F86" i="51" s="1"/>
  <c r="G21" i="51"/>
  <c r="G22" i="51" s="1"/>
  <c r="E47" i="19"/>
  <c r="L88" i="51"/>
  <c r="J31" i="51"/>
  <c r="J32" i="51" s="1"/>
  <c r="J33" i="51" s="1"/>
  <c r="J28" i="51"/>
  <c r="J9" i="51"/>
  <c r="J11" i="51" s="1"/>
  <c r="J12" i="51" s="1"/>
  <c r="J14" i="51" s="1"/>
  <c r="J15" i="51" s="1"/>
  <c r="J16" i="51" s="1"/>
  <c r="J17" i="51" s="1"/>
  <c r="J18" i="51" s="1"/>
  <c r="J19" i="51" s="1"/>
  <c r="J20" i="51" s="1"/>
  <c r="J21" i="51" s="1"/>
  <c r="D88" i="51"/>
  <c r="B8" i="51"/>
  <c r="B9" i="51" s="1"/>
  <c r="B19" i="51" s="1"/>
  <c r="B26" i="51" s="1"/>
  <c r="B6" i="51"/>
  <c r="F15" i="51"/>
  <c r="F18" i="51"/>
  <c r="F17" i="51" s="1"/>
  <c r="F20" i="51"/>
  <c r="F21" i="51" s="1"/>
  <c r="F24" i="51" s="1"/>
  <c r="F25" i="51" s="1"/>
  <c r="F26" i="51" s="1"/>
  <c r="F28" i="51" s="1"/>
  <c r="F29" i="51" s="1"/>
  <c r="F30" i="51" s="1"/>
  <c r="F31" i="51" s="1"/>
  <c r="F32" i="51" s="1"/>
  <c r="F33" i="51" s="1"/>
  <c r="F34" i="51" s="1"/>
  <c r="F35" i="51" s="1"/>
  <c r="F37" i="51" s="1"/>
  <c r="F38" i="51" s="1"/>
  <c r="F39" i="51" s="1"/>
  <c r="F40" i="51" s="1"/>
  <c r="F41" i="51" s="1"/>
  <c r="F42" i="51" s="1"/>
  <c r="F43" i="51" s="1"/>
  <c r="F44" i="51" s="1"/>
  <c r="F45" i="51" s="1"/>
  <c r="F46" i="51" s="1"/>
  <c r="F47" i="51" s="1"/>
  <c r="J57" i="1"/>
  <c r="F57" i="1" s="1"/>
  <c r="B20" i="1" s="1"/>
  <c r="P88" i="51"/>
  <c r="K3" i="52" l="1"/>
  <c r="I3" i="52"/>
  <c r="F15" i="52"/>
  <c r="F17" i="52" s="1"/>
  <c r="S9" i="52" s="1"/>
  <c r="E17" i="52"/>
  <c r="S8" i="52" s="1"/>
  <c r="I5" i="52"/>
  <c r="K5" i="52"/>
  <c r="K4" i="52"/>
  <c r="H6" i="52"/>
  <c r="K6" i="52" s="1"/>
  <c r="I4" i="52"/>
  <c r="S3" i="52"/>
  <c r="C17" i="52"/>
  <c r="S7" i="52" s="1"/>
  <c r="G23" i="51"/>
  <c r="G24" i="51" s="1"/>
  <c r="G25" i="51" s="1"/>
  <c r="G26" i="51" s="1"/>
  <c r="G27" i="51" s="1"/>
  <c r="G28" i="51" s="1"/>
  <c r="G29" i="51" s="1"/>
  <c r="G30" i="51" s="1"/>
  <c r="G31" i="51" s="1"/>
  <c r="G32" i="51" s="1"/>
  <c r="G33" i="51" s="1"/>
  <c r="G34" i="51" s="1"/>
  <c r="G35" i="51" s="1"/>
  <c r="G36" i="51" s="1"/>
  <c r="G37" i="51" s="1"/>
  <c r="G38" i="51" s="1"/>
  <c r="G39" i="51" s="1"/>
  <c r="G40" i="51" s="1"/>
  <c r="G41" i="51" s="1"/>
  <c r="G43" i="51" s="1"/>
  <c r="G44" i="51" s="1"/>
  <c r="G45" i="51" s="1"/>
  <c r="G46" i="51" s="1"/>
  <c r="G47" i="51" s="1"/>
  <c r="G49" i="51" s="1"/>
  <c r="G50" i="51" s="1"/>
  <c r="G51" i="51" s="1"/>
  <c r="G52" i="51" s="1"/>
  <c r="G53" i="51" s="1"/>
  <c r="G54" i="51" s="1"/>
  <c r="G55" i="51" s="1"/>
  <c r="G56" i="51" s="1"/>
  <c r="G57" i="51" s="1"/>
  <c r="G58" i="51" s="1"/>
  <c r="G59" i="51" s="1"/>
  <c r="G60" i="51" s="1"/>
  <c r="G61" i="51" s="1"/>
  <c r="G62" i="51" s="1"/>
  <c r="G63" i="51" s="1"/>
  <c r="G64" i="51" s="1"/>
  <c r="G66" i="51" s="1"/>
  <c r="G67" i="51" s="1"/>
  <c r="G68" i="51" s="1"/>
  <c r="G69" i="51" s="1"/>
  <c r="G70" i="51" s="1"/>
  <c r="G71" i="51" s="1"/>
  <c r="G72" i="51" s="1"/>
  <c r="G73" i="51" s="1"/>
  <c r="G74" i="51" s="1"/>
  <c r="G75" i="51" s="1"/>
  <c r="G76" i="51" s="1"/>
  <c r="G77" i="51" s="1"/>
  <c r="G78" i="51" s="1"/>
  <c r="G79" i="51" s="1"/>
  <c r="G80" i="51" s="1"/>
  <c r="G81" i="51" s="1"/>
  <c r="G82" i="51" s="1"/>
  <c r="G83" i="51" s="1"/>
  <c r="G84" i="51" s="1"/>
  <c r="G85" i="51" s="1"/>
  <c r="G86" i="51" s="1"/>
  <c r="B25" i="1"/>
  <c r="B23" i="1"/>
  <c r="M3" i="52" l="1"/>
  <c r="N3" i="52"/>
  <c r="O3" i="52"/>
  <c r="G14" i="52" s="1"/>
  <c r="L3" i="52"/>
  <c r="L5" i="52"/>
  <c r="O5" i="52"/>
  <c r="G16" i="52" s="1"/>
  <c r="N5" i="52"/>
  <c r="M5" i="52"/>
  <c r="N4" i="52"/>
  <c r="M4" i="52"/>
  <c r="O4" i="52"/>
  <c r="G15" i="52" s="1"/>
  <c r="L4" i="52"/>
  <c r="I6" i="52"/>
  <c r="S13" i="52"/>
  <c r="S12" i="52"/>
  <c r="S11" i="52"/>
  <c r="H88" i="51"/>
  <c r="B21" i="1" s="1"/>
  <c r="G10" i="13"/>
  <c r="G9" i="13"/>
  <c r="G8" i="13"/>
  <c r="G7" i="13"/>
  <c r="G6" i="13"/>
  <c r="G5" i="13"/>
  <c r="G4" i="13"/>
  <c r="F19" i="21"/>
  <c r="F18" i="21"/>
  <c r="F17" i="21"/>
  <c r="F16" i="21"/>
  <c r="F15" i="21"/>
  <c r="F14" i="21"/>
  <c r="G17" i="52" l="1"/>
  <c r="N6" i="52"/>
  <c r="M6" i="52"/>
  <c r="L6" i="52"/>
  <c r="O6" i="52"/>
  <c r="P4" i="1"/>
  <c r="P26" i="1"/>
  <c r="Q31" i="1" s="1"/>
  <c r="F20" i="4" l="1"/>
  <c r="J4" i="37"/>
  <c r="E5" i="35"/>
  <c r="F12" i="4"/>
  <c r="C32" i="1"/>
  <c r="B6" i="1" l="1"/>
  <c r="B29" i="1" s="1"/>
  <c r="E41" i="6"/>
  <c r="E40" i="6"/>
  <c r="E39" i="6"/>
  <c r="E38" i="6"/>
  <c r="E37" i="6"/>
  <c r="E36" i="6"/>
  <c r="E30" i="6"/>
  <c r="E28" i="6"/>
  <c r="E27" i="6"/>
  <c r="E26" i="6"/>
  <c r="E22" i="6"/>
  <c r="E21" i="6"/>
  <c r="E20" i="6"/>
  <c r="E19" i="6"/>
  <c r="E18" i="6"/>
  <c r="E17" i="6"/>
  <c r="E16" i="6"/>
  <c r="E15" i="6"/>
  <c r="E14" i="6"/>
  <c r="E13" i="6"/>
  <c r="E12" i="6"/>
  <c r="E11" i="6"/>
  <c r="E10" i="6"/>
  <c r="E9" i="6"/>
  <c r="E8" i="6"/>
  <c r="E7" i="6"/>
  <c r="E6" i="6"/>
  <c r="E5" i="6"/>
  <c r="E4" i="6"/>
  <c r="F23" i="6" l="1"/>
  <c r="F42" i="6"/>
  <c r="G44" i="6" l="1"/>
  <c r="A57" i="33"/>
  <c r="D12" i="1"/>
  <c r="B37" i="33" l="1"/>
  <c r="I16" i="33"/>
  <c r="C37" i="33" l="1"/>
  <c r="B24" i="33"/>
  <c r="F14" i="33" s="1"/>
  <c r="I52" i="33"/>
  <c r="C38" i="33"/>
  <c r="I61" i="33"/>
  <c r="G7" i="1"/>
  <c r="I1" i="33"/>
  <c r="I74" i="33"/>
  <c r="K27" i="1"/>
  <c r="C14" i="33"/>
  <c r="H19" i="33"/>
  <c r="H25" i="33" s="1"/>
  <c r="D14" i="33" l="1"/>
  <c r="B14" i="33" s="1"/>
  <c r="E45" i="19"/>
  <c r="H32" i="33"/>
  <c r="H41" i="33" l="1"/>
  <c r="F15" i="1" l="1"/>
  <c r="I31" i="33"/>
  <c r="D18" i="1"/>
  <c r="D16" i="1"/>
  <c r="F13" i="1"/>
  <c r="H14" i="1"/>
  <c r="F14" i="1"/>
  <c r="H15" i="1" l="1"/>
  <c r="H7" i="1"/>
  <c r="H42" i="1" l="1"/>
  <c r="D37" i="33"/>
  <c r="G12" i="1"/>
  <c r="B3" i="3"/>
  <c r="B4" i="3" s="1"/>
  <c r="F4" i="3" s="1"/>
  <c r="F27" i="4"/>
  <c r="F26" i="4"/>
  <c r="G7" i="3" l="1"/>
  <c r="B5" i="3"/>
  <c r="B6" i="3"/>
  <c r="E57" i="50"/>
  <c r="E56" i="50"/>
  <c r="E55" i="50"/>
  <c r="E54" i="50"/>
  <c r="E53" i="50"/>
  <c r="E52" i="50"/>
  <c r="E51" i="50"/>
  <c r="E50" i="50"/>
  <c r="E49" i="50"/>
  <c r="E48" i="50"/>
  <c r="E47" i="50"/>
  <c r="E46" i="50"/>
  <c r="E45" i="50"/>
  <c r="E44" i="50"/>
  <c r="E43" i="50"/>
  <c r="E61" i="50"/>
  <c r="E60" i="50"/>
  <c r="E59" i="50"/>
  <c r="E58" i="50"/>
  <c r="E42" i="50"/>
  <c r="E41" i="50"/>
  <c r="E40" i="50"/>
  <c r="E39" i="50"/>
  <c r="E38" i="50"/>
  <c r="E37" i="50"/>
  <c r="E36" i="50"/>
  <c r="E35" i="50"/>
  <c r="E34" i="50"/>
  <c r="E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E5" i="50"/>
  <c r="E4" i="50"/>
  <c r="E3" i="50"/>
  <c r="F62" i="50" l="1"/>
  <c r="E44" i="19"/>
  <c r="C52" i="19" l="1"/>
  <c r="C44" i="19"/>
  <c r="B3" i="4" l="1"/>
  <c r="G6" i="1" l="1"/>
  <c r="B27" i="4"/>
  <c r="B26" i="4"/>
  <c r="B25" i="4"/>
  <c r="S43" i="19"/>
  <c r="R43" i="19"/>
  <c r="Q43" i="19"/>
  <c r="P43" i="19"/>
  <c r="O43" i="19"/>
  <c r="L43" i="19" l="1"/>
  <c r="E6" i="21"/>
  <c r="E9" i="21"/>
  <c r="N43" i="19" l="1"/>
  <c r="F24" i="33" l="1"/>
  <c r="M43" i="19" l="1"/>
  <c r="K43" i="19"/>
  <c r="F10" i="4" l="1"/>
  <c r="F8" i="4"/>
  <c r="F7" i="4"/>
  <c r="F11" i="4"/>
  <c r="F9" i="4"/>
  <c r="F6" i="4"/>
  <c r="F5" i="4"/>
  <c r="F4" i="4"/>
  <c r="F17" i="4"/>
  <c r="F16" i="4"/>
  <c r="F18" i="4"/>
  <c r="J4" i="4" l="1"/>
  <c r="G15" i="37"/>
  <c r="A18" i="37" l="1"/>
  <c r="A17" i="37"/>
  <c r="I8" i="1"/>
  <c r="H21" i="1"/>
  <c r="H22" i="1"/>
  <c r="H23" i="1"/>
  <c r="H24" i="1"/>
  <c r="B1" i="19" l="1"/>
  <c r="E43" i="19" s="1"/>
  <c r="A9" i="37" l="1"/>
  <c r="B9" i="37"/>
  <c r="E19" i="48"/>
  <c r="G9" i="37" s="1"/>
  <c r="H9" i="37" s="1"/>
  <c r="O9" i="37" s="1"/>
  <c r="A22" i="37"/>
  <c r="A21" i="37"/>
  <c r="A20" i="37"/>
  <c r="A19" i="37"/>
  <c r="A16" i="37"/>
  <c r="A15" i="37"/>
  <c r="A14" i="37"/>
  <c r="A13" i="37"/>
  <c r="A12" i="37"/>
  <c r="A11" i="37"/>
  <c r="A10" i="37"/>
  <c r="A8" i="37"/>
  <c r="B27" i="1" l="1"/>
  <c r="E48" i="19" s="1"/>
  <c r="E6" i="37"/>
  <c r="C48" i="19" l="1"/>
  <c r="E23" i="37"/>
  <c r="F13" i="21"/>
  <c r="F12" i="21"/>
  <c r="F11" i="21"/>
  <c r="F10" i="21"/>
  <c r="F9" i="21"/>
  <c r="F8" i="21"/>
  <c r="F7" i="21"/>
  <c r="F6" i="21"/>
  <c r="F5" i="21"/>
  <c r="F4" i="21"/>
  <c r="F3" i="21"/>
  <c r="M4" i="37" a="1"/>
  <c r="M4" i="37" s="1"/>
  <c r="G21" i="21" l="1"/>
  <c r="G8" i="37" s="1"/>
  <c r="A2" i="37"/>
  <c r="B2" i="36"/>
  <c r="O27" i="37" l="1"/>
  <c r="O24" i="37"/>
  <c r="O26" i="37"/>
  <c r="D14" i="16"/>
  <c r="D13" i="16"/>
  <c r="D12" i="16"/>
  <c r="D11" i="16"/>
  <c r="D10" i="16"/>
  <c r="D9" i="16"/>
  <c r="D8" i="16"/>
  <c r="D7" i="16"/>
  <c r="D5" i="16"/>
  <c r="D4" i="16"/>
  <c r="A4" i="37"/>
  <c r="B4" i="37"/>
  <c r="F2" i="37"/>
  <c r="D16" i="16" l="1"/>
  <c r="G17" i="37" s="1"/>
  <c r="H17" i="37" s="1"/>
  <c r="O17" i="37" s="1"/>
  <c r="P29" i="37"/>
  <c r="G22" i="37"/>
  <c r="H22" i="37" s="1"/>
  <c r="O22" i="37" s="1"/>
  <c r="H21" i="37"/>
  <c r="O21" i="37" s="1"/>
  <c r="G20" i="37"/>
  <c r="H20" i="37" s="1"/>
  <c r="O20" i="37" s="1"/>
  <c r="G19" i="37"/>
  <c r="H27"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H25" i="37"/>
  <c r="O25" i="37" s="1"/>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H19" i="37"/>
  <c r="O19" i="37" s="1"/>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H15" i="37"/>
  <c r="O15" i="37" s="1"/>
  <c r="B10" i="37"/>
  <c r="B11" i="37" s="1"/>
  <c r="B12" i="37" s="1"/>
  <c r="B13" i="37" s="1"/>
  <c r="B14" i="37" s="1"/>
  <c r="B15" i="37" s="1"/>
  <c r="B16" i="37" s="1"/>
  <c r="AO7" i="37"/>
  <c r="E20" i="15"/>
  <c r="E18" i="15"/>
  <c r="E17" i="15"/>
  <c r="E15" i="15"/>
  <c r="E12" i="15"/>
  <c r="E11" i="15"/>
  <c r="E6" i="15"/>
  <c r="E5" i="15"/>
  <c r="E4" i="15"/>
  <c r="F21" i="15" l="1"/>
  <c r="B17" i="37"/>
  <c r="P30" i="37"/>
  <c r="P31" i="37"/>
  <c r="P33" i="37"/>
  <c r="P35" i="37"/>
  <c r="P36" i="37"/>
  <c r="P32" i="37"/>
  <c r="P34" i="37"/>
  <c r="P39" i="37"/>
  <c r="P43" i="37"/>
  <c r="P40" i="37"/>
  <c r="P37" i="37"/>
  <c r="P41" i="37"/>
  <c r="P44" i="37"/>
  <c r="P45" i="37"/>
  <c r="P46" i="37"/>
  <c r="P47" i="37"/>
  <c r="P48" i="37"/>
  <c r="P49" i="37"/>
  <c r="P50" i="37"/>
  <c r="P51" i="37"/>
  <c r="P52" i="37"/>
  <c r="P53" i="37"/>
  <c r="P54" i="37"/>
  <c r="P55" i="37"/>
  <c r="P38" i="37"/>
  <c r="P42"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F8" i="15"/>
  <c r="P28" i="37"/>
  <c r="B18" i="37" l="1"/>
  <c r="B19" i="37" s="1"/>
  <c r="B20" i="37" s="1"/>
  <c r="B21" i="37" s="1"/>
  <c r="B22" i="37" s="1"/>
  <c r="B24" i="37" s="1"/>
  <c r="B25" i="37" s="1"/>
  <c r="B26" i="37" s="1"/>
  <c r="B27" i="37" s="1"/>
  <c r="G10" i="37"/>
  <c r="H10" i="37" s="1"/>
  <c r="O10" i="37" s="1"/>
  <c r="E22" i="35"/>
  <c r="E21" i="35"/>
  <c r="E20" i="35"/>
  <c r="E19" i="35"/>
  <c r="E18" i="35"/>
  <c r="E17" i="35"/>
  <c r="E16" i="35"/>
  <c r="E15" i="35"/>
  <c r="E14" i="35"/>
  <c r="E13" i="35"/>
  <c r="E12" i="35"/>
  <c r="E11" i="35"/>
  <c r="E10" i="35"/>
  <c r="E9" i="35"/>
  <c r="E8" i="35"/>
  <c r="E7" i="35"/>
  <c r="E6" i="35"/>
  <c r="E4" i="35"/>
  <c r="E50" i="34"/>
  <c r="D50"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D19" i="1"/>
  <c r="F50" i="34" l="1"/>
  <c r="F23" i="35"/>
  <c r="G16" i="37" s="1"/>
  <c r="H16" i="37" s="1"/>
  <c r="O16" i="37" s="1"/>
  <c r="Q29" i="37"/>
  <c r="Q31" i="37" l="1"/>
  <c r="Q32" i="37"/>
  <c r="Q33" i="37"/>
  <c r="Q34" i="37"/>
  <c r="Q35" i="37"/>
  <c r="Q36" i="37"/>
  <c r="Q37" i="37"/>
  <c r="Q38" i="37"/>
  <c r="Q39" i="37"/>
  <c r="Q40" i="37"/>
  <c r="Q41" i="37"/>
  <c r="Q42" i="37"/>
  <c r="Q43" i="37"/>
  <c r="Q44" i="37"/>
  <c r="Q48" i="37"/>
  <c r="Q45" i="37"/>
  <c r="Q46" i="37"/>
  <c r="Q49" i="37"/>
  <c r="Q50" i="37"/>
  <c r="Q51" i="37"/>
  <c r="Q52" i="37"/>
  <c r="Q53" i="37"/>
  <c r="Q54" i="37"/>
  <c r="Q55" i="37"/>
  <c r="Q47" i="37"/>
  <c r="Q58" i="37"/>
  <c r="Q62" i="37"/>
  <c r="Q66" i="37"/>
  <c r="Q59" i="37"/>
  <c r="Q63" i="37"/>
  <c r="Q68" i="37"/>
  <c r="Q56" i="37"/>
  <c r="Q60" i="37"/>
  <c r="Q64" i="37"/>
  <c r="Q57" i="37"/>
  <c r="Q61" i="37"/>
  <c r="Q65" i="37"/>
  <c r="Q67" i="37"/>
  <c r="Q69" i="37"/>
  <c r="Q70" i="37"/>
  <c r="Q71" i="37"/>
  <c r="Q72" i="37"/>
  <c r="Q73" i="37"/>
  <c r="Q74" i="37"/>
  <c r="Q75" i="37"/>
  <c r="Q76" i="37"/>
  <c r="Q77" i="37"/>
  <c r="Q78" i="37"/>
  <c r="Q79" i="37"/>
  <c r="Q80" i="37"/>
  <c r="Q81" i="37"/>
  <c r="Q82" i="37"/>
  <c r="Q83" i="37"/>
  <c r="Q84" i="37"/>
  <c r="Q30" i="37"/>
  <c r="P96" i="37"/>
  <c r="P95" i="37"/>
  <c r="P94" i="37"/>
  <c r="P93" i="37"/>
  <c r="P92" i="37"/>
  <c r="P91" i="37"/>
  <c r="P90" i="37"/>
  <c r="P89" i="37"/>
  <c r="P88" i="37"/>
  <c r="P87" i="37"/>
  <c r="P86" i="37"/>
  <c r="P85" i="37"/>
  <c r="Q28" i="37"/>
  <c r="R29" i="37"/>
  <c r="R30" i="37" l="1"/>
  <c r="R31" i="37"/>
  <c r="R32" i="37"/>
  <c r="R33" i="37"/>
  <c r="R34" i="37"/>
  <c r="R35" i="37"/>
  <c r="R36" i="37"/>
  <c r="R37" i="37"/>
  <c r="R38" i="37"/>
  <c r="R39" i="37"/>
  <c r="R40" i="37"/>
  <c r="R41" i="37"/>
  <c r="R42" i="37"/>
  <c r="R44" i="37"/>
  <c r="R45" i="37"/>
  <c r="R46" i="37"/>
  <c r="R47" i="37"/>
  <c r="R48" i="37"/>
  <c r="R43" i="37"/>
  <c r="R50" i="37"/>
  <c r="R54" i="37"/>
  <c r="R56" i="37"/>
  <c r="R57" i="37"/>
  <c r="R58" i="37"/>
  <c r="R59" i="37"/>
  <c r="R60" i="37"/>
  <c r="R61" i="37"/>
  <c r="R62" i="37"/>
  <c r="R63" i="37"/>
  <c r="R64" i="37"/>
  <c r="R65" i="37"/>
  <c r="R66" i="37"/>
  <c r="R49" i="37"/>
  <c r="R51" i="37"/>
  <c r="R55" i="37"/>
  <c r="R52" i="37"/>
  <c r="R67" i="37"/>
  <c r="R69" i="37"/>
  <c r="R53" i="37"/>
  <c r="R68" i="37"/>
  <c r="R70" i="37"/>
  <c r="R71" i="37"/>
  <c r="R72" i="37"/>
  <c r="R73" i="37"/>
  <c r="R74" i="37"/>
  <c r="R75" i="37"/>
  <c r="R76" i="37"/>
  <c r="R77" i="37"/>
  <c r="R78" i="37"/>
  <c r="R79" i="37"/>
  <c r="R80" i="37"/>
  <c r="R81" i="37"/>
  <c r="R82" i="37"/>
  <c r="R83" i="37"/>
  <c r="R84" i="37"/>
  <c r="Q96" i="37"/>
  <c r="Q95" i="37"/>
  <c r="Q94" i="37"/>
  <c r="Q93" i="37"/>
  <c r="Q88" i="37"/>
  <c r="Q92" i="37"/>
  <c r="Q85" i="37"/>
  <c r="Q87" i="37"/>
  <c r="Q90" i="37"/>
  <c r="Q91" i="37"/>
  <c r="Q86" i="37"/>
  <c r="Q89" i="37"/>
  <c r="R28" i="37"/>
  <c r="S29" i="37"/>
  <c r="S30" i="37" l="1"/>
  <c r="S31" i="37"/>
  <c r="S33" i="37"/>
  <c r="S32" i="37"/>
  <c r="S34" i="37"/>
  <c r="S35" i="37"/>
  <c r="S37" i="37"/>
  <c r="S38" i="37"/>
  <c r="S39" i="37"/>
  <c r="S40" i="37"/>
  <c r="S41" i="37"/>
  <c r="S42" i="37"/>
  <c r="S43" i="37"/>
  <c r="S36"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R96" i="37"/>
  <c r="R95" i="37"/>
  <c r="R94" i="37"/>
  <c r="R93" i="37"/>
  <c r="R85" i="37"/>
  <c r="R91" i="37"/>
  <c r="R86" i="37"/>
  <c r="R90" i="37"/>
  <c r="R87" i="37"/>
  <c r="R89" i="37"/>
  <c r="R92" i="37"/>
  <c r="R88" i="37"/>
  <c r="S28" i="37"/>
  <c r="T29" i="37"/>
  <c r="T30" i="37" l="1"/>
  <c r="T32" i="37"/>
  <c r="T34" i="37"/>
  <c r="T35" i="37"/>
  <c r="T36" i="37"/>
  <c r="T31" i="37"/>
  <c r="T33" i="37"/>
  <c r="T38" i="37"/>
  <c r="T42" i="37"/>
  <c r="T39" i="37"/>
  <c r="T40" i="37"/>
  <c r="T43" i="37"/>
  <c r="T44" i="37"/>
  <c r="T45" i="37"/>
  <c r="T46" i="37"/>
  <c r="T47" i="37"/>
  <c r="T48" i="37"/>
  <c r="T49" i="37"/>
  <c r="T37" i="37"/>
  <c r="T50" i="37"/>
  <c r="T51" i="37"/>
  <c r="T52" i="37"/>
  <c r="T53" i="37"/>
  <c r="T54" i="37"/>
  <c r="T55" i="37"/>
  <c r="T41" i="37"/>
  <c r="T56" i="37"/>
  <c r="T57" i="37"/>
  <c r="T58" i="37"/>
  <c r="T59" i="37"/>
  <c r="T60" i="37"/>
  <c r="T61" i="37"/>
  <c r="T62" i="37"/>
  <c r="T63" i="37"/>
  <c r="T64" i="37"/>
  <c r="T65" i="37"/>
  <c r="T66" i="37"/>
  <c r="T67" i="37"/>
  <c r="T68" i="37"/>
  <c r="T69" i="37"/>
  <c r="T70" i="37"/>
  <c r="T71" i="37"/>
  <c r="T72" i="37"/>
  <c r="T73" i="37"/>
  <c r="T74" i="37"/>
  <c r="T75" i="37"/>
  <c r="T76" i="37"/>
  <c r="T77" i="37"/>
  <c r="T78" i="37"/>
  <c r="T79" i="37"/>
  <c r="T80" i="37"/>
  <c r="T81" i="37"/>
  <c r="T82" i="37"/>
  <c r="T83" i="37"/>
  <c r="T84" i="37"/>
  <c r="S96" i="37"/>
  <c r="S95" i="37"/>
  <c r="S94" i="37"/>
  <c r="S93" i="37"/>
  <c r="S92" i="37"/>
  <c r="S91" i="37"/>
  <c r="S90" i="37"/>
  <c r="S89" i="37"/>
  <c r="S88" i="37"/>
  <c r="S87" i="37"/>
  <c r="S86" i="37"/>
  <c r="S85" i="37"/>
  <c r="T28" i="37"/>
  <c r="U29" i="37"/>
  <c r="U30" i="37" l="1"/>
  <c r="U31" i="37"/>
  <c r="U32" i="37"/>
  <c r="U33" i="37"/>
  <c r="U34" i="37"/>
  <c r="U35" i="37"/>
  <c r="U36" i="37"/>
  <c r="U37" i="37"/>
  <c r="U38" i="37"/>
  <c r="U39" i="37"/>
  <c r="U40" i="37"/>
  <c r="U41" i="37"/>
  <c r="U42" i="37"/>
  <c r="U43" i="37"/>
  <c r="U47" i="37"/>
  <c r="U49" i="37"/>
  <c r="U44" i="37"/>
  <c r="U48" i="37"/>
  <c r="U45" i="37"/>
  <c r="U50" i="37"/>
  <c r="U51" i="37"/>
  <c r="U52" i="37"/>
  <c r="U53" i="37"/>
  <c r="U54" i="37"/>
  <c r="U55" i="37"/>
  <c r="U46" i="37"/>
  <c r="U57" i="37"/>
  <c r="U61" i="37"/>
  <c r="U65" i="37"/>
  <c r="U58" i="37"/>
  <c r="U62" i="37"/>
  <c r="U66" i="37"/>
  <c r="U67" i="37"/>
  <c r="U69" i="37"/>
  <c r="U59" i="37"/>
  <c r="U63" i="37"/>
  <c r="U56" i="37"/>
  <c r="U60" i="37"/>
  <c r="U64" i="37"/>
  <c r="U68" i="37"/>
  <c r="U70" i="37"/>
  <c r="U71" i="37"/>
  <c r="U72" i="37"/>
  <c r="U73" i="37"/>
  <c r="U74" i="37"/>
  <c r="U75" i="37"/>
  <c r="U76" i="37"/>
  <c r="U78" i="37"/>
  <c r="U79" i="37"/>
  <c r="U80" i="37"/>
  <c r="U81" i="37"/>
  <c r="U82" i="37"/>
  <c r="U83" i="37"/>
  <c r="U84" i="37"/>
  <c r="U77" i="37"/>
  <c r="T96" i="37"/>
  <c r="T95" i="37"/>
  <c r="T94" i="37"/>
  <c r="T89" i="37"/>
  <c r="T93" i="37"/>
  <c r="T91" i="37"/>
  <c r="T86" i="37"/>
  <c r="T88" i="37"/>
  <c r="T90" i="37"/>
  <c r="T85" i="37"/>
  <c r="T87" i="37"/>
  <c r="T92" i="37"/>
  <c r="U28" i="37"/>
  <c r="V29" i="37"/>
  <c r="V30" i="37" l="1"/>
  <c r="V31" i="37"/>
  <c r="V32" i="37"/>
  <c r="V33" i="37"/>
  <c r="V34" i="37"/>
  <c r="V35" i="37"/>
  <c r="V36" i="37"/>
  <c r="V37" i="37"/>
  <c r="V38" i="37"/>
  <c r="V39" i="37"/>
  <c r="V40" i="37"/>
  <c r="V41" i="37"/>
  <c r="V42" i="37"/>
  <c r="V44" i="37"/>
  <c r="V45" i="37"/>
  <c r="V46" i="37"/>
  <c r="V47" i="37"/>
  <c r="V48" i="37"/>
  <c r="V43" i="37"/>
  <c r="V49" i="37"/>
  <c r="V53" i="37"/>
  <c r="V56" i="37"/>
  <c r="V57" i="37"/>
  <c r="V58" i="37"/>
  <c r="V59" i="37"/>
  <c r="V60" i="37"/>
  <c r="V61" i="37"/>
  <c r="V62" i="37"/>
  <c r="V63" i="37"/>
  <c r="V64" i="37"/>
  <c r="V65" i="37"/>
  <c r="V66" i="37"/>
  <c r="V50" i="37"/>
  <c r="V54" i="37"/>
  <c r="V51" i="37"/>
  <c r="V55" i="37"/>
  <c r="V68" i="37"/>
  <c r="V52" i="37"/>
  <c r="V67" i="37"/>
  <c r="V69" i="37"/>
  <c r="V70" i="37"/>
  <c r="V71" i="37"/>
  <c r="V72" i="37"/>
  <c r="V73" i="37"/>
  <c r="V74" i="37"/>
  <c r="V75" i="37"/>
  <c r="V76" i="37"/>
  <c r="V77" i="37"/>
  <c r="V84" i="37"/>
  <c r="V78" i="37"/>
  <c r="V79" i="37"/>
  <c r="V80" i="37"/>
  <c r="V81" i="37"/>
  <c r="V82" i="37"/>
  <c r="V83" i="37"/>
  <c r="U96" i="37"/>
  <c r="U95" i="37"/>
  <c r="U94" i="37"/>
  <c r="U93" i="37"/>
  <c r="U92" i="37"/>
  <c r="U91" i="37"/>
  <c r="U90" i="37"/>
  <c r="U89" i="37"/>
  <c r="U86" i="37"/>
  <c r="U87" i="37"/>
  <c r="U85" i="37"/>
  <c r="U88" i="37"/>
  <c r="V28" i="37"/>
  <c r="W29" i="37"/>
  <c r="E19" i="20"/>
  <c r="E9" i="20"/>
  <c r="E6" i="20"/>
  <c r="W30" i="37" l="1"/>
  <c r="W32" i="37"/>
  <c r="W36" i="37"/>
  <c r="W31" i="37"/>
  <c r="W34" i="37"/>
  <c r="W37" i="37"/>
  <c r="W38" i="37"/>
  <c r="W39" i="37"/>
  <c r="W40" i="37"/>
  <c r="W41" i="37"/>
  <c r="W42" i="37"/>
  <c r="W43" i="37"/>
  <c r="W44" i="37"/>
  <c r="W45" i="37"/>
  <c r="W46" i="37"/>
  <c r="W47" i="37"/>
  <c r="W48" i="37"/>
  <c r="W49" i="37"/>
  <c r="W50" i="37"/>
  <c r="W51" i="37"/>
  <c r="W52" i="37"/>
  <c r="W53" i="37"/>
  <c r="W54" i="37"/>
  <c r="W55" i="37"/>
  <c r="W33" i="37"/>
  <c r="W3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V96" i="37"/>
  <c r="V95" i="37"/>
  <c r="V94" i="37"/>
  <c r="V93" i="37"/>
  <c r="V91" i="37"/>
  <c r="V87" i="37"/>
  <c r="V90" i="37"/>
  <c r="V88" i="37"/>
  <c r="V85" i="37"/>
  <c r="V86" i="37"/>
  <c r="V89" i="37"/>
  <c r="V92" i="37"/>
  <c r="W28" i="37"/>
  <c r="X29" i="37"/>
  <c r="E17" i="20"/>
  <c r="E15" i="20"/>
  <c r="E12" i="20"/>
  <c r="E11" i="20"/>
  <c r="E8" i="20"/>
  <c r="E5" i="20"/>
  <c r="X31" i="37" l="1"/>
  <c r="X33" i="37"/>
  <c r="X34" i="37"/>
  <c r="X35" i="37"/>
  <c r="X30" i="37"/>
  <c r="X32" i="37"/>
  <c r="X36" i="37"/>
  <c r="X37" i="37"/>
  <c r="X41" i="37"/>
  <c r="X38" i="37"/>
  <c r="X42" i="37"/>
  <c r="X43" i="37"/>
  <c r="X39" i="37"/>
  <c r="X44" i="37"/>
  <c r="X45" i="37"/>
  <c r="X46" i="37"/>
  <c r="X47" i="37"/>
  <c r="X48" i="37"/>
  <c r="X49" i="37"/>
  <c r="X40" i="37"/>
  <c r="X50" i="37"/>
  <c r="X51" i="37"/>
  <c r="X52" i="37"/>
  <c r="X53" i="37"/>
  <c r="X54" i="37"/>
  <c r="X55" i="37"/>
  <c r="X56" i="37"/>
  <c r="X57" i="37"/>
  <c r="X58" i="37"/>
  <c r="X59" i="37"/>
  <c r="X60" i="37"/>
  <c r="X61" i="37"/>
  <c r="X62" i="37"/>
  <c r="X63" i="37"/>
  <c r="X64" i="37"/>
  <c r="X65" i="37"/>
  <c r="X66" i="37"/>
  <c r="X67" i="37"/>
  <c r="X68" i="37"/>
  <c r="X69" i="37"/>
  <c r="X70" i="37"/>
  <c r="X71" i="37"/>
  <c r="X72" i="37"/>
  <c r="X73" i="37"/>
  <c r="X74" i="37"/>
  <c r="X75" i="37"/>
  <c r="X76" i="37"/>
  <c r="X77" i="37"/>
  <c r="X78" i="37"/>
  <c r="X79" i="37"/>
  <c r="X80" i="37"/>
  <c r="X81" i="37"/>
  <c r="X82" i="37"/>
  <c r="X83" i="37"/>
  <c r="X84" i="37"/>
  <c r="W96" i="37"/>
  <c r="W95" i="37"/>
  <c r="W94" i="37"/>
  <c r="W93" i="37"/>
  <c r="W92" i="37"/>
  <c r="W87" i="37"/>
  <c r="W90" i="37"/>
  <c r="W88" i="37"/>
  <c r="W89" i="37"/>
  <c r="W91" i="37"/>
  <c r="W85" i="37"/>
  <c r="W86" i="37"/>
  <c r="X28" i="37"/>
  <c r="Y29" i="37"/>
  <c r="E11" i="18"/>
  <c r="E10" i="18"/>
  <c r="E9" i="18"/>
  <c r="E8" i="18"/>
  <c r="E7" i="18"/>
  <c r="E6" i="18"/>
  <c r="Y30" i="37" l="1"/>
  <c r="Y31" i="37"/>
  <c r="Y32" i="37"/>
  <c r="Y33" i="37"/>
  <c r="Y34" i="37"/>
  <c r="Y35" i="37"/>
  <c r="Y36" i="37"/>
  <c r="Y37" i="37"/>
  <c r="Y38" i="37"/>
  <c r="Y39" i="37"/>
  <c r="Y40" i="37"/>
  <c r="Y41" i="37"/>
  <c r="Y42" i="37"/>
  <c r="Y43" i="37"/>
  <c r="Y46" i="37"/>
  <c r="Y47" i="37"/>
  <c r="Y44" i="37"/>
  <c r="Y48" i="37"/>
  <c r="Y49" i="37"/>
  <c r="Y50" i="37"/>
  <c r="Y51" i="37"/>
  <c r="Y52" i="37"/>
  <c r="Y53" i="37"/>
  <c r="Y54" i="37"/>
  <c r="Y55" i="37"/>
  <c r="Y45" i="37"/>
  <c r="Y56" i="37"/>
  <c r="Y60" i="37"/>
  <c r="Y64" i="37"/>
  <c r="Y57" i="37"/>
  <c r="Y61" i="37"/>
  <c r="Y65" i="37"/>
  <c r="Y68" i="37"/>
  <c r="Y58" i="37"/>
  <c r="Y62" i="37"/>
  <c r="Y59" i="37"/>
  <c r="Y63" i="37"/>
  <c r="Y67" i="37"/>
  <c r="Y66" i="37"/>
  <c r="Y69" i="37"/>
  <c r="Y70" i="37"/>
  <c r="Y71" i="37"/>
  <c r="Y72" i="37"/>
  <c r="Y73" i="37"/>
  <c r="Y74" i="37"/>
  <c r="Y75" i="37"/>
  <c r="Y76" i="37"/>
  <c r="Y77" i="37"/>
  <c r="Y78" i="37"/>
  <c r="Y79" i="37"/>
  <c r="Y80" i="37"/>
  <c r="Y81" i="37"/>
  <c r="Y82" i="37"/>
  <c r="Y83" i="37"/>
  <c r="Y84" i="37"/>
  <c r="X96" i="37"/>
  <c r="X95" i="37"/>
  <c r="X94" i="37"/>
  <c r="X92" i="37"/>
  <c r="X85" i="37"/>
  <c r="X90" i="37"/>
  <c r="X88" i="37"/>
  <c r="X93" i="37"/>
  <c r="X89" i="37"/>
  <c r="X86" i="37"/>
  <c r="X91" i="37"/>
  <c r="X87" i="37"/>
  <c r="Y28" i="37"/>
  <c r="Z29" i="37"/>
  <c r="Z30" i="37" l="1"/>
  <c r="Z31" i="37"/>
  <c r="Z32" i="37"/>
  <c r="Z33" i="37"/>
  <c r="Z34" i="37"/>
  <c r="Z35" i="37"/>
  <c r="Z37" i="37"/>
  <c r="Z38" i="37"/>
  <c r="Z39" i="37"/>
  <c r="Z40" i="37"/>
  <c r="Z41" i="37"/>
  <c r="Z42" i="37"/>
  <c r="Z36" i="37"/>
  <c r="Z44" i="37"/>
  <c r="Z45" i="37"/>
  <c r="Z46" i="37"/>
  <c r="Z47" i="37"/>
  <c r="Z48" i="37"/>
  <c r="Z43" i="37"/>
  <c r="Z52" i="37"/>
  <c r="Z56" i="37"/>
  <c r="Z57" i="37"/>
  <c r="Z58" i="37"/>
  <c r="Z59" i="37"/>
  <c r="Z60" i="37"/>
  <c r="Z61" i="37"/>
  <c r="Z62" i="37"/>
  <c r="Z63" i="37"/>
  <c r="Z64" i="37"/>
  <c r="Z65" i="37"/>
  <c r="Z66" i="37"/>
  <c r="Z53" i="37"/>
  <c r="Z49" i="37"/>
  <c r="Z50" i="37"/>
  <c r="Z54" i="37"/>
  <c r="Z51" i="37"/>
  <c r="Z67" i="37"/>
  <c r="Z69" i="37"/>
  <c r="Z55" i="37"/>
  <c r="Z68" i="37"/>
  <c r="Z70" i="37"/>
  <c r="Z71" i="37"/>
  <c r="Z72" i="37"/>
  <c r="Z73" i="37"/>
  <c r="Z74" i="37"/>
  <c r="Z75" i="37"/>
  <c r="Z76" i="37"/>
  <c r="Z83" i="37"/>
  <c r="Z77" i="37"/>
  <c r="Z78" i="37"/>
  <c r="Z79" i="37"/>
  <c r="Z80" i="37"/>
  <c r="Z81" i="37"/>
  <c r="Z82" i="37"/>
  <c r="Z84" i="37"/>
  <c r="Y96" i="37"/>
  <c r="Y95" i="37"/>
  <c r="Y94" i="37"/>
  <c r="Y93" i="37"/>
  <c r="Y90" i="37"/>
  <c r="Y88" i="37"/>
  <c r="Y87" i="37"/>
  <c r="Y92" i="37"/>
  <c r="Y86" i="37"/>
  <c r="Y89" i="37"/>
  <c r="Y85" i="37"/>
  <c r="Y91" i="37"/>
  <c r="Z28" i="37"/>
  <c r="AA29" i="37"/>
  <c r="AA30" i="37" s="1"/>
  <c r="AA31" i="37" l="1"/>
  <c r="AA33" i="37"/>
  <c r="AA35" i="37"/>
  <c r="AA32" i="37"/>
  <c r="AA37" i="37"/>
  <c r="AA38" i="37"/>
  <c r="AA39" i="37"/>
  <c r="AA40" i="37"/>
  <c r="AA41" i="37"/>
  <c r="AA42" i="37"/>
  <c r="AA36" i="37"/>
  <c r="AA44" i="37"/>
  <c r="AA45" i="37"/>
  <c r="AA46" i="37"/>
  <c r="AA47" i="37"/>
  <c r="AA48" i="37"/>
  <c r="AA49" i="37"/>
  <c r="AA34" i="37"/>
  <c r="AA50" i="37"/>
  <c r="AA51" i="37"/>
  <c r="AA52" i="37"/>
  <c r="AA53" i="37"/>
  <c r="AA54" i="37"/>
  <c r="AA55" i="37"/>
  <c r="AA43" i="37"/>
  <c r="AA56" i="37"/>
  <c r="AA57" i="37"/>
  <c r="AA58" i="37"/>
  <c r="AA59" i="37"/>
  <c r="AA60" i="37"/>
  <c r="AA61" i="37"/>
  <c r="AA62" i="37"/>
  <c r="AA63" i="37"/>
  <c r="AA64" i="37"/>
  <c r="AA65" i="37"/>
  <c r="AA66" i="37"/>
  <c r="AA67" i="37"/>
  <c r="AA68" i="37"/>
  <c r="AA69" i="37"/>
  <c r="AA70" i="37"/>
  <c r="AA71" i="37"/>
  <c r="AA72" i="37"/>
  <c r="AA73" i="37"/>
  <c r="AA74" i="37"/>
  <c r="AA75" i="37"/>
  <c r="AA76" i="37"/>
  <c r="AA77" i="37"/>
  <c r="AA78" i="37"/>
  <c r="AA79" i="37"/>
  <c r="AA80" i="37"/>
  <c r="AA81" i="37"/>
  <c r="AA82" i="37"/>
  <c r="AA83" i="37"/>
  <c r="AA84" i="37"/>
  <c r="Z96" i="37"/>
  <c r="Z95" i="37"/>
  <c r="Z94" i="37"/>
  <c r="Z86" i="37"/>
  <c r="Z93" i="37"/>
  <c r="Z89" i="37"/>
  <c r="Z92" i="37"/>
  <c r="Z85" i="37"/>
  <c r="Z91" i="37"/>
  <c r="Z87" i="37"/>
  <c r="Z88" i="37"/>
  <c r="Z90" i="37"/>
  <c r="AA28" i="37"/>
  <c r="AB29" i="37"/>
  <c r="E22" i="22"/>
  <c r="E20" i="22"/>
  <c r="E19" i="22"/>
  <c r="E18" i="22"/>
  <c r="E17" i="22"/>
  <c r="E16" i="22"/>
  <c r="E15" i="22"/>
  <c r="E14" i="22"/>
  <c r="E13" i="22"/>
  <c r="E12" i="22"/>
  <c r="E11" i="22"/>
  <c r="E9" i="22"/>
  <c r="E8" i="22"/>
  <c r="E7" i="22"/>
  <c r="E6" i="22"/>
  <c r="E5" i="22"/>
  <c r="E4" i="22"/>
  <c r="AB30" i="37" l="1"/>
  <c r="AB32" i="37"/>
  <c r="AB34" i="37"/>
  <c r="AB35" i="37"/>
  <c r="AB31" i="37"/>
  <c r="AB33" i="37"/>
  <c r="AB36" i="37"/>
  <c r="AB40" i="37"/>
  <c r="AB43" i="37"/>
  <c r="AB37" i="37"/>
  <c r="AB41" i="37"/>
  <c r="AB38" i="37"/>
  <c r="AB42" i="37"/>
  <c r="AB44" i="37"/>
  <c r="AB45" i="37"/>
  <c r="AB46" i="37"/>
  <c r="AB47" i="37"/>
  <c r="AB48" i="37"/>
  <c r="AB49" i="37"/>
  <c r="AB39" i="37"/>
  <c r="AB50" i="37"/>
  <c r="AB51" i="37"/>
  <c r="AB52" i="37"/>
  <c r="AB53" i="37"/>
  <c r="AB54" i="37"/>
  <c r="AB55" i="37"/>
  <c r="AB56" i="37"/>
  <c r="AB57" i="37"/>
  <c r="AB58" i="37"/>
  <c r="AB59" i="37"/>
  <c r="AB60" i="37"/>
  <c r="AB61" i="37"/>
  <c r="AB62" i="37"/>
  <c r="AB63" i="37"/>
  <c r="AB64" i="37"/>
  <c r="AB65" i="37"/>
  <c r="AB66" i="37"/>
  <c r="AB67" i="37"/>
  <c r="AB68" i="37"/>
  <c r="AB69" i="37"/>
  <c r="AB70" i="37"/>
  <c r="AB71" i="37"/>
  <c r="AB72" i="37"/>
  <c r="AB73" i="37"/>
  <c r="AB74" i="37"/>
  <c r="AB75" i="37"/>
  <c r="AB76" i="37"/>
  <c r="AB77" i="37"/>
  <c r="AB78" i="37"/>
  <c r="AB79" i="37"/>
  <c r="AB80" i="37"/>
  <c r="AB81" i="37"/>
  <c r="AB82" i="37"/>
  <c r="AB83" i="37"/>
  <c r="AB84" i="37"/>
  <c r="AA95" i="37"/>
  <c r="AA93" i="37"/>
  <c r="AA91" i="37"/>
  <c r="AA96" i="37"/>
  <c r="AA89" i="37"/>
  <c r="AA94" i="37"/>
  <c r="AA92" i="37"/>
  <c r="AA86" i="37"/>
  <c r="AA87" i="37"/>
  <c r="AA88" i="37"/>
  <c r="AA90" i="37"/>
  <c r="AA85" i="37"/>
  <c r="AB28" i="37"/>
  <c r="AC29" i="37"/>
  <c r="F23" i="22"/>
  <c r="G11" i="37" s="1"/>
  <c r="H11" i="37" s="1"/>
  <c r="E12" i="18"/>
  <c r="E5" i="18"/>
  <c r="F44" i="20"/>
  <c r="E28" i="20"/>
  <c r="E27" i="20"/>
  <c r="E25" i="20"/>
  <c r="E24" i="20"/>
  <c r="E23" i="20"/>
  <c r="E22" i="20"/>
  <c r="E21" i="20"/>
  <c r="E20" i="20"/>
  <c r="E18" i="20"/>
  <c r="E16" i="20"/>
  <c r="E14" i="20"/>
  <c r="E13" i="20"/>
  <c r="E10" i="20"/>
  <c r="E7" i="20"/>
  <c r="E4" i="20"/>
  <c r="F30" i="20" l="1"/>
  <c r="AC30" i="37"/>
  <c r="AC31" i="37"/>
  <c r="AC32" i="37"/>
  <c r="AC33" i="37"/>
  <c r="AC34" i="37"/>
  <c r="AC35" i="37"/>
  <c r="AC36" i="37"/>
  <c r="AC37" i="37"/>
  <c r="AC38" i="37"/>
  <c r="AC39" i="37"/>
  <c r="AC40" i="37"/>
  <c r="AC41" i="37"/>
  <c r="AC42" i="37"/>
  <c r="AC43" i="37"/>
  <c r="AC45" i="37"/>
  <c r="AC49" i="37"/>
  <c r="AC46" i="37"/>
  <c r="AC47" i="37"/>
  <c r="AC50" i="37"/>
  <c r="AC51" i="37"/>
  <c r="AC52" i="37"/>
  <c r="AC53" i="37"/>
  <c r="AC54" i="37"/>
  <c r="AC55" i="37"/>
  <c r="AC48" i="37"/>
  <c r="AC59" i="37"/>
  <c r="AC63" i="37"/>
  <c r="AC56" i="37"/>
  <c r="AC60" i="37"/>
  <c r="AC64" i="37"/>
  <c r="AC67" i="37"/>
  <c r="AC69" i="37"/>
  <c r="AC57" i="37"/>
  <c r="AC61" i="37"/>
  <c r="AC44" i="37"/>
  <c r="AC58" i="37"/>
  <c r="AC62" i="37"/>
  <c r="AC66" i="37"/>
  <c r="AC65" i="37"/>
  <c r="AC68" i="37"/>
  <c r="AC70" i="37"/>
  <c r="AC71" i="37"/>
  <c r="AC72" i="37"/>
  <c r="AC73" i="37"/>
  <c r="AC74" i="37"/>
  <c r="AC75" i="37"/>
  <c r="AC76" i="37"/>
  <c r="AC78" i="37"/>
  <c r="AC79" i="37"/>
  <c r="AC80" i="37"/>
  <c r="AC81" i="37"/>
  <c r="AC82" i="37"/>
  <c r="AC83" i="37"/>
  <c r="AC84" i="37"/>
  <c r="AC77" i="37"/>
  <c r="O11" i="37"/>
  <c r="AB96" i="37"/>
  <c r="AB95" i="37"/>
  <c r="AB94" i="37"/>
  <c r="AB93" i="37"/>
  <c r="AB92" i="37"/>
  <c r="AB91" i="37"/>
  <c r="AB90" i="37"/>
  <c r="AB89" i="37"/>
  <c r="AB88" i="37"/>
  <c r="AB87" i="37"/>
  <c r="AB86" i="37"/>
  <c r="AB85" i="37"/>
  <c r="AC28" i="37"/>
  <c r="AD29" i="37"/>
  <c r="H8" i="37"/>
  <c r="O8" i="37" s="1"/>
  <c r="G12" i="37"/>
  <c r="H12" i="37" s="1"/>
  <c r="O12" i="37" s="1"/>
  <c r="F32" i="1"/>
  <c r="AD30" i="37" l="1"/>
  <c r="AD31" i="37"/>
  <c r="AD32" i="37"/>
  <c r="AD33" i="37"/>
  <c r="AD34" i="37"/>
  <c r="AD35" i="37"/>
  <c r="AD36" i="37"/>
  <c r="AD37" i="37"/>
  <c r="AD38" i="37"/>
  <c r="AD39" i="37"/>
  <c r="AD40" i="37"/>
  <c r="AD41" i="37"/>
  <c r="AD42" i="37"/>
  <c r="AD44" i="37"/>
  <c r="AD45" i="37"/>
  <c r="AD46" i="37"/>
  <c r="AD47" i="37"/>
  <c r="AD48" i="37"/>
  <c r="AD43" i="37"/>
  <c r="AD49" i="37"/>
  <c r="AD51" i="37"/>
  <c r="AD55" i="37"/>
  <c r="AD56" i="37"/>
  <c r="AD57" i="37"/>
  <c r="AD58" i="37"/>
  <c r="AD59" i="37"/>
  <c r="AD60" i="37"/>
  <c r="AD61" i="37"/>
  <c r="AD62" i="37"/>
  <c r="AD63" i="37"/>
  <c r="AD64" i="37"/>
  <c r="AD65" i="37"/>
  <c r="AD66" i="37"/>
  <c r="AD52" i="37"/>
  <c r="AD53" i="37"/>
  <c r="AD54" i="37"/>
  <c r="AD68" i="37"/>
  <c r="AD50" i="37"/>
  <c r="AD67" i="37"/>
  <c r="AD69" i="37"/>
  <c r="AD70" i="37"/>
  <c r="AD71" i="37"/>
  <c r="AD72" i="37"/>
  <c r="AD73" i="37"/>
  <c r="AD74" i="37"/>
  <c r="AD75" i="37"/>
  <c r="AD76" i="37"/>
  <c r="AD77" i="37"/>
  <c r="AD84" i="37"/>
  <c r="AD78" i="37"/>
  <c r="AD79" i="37"/>
  <c r="AD80" i="37"/>
  <c r="AD81" i="37"/>
  <c r="AD82" i="37"/>
  <c r="AD83" i="37"/>
  <c r="AC96" i="37"/>
  <c r="AC95" i="37"/>
  <c r="AC94" i="37"/>
  <c r="AC93" i="37"/>
  <c r="AC87" i="37"/>
  <c r="AC89" i="37"/>
  <c r="AC86" i="37"/>
  <c r="AC90" i="37"/>
  <c r="AC88" i="37"/>
  <c r="AC85" i="37"/>
  <c r="AC91" i="37"/>
  <c r="AC92" i="37"/>
  <c r="AE29" i="37"/>
  <c r="AD28" i="37"/>
  <c r="G49" i="20"/>
  <c r="AE30" i="37" l="1"/>
  <c r="AE32" i="37"/>
  <c r="AE33" i="37"/>
  <c r="AE34" i="37"/>
  <c r="AE35" i="37"/>
  <c r="AE36" i="37"/>
  <c r="AE37" i="37"/>
  <c r="AE38" i="37"/>
  <c r="AE39" i="37"/>
  <c r="AE40" i="37"/>
  <c r="AE41" i="37"/>
  <c r="AE42" i="37"/>
  <c r="AE44" i="37"/>
  <c r="AE45" i="37"/>
  <c r="AE46" i="37"/>
  <c r="AE47" i="37"/>
  <c r="AE48" i="37"/>
  <c r="AE49" i="37"/>
  <c r="AE31" i="37"/>
  <c r="AE43" i="37"/>
  <c r="AE50" i="37"/>
  <c r="AE51" i="37"/>
  <c r="AE52" i="37"/>
  <c r="AE53" i="37"/>
  <c r="AE54" i="37"/>
  <c r="AE55" i="37"/>
  <c r="AE56" i="37"/>
  <c r="AE57" i="37"/>
  <c r="AE58" i="37"/>
  <c r="AE59" i="37"/>
  <c r="AE60" i="37"/>
  <c r="AE61" i="37"/>
  <c r="AE62" i="37"/>
  <c r="AE63" i="37"/>
  <c r="AE64" i="37"/>
  <c r="AE65" i="37"/>
  <c r="AE66" i="37"/>
  <c r="AE67" i="37"/>
  <c r="AE68" i="37"/>
  <c r="AE69" i="37"/>
  <c r="AE70" i="37"/>
  <c r="AE71" i="37"/>
  <c r="AE72" i="37"/>
  <c r="AE73" i="37"/>
  <c r="AE74" i="37"/>
  <c r="AE75" i="37"/>
  <c r="AE76" i="37"/>
  <c r="AE77" i="37"/>
  <c r="AE78" i="37"/>
  <c r="AE79" i="37"/>
  <c r="AE80" i="37"/>
  <c r="AE81" i="37"/>
  <c r="AE82" i="37"/>
  <c r="AE83" i="37"/>
  <c r="AE84" i="37"/>
  <c r="AD96" i="37"/>
  <c r="AD95" i="37"/>
  <c r="AD94" i="37"/>
  <c r="AD92" i="37"/>
  <c r="AD85" i="37"/>
  <c r="AD91" i="37"/>
  <c r="AD90" i="37"/>
  <c r="AD87" i="37"/>
  <c r="AD86" i="37"/>
  <c r="AD88" i="37"/>
  <c r="AD93" i="37"/>
  <c r="AD89" i="37"/>
  <c r="AE28" i="37"/>
  <c r="AF29" i="37"/>
  <c r="AF31" i="37" l="1"/>
  <c r="AF33" i="37"/>
  <c r="AF34" i="37"/>
  <c r="AF35" i="37"/>
  <c r="AF30" i="37"/>
  <c r="AF32" i="37"/>
  <c r="AF39" i="37"/>
  <c r="AF40" i="37"/>
  <c r="AF36" i="37"/>
  <c r="AF37" i="37"/>
  <c r="AF41" i="37"/>
  <c r="AF44" i="37"/>
  <c r="AF45" i="37"/>
  <c r="AF46" i="37"/>
  <c r="AF47" i="37"/>
  <c r="AF48" i="37"/>
  <c r="AF49" i="37"/>
  <c r="AF42" i="37"/>
  <c r="AF50" i="37"/>
  <c r="AF51" i="37"/>
  <c r="AF52" i="37"/>
  <c r="AF53" i="37"/>
  <c r="AF54" i="37"/>
  <c r="AF55" i="37"/>
  <c r="AF43" i="37"/>
  <c r="AF56" i="37"/>
  <c r="AF57" i="37"/>
  <c r="AF58" i="37"/>
  <c r="AF59" i="37"/>
  <c r="AF60" i="37"/>
  <c r="AF61" i="37"/>
  <c r="AF62" i="37"/>
  <c r="AF63" i="37"/>
  <c r="AF64" i="37"/>
  <c r="AF65" i="37"/>
  <c r="AF66" i="37"/>
  <c r="AF67" i="37"/>
  <c r="AF68" i="37"/>
  <c r="AF69" i="37"/>
  <c r="AF38" i="37"/>
  <c r="AF70" i="37"/>
  <c r="AF71" i="37"/>
  <c r="AF72" i="37"/>
  <c r="AF73" i="37"/>
  <c r="AF74" i="37"/>
  <c r="AF75" i="37"/>
  <c r="AF76" i="37"/>
  <c r="AF77" i="37"/>
  <c r="AF78" i="37"/>
  <c r="AF79" i="37"/>
  <c r="AF80" i="37"/>
  <c r="AF81" i="37"/>
  <c r="AF82" i="37"/>
  <c r="AF83" i="37"/>
  <c r="AF84" i="37"/>
  <c r="AE96" i="37"/>
  <c r="AE95" i="37"/>
  <c r="AE94" i="37"/>
  <c r="AE93" i="37"/>
  <c r="AE92" i="37"/>
  <c r="AE91" i="37"/>
  <c r="AE90" i="37"/>
  <c r="AE89" i="37"/>
  <c r="AE88" i="37"/>
  <c r="AE87" i="37"/>
  <c r="AE86" i="37"/>
  <c r="AE85" i="37"/>
  <c r="AF28" i="37"/>
  <c r="AG29" i="37"/>
  <c r="E4" i="18"/>
  <c r="AG30" i="37" l="1"/>
  <c r="AG31" i="37"/>
  <c r="AG32" i="37"/>
  <c r="AG33" i="37"/>
  <c r="AG34" i="37"/>
  <c r="AG35" i="37"/>
  <c r="AG36" i="37"/>
  <c r="AG37" i="37"/>
  <c r="AG38" i="37"/>
  <c r="AG39" i="37"/>
  <c r="AG40" i="37"/>
  <c r="AG41" i="37"/>
  <c r="AG42" i="37"/>
  <c r="AG43" i="37"/>
  <c r="AG44" i="37"/>
  <c r="AG48" i="37"/>
  <c r="AG45" i="37"/>
  <c r="AG46" i="37"/>
  <c r="AG49" i="37"/>
  <c r="AG50" i="37"/>
  <c r="AG51" i="37"/>
  <c r="AG52" i="37"/>
  <c r="AG53" i="37"/>
  <c r="AG54" i="37"/>
  <c r="AG55" i="37"/>
  <c r="AG58" i="37"/>
  <c r="AG62" i="37"/>
  <c r="AG66" i="37"/>
  <c r="AG59" i="37"/>
  <c r="AG63" i="37"/>
  <c r="AG68" i="37"/>
  <c r="AG56" i="37"/>
  <c r="AG60" i="37"/>
  <c r="AG64" i="37"/>
  <c r="AG47" i="37"/>
  <c r="AG57" i="37"/>
  <c r="AG61" i="37"/>
  <c r="AG65" i="37"/>
  <c r="AG67" i="37"/>
  <c r="AG69" i="37"/>
  <c r="AG70" i="37"/>
  <c r="AG71" i="37"/>
  <c r="AG72" i="37"/>
  <c r="AG73" i="37"/>
  <c r="AG74" i="37"/>
  <c r="AG75" i="37"/>
  <c r="AG76" i="37"/>
  <c r="AG77" i="37"/>
  <c r="AG78" i="37"/>
  <c r="AG79" i="37"/>
  <c r="AG80" i="37"/>
  <c r="AG81" i="37"/>
  <c r="AG82" i="37"/>
  <c r="AG83" i="37"/>
  <c r="AG84" i="37"/>
  <c r="AF96" i="37"/>
  <c r="AF95" i="37"/>
  <c r="AF94" i="37"/>
  <c r="AF90" i="37"/>
  <c r="AF88" i="37"/>
  <c r="AF92" i="37"/>
  <c r="AF85" i="37"/>
  <c r="AF93" i="37"/>
  <c r="AF87" i="37"/>
  <c r="AF89" i="37"/>
  <c r="AF86" i="37"/>
  <c r="AF91" i="37"/>
  <c r="AG28" i="37"/>
  <c r="AH29" i="37"/>
  <c r="F13" i="18"/>
  <c r="G26" i="37" s="1"/>
  <c r="H26" i="37" s="1"/>
  <c r="J3" i="37" s="1"/>
  <c r="M3" i="37" s="1"/>
  <c r="F36" i="1"/>
  <c r="AH30" i="37" l="1"/>
  <c r="AH31" i="37"/>
  <c r="AH32" i="37"/>
  <c r="AH33" i="37"/>
  <c r="AH34" i="37"/>
  <c r="AH35" i="37"/>
  <c r="AH36" i="37"/>
  <c r="AH37" i="37"/>
  <c r="AH38" i="37"/>
  <c r="AH39" i="37"/>
  <c r="AH40" i="37"/>
  <c r="AH41" i="37"/>
  <c r="AH42" i="37"/>
  <c r="AH43" i="37"/>
  <c r="AH44" i="37"/>
  <c r="AH45" i="37"/>
  <c r="AH46" i="37"/>
  <c r="AH47" i="37"/>
  <c r="AH48" i="37"/>
  <c r="AH50" i="37"/>
  <c r="AH54" i="37"/>
  <c r="AH56" i="37"/>
  <c r="AH57" i="37"/>
  <c r="AH58" i="37"/>
  <c r="AH59" i="37"/>
  <c r="AH60" i="37"/>
  <c r="AH61" i="37"/>
  <c r="AH62" i="37"/>
  <c r="AH63" i="37"/>
  <c r="AH64" i="37"/>
  <c r="AH65" i="37"/>
  <c r="AH66" i="37"/>
  <c r="AH51" i="37"/>
  <c r="AH52" i="37"/>
  <c r="AH55" i="37"/>
  <c r="AH67" i="37"/>
  <c r="AH69" i="37"/>
  <c r="AH49" i="37"/>
  <c r="AH53" i="37"/>
  <c r="AH68" i="37"/>
  <c r="AH70" i="37"/>
  <c r="AH71" i="37"/>
  <c r="AH72" i="37"/>
  <c r="AH73" i="37"/>
  <c r="AH74" i="37"/>
  <c r="AH75" i="37"/>
  <c r="AH76" i="37"/>
  <c r="AH83" i="37"/>
  <c r="AH77" i="37"/>
  <c r="AH78" i="37"/>
  <c r="AH79" i="37"/>
  <c r="AH80" i="37"/>
  <c r="AH81" i="37"/>
  <c r="AH82" i="37"/>
  <c r="AH84" i="37"/>
  <c r="AG96" i="37"/>
  <c r="AG95" i="37"/>
  <c r="AG94" i="37"/>
  <c r="AG93" i="37"/>
  <c r="AG92" i="37"/>
  <c r="AG91" i="37"/>
  <c r="AG90" i="37"/>
  <c r="AG89" i="37"/>
  <c r="AG85" i="37"/>
  <c r="AG86" i="37"/>
  <c r="AG88" i="37"/>
  <c r="AG87" i="37"/>
  <c r="AH28" i="37"/>
  <c r="AI29" i="37"/>
  <c r="F7" i="1"/>
  <c r="AI31" i="37" l="1"/>
  <c r="AI33" i="37"/>
  <c r="AI30" i="37"/>
  <c r="AI34" i="37"/>
  <c r="AI36" i="37"/>
  <c r="AI32" i="37"/>
  <c r="AI35" i="37"/>
  <c r="AI37" i="37"/>
  <c r="AI38" i="37"/>
  <c r="AI39" i="37"/>
  <c r="AI40" i="37"/>
  <c r="AI41" i="37"/>
  <c r="AI42" i="37"/>
  <c r="AI43" i="37"/>
  <c r="AI44" i="37"/>
  <c r="AI45" i="37"/>
  <c r="AI46" i="37"/>
  <c r="AI47" i="37"/>
  <c r="AI48" i="37"/>
  <c r="AI49" i="37"/>
  <c r="AI50" i="37"/>
  <c r="AI51" i="37"/>
  <c r="AI52" i="37"/>
  <c r="AI53" i="37"/>
  <c r="AI54" i="37"/>
  <c r="AI56" i="37"/>
  <c r="AI57" i="37"/>
  <c r="AI58" i="37"/>
  <c r="AI59" i="37"/>
  <c r="AI60" i="37"/>
  <c r="AI61" i="37"/>
  <c r="AI62" i="37"/>
  <c r="AI63" i="37"/>
  <c r="AI64" i="37"/>
  <c r="AI65" i="37"/>
  <c r="AI66" i="37"/>
  <c r="AI67" i="37"/>
  <c r="AI68" i="37"/>
  <c r="AI69" i="37"/>
  <c r="AI55" i="37"/>
  <c r="AI70" i="37"/>
  <c r="AI71" i="37"/>
  <c r="AI72" i="37"/>
  <c r="AI73" i="37"/>
  <c r="AI74" i="37"/>
  <c r="AI75" i="37"/>
  <c r="AI76" i="37"/>
  <c r="AI77" i="37"/>
  <c r="AI78" i="37"/>
  <c r="AI79" i="37"/>
  <c r="AI80" i="37"/>
  <c r="AI81" i="37"/>
  <c r="AI82" i="37"/>
  <c r="AI83" i="37"/>
  <c r="AI84" i="37"/>
  <c r="AH96" i="37"/>
  <c r="AH95" i="37"/>
  <c r="AH94" i="37"/>
  <c r="AH93" i="37"/>
  <c r="AH92" i="37"/>
  <c r="AH86" i="37"/>
  <c r="AH88" i="37"/>
  <c r="AH91" i="37"/>
  <c r="AH89" i="37"/>
  <c r="AH87" i="37"/>
  <c r="AH90" i="37"/>
  <c r="AH85" i="37"/>
  <c r="AI28" i="37"/>
  <c r="AJ29" i="37"/>
  <c r="AJ30" i="37" l="1"/>
  <c r="AJ32" i="37"/>
  <c r="AJ34" i="37"/>
  <c r="AJ35" i="37"/>
  <c r="AJ31" i="37"/>
  <c r="AJ33" i="37"/>
  <c r="AJ36" i="37"/>
  <c r="AJ38" i="37"/>
  <c r="AJ42" i="37"/>
  <c r="AJ39" i="37"/>
  <c r="AJ40" i="37"/>
  <c r="AJ43" i="37"/>
  <c r="AJ44" i="37"/>
  <c r="AJ45" i="37"/>
  <c r="AJ46" i="37"/>
  <c r="AJ47" i="37"/>
  <c r="AJ48" i="37"/>
  <c r="AJ49" i="37"/>
  <c r="AJ50" i="37"/>
  <c r="AJ51" i="37"/>
  <c r="AJ52" i="37"/>
  <c r="AJ53" i="37"/>
  <c r="AJ54" i="37"/>
  <c r="AJ55" i="37"/>
  <c r="AJ37" i="37"/>
  <c r="AJ56" i="37"/>
  <c r="AJ57" i="37"/>
  <c r="AJ58" i="37"/>
  <c r="AJ59" i="37"/>
  <c r="AJ60" i="37"/>
  <c r="AJ61" i="37"/>
  <c r="AJ62" i="37"/>
  <c r="AJ63" i="37"/>
  <c r="AJ64" i="37"/>
  <c r="AJ65" i="37"/>
  <c r="AJ66" i="37"/>
  <c r="AJ67" i="37"/>
  <c r="AJ68" i="37"/>
  <c r="AJ69" i="37"/>
  <c r="AJ41" i="37"/>
  <c r="AJ70" i="37"/>
  <c r="AJ71" i="37"/>
  <c r="AJ72" i="37"/>
  <c r="AJ73" i="37"/>
  <c r="AJ74" i="37"/>
  <c r="AJ75" i="37"/>
  <c r="AJ76" i="37"/>
  <c r="AJ77" i="37"/>
  <c r="AJ78" i="37"/>
  <c r="AJ79" i="37"/>
  <c r="AJ80" i="37"/>
  <c r="AJ81" i="37"/>
  <c r="AJ82" i="37"/>
  <c r="AJ83" i="37"/>
  <c r="AJ84" i="37"/>
  <c r="AI96" i="37"/>
  <c r="AI95" i="37"/>
  <c r="AI94" i="37"/>
  <c r="AI93" i="37"/>
  <c r="AI86" i="37"/>
  <c r="AI91" i="37"/>
  <c r="AI87" i="37"/>
  <c r="AI90" i="37"/>
  <c r="AI92" i="37"/>
  <c r="AI85" i="37"/>
  <c r="AI88" i="37"/>
  <c r="AI89" i="37"/>
  <c r="AJ28" i="37"/>
  <c r="AK29" i="37"/>
  <c r="D82" i="1"/>
  <c r="D71" i="1"/>
  <c r="B37" i="1" s="1"/>
  <c r="D37" i="1" s="1"/>
  <c r="AK30" i="37" l="1"/>
  <c r="AK31" i="37"/>
  <c r="AK32" i="37"/>
  <c r="AK33" i="37"/>
  <c r="AK34" i="37"/>
  <c r="AK35" i="37"/>
  <c r="AK36" i="37"/>
  <c r="AK37" i="37"/>
  <c r="AK38" i="37"/>
  <c r="AK39" i="37"/>
  <c r="AK40" i="37"/>
  <c r="AK41" i="37"/>
  <c r="AK42" i="37"/>
  <c r="AK43" i="37"/>
  <c r="AK47" i="37"/>
  <c r="AK44" i="37"/>
  <c r="AK48" i="37"/>
  <c r="AK45" i="37"/>
  <c r="AK49" i="37"/>
  <c r="AK50" i="37"/>
  <c r="AK51" i="37"/>
  <c r="AK52" i="37"/>
  <c r="AK53" i="37"/>
  <c r="AK54" i="37"/>
  <c r="AK55" i="37"/>
  <c r="AK46" i="37"/>
  <c r="AK57" i="37"/>
  <c r="AK61" i="37"/>
  <c r="AK65" i="37"/>
  <c r="AK58" i="37"/>
  <c r="AK62" i="37"/>
  <c r="AK66" i="37"/>
  <c r="AK67" i="37"/>
  <c r="AK69" i="37"/>
  <c r="AK59" i="37"/>
  <c r="AK63" i="37"/>
  <c r="AK56" i="37"/>
  <c r="AK60" i="37"/>
  <c r="AK64" i="37"/>
  <c r="AK68" i="37"/>
  <c r="AK70" i="37"/>
  <c r="AK71" i="37"/>
  <c r="AK72" i="37"/>
  <c r="AK73" i="37"/>
  <c r="AK74" i="37"/>
  <c r="AK75" i="37"/>
  <c r="AK76" i="37"/>
  <c r="AK77" i="37"/>
  <c r="AK78" i="37"/>
  <c r="AK79" i="37"/>
  <c r="AK80" i="37"/>
  <c r="AK81" i="37"/>
  <c r="AK82" i="37"/>
  <c r="AK83" i="37"/>
  <c r="AK84" i="37"/>
  <c r="AJ96" i="37"/>
  <c r="AJ95" i="37"/>
  <c r="AJ94" i="37"/>
  <c r="AJ89" i="37"/>
  <c r="AJ91" i="37"/>
  <c r="AJ87" i="37"/>
  <c r="AJ93" i="37"/>
  <c r="AJ86" i="37"/>
  <c r="AJ85" i="37"/>
  <c r="AJ88" i="37"/>
  <c r="AJ90" i="37"/>
  <c r="AJ92" i="37"/>
  <c r="AK28" i="37"/>
  <c r="AL29" i="37"/>
  <c r="B38" i="1"/>
  <c r="F38" i="1" s="1"/>
  <c r="G15" i="13"/>
  <c r="AL30" i="37" l="1"/>
  <c r="AL31" i="37"/>
  <c r="AL32" i="37"/>
  <c r="AL33" i="37"/>
  <c r="AL34" i="37"/>
  <c r="AL35" i="37"/>
  <c r="AL37" i="37"/>
  <c r="AL38" i="37"/>
  <c r="AL39" i="37"/>
  <c r="AL40" i="37"/>
  <c r="AL41" i="37"/>
  <c r="AL42" i="37"/>
  <c r="AL43" i="37"/>
  <c r="AL44" i="37"/>
  <c r="AL45" i="37"/>
  <c r="AL46" i="37"/>
  <c r="AL47" i="37"/>
  <c r="AL48" i="37"/>
  <c r="AL36" i="37"/>
  <c r="AL49" i="37"/>
  <c r="AL53" i="37"/>
  <c r="AL56" i="37"/>
  <c r="AL57" i="37"/>
  <c r="AL58" i="37"/>
  <c r="AL59" i="37"/>
  <c r="AL60" i="37"/>
  <c r="AL61" i="37"/>
  <c r="AL62" i="37"/>
  <c r="AL63" i="37"/>
  <c r="AL64" i="37"/>
  <c r="AL65" i="37"/>
  <c r="AL66" i="37"/>
  <c r="AL50" i="37"/>
  <c r="AL54" i="37"/>
  <c r="AL55" i="37"/>
  <c r="AL51" i="37"/>
  <c r="AL68" i="37"/>
  <c r="AL52" i="37"/>
  <c r="AL69" i="37"/>
  <c r="AL67" i="37"/>
  <c r="AL70" i="37"/>
  <c r="AL71" i="37"/>
  <c r="AL72" i="37"/>
  <c r="AL73" i="37"/>
  <c r="AL74" i="37"/>
  <c r="AL75" i="37"/>
  <c r="AL76" i="37"/>
  <c r="AL84" i="37"/>
  <c r="AL77" i="37"/>
  <c r="AL78" i="37"/>
  <c r="AL79" i="37"/>
  <c r="AL80" i="37"/>
  <c r="AL81" i="37"/>
  <c r="AL82" i="37"/>
  <c r="AL83" i="37"/>
  <c r="AK96" i="37"/>
  <c r="AK95" i="37"/>
  <c r="AK94" i="37"/>
  <c r="AK93" i="37"/>
  <c r="AK91" i="37"/>
  <c r="AK87" i="37"/>
  <c r="AK88" i="37"/>
  <c r="AK85" i="37"/>
  <c r="AK92" i="37"/>
  <c r="AK89" i="37"/>
  <c r="AK90" i="37"/>
  <c r="AK86" i="37"/>
  <c r="AL28" i="37"/>
  <c r="AM29" i="37"/>
  <c r="AM30" i="37" l="1"/>
  <c r="AM32" i="37"/>
  <c r="AM31" i="37"/>
  <c r="AM36" i="37"/>
  <c r="AM33" i="37"/>
  <c r="AM34" i="37"/>
  <c r="AM37" i="37"/>
  <c r="AM38" i="37"/>
  <c r="AM39" i="37"/>
  <c r="AM40" i="37"/>
  <c r="AM41" i="37"/>
  <c r="AM42" i="37"/>
  <c r="AM35" i="37"/>
  <c r="AM43" i="37"/>
  <c r="AM44" i="37"/>
  <c r="AM45" i="37"/>
  <c r="AM46" i="37"/>
  <c r="AM47" i="37"/>
  <c r="AM48" i="37"/>
  <c r="AM49" i="37"/>
  <c r="AM50" i="37"/>
  <c r="AM51" i="37"/>
  <c r="AM52" i="37"/>
  <c r="AM53" i="37"/>
  <c r="AM54" i="37"/>
  <c r="AM56" i="37"/>
  <c r="AM57" i="37"/>
  <c r="AM58" i="37"/>
  <c r="AM59" i="37"/>
  <c r="AM60" i="37"/>
  <c r="AM61" i="37"/>
  <c r="AM62" i="37"/>
  <c r="AM63" i="37"/>
  <c r="AM64" i="37"/>
  <c r="AM65" i="37"/>
  <c r="AM66" i="37"/>
  <c r="AM67" i="37"/>
  <c r="AM68" i="37"/>
  <c r="AM69" i="37"/>
  <c r="AM55" i="37"/>
  <c r="AM70" i="37"/>
  <c r="AM71" i="37"/>
  <c r="AM72" i="37"/>
  <c r="AM73" i="37"/>
  <c r="AM74" i="37"/>
  <c r="AM75" i="37"/>
  <c r="AM76" i="37"/>
  <c r="AM77" i="37"/>
  <c r="AM78" i="37"/>
  <c r="AM79" i="37"/>
  <c r="AM80" i="37"/>
  <c r="AM81" i="37"/>
  <c r="AM82" i="37"/>
  <c r="AM83" i="37"/>
  <c r="AM84" i="37"/>
  <c r="AL96" i="37"/>
  <c r="AL95" i="37"/>
  <c r="AL94" i="37"/>
  <c r="AL85" i="37"/>
  <c r="AL92" i="37"/>
  <c r="AL88" i="37"/>
  <c r="AL90" i="37"/>
  <c r="AL89" i="37"/>
  <c r="AL93" i="37"/>
  <c r="AL91" i="37"/>
  <c r="AL86" i="37"/>
  <c r="AL87" i="37"/>
  <c r="AM28" i="37"/>
  <c r="AN29" i="37"/>
  <c r="AN31" i="37" l="1"/>
  <c r="AN33" i="37"/>
  <c r="AN34" i="37"/>
  <c r="AN35" i="37"/>
  <c r="AN30" i="37"/>
  <c r="AN32" i="37"/>
  <c r="AN36" i="37"/>
  <c r="AN37" i="37"/>
  <c r="AN41" i="37"/>
  <c r="AN38" i="37"/>
  <c r="AN42" i="37"/>
  <c r="AN39" i="37"/>
  <c r="AN43" i="37"/>
  <c r="AN44" i="37"/>
  <c r="AN45" i="37"/>
  <c r="AN46" i="37"/>
  <c r="AN47" i="37"/>
  <c r="AN48" i="37"/>
  <c r="AN49" i="37"/>
  <c r="AN50" i="37"/>
  <c r="AN51" i="37"/>
  <c r="AN52" i="37"/>
  <c r="AN53" i="37"/>
  <c r="AN54" i="37"/>
  <c r="AN55" i="37"/>
  <c r="AN40" i="37"/>
  <c r="AN56" i="37"/>
  <c r="AN57" i="37"/>
  <c r="AN58" i="37"/>
  <c r="AN59" i="37"/>
  <c r="AN60" i="37"/>
  <c r="AN61" i="37"/>
  <c r="AN62" i="37"/>
  <c r="AN63" i="37"/>
  <c r="AN64" i="37"/>
  <c r="AN65" i="37"/>
  <c r="AN66" i="37"/>
  <c r="AN67" i="37"/>
  <c r="AN68" i="37"/>
  <c r="AN69" i="37"/>
  <c r="AN70" i="37"/>
  <c r="AN71" i="37"/>
  <c r="AN72" i="37"/>
  <c r="AN73" i="37"/>
  <c r="AN74" i="37"/>
  <c r="AN75" i="37"/>
  <c r="AN76" i="37"/>
  <c r="AN77" i="37"/>
  <c r="AN78" i="37"/>
  <c r="AN79" i="37"/>
  <c r="AN80" i="37"/>
  <c r="AN81" i="37"/>
  <c r="AN82" i="37"/>
  <c r="AN83" i="37"/>
  <c r="AN84" i="37"/>
  <c r="AM92" i="37"/>
  <c r="AM96" i="37"/>
  <c r="AM88" i="37"/>
  <c r="AM94" i="37"/>
  <c r="AM90" i="37"/>
  <c r="AM93" i="37"/>
  <c r="AM87" i="37"/>
  <c r="AM95" i="37"/>
  <c r="AM89" i="37"/>
  <c r="AM91" i="37"/>
  <c r="AM86" i="37"/>
  <c r="AM85" i="37"/>
  <c r="AN28" i="37"/>
  <c r="AO29" i="37"/>
  <c r="AO30" i="37" l="1"/>
  <c r="AO31" i="37"/>
  <c r="AO32" i="37"/>
  <c r="AO33" i="37"/>
  <c r="AO34" i="37"/>
  <c r="AO35" i="37"/>
  <c r="AO36" i="37"/>
  <c r="AO37" i="37"/>
  <c r="AO38" i="37"/>
  <c r="AO39" i="37"/>
  <c r="AO40" i="37"/>
  <c r="AO41" i="37"/>
  <c r="AO42" i="37"/>
  <c r="AO46" i="37"/>
  <c r="AO43" i="37"/>
  <c r="AO47" i="37"/>
  <c r="AO44" i="37"/>
  <c r="AO48" i="37"/>
  <c r="AO49" i="37"/>
  <c r="AO50" i="37"/>
  <c r="AO51" i="37"/>
  <c r="AO52" i="37"/>
  <c r="AO53" i="37"/>
  <c r="AO54" i="37"/>
  <c r="AO45" i="37"/>
  <c r="AO56" i="37"/>
  <c r="AO60" i="37"/>
  <c r="AO64" i="37"/>
  <c r="AO57" i="37"/>
  <c r="AO61" i="37"/>
  <c r="AO65" i="37"/>
  <c r="AO68" i="37"/>
  <c r="AO58" i="37"/>
  <c r="AO62" i="37"/>
  <c r="AO55" i="37"/>
  <c r="AO59" i="37"/>
  <c r="AO63" i="37"/>
  <c r="AO67" i="37"/>
  <c r="AO66" i="37"/>
  <c r="AO69" i="37"/>
  <c r="AO70" i="37"/>
  <c r="AO71" i="37"/>
  <c r="AO72" i="37"/>
  <c r="AO73" i="37"/>
  <c r="AO74" i="37"/>
  <c r="AO75" i="37"/>
  <c r="AO76" i="37"/>
  <c r="AO77" i="37"/>
  <c r="AO78" i="37"/>
  <c r="AO79" i="37"/>
  <c r="AO80" i="37"/>
  <c r="AO81" i="37"/>
  <c r="AO82" i="37"/>
  <c r="AO83" i="37"/>
  <c r="AO84" i="37"/>
  <c r="AN96" i="37"/>
  <c r="AN95" i="37"/>
  <c r="AN94" i="37"/>
  <c r="AN93" i="37"/>
  <c r="AN92" i="37"/>
  <c r="AN91" i="37"/>
  <c r="AN90" i="37"/>
  <c r="AN89" i="37"/>
  <c r="AN88" i="37"/>
  <c r="AN87" i="37"/>
  <c r="AN86" i="37"/>
  <c r="AN85" i="37"/>
  <c r="AP29" i="37"/>
  <c r="AO28" i="37"/>
  <c r="F21" i="4"/>
  <c r="F19" i="4"/>
  <c r="G14" i="13"/>
  <c r="G13" i="13"/>
  <c r="G12" i="13"/>
  <c r="D5" i="13"/>
  <c r="AP30" i="37" l="1"/>
  <c r="AP31" i="37"/>
  <c r="AP32" i="37"/>
  <c r="AP33" i="37"/>
  <c r="AP34" i="37"/>
  <c r="AP35" i="37"/>
  <c r="AP37" i="37"/>
  <c r="AP38" i="37"/>
  <c r="AP39" i="37"/>
  <c r="AP40" i="37"/>
  <c r="AP41" i="37"/>
  <c r="AP42" i="37"/>
  <c r="AP36" i="37"/>
  <c r="AP43" i="37"/>
  <c r="AP44" i="37"/>
  <c r="AP45" i="37"/>
  <c r="AP46" i="37"/>
  <c r="AP47" i="37"/>
  <c r="AP48" i="37"/>
  <c r="AP52" i="37"/>
  <c r="AP55" i="37"/>
  <c r="AP56" i="37"/>
  <c r="AP57" i="37"/>
  <c r="AP58" i="37"/>
  <c r="AP59" i="37"/>
  <c r="AP60" i="37"/>
  <c r="AP61" i="37"/>
  <c r="AP62" i="37"/>
  <c r="AP63" i="37"/>
  <c r="AP64" i="37"/>
  <c r="AP65" i="37"/>
  <c r="AP66" i="37"/>
  <c r="AP49" i="37"/>
  <c r="AP53" i="37"/>
  <c r="AP50" i="37"/>
  <c r="AP54" i="37"/>
  <c r="AP67" i="37"/>
  <c r="AP69" i="37"/>
  <c r="AP51" i="37"/>
  <c r="AP68" i="37"/>
  <c r="AP70" i="37"/>
  <c r="AP71" i="37"/>
  <c r="AP72" i="37"/>
  <c r="AP73" i="37"/>
  <c r="AP74" i="37"/>
  <c r="AP75" i="37"/>
  <c r="AP76" i="37"/>
  <c r="AP83" i="37"/>
  <c r="AP77" i="37"/>
  <c r="AP78" i="37"/>
  <c r="AP79" i="37"/>
  <c r="AP80" i="37"/>
  <c r="AP81" i="37"/>
  <c r="AP82" i="37"/>
  <c r="AP84" i="37"/>
  <c r="AO96" i="37"/>
  <c r="AO95" i="37"/>
  <c r="AO94" i="37"/>
  <c r="AO93" i="37"/>
  <c r="AO86" i="37"/>
  <c r="AO90" i="37"/>
  <c r="AO85" i="37"/>
  <c r="AO92" i="37"/>
  <c r="AO88" i="37"/>
  <c r="AO87" i="37"/>
  <c r="AO89" i="37"/>
  <c r="AO91" i="37"/>
  <c r="AQ29" i="37"/>
  <c r="AP28" i="37"/>
  <c r="D17" i="13"/>
  <c r="C6" i="9"/>
  <c r="AQ31" i="37" l="1"/>
  <c r="AQ33" i="37"/>
  <c r="AQ35" i="37"/>
  <c r="AQ30" i="37"/>
  <c r="AQ37" i="37"/>
  <c r="AQ38" i="37"/>
  <c r="AQ39" i="37"/>
  <c r="AQ40" i="37"/>
  <c r="AQ41" i="37"/>
  <c r="AQ42" i="37"/>
  <c r="AQ36" i="37"/>
  <c r="AQ32" i="37"/>
  <c r="AQ43" i="37"/>
  <c r="AQ44" i="37"/>
  <c r="AQ45" i="37"/>
  <c r="AQ46" i="37"/>
  <c r="AQ47" i="37"/>
  <c r="AQ48" i="37"/>
  <c r="AQ49" i="37"/>
  <c r="AQ50" i="37"/>
  <c r="AQ51" i="37"/>
  <c r="AQ52" i="37"/>
  <c r="AQ53" i="37"/>
  <c r="AQ54" i="37"/>
  <c r="AQ34" i="37"/>
  <c r="AQ55" i="37"/>
  <c r="AQ56" i="37"/>
  <c r="AQ57" i="37"/>
  <c r="AQ58" i="37"/>
  <c r="AQ59" i="37"/>
  <c r="AQ60" i="37"/>
  <c r="AQ61" i="37"/>
  <c r="AQ62" i="37"/>
  <c r="AQ63" i="37"/>
  <c r="AQ64" i="37"/>
  <c r="AQ65" i="37"/>
  <c r="AQ66" i="37"/>
  <c r="AQ67" i="37"/>
  <c r="AQ68" i="37"/>
  <c r="AQ69" i="37"/>
  <c r="AQ70" i="37"/>
  <c r="AQ71" i="37"/>
  <c r="AQ72" i="37"/>
  <c r="AQ73" i="37"/>
  <c r="AQ74" i="37"/>
  <c r="AQ75" i="37"/>
  <c r="AQ76" i="37"/>
  <c r="AQ77" i="37"/>
  <c r="AQ78" i="37"/>
  <c r="AQ79" i="37"/>
  <c r="AQ80" i="37"/>
  <c r="AQ81" i="37"/>
  <c r="AQ82" i="37"/>
  <c r="AQ83" i="37"/>
  <c r="AQ84" i="37"/>
  <c r="AP96" i="37"/>
  <c r="AP95" i="37"/>
  <c r="AP94" i="37"/>
  <c r="AP93" i="37"/>
  <c r="AP89" i="37"/>
  <c r="AP92" i="37"/>
  <c r="AP87" i="37"/>
  <c r="AP91" i="37"/>
  <c r="AP90" i="37"/>
  <c r="AP86" i="37"/>
  <c r="AP85" i="37"/>
  <c r="AP88" i="37"/>
  <c r="AQ28" i="37"/>
  <c r="AR29" i="37"/>
  <c r="D7" i="9"/>
  <c r="E11" i="9"/>
  <c r="G11" i="13"/>
  <c r="AR30" i="37" l="1"/>
  <c r="AR32" i="37"/>
  <c r="AR34" i="37"/>
  <c r="AR35" i="37"/>
  <c r="AR31" i="37"/>
  <c r="AR33" i="37"/>
  <c r="AR36" i="37"/>
  <c r="AR40" i="37"/>
  <c r="AR37" i="37"/>
  <c r="AR41" i="37"/>
  <c r="AR38" i="37"/>
  <c r="AR42" i="37"/>
  <c r="AR43" i="37"/>
  <c r="AR44" i="37"/>
  <c r="AR45" i="37"/>
  <c r="AR46" i="37"/>
  <c r="AR47" i="37"/>
  <c r="AR48" i="37"/>
  <c r="AR39" i="37"/>
  <c r="AR49" i="37"/>
  <c r="AR50" i="37"/>
  <c r="AR51" i="37"/>
  <c r="AR52" i="37"/>
  <c r="AR53" i="37"/>
  <c r="AR54" i="37"/>
  <c r="AR55" i="37"/>
  <c r="AR56" i="37"/>
  <c r="AR57" i="37"/>
  <c r="AR58" i="37"/>
  <c r="AR59" i="37"/>
  <c r="AR60" i="37"/>
  <c r="AR61" i="37"/>
  <c r="AR62" i="37"/>
  <c r="AR63" i="37"/>
  <c r="AR64" i="37"/>
  <c r="AR65" i="37"/>
  <c r="AR66" i="37"/>
  <c r="AR67" i="37"/>
  <c r="AR68" i="37"/>
  <c r="AR69" i="37"/>
  <c r="AR70" i="37"/>
  <c r="AR71" i="37"/>
  <c r="AR72" i="37"/>
  <c r="AR73" i="37"/>
  <c r="AR74" i="37"/>
  <c r="AR75" i="37"/>
  <c r="AR76" i="37"/>
  <c r="AR77" i="37"/>
  <c r="AR78" i="37"/>
  <c r="AR79" i="37"/>
  <c r="AR80" i="37"/>
  <c r="AR81" i="37"/>
  <c r="AR82" i="37"/>
  <c r="AR83" i="37"/>
  <c r="AR84" i="37"/>
  <c r="AQ96" i="37"/>
  <c r="AQ95" i="37"/>
  <c r="AQ94" i="37"/>
  <c r="AQ93" i="37"/>
  <c r="AQ92" i="37"/>
  <c r="AQ91" i="37"/>
  <c r="AQ90" i="37"/>
  <c r="AQ89" i="37"/>
  <c r="AQ88" i="37"/>
  <c r="AQ87" i="37"/>
  <c r="AQ86" i="37"/>
  <c r="AQ85" i="37"/>
  <c r="AR28" i="37"/>
  <c r="AS29" i="37"/>
  <c r="H17" i="13"/>
  <c r="G18" i="37" s="1"/>
  <c r="H18" i="37" s="1"/>
  <c r="O18" i="37" s="1"/>
  <c r="AS30" i="37" l="1"/>
  <c r="AS31" i="37"/>
  <c r="AS32" i="37"/>
  <c r="AS33" i="37"/>
  <c r="AS34" i="37"/>
  <c r="AS35" i="37"/>
  <c r="AS36" i="37"/>
  <c r="AS37" i="37"/>
  <c r="AS38" i="37"/>
  <c r="AS39" i="37"/>
  <c r="AS40" i="37"/>
  <c r="AS41" i="37"/>
  <c r="AS42" i="37"/>
  <c r="AS45" i="37"/>
  <c r="AS46" i="37"/>
  <c r="AS43" i="37"/>
  <c r="AS47" i="37"/>
  <c r="AS49" i="37"/>
  <c r="AS50" i="37"/>
  <c r="AS51" i="37"/>
  <c r="AS52" i="37"/>
  <c r="AS53" i="37"/>
  <c r="AS54" i="37"/>
  <c r="AS44" i="37"/>
  <c r="AS48" i="37"/>
  <c r="AS55" i="37"/>
  <c r="AS59" i="37"/>
  <c r="AS63" i="37"/>
  <c r="AS56" i="37"/>
  <c r="AS60" i="37"/>
  <c r="AS64" i="37"/>
  <c r="AS67" i="37"/>
  <c r="AS69" i="37"/>
  <c r="AS57" i="37"/>
  <c r="AS61" i="37"/>
  <c r="AS58" i="37"/>
  <c r="AS62" i="37"/>
  <c r="AS66" i="37"/>
  <c r="AS65" i="37"/>
  <c r="AS68" i="37"/>
  <c r="AS70" i="37"/>
  <c r="AS71" i="37"/>
  <c r="AS72" i="37"/>
  <c r="AS73" i="37"/>
  <c r="AS74" i="37"/>
  <c r="AS75" i="37"/>
  <c r="AS76" i="37"/>
  <c r="AS77" i="37"/>
  <c r="AS78" i="37"/>
  <c r="AS79" i="37"/>
  <c r="AS80" i="37"/>
  <c r="AS81" i="37"/>
  <c r="AS82" i="37"/>
  <c r="AS83" i="37"/>
  <c r="AS84" i="37"/>
  <c r="AR96" i="37"/>
  <c r="AR95" i="37"/>
  <c r="AR94" i="37"/>
  <c r="AR91" i="37"/>
  <c r="AR87" i="37"/>
  <c r="AR93" i="37"/>
  <c r="AR89" i="37"/>
  <c r="AR92" i="37"/>
  <c r="AR86" i="37"/>
  <c r="AR85" i="37"/>
  <c r="AR88" i="37"/>
  <c r="AR90" i="37"/>
  <c r="AS28" i="37"/>
  <c r="AT29" i="37"/>
  <c r="AT30" i="37" l="1"/>
  <c r="AT31" i="37"/>
  <c r="AT32" i="37"/>
  <c r="AT33" i="37"/>
  <c r="AT34" i="37"/>
  <c r="AT35" i="37"/>
  <c r="AT36" i="37"/>
  <c r="AT37" i="37"/>
  <c r="AT38" i="37"/>
  <c r="AT39" i="37"/>
  <c r="AT40" i="37"/>
  <c r="AT41" i="37"/>
  <c r="AT42" i="37"/>
  <c r="AT43" i="37"/>
  <c r="AT44" i="37"/>
  <c r="AT45" i="37"/>
  <c r="AT46" i="37"/>
  <c r="AT47" i="37"/>
  <c r="AT48" i="37"/>
  <c r="AT51" i="37"/>
  <c r="AT55" i="37"/>
  <c r="AT56" i="37"/>
  <c r="AT57" i="37"/>
  <c r="AT58" i="37"/>
  <c r="AT59" i="37"/>
  <c r="AT60" i="37"/>
  <c r="AT61" i="37"/>
  <c r="AT62" i="37"/>
  <c r="AT63" i="37"/>
  <c r="AT64" i="37"/>
  <c r="AT65" i="37"/>
  <c r="AT66" i="37"/>
  <c r="AT52" i="37"/>
  <c r="AT49" i="37"/>
  <c r="AT53" i="37"/>
  <c r="AT50" i="37"/>
  <c r="AT68" i="37"/>
  <c r="AT54" i="37"/>
  <c r="AT67" i="37"/>
  <c r="AT69" i="37"/>
  <c r="AT70" i="37"/>
  <c r="AT71" i="37"/>
  <c r="AT72" i="37"/>
  <c r="AT73" i="37"/>
  <c r="AT74" i="37"/>
  <c r="AT75" i="37"/>
  <c r="AT76" i="37"/>
  <c r="AT84" i="37"/>
  <c r="AT77" i="37"/>
  <c r="AT78" i="37"/>
  <c r="AT79" i="37"/>
  <c r="AT80" i="37"/>
  <c r="AT81" i="37"/>
  <c r="AT82" i="37"/>
  <c r="AT83" i="37"/>
  <c r="AS96" i="37"/>
  <c r="AS95" i="37"/>
  <c r="AS94" i="37"/>
  <c r="AS93" i="37"/>
  <c r="AS92" i="37"/>
  <c r="AS91" i="37"/>
  <c r="AS90" i="37"/>
  <c r="AS89" i="37"/>
  <c r="AS85" i="37"/>
  <c r="AS86" i="37"/>
  <c r="AS88" i="37"/>
  <c r="AS87" i="37"/>
  <c r="AT28" i="37"/>
  <c r="AU29" i="37"/>
  <c r="AU30" i="37" l="1"/>
  <c r="AU32" i="37"/>
  <c r="AU34" i="37"/>
  <c r="AU31" i="37"/>
  <c r="AU35" i="37"/>
  <c r="AU33" i="37"/>
  <c r="AU36" i="37"/>
  <c r="AU37" i="37"/>
  <c r="AU38" i="37"/>
  <c r="AU39" i="37"/>
  <c r="AU40" i="37"/>
  <c r="AU41" i="37"/>
  <c r="AU42" i="37"/>
  <c r="AU43" i="37"/>
  <c r="AU44" i="37"/>
  <c r="AU45" i="37"/>
  <c r="AU46" i="37"/>
  <c r="AU47" i="37"/>
  <c r="AU48" i="37"/>
  <c r="AU49" i="37"/>
  <c r="AU50" i="37"/>
  <c r="AU51" i="37"/>
  <c r="AU52" i="37"/>
  <c r="AU53" i="37"/>
  <c r="AU54" i="37"/>
  <c r="AU55" i="37"/>
  <c r="AU56" i="37"/>
  <c r="AU57" i="37"/>
  <c r="AU58" i="37"/>
  <c r="AU59" i="37"/>
  <c r="AU60" i="37"/>
  <c r="AU61" i="37"/>
  <c r="AU62" i="37"/>
  <c r="AU63" i="37"/>
  <c r="AU64" i="37"/>
  <c r="AU65" i="37"/>
  <c r="AU66" i="37"/>
  <c r="AU67" i="37"/>
  <c r="AU68" i="37"/>
  <c r="AU69" i="37"/>
  <c r="AU70" i="37"/>
  <c r="AU71" i="37"/>
  <c r="AU72" i="37"/>
  <c r="AU73" i="37"/>
  <c r="AU74" i="37"/>
  <c r="AU75" i="37"/>
  <c r="AU76" i="37"/>
  <c r="AU77" i="37"/>
  <c r="AU78" i="37"/>
  <c r="AU79" i="37"/>
  <c r="AU80" i="37"/>
  <c r="AU81" i="37"/>
  <c r="AU82" i="37"/>
  <c r="AU83" i="37"/>
  <c r="AU84" i="37"/>
  <c r="AT96" i="37"/>
  <c r="AT95" i="37"/>
  <c r="AT94" i="37"/>
  <c r="AT93" i="37"/>
  <c r="AT92" i="37"/>
  <c r="AT88" i="37"/>
  <c r="AT89" i="37"/>
  <c r="AT85" i="37"/>
  <c r="AT87" i="37"/>
  <c r="AT90" i="37"/>
  <c r="AT91" i="37"/>
  <c r="AT86" i="37"/>
  <c r="AU28" i="37"/>
  <c r="AV29" i="37"/>
  <c r="AV31" i="37" l="1"/>
  <c r="AV33" i="37"/>
  <c r="AV34" i="37"/>
  <c r="AV35" i="37"/>
  <c r="AV30" i="37"/>
  <c r="AV32" i="37"/>
  <c r="AV39" i="37"/>
  <c r="AV36" i="37"/>
  <c r="AV40" i="37"/>
  <c r="AV37" i="37"/>
  <c r="AV41" i="37"/>
  <c r="AV43" i="37"/>
  <c r="AV44" i="37"/>
  <c r="AV45" i="37"/>
  <c r="AV46" i="37"/>
  <c r="AV47" i="37"/>
  <c r="AV48" i="37"/>
  <c r="AV38" i="37"/>
  <c r="AV42" i="37"/>
  <c r="AV49" i="37"/>
  <c r="AV50" i="37"/>
  <c r="AV51" i="37"/>
  <c r="AV52" i="37"/>
  <c r="AV53" i="37"/>
  <c r="AV54" i="37"/>
  <c r="AV55" i="37"/>
  <c r="AV56" i="37"/>
  <c r="AV57" i="37"/>
  <c r="AV58" i="37"/>
  <c r="AV59" i="37"/>
  <c r="AV60" i="37"/>
  <c r="AV61" i="37"/>
  <c r="AV62" i="37"/>
  <c r="AV63" i="37"/>
  <c r="AV64" i="37"/>
  <c r="AV65" i="37"/>
  <c r="AV66" i="37"/>
  <c r="AV67" i="37"/>
  <c r="AV68" i="37"/>
  <c r="AV69" i="37"/>
  <c r="AV70" i="37"/>
  <c r="AV71" i="37"/>
  <c r="AV72" i="37"/>
  <c r="AV73" i="37"/>
  <c r="AV74" i="37"/>
  <c r="AV75" i="37"/>
  <c r="AV76" i="37"/>
  <c r="AV77" i="37"/>
  <c r="AV78" i="37"/>
  <c r="AV79" i="37"/>
  <c r="AV80" i="37"/>
  <c r="AV81" i="37"/>
  <c r="AV82" i="37"/>
  <c r="AV83" i="37"/>
  <c r="AV84" i="37"/>
  <c r="AU96" i="37"/>
  <c r="AU95" i="37"/>
  <c r="AU94" i="37"/>
  <c r="AU93" i="37"/>
  <c r="AU85" i="37"/>
  <c r="AU86" i="37"/>
  <c r="AU91" i="37"/>
  <c r="AU88" i="37"/>
  <c r="AU89" i="37"/>
  <c r="AU90" i="37"/>
  <c r="AU92" i="37"/>
  <c r="AU87" i="37"/>
  <c r="AV28" i="37"/>
  <c r="AW29" i="37"/>
  <c r="G13" i="37"/>
  <c r="H13" i="37" s="1"/>
  <c r="AW30" i="37" l="1"/>
  <c r="AW31" i="37"/>
  <c r="AW32" i="37"/>
  <c r="AW33" i="37"/>
  <c r="AW34" i="37"/>
  <c r="AW35" i="37"/>
  <c r="AW36" i="37"/>
  <c r="AW37" i="37"/>
  <c r="AW38" i="37"/>
  <c r="AW39" i="37"/>
  <c r="AW40" i="37"/>
  <c r="AW41" i="37"/>
  <c r="AW42" i="37"/>
  <c r="AW44" i="37"/>
  <c r="AW48" i="37"/>
  <c r="AW45" i="37"/>
  <c r="AW46" i="37"/>
  <c r="AW49" i="37"/>
  <c r="AW50" i="37"/>
  <c r="AW51" i="37"/>
  <c r="AW52" i="37"/>
  <c r="AW53" i="37"/>
  <c r="AW54" i="37"/>
  <c r="AW47" i="37"/>
  <c r="AW58" i="37"/>
  <c r="AW62" i="37"/>
  <c r="AW66" i="37"/>
  <c r="AW55" i="37"/>
  <c r="AW59" i="37"/>
  <c r="AW63" i="37"/>
  <c r="AW68" i="37"/>
  <c r="AW43" i="37"/>
  <c r="AW56" i="37"/>
  <c r="AW60" i="37"/>
  <c r="AW64" i="37"/>
  <c r="AW57" i="37"/>
  <c r="AW61" i="37"/>
  <c r="AW65" i="37"/>
  <c r="AW67" i="37"/>
  <c r="AW69" i="37"/>
  <c r="AW70" i="37"/>
  <c r="AW71" i="37"/>
  <c r="AW72" i="37"/>
  <c r="AW73" i="37"/>
  <c r="AW74" i="37"/>
  <c r="AW75" i="37"/>
  <c r="AW76" i="37"/>
  <c r="AW77" i="37"/>
  <c r="AW78" i="37"/>
  <c r="AW79" i="37"/>
  <c r="AW80" i="37"/>
  <c r="AW81" i="37"/>
  <c r="AW82" i="37"/>
  <c r="AW83" i="37"/>
  <c r="AW84" i="37"/>
  <c r="O13" i="37"/>
  <c r="AV96" i="37"/>
  <c r="AV95" i="37"/>
  <c r="AV94" i="37"/>
  <c r="AV93" i="37"/>
  <c r="AV90" i="37"/>
  <c r="AV86" i="37"/>
  <c r="AV92" i="37"/>
  <c r="AV88" i="37"/>
  <c r="AV87" i="37"/>
  <c r="AV91" i="37"/>
  <c r="AV89" i="37"/>
  <c r="AV85" i="37"/>
  <c r="AW28" i="37"/>
  <c r="AX29" i="37"/>
  <c r="AX30" i="37" l="1"/>
  <c r="AX31" i="37"/>
  <c r="AX32" i="37"/>
  <c r="AX33" i="37"/>
  <c r="AX34" i="37"/>
  <c r="AX35" i="37"/>
  <c r="AX36" i="37"/>
  <c r="AX37" i="37"/>
  <c r="AX38" i="37"/>
  <c r="AX39" i="37"/>
  <c r="AX40" i="37"/>
  <c r="AX41" i="37"/>
  <c r="AX42" i="37"/>
  <c r="AX43" i="37"/>
  <c r="AX44" i="37"/>
  <c r="AX45" i="37"/>
  <c r="AX46" i="37"/>
  <c r="AX47" i="37"/>
  <c r="AX48" i="37"/>
  <c r="AX50" i="37"/>
  <c r="AX54" i="37"/>
  <c r="AX55" i="37"/>
  <c r="AX56" i="37"/>
  <c r="AX57" i="37"/>
  <c r="AX58" i="37"/>
  <c r="AX59" i="37"/>
  <c r="AX60" i="37"/>
  <c r="AX61" i="37"/>
  <c r="AX62" i="37"/>
  <c r="AX63" i="37"/>
  <c r="AX64" i="37"/>
  <c r="AX65" i="37"/>
  <c r="AX66" i="37"/>
  <c r="AX51" i="37"/>
  <c r="AX52" i="37"/>
  <c r="AX53" i="37"/>
  <c r="AX67" i="37"/>
  <c r="AX69" i="37"/>
  <c r="AX49" i="37"/>
  <c r="AX68" i="37"/>
  <c r="AX70" i="37"/>
  <c r="AX71" i="37"/>
  <c r="AX72" i="37"/>
  <c r="AX73" i="37"/>
  <c r="AX74" i="37"/>
  <c r="AX75" i="37"/>
  <c r="AX76" i="37"/>
  <c r="AX83" i="37"/>
  <c r="AX77" i="37"/>
  <c r="AX78" i="37"/>
  <c r="AX79" i="37"/>
  <c r="AX80" i="37"/>
  <c r="AX81" i="37"/>
  <c r="AX82" i="37"/>
  <c r="AX84" i="37"/>
  <c r="AW96" i="37"/>
  <c r="AW95" i="37"/>
  <c r="AW94" i="37"/>
  <c r="AW93" i="37"/>
  <c r="AW86" i="37"/>
  <c r="AW92" i="37"/>
  <c r="AW87" i="37"/>
  <c r="AW90" i="37"/>
  <c r="AW85" i="37"/>
  <c r="AW91" i="37"/>
  <c r="AW88" i="37"/>
  <c r="AW89" i="37"/>
  <c r="AX28" i="37"/>
  <c r="AY29" i="37"/>
  <c r="G23" i="4"/>
  <c r="G28" i="4" s="1"/>
  <c r="D27" i="1"/>
  <c r="H9" i="1"/>
  <c r="E49" i="19" s="1"/>
  <c r="C49" i="19" s="1"/>
  <c r="D31" i="1"/>
  <c r="G14" i="37" l="1"/>
  <c r="H14" i="37" s="1"/>
  <c r="J2" i="37" s="1"/>
  <c r="J5" i="37" s="1"/>
  <c r="B48" i="1" s="1"/>
  <c r="B50" i="1" s="1"/>
  <c r="AY31" i="37"/>
  <c r="AY33" i="37"/>
  <c r="AY32" i="37"/>
  <c r="AY34" i="37"/>
  <c r="AY35" i="37"/>
  <c r="AY36" i="37"/>
  <c r="AY37" i="37"/>
  <c r="AY38" i="37"/>
  <c r="AY39" i="37"/>
  <c r="AY40" i="37"/>
  <c r="AY41" i="37"/>
  <c r="AY42" i="37"/>
  <c r="AY30" i="37"/>
  <c r="AY43" i="37"/>
  <c r="AY44" i="37"/>
  <c r="AY45" i="37"/>
  <c r="AY46" i="37"/>
  <c r="AY47" i="37"/>
  <c r="AY48" i="37"/>
  <c r="AY49" i="37"/>
  <c r="AY50" i="37"/>
  <c r="AY51" i="37"/>
  <c r="AY52" i="37"/>
  <c r="AY53" i="37"/>
  <c r="AY54" i="37"/>
  <c r="AY55" i="37"/>
  <c r="AY56" i="37"/>
  <c r="AY57" i="37"/>
  <c r="AY58" i="37"/>
  <c r="AY59" i="37"/>
  <c r="AY60" i="37"/>
  <c r="AY61" i="37"/>
  <c r="AY62" i="37"/>
  <c r="AY63" i="37"/>
  <c r="AY64" i="37"/>
  <c r="AY65" i="37"/>
  <c r="AY66" i="37"/>
  <c r="AY67" i="37"/>
  <c r="AY68" i="37"/>
  <c r="AY69" i="37"/>
  <c r="AY70" i="37"/>
  <c r="AY71" i="37"/>
  <c r="AY72" i="37"/>
  <c r="AY73" i="37"/>
  <c r="AY74" i="37"/>
  <c r="AY75" i="37"/>
  <c r="AY76" i="37"/>
  <c r="AY77" i="37"/>
  <c r="AY78" i="37"/>
  <c r="AY79" i="37"/>
  <c r="AY80" i="37"/>
  <c r="AY81" i="37"/>
  <c r="AY82" i="37"/>
  <c r="AY83" i="37"/>
  <c r="AY84" i="37"/>
  <c r="AY28" i="37"/>
  <c r="AX96" i="37"/>
  <c r="AX95" i="37"/>
  <c r="AX94" i="37"/>
  <c r="AX93" i="37"/>
  <c r="AX92" i="37"/>
  <c r="AX87" i="37"/>
  <c r="AX91" i="37"/>
  <c r="AX90" i="37"/>
  <c r="AX89" i="37"/>
  <c r="AX86" i="37"/>
  <c r="AX85" i="37"/>
  <c r="AX88" i="37"/>
  <c r="AZ29" i="37"/>
  <c r="O14" i="37" l="1"/>
  <c r="M2" i="37" s="1"/>
  <c r="M5" i="37" s="1"/>
  <c r="AZ30" i="37"/>
  <c r="AZ32" i="37"/>
  <c r="AZ34" i="37"/>
  <c r="AZ35" i="37"/>
  <c r="AZ31" i="37"/>
  <c r="AZ33" i="37"/>
  <c r="AZ38" i="37"/>
  <c r="AZ42" i="37"/>
  <c r="AZ39" i="37"/>
  <c r="AZ36" i="37"/>
  <c r="AZ40" i="37"/>
  <c r="AZ43" i="37"/>
  <c r="AZ44" i="37"/>
  <c r="AZ45" i="37"/>
  <c r="AZ46" i="37"/>
  <c r="AZ47" i="37"/>
  <c r="AZ48" i="37"/>
  <c r="AZ41" i="37"/>
  <c r="AZ49" i="37"/>
  <c r="AZ50" i="37"/>
  <c r="AZ51" i="37"/>
  <c r="AZ52" i="37"/>
  <c r="AZ53" i="37"/>
  <c r="AZ54" i="37"/>
  <c r="AZ37" i="37"/>
  <c r="AZ55" i="37"/>
  <c r="AZ56" i="37"/>
  <c r="AZ57" i="37"/>
  <c r="AZ58" i="37"/>
  <c r="AZ59" i="37"/>
  <c r="AZ60" i="37"/>
  <c r="AZ61" i="37"/>
  <c r="AZ62" i="37"/>
  <c r="AZ63" i="37"/>
  <c r="AZ64" i="37"/>
  <c r="AZ65" i="37"/>
  <c r="AZ66" i="37"/>
  <c r="AZ67" i="37"/>
  <c r="AZ68" i="37"/>
  <c r="AZ69" i="37"/>
  <c r="AZ70" i="37"/>
  <c r="AZ71" i="37"/>
  <c r="AZ72" i="37"/>
  <c r="AZ73" i="37"/>
  <c r="AZ74" i="37"/>
  <c r="AZ75" i="37"/>
  <c r="AZ76" i="37"/>
  <c r="AZ77" i="37"/>
  <c r="AZ78" i="37"/>
  <c r="AZ79" i="37"/>
  <c r="AZ80" i="37"/>
  <c r="AZ81" i="37"/>
  <c r="AZ82" i="37"/>
  <c r="AZ83" i="37"/>
  <c r="AZ84" i="37"/>
  <c r="AY89" i="37"/>
  <c r="AY96" i="37"/>
  <c r="AY93" i="37"/>
  <c r="AY94" i="37"/>
  <c r="AY87" i="37"/>
  <c r="AY91" i="37"/>
  <c r="AY88" i="37"/>
  <c r="AY95" i="37"/>
  <c r="AY86" i="37"/>
  <c r="AY92" i="37"/>
  <c r="AY90" i="37"/>
  <c r="AY85" i="37"/>
  <c r="AZ28" i="37"/>
  <c r="BA29" i="37"/>
  <c r="D48" i="1"/>
  <c r="D50" i="1"/>
  <c r="BA30" i="37" l="1"/>
  <c r="BA31" i="37"/>
  <c r="BA32" i="37"/>
  <c r="BA33" i="37"/>
  <c r="BA34" i="37"/>
  <c r="BA35" i="37"/>
  <c r="BA36" i="37"/>
  <c r="BA37" i="37"/>
  <c r="BA38" i="37"/>
  <c r="BA39" i="37"/>
  <c r="BA40" i="37"/>
  <c r="BA41" i="37"/>
  <c r="BA42" i="37"/>
  <c r="BA43" i="37"/>
  <c r="BA47" i="37"/>
  <c r="BA44" i="37"/>
  <c r="BA48" i="37"/>
  <c r="BA45" i="37"/>
  <c r="BA49" i="37"/>
  <c r="BA50" i="37"/>
  <c r="BA51" i="37"/>
  <c r="BA52" i="37"/>
  <c r="BA53" i="37"/>
  <c r="BA54" i="37"/>
  <c r="BA57" i="37"/>
  <c r="BA61" i="37"/>
  <c r="BA65" i="37"/>
  <c r="BA58" i="37"/>
  <c r="BA62" i="37"/>
  <c r="BA66" i="37"/>
  <c r="BA67" i="37"/>
  <c r="BA69" i="37"/>
  <c r="BA46" i="37"/>
  <c r="BA55" i="37"/>
  <c r="BA59" i="37"/>
  <c r="BA63" i="37"/>
  <c r="BA56" i="37"/>
  <c r="BA60" i="37"/>
  <c r="BA64" i="37"/>
  <c r="BA68" i="37"/>
  <c r="BA70" i="37"/>
  <c r="BA71" i="37"/>
  <c r="BA72" i="37"/>
  <c r="BA73" i="37"/>
  <c r="BA74" i="37"/>
  <c r="BA75" i="37"/>
  <c r="BA76" i="37"/>
  <c r="BA77" i="37"/>
  <c r="BA78" i="37"/>
  <c r="BA79" i="37"/>
  <c r="BA80" i="37"/>
  <c r="BA81" i="37"/>
  <c r="BA82" i="37"/>
  <c r="BA83" i="37"/>
  <c r="BA84" i="37"/>
  <c r="AZ96" i="37"/>
  <c r="AZ95" i="37"/>
  <c r="AZ94" i="37"/>
  <c r="AZ93" i="37"/>
  <c r="AZ92" i="37"/>
  <c r="AZ91" i="37"/>
  <c r="AZ90" i="37"/>
  <c r="AZ89" i="37"/>
  <c r="AZ88" i="37"/>
  <c r="AZ87" i="37"/>
  <c r="AZ86" i="37"/>
  <c r="AZ85" i="37"/>
  <c r="BB29" i="37"/>
  <c r="BA28" i="37"/>
  <c r="D51" i="1"/>
  <c r="B30" i="1" s="1"/>
  <c r="K29" i="1" l="1"/>
  <c r="E52" i="33" s="1"/>
  <c r="M30" i="1"/>
  <c r="E46" i="19"/>
  <c r="BB30" i="37"/>
  <c r="BB31" i="37"/>
  <c r="BB32" i="37"/>
  <c r="BB33" i="37"/>
  <c r="BB34" i="37"/>
  <c r="BB35" i="37"/>
  <c r="BB36" i="37"/>
  <c r="BB37" i="37"/>
  <c r="BB38" i="37"/>
  <c r="BB39" i="37"/>
  <c r="BB40" i="37"/>
  <c r="BB41" i="37"/>
  <c r="BB42" i="37"/>
  <c r="BB43" i="37"/>
  <c r="BB44" i="37"/>
  <c r="BB45" i="37"/>
  <c r="BB46" i="37"/>
  <c r="BB47" i="37"/>
  <c r="BB48" i="37"/>
  <c r="BB49" i="37"/>
  <c r="BB53" i="37"/>
  <c r="BB55" i="37"/>
  <c r="BB56" i="37"/>
  <c r="BB57" i="37"/>
  <c r="BB58" i="37"/>
  <c r="BB59" i="37"/>
  <c r="BB60" i="37"/>
  <c r="BB61" i="37"/>
  <c r="BB62" i="37"/>
  <c r="BB63" i="37"/>
  <c r="BB64" i="37"/>
  <c r="BB65" i="37"/>
  <c r="BB66" i="37"/>
  <c r="BB50" i="37"/>
  <c r="BB54" i="37"/>
  <c r="BB51" i="37"/>
  <c r="BB68" i="37"/>
  <c r="BB52" i="37"/>
  <c r="BB67" i="37"/>
  <c r="BB69" i="37"/>
  <c r="BB70" i="37"/>
  <c r="BB71" i="37"/>
  <c r="BB72" i="37"/>
  <c r="BB73" i="37"/>
  <c r="BB74" i="37"/>
  <c r="BB75" i="37"/>
  <c r="BB76" i="37"/>
  <c r="BB84" i="37"/>
  <c r="BB77" i="37"/>
  <c r="BB78" i="37"/>
  <c r="BB79" i="37"/>
  <c r="BB80" i="37"/>
  <c r="BB81" i="37"/>
  <c r="BB82" i="37"/>
  <c r="BB83" i="37"/>
  <c r="BA96" i="37"/>
  <c r="BA95" i="37"/>
  <c r="BA94" i="37"/>
  <c r="BA93" i="37"/>
  <c r="BA85" i="37"/>
  <c r="BA92" i="37"/>
  <c r="BA91" i="37"/>
  <c r="BA88" i="37"/>
  <c r="BA86" i="37"/>
  <c r="BA90" i="37"/>
  <c r="BA87" i="37"/>
  <c r="BA89" i="37"/>
  <c r="BB28" i="37"/>
  <c r="BC29" i="37"/>
  <c r="D30" i="1"/>
  <c r="E39" i="1" s="1"/>
  <c r="D7" i="1"/>
  <c r="E9" i="1" s="1"/>
  <c r="G14" i="33" l="1"/>
  <c r="I20" i="33" s="1"/>
  <c r="C47" i="19"/>
  <c r="H29" i="1"/>
  <c r="H39" i="1" s="1"/>
  <c r="I42" i="1" s="1"/>
  <c r="F29" i="1"/>
  <c r="E39" i="33"/>
  <c r="E15" i="33"/>
  <c r="E25" i="33"/>
  <c r="BC30" i="37"/>
  <c r="BC32" i="37"/>
  <c r="BC31" i="37"/>
  <c r="BC34" i="37"/>
  <c r="BC36" i="37"/>
  <c r="BC37" i="37"/>
  <c r="BC38" i="37"/>
  <c r="BC39" i="37"/>
  <c r="BC40" i="37"/>
  <c r="BC41" i="37"/>
  <c r="BC42" i="37"/>
  <c r="BC33" i="37"/>
  <c r="BC35" i="37"/>
  <c r="BC43" i="37"/>
  <c r="BC44" i="37"/>
  <c r="BC45" i="37"/>
  <c r="BC46" i="37"/>
  <c r="BC47" i="37"/>
  <c r="BC48" i="37"/>
  <c r="BC49" i="37"/>
  <c r="BC50" i="37"/>
  <c r="BC51" i="37"/>
  <c r="BC52" i="37"/>
  <c r="BC53" i="37"/>
  <c r="BC54" i="37"/>
  <c r="BC55" i="37"/>
  <c r="BC56" i="37"/>
  <c r="BC57" i="37"/>
  <c r="BC58" i="37"/>
  <c r="BC59" i="37"/>
  <c r="BC60" i="37"/>
  <c r="BC61" i="37"/>
  <c r="BC62" i="37"/>
  <c r="BC63" i="37"/>
  <c r="BC64" i="37"/>
  <c r="BC65" i="37"/>
  <c r="BC66" i="37"/>
  <c r="BC67" i="37"/>
  <c r="BC68" i="37"/>
  <c r="BC70" i="37"/>
  <c r="BC71" i="37"/>
  <c r="BC72" i="37"/>
  <c r="BC73" i="37"/>
  <c r="BC74" i="37"/>
  <c r="BC75" i="37"/>
  <c r="BC76" i="37"/>
  <c r="BC69" i="37"/>
  <c r="BC77" i="37"/>
  <c r="BC78" i="37"/>
  <c r="BC79" i="37"/>
  <c r="BC80" i="37"/>
  <c r="BC81" i="37"/>
  <c r="BC82" i="37"/>
  <c r="BC83" i="37"/>
  <c r="BC84" i="37"/>
  <c r="BB96" i="37"/>
  <c r="BB95" i="37"/>
  <c r="BB94" i="37"/>
  <c r="BB93" i="37"/>
  <c r="BB88" i="37"/>
  <c r="BB90" i="37"/>
  <c r="BB89" i="37"/>
  <c r="BB85" i="37"/>
  <c r="BB92" i="37"/>
  <c r="BB86" i="37"/>
  <c r="BB91" i="37"/>
  <c r="BB87" i="37"/>
  <c r="BC28" i="37"/>
  <c r="BD29" i="37"/>
  <c r="F9" i="1"/>
  <c r="F33" i="1" s="1"/>
  <c r="E17" i="33" l="1"/>
  <c r="F34" i="1"/>
  <c r="BD31" i="37"/>
  <c r="BD33" i="37"/>
  <c r="BD34" i="37"/>
  <c r="BD35" i="37"/>
  <c r="BD30" i="37"/>
  <c r="BD32" i="37"/>
  <c r="BD37" i="37"/>
  <c r="BD41" i="37"/>
  <c r="BD38" i="37"/>
  <c r="BD42" i="37"/>
  <c r="BD39" i="37"/>
  <c r="BD43" i="37"/>
  <c r="BD44" i="37"/>
  <c r="BD45" i="37"/>
  <c r="BD46" i="37"/>
  <c r="BD47" i="37"/>
  <c r="BD48" i="37"/>
  <c r="BD49" i="37"/>
  <c r="BD50" i="37"/>
  <c r="BD51" i="37"/>
  <c r="BD52" i="37"/>
  <c r="BD53" i="37"/>
  <c r="BD54" i="37"/>
  <c r="BD36" i="37"/>
  <c r="BD40" i="37"/>
  <c r="BD55" i="37"/>
  <c r="BD56" i="37"/>
  <c r="BD57" i="37"/>
  <c r="BD58" i="37"/>
  <c r="BD59" i="37"/>
  <c r="BD60" i="37"/>
  <c r="BD61" i="37"/>
  <c r="BD62" i="37"/>
  <c r="BD63" i="37"/>
  <c r="BD64" i="37"/>
  <c r="BD65" i="37"/>
  <c r="BD66" i="37"/>
  <c r="BD67" i="37"/>
  <c r="BD68" i="37"/>
  <c r="BD69" i="37"/>
  <c r="BD70" i="37"/>
  <c r="BD71" i="37"/>
  <c r="BD72" i="37"/>
  <c r="BD73" i="37"/>
  <c r="BD74" i="37"/>
  <c r="BD75" i="37"/>
  <c r="BD76" i="37"/>
  <c r="BD77" i="37"/>
  <c r="BD78" i="37"/>
  <c r="BD79" i="37"/>
  <c r="BD80" i="37"/>
  <c r="BD81" i="37"/>
  <c r="BD82" i="37"/>
  <c r="BD83" i="37"/>
  <c r="BD84" i="37"/>
  <c r="BC96" i="37"/>
  <c r="BC95" i="37"/>
  <c r="BC94" i="37"/>
  <c r="BC93" i="37"/>
  <c r="BC92" i="37"/>
  <c r="BC91" i="37"/>
  <c r="BC90" i="37"/>
  <c r="BC89" i="37"/>
  <c r="BC88" i="37"/>
  <c r="BC87" i="37"/>
  <c r="BC86" i="37"/>
  <c r="BC85" i="37"/>
  <c r="BD28" i="37"/>
  <c r="BE29" i="37"/>
  <c r="E40" i="1"/>
  <c r="BE30" i="37" l="1"/>
  <c r="BE31" i="37"/>
  <c r="BE32" i="37"/>
  <c r="BE33" i="37"/>
  <c r="BE34" i="37"/>
  <c r="BE35" i="37"/>
  <c r="BE36" i="37"/>
  <c r="BE37" i="37"/>
  <c r="BE38" i="37"/>
  <c r="BE39" i="37"/>
  <c r="BE40" i="37"/>
  <c r="BE41" i="37"/>
  <c r="BE42" i="37"/>
  <c r="BE46" i="37"/>
  <c r="BE43" i="37"/>
  <c r="BE47" i="37"/>
  <c r="BE44" i="37"/>
  <c r="BE48" i="37"/>
  <c r="BE49" i="37"/>
  <c r="BE50" i="37"/>
  <c r="BE51" i="37"/>
  <c r="BE52" i="37"/>
  <c r="BE53" i="37"/>
  <c r="BE54" i="37"/>
  <c r="BE45" i="37"/>
  <c r="BE56" i="37"/>
  <c r="BE60" i="37"/>
  <c r="BE64" i="37"/>
  <c r="BE57" i="37"/>
  <c r="BE61" i="37"/>
  <c r="BE65" i="37"/>
  <c r="BE68" i="37"/>
  <c r="BE69" i="37"/>
  <c r="BE58" i="37"/>
  <c r="BE62" i="37"/>
  <c r="BE55" i="37"/>
  <c r="BE59" i="37"/>
  <c r="BE63" i="37"/>
  <c r="BE67" i="37"/>
  <c r="BE70" i="37"/>
  <c r="BE71" i="37"/>
  <c r="BE72" i="37"/>
  <c r="BE73" i="37"/>
  <c r="BE74" i="37"/>
  <c r="BE75" i="37"/>
  <c r="BE76" i="37"/>
  <c r="BE66" i="37"/>
  <c r="BE77" i="37"/>
  <c r="BE78" i="37"/>
  <c r="BE79" i="37"/>
  <c r="BE80" i="37"/>
  <c r="BE81" i="37"/>
  <c r="BE82" i="37"/>
  <c r="BE83" i="37"/>
  <c r="BE84" i="37"/>
  <c r="BD96" i="37"/>
  <c r="BD95" i="37"/>
  <c r="BD94" i="37"/>
  <c r="BD93" i="37"/>
  <c r="BD86" i="37"/>
  <c r="BD92" i="37"/>
  <c r="BD90" i="37"/>
  <c r="BD85" i="37"/>
  <c r="BD91" i="37"/>
  <c r="BD88" i="37"/>
  <c r="BD87" i="37"/>
  <c r="BD89" i="37"/>
  <c r="BE28" i="37"/>
  <c r="BF29" i="37"/>
  <c r="BF30" i="37" l="1"/>
  <c r="BF31" i="37"/>
  <c r="BF32" i="37"/>
  <c r="BF33" i="37"/>
  <c r="BF34" i="37"/>
  <c r="BF35" i="37"/>
  <c r="BF36" i="37"/>
  <c r="BF37" i="37"/>
  <c r="BF38" i="37"/>
  <c r="BF39" i="37"/>
  <c r="BF40" i="37"/>
  <c r="BF41" i="37"/>
  <c r="BF42" i="37"/>
  <c r="BF43" i="37"/>
  <c r="BF44" i="37"/>
  <c r="BF45" i="37"/>
  <c r="BF46" i="37"/>
  <c r="BF47" i="37"/>
  <c r="BF48" i="37"/>
  <c r="BF52" i="37"/>
  <c r="BF55" i="37"/>
  <c r="BF56" i="37"/>
  <c r="BF57" i="37"/>
  <c r="BF58" i="37"/>
  <c r="BF59" i="37"/>
  <c r="BF60" i="37"/>
  <c r="BF61" i="37"/>
  <c r="BF62" i="37"/>
  <c r="BF63" i="37"/>
  <c r="BF64" i="37"/>
  <c r="BF65" i="37"/>
  <c r="BF66" i="37"/>
  <c r="BF49" i="37"/>
  <c r="BF53" i="37"/>
  <c r="BF50" i="37"/>
  <c r="BF54" i="37"/>
  <c r="BF67" i="37"/>
  <c r="BF51" i="37"/>
  <c r="BF68" i="37"/>
  <c r="BF69" i="37"/>
  <c r="BF70" i="37"/>
  <c r="BF71" i="37"/>
  <c r="BF72" i="37"/>
  <c r="BF73" i="37"/>
  <c r="BF74" i="37"/>
  <c r="BF75" i="37"/>
  <c r="BF76" i="37"/>
  <c r="BF83" i="37"/>
  <c r="BF77" i="37"/>
  <c r="BF78" i="37"/>
  <c r="BF79" i="37"/>
  <c r="BF80" i="37"/>
  <c r="BF81" i="37"/>
  <c r="BF82" i="37"/>
  <c r="BF84" i="37"/>
  <c r="BE96" i="37"/>
  <c r="BE95" i="37"/>
  <c r="BE94" i="37"/>
  <c r="BE93" i="37"/>
  <c r="BE92" i="37"/>
  <c r="BE91" i="37"/>
  <c r="BE90" i="37"/>
  <c r="BE89" i="37"/>
  <c r="BE88" i="37"/>
  <c r="BE85" i="37"/>
  <c r="BE87" i="37"/>
  <c r="BE86" i="37"/>
  <c r="BF28" i="37"/>
  <c r="BG29" i="37"/>
  <c r="F39" i="1" l="1"/>
  <c r="F40" i="1"/>
  <c r="G41" i="1" s="1"/>
  <c r="BG31" i="37"/>
  <c r="BG33" i="37"/>
  <c r="BG30" i="37"/>
  <c r="BG35" i="37"/>
  <c r="BG32" i="37"/>
  <c r="BG36" i="37"/>
  <c r="BG37" i="37"/>
  <c r="BG38" i="37"/>
  <c r="BG39" i="37"/>
  <c r="BG40" i="37"/>
  <c r="BG41" i="37"/>
  <c r="BG42" i="37"/>
  <c r="BG34" i="37"/>
  <c r="BG43" i="37"/>
  <c r="BG44" i="37"/>
  <c r="BG45" i="37"/>
  <c r="BG46" i="37"/>
  <c r="BG47" i="37"/>
  <c r="BG48" i="37"/>
  <c r="BG49" i="37"/>
  <c r="BG50" i="37"/>
  <c r="BG51" i="37"/>
  <c r="BG52" i="37"/>
  <c r="BG53" i="37"/>
  <c r="BG54" i="37"/>
  <c r="BG55" i="37"/>
  <c r="BG56" i="37"/>
  <c r="BG57" i="37"/>
  <c r="BG58" i="37"/>
  <c r="BG59" i="37"/>
  <c r="BG60" i="37"/>
  <c r="BG61" i="37"/>
  <c r="BG62" i="37"/>
  <c r="BG63" i="37"/>
  <c r="BG64" i="37"/>
  <c r="BG65" i="37"/>
  <c r="BG66" i="37"/>
  <c r="BG67" i="37"/>
  <c r="BG68" i="37"/>
  <c r="BG69" i="37"/>
  <c r="BG70" i="37"/>
  <c r="BG71" i="37"/>
  <c r="BG72" i="37"/>
  <c r="BG73" i="37"/>
  <c r="BG74" i="37"/>
  <c r="BG75" i="37"/>
  <c r="BG76" i="37"/>
  <c r="BG77" i="37"/>
  <c r="BG78" i="37"/>
  <c r="BG79" i="37"/>
  <c r="BG80" i="37"/>
  <c r="BG81" i="37"/>
  <c r="BG82" i="37"/>
  <c r="BG83" i="37"/>
  <c r="BG84" i="37"/>
  <c r="BF96" i="37"/>
  <c r="BF95" i="37"/>
  <c r="BF94" i="37"/>
  <c r="BF93" i="37"/>
  <c r="BF92" i="37"/>
  <c r="BF87" i="37"/>
  <c r="BF90" i="37"/>
  <c r="BF86" i="37"/>
  <c r="BF89" i="37"/>
  <c r="BF88" i="37"/>
  <c r="BF85" i="37"/>
  <c r="BF91" i="37"/>
  <c r="BG28" i="37"/>
  <c r="BH29" i="37"/>
  <c r="BH30" i="37" l="1"/>
  <c r="BH32" i="37"/>
  <c r="BH34" i="37"/>
  <c r="BH35" i="37"/>
  <c r="BH31" i="37"/>
  <c r="BH33" i="37"/>
  <c r="BH36" i="37"/>
  <c r="BH40" i="37"/>
  <c r="BH37" i="37"/>
  <c r="BH41" i="37"/>
  <c r="BH38" i="37"/>
  <c r="BH42" i="37"/>
  <c r="BH43" i="37"/>
  <c r="BH44" i="37"/>
  <c r="BH45" i="37"/>
  <c r="BH46" i="37"/>
  <c r="BH47" i="37"/>
  <c r="BH48" i="37"/>
  <c r="BH49" i="37"/>
  <c r="BH50" i="37"/>
  <c r="BH51" i="37"/>
  <c r="BH52" i="37"/>
  <c r="BH53" i="37"/>
  <c r="BH54" i="37"/>
  <c r="BH39" i="37"/>
  <c r="BH55" i="37"/>
  <c r="BH56" i="37"/>
  <c r="BH57" i="37"/>
  <c r="BH58" i="37"/>
  <c r="BH59" i="37"/>
  <c r="BH60" i="37"/>
  <c r="BH61" i="37"/>
  <c r="BH62" i="37"/>
  <c r="BH63" i="37"/>
  <c r="BH64" i="37"/>
  <c r="BH65" i="37"/>
  <c r="BH66" i="37"/>
  <c r="BH67" i="37"/>
  <c r="BH68" i="37"/>
  <c r="BH69" i="37"/>
  <c r="BH70" i="37"/>
  <c r="BH71" i="37"/>
  <c r="BH72" i="37"/>
  <c r="BH73" i="37"/>
  <c r="BH74" i="37"/>
  <c r="BH75" i="37"/>
  <c r="BH76" i="37"/>
  <c r="BH77" i="37"/>
  <c r="BH78" i="37"/>
  <c r="BH79" i="37"/>
  <c r="BH80" i="37"/>
  <c r="BH81" i="37"/>
  <c r="BH82" i="37"/>
  <c r="BH83" i="37"/>
  <c r="BH84" i="37"/>
  <c r="BG96" i="37"/>
  <c r="BG95" i="37"/>
  <c r="BG94" i="37"/>
  <c r="BG93" i="37"/>
  <c r="BG92" i="37"/>
  <c r="BG89" i="37"/>
  <c r="BG85" i="37"/>
  <c r="BG90" i="37"/>
  <c r="BG86" i="37"/>
  <c r="BG87" i="37"/>
  <c r="BG91" i="37"/>
  <c r="BG88" i="37"/>
  <c r="BH28" i="37"/>
  <c r="BI29" i="37"/>
  <c r="I43" i="1"/>
  <c r="J43" i="1" l="1"/>
  <c r="J44" i="1" s="1"/>
  <c r="BI30" i="37"/>
  <c r="BI31" i="37"/>
  <c r="BI32" i="37"/>
  <c r="BI33" i="37"/>
  <c r="BI34" i="37"/>
  <c r="BI35" i="37"/>
  <c r="BI36" i="37"/>
  <c r="BI37" i="37"/>
  <c r="BI38" i="37"/>
  <c r="BI39" i="37"/>
  <c r="BI40" i="37"/>
  <c r="BI41" i="37"/>
  <c r="BI42" i="37"/>
  <c r="BI45" i="37"/>
  <c r="BI46" i="37"/>
  <c r="BI43" i="37"/>
  <c r="BI47" i="37"/>
  <c r="BI49" i="37"/>
  <c r="BI50" i="37"/>
  <c r="BI51" i="37"/>
  <c r="BI52" i="37"/>
  <c r="BI53" i="37"/>
  <c r="BI54" i="37"/>
  <c r="BI44" i="37"/>
  <c r="BI48" i="37"/>
  <c r="BI55" i="37"/>
  <c r="BI59" i="37"/>
  <c r="BI63" i="37"/>
  <c r="BI56" i="37"/>
  <c r="BI60" i="37"/>
  <c r="BI64" i="37"/>
  <c r="BI67" i="37"/>
  <c r="BI57" i="37"/>
  <c r="BI61" i="37"/>
  <c r="BI58" i="37"/>
  <c r="BI62" i="37"/>
  <c r="BI66" i="37"/>
  <c r="BI65" i="37"/>
  <c r="BI68" i="37"/>
  <c r="BI69" i="37"/>
  <c r="BI70" i="37"/>
  <c r="BI71" i="37"/>
  <c r="BI72" i="37"/>
  <c r="BI73" i="37"/>
  <c r="BI74" i="37"/>
  <c r="BI75" i="37"/>
  <c r="BI76" i="37"/>
  <c r="BI77" i="37"/>
  <c r="BI78" i="37"/>
  <c r="BI79" i="37"/>
  <c r="BI80" i="37"/>
  <c r="BI81" i="37"/>
  <c r="BI82" i="37"/>
  <c r="BI83" i="37"/>
  <c r="BI84" i="37"/>
  <c r="BH96" i="37"/>
  <c r="BH95" i="37"/>
  <c r="BH94" i="37"/>
  <c r="BH93" i="37"/>
  <c r="BH92" i="37"/>
  <c r="BH91" i="37"/>
  <c r="BH88" i="37"/>
  <c r="BH89" i="37"/>
  <c r="BH85" i="37"/>
  <c r="BH87" i="37"/>
  <c r="BH86" i="37"/>
  <c r="BH90" i="37"/>
  <c r="BI28" i="37"/>
  <c r="BJ29" i="37"/>
  <c r="K43" i="1" l="1"/>
  <c r="K44" i="1" s="1"/>
  <c r="J45" i="1"/>
  <c r="BJ30" i="37"/>
  <c r="BJ31" i="37"/>
  <c r="BJ32" i="37"/>
  <c r="BJ33" i="37"/>
  <c r="BJ34" i="37"/>
  <c r="BJ35" i="37"/>
  <c r="BJ36" i="37"/>
  <c r="BJ37" i="37"/>
  <c r="BJ38" i="37"/>
  <c r="BJ39" i="37"/>
  <c r="BJ40" i="37"/>
  <c r="BJ41" i="37"/>
  <c r="BJ42" i="37"/>
  <c r="BJ43" i="37"/>
  <c r="BJ44" i="37"/>
  <c r="BJ45" i="37"/>
  <c r="BJ46" i="37"/>
  <c r="BJ47" i="37"/>
  <c r="BJ48" i="37"/>
  <c r="BJ51" i="37"/>
  <c r="BJ55" i="37"/>
  <c r="BJ56" i="37"/>
  <c r="BJ57" i="37"/>
  <c r="BJ58" i="37"/>
  <c r="BJ59" i="37"/>
  <c r="BJ60" i="37"/>
  <c r="BJ61" i="37"/>
  <c r="BJ62" i="37"/>
  <c r="BJ63" i="37"/>
  <c r="BJ64" i="37"/>
  <c r="BJ65" i="37"/>
  <c r="BJ52" i="37"/>
  <c r="BJ49" i="37"/>
  <c r="BJ53" i="37"/>
  <c r="BJ66" i="37"/>
  <c r="BJ68" i="37"/>
  <c r="BJ50" i="37"/>
  <c r="BJ54" i="37"/>
  <c r="BJ67" i="37"/>
  <c r="BJ69" i="37"/>
  <c r="BJ70" i="37"/>
  <c r="BJ71" i="37"/>
  <c r="BJ72" i="37"/>
  <c r="BJ73" i="37"/>
  <c r="BJ74" i="37"/>
  <c r="BJ75" i="37"/>
  <c r="BJ76" i="37"/>
  <c r="BJ84" i="37"/>
  <c r="BJ77" i="37"/>
  <c r="BJ78" i="37"/>
  <c r="BJ79" i="37"/>
  <c r="BJ80" i="37"/>
  <c r="BJ81" i="37"/>
  <c r="BJ82" i="37"/>
  <c r="BJ83" i="37"/>
  <c r="BI96" i="37"/>
  <c r="BI95" i="37"/>
  <c r="BI94" i="37"/>
  <c r="BI93" i="37"/>
  <c r="BI89" i="37"/>
  <c r="BI85" i="37"/>
  <c r="BI86" i="37"/>
  <c r="BI92" i="37"/>
  <c r="BI90" i="37"/>
  <c r="BI87" i="37"/>
  <c r="BI91" i="37"/>
  <c r="BI88" i="37"/>
  <c r="BJ28" i="37"/>
  <c r="BK29" i="37"/>
  <c r="K45" i="1" l="1"/>
  <c r="C50" i="33" s="1"/>
  <c r="BK30" i="37"/>
  <c r="BK32" i="37"/>
  <c r="BK33" i="37"/>
  <c r="BK34" i="37"/>
  <c r="BK35" i="37"/>
  <c r="BK36" i="37"/>
  <c r="BK37" i="37"/>
  <c r="BK38" i="37"/>
  <c r="BK39" i="37"/>
  <c r="BK40" i="37"/>
  <c r="BK41" i="37"/>
  <c r="BK42" i="37"/>
  <c r="BK43" i="37"/>
  <c r="BK44" i="37"/>
  <c r="BK45" i="37"/>
  <c r="BK46" i="37"/>
  <c r="BK47" i="37"/>
  <c r="BK48" i="37"/>
  <c r="BK31" i="37"/>
  <c r="BK49" i="37"/>
  <c r="BK50" i="37"/>
  <c r="BK51" i="37"/>
  <c r="BK52" i="37"/>
  <c r="BK53" i="37"/>
  <c r="BK54" i="37"/>
  <c r="BK55" i="37"/>
  <c r="BK56" i="37"/>
  <c r="BK57" i="37"/>
  <c r="BK58" i="37"/>
  <c r="BK59" i="37"/>
  <c r="BK60" i="37"/>
  <c r="BK61" i="37"/>
  <c r="BK62" i="37"/>
  <c r="BK63" i="37"/>
  <c r="BK64" i="37"/>
  <c r="BK65" i="37"/>
  <c r="BK66" i="37"/>
  <c r="BK67" i="37"/>
  <c r="BK68" i="37"/>
  <c r="BK69" i="37"/>
  <c r="BK70" i="37"/>
  <c r="BK71" i="37"/>
  <c r="BK72" i="37"/>
  <c r="BK73" i="37"/>
  <c r="BK74" i="37"/>
  <c r="BK75" i="37"/>
  <c r="BK76" i="37"/>
  <c r="BK77" i="37"/>
  <c r="BK78" i="37"/>
  <c r="BK79" i="37"/>
  <c r="BK80" i="37"/>
  <c r="BK81" i="37"/>
  <c r="BK82" i="37"/>
  <c r="BK83" i="37"/>
  <c r="BK84" i="37"/>
  <c r="BJ96" i="37"/>
  <c r="BJ95" i="37"/>
  <c r="BJ94" i="37"/>
  <c r="BJ93" i="37"/>
  <c r="BJ86" i="37"/>
  <c r="BJ92" i="37"/>
  <c r="BJ91" i="37"/>
  <c r="BJ88" i="37"/>
  <c r="BJ87" i="37"/>
  <c r="BJ85" i="37"/>
  <c r="BJ89" i="37"/>
  <c r="BJ90" i="37"/>
  <c r="BK28" i="37"/>
  <c r="BL29" i="37"/>
  <c r="G24" i="33" l="1"/>
  <c r="I26" i="33" s="1"/>
  <c r="G37" i="33"/>
  <c r="E16" i="33"/>
  <c r="D45" i="1"/>
  <c r="E50" i="19"/>
  <c r="BL31" i="37"/>
  <c r="BL33" i="37"/>
  <c r="BL34" i="37"/>
  <c r="BL35" i="37"/>
  <c r="BL30" i="37"/>
  <c r="BL32" i="37"/>
  <c r="BL39" i="37"/>
  <c r="BL36" i="37"/>
  <c r="BL40" i="37"/>
  <c r="BL37" i="37"/>
  <c r="BL41" i="37"/>
  <c r="BL43" i="37"/>
  <c r="BL44" i="37"/>
  <c r="BL45" i="37"/>
  <c r="BL46" i="37"/>
  <c r="BL47" i="37"/>
  <c r="BL48" i="37"/>
  <c r="BL38" i="37"/>
  <c r="BL49" i="37"/>
  <c r="BL50" i="37"/>
  <c r="BL51" i="37"/>
  <c r="BL52" i="37"/>
  <c r="BL53" i="37"/>
  <c r="BL54" i="37"/>
  <c r="BL42" i="37"/>
  <c r="BL55" i="37"/>
  <c r="BL56" i="37"/>
  <c r="BL57" i="37"/>
  <c r="BL58" i="37"/>
  <c r="BL59" i="37"/>
  <c r="BL60" i="37"/>
  <c r="BL61" i="37"/>
  <c r="BL62" i="37"/>
  <c r="BL63" i="37"/>
  <c r="BL64" i="37"/>
  <c r="BL65" i="37"/>
  <c r="BL66" i="37"/>
  <c r="BL67" i="37"/>
  <c r="BL68" i="37"/>
  <c r="BL69" i="37"/>
  <c r="BL70" i="37"/>
  <c r="BL71" i="37"/>
  <c r="BL72" i="37"/>
  <c r="BL73" i="37"/>
  <c r="BL74" i="37"/>
  <c r="BL75" i="37"/>
  <c r="BL76" i="37"/>
  <c r="BL77" i="37"/>
  <c r="BL78" i="37"/>
  <c r="BL79" i="37"/>
  <c r="BL80" i="37"/>
  <c r="BL81" i="37"/>
  <c r="BL82" i="37"/>
  <c r="BL83" i="37"/>
  <c r="BL84" i="37"/>
  <c r="BK90" i="37"/>
  <c r="BK96" i="37"/>
  <c r="BK94" i="37"/>
  <c r="BK86" i="37"/>
  <c r="BK87" i="37"/>
  <c r="BK95" i="37"/>
  <c r="BK92" i="37"/>
  <c r="BK93" i="37"/>
  <c r="BK88" i="37"/>
  <c r="BK85" i="37"/>
  <c r="BK89" i="37"/>
  <c r="BK91" i="37"/>
  <c r="BL28" i="37"/>
  <c r="BM29" i="37"/>
  <c r="E51" i="19" l="1"/>
  <c r="E27" i="33"/>
  <c r="E50" i="33"/>
  <c r="G50" i="33"/>
  <c r="E26" i="33"/>
  <c r="E40" i="33"/>
  <c r="BM30" i="37"/>
  <c r="BM31" i="37"/>
  <c r="BM32" i="37"/>
  <c r="BM33" i="37"/>
  <c r="BM34" i="37"/>
  <c r="BM35" i="37"/>
  <c r="BM36" i="37"/>
  <c r="BM37" i="37"/>
  <c r="BM38" i="37"/>
  <c r="BM39" i="37"/>
  <c r="BM40" i="37"/>
  <c r="BM41" i="37"/>
  <c r="BM42" i="37"/>
  <c r="BM44" i="37"/>
  <c r="BM48" i="37"/>
  <c r="BM45" i="37"/>
  <c r="BM46" i="37"/>
  <c r="BM49" i="37"/>
  <c r="BM50" i="37"/>
  <c r="BM51" i="37"/>
  <c r="BM52" i="37"/>
  <c r="BM53" i="37"/>
  <c r="BM54" i="37"/>
  <c r="BM43" i="37"/>
  <c r="BM47" i="37"/>
  <c r="BM58" i="37"/>
  <c r="BM62" i="37"/>
  <c r="BM55" i="37"/>
  <c r="BM59" i="37"/>
  <c r="BM63" i="37"/>
  <c r="BM66" i="37"/>
  <c r="BM68" i="37"/>
  <c r="BM56" i="37"/>
  <c r="BM60" i="37"/>
  <c r="BM64" i="37"/>
  <c r="BM57" i="37"/>
  <c r="BM61" i="37"/>
  <c r="BM65" i="37"/>
  <c r="BM67" i="37"/>
  <c r="BM69" i="37"/>
  <c r="BM70" i="37"/>
  <c r="BM71" i="37"/>
  <c r="BM72" i="37"/>
  <c r="BM73" i="37"/>
  <c r="BM74" i="37"/>
  <c r="BM75" i="37"/>
  <c r="BM76" i="37"/>
  <c r="BM77" i="37"/>
  <c r="BM78" i="37"/>
  <c r="BM79" i="37"/>
  <c r="BM80" i="37"/>
  <c r="BM81" i="37"/>
  <c r="BM82" i="37"/>
  <c r="BM83" i="37"/>
  <c r="BM84" i="37"/>
  <c r="BL96" i="37"/>
  <c r="BL95" i="37"/>
  <c r="BL94" i="37"/>
  <c r="BL93" i="37"/>
  <c r="BL92" i="37"/>
  <c r="BL91" i="37"/>
  <c r="BL90" i="37"/>
  <c r="BL89" i="37"/>
  <c r="BL88" i="37"/>
  <c r="BL87" i="37"/>
  <c r="BL86" i="37"/>
  <c r="BL85" i="37"/>
  <c r="BM28" i="37"/>
  <c r="BN29" i="37"/>
  <c r="F50" i="33" l="1"/>
  <c r="E54" i="33" s="1"/>
  <c r="E53" i="33"/>
  <c r="F37" i="33"/>
  <c r="I33" i="33" s="1"/>
  <c r="BN30" i="37"/>
  <c r="BN31" i="37"/>
  <c r="BN32" i="37"/>
  <c r="BN33" i="37"/>
  <c r="BN34" i="37"/>
  <c r="BN35" i="37"/>
  <c r="BN36" i="37"/>
  <c r="BN37" i="37"/>
  <c r="BN38" i="37"/>
  <c r="BN39" i="37"/>
  <c r="BN40" i="37"/>
  <c r="BN41" i="37"/>
  <c r="BN42" i="37"/>
  <c r="BN43" i="37"/>
  <c r="BN44" i="37"/>
  <c r="BN45" i="37"/>
  <c r="BN46" i="37"/>
  <c r="BN47" i="37"/>
  <c r="BN48" i="37"/>
  <c r="BN50" i="37"/>
  <c r="BN54" i="37"/>
  <c r="BN55" i="37"/>
  <c r="BN56" i="37"/>
  <c r="BN57" i="37"/>
  <c r="BN58" i="37"/>
  <c r="BN59" i="37"/>
  <c r="BN60" i="37"/>
  <c r="BN61" i="37"/>
  <c r="BN62" i="37"/>
  <c r="BN63" i="37"/>
  <c r="BN64" i="37"/>
  <c r="BN65" i="37"/>
  <c r="BN51" i="37"/>
  <c r="BN52" i="37"/>
  <c r="BN49" i="37"/>
  <c r="BN67" i="37"/>
  <c r="BN53" i="37"/>
  <c r="BN66" i="37"/>
  <c r="BN68" i="37"/>
  <c r="BN69" i="37"/>
  <c r="BN70" i="37"/>
  <c r="BN71" i="37"/>
  <c r="BN72" i="37"/>
  <c r="BN73" i="37"/>
  <c r="BN74" i="37"/>
  <c r="BN75" i="37"/>
  <c r="BN76" i="37"/>
  <c r="BN83" i="37"/>
  <c r="BN77" i="37"/>
  <c r="BN78" i="37"/>
  <c r="BN79" i="37"/>
  <c r="BN80" i="37"/>
  <c r="BN81" i="37"/>
  <c r="BN82" i="37"/>
  <c r="BN84" i="37"/>
  <c r="BM96" i="37"/>
  <c r="BM95" i="37"/>
  <c r="BM94" i="37"/>
  <c r="BM93" i="37"/>
  <c r="BM87" i="37"/>
  <c r="BM90" i="37"/>
  <c r="BM85" i="37"/>
  <c r="BM91" i="37"/>
  <c r="BM92" i="37"/>
  <c r="BM86" i="37"/>
  <c r="BM88" i="37"/>
  <c r="BM89" i="37"/>
  <c r="BN28" i="37"/>
  <c r="BO29" i="37"/>
  <c r="I42" i="33" l="1"/>
  <c r="K1" i="33" s="1"/>
  <c r="E41" i="33"/>
  <c r="BO31" i="37"/>
  <c r="BO33" i="37"/>
  <c r="BO30" i="37"/>
  <c r="BO34" i="37"/>
  <c r="BO32" i="37"/>
  <c r="BO35" i="37"/>
  <c r="BO36" i="37"/>
  <c r="BO37" i="37"/>
  <c r="BO38" i="37"/>
  <c r="BO39" i="37"/>
  <c r="BO40" i="37"/>
  <c r="BO41" i="37"/>
  <c r="BO42" i="37"/>
  <c r="BO43" i="37"/>
  <c r="BO44" i="37"/>
  <c r="BO45" i="37"/>
  <c r="BO46" i="37"/>
  <c r="BO47" i="37"/>
  <c r="BO48" i="37"/>
  <c r="BO49" i="37"/>
  <c r="BO50" i="37"/>
  <c r="BO51" i="37"/>
  <c r="BO52" i="37"/>
  <c r="BO53" i="37"/>
  <c r="BO54" i="37"/>
  <c r="BO55" i="37"/>
  <c r="BO56" i="37"/>
  <c r="BO57" i="37"/>
  <c r="BO58" i="37"/>
  <c r="BO59" i="37"/>
  <c r="BO60" i="37"/>
  <c r="BO61" i="37"/>
  <c r="BO62" i="37"/>
  <c r="BO63" i="37"/>
  <c r="BO64" i="37"/>
  <c r="BO65" i="37"/>
  <c r="BO66" i="37"/>
  <c r="BO67" i="37"/>
  <c r="BO68" i="37"/>
  <c r="BO69" i="37"/>
  <c r="BO70" i="37"/>
  <c r="BO71" i="37"/>
  <c r="BO72" i="37"/>
  <c r="BO73" i="37"/>
  <c r="BO74" i="37"/>
  <c r="BO75" i="37"/>
  <c r="BO76" i="37"/>
  <c r="BO77" i="37"/>
  <c r="BO78" i="37"/>
  <c r="BO79" i="37"/>
  <c r="BO80" i="37"/>
  <c r="BO81" i="37"/>
  <c r="BO82" i="37"/>
  <c r="BO83" i="37"/>
  <c r="BO84" i="37"/>
  <c r="BN96" i="37"/>
  <c r="BN95" i="37"/>
  <c r="BN94" i="37"/>
  <c r="BN93" i="37"/>
  <c r="BN87" i="37"/>
  <c r="BN92" i="37"/>
  <c r="BN91" i="37"/>
  <c r="BN88" i="37"/>
  <c r="BN90" i="37"/>
  <c r="BN89" i="37"/>
  <c r="BN85" i="37"/>
  <c r="BN86" i="37"/>
  <c r="BO28" i="37"/>
  <c r="BP29" i="37"/>
  <c r="BP30" i="37" l="1"/>
  <c r="BP32" i="37"/>
  <c r="BP34" i="37"/>
  <c r="BP35" i="37"/>
  <c r="BP31" i="37"/>
  <c r="BP33" i="37"/>
  <c r="BP38" i="37"/>
  <c r="BP42" i="37"/>
  <c r="BP39" i="37"/>
  <c r="BP36" i="37"/>
  <c r="BP40" i="37"/>
  <c r="BP43" i="37"/>
  <c r="BP44" i="37"/>
  <c r="BP45" i="37"/>
  <c r="BP46" i="37"/>
  <c r="BP47" i="37"/>
  <c r="BP48" i="37"/>
  <c r="BP37" i="37"/>
  <c r="BP41" i="37"/>
  <c r="BP49" i="37"/>
  <c r="BP50" i="37"/>
  <c r="BP51" i="37"/>
  <c r="BP52" i="37"/>
  <c r="BP53" i="37"/>
  <c r="BP54" i="37"/>
  <c r="BP55" i="37"/>
  <c r="BP56" i="37"/>
  <c r="BP57" i="37"/>
  <c r="BP58" i="37"/>
  <c r="BP59" i="37"/>
  <c r="BP60" i="37"/>
  <c r="BP61" i="37"/>
  <c r="BP62" i="37"/>
  <c r="BP63" i="37"/>
  <c r="BP64" i="37"/>
  <c r="BP65" i="37"/>
  <c r="BP66" i="37"/>
  <c r="BP67" i="37"/>
  <c r="BP68" i="37"/>
  <c r="BP69" i="37"/>
  <c r="BP70" i="37"/>
  <c r="BP71" i="37"/>
  <c r="BP72" i="37"/>
  <c r="BP73" i="37"/>
  <c r="BP74" i="37"/>
  <c r="BP75" i="37"/>
  <c r="BP76" i="37"/>
  <c r="BP77" i="37"/>
  <c r="BP78" i="37"/>
  <c r="BP79" i="37"/>
  <c r="BP80" i="37"/>
  <c r="BP81" i="37"/>
  <c r="BP82" i="37"/>
  <c r="BP83" i="37"/>
  <c r="BP84" i="37"/>
  <c r="BO96" i="37"/>
  <c r="BO95" i="37"/>
  <c r="BO94" i="37"/>
  <c r="BO93" i="37"/>
  <c r="BO92" i="37"/>
  <c r="BO91" i="37"/>
  <c r="BO90" i="37"/>
  <c r="BO89" i="37"/>
  <c r="BO88" i="37"/>
  <c r="BO87" i="37"/>
  <c r="BO86" i="37"/>
  <c r="BO85" i="37"/>
  <c r="BP28" i="37"/>
  <c r="BQ29" i="37"/>
  <c r="BQ30" i="37" l="1"/>
  <c r="BQ31" i="37"/>
  <c r="BQ32" i="37"/>
  <c r="BQ33" i="37"/>
  <c r="BQ34" i="37"/>
  <c r="BQ35" i="37"/>
  <c r="BQ36" i="37"/>
  <c r="BQ37" i="37"/>
  <c r="BQ38" i="37"/>
  <c r="BQ39" i="37"/>
  <c r="BQ40" i="37"/>
  <c r="BQ41" i="37"/>
  <c r="BQ42" i="37"/>
  <c r="BQ43" i="37"/>
  <c r="BQ47" i="37"/>
  <c r="BQ44" i="37"/>
  <c r="BQ48" i="37"/>
  <c r="BQ45" i="37"/>
  <c r="BQ49" i="37"/>
  <c r="BQ50" i="37"/>
  <c r="BQ51" i="37"/>
  <c r="BQ52" i="37"/>
  <c r="BQ53" i="37"/>
  <c r="BQ54" i="37"/>
  <c r="BQ46" i="37"/>
  <c r="BQ57" i="37"/>
  <c r="BQ61" i="37"/>
  <c r="BQ65" i="37"/>
  <c r="BQ58" i="37"/>
  <c r="BQ62" i="37"/>
  <c r="BQ67" i="37"/>
  <c r="BQ55" i="37"/>
  <c r="BQ59" i="37"/>
  <c r="BQ63" i="37"/>
  <c r="BQ56" i="37"/>
  <c r="BQ60" i="37"/>
  <c r="BQ64" i="37"/>
  <c r="BQ66" i="37"/>
  <c r="BQ68" i="37"/>
  <c r="BQ69" i="37"/>
  <c r="BQ70" i="37"/>
  <c r="BQ71" i="37"/>
  <c r="BQ72" i="37"/>
  <c r="BQ73" i="37"/>
  <c r="BQ74" i="37"/>
  <c r="BQ75" i="37"/>
  <c r="BQ76" i="37"/>
  <c r="BQ77" i="37"/>
  <c r="BQ78" i="37"/>
  <c r="BQ79" i="37"/>
  <c r="BQ80" i="37"/>
  <c r="BQ81" i="37"/>
  <c r="BQ82" i="37"/>
  <c r="BQ83" i="37"/>
  <c r="BQ84" i="37"/>
  <c r="BP96" i="37"/>
  <c r="BP95" i="37"/>
  <c r="BP94" i="37"/>
  <c r="BP93" i="37"/>
  <c r="BP89" i="37"/>
  <c r="BP85" i="37"/>
  <c r="BP92" i="37"/>
  <c r="BP91" i="37"/>
  <c r="BP88" i="37"/>
  <c r="BP87" i="37"/>
  <c r="BP86" i="37"/>
  <c r="BP90" i="37"/>
  <c r="BQ28" i="37"/>
  <c r="BR29" i="37"/>
  <c r="BR30" i="37" l="1"/>
  <c r="BR31" i="37"/>
  <c r="BR32" i="37"/>
  <c r="BR33" i="37"/>
  <c r="BR34" i="37"/>
  <c r="BR35" i="37"/>
  <c r="BR36" i="37"/>
  <c r="BR37" i="37"/>
  <c r="BR38" i="37"/>
  <c r="BR39" i="37"/>
  <c r="BR40" i="37"/>
  <c r="BR41" i="37"/>
  <c r="BR42" i="37"/>
  <c r="BR43" i="37"/>
  <c r="BR44" i="37"/>
  <c r="BR45" i="37"/>
  <c r="BR46" i="37"/>
  <c r="BR47" i="37"/>
  <c r="BR48" i="37"/>
  <c r="BR49" i="37"/>
  <c r="BR53" i="37"/>
  <c r="BR55" i="37"/>
  <c r="BR56" i="37"/>
  <c r="BR57" i="37"/>
  <c r="BR58" i="37"/>
  <c r="BR59" i="37"/>
  <c r="BR60" i="37"/>
  <c r="BR61" i="37"/>
  <c r="BR62" i="37"/>
  <c r="BR63" i="37"/>
  <c r="BR64" i="37"/>
  <c r="BR65" i="37"/>
  <c r="BR50" i="37"/>
  <c r="BR54" i="37"/>
  <c r="BR51" i="37"/>
  <c r="BR52" i="37"/>
  <c r="BR66" i="37"/>
  <c r="BR68" i="37"/>
  <c r="BR67" i="37"/>
  <c r="BR69" i="37"/>
  <c r="BR70" i="37"/>
  <c r="BR71" i="37"/>
  <c r="BR72" i="37"/>
  <c r="BR73" i="37"/>
  <c r="BR74" i="37"/>
  <c r="BR75" i="37"/>
  <c r="BR76" i="37"/>
  <c r="BR84" i="37"/>
  <c r="BR77" i="37"/>
  <c r="BR78" i="37"/>
  <c r="BR79" i="37"/>
  <c r="BR80" i="37"/>
  <c r="BR81" i="37"/>
  <c r="BR82" i="37"/>
  <c r="BR83" i="37"/>
  <c r="BQ96" i="37"/>
  <c r="BQ95" i="37"/>
  <c r="BQ94" i="37"/>
  <c r="BQ93" i="37"/>
  <c r="BQ92" i="37"/>
  <c r="BQ91" i="37"/>
  <c r="BQ90" i="37"/>
  <c r="BQ89" i="37"/>
  <c r="BQ88" i="37"/>
  <c r="BQ85" i="37"/>
  <c r="BQ87" i="37"/>
  <c r="BQ86" i="37"/>
  <c r="BR28" i="37"/>
  <c r="BS29" i="37"/>
  <c r="BS30" i="37" l="1"/>
  <c r="BS32" i="37"/>
  <c r="BS31" i="37"/>
  <c r="BS33" i="37"/>
  <c r="BS34" i="37"/>
  <c r="BS36" i="37"/>
  <c r="BS37" i="37"/>
  <c r="BS38" i="37"/>
  <c r="BS39" i="37"/>
  <c r="BS40" i="37"/>
  <c r="BS41" i="37"/>
  <c r="BS42" i="37"/>
  <c r="BS43" i="37"/>
  <c r="BS44" i="37"/>
  <c r="BS45" i="37"/>
  <c r="BS46" i="37"/>
  <c r="BS47" i="37"/>
  <c r="BS48" i="37"/>
  <c r="BS35" i="37"/>
  <c r="BS49" i="37"/>
  <c r="BS50" i="37"/>
  <c r="BS51" i="37"/>
  <c r="BS52" i="37"/>
  <c r="BS53" i="37"/>
  <c r="BS54" i="37"/>
  <c r="BS55" i="37"/>
  <c r="BS56" i="37"/>
  <c r="BS57" i="37"/>
  <c r="BS58" i="37"/>
  <c r="BS59" i="37"/>
  <c r="BS60" i="37"/>
  <c r="BS61" i="37"/>
  <c r="BS62" i="37"/>
  <c r="BS63" i="37"/>
  <c r="BS64" i="37"/>
  <c r="BS65" i="37"/>
  <c r="BS66" i="37"/>
  <c r="BS67" i="37"/>
  <c r="BS68" i="37"/>
  <c r="BS69" i="37"/>
  <c r="BS70" i="37"/>
  <c r="BS71" i="37"/>
  <c r="BS72" i="37"/>
  <c r="BS73" i="37"/>
  <c r="BS74" i="37"/>
  <c r="BS75" i="37"/>
  <c r="BS76" i="37"/>
  <c r="BS77" i="37"/>
  <c r="BS78" i="37"/>
  <c r="BS79" i="37"/>
  <c r="BS80" i="37"/>
  <c r="BS81" i="37"/>
  <c r="BS82" i="37"/>
  <c r="BS83" i="37"/>
  <c r="BS84" i="37"/>
  <c r="BR96" i="37"/>
  <c r="BR95" i="37"/>
  <c r="BR94" i="37"/>
  <c r="BR93" i="37"/>
  <c r="BR92" i="37"/>
  <c r="BR86" i="37"/>
  <c r="BR91" i="37"/>
  <c r="BR85" i="37"/>
  <c r="BR87" i="37"/>
  <c r="BR88" i="37"/>
  <c r="BR89" i="37"/>
  <c r="BR90" i="37"/>
  <c r="BT29" i="37"/>
  <c r="BS28" i="37"/>
  <c r="BT31" i="37" l="1"/>
  <c r="BT33" i="37"/>
  <c r="BT34" i="37"/>
  <c r="BT35" i="37"/>
  <c r="BT30" i="37"/>
  <c r="BT32" i="37"/>
  <c r="BT37" i="37"/>
  <c r="BT41" i="37"/>
  <c r="BT38" i="37"/>
  <c r="BT42" i="37"/>
  <c r="BT39" i="37"/>
  <c r="BT43" i="37"/>
  <c r="BT44" i="37"/>
  <c r="BT45" i="37"/>
  <c r="BT46" i="37"/>
  <c r="BT47" i="37"/>
  <c r="BT48" i="37"/>
  <c r="BT40" i="37"/>
  <c r="BT49" i="37"/>
  <c r="BT50" i="37"/>
  <c r="BT51" i="37"/>
  <c r="BT52" i="37"/>
  <c r="BT53" i="37"/>
  <c r="BT54" i="37"/>
  <c r="BT36" i="37"/>
  <c r="BT55" i="37"/>
  <c r="BT56" i="37"/>
  <c r="BT57" i="37"/>
  <c r="BT58" i="37"/>
  <c r="BT59" i="37"/>
  <c r="BT60" i="37"/>
  <c r="BT61" i="37"/>
  <c r="BT62" i="37"/>
  <c r="BT63" i="37"/>
  <c r="BT64" i="37"/>
  <c r="BT65" i="37"/>
  <c r="BT66" i="37"/>
  <c r="BT67" i="37"/>
  <c r="BT68" i="37"/>
  <c r="BT69" i="37"/>
  <c r="BT70" i="37"/>
  <c r="BT71" i="37"/>
  <c r="BT72" i="37"/>
  <c r="BT73" i="37"/>
  <c r="BT74" i="37"/>
  <c r="BT75" i="37"/>
  <c r="BT76" i="37"/>
  <c r="BT77" i="37"/>
  <c r="BT78" i="37"/>
  <c r="BT79" i="37"/>
  <c r="BT80" i="37"/>
  <c r="BT81" i="37"/>
  <c r="BT84" i="37"/>
  <c r="BT82" i="37"/>
  <c r="BT83" i="37"/>
  <c r="BS96" i="37"/>
  <c r="BS95" i="37"/>
  <c r="BS94" i="37"/>
  <c r="BS93" i="37"/>
  <c r="BS92" i="37"/>
  <c r="BS90" i="37"/>
  <c r="BS89" i="37"/>
  <c r="BS91" i="37"/>
  <c r="BS85" i="37"/>
  <c r="BS86" i="37"/>
  <c r="BS87" i="37"/>
  <c r="BS88" i="37"/>
  <c r="BT28" i="37"/>
  <c r="BU29" i="37"/>
  <c r="BU30" i="37" l="1"/>
  <c r="BU31" i="37"/>
  <c r="BU32" i="37"/>
  <c r="BU33" i="37"/>
  <c r="BU34" i="37"/>
  <c r="BU35" i="37"/>
  <c r="BU36" i="37"/>
  <c r="BU37" i="37"/>
  <c r="BU38" i="37"/>
  <c r="BU39" i="37"/>
  <c r="BU40" i="37"/>
  <c r="BU41" i="37"/>
  <c r="BU42" i="37"/>
  <c r="BU46" i="37"/>
  <c r="BU43" i="37"/>
  <c r="BU47" i="37"/>
  <c r="BU44" i="37"/>
  <c r="BU48" i="37"/>
  <c r="BU49" i="37"/>
  <c r="BU50" i="37"/>
  <c r="BU51" i="37"/>
  <c r="BU52" i="37"/>
  <c r="BU53" i="37"/>
  <c r="BU54" i="37"/>
  <c r="BU56" i="37"/>
  <c r="BU60" i="37"/>
  <c r="BU64" i="37"/>
  <c r="BU45" i="37"/>
  <c r="BU57" i="37"/>
  <c r="BU61" i="37"/>
  <c r="BU65" i="37"/>
  <c r="BU66" i="37"/>
  <c r="BU68" i="37"/>
  <c r="BU58" i="37"/>
  <c r="BU62" i="37"/>
  <c r="BU55" i="37"/>
  <c r="BU59" i="37"/>
  <c r="BU63" i="37"/>
  <c r="BU67" i="37"/>
  <c r="BU69" i="37"/>
  <c r="BU70" i="37"/>
  <c r="BU71" i="37"/>
  <c r="BU72" i="37"/>
  <c r="BU73" i="37"/>
  <c r="BU74" i="37"/>
  <c r="BU75" i="37"/>
  <c r="BU76" i="37"/>
  <c r="BU77" i="37"/>
  <c r="BU78" i="37"/>
  <c r="BU79" i="37"/>
  <c r="BU80" i="37"/>
  <c r="BU81" i="37"/>
  <c r="BU82" i="37"/>
  <c r="BU83" i="37"/>
  <c r="BU84" i="37"/>
  <c r="BT96" i="37"/>
  <c r="BT95" i="37"/>
  <c r="BT94" i="37"/>
  <c r="BT93" i="37"/>
  <c r="BT87" i="37"/>
  <c r="BT92" i="37"/>
  <c r="BT90" i="37"/>
  <c r="BT86" i="37"/>
  <c r="BT91" i="37"/>
  <c r="BT85" i="37"/>
  <c r="BT88" i="37"/>
  <c r="BT89" i="37"/>
  <c r="BU28" i="37"/>
  <c r="BV29" i="37"/>
  <c r="BV30" i="37" l="1"/>
  <c r="BV31" i="37"/>
  <c r="BV32" i="37"/>
  <c r="BV33" i="37"/>
  <c r="BV34" i="37"/>
  <c r="BV35" i="37"/>
  <c r="BV36" i="37"/>
  <c r="BV37" i="37"/>
  <c r="BV38" i="37"/>
  <c r="BV39" i="37"/>
  <c r="BV40" i="37"/>
  <c r="BV41" i="37"/>
  <c r="BV42" i="37"/>
  <c r="BV43" i="37"/>
  <c r="BV44" i="37"/>
  <c r="BV45" i="37"/>
  <c r="BV46" i="37"/>
  <c r="BV47" i="37"/>
  <c r="BV48" i="37"/>
  <c r="BV52" i="37"/>
  <c r="BV55" i="37"/>
  <c r="BV56" i="37"/>
  <c r="BV57" i="37"/>
  <c r="BV58" i="37"/>
  <c r="BV59" i="37"/>
  <c r="BV60" i="37"/>
  <c r="BV61" i="37"/>
  <c r="BV62" i="37"/>
  <c r="BV63" i="37"/>
  <c r="BV64" i="37"/>
  <c r="BV65" i="37"/>
  <c r="BV49" i="37"/>
  <c r="BV53" i="37"/>
  <c r="BV50" i="37"/>
  <c r="BV54" i="37"/>
  <c r="BV67" i="37"/>
  <c r="BV51" i="37"/>
  <c r="BV66" i="37"/>
  <c r="BV68" i="37"/>
  <c r="BV69" i="37"/>
  <c r="BV70" i="37"/>
  <c r="BV71" i="37"/>
  <c r="BV72" i="37"/>
  <c r="BV73" i="37"/>
  <c r="BV74" i="37"/>
  <c r="BV75" i="37"/>
  <c r="BV76" i="37"/>
  <c r="BV82" i="37"/>
  <c r="BV83" i="37"/>
  <c r="BV77" i="37"/>
  <c r="BV78" i="37"/>
  <c r="BV79" i="37"/>
  <c r="BV80" i="37"/>
  <c r="BV81" i="37"/>
  <c r="BV84" i="37"/>
  <c r="BU96" i="37"/>
  <c r="BU95" i="37"/>
  <c r="BU94" i="37"/>
  <c r="BU93" i="37"/>
  <c r="BU92" i="37"/>
  <c r="BU90" i="37"/>
  <c r="BU85" i="37"/>
  <c r="BU87" i="37"/>
  <c r="BU89" i="37"/>
  <c r="BU86" i="37"/>
  <c r="BU88" i="37"/>
  <c r="BU91" i="37"/>
  <c r="BV28" i="37"/>
  <c r="BW29" i="37"/>
  <c r="BW31" i="37" l="1"/>
  <c r="BW33" i="37"/>
  <c r="BW35" i="37"/>
  <c r="BW30" i="37"/>
  <c r="BW36" i="37"/>
  <c r="BW37" i="37"/>
  <c r="BW38" i="37"/>
  <c r="BW39" i="37"/>
  <c r="BW40" i="37"/>
  <c r="BW41" i="37"/>
  <c r="BW42" i="37"/>
  <c r="BW34" i="37"/>
  <c r="BW43" i="37"/>
  <c r="BW44" i="37"/>
  <c r="BW45" i="37"/>
  <c r="BW46" i="37"/>
  <c r="BW47" i="37"/>
  <c r="BW48" i="37"/>
  <c r="BW32" i="37"/>
  <c r="BW49" i="37"/>
  <c r="BW50" i="37"/>
  <c r="BW51" i="37"/>
  <c r="BW52" i="37"/>
  <c r="BW53" i="37"/>
  <c r="BW54" i="37"/>
  <c r="BW55" i="37"/>
  <c r="BW56" i="37"/>
  <c r="BW57" i="37"/>
  <c r="BW58" i="37"/>
  <c r="BW59" i="37"/>
  <c r="BW60" i="37"/>
  <c r="BW61" i="37"/>
  <c r="BW62" i="37"/>
  <c r="BW63" i="37"/>
  <c r="BW64" i="37"/>
  <c r="BW65" i="37"/>
  <c r="BW66" i="37"/>
  <c r="BW67" i="37"/>
  <c r="BW68" i="37"/>
  <c r="BW69" i="37"/>
  <c r="BW70" i="37"/>
  <c r="BW71" i="37"/>
  <c r="BW72" i="37"/>
  <c r="BW73" i="37"/>
  <c r="BW74" i="37"/>
  <c r="BW75" i="37"/>
  <c r="BW76" i="37"/>
  <c r="BW77" i="37"/>
  <c r="BW78" i="37"/>
  <c r="BW79" i="37"/>
  <c r="BW80" i="37"/>
  <c r="BW81" i="37"/>
  <c r="BW82" i="37"/>
  <c r="BW83" i="37"/>
  <c r="BW84" i="37"/>
  <c r="BV96" i="37"/>
  <c r="BV95" i="37"/>
  <c r="BV94" i="37"/>
  <c r="BV93" i="37"/>
  <c r="BV88" i="37"/>
  <c r="BV91" i="37"/>
  <c r="BV92" i="37"/>
  <c r="BV85" i="37"/>
  <c r="BV89" i="37"/>
  <c r="BV87" i="37"/>
  <c r="BV90" i="37"/>
  <c r="BV86" i="37"/>
  <c r="BW28" i="37"/>
  <c r="BX29" i="37"/>
  <c r="BX30" i="37" l="1"/>
  <c r="BX32" i="37"/>
  <c r="BX34" i="37"/>
  <c r="BX35" i="37"/>
  <c r="BX31" i="37"/>
  <c r="BX33" i="37"/>
  <c r="BX36" i="37"/>
  <c r="BX40" i="37"/>
  <c r="BX37" i="37"/>
  <c r="BX41" i="37"/>
  <c r="BX38" i="37"/>
  <c r="BX42" i="37"/>
  <c r="BX43" i="37"/>
  <c r="BX44" i="37"/>
  <c r="BX45" i="37"/>
  <c r="BX46" i="37"/>
  <c r="BX47" i="37"/>
  <c r="BX48" i="37"/>
  <c r="BX49" i="37"/>
  <c r="BX50" i="37"/>
  <c r="BX51" i="37"/>
  <c r="BX52" i="37"/>
  <c r="BX53" i="37"/>
  <c r="BX54" i="37"/>
  <c r="BX39" i="37"/>
  <c r="BX55" i="37"/>
  <c r="BX56" i="37"/>
  <c r="BX57" i="37"/>
  <c r="BX58" i="37"/>
  <c r="BX59" i="37"/>
  <c r="BX60" i="37"/>
  <c r="BX61" i="37"/>
  <c r="BX62" i="37"/>
  <c r="BX63" i="37"/>
  <c r="BX64" i="37"/>
  <c r="BX65" i="37"/>
  <c r="BX66" i="37"/>
  <c r="BX67" i="37"/>
  <c r="BX68" i="37"/>
  <c r="BX69" i="37"/>
  <c r="BX70" i="37"/>
  <c r="BX71" i="37"/>
  <c r="BX72" i="37"/>
  <c r="BX73" i="37"/>
  <c r="BX74" i="37"/>
  <c r="BX75" i="37"/>
  <c r="BX76" i="37"/>
  <c r="BX77" i="37"/>
  <c r="BX78" i="37"/>
  <c r="BX79" i="37"/>
  <c r="BX80" i="37"/>
  <c r="BX81" i="37"/>
  <c r="BX82" i="37"/>
  <c r="BX83" i="37"/>
  <c r="BX84" i="37"/>
  <c r="BW93" i="37"/>
  <c r="BW91" i="37"/>
  <c r="BW96" i="37"/>
  <c r="BW94" i="37"/>
  <c r="BW92" i="37"/>
  <c r="BW85" i="37"/>
  <c r="BW89" i="37"/>
  <c r="BW86" i="37"/>
  <c r="BW95" i="37"/>
  <c r="BW87" i="37"/>
  <c r="BW88" i="37"/>
  <c r="BW90" i="37"/>
  <c r="BY29" i="37"/>
  <c r="BX28" i="37"/>
  <c r="BY30" i="37" l="1"/>
  <c r="BY31" i="37"/>
  <c r="BY32" i="37"/>
  <c r="BY33" i="37"/>
  <c r="BY34" i="37"/>
  <c r="BY35" i="37"/>
  <c r="BY36" i="37"/>
  <c r="BY37" i="37"/>
  <c r="BY38" i="37"/>
  <c r="BY39" i="37"/>
  <c r="BY40" i="37"/>
  <c r="BY41" i="37"/>
  <c r="BY42" i="37"/>
  <c r="BY45" i="37"/>
  <c r="BY46" i="37"/>
  <c r="BY43" i="37"/>
  <c r="BY47" i="37"/>
  <c r="BY49" i="37"/>
  <c r="BY50" i="37"/>
  <c r="BY51" i="37"/>
  <c r="BY52" i="37"/>
  <c r="BY53" i="37"/>
  <c r="BY54" i="37"/>
  <c r="BY44" i="37"/>
  <c r="BY55" i="37"/>
  <c r="BY59" i="37"/>
  <c r="BY63" i="37"/>
  <c r="BY48" i="37"/>
  <c r="BY56" i="37"/>
  <c r="BY60" i="37"/>
  <c r="BY64" i="37"/>
  <c r="BY67" i="37"/>
  <c r="BY57" i="37"/>
  <c r="BY61" i="37"/>
  <c r="BY58" i="37"/>
  <c r="BY62" i="37"/>
  <c r="BY66" i="37"/>
  <c r="BY68" i="37"/>
  <c r="BY69" i="37"/>
  <c r="BY70" i="37"/>
  <c r="BY71" i="37"/>
  <c r="BY72" i="37"/>
  <c r="BY73" i="37"/>
  <c r="BY74" i="37"/>
  <c r="BY75" i="37"/>
  <c r="BY76" i="37"/>
  <c r="BY65" i="37"/>
  <c r="BY77" i="37"/>
  <c r="BY78" i="37"/>
  <c r="BY79" i="37"/>
  <c r="BY80" i="37"/>
  <c r="BY81" i="37"/>
  <c r="BY82" i="37"/>
  <c r="BY83" i="37"/>
  <c r="BY84" i="37"/>
  <c r="BX96" i="37"/>
  <c r="BX95" i="37"/>
  <c r="BX94" i="37"/>
  <c r="BX93" i="37"/>
  <c r="BX92" i="37"/>
  <c r="BX91" i="37"/>
  <c r="BX90" i="37"/>
  <c r="BX89" i="37"/>
  <c r="BX88" i="37"/>
  <c r="BX87" i="37"/>
  <c r="BX86" i="37"/>
  <c r="BX85" i="37"/>
  <c r="BZ29" i="37"/>
  <c r="BY28" i="37"/>
  <c r="BZ30" i="37" l="1"/>
  <c r="BZ31" i="37"/>
  <c r="BZ32" i="37"/>
  <c r="BZ33" i="37"/>
  <c r="BZ34" i="37"/>
  <c r="BZ35" i="37"/>
  <c r="BZ36" i="37"/>
  <c r="BZ37" i="37"/>
  <c r="BZ38" i="37"/>
  <c r="BZ39" i="37"/>
  <c r="BZ40" i="37"/>
  <c r="BZ41" i="37"/>
  <c r="BZ42" i="37"/>
  <c r="BZ43" i="37"/>
  <c r="BZ44" i="37"/>
  <c r="BZ45" i="37"/>
  <c r="BZ46" i="37"/>
  <c r="BZ47" i="37"/>
  <c r="BZ48" i="37"/>
  <c r="BZ51" i="37"/>
  <c r="BZ55" i="37"/>
  <c r="BZ56" i="37"/>
  <c r="BZ57" i="37"/>
  <c r="BZ58" i="37"/>
  <c r="BZ59" i="37"/>
  <c r="BZ60" i="37"/>
  <c r="BZ61" i="37"/>
  <c r="BZ62" i="37"/>
  <c r="BZ63" i="37"/>
  <c r="BZ64" i="37"/>
  <c r="BZ65" i="37"/>
  <c r="BZ52" i="37"/>
  <c r="BZ49" i="37"/>
  <c r="BZ53" i="37"/>
  <c r="BZ66" i="37"/>
  <c r="BZ68" i="37"/>
  <c r="BZ50" i="37"/>
  <c r="BZ54" i="37"/>
  <c r="BZ67" i="37"/>
  <c r="BZ69" i="37"/>
  <c r="BZ70" i="37"/>
  <c r="BZ71" i="37"/>
  <c r="BZ72" i="37"/>
  <c r="BZ73" i="37"/>
  <c r="BZ74" i="37"/>
  <c r="BZ75" i="37"/>
  <c r="BZ76" i="37"/>
  <c r="BZ84" i="37"/>
  <c r="BZ77" i="37"/>
  <c r="BZ78" i="37"/>
  <c r="BZ79" i="37"/>
  <c r="BZ80" i="37"/>
  <c r="BZ81" i="37"/>
  <c r="BZ82" i="37"/>
  <c r="BZ83" i="37"/>
  <c r="BY96" i="37"/>
  <c r="BY95" i="37"/>
  <c r="BY94" i="37"/>
  <c r="BY93" i="37"/>
  <c r="BY92" i="37"/>
  <c r="BY89" i="37"/>
  <c r="BY86" i="37"/>
  <c r="BY88" i="37"/>
  <c r="BY91" i="37"/>
  <c r="BY90" i="37"/>
  <c r="BY87" i="37"/>
  <c r="BY85" i="37"/>
  <c r="BZ28" i="37"/>
  <c r="CA29" i="37"/>
  <c r="CA30" i="37" l="1"/>
  <c r="CA32" i="37"/>
  <c r="CA34" i="37"/>
  <c r="CA31" i="37"/>
  <c r="CA35" i="37"/>
  <c r="CA33" i="37"/>
  <c r="CA36" i="37"/>
  <c r="CA37" i="37"/>
  <c r="CA38" i="37"/>
  <c r="CA39" i="37"/>
  <c r="CA40" i="37"/>
  <c r="CA41" i="37"/>
  <c r="CA42" i="37"/>
  <c r="CA43" i="37"/>
  <c r="CA44" i="37"/>
  <c r="CA45" i="37"/>
  <c r="CA46" i="37"/>
  <c r="CA47" i="37"/>
  <c r="CA48" i="37"/>
  <c r="CA49" i="37"/>
  <c r="CA50" i="37"/>
  <c r="CA51" i="37"/>
  <c r="CA52" i="37"/>
  <c r="CA53" i="37"/>
  <c r="CA54" i="37"/>
  <c r="CA55" i="37"/>
  <c r="CA56" i="37"/>
  <c r="CA57" i="37"/>
  <c r="CA58" i="37"/>
  <c r="CA59" i="37"/>
  <c r="CA60" i="37"/>
  <c r="CA61" i="37"/>
  <c r="CA62" i="37"/>
  <c r="CA63" i="37"/>
  <c r="CA64" i="37"/>
  <c r="CA65" i="37"/>
  <c r="CA66" i="37"/>
  <c r="CA67" i="37"/>
  <c r="CA68" i="37"/>
  <c r="CA69" i="37"/>
  <c r="CA70" i="37"/>
  <c r="CA71" i="37"/>
  <c r="CA72" i="37"/>
  <c r="CA73" i="37"/>
  <c r="CA74" i="37"/>
  <c r="CA75" i="37"/>
  <c r="CA76" i="37"/>
  <c r="CA77" i="37"/>
  <c r="CA78" i="37"/>
  <c r="CA79" i="37"/>
  <c r="CA80" i="37"/>
  <c r="CA81" i="37"/>
  <c r="CA82" i="37"/>
  <c r="CA83" i="37"/>
  <c r="CA84" i="37"/>
  <c r="BZ96" i="37"/>
  <c r="BZ95" i="37"/>
  <c r="BZ94" i="37"/>
  <c r="BZ86" i="37"/>
  <c r="BZ87" i="37"/>
  <c r="BZ91" i="37"/>
  <c r="BZ88" i="37"/>
  <c r="BZ89" i="37"/>
  <c r="BZ85" i="37"/>
  <c r="BZ92" i="37"/>
  <c r="BZ93" i="37"/>
  <c r="BZ90" i="37"/>
  <c r="CB29" i="37"/>
  <c r="CA28" i="37"/>
  <c r="CB31" i="37" l="1"/>
  <c r="CB33" i="37"/>
  <c r="CB34" i="37"/>
  <c r="CB35" i="37"/>
  <c r="CB30" i="37"/>
  <c r="CB32" i="37"/>
  <c r="CB39" i="37"/>
  <c r="CB36" i="37"/>
  <c r="CB40" i="37"/>
  <c r="CB37" i="37"/>
  <c r="CB41" i="37"/>
  <c r="CB43" i="37"/>
  <c r="CB44" i="37"/>
  <c r="CB45" i="37"/>
  <c r="CB46" i="37"/>
  <c r="CB47" i="37"/>
  <c r="CB48" i="37"/>
  <c r="CB49" i="37"/>
  <c r="CB50" i="37"/>
  <c r="CB51" i="37"/>
  <c r="CB52" i="37"/>
  <c r="CB53" i="37"/>
  <c r="CB54" i="37"/>
  <c r="CB38" i="37"/>
  <c r="CB42" i="37"/>
  <c r="CB55" i="37"/>
  <c r="CB56" i="37"/>
  <c r="CB57" i="37"/>
  <c r="CB58" i="37"/>
  <c r="CB59" i="37"/>
  <c r="CB60" i="37"/>
  <c r="CB61" i="37"/>
  <c r="CB62" i="37"/>
  <c r="CB63" i="37"/>
  <c r="CB64" i="37"/>
  <c r="CB65" i="37"/>
  <c r="CB66" i="37"/>
  <c r="CB67" i="37"/>
  <c r="CB68" i="37"/>
  <c r="CB69" i="37"/>
  <c r="CB70" i="37"/>
  <c r="CB71" i="37"/>
  <c r="CB72" i="37"/>
  <c r="CB73" i="37"/>
  <c r="CB74" i="37"/>
  <c r="CB75" i="37"/>
  <c r="CB76" i="37"/>
  <c r="CB77" i="37"/>
  <c r="CB78" i="37"/>
  <c r="CB79" i="37"/>
  <c r="CB80" i="37"/>
  <c r="CB81" i="37"/>
  <c r="CB82" i="37"/>
  <c r="CB84" i="37"/>
  <c r="CB83" i="37"/>
  <c r="CA96" i="37"/>
  <c r="CA95" i="37"/>
  <c r="CA94" i="37"/>
  <c r="CA93" i="37"/>
  <c r="CA92" i="37"/>
  <c r="CA91" i="37"/>
  <c r="CA90" i="37"/>
  <c r="CA89" i="37"/>
  <c r="CA88" i="37"/>
  <c r="CA87" i="37"/>
  <c r="CA86" i="37"/>
  <c r="CA85" i="37"/>
  <c r="CB28" i="37"/>
  <c r="CC29" i="37"/>
  <c r="CC30" i="37" l="1"/>
  <c r="CC31" i="37"/>
  <c r="CC32" i="37"/>
  <c r="CC33" i="37"/>
  <c r="CC34" i="37"/>
  <c r="CC35" i="37"/>
  <c r="CC36" i="37"/>
  <c r="CC37" i="37"/>
  <c r="CC38" i="37"/>
  <c r="CC39" i="37"/>
  <c r="CC40" i="37"/>
  <c r="CC41" i="37"/>
  <c r="CC42" i="37"/>
  <c r="CC44" i="37"/>
  <c r="CC48" i="37"/>
  <c r="CC45" i="37"/>
  <c r="CC46" i="37"/>
  <c r="CC49" i="37"/>
  <c r="CC50" i="37"/>
  <c r="CC51" i="37"/>
  <c r="CC52" i="37"/>
  <c r="CC53" i="37"/>
  <c r="CC54" i="37"/>
  <c r="CC43" i="37"/>
  <c r="CC47" i="37"/>
  <c r="CC58" i="37"/>
  <c r="CC62" i="37"/>
  <c r="CC55" i="37"/>
  <c r="CC59" i="37"/>
  <c r="CC63" i="37"/>
  <c r="CC66" i="37"/>
  <c r="CC68" i="37"/>
  <c r="CC56" i="37"/>
  <c r="CC60" i="37"/>
  <c r="CC64" i="37"/>
  <c r="CC57" i="37"/>
  <c r="CC61" i="37"/>
  <c r="CC65" i="37"/>
  <c r="CC67" i="37"/>
  <c r="CC69" i="37"/>
  <c r="CC70" i="37"/>
  <c r="CC71" i="37"/>
  <c r="CC72" i="37"/>
  <c r="CC73" i="37"/>
  <c r="CC74" i="37"/>
  <c r="CC75" i="37"/>
  <c r="CC76" i="37"/>
  <c r="CC77" i="37"/>
  <c r="CC78" i="37"/>
  <c r="CC79" i="37"/>
  <c r="CC80" i="37"/>
  <c r="CC81" i="37"/>
  <c r="CC82" i="37"/>
  <c r="CC83" i="37"/>
  <c r="CC84" i="37"/>
  <c r="CB96" i="37"/>
  <c r="CB95" i="37"/>
  <c r="CB94" i="37"/>
  <c r="CB93" i="37"/>
  <c r="CB90" i="37"/>
  <c r="CB92" i="37"/>
  <c r="CB87" i="37"/>
  <c r="CB91" i="37"/>
  <c r="CB89" i="37"/>
  <c r="CB86" i="37"/>
  <c r="CB88" i="37"/>
  <c r="CB85" i="37"/>
  <c r="CD29" i="37"/>
  <c r="CC28" i="37"/>
  <c r="CD30" i="37" l="1"/>
  <c r="CD31" i="37"/>
  <c r="CD32" i="37"/>
  <c r="CD33" i="37"/>
  <c r="CD34" i="37"/>
  <c r="CD35" i="37"/>
  <c r="CD36" i="37"/>
  <c r="CD37" i="37"/>
  <c r="CD38" i="37"/>
  <c r="CD39" i="37"/>
  <c r="CD40" i="37"/>
  <c r="CD41" i="37"/>
  <c r="CD42" i="37"/>
  <c r="CD43" i="37"/>
  <c r="CD44" i="37"/>
  <c r="CD45" i="37"/>
  <c r="CD46" i="37"/>
  <c r="CD47" i="37"/>
  <c r="CD48" i="37"/>
  <c r="CD50" i="37"/>
  <c r="CD54" i="37"/>
  <c r="CD55" i="37"/>
  <c r="CD56" i="37"/>
  <c r="CD57" i="37"/>
  <c r="CD58" i="37"/>
  <c r="CD59" i="37"/>
  <c r="CD60" i="37"/>
  <c r="CD61" i="37"/>
  <c r="CD62" i="37"/>
  <c r="CD63" i="37"/>
  <c r="CD64" i="37"/>
  <c r="CD65" i="37"/>
  <c r="CD51" i="37"/>
  <c r="CD52" i="37"/>
  <c r="CD67" i="37"/>
  <c r="CD49" i="37"/>
  <c r="CD53" i="37"/>
  <c r="CD66" i="37"/>
  <c r="CD68" i="37"/>
  <c r="CD69" i="37"/>
  <c r="CD70" i="37"/>
  <c r="CD71" i="37"/>
  <c r="CD72" i="37"/>
  <c r="CD73" i="37"/>
  <c r="CD74" i="37"/>
  <c r="CD75" i="37"/>
  <c r="CD76" i="37"/>
  <c r="CD83" i="37"/>
  <c r="CD77" i="37"/>
  <c r="CD78" i="37"/>
  <c r="CD79" i="37"/>
  <c r="CD80" i="37"/>
  <c r="CD81" i="37"/>
  <c r="CD82" i="37"/>
  <c r="CD84" i="37"/>
  <c r="CC96" i="37"/>
  <c r="CC95" i="37"/>
  <c r="CC94" i="37"/>
  <c r="CC93" i="37"/>
  <c r="CC92" i="37"/>
  <c r="CC91" i="37"/>
  <c r="CC90" i="37"/>
  <c r="CC89" i="37"/>
  <c r="CC87" i="37"/>
  <c r="CC88" i="37"/>
  <c r="CC86" i="37"/>
  <c r="CC85" i="37"/>
  <c r="CD28" i="37"/>
  <c r="CE29" i="37"/>
  <c r="CE31" i="37" l="1"/>
  <c r="CE33" i="37"/>
  <c r="CE32" i="37"/>
  <c r="CE34" i="37"/>
  <c r="CE35" i="37"/>
  <c r="CE36" i="37"/>
  <c r="CE37" i="37"/>
  <c r="CE38" i="37"/>
  <c r="CE39" i="37"/>
  <c r="CE40" i="37"/>
  <c r="CE41" i="37"/>
  <c r="CE42" i="37"/>
  <c r="CE30" i="37"/>
  <c r="CE43" i="37"/>
  <c r="CE44" i="37"/>
  <c r="CE45" i="37"/>
  <c r="CE46" i="37"/>
  <c r="CE47" i="37"/>
  <c r="CE48" i="37"/>
  <c r="CE49" i="37"/>
  <c r="CE50" i="37"/>
  <c r="CE51" i="37"/>
  <c r="CE52" i="37"/>
  <c r="CE53" i="37"/>
  <c r="CE54" i="37"/>
  <c r="CE55" i="37"/>
  <c r="CE56" i="37"/>
  <c r="CE57" i="37"/>
  <c r="CE58" i="37"/>
  <c r="CE59" i="37"/>
  <c r="CE60" i="37"/>
  <c r="CE61" i="37"/>
  <c r="CE62" i="37"/>
  <c r="CE63" i="37"/>
  <c r="CE64" i="37"/>
  <c r="CE65" i="37"/>
  <c r="CE66" i="37"/>
  <c r="CE67" i="37"/>
  <c r="CE68" i="37"/>
  <c r="CE69" i="37"/>
  <c r="CE70" i="37"/>
  <c r="CE71" i="37"/>
  <c r="CE72" i="37"/>
  <c r="CE73" i="37"/>
  <c r="CE74" i="37"/>
  <c r="CE75" i="37"/>
  <c r="CE76" i="37"/>
  <c r="CE77" i="37"/>
  <c r="CE78" i="37"/>
  <c r="CE79" i="37"/>
  <c r="CE80" i="37"/>
  <c r="CE81" i="37"/>
  <c r="CE82" i="37"/>
  <c r="CE83" i="37"/>
  <c r="CE84" i="37"/>
  <c r="CD96" i="37"/>
  <c r="CD95" i="37"/>
  <c r="CD94" i="37"/>
  <c r="CD93" i="37"/>
  <c r="CD92" i="37"/>
  <c r="CD85" i="37"/>
  <c r="CD88" i="37"/>
  <c r="CD90" i="37"/>
  <c r="CD91" i="37"/>
  <c r="CD87" i="37"/>
  <c r="CD89" i="37"/>
  <c r="CD86" i="37"/>
  <c r="CE28" i="37"/>
  <c r="CF29" i="37"/>
  <c r="CF30" i="37" l="1"/>
  <c r="CF32" i="37"/>
  <c r="CF34" i="37"/>
  <c r="CF35" i="37"/>
  <c r="CF31" i="37"/>
  <c r="CF33" i="37"/>
  <c r="CF38" i="37"/>
  <c r="CF42" i="37"/>
  <c r="CF39" i="37"/>
  <c r="CF36" i="37"/>
  <c r="CF40" i="37"/>
  <c r="CF43" i="37"/>
  <c r="CF44" i="37"/>
  <c r="CF45" i="37"/>
  <c r="CF46" i="37"/>
  <c r="CF47" i="37"/>
  <c r="CF48" i="37"/>
  <c r="CF37" i="37"/>
  <c r="CF49" i="37"/>
  <c r="CF50" i="37"/>
  <c r="CF51" i="37"/>
  <c r="CF52" i="37"/>
  <c r="CF53" i="37"/>
  <c r="CF54" i="37"/>
  <c r="CF41" i="37"/>
  <c r="CF55" i="37"/>
  <c r="CF56" i="37"/>
  <c r="CF57" i="37"/>
  <c r="CF58" i="37"/>
  <c r="CF59" i="37"/>
  <c r="CF60" i="37"/>
  <c r="CF61" i="37"/>
  <c r="CF62" i="37"/>
  <c r="CF63" i="37"/>
  <c r="CF64" i="37"/>
  <c r="CF65" i="37"/>
  <c r="CF66" i="37"/>
  <c r="CF67" i="37"/>
  <c r="CF68" i="37"/>
  <c r="CF69" i="37"/>
  <c r="CF70" i="37"/>
  <c r="CF71" i="37"/>
  <c r="CF72" i="37"/>
  <c r="CF73" i="37"/>
  <c r="CF74" i="37"/>
  <c r="CF75" i="37"/>
  <c r="CF76" i="37"/>
  <c r="CF77" i="37"/>
  <c r="CF78" i="37"/>
  <c r="CF79" i="37"/>
  <c r="CF80" i="37"/>
  <c r="CF81" i="37"/>
  <c r="CF82" i="37"/>
  <c r="CF83" i="37"/>
  <c r="CF84" i="37"/>
  <c r="CE96" i="37"/>
  <c r="CE95" i="37"/>
  <c r="CE94" i="37"/>
  <c r="CE93" i="37"/>
  <c r="CE92" i="37"/>
  <c r="CE88" i="37"/>
  <c r="CE91" i="37"/>
  <c r="CE90" i="37"/>
  <c r="CE86" i="37"/>
  <c r="CE85" i="37"/>
  <c r="CE89" i="37"/>
  <c r="CE87" i="37"/>
  <c r="CF28" i="37"/>
  <c r="CG29" i="37"/>
  <c r="CG30" i="37" l="1"/>
  <c r="CG31" i="37"/>
  <c r="CG32" i="37"/>
  <c r="CG33" i="37"/>
  <c r="CG34" i="37"/>
  <c r="CG35" i="37"/>
  <c r="CG36" i="37"/>
  <c r="CG37" i="37"/>
  <c r="CG38" i="37"/>
  <c r="CG39" i="37"/>
  <c r="CG40" i="37"/>
  <c r="CG41" i="37"/>
  <c r="CG42" i="37"/>
  <c r="CG43" i="37"/>
  <c r="CG47" i="37"/>
  <c r="CG44" i="37"/>
  <c r="CG48" i="37"/>
  <c r="CG45" i="37"/>
  <c r="CG49" i="37"/>
  <c r="CG50" i="37"/>
  <c r="CG51" i="37"/>
  <c r="CG52" i="37"/>
  <c r="CG53" i="37"/>
  <c r="CG54" i="37"/>
  <c r="CG46" i="37"/>
  <c r="CG57" i="37"/>
  <c r="CG61" i="37"/>
  <c r="CG65" i="37"/>
  <c r="CG58" i="37"/>
  <c r="CG62" i="37"/>
  <c r="CG67" i="37"/>
  <c r="CG55" i="37"/>
  <c r="CG59" i="37"/>
  <c r="CG63" i="37"/>
  <c r="CG56" i="37"/>
  <c r="CG60" i="37"/>
  <c r="CG64" i="37"/>
  <c r="CG66" i="37"/>
  <c r="CG68" i="37"/>
  <c r="CG69" i="37"/>
  <c r="CG70" i="37"/>
  <c r="CG71" i="37"/>
  <c r="CG72" i="37"/>
  <c r="CG73" i="37"/>
  <c r="CG74" i="37"/>
  <c r="CG75" i="37"/>
  <c r="CG76" i="37"/>
  <c r="CG77" i="37"/>
  <c r="CG78" i="37"/>
  <c r="CG79" i="37"/>
  <c r="CG80" i="37"/>
  <c r="CG81" i="37"/>
  <c r="CG82" i="37"/>
  <c r="CG83" i="37"/>
  <c r="CG84" i="37"/>
  <c r="CF96" i="37"/>
  <c r="CF95" i="37"/>
  <c r="CF94" i="37"/>
  <c r="CF93" i="37"/>
  <c r="CF92" i="37"/>
  <c r="CF89" i="37"/>
  <c r="CF86" i="37"/>
  <c r="CF91" i="37"/>
  <c r="CF85" i="37"/>
  <c r="CF90" i="37"/>
  <c r="CF88" i="37"/>
  <c r="CF87" i="37"/>
  <c r="CG28" i="37"/>
  <c r="CH29" i="37"/>
  <c r="CH30" i="37" l="1"/>
  <c r="CH31" i="37"/>
  <c r="CH32" i="37"/>
  <c r="CH33" i="37"/>
  <c r="CH34" i="37"/>
  <c r="CH35" i="37"/>
  <c r="CH36" i="37"/>
  <c r="CH37" i="37"/>
  <c r="CH38" i="37"/>
  <c r="CH39" i="37"/>
  <c r="CH40" i="37"/>
  <c r="CH41" i="37"/>
  <c r="CH42" i="37"/>
  <c r="CH43" i="37"/>
  <c r="CH44" i="37"/>
  <c r="CH45" i="37"/>
  <c r="CH46" i="37"/>
  <c r="CH47" i="37"/>
  <c r="CH48" i="37"/>
  <c r="CH49" i="37"/>
  <c r="CH53" i="37"/>
  <c r="CH55" i="37"/>
  <c r="CH56" i="37"/>
  <c r="CH57" i="37"/>
  <c r="CH58" i="37"/>
  <c r="CH59" i="37"/>
  <c r="CH60" i="37"/>
  <c r="CH61" i="37"/>
  <c r="CH62" i="37"/>
  <c r="CH63" i="37"/>
  <c r="CH64" i="37"/>
  <c r="CH65" i="37"/>
  <c r="CH50" i="37"/>
  <c r="CH54" i="37"/>
  <c r="CH51" i="37"/>
  <c r="CH66" i="37"/>
  <c r="CH68" i="37"/>
  <c r="CH52" i="37"/>
  <c r="CH67" i="37"/>
  <c r="CH69" i="37"/>
  <c r="CH70" i="37"/>
  <c r="CH71" i="37"/>
  <c r="CH72" i="37"/>
  <c r="CH73" i="37"/>
  <c r="CH74" i="37"/>
  <c r="CH75" i="37"/>
  <c r="CH76" i="37"/>
  <c r="CH84" i="37"/>
  <c r="CH77" i="37"/>
  <c r="CH78" i="37"/>
  <c r="CH79" i="37"/>
  <c r="CH80" i="37"/>
  <c r="CH81" i="37"/>
  <c r="CH82" i="37"/>
  <c r="CH83" i="37"/>
  <c r="CG96" i="37"/>
  <c r="CG95" i="37"/>
  <c r="CG94" i="37"/>
  <c r="CG93" i="37"/>
  <c r="CG92" i="37"/>
  <c r="CG91" i="37"/>
  <c r="CG89" i="37"/>
  <c r="CG86" i="37"/>
  <c r="CG88" i="37"/>
  <c r="CG90" i="37"/>
  <c r="CG85" i="37"/>
  <c r="CG87" i="37"/>
  <c r="CH28" i="37"/>
  <c r="CI29" i="37"/>
  <c r="CI30" i="37" l="1"/>
  <c r="CI32" i="37"/>
  <c r="CI31" i="37"/>
  <c r="CI34" i="37"/>
  <c r="CI36" i="37"/>
  <c r="CI37" i="37"/>
  <c r="CI38" i="37"/>
  <c r="CI39" i="37"/>
  <c r="CI40" i="37"/>
  <c r="CI41" i="37"/>
  <c r="CI42" i="37"/>
  <c r="CI33" i="37"/>
  <c r="CI43" i="37"/>
  <c r="CI44" i="37"/>
  <c r="CI45" i="37"/>
  <c r="CI46" i="37"/>
  <c r="CI47" i="37"/>
  <c r="CI48" i="37"/>
  <c r="CI35" i="37"/>
  <c r="CI49" i="37"/>
  <c r="CI50" i="37"/>
  <c r="CI51" i="37"/>
  <c r="CI52" i="37"/>
  <c r="CI53" i="37"/>
  <c r="CI54" i="37"/>
  <c r="CI55" i="37"/>
  <c r="CI56" i="37"/>
  <c r="CI57" i="37"/>
  <c r="CI58" i="37"/>
  <c r="CI59" i="37"/>
  <c r="CI60" i="37"/>
  <c r="CI61" i="37"/>
  <c r="CI62" i="37"/>
  <c r="CI63" i="37"/>
  <c r="CI64" i="37"/>
  <c r="CI65" i="37"/>
  <c r="CI66" i="37"/>
  <c r="CI67" i="37"/>
  <c r="CI68" i="37"/>
  <c r="CI69" i="37"/>
  <c r="CI70" i="37"/>
  <c r="CI71" i="37"/>
  <c r="CI72" i="37"/>
  <c r="CI73" i="37"/>
  <c r="CI74" i="37"/>
  <c r="CI75" i="37"/>
  <c r="CI76" i="37"/>
  <c r="CI77" i="37"/>
  <c r="CI78" i="37"/>
  <c r="CI79" i="37"/>
  <c r="CI80" i="37"/>
  <c r="CI81" i="37"/>
  <c r="CI82" i="37"/>
  <c r="CI83" i="37"/>
  <c r="CI84" i="37"/>
  <c r="CH96" i="37"/>
  <c r="CH95" i="37"/>
  <c r="CH94" i="37"/>
  <c r="CH93" i="37"/>
  <c r="CH87" i="37"/>
  <c r="CH90" i="37"/>
  <c r="CH89" i="37"/>
  <c r="CH86" i="37"/>
  <c r="CH85" i="37"/>
  <c r="CH92" i="37"/>
  <c r="CH91" i="37"/>
  <c r="CH88" i="37"/>
  <c r="CI28" i="37"/>
  <c r="CJ29" i="37"/>
  <c r="CJ31" i="37" l="1"/>
  <c r="CJ33" i="37"/>
  <c r="CJ34" i="37"/>
  <c r="CJ35" i="37"/>
  <c r="CJ30" i="37"/>
  <c r="CJ32" i="37"/>
  <c r="CJ37" i="37"/>
  <c r="CJ41" i="37"/>
  <c r="CJ38" i="37"/>
  <c r="CJ42" i="37"/>
  <c r="CJ39" i="37"/>
  <c r="CJ43" i="37"/>
  <c r="CJ44" i="37"/>
  <c r="CJ45" i="37"/>
  <c r="CJ46" i="37"/>
  <c r="CJ47" i="37"/>
  <c r="CJ48" i="37"/>
  <c r="CJ36" i="37"/>
  <c r="CJ40" i="37"/>
  <c r="CJ49" i="37"/>
  <c r="CJ50" i="37"/>
  <c r="CJ51" i="37"/>
  <c r="CJ52" i="37"/>
  <c r="CJ53" i="37"/>
  <c r="CJ54" i="37"/>
  <c r="CJ55" i="37"/>
  <c r="CJ56" i="37"/>
  <c r="CJ57" i="37"/>
  <c r="CJ58" i="37"/>
  <c r="CJ59" i="37"/>
  <c r="CJ60" i="37"/>
  <c r="CJ61" i="37"/>
  <c r="CJ62" i="37"/>
  <c r="CJ63" i="37"/>
  <c r="CJ64" i="37"/>
  <c r="CJ65" i="37"/>
  <c r="CJ66" i="37"/>
  <c r="CJ67" i="37"/>
  <c r="CJ68" i="37"/>
  <c r="CJ69" i="37"/>
  <c r="CJ70" i="37"/>
  <c r="CJ71" i="37"/>
  <c r="CJ72" i="37"/>
  <c r="CJ73" i="37"/>
  <c r="CJ74" i="37"/>
  <c r="CJ75" i="37"/>
  <c r="CJ76" i="37"/>
  <c r="CJ77" i="37"/>
  <c r="CJ78" i="37"/>
  <c r="CJ79" i="37"/>
  <c r="CJ80" i="37"/>
  <c r="CJ81" i="37"/>
  <c r="CJ82" i="37"/>
  <c r="CJ83" i="37"/>
  <c r="CJ84" i="37"/>
  <c r="CI96" i="37"/>
  <c r="CI90" i="37"/>
  <c r="CI95" i="37"/>
  <c r="CI85" i="37"/>
  <c r="CI93" i="37"/>
  <c r="CI92" i="37"/>
  <c r="CI91" i="37"/>
  <c r="CI88" i="37"/>
  <c r="CI87" i="37"/>
  <c r="CI94" i="37"/>
  <c r="CI89" i="37"/>
  <c r="CI86" i="37"/>
  <c r="CJ28" i="37"/>
  <c r="CK29" i="37"/>
  <c r="CK30" i="37" l="1"/>
  <c r="CK31" i="37"/>
  <c r="CK32" i="37"/>
  <c r="CK33" i="37"/>
  <c r="CK34" i="37"/>
  <c r="CK35" i="37"/>
  <c r="CK36" i="37"/>
  <c r="CK37" i="37"/>
  <c r="CK38" i="37"/>
  <c r="CK39" i="37"/>
  <c r="CK40" i="37"/>
  <c r="CK41" i="37"/>
  <c r="CK42" i="37"/>
  <c r="CK46" i="37"/>
  <c r="CK43" i="37"/>
  <c r="CK47" i="37"/>
  <c r="CK44" i="37"/>
  <c r="CK48" i="37"/>
  <c r="CK49" i="37"/>
  <c r="CK50" i="37"/>
  <c r="CK51" i="37"/>
  <c r="CK52" i="37"/>
  <c r="CK53" i="37"/>
  <c r="CK54" i="37"/>
  <c r="CK45" i="37"/>
  <c r="CK56" i="37"/>
  <c r="CK60" i="37"/>
  <c r="CK64" i="37"/>
  <c r="CK57" i="37"/>
  <c r="CK61" i="37"/>
  <c r="CK65" i="37"/>
  <c r="CK66" i="37"/>
  <c r="CK68" i="37"/>
  <c r="CK58" i="37"/>
  <c r="CK62" i="37"/>
  <c r="CK55" i="37"/>
  <c r="CK59" i="37"/>
  <c r="CK63" i="37"/>
  <c r="CK67" i="37"/>
  <c r="CK69" i="37"/>
  <c r="CK70" i="37"/>
  <c r="CK71" i="37"/>
  <c r="CK72" i="37"/>
  <c r="CK73" i="37"/>
  <c r="CK74" i="37"/>
  <c r="CK75" i="37"/>
  <c r="CK76" i="37"/>
  <c r="CK77" i="37"/>
  <c r="CK78" i="37"/>
  <c r="CK79" i="37"/>
  <c r="CK80" i="37"/>
  <c r="CK81" i="37"/>
  <c r="CK82" i="37"/>
  <c r="CK83" i="37"/>
  <c r="CK84" i="37"/>
  <c r="CJ96" i="37"/>
  <c r="CJ95" i="37"/>
  <c r="CJ94" i="37"/>
  <c r="CJ93" i="37"/>
  <c r="CJ92" i="37"/>
  <c r="CJ91" i="37"/>
  <c r="CJ90" i="37"/>
  <c r="CJ89" i="37"/>
  <c r="CJ88" i="37"/>
  <c r="CJ87" i="37"/>
  <c r="CJ86" i="37"/>
  <c r="CJ85" i="37"/>
  <c r="CK28" i="37"/>
  <c r="CL29" i="37"/>
  <c r="CL30" i="37" l="1"/>
  <c r="CL31" i="37"/>
  <c r="CL32" i="37"/>
  <c r="CL33" i="37"/>
  <c r="CL34" i="37"/>
  <c r="CL35" i="37"/>
  <c r="CL36" i="37"/>
  <c r="CL37" i="37"/>
  <c r="CL38" i="37"/>
  <c r="CL39" i="37"/>
  <c r="CL40" i="37"/>
  <c r="CL41" i="37"/>
  <c r="CL42" i="37"/>
  <c r="CL43" i="37"/>
  <c r="CL44" i="37"/>
  <c r="CL45" i="37"/>
  <c r="CL46" i="37"/>
  <c r="CL47" i="37"/>
  <c r="CL48" i="37"/>
  <c r="CL52" i="37"/>
  <c r="CL55" i="37"/>
  <c r="CL56" i="37"/>
  <c r="CL57" i="37"/>
  <c r="CL58" i="37"/>
  <c r="CL59" i="37"/>
  <c r="CL60" i="37"/>
  <c r="CL61" i="37"/>
  <c r="CL62" i="37"/>
  <c r="CL63" i="37"/>
  <c r="CL64" i="37"/>
  <c r="CL65" i="37"/>
  <c r="CL49" i="37"/>
  <c r="CL53" i="37"/>
  <c r="CL50" i="37"/>
  <c r="CL54" i="37"/>
  <c r="CL51" i="37"/>
  <c r="CL67" i="37"/>
  <c r="CL68" i="37"/>
  <c r="CL66" i="37"/>
  <c r="CL69" i="37"/>
  <c r="CL70" i="37"/>
  <c r="CL71" i="37"/>
  <c r="CL72" i="37"/>
  <c r="CL73" i="37"/>
  <c r="CL74" i="37"/>
  <c r="CL75" i="37"/>
  <c r="CL76" i="37"/>
  <c r="CL82" i="37"/>
  <c r="CL83" i="37"/>
  <c r="CL84" i="37"/>
  <c r="CL77" i="37"/>
  <c r="CL78" i="37"/>
  <c r="CL79" i="37"/>
  <c r="CL80" i="37"/>
  <c r="CL81" i="37"/>
  <c r="CK96" i="37"/>
  <c r="CK95" i="37"/>
  <c r="CK94" i="37"/>
  <c r="CK93" i="37"/>
  <c r="CK92" i="37"/>
  <c r="CK88" i="37"/>
  <c r="CK90" i="37"/>
  <c r="CK85" i="37"/>
  <c r="CK87" i="37"/>
  <c r="CK91" i="37"/>
  <c r="CK89" i="37"/>
  <c r="CK86" i="37"/>
  <c r="CL28" i="37"/>
  <c r="CM29" i="37"/>
  <c r="CM31" i="37" l="1"/>
  <c r="CM33" i="37"/>
  <c r="CM30" i="37"/>
  <c r="CM35" i="37"/>
  <c r="CM32" i="37"/>
  <c r="CM36" i="37"/>
  <c r="CM37" i="37"/>
  <c r="CM38" i="37"/>
  <c r="CM39" i="37"/>
  <c r="CM40" i="37"/>
  <c r="CM41" i="37"/>
  <c r="CM42" i="37"/>
  <c r="CM43" i="37"/>
  <c r="CM44" i="37"/>
  <c r="CM45" i="37"/>
  <c r="CM46" i="37"/>
  <c r="CM47" i="37"/>
  <c r="CM48" i="37"/>
  <c r="CM34" i="37"/>
  <c r="CM49" i="37"/>
  <c r="CM50" i="37"/>
  <c r="CM51" i="37"/>
  <c r="CM52" i="37"/>
  <c r="CM53" i="37"/>
  <c r="CM54" i="37"/>
  <c r="CM55" i="37"/>
  <c r="CM56" i="37"/>
  <c r="CM57" i="37"/>
  <c r="CM58" i="37"/>
  <c r="CM59" i="37"/>
  <c r="CM60" i="37"/>
  <c r="CM61" i="37"/>
  <c r="CM62" i="37"/>
  <c r="CM63" i="37"/>
  <c r="CM64" i="37"/>
  <c r="CM65" i="37"/>
  <c r="CM66" i="37"/>
  <c r="CM67" i="37"/>
  <c r="CM68" i="37"/>
  <c r="CM69" i="37"/>
  <c r="CM70" i="37"/>
  <c r="CM71" i="37"/>
  <c r="CM72" i="37"/>
  <c r="CM73" i="37"/>
  <c r="CM74" i="37"/>
  <c r="CM75" i="37"/>
  <c r="CM76" i="37"/>
  <c r="CM77" i="37"/>
  <c r="CM78" i="37"/>
  <c r="CM79" i="37"/>
  <c r="CM80" i="37"/>
  <c r="CM81" i="37"/>
  <c r="CM82" i="37"/>
  <c r="CM83" i="37"/>
  <c r="CM84" i="37"/>
  <c r="CL96" i="37"/>
  <c r="CL95" i="37"/>
  <c r="CL94" i="37"/>
  <c r="CL91" i="37"/>
  <c r="CL85" i="37"/>
  <c r="CL89" i="37"/>
  <c r="CL86" i="37"/>
  <c r="CL93" i="37"/>
  <c r="CL92" i="37"/>
  <c r="CL88" i="37"/>
  <c r="CL90" i="37"/>
  <c r="CL87" i="37"/>
  <c r="CM28" i="37"/>
  <c r="CN29" i="37"/>
  <c r="CN30" i="37" l="1"/>
  <c r="CN32" i="37"/>
  <c r="CN34" i="37"/>
  <c r="CN35" i="37"/>
  <c r="CN31" i="37"/>
  <c r="CN33" i="37"/>
  <c r="CN36" i="37"/>
  <c r="CN40" i="37"/>
  <c r="CN37" i="37"/>
  <c r="CN41" i="37"/>
  <c r="CN38" i="37"/>
  <c r="CN42" i="37"/>
  <c r="CN43" i="37"/>
  <c r="CN44" i="37"/>
  <c r="CN45" i="37"/>
  <c r="CN46" i="37"/>
  <c r="CN47" i="37"/>
  <c r="CN48" i="37"/>
  <c r="CN39" i="37"/>
  <c r="CN49" i="37"/>
  <c r="CN50" i="37"/>
  <c r="CN51" i="37"/>
  <c r="CN52" i="37"/>
  <c r="CN53" i="37"/>
  <c r="CN54" i="37"/>
  <c r="CN55" i="37"/>
  <c r="CN56" i="37"/>
  <c r="CN57" i="37"/>
  <c r="CN58" i="37"/>
  <c r="CN59" i="37"/>
  <c r="CN60" i="37"/>
  <c r="CN61" i="37"/>
  <c r="CN62" i="37"/>
  <c r="CN63" i="37"/>
  <c r="CN64" i="37"/>
  <c r="CN65" i="37"/>
  <c r="CN66" i="37"/>
  <c r="CN67" i="37"/>
  <c r="CN68" i="37"/>
  <c r="CN69" i="37"/>
  <c r="CN70" i="37"/>
  <c r="CN71" i="37"/>
  <c r="CN72" i="37"/>
  <c r="CN73" i="37"/>
  <c r="CN74" i="37"/>
  <c r="CN75" i="37"/>
  <c r="CN76" i="37"/>
  <c r="CN77" i="37"/>
  <c r="CN78" i="37"/>
  <c r="CN79" i="37"/>
  <c r="CN80" i="37"/>
  <c r="CN81" i="37"/>
  <c r="CN82" i="37"/>
  <c r="CN83" i="37"/>
  <c r="CN84" i="37"/>
  <c r="CM96" i="37"/>
  <c r="CM95" i="37"/>
  <c r="CM94" i="37"/>
  <c r="CM93" i="37"/>
  <c r="CM92" i="37"/>
  <c r="CM91" i="37"/>
  <c r="CM90" i="37"/>
  <c r="CM89" i="37"/>
  <c r="CM88" i="37"/>
  <c r="CM87" i="37"/>
  <c r="CM86" i="37"/>
  <c r="CM85" i="37"/>
  <c r="CN28" i="37"/>
  <c r="CO29" i="37"/>
  <c r="CO30" i="37" l="1"/>
  <c r="CO31" i="37"/>
  <c r="CO32" i="37"/>
  <c r="CO33" i="37"/>
  <c r="CO34" i="37"/>
  <c r="CO35" i="37"/>
  <c r="CO36" i="37"/>
  <c r="CO37" i="37"/>
  <c r="CO38" i="37"/>
  <c r="CO39" i="37"/>
  <c r="CO40" i="37"/>
  <c r="CO41" i="37"/>
  <c r="CO42" i="37"/>
  <c r="CO45" i="37"/>
  <c r="CO46" i="37"/>
  <c r="CO43" i="37"/>
  <c r="CO47" i="37"/>
  <c r="CO49" i="37"/>
  <c r="CO50" i="37"/>
  <c r="CO51" i="37"/>
  <c r="CO52" i="37"/>
  <c r="CO53" i="37"/>
  <c r="CO54" i="37"/>
  <c r="CO48" i="37"/>
  <c r="CO44" i="37"/>
  <c r="CO55" i="37"/>
  <c r="CO59" i="37"/>
  <c r="CO63" i="37"/>
  <c r="CO56" i="37"/>
  <c r="CO60" i="37"/>
  <c r="CO64" i="37"/>
  <c r="CO67" i="37"/>
  <c r="CO57" i="37"/>
  <c r="CO61" i="37"/>
  <c r="CO58" i="37"/>
  <c r="CO62" i="37"/>
  <c r="CO66" i="37"/>
  <c r="CO65" i="37"/>
  <c r="CO68" i="37"/>
  <c r="CO69" i="37"/>
  <c r="CO70" i="37"/>
  <c r="CO71" i="37"/>
  <c r="CO72" i="37"/>
  <c r="CO73" i="37"/>
  <c r="CO74" i="37"/>
  <c r="CO75" i="37"/>
  <c r="CO76" i="37"/>
  <c r="CO77" i="37"/>
  <c r="CO78" i="37"/>
  <c r="CO79" i="37"/>
  <c r="CO80" i="37"/>
  <c r="CO81" i="37"/>
  <c r="CO82" i="37"/>
  <c r="CO83" i="37"/>
  <c r="CO84" i="37"/>
  <c r="CN96" i="37"/>
  <c r="CN95" i="37"/>
  <c r="CN94" i="37"/>
  <c r="CN93" i="37"/>
  <c r="CN91" i="37"/>
  <c r="CN89" i="37"/>
  <c r="CN86" i="37"/>
  <c r="CN88" i="37"/>
  <c r="CN87" i="37"/>
  <c r="CN92" i="37"/>
  <c r="CN90" i="37"/>
  <c r="CN85" i="37"/>
  <c r="CP29" i="37"/>
  <c r="CO28" i="37"/>
  <c r="CP30" i="37" l="1"/>
  <c r="CP31" i="37"/>
  <c r="CP32" i="37"/>
  <c r="CP33" i="37"/>
  <c r="CP34" i="37"/>
  <c r="CP35" i="37"/>
  <c r="CP36" i="37"/>
  <c r="CP37" i="37"/>
  <c r="CP38" i="37"/>
  <c r="CP39" i="37"/>
  <c r="CP40" i="37"/>
  <c r="CP41" i="37"/>
  <c r="CP42" i="37"/>
  <c r="CP43" i="37"/>
  <c r="CP44" i="37"/>
  <c r="CP45" i="37"/>
  <c r="CP46" i="37"/>
  <c r="CP47" i="37"/>
  <c r="CP48" i="37"/>
  <c r="CP51" i="37"/>
  <c r="CP55" i="37"/>
  <c r="CP56" i="37"/>
  <c r="CP57" i="37"/>
  <c r="CP58" i="37"/>
  <c r="CP59" i="37"/>
  <c r="CP60" i="37"/>
  <c r="CP61" i="37"/>
  <c r="CP62" i="37"/>
  <c r="CP63" i="37"/>
  <c r="CP64" i="37"/>
  <c r="CP65" i="37"/>
  <c r="CP52" i="37"/>
  <c r="CP49" i="37"/>
  <c r="CP53" i="37"/>
  <c r="CP54" i="37"/>
  <c r="CP66" i="37"/>
  <c r="CP68" i="37"/>
  <c r="CP50" i="37"/>
  <c r="CP67" i="37"/>
  <c r="CP69" i="37"/>
  <c r="CP70" i="37"/>
  <c r="CP71" i="37"/>
  <c r="CP72" i="37"/>
  <c r="CP73" i="37"/>
  <c r="CP74" i="37"/>
  <c r="CP75" i="37"/>
  <c r="CP76" i="37"/>
  <c r="CP77" i="37"/>
  <c r="CP78" i="37"/>
  <c r="CP79" i="37"/>
  <c r="CP80" i="37"/>
  <c r="CP81" i="37"/>
  <c r="CP82" i="37"/>
  <c r="CP83" i="37"/>
  <c r="CP84" i="37"/>
  <c r="CO96" i="37"/>
  <c r="CO95" i="37"/>
  <c r="CO94" i="37"/>
  <c r="CO93" i="37"/>
  <c r="CO92" i="37"/>
  <c r="CO91" i="37"/>
  <c r="CO90" i="37"/>
  <c r="CO89" i="37"/>
  <c r="CO86" i="37"/>
  <c r="CO87" i="37"/>
  <c r="CO85" i="37"/>
  <c r="CO88" i="37"/>
  <c r="CP28" i="37"/>
  <c r="CQ29" i="37"/>
  <c r="CQ30" i="37" l="1"/>
  <c r="CQ32" i="37"/>
  <c r="CQ33" i="37"/>
  <c r="CQ34" i="37"/>
  <c r="CQ35" i="37"/>
  <c r="CQ36" i="37"/>
  <c r="CQ37" i="37"/>
  <c r="CQ38" i="37"/>
  <c r="CQ39" i="37"/>
  <c r="CQ40" i="37"/>
  <c r="CQ41" i="37"/>
  <c r="CQ42" i="37"/>
  <c r="CQ31" i="37"/>
  <c r="CQ43" i="37"/>
  <c r="CQ44" i="37"/>
  <c r="CQ45" i="37"/>
  <c r="CQ46" i="37"/>
  <c r="CQ47" i="37"/>
  <c r="CQ48" i="37"/>
  <c r="CQ49" i="37"/>
  <c r="CQ50" i="37"/>
  <c r="CQ51" i="37"/>
  <c r="CQ52" i="37"/>
  <c r="CQ53" i="37"/>
  <c r="CQ54" i="37"/>
  <c r="CQ55" i="37"/>
  <c r="CQ56" i="37"/>
  <c r="CQ57" i="37"/>
  <c r="CQ58" i="37"/>
  <c r="CQ59" i="37"/>
  <c r="CQ60" i="37"/>
  <c r="CQ61" i="37"/>
  <c r="CQ62" i="37"/>
  <c r="CQ63" i="37"/>
  <c r="CQ64" i="37"/>
  <c r="CQ65" i="37"/>
  <c r="CQ66" i="37"/>
  <c r="CQ67" i="37"/>
  <c r="CQ68" i="37"/>
  <c r="CQ69" i="37"/>
  <c r="CQ70" i="37"/>
  <c r="CQ71" i="37"/>
  <c r="CQ72" i="37"/>
  <c r="CQ73" i="37"/>
  <c r="CQ74" i="37"/>
  <c r="CQ75" i="37"/>
  <c r="CQ76" i="37"/>
  <c r="CQ77" i="37"/>
  <c r="CQ78" i="37"/>
  <c r="CQ79" i="37"/>
  <c r="CQ80" i="37"/>
  <c r="CQ81" i="37"/>
  <c r="CQ82" i="37"/>
  <c r="CQ83" i="37"/>
  <c r="CQ84" i="37"/>
  <c r="CP96" i="37"/>
  <c r="CP95" i="37"/>
  <c r="CP94" i="37"/>
  <c r="CP93" i="37"/>
  <c r="CP92" i="37"/>
  <c r="CP89" i="37"/>
  <c r="CP87" i="37"/>
  <c r="CP85" i="37"/>
  <c r="CP86" i="37"/>
  <c r="CP90" i="37"/>
  <c r="CP91" i="37"/>
  <c r="CP88" i="37"/>
  <c r="CR29" i="37"/>
  <c r="CQ28" i="37"/>
  <c r="CR31" i="37" l="1"/>
  <c r="CR33" i="37"/>
  <c r="CR34" i="37"/>
  <c r="CR35" i="37"/>
  <c r="CR30" i="37"/>
  <c r="CR32" i="37"/>
  <c r="CR39" i="37"/>
  <c r="CR36" i="37"/>
  <c r="CR40" i="37"/>
  <c r="CR37" i="37"/>
  <c r="CR41" i="37"/>
  <c r="CR43" i="37"/>
  <c r="CR44" i="37"/>
  <c r="CR45" i="37"/>
  <c r="CR46" i="37"/>
  <c r="CR47" i="37"/>
  <c r="CR48" i="37"/>
  <c r="CR42" i="37"/>
  <c r="CR49" i="37"/>
  <c r="CR50" i="37"/>
  <c r="CR51" i="37"/>
  <c r="CR52" i="37"/>
  <c r="CR53" i="37"/>
  <c r="CR54" i="37"/>
  <c r="CR38" i="37"/>
  <c r="CR55" i="37"/>
  <c r="CR56" i="37"/>
  <c r="CR57" i="37"/>
  <c r="CR58" i="37"/>
  <c r="CR59" i="37"/>
  <c r="CR60" i="37"/>
  <c r="CR61" i="37"/>
  <c r="CR62" i="37"/>
  <c r="CR63" i="37"/>
  <c r="CR64" i="37"/>
  <c r="CR65" i="37"/>
  <c r="CR66" i="37"/>
  <c r="CR67" i="37"/>
  <c r="CR68" i="37"/>
  <c r="CR69" i="37"/>
  <c r="CR70" i="37"/>
  <c r="CR71" i="37"/>
  <c r="CR72" i="37"/>
  <c r="CR73" i="37"/>
  <c r="CR74" i="37"/>
  <c r="CR75" i="37"/>
  <c r="CR76" i="37"/>
  <c r="CR77" i="37"/>
  <c r="CR78" i="37"/>
  <c r="CR79" i="37"/>
  <c r="CR80" i="37"/>
  <c r="CR81" i="37"/>
  <c r="CR82" i="37"/>
  <c r="CR83" i="37"/>
  <c r="CR84" i="37"/>
  <c r="CQ96" i="37"/>
  <c r="CQ95" i="37"/>
  <c r="CQ94" i="37"/>
  <c r="CQ93" i="37"/>
  <c r="CQ92" i="37"/>
  <c r="CQ87" i="37"/>
  <c r="CQ88" i="37"/>
  <c r="CQ91" i="37"/>
  <c r="CQ89" i="37"/>
  <c r="CQ90" i="37"/>
  <c r="CQ85" i="37"/>
  <c r="CQ86" i="37"/>
  <c r="CR28" i="37"/>
  <c r="CS29" i="37"/>
  <c r="CS30" i="37" l="1"/>
  <c r="CS31" i="37"/>
  <c r="CS32" i="37"/>
  <c r="CS33" i="37"/>
  <c r="CS34" i="37"/>
  <c r="CS35" i="37"/>
  <c r="CS36" i="37"/>
  <c r="CS37" i="37"/>
  <c r="CS38" i="37"/>
  <c r="CS39" i="37"/>
  <c r="CS40" i="37"/>
  <c r="CS41" i="37"/>
  <c r="CS42" i="37"/>
  <c r="CS44" i="37"/>
  <c r="CS48" i="37"/>
  <c r="CS45" i="37"/>
  <c r="CS46" i="37"/>
  <c r="CS49" i="37"/>
  <c r="CS50" i="37"/>
  <c r="CS51" i="37"/>
  <c r="CS52" i="37"/>
  <c r="CS53" i="37"/>
  <c r="CS54" i="37"/>
  <c r="CS43" i="37"/>
  <c r="CS47" i="37"/>
  <c r="CS58" i="37"/>
  <c r="CS62" i="37"/>
  <c r="CS55" i="37"/>
  <c r="CS59" i="37"/>
  <c r="CS63" i="37"/>
  <c r="CS66" i="37"/>
  <c r="CS68" i="37"/>
  <c r="CS56" i="37"/>
  <c r="CS60" i="37"/>
  <c r="CS64" i="37"/>
  <c r="CS57" i="37"/>
  <c r="CS61" i="37"/>
  <c r="CS65" i="37"/>
  <c r="CS67" i="37"/>
  <c r="CS69" i="37"/>
  <c r="CS70" i="37"/>
  <c r="CS71" i="37"/>
  <c r="CS72" i="37"/>
  <c r="CS73" i="37"/>
  <c r="CS74" i="37"/>
  <c r="CS75" i="37"/>
  <c r="CS76" i="37"/>
  <c r="CS77" i="37"/>
  <c r="CS78" i="37"/>
  <c r="CS79" i="37"/>
  <c r="CS80" i="37"/>
  <c r="CS81" i="37"/>
  <c r="CS82" i="37"/>
  <c r="CS83" i="37"/>
  <c r="CS84" i="37"/>
  <c r="CR96" i="37"/>
  <c r="CR95" i="37"/>
  <c r="CR94" i="37"/>
  <c r="CR93" i="37"/>
  <c r="CR90" i="37"/>
  <c r="CR85" i="37"/>
  <c r="CR88" i="37"/>
  <c r="CR92" i="37"/>
  <c r="CR91" i="37"/>
  <c r="CR87" i="37"/>
  <c r="CR86" i="37"/>
  <c r="CR89" i="37"/>
  <c r="CS28" i="37"/>
  <c r="CT29" i="37"/>
  <c r="CT30" i="37" l="1"/>
  <c r="CT31" i="37"/>
  <c r="CT32" i="37"/>
  <c r="CT33" i="37"/>
  <c r="CT34" i="37"/>
  <c r="CT35" i="37"/>
  <c r="CT36" i="37"/>
  <c r="CT37" i="37"/>
  <c r="CT38" i="37"/>
  <c r="CT39" i="37"/>
  <c r="CT40" i="37"/>
  <c r="CT41" i="37"/>
  <c r="CT42" i="37"/>
  <c r="CT43" i="37"/>
  <c r="CT44" i="37"/>
  <c r="CT45" i="37"/>
  <c r="CT46" i="37"/>
  <c r="CT47" i="37"/>
  <c r="CT48" i="37"/>
  <c r="CT50" i="37"/>
  <c r="CT54" i="37"/>
  <c r="CT55" i="37"/>
  <c r="CT56" i="37"/>
  <c r="CT57" i="37"/>
  <c r="CT58" i="37"/>
  <c r="CT59" i="37"/>
  <c r="CT60" i="37"/>
  <c r="CT61" i="37"/>
  <c r="CT62" i="37"/>
  <c r="CT63" i="37"/>
  <c r="CT64" i="37"/>
  <c r="CT65" i="37"/>
  <c r="CT51" i="37"/>
  <c r="CT52" i="37"/>
  <c r="CT67" i="37"/>
  <c r="CT49" i="37"/>
  <c r="CT53" i="37"/>
  <c r="CT66" i="37"/>
  <c r="CT68" i="37"/>
  <c r="CT69" i="37"/>
  <c r="CT70" i="37"/>
  <c r="CT71" i="37"/>
  <c r="CT72" i="37"/>
  <c r="CT73" i="37"/>
  <c r="CT74" i="37"/>
  <c r="CT75" i="37"/>
  <c r="CT76" i="37"/>
  <c r="CT82" i="37"/>
  <c r="CT83" i="37"/>
  <c r="CT84" i="37"/>
  <c r="CT77" i="37"/>
  <c r="CT78" i="37"/>
  <c r="CT79" i="37"/>
  <c r="CT80" i="37"/>
  <c r="CT81" i="37"/>
  <c r="CS96" i="37"/>
  <c r="CS95" i="37"/>
  <c r="CS94" i="37"/>
  <c r="CS93" i="37"/>
  <c r="CS92" i="37"/>
  <c r="CS88" i="37"/>
  <c r="CS86" i="37"/>
  <c r="CS89" i="37"/>
  <c r="CS85" i="37"/>
  <c r="CS90" i="37"/>
  <c r="CS87" i="37"/>
  <c r="CS91" i="37"/>
  <c r="CV84" i="37"/>
  <c r="CV83" i="37"/>
  <c r="CV82" i="37"/>
  <c r="CV81" i="37"/>
  <c r="CV80" i="37"/>
  <c r="CT28" i="37"/>
  <c r="CU29" i="37"/>
  <c r="CU31" i="37" l="1"/>
  <c r="CU33" i="37"/>
  <c r="CU30" i="37"/>
  <c r="CU34" i="37"/>
  <c r="CU32" i="37"/>
  <c r="CU35" i="37"/>
  <c r="CU36" i="37"/>
  <c r="CU37" i="37"/>
  <c r="CU38" i="37"/>
  <c r="CU39" i="37"/>
  <c r="CU40" i="37"/>
  <c r="CU41" i="37"/>
  <c r="CU42" i="37"/>
  <c r="CU43" i="37"/>
  <c r="CU44" i="37"/>
  <c r="CU45" i="37"/>
  <c r="CU46" i="37"/>
  <c r="CU47" i="37"/>
  <c r="CU48" i="37"/>
  <c r="CU49" i="37"/>
  <c r="CU50" i="37"/>
  <c r="CU51" i="37"/>
  <c r="CU52" i="37"/>
  <c r="CU53" i="37"/>
  <c r="CU54" i="37"/>
  <c r="CU55" i="37"/>
  <c r="CU56" i="37"/>
  <c r="CU57" i="37"/>
  <c r="CU58" i="37"/>
  <c r="CU59" i="37"/>
  <c r="CU60" i="37"/>
  <c r="CU61" i="37"/>
  <c r="CU62" i="37"/>
  <c r="CU63" i="37"/>
  <c r="CU64" i="37"/>
  <c r="CU65" i="37"/>
  <c r="CU66" i="37"/>
  <c r="CU67" i="37"/>
  <c r="CU68" i="37"/>
  <c r="CU69" i="37"/>
  <c r="CU70" i="37"/>
  <c r="CU71" i="37"/>
  <c r="CU72" i="37"/>
  <c r="CU73" i="37"/>
  <c r="CU74" i="37"/>
  <c r="CU75" i="37"/>
  <c r="CU76" i="37"/>
  <c r="CU77" i="37"/>
  <c r="CU78" i="37"/>
  <c r="CU79" i="37"/>
  <c r="CU80" i="37"/>
  <c r="CU81" i="37"/>
  <c r="CU82" i="37"/>
  <c r="CU83" i="37"/>
  <c r="CU84" i="37"/>
  <c r="CT96" i="37"/>
  <c r="CT95" i="37"/>
  <c r="CT94" i="37"/>
  <c r="CT93" i="37"/>
  <c r="CT86" i="37"/>
  <c r="CT92" i="37"/>
  <c r="CT91" i="37"/>
  <c r="CT90" i="37"/>
  <c r="CT85" i="37"/>
  <c r="CT87" i="37"/>
  <c r="CT88" i="37"/>
  <c r="CT89" i="37"/>
  <c r="CW84" i="37"/>
  <c r="CW83" i="37"/>
  <c r="CW82" i="37"/>
  <c r="CW81" i="37"/>
  <c r="CW80" i="37"/>
  <c r="CU28" i="37"/>
  <c r="C45" i="19" l="1"/>
  <c r="C53" i="19"/>
  <c r="C54" i="19" l="1"/>
  <c r="C46" i="19"/>
  <c r="C51" i="19" l="1"/>
  <c r="C50" i="19" l="1"/>
  <c r="C55"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7B74B-0DBB-4BF1-A7DE-5698B13845F2}" keepAlive="1" name="Query - FromProposal" description="Connection to the 'FromProposal' query in the workbook." type="5" refreshedVersion="8" background="1" saveData="1">
    <dbPr connection="Provider=Microsoft.Mashup.OleDb.1;Data Source=$Workbook$;Location=FromProposal;Extended Properties=&quot;&quot;" command="SELECT * FROM [FromProposal]"/>
  </connection>
  <connection id="2" xr16:uid="{8DE257EE-DAEB-4596-BC1E-28526168BD2E}" keepAlive="1" name="Query - Proposal" description="Connection to the 'Proposal' query in the workbook." type="5" refreshedVersion="7" background="1" saveData="1">
    <dbPr connection="Provider=Microsoft.Mashup.OleDb.1;Data Source=$Workbook$;Location=Proposal;Extended Properties=&quot;&quot;" command="SELECT * FROM [Proposal]"/>
  </connection>
  <connection id="3" xr16:uid="{99B8A5AE-B634-4F62-9A3D-26C4E9127160}" keepAlive="1" interval="5" name="Query - ProposalToGnatt" description="Connection to the 'ProposalToGnatt' query in the workbook." type="5" refreshedVersion="8" background="1" refreshOnLoad="1" saveData="1">
    <dbPr connection="Provider=Microsoft.Mashup.OleDb.1;Data Source=$Workbook$;Location=ProposalToGnatt;Extended Properties=&quot;&quot;" command="SELECT * FROM [ProposalToGnat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<sst xmlns="http://schemas.openxmlformats.org/spreadsheetml/2006/main" count="1212" uniqueCount="778">
  <si>
    <t>Flip, Hold or Wholetale:</t>
  </si>
  <si>
    <t>flip</t>
  </si>
  <si>
    <t>Buy</t>
  </si>
  <si>
    <t>Your Home LLC</t>
  </si>
  <si>
    <t>3325 Banks Rd, Raleigh, NC 27603</t>
  </si>
  <si>
    <t>Monthly Cash Flow</t>
  </si>
  <si>
    <t>Hearing Date:</t>
  </si>
  <si>
    <t>Income</t>
  </si>
  <si>
    <t>Immediate</t>
  </si>
  <si>
    <t>Upon Sale</t>
  </si>
  <si>
    <t>CMA:</t>
  </si>
  <si>
    <t>Finalized:</t>
  </si>
  <si>
    <t>No</t>
  </si>
  <si>
    <t>Todays' date:</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</si>
  <si>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</si>
  <si>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</si>
  <si>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</si>
  <si>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</si>
  <si>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</si>
  <si>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</si>
  <si>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</si>
  <si>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</si>
  <si>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</si>
  <si>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</si>
  <si>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</si>
  <si>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</si>
  <si>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</si>
  <si>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</si>
  <si>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</si>
  <si>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</si>
  <si>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</si>
  <si>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</si>
  <si>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</si>
  <si>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</si>
  <si>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</si>
  <si>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</si>
  <si>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</si>
  <si>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Mortgage Payment - 2nd:</t>
  </si>
  <si>
    <t>Property Insurance</t>
  </si>
  <si>
    <t>HOA Fees (monthly)</t>
  </si>
  <si>
    <t>Electric</t>
  </si>
  <si>
    <t>water</t>
  </si>
  <si>
    <t>1st Mortgage</t>
  </si>
  <si>
    <t>Carrying Cost</t>
  </si>
  <si>
    <t>Purchase  Cost</t>
  </si>
  <si>
    <t>Private Lender</t>
  </si>
  <si>
    <t>Neal Issacs</t>
  </si>
  <si>
    <t>Private Lender  Rate:</t>
  </si>
  <si>
    <t>yes</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</si>
  <si>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</si>
  <si>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</si>
  <si>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</si>
  <si>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</si>
  <si>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</si>
  <si>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</si>
  <si>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</si>
  <si>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</si>
  <si>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</si>
  <si>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</si>
  <si>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</si>
  <si>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</si>
  <si>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</si>
  <si>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</si>
  <si>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</si>
  <si>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</si>
  <si>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</si>
  <si>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</si>
  <si>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</si>
  <si>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</si>
  <si>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</si>
  <si>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</si>
  <si>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</si>
  <si>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</si>
  <si>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</si>
  <si>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</si>
  <si>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</si>
  <si>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</si>
  <si>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</si>
  <si>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</si>
  <si>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</si>
  <si>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</si>
  <si>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</si>
  <si>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Days Invested</t>
  </si>
  <si>
    <t>Start Date</t>
  </si>
  <si>
    <t>End Date</t>
  </si>
  <si>
    <t>Wire Fee</t>
  </si>
  <si>
    <t>Deed Package:</t>
  </si>
  <si>
    <t>Indemnety:</t>
  </si>
  <si>
    <t>Ttitle Search:</t>
  </si>
  <si>
    <t>Cancelation Fee:</t>
  </si>
  <si>
    <t>Overnight Express Fees:</t>
  </si>
  <si>
    <t>Title Insurance:</t>
  </si>
  <si>
    <t>Affadavits:</t>
  </si>
  <si>
    <t>Notice to Creditors Ad</t>
  </si>
  <si>
    <t>Recording Fee Deed:</t>
  </si>
  <si>
    <t>Transfer Taxes - Wake County</t>
  </si>
  <si>
    <t>Revenue Stamps</t>
  </si>
  <si>
    <t xml:space="preserve">LLC Manager Fee </t>
  </si>
  <si>
    <t>This value is carried up to cell C36,                        Labeled Buying Closing Cost</t>
  </si>
  <si>
    <t>Selling Closing Cost</t>
  </si>
  <si>
    <t>Seller concesson:</t>
  </si>
  <si>
    <t>Home Warrenty:</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</si>
  <si>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</si>
  <si>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</si>
  <si>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</si>
  <si>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</si>
  <si>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</si>
  <si>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</si>
  <si>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</si>
  <si>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</si>
  <si>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</si>
  <si>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</si>
  <si>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</si>
  <si>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</si>
  <si>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</si>
  <si>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</si>
  <si>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</si>
  <si>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</si>
  <si>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</si>
  <si>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</si>
  <si>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</si>
  <si>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</si>
  <si>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</si>
  <si>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</si>
  <si>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</si>
  <si>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</si>
  <si>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</si>
  <si>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</si>
  <si>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</si>
  <si>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</si>
  <si>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</si>
  <si>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</si>
  <si>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</si>
  <si>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</si>
  <si>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</si>
  <si>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</si>
  <si>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</si>
  <si>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</si>
  <si>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</si>
  <si>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</si>
  <si>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</si>
  <si>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</si>
  <si>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</si>
  <si>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</si>
  <si>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</si>
  <si>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</si>
  <si>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</si>
  <si>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</si>
  <si>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</si>
  <si>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</si>
  <si>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</si>
  <si>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</si>
  <si>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</si>
  <si>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</si>
  <si>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</si>
  <si>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</si>
  <si>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</si>
  <si>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</si>
  <si>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</si>
  <si>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</si>
  <si>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</si>
  <si>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</si>
  <si>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6004  Sandy Run</t>
  </si>
  <si>
    <t>Larchmont</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</si>
  <si>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</si>
  <si>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</si>
  <si>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</si>
  <si>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</si>
  <si>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</si>
  <si>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</si>
  <si>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</si>
  <si>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</si>
  <si>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</si>
  <si>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</si>
  <si>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</si>
  <si>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</si>
  <si>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</si>
  <si>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Yes</t>
  </si>
  <si>
    <t xml:space="preserve"> </t>
  </si>
  <si>
    <t>Letter of Authorization</t>
  </si>
  <si>
    <t>Yes (2)</t>
  </si>
  <si>
    <t>Reinstatement Quote</t>
  </si>
  <si>
    <t>Bank Acknowledgement</t>
  </si>
  <si>
    <t>On-Line Bank Access</t>
  </si>
  <si>
    <t>Change Mail</t>
  </si>
  <si>
    <t>Bank Attorney letter of dismisal</t>
  </si>
  <si>
    <t>na</t>
  </si>
  <si>
    <t>Get (orignal) Property Authorization</t>
  </si>
  <si>
    <t>After Purchase</t>
  </si>
  <si>
    <t>Insurance Claim for Roof</t>
  </si>
  <si>
    <t>Locks Changed</t>
  </si>
  <si>
    <t>Gas Service</t>
  </si>
  <si>
    <t>Electrical &amp; Water Service</t>
  </si>
  <si>
    <t>Rehab bids</t>
  </si>
  <si>
    <t>In progress</t>
  </si>
  <si>
    <t>Order Dumpster</t>
  </si>
  <si>
    <t>n/a</t>
  </si>
  <si>
    <t>A/C service</t>
  </si>
  <si>
    <t>Establish Mortgage payment</t>
  </si>
  <si>
    <t>Remove PMI</t>
  </si>
  <si>
    <t>Claim Property on Zillow</t>
  </si>
  <si>
    <t xml:space="preserve">yes  </t>
  </si>
  <si>
    <t>Add property to Our Website</t>
  </si>
  <si>
    <t>Make sure deed and agreement are done</t>
  </si>
  <si>
    <t>Change Insurance</t>
  </si>
  <si>
    <t>Get Insurance payments installed</t>
  </si>
  <si>
    <t>Add Private Lender to Insurance</t>
  </si>
  <si>
    <t>In progess Add Scott Moore</t>
  </si>
  <si>
    <t>Probate letters - Notice to Creditors</t>
  </si>
  <si>
    <t>Upon Sales Contract</t>
  </si>
  <si>
    <t>Send Clay contract</t>
  </si>
  <si>
    <t>Get Payoff Letter from Mortgage</t>
  </si>
  <si>
    <t>Respond to Closing Attorney</t>
  </si>
  <si>
    <t>Turn off utilities</t>
  </si>
  <si>
    <t>Alert Private Lenders</t>
  </si>
  <si>
    <t>Upon Closing</t>
  </si>
  <si>
    <t>Documents to send to Clay</t>
  </si>
  <si>
    <t>Send Clay CD/Alta signed by all</t>
  </si>
  <si>
    <t>Drop Insurance</t>
  </si>
  <si>
    <t>Totals Across Projects</t>
  </si>
  <si>
    <t>Total CMA:</t>
  </si>
  <si>
    <t>Total Purchase Cost:</t>
  </si>
  <si>
    <t>Total Rehab Expense:</t>
  </si>
  <si>
    <t>Total Debt</t>
  </si>
  <si>
    <t>Monthly Carring Cost:</t>
  </si>
  <si>
    <t>Monthly Income: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</si>
  <si>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</si>
  <si>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</si>
  <si>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</si>
  <si>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</si>
  <si>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</si>
  <si>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</si>
  <si>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</si>
  <si>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</si>
  <si>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</si>
  <si>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</si>
  <si>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</si>
  <si>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</si>
  <si>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</si>
  <si>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</si>
  <si>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</si>
  <si>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Zola Turner</t>
  </si>
  <si>
    <t>SS#: 404-54-1686</t>
  </si>
  <si>
    <t>Karen Reilly</t>
  </si>
  <si>
    <t>SS#: 244-23-5473</t>
  </si>
  <si>
    <t>Could be SS#: 244-23-5173</t>
  </si>
  <si>
    <t>Scooby Steve Power Wash</t>
  </si>
  <si>
    <t>919-714-9713</t>
  </si>
  <si>
    <t>Steve Simeus</t>
  </si>
  <si>
    <t>Power Wash</t>
  </si>
  <si>
    <t>Mortgagee</t>
  </si>
  <si>
    <t>Additional Insured</t>
  </si>
  <si>
    <t>Loss Payee</t>
  </si>
  <si>
    <t>Lenders Loss Payee</t>
  </si>
  <si>
    <t>Certificate</t>
  </si>
  <si>
    <t>Braswell Realty</t>
  </si>
  <si>
    <t>919-262-6828</t>
  </si>
  <si>
    <t>Brantley Baker</t>
  </si>
  <si>
    <t>brantley@eldridgeandfranklin.com</t>
  </si>
  <si>
    <t>RE Investor - contacts</t>
  </si>
  <si>
    <t>Rushmore Loan Services</t>
  </si>
  <si>
    <t>919 579 8743</t>
  </si>
  <si>
    <t>LaLogallazo@gmail.com</t>
  </si>
  <si>
    <t>Painter</t>
  </si>
  <si>
    <t>Handyman of Hedingham</t>
  </si>
  <si>
    <t>919-819-6201</t>
  </si>
  <si>
    <t>Tim Fleming</t>
  </si>
  <si>
    <t>Handyman</t>
  </si>
  <si>
    <t>Hedingham</t>
  </si>
  <si>
    <t>LoLa Turner</t>
  </si>
  <si>
    <t>The Raleigh Handyman</t>
  </si>
  <si>
    <t>919-210-1525</t>
  </si>
  <si>
    <t>Alan C Thompson</t>
  </si>
  <si>
    <t>ac63yhompson@gmail.com</t>
  </si>
  <si>
    <t>Scott Moore</t>
  </si>
  <si>
    <t>Caliber Flooring, Inc</t>
  </si>
  <si>
    <t>919-977-1153</t>
  </si>
  <si>
    <t>Jennifer Lynn</t>
  </si>
  <si>
    <t xml:space="preserve">Flooring </t>
  </si>
  <si>
    <t>1239 Wicker Drive</t>
  </si>
  <si>
    <t>Referral Sarah Huffman</t>
  </si>
  <si>
    <t>Andy  Carlson</t>
  </si>
  <si>
    <t>(213) 293-7539</t>
  </si>
  <si>
    <t>andycarlson27@yahoo.com</t>
  </si>
  <si>
    <t>True Service Heating and AC</t>
  </si>
  <si>
    <t>919 794 1804</t>
  </si>
  <si>
    <t>Matt Truelove</t>
  </si>
  <si>
    <t>Matt@trueserviceinc.com</t>
  </si>
  <si>
    <t>Walter Brothers</t>
  </si>
  <si>
    <t>919 228 9107</t>
  </si>
  <si>
    <t>Walter@GlasgowDB.com</t>
  </si>
  <si>
    <t>Rushmore Loan Mangement</t>
  </si>
  <si>
    <t>888 504 6700</t>
  </si>
  <si>
    <t>888 504 7200</t>
  </si>
  <si>
    <t>User:WesWill@BuyYourHomeLLC.com</t>
  </si>
  <si>
    <t>PW:w3638B0@</t>
  </si>
  <si>
    <t>New Mortage Info:</t>
  </si>
  <si>
    <t>877 888 4606</t>
  </si>
  <si>
    <t>Loan #708108824</t>
  </si>
  <si>
    <t>https://www.rushmoreservicing.com</t>
  </si>
  <si>
    <t>Rushmore Servicing</t>
  </si>
  <si>
    <t>Att: Payment Processing</t>
  </si>
  <si>
    <t>PO BOX 650783</t>
  </si>
  <si>
    <t>Dallas, TX 75265-0783</t>
  </si>
  <si>
    <t>3rd party authorization</t>
  </si>
  <si>
    <t>Fax 949 341 2242</t>
  </si>
  <si>
    <t>sent on 9/21/21</t>
  </si>
  <si>
    <t>PW:W3638B0@</t>
  </si>
  <si>
    <t>SS# 404 54 1686</t>
  </si>
  <si>
    <t>SS# 244 23 5473</t>
  </si>
  <si>
    <t>NREIG</t>
  </si>
  <si>
    <t>770 734 1523</t>
  </si>
  <si>
    <t>Jennifer Knight</t>
  </si>
  <si>
    <t>NRE8120320</t>
  </si>
  <si>
    <t>https://nreig.com/contact/</t>
  </si>
  <si>
    <t>Insurance National Real Estate Insurance Group LLC</t>
  </si>
  <si>
    <t>Morgagee Clause: Truest Bank ISAOA/ATIMA, PO Box 47047,Atlanta GA, 30362</t>
  </si>
  <si>
    <t>juriscition</t>
  </si>
  <si>
    <t>Wake County</t>
  </si>
  <si>
    <t>Zoning</t>
  </si>
  <si>
    <t>R-30</t>
  </si>
  <si>
    <t>Acres</t>
  </si>
  <si>
    <t>All Utilities</t>
  </si>
  <si>
    <t>Mortgage Payment paid after Reinstatement</t>
  </si>
  <si>
    <t>Insurance Payments</t>
  </si>
  <si>
    <t>Aqua America (Water)</t>
  </si>
  <si>
    <t>Utility</t>
  </si>
  <si>
    <t>Date</t>
  </si>
  <si>
    <t>Tax</t>
  </si>
  <si>
    <t>payment</t>
  </si>
  <si>
    <t>Duke</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</si>
  <si>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</si>
  <si>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</si>
  <si>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</si>
  <si>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</si>
  <si>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</si>
  <si>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</si>
  <si>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</si>
  <si>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</si>
  <si>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</si>
  <si>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</si>
  <si>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</si>
  <si>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</si>
  <si>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</si>
  <si>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</si>
  <si>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</si>
  <si>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</si>
  <si>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</si>
  <si>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</si>
  <si>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</si>
  <si>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</si>
  <si>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</si>
  <si>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</si>
  <si>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</si>
  <si>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</si>
  <si>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</si>
  <si>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</si>
  <si>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Clean out House</t>
  </si>
  <si>
    <t>Contract</t>
  </si>
  <si>
    <t>Deck labor</t>
  </si>
  <si>
    <t>Deck material</t>
  </si>
  <si>
    <t>... Demo</t>
  </si>
  <si>
    <t>Demo labor</t>
  </si>
  <si>
    <t>20 Millwork &amp; Trim</t>
  </si>
  <si>
    <t>22 Specialty</t>
  </si>
  <si>
    <t>Bath Accessories</t>
  </si>
  <si>
    <t>Building Permits</t>
  </si>
  <si>
    <t>Electrical &amp; Lighting</t>
  </si>
  <si>
    <t>Frame labor</t>
  </si>
  <si>
    <t>Frame materials</t>
  </si>
  <si>
    <t>Insulation</t>
  </si>
  <si>
    <t>Landscaping &amp; Paving</t>
  </si>
  <si>
    <t>Miscellaneous</t>
  </si>
  <si>
    <t>Plumbing</t>
  </si>
  <si>
    <t>Siding labor</t>
  </si>
  <si>
    <t>Siding material</t>
  </si>
  <si>
    <t>... Site Preparation</t>
  </si>
  <si>
    <t>Trim labor</t>
  </si>
  <si>
    <t>Frame Labor</t>
  </si>
  <si>
    <t>Sheetrock</t>
  </si>
  <si>
    <t>Trim Labor</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</si>
  <si>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</si>
  <si>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</si>
  <si>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</si>
  <si>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</si>
  <si>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</si>
  <si>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</si>
  <si>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</si>
  <si>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</si>
  <si>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</si>
  <si>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</si>
  <si>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</si>
  <si>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</si>
  <si>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</si>
  <si>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</si>
  <si>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</si>
  <si>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</si>
  <si>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Days</t>
  </si>
  <si>
    <t>Paid</t>
  </si>
  <si>
    <t>Expense</t>
  </si>
  <si>
    <t>Due:</t>
  </si>
  <si>
    <t>Project Start Date:</t>
  </si>
  <si>
    <t>Company  Paid  Materials Total:</t>
  </si>
  <si>
    <t>Jonathan Brothers</t>
  </si>
  <si>
    <t>Contractors Total:</t>
  </si>
  <si>
    <t>Milestone Marker:</t>
  </si>
  <si>
    <t>Glasgow Total:</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</si>
  <si>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</si>
  <si>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</si>
  <si>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</si>
  <si>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</si>
  <si>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</si>
  <si>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Due</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</si>
  <si>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</si>
  <si>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</si>
  <si>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</si>
  <si>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</si>
  <si>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</si>
  <si>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</si>
  <si>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</si>
  <si>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</si>
  <si>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</si>
  <si>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</si>
  <si>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</si>
  <si>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</si>
  <si>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</si>
  <si>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</si>
  <si>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</si>
  <si>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</si>
  <si>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Esitimate on new build</t>
  </si>
  <si>
    <t>Scrolling Increment:</t>
  </si>
  <si>
    <t>Remodeling Solutions</t>
  </si>
  <si>
    <t>Design Plans</t>
  </si>
  <si>
    <t>Love Services</t>
  </si>
  <si>
    <t>HVAC Contractor - Package Heat Pump</t>
  </si>
  <si>
    <t>HVAC Contractor - Duct Work</t>
  </si>
  <si>
    <t>Glasgow Design Items (all items should be updated from Proposal or ProposalUpdate tab)</t>
  </si>
  <si>
    <t>Glasgow</t>
  </si>
  <si>
    <t/>
  </si>
  <si>
    <t>This is for taxes paid, outside of closing process</t>
  </si>
  <si>
    <t>Gov't Entity</t>
  </si>
  <si>
    <t>Tax Event</t>
  </si>
  <si>
    <t>19-22</t>
  </si>
  <si>
    <t>Property Transfer Tax</t>
  </si>
  <si>
    <t>QUANTA FINANCE</t>
  </si>
  <si>
    <t>CLIENT:</t>
  </si>
  <si>
    <t>TBD</t>
  </si>
  <si>
    <t>DATE:</t>
  </si>
  <si>
    <t>PROJECT:</t>
  </si>
  <si>
    <t>DESCRIPTION OF WORK</t>
  </si>
  <si>
    <t xml:space="preserve">REHAB BUDGET </t>
  </si>
  <si>
    <t>PRE-FUNDING COSTS</t>
  </si>
  <si>
    <t>SCHEDULED VALUES</t>
  </si>
  <si>
    <t>Soft Costs (Plans/Permits/Fees)</t>
  </si>
  <si>
    <t>Demo &amp; Trash Haul</t>
  </si>
  <si>
    <t>Sitework/ Shoring</t>
  </si>
  <si>
    <t>Foundation</t>
  </si>
  <si>
    <t>Framing</t>
  </si>
  <si>
    <t>Plumbing Finish Materials</t>
  </si>
  <si>
    <t>Plumbing install/ Rough</t>
  </si>
  <si>
    <t>Electrical Finish Materials</t>
  </si>
  <si>
    <t>Electrical Install/ rough</t>
  </si>
  <si>
    <t>Metal Works (iron, etc.)</t>
  </si>
  <si>
    <t xml:space="preserve">HVAC </t>
  </si>
  <si>
    <t>Roof</t>
  </si>
  <si>
    <t>Stucco, Siding, Etc. Coverings</t>
  </si>
  <si>
    <t>Drywall</t>
  </si>
  <si>
    <t>Tile Finish Materials</t>
  </si>
  <si>
    <t>Tile Installations</t>
  </si>
  <si>
    <t>Doors/ Windows</t>
  </si>
  <si>
    <t>Finish Carpentry</t>
  </si>
  <si>
    <t>Paint/ Specialties</t>
  </si>
  <si>
    <t>Glazing (Glass installs)</t>
  </si>
  <si>
    <t>Hardware</t>
  </si>
  <si>
    <t xml:space="preserve">Pool </t>
  </si>
  <si>
    <t>Appliances</t>
  </si>
  <si>
    <t>Countertops (w/ Install)</t>
  </si>
  <si>
    <t>General Labor</t>
  </si>
  <si>
    <t>Landscaping</t>
  </si>
  <si>
    <t>Hardscape</t>
  </si>
  <si>
    <t>Fireplaces</t>
  </si>
  <si>
    <t>General Contractor</t>
  </si>
  <si>
    <t>Cabinets</t>
  </si>
  <si>
    <t>Bathrooms</t>
  </si>
  <si>
    <t>Fence</t>
  </si>
  <si>
    <t>PM Fee</t>
  </si>
  <si>
    <t>Open Item</t>
  </si>
  <si>
    <t>Staging &amp; final Clean up</t>
  </si>
  <si>
    <t>Contingency</t>
  </si>
  <si>
    <t>Owner's Contribution</t>
  </si>
  <si>
    <t>TOTAL</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</si>
  <si>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</si>
  <si>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</si>
  <si>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</si>
  <si>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</si>
  <si>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</si>
  <si>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</si>
  <si>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</si>
  <si>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</si>
  <si>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</si>
  <si>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</si>
  <si>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</si>
  <si>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</si>
  <si>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</si>
  <si>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</si>
  <si>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</si>
  <si>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</si>
  <si>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</si>
  <si>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</si>
  <si>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</si>
  <si>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</si>
  <si>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</si>
  <si>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</si>
  <si>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</si>
  <si>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</si>
  <si>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</si>
  <si>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</si>
  <si>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</si>
  <si>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</si>
  <si>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</si>
  <si>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</si>
  <si>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</si>
  <si>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</si>
  <si>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</si>
  <si>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</si>
  <si>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</si>
  <si>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</si>
  <si>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</si>
  <si>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</si>
  <si>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</si>
  <si>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</si>
  <si>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</si>
  <si>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</si>
  <si>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</si>
  <si>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</si>
  <si>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</si>
  <si>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Hall Bath Mirror</t>
  </si>
  <si>
    <t>Vender</t>
  </si>
  <si>
    <t>Per Event</t>
  </si>
  <si>
    <t>Iterations</t>
  </si>
  <si>
    <t>Carge</t>
  </si>
  <si>
    <t>Sub Total</t>
  </si>
  <si>
    <t>Meridian</t>
  </si>
  <si>
    <t>15 Yrd Delivery</t>
  </si>
  <si>
    <t>15 yard Haul swap</t>
  </si>
  <si>
    <t>C&amp;D Disp</t>
  </si>
  <si>
    <t>Fuel Surcharge</t>
  </si>
  <si>
    <t>Dest Fee</t>
  </si>
  <si>
    <t>Admin Fee</t>
  </si>
  <si>
    <t>Environmental Fee</t>
  </si>
  <si>
    <t>Inv 1</t>
  </si>
  <si>
    <t>inv 2</t>
  </si>
  <si>
    <t>Inv 4816485</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</si>
  <si>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</si>
  <si>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</si>
  <si>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</si>
  <si>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</si>
  <si>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</si>
  <si>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</si>
  <si>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</si>
  <si>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</si>
  <si>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</si>
  <si>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</si>
  <si>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</si>
  <si>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</si>
  <si>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Accumulating tax</t>
  </si>
  <si>
    <t>FB Ref</t>
  </si>
  <si>
    <t>Total for Appliances:</t>
  </si>
  <si>
    <t>Lowes Kitchen Faucet</t>
  </si>
  <si>
    <t>Lowes Bath Accessory Kit</t>
  </si>
  <si>
    <t>Lowes Shower Head</t>
  </si>
  <si>
    <t>Lowes Bath Faucets</t>
  </si>
  <si>
    <t>toilets</t>
  </si>
  <si>
    <t>Resurface tubs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</si>
  <si>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</si>
  <si>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</si>
  <si>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</si>
  <si>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</si>
  <si>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</si>
  <si>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</si>
  <si>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</si>
  <si>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</si>
  <si>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</si>
  <si>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</si>
  <si>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</si>
  <si>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</si>
  <si>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</si>
  <si>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</si>
  <si>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</si>
  <si>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</si>
  <si>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</si>
  <si>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Int Dummy knobs</t>
  </si>
  <si>
    <t>HD</t>
  </si>
  <si>
    <t>L399125</t>
  </si>
  <si>
    <t>Bed/bath knob</t>
  </si>
  <si>
    <t>HD883624</t>
  </si>
  <si>
    <t>Lowes Front door kw powerbolt</t>
  </si>
  <si>
    <t>Lowes Front door kw door handle</t>
  </si>
  <si>
    <t>HD Ext Deadbolt combo</t>
  </si>
  <si>
    <t>Laundry room Fr Doors</t>
  </si>
  <si>
    <t>HD154372</t>
  </si>
  <si>
    <t>Closet door knob</t>
  </si>
  <si>
    <t>HD883767</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</si>
  <si>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</si>
  <si>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</si>
  <si>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</si>
  <si>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</si>
  <si>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</si>
  <si>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</si>
  <si>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</si>
  <si>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</si>
  <si>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</si>
  <si>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</si>
  <si>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</si>
  <si>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</si>
  <si>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</si>
  <si>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</si>
  <si>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</si>
  <si>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</si>
  <si>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</si>
  <si>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</si>
  <si>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</si>
  <si>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</si>
  <si>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</si>
  <si>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</si>
  <si>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</si>
  <si>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</si>
  <si>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</si>
  <si>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</si>
  <si>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</si>
  <si>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</si>
  <si>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Pilier</t>
  </si>
  <si>
    <t>Cabinet Hardware</t>
  </si>
  <si>
    <t>Vanities - Sun HS Warehouse</t>
  </si>
  <si>
    <t>Satin Nick cabinet knob</t>
  </si>
  <si>
    <t>Arched 3" Drawer pull</t>
  </si>
  <si>
    <t>Lowes 10 pk Matte Black Knob</t>
  </si>
  <si>
    <t>HD Satin Nickel Knobs</t>
  </si>
  <si>
    <t>Paint</t>
  </si>
  <si>
    <t>Sq Ft</t>
  </si>
  <si>
    <t>Interior Wall Paint</t>
  </si>
  <si>
    <t xml:space="preserve">SW   </t>
  </si>
  <si>
    <t>6509-48698</t>
  </si>
  <si>
    <t>SW</t>
  </si>
  <si>
    <t>6510-78628</t>
  </si>
  <si>
    <t>5 gal Lowes Kilz</t>
  </si>
  <si>
    <t>6508-68102</t>
  </si>
  <si>
    <t>HD Behr Int/ext black paint</t>
  </si>
  <si>
    <t>HD White Int/ext white paint</t>
  </si>
  <si>
    <t>HD 5 gal Wh Flat Int ceiling</t>
  </si>
  <si>
    <t>Valspar</t>
  </si>
  <si>
    <t>L1028086</t>
  </si>
  <si>
    <t>SW 5galover White</t>
  </si>
  <si>
    <t>6504-06788</t>
  </si>
  <si>
    <t>Kitchen Cabinets</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</si>
  <si>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</si>
  <si>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</si>
  <si>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</si>
  <si>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</si>
  <si>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</si>
  <si>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</si>
  <si>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</si>
  <si>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</si>
  <si>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Ongoing tax</t>
  </si>
  <si>
    <t>Lowes Sub Total for Paint</t>
  </si>
  <si>
    <t>Inside</t>
  </si>
  <si>
    <t>Front Porch</t>
  </si>
  <si>
    <t>Back Porch</t>
  </si>
  <si>
    <t>Floor</t>
  </si>
  <si>
    <t>LVP Floor Installation</t>
  </si>
  <si>
    <t>LVP Floor Repair RediCarpet #2</t>
  </si>
  <si>
    <t>LVP Floor RediCarpet #1</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</si>
  <si>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</si>
  <si>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</si>
  <si>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</si>
  <si>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</si>
  <si>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</si>
  <si>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</si>
  <si>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</si>
  <si>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</si>
  <si>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</si>
  <si>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</si>
  <si>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</si>
  <si>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</si>
  <si>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</si>
  <si>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</si>
  <si>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</si>
  <si>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</si>
  <si>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</si>
  <si>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</si>
  <si>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</si>
  <si>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</si>
  <si>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</si>
  <si>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</si>
  <si>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</si>
  <si>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</si>
  <si>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LED Bulbs</t>
  </si>
  <si>
    <t>HD1006211602</t>
  </si>
  <si>
    <t>Outdoor flood light fixture</t>
  </si>
  <si>
    <t>HD233840</t>
  </si>
  <si>
    <t>Hall Light</t>
  </si>
  <si>
    <t>HD385544</t>
  </si>
  <si>
    <t>Flood Light Bulbs</t>
  </si>
  <si>
    <t>HD1006248217</t>
  </si>
  <si>
    <t>Wall protectors</t>
  </si>
  <si>
    <t>HD316307</t>
  </si>
  <si>
    <t>Cost/sf</t>
  </si>
  <si>
    <t>Square Feet</t>
  </si>
  <si>
    <t>cost/unit</t>
  </si>
  <si>
    <t>SubTotal</t>
  </si>
  <si>
    <t>Andrew</t>
  </si>
  <si>
    <t>6/23/22-11/15/23</t>
  </si>
  <si>
    <t>Grenview Works</t>
  </si>
  <si>
    <t>Mow Grass 8/5/23</t>
  </si>
  <si>
    <t>Mow Grass 10/2/23</t>
  </si>
  <si>
    <t>Mow Grass 11/2/23</t>
  </si>
  <si>
    <t>Mow Grass 4/24/24</t>
  </si>
  <si>
    <t>Mow Grass 5/25/24</t>
  </si>
  <si>
    <t>Cost/item</t>
  </si>
  <si>
    <t>Hourly Rate:</t>
  </si>
  <si>
    <t>Lowes Mailbox</t>
  </si>
  <si>
    <t>Mailbox post</t>
  </si>
  <si>
    <t>HD106052</t>
  </si>
  <si>
    <t>Crawl Plumbing</t>
  </si>
  <si>
    <t>Siding Repair</t>
  </si>
  <si>
    <t>Drainage repair</t>
  </si>
  <si>
    <t>Oil Tank remidation</t>
  </si>
  <si>
    <t>Deck rebuild</t>
  </si>
  <si>
    <t>Masking tape</t>
  </si>
  <si>
    <t>Drop cloths</t>
  </si>
  <si>
    <t>Power wash</t>
  </si>
  <si>
    <t>Property</t>
  </si>
  <si>
    <t>Home Type</t>
  </si>
  <si>
    <t>Est. Property Value</t>
  </si>
  <si>
    <t>Lot Rent / Mo</t>
  </si>
  <si>
    <t>Tenant Payment / Mo</t>
  </si>
  <si>
    <t>Property Tax / Mo</t>
  </si>
  <si>
    <t>Insurance / Mo</t>
  </si>
  <si>
    <t>Monthly Net Spread</t>
  </si>
  <si>
    <t>Annual Net Spread</t>
  </si>
  <si>
    <t>Expense % of Payment</t>
  </si>
  <si>
    <t>Net Spread Margin</t>
  </si>
  <si>
    <t>Net Yield on Value</t>
  </si>
  <si>
    <t>Max Value @ 10%</t>
  </si>
  <si>
    <t>Max Value @ 12%</t>
  </si>
  <si>
    <t>Max Value @ 15%</t>
  </si>
  <si>
    <t>Summary / Document Outputs</t>
  </si>
  <si>
    <t>Total Trade Property Value Proposed</t>
  </si>
  <si>
    <t>Total Liens or Deductions</t>
  </si>
  <si>
    <t>Total Net Trade Credit Included</t>
  </si>
  <si>
    <t>Total Tenant Rent</t>
  </si>
  <si>
    <t>Total Monthly Expenses</t>
  </si>
  <si>
    <t>Trade Properties - Manufactured Home Credit Analysis</t>
  </si>
  <si>
    <t>Total Monthly Net Spread:</t>
  </si>
  <si>
    <t>Use this tab for valuation and support detail only. Contract generators should read only the final document fields exposed on Replacement Docs. Proposed values are analysis inputs until titles/bills of sale, lien releases, possession/keys, tenant/rent information, and park/lot approvals are delivered and accepted.</t>
  </si>
  <si>
    <t>Total Annual Net Spread:</t>
  </si>
  <si>
    <t>Implied Value at 10% Yield</t>
  </si>
  <si>
    <t>Expected monthly net spread from future Contract for Deed/resale payments after lot rent, property tax, and insurance</t>
  </si>
  <si>
    <t>Implied Value at 12% Yield</t>
  </si>
  <si>
    <t>Property Address</t>
  </si>
  <si>
    <t>Monthly Expenses</t>
  </si>
  <si>
    <t>Tenant Rent</t>
  </si>
  <si>
    <t>Cap Based Value</t>
  </si>
  <si>
    <t>CMA Based Value</t>
  </si>
  <si>
    <t>Proposed Value / Agreed Credit</t>
  </si>
  <si>
    <t>Liens or Deductions</t>
  </si>
  <si>
    <t>Net Trade Credit</t>
  </si>
  <si>
    <t>Include in Contract?</t>
  </si>
  <si>
    <t>Title/Bill-of-Sale Status</t>
  </si>
  <si>
    <t>Park/Lot Approval Status</t>
  </si>
  <si>
    <t>Tenant/Lease Verification Status</t>
  </si>
  <si>
    <t>Implied Value at 15% Yield</t>
  </si>
  <si>
    <t>Trade Property List for Docs</t>
  </si>
  <si>
    <t>Trade Property Conditions for Docs</t>
  </si>
  <si>
    <t>Trade credit is not final until titles/bills of sale, lien releases or payoff documentation, possession/keys, tenant and rent information, and park/lot approvals are delivered and accepted.</t>
  </si>
  <si>
    <t>Totals / Included Credit</t>
  </si>
  <si>
    <t>Addendum Requirement</t>
  </si>
  <si>
    <t>A trade-property addendum should control title, possession, park approval, liens, tenant rents, verification, condition, and remedies if conditions are not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</si>
</sst>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quot;$&quot;#,##0.00"/>
    <numFmt numFmtId="167" formatCode="m/d/yy;@"/>
    <numFmt numFmtId="168" formatCode="d"/>
    <numFmt numFmtId="169" formatCode="m/d/yy"/>
    <numFmt numFmtId="170" formatCode="m/d;@"/>
    <numFmt numFmtId="171" formatCode="mm/dd/yy;@"/>
    <numFmt numFmtId="172" formatCode="#,##0.##"/>
    <numFmt numFmtId="173" formatCode="0.000%"/>
    <numFmt numFmtId="174" formatCode="\$#,##0"/>
    <numFmt numFmtId="175" formatCode="&quot;$&quot;#,##0;[Red]\(&quot;$&quot;#,##0\);\-"/>
    <numFmt numFmtId="176" formatCode=";;;"/>
  </numFmts>
  <fonts count="61"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8"/>
      <color theme="0"/>
      <name val="Calibri"/>
      <family val="2"/>
    </font>
    <font>
      <sz val="12"/>
      <color theme="0"/>
      <name val="Verdana"/>
      <family val="2"/>
    </font>
    <font>
      <b/>
      <sz val="18"/>
      <color rgb="FFC00000"/>
      <name val="Calibri"/>
      <family val="2"/>
    </font>
    <font>
      <sz val="12"/>
      <color rgb="FFC00000"/>
      <name val="Calibri"/>
      <family val="2"/>
    </font>
    <font>
      <sz val="12"/>
      <color rgb="FF000000"/>
      <name val="Calibri"/>
      <family val="2"/>
    </font>
    <font>
      <sz val="8"/>
      <color rgb="FFC00000"/>
      <name val="Calibri"/>
      <family val="2"/>
    </font>
    <font>
      <b/>
      <sz val="10"/>
      <color rgb="FF000000"/>
      <name val="Calibri"/>
      <family val="2"/>
    </font>
    <font>
      <sz val="10"/>
      <color rgb="FF000000"/>
      <name val="Calibri"/>
      <family val="2"/>
    </font>
    <font>
      <sz val="12"/>
      <name val="Verdana"/>
      <family val="2"/>
    </font>
    <font>
      <sz val="10"/>
      <color theme="0"/>
      <name val="Calibri"/>
      <family val="2"/>
    </font>
    <font>
      <b/>
      <sz val="10"/>
      <color theme="0"/>
      <name val="Calibri"/>
      <family val="2"/>
    </font>
    <font>
      <i/>
      <sz val="10"/>
      <name val="Calibri"/>
      <family val="2"/>
    </font>
    <font>
      <b/>
      <sz val="10"/>
      <name val="Calibri"/>
      <family val="2"/>
    </font>
    <font>
      <sz val="10"/>
      <name val="Calibri"/>
      <family val="2"/>
    </font>
    <font>
      <i/>
      <sz val="10"/>
      <color rgb="FF000000"/>
      <name val="Calibri"/>
      <family val="2"/>
    </font>
    <font>
      <sz val="8"/>
      <color rgb="FF000000"/>
      <name val="Calibri"/>
      <family val="2"/>
    </font>
    <font>
      <b/>
      <sz val="11"/>
      <color rgb="FF00B0F0"/>
      <name val="Calibri"/>
      <family val="2"/>
      <scheme val="minor"/>
    </font>
    <font>
      <b/>
      <sz val="16"/>
      <name val="Calibri"/>
      <family val="2"/>
      <scheme val="minor"/>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sz val="8"/>
      <color rgb="FF222222"/>
      <name val="Courier New"/>
      <family val="3"/>
    </font>
    <font>
      <b/>
      <sz val="10"/>
      <name val="Calibri"/>
      <family val="2"/>
      <scheme val="minor"/>
    </font>
    <font>
      <b/>
      <sz val="10"/>
      <color rgb="FF000000"/>
      <name val="Calibri"/>
      <family val="2"/>
      <scheme val="minor"/>
    </font>
    <font>
      <b/>
      <sz val="11"/>
      <color rgb="FF373A3C"/>
      <name val="Calibri"/>
      <family val="2"/>
      <scheme val="minor"/>
    </font>
    <font>
      <sz val="10"/>
      <name val="Arial"/>
      <family val="2"/>
    </font>
    <font>
      <sz val="11"/>
      <color rgb="FF1F497D"/>
      <name val="Calibri"/>
      <family val="2"/>
      <scheme val="minor"/>
    </font>
    <font>
      <sz val="8"/>
      <color rgb="FF000000"/>
      <name val="Segoe UI"/>
      <family val="2"/>
    </font>
    <font>
      <b/>
      <sz val="10"/>
      <color rgb="FFFFFFFF"/>
      <name val="Carlito"/>
      <family val="2"/>
    </font>
    <font>
      <b/>
      <sz val="11"/>
      <color rgb="FFFFFFFF"/>
      <name val="Calibri"/>
      <family val="2"/>
      <scheme val="minor"/>
    </font>
    <font>
      <sz val="10"/>
      <color rgb="FF1F2933"/>
      <name val="Carlito"/>
      <family val="2"/>
    </font>
    <font>
      <b/>
      <sz val="10"/>
      <color rgb="FF17324D"/>
      <name val="Carlito"/>
      <family val="2"/>
    </font>
    <font>
      <b/>
      <sz val="14"/>
      <color rgb="FFFFFFFF"/>
      <name val="Calibri"/>
      <family val="2"/>
      <scheme val="minor"/>
    </font>
    <font>
      <sz val="11"/>
      <color rgb="FFFFFFFF"/>
      <name val="Calibri"/>
      <family val="2"/>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theme="1"/>
        <bgColor rgb="FF244061"/>
      </patternFill>
    </fill>
    <fill>
      <patternFill patternType="solid">
        <fgColor theme="1"/>
        <bgColor indexed="64"/>
      </patternFill>
    </fill>
    <fill>
      <patternFill patternType="solid">
        <fgColor rgb="FFFFFFFF"/>
        <bgColor rgb="FFFFFFFF"/>
      </patternFill>
    </fill>
    <fill>
      <patternFill patternType="solid">
        <fgColor rgb="FFF2F2F2"/>
        <bgColor rgb="FFF2F2F2"/>
      </patternFill>
    </fill>
    <fill>
      <patternFill patternType="solid">
        <fgColor rgb="FFA5A5A5"/>
        <bgColor rgb="FFA5A5A5"/>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rgb="FF00B050"/>
        <bgColor indexed="64"/>
      </patternFill>
    </fill>
    <fill>
      <patternFill patternType="solid">
        <fgColor rgb="FF254F7A"/>
      </patternFill>
    </fill>
    <fill>
      <patternFill patternType="solid">
        <fgColor rgb="FF1B2F4F"/>
        <bgColor indexed="64"/>
      </patternFill>
    </fill>
    <fill>
      <patternFill patternType="solid">
        <fgColor rgb="FFFFFFFF"/>
      </patternFill>
    </fill>
    <fill>
      <patternFill patternType="solid">
        <fgColor rgb="FFE8F2F7"/>
        <bgColor indexed="64"/>
      </patternFill>
    </fill>
    <fill>
      <patternFill patternType="solid">
        <fgColor rgb="FFFFCC99"/>
        <bgColor indexed="64"/>
      </patternFill>
    </fill>
    <fill>
      <patternFill patternType="solid">
        <fgColor rgb="FFEAF1F8"/>
      </patternFill>
    </fill>
    <fill>
      <patternFill patternType="solid">
        <fgColor rgb="FFD8E7C4"/>
        <bgColor indexed="64"/>
      </patternFill>
    </fill>
    <fill>
      <patternFill patternType="solid">
        <fgColor rgb="FFFFFF99"/>
        <bgColor indexed="64"/>
      </patternFill>
    </fill>
    <fill>
      <patternFill patternType="solid">
        <fgColor rgb="FFD9F0E2"/>
        <bgColor indexed="64"/>
      </patternFill>
    </fill>
  </fills>
  <borders count="85">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right style="medium">
        <color auto="1"/>
      </right>
      <top/>
      <bottom style="thin">
        <color auto="1"/>
      </bottom>
      <diagonal/>
    </border>
    <border>
      <left style="dashed">
        <color auto="1"/>
      </left>
      <right/>
      <top/>
      <bottom/>
      <diagonal/>
    </border>
    <border>
      <left style="thick">
        <color auto="1"/>
      </left>
      <right/>
      <top style="medium">
        <color auto="1"/>
      </top>
      <bottom/>
      <diagonal/>
    </border>
    <border>
      <left style="thin">
        <color rgb="FFB8C5D3"/>
      </left>
      <right style="thin">
        <color rgb="FFB8C5D3"/>
      </right>
      <top style="thin">
        <color rgb="FFB8C5D3"/>
      </top>
      <bottom style="thin">
        <color rgb="FFB8C5D3"/>
      </bottom>
      <diagonal/>
    </border>
    <border>
      <left style="thin">
        <color rgb="FFD9D9D9"/>
      </left>
      <right style="thin">
        <color rgb="FFD9D9D9"/>
      </right>
      <top style="thin">
        <color rgb="FFD9D9D9"/>
      </top>
      <bottom style="thin">
        <color rgb="FFD9D9D9"/>
      </bottom>
      <diagonal/>
    </border>
    <border>
      <left style="thin">
        <color rgb="FFD8DEE6"/>
      </left>
      <right style="thin">
        <color rgb="FFD8DEE6"/>
      </right>
      <top style="thin">
        <color rgb="FFD8DEE6"/>
      </top>
      <bottom style="thin">
        <color rgb="FFD8DEE6"/>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5">
    <xf numFmtId="0" fontId="0" fillId="0" borderId="0"/>
    <xf numFmtId="0" fontId="2" fillId="0" borderId="0" applyNumberFormat="0" applyFill="0" applyBorder="0" applyAlignment="0" applyProtection="0"/>
    <xf numFmtId="0" fontId="6" fillId="0" borderId="18" applyNumberFormat="0" applyFill="0" applyAlignment="0" applyProtection="0"/>
    <xf numFmtId="0" fontId="7" fillId="0" borderId="19" applyNumberFormat="0" applyFill="0" applyAlignment="0" applyProtection="0"/>
    <xf numFmtId="0" fontId="7" fillId="0" borderId="0" applyNumberFormat="0" applyFill="0" applyBorder="0" applyAlignment="0" applyProtection="0"/>
    <xf numFmtId="0" fontId="8" fillId="0" borderId="0"/>
    <xf numFmtId="14" fontId="9" fillId="0" borderId="0" applyFill="0" applyBorder="0">
      <alignment horizontal="center" vertical="center"/>
    </xf>
    <xf numFmtId="0" fontId="10" fillId="6" borderId="0" applyNumberFormat="0" applyBorder="0" applyAlignment="0" applyProtection="0"/>
    <xf numFmtId="0" fontId="11" fillId="7" borderId="0" applyNumberFormat="0" applyBorder="0" applyAlignment="0" applyProtection="0"/>
    <xf numFmtId="14" fontId="10" fillId="6" borderId="0" applyBorder="0" applyAlignment="0" applyProtection="0"/>
    <xf numFmtId="0" fontId="11" fillId="7" borderId="0" applyBorder="0" applyAlignment="0" applyProtection="0"/>
    <xf numFmtId="0" fontId="8" fillId="8" borderId="0" applyBorder="0" applyAlignment="0" applyProtection="0"/>
    <xf numFmtId="0" fontId="16" fillId="10" borderId="0" applyNumberFormat="0" applyBorder="0" applyAlignment="0" applyProtection="0"/>
    <xf numFmtId="43" fontId="3" fillId="0" borderId="0" applyFont="0" applyFill="0" applyBorder="0" applyAlignment="0" applyProtection="0"/>
    <xf numFmtId="0" fontId="52" fillId="0" borderId="0"/>
  </cellStyleXfs>
  <cellXfs count="667">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5"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4" fillId="0" borderId="0" xfId="0" applyFont="1"/>
    <xf numFmtId="0" fontId="14" fillId="0" borderId="0" xfId="0" applyFont="1" applyAlignment="1">
      <alignment horizontal="right"/>
    </xf>
    <xf numFmtId="0" fontId="15" fillId="0" borderId="0" xfId="0" applyFont="1" applyAlignment="1">
      <alignment horizontal="right"/>
    </xf>
    <xf numFmtId="0" fontId="0" fillId="0" borderId="0" xfId="0" applyAlignment="1">
      <alignment vertical="center"/>
    </xf>
    <xf numFmtId="0" fontId="20" fillId="11" borderId="23" xfId="0" applyFont="1" applyFill="1" applyBorder="1" applyAlignment="1">
      <alignment horizontal="left" vertical="center"/>
    </xf>
    <xf numFmtId="0" fontId="21" fillId="11" borderId="24" xfId="0" applyFont="1" applyFill="1" applyBorder="1" applyAlignment="1">
      <alignment vertical="top"/>
    </xf>
    <xf numFmtId="0" fontId="22" fillId="0" borderId="0" xfId="0" applyFont="1" applyAlignment="1">
      <alignment vertical="top"/>
    </xf>
    <xf numFmtId="0" fontId="20" fillId="11" borderId="0" xfId="0" applyFont="1" applyFill="1" applyAlignment="1">
      <alignment horizontal="left" vertical="center"/>
    </xf>
    <xf numFmtId="1" fontId="23" fillId="11" borderId="26" xfId="0" applyNumberFormat="1" applyFont="1" applyFill="1" applyBorder="1"/>
    <xf numFmtId="1" fontId="24" fillId="0" borderId="22" xfId="0" applyNumberFormat="1" applyFont="1" applyBorder="1" applyAlignment="1">
      <alignment horizontal="right" vertical="center"/>
    </xf>
    <xf numFmtId="0" fontId="22" fillId="0" borderId="24" xfId="0" applyFont="1" applyBorder="1" applyAlignment="1">
      <alignment vertical="top"/>
    </xf>
    <xf numFmtId="0" fontId="24" fillId="0" borderId="25" xfId="0" applyFont="1" applyBorder="1" applyAlignment="1">
      <alignment horizontal="right" vertical="center"/>
    </xf>
    <xf numFmtId="0" fontId="22" fillId="0" borderId="26" xfId="0" applyFont="1" applyBorder="1" applyAlignment="1">
      <alignment vertical="top"/>
    </xf>
    <xf numFmtId="1" fontId="25" fillId="0" borderId="0" xfId="0" applyNumberFormat="1" applyFont="1" applyAlignment="1">
      <alignment vertical="center"/>
    </xf>
    <xf numFmtId="0" fontId="27" fillId="11" borderId="27" xfId="0" applyFont="1" applyFill="1" applyBorder="1" applyAlignment="1">
      <alignment vertical="center"/>
    </xf>
    <xf numFmtId="1" fontId="28" fillId="11" borderId="30" xfId="0" applyNumberFormat="1" applyFont="1" applyFill="1" applyBorder="1" applyAlignment="1">
      <alignment horizontal="center" vertical="center" wrapText="1"/>
    </xf>
    <xf numFmtId="0" fontId="28" fillId="11" borderId="30" xfId="0" applyFont="1" applyFill="1" applyBorder="1" applyAlignment="1">
      <alignment horizontal="center" vertical="center" wrapText="1"/>
    </xf>
    <xf numFmtId="0" fontId="29" fillId="13" borderId="0" xfId="0" applyFont="1" applyFill="1" applyAlignment="1">
      <alignment vertical="top"/>
    </xf>
    <xf numFmtId="1" fontId="30" fillId="0" borderId="0" xfId="0" applyNumberFormat="1" applyFont="1" applyAlignment="1">
      <alignment horizontal="right" vertical="center"/>
    </xf>
    <xf numFmtId="0" fontId="25" fillId="0" borderId="27" xfId="0" applyFont="1" applyBorder="1" applyAlignment="1">
      <alignment horizontal="center"/>
    </xf>
    <xf numFmtId="44" fontId="25" fillId="0" borderId="30" xfId="0" applyNumberFormat="1" applyFont="1" applyBorder="1" applyAlignment="1">
      <alignment vertical="center"/>
    </xf>
    <xf numFmtId="44" fontId="25" fillId="14" borderId="30" xfId="0" applyNumberFormat="1" applyFont="1" applyFill="1" applyBorder="1" applyAlignment="1">
      <alignment vertical="center"/>
    </xf>
    <xf numFmtId="0" fontId="25" fillId="0" borderId="30" xfId="0" applyFont="1" applyBorder="1" applyAlignment="1">
      <alignment horizontal="left"/>
    </xf>
    <xf numFmtId="44" fontId="25" fillId="0" borderId="29" xfId="0" applyNumberFormat="1" applyFont="1" applyBorder="1" applyAlignment="1">
      <alignment vertical="center"/>
    </xf>
    <xf numFmtId="0" fontId="31" fillId="13" borderId="0" xfId="0" applyFont="1" applyFill="1" applyAlignment="1">
      <alignment vertical="top"/>
    </xf>
    <xf numFmtId="1" fontId="25" fillId="0" borderId="30" xfId="0" applyNumberFormat="1" applyFont="1" applyBorder="1" applyAlignment="1">
      <alignment horizontal="left"/>
    </xf>
    <xf numFmtId="44" fontId="32" fillId="0" borderId="29" xfId="0" applyNumberFormat="1" applyFont="1" applyBorder="1" applyAlignment="1">
      <alignment vertical="center"/>
    </xf>
    <xf numFmtId="0" fontId="25" fillId="0" borderId="28" xfId="0" applyFont="1" applyBorder="1" applyAlignment="1">
      <alignment horizontal="left"/>
    </xf>
    <xf numFmtId="0" fontId="25" fillId="0" borderId="29" xfId="0" applyFont="1" applyBorder="1" applyAlignment="1">
      <alignment horizontal="left"/>
    </xf>
    <xf numFmtId="0" fontId="25" fillId="15" borderId="27" xfId="0" applyFont="1" applyFill="1" applyBorder="1" applyAlignment="1">
      <alignment horizontal="center"/>
    </xf>
    <xf numFmtId="44" fontId="24" fillId="15" borderId="29" xfId="0" applyNumberFormat="1" applyFont="1" applyFill="1" applyBorder="1"/>
    <xf numFmtId="44" fontId="25" fillId="15" borderId="30" xfId="0" applyNumberFormat="1" applyFont="1" applyFill="1" applyBorder="1"/>
    <xf numFmtId="1" fontId="25" fillId="0" borderId="31" xfId="0" applyNumberFormat="1" applyFont="1" applyBorder="1"/>
    <xf numFmtId="44" fontId="24" fillId="0" borderId="34" xfId="0" applyNumberFormat="1" applyFont="1" applyBorder="1"/>
    <xf numFmtId="1" fontId="33" fillId="0" borderId="0" xfId="0" applyNumberFormat="1" applyFont="1"/>
    <xf numFmtId="1" fontId="25" fillId="0" borderId="0" xfId="0" applyNumberFormat="1" applyFont="1"/>
    <xf numFmtId="2" fontId="34" fillId="0" borderId="0" xfId="12" applyNumberFormat="1" applyFont="1" applyFill="1" applyAlignment="1">
      <alignment horizontal="center" vertical="center"/>
    </xf>
    <xf numFmtId="43" fontId="8" fillId="16" borderId="0" xfId="13" applyFont="1" applyFill="1" applyAlignment="1">
      <alignment horizontal="right" vertical="center"/>
    </xf>
    <xf numFmtId="0" fontId="36" fillId="0" borderId="35"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36" fillId="3" borderId="0" xfId="0" applyNumberFormat="1" applyFont="1" applyFill="1" applyAlignment="1">
      <alignment vertical="top"/>
    </xf>
    <xf numFmtId="49" fontId="36" fillId="16" borderId="0" xfId="0" applyNumberFormat="1" applyFont="1" applyFill="1" applyAlignment="1">
      <alignment vertical="top"/>
    </xf>
    <xf numFmtId="1" fontId="36" fillId="16" borderId="0" xfId="0" applyNumberFormat="1" applyFont="1" applyFill="1" applyAlignment="1">
      <alignment vertical="top"/>
    </xf>
    <xf numFmtId="4" fontId="36" fillId="16"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8" fontId="1" fillId="9" borderId="0" xfId="0" applyNumberFormat="1" applyFont="1" applyFill="1" applyAlignment="1">
      <alignment horizontal="right"/>
    </xf>
    <xf numFmtId="0" fontId="37"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8" fontId="0" fillId="9" borderId="0" xfId="0" applyNumberFormat="1" applyFill="1" applyAlignment="1">
      <alignment horizontal="right"/>
    </xf>
    <xf numFmtId="168" fontId="7" fillId="0" borderId="20" xfId="4" applyNumberFormat="1" applyBorder="1" applyAlignment="1">
      <alignment horizontal="center" vertical="top"/>
    </xf>
    <xf numFmtId="0" fontId="1" fillId="0" borderId="0" xfId="0" applyFont="1" applyAlignment="1">
      <alignment horizontal="center" wrapText="1"/>
    </xf>
    <xf numFmtId="1" fontId="36" fillId="19" borderId="0" xfId="0" applyNumberFormat="1" applyFont="1" applyFill="1" applyAlignment="1">
      <alignment vertical="top"/>
    </xf>
    <xf numFmtId="4" fontId="36" fillId="3" borderId="0" xfId="0" applyNumberFormat="1" applyFont="1" applyFill="1" applyAlignment="1">
      <alignment vertical="top"/>
    </xf>
    <xf numFmtId="1" fontId="36" fillId="0" borderId="0" xfId="0" applyNumberFormat="1" applyFont="1" applyAlignment="1">
      <alignment horizontal="center" vertical="top"/>
    </xf>
    <xf numFmtId="4" fontId="36" fillId="0" borderId="0" xfId="0" applyNumberFormat="1" applyFont="1" applyAlignment="1">
      <alignment horizontal="center" vertical="top"/>
    </xf>
    <xf numFmtId="0" fontId="44" fillId="0" borderId="0" xfId="3" applyFont="1" applyBorder="1" applyAlignment="1">
      <alignment horizontal="right" vertical="center" indent="1"/>
    </xf>
    <xf numFmtId="1" fontId="12"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70" fontId="0" fillId="0" borderId="0" xfId="0" applyNumberFormat="1" applyProtection="1">
      <protection locked="0"/>
    </xf>
    <xf numFmtId="0" fontId="0" fillId="0" borderId="0" xfId="0" applyProtection="1">
      <protection locked="0"/>
    </xf>
    <xf numFmtId="0" fontId="8" fillId="0" borderId="0" xfId="5"/>
    <xf numFmtId="1" fontId="8" fillId="0" borderId="0" xfId="5" applyNumberFormat="1"/>
    <xf numFmtId="0" fontId="17" fillId="0" borderId="0" xfId="5" applyFont="1" applyAlignment="1">
      <alignment horizontal="center"/>
    </xf>
    <xf numFmtId="0" fontId="17" fillId="0" borderId="0" xfId="3" applyFont="1" applyBorder="1" applyAlignment="1" applyProtection="1">
      <alignment horizontal="right" vertical="center" wrapText="1" indent="1"/>
    </xf>
    <xf numFmtId="0" fontId="8" fillId="5" borderId="0" xfId="0" applyFont="1" applyFill="1" applyAlignment="1">
      <alignment horizontal="center" wrapText="1"/>
    </xf>
    <xf numFmtId="1" fontId="8" fillId="5" borderId="0" xfId="0" applyNumberFormat="1" applyFont="1" applyFill="1" applyAlignment="1">
      <alignment horizontal="center" wrapText="1"/>
    </xf>
    <xf numFmtId="0" fontId="17" fillId="5" borderId="0" xfId="0" applyFont="1" applyFill="1" applyAlignment="1">
      <alignment horizontal="center" wrapText="1"/>
    </xf>
    <xf numFmtId="0" fontId="39" fillId="5" borderId="0" xfId="0" applyFont="1" applyFill="1" applyAlignment="1">
      <alignment horizontal="center" wrapText="1"/>
    </xf>
    <xf numFmtId="2" fontId="8" fillId="5" borderId="0" xfId="0" applyNumberFormat="1" applyFont="1" applyFill="1" applyAlignment="1">
      <alignment horizontal="center" wrapText="1"/>
    </xf>
    <xf numFmtId="170" fontId="8"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2"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70" fontId="4" fillId="3" borderId="0" xfId="0" applyNumberFormat="1" applyFont="1" applyFill="1" applyAlignment="1">
      <alignment horizontal="right" vertical="center"/>
    </xf>
    <xf numFmtId="2" fontId="34" fillId="0" borderId="0" xfId="12" applyNumberFormat="1" applyFont="1" applyFill="1" applyAlignment="1" applyProtection="1">
      <alignment horizontal="left" vertical="center"/>
    </xf>
    <xf numFmtId="2" fontId="34" fillId="0" borderId="0" xfId="12" applyNumberFormat="1" applyFont="1" applyFill="1" applyAlignment="1" applyProtection="1">
      <alignment horizontal="right" vertical="center"/>
    </xf>
    <xf numFmtId="2" fontId="34" fillId="0" borderId="0" xfId="12" applyNumberFormat="1" applyFont="1" applyFill="1" applyAlignment="1" applyProtection="1">
      <alignment horizontal="center" vertical="center"/>
    </xf>
    <xf numFmtId="2" fontId="35" fillId="0" borderId="0" xfId="0" applyNumberFormat="1" applyFont="1" applyAlignment="1">
      <alignment horizontal="center" vertical="center"/>
    </xf>
    <xf numFmtId="1" fontId="34" fillId="0" borderId="0" xfId="12" applyNumberFormat="1" applyFont="1" applyFill="1" applyAlignment="1" applyProtection="1">
      <alignment horizontal="center" vertical="center"/>
    </xf>
    <xf numFmtId="170" fontId="34" fillId="0" borderId="0" xfId="12" applyNumberFormat="1" applyFont="1" applyFill="1" applyAlignment="1" applyProtection="1">
      <alignment horizontal="center" vertical="center"/>
    </xf>
    <xf numFmtId="2" fontId="8" fillId="16" borderId="0" xfId="12" applyNumberFormat="1" applyFont="1" applyFill="1" applyBorder="1" applyAlignment="1" applyProtection="1">
      <alignment horizontal="left" vertical="center"/>
    </xf>
    <xf numFmtId="1" fontId="8" fillId="16" borderId="0" xfId="12" applyNumberFormat="1" applyFont="1" applyFill="1" applyAlignment="1" applyProtection="1">
      <alignment horizontal="right" vertical="center"/>
    </xf>
    <xf numFmtId="2" fontId="17" fillId="16" borderId="0" xfId="12" applyNumberFormat="1" applyFont="1" applyFill="1" applyBorder="1" applyAlignment="1" applyProtection="1">
      <alignment horizontal="center" vertical="center"/>
    </xf>
    <xf numFmtId="2" fontId="8" fillId="16" borderId="0" xfId="12" applyNumberFormat="1" applyFont="1" applyFill="1" applyAlignment="1" applyProtection="1">
      <alignment horizontal="left" vertical="center"/>
    </xf>
    <xf numFmtId="2" fontId="17" fillId="16" borderId="0" xfId="12" applyNumberFormat="1" applyFont="1" applyFill="1" applyAlignment="1" applyProtection="1">
      <alignment horizontal="left" vertical="center"/>
    </xf>
    <xf numFmtId="1" fontId="17" fillId="16" borderId="0" xfId="12" applyNumberFormat="1" applyFont="1" applyFill="1" applyAlignment="1" applyProtection="1">
      <alignment horizontal="right" vertical="center"/>
    </xf>
    <xf numFmtId="2" fontId="8" fillId="16" borderId="0" xfId="13" applyNumberFormat="1" applyFont="1" applyFill="1" applyAlignment="1" applyProtection="1">
      <alignment horizontal="right" vertical="center"/>
    </xf>
    <xf numFmtId="43" fontId="8" fillId="16" borderId="0" xfId="13" applyFont="1" applyFill="1" applyAlignment="1" applyProtection="1">
      <alignment horizontal="right" vertical="center"/>
    </xf>
    <xf numFmtId="170" fontId="8" fillId="16" borderId="0" xfId="13" applyNumberFormat="1" applyFont="1" applyFill="1" applyAlignment="1" applyProtection="1">
      <alignment horizontal="right" vertical="center"/>
    </xf>
    <xf numFmtId="2" fontId="12" fillId="0" borderId="0" xfId="0" applyNumberFormat="1" applyFont="1" applyAlignment="1">
      <alignment horizontal="center" vertical="center"/>
    </xf>
    <xf numFmtId="1" fontId="12" fillId="0" borderId="0" xfId="0" applyNumberFormat="1" applyFont="1" applyAlignment="1">
      <alignment horizontal="center" vertical="center"/>
    </xf>
    <xf numFmtId="170" fontId="12" fillId="0" borderId="0" xfId="0" applyNumberFormat="1" applyFont="1" applyAlignment="1">
      <alignment horizontal="center" vertical="center"/>
    </xf>
    <xf numFmtId="0" fontId="0" fillId="0" borderId="0" xfId="0" applyAlignment="1">
      <alignment horizontal="center" vertical="top" wrapText="1"/>
    </xf>
    <xf numFmtId="2" fontId="0" fillId="0" borderId="0" xfId="0" applyNumberFormat="1" applyAlignment="1">
      <alignment horizontal="center" vertical="top" wrapText="1"/>
    </xf>
    <xf numFmtId="171" fontId="0" fillId="0" borderId="0" xfId="0" applyNumberFormat="1" applyAlignment="1">
      <alignment horizontal="center" vertical="top" wrapText="1"/>
    </xf>
    <xf numFmtId="167" fontId="12" fillId="3" borderId="0" xfId="0" applyNumberFormat="1" applyFont="1" applyFill="1" applyAlignment="1" applyProtection="1">
      <alignment horizontal="center" wrapText="1"/>
      <protection locked="0"/>
    </xf>
    <xf numFmtId="167" fontId="0" fillId="0" borderId="0" xfId="0" applyNumberFormat="1" applyProtection="1">
      <protection locked="0"/>
    </xf>
    <xf numFmtId="0" fontId="12" fillId="0" borderId="0" xfId="0" applyFont="1" applyAlignment="1" applyProtection="1">
      <alignment horizontal="center" wrapText="1"/>
      <protection locked="0"/>
    </xf>
    <xf numFmtId="1" fontId="12" fillId="0" borderId="0" xfId="0" applyNumberFormat="1" applyFont="1" applyAlignment="1" applyProtection="1">
      <alignment horizontal="center" wrapText="1"/>
      <protection locked="0"/>
    </xf>
    <xf numFmtId="2" fontId="12" fillId="0" borderId="0" xfId="0" applyNumberFormat="1" applyFont="1" applyAlignment="1" applyProtection="1">
      <alignment horizontal="center" wrapText="1"/>
      <protection locked="0"/>
    </xf>
    <xf numFmtId="2" fontId="0" fillId="0" borderId="0" xfId="0" applyNumberFormat="1" applyProtection="1">
      <protection locked="0"/>
    </xf>
    <xf numFmtId="49" fontId="0" fillId="2" borderId="0" xfId="0" applyNumberFormat="1" applyFill="1" applyProtection="1">
      <protection locked="0"/>
    </xf>
    <xf numFmtId="164" fontId="14" fillId="0" borderId="0" xfId="0" applyNumberFormat="1" applyFont="1"/>
    <xf numFmtId="164" fontId="15" fillId="0" borderId="2" xfId="0" applyNumberFormat="1" applyFont="1" applyBorder="1" applyAlignment="1">
      <alignment horizontal="left"/>
    </xf>
    <xf numFmtId="0" fontId="14" fillId="0" borderId="10" xfId="0" applyFont="1" applyBorder="1"/>
    <xf numFmtId="0" fontId="15" fillId="0" borderId="6" xfId="0" applyFont="1" applyBorder="1" applyAlignment="1">
      <alignment horizontal="center"/>
    </xf>
    <xf numFmtId="0" fontId="15" fillId="0" borderId="0" xfId="0" applyFont="1" applyAlignment="1">
      <alignment horizontal="center"/>
    </xf>
    <xf numFmtId="0" fontId="14" fillId="0" borderId="9" xfId="0" applyFont="1" applyBorder="1"/>
    <xf numFmtId="164" fontId="14" fillId="0" borderId="1" xfId="0" applyNumberFormat="1" applyFont="1" applyBorder="1"/>
    <xf numFmtId="164" fontId="14" fillId="0" borderId="8" xfId="0" applyNumberFormat="1" applyFont="1" applyBorder="1"/>
    <xf numFmtId="0" fontId="14" fillId="0" borderId="8" xfId="0" applyFont="1" applyBorder="1"/>
    <xf numFmtId="164" fontId="14" fillId="0" borderId="9" xfId="0" applyNumberFormat="1" applyFont="1" applyBorder="1"/>
    <xf numFmtId="164" fontId="15" fillId="0" borderId="0" xfId="0" applyNumberFormat="1" applyFont="1" applyAlignment="1">
      <alignment horizontal="right"/>
    </xf>
    <xf numFmtId="0" fontId="15" fillId="0" borderId="16" xfId="0" applyFont="1" applyBorder="1" applyAlignment="1">
      <alignment horizontal="right"/>
    </xf>
    <xf numFmtId="0" fontId="14" fillId="0" borderId="17" xfId="0" applyFont="1" applyBorder="1"/>
    <xf numFmtId="0" fontId="15" fillId="0" borderId="14" xfId="0" applyFont="1" applyBorder="1" applyAlignment="1">
      <alignment horizontal="center"/>
    </xf>
    <xf numFmtId="164" fontId="14" fillId="0" borderId="14" xfId="0" applyNumberFormat="1" applyFont="1" applyBorder="1"/>
    <xf numFmtId="0" fontId="14" fillId="0" borderId="2" xfId="0" applyFont="1" applyBorder="1"/>
    <xf numFmtId="3" fontId="14" fillId="0" borderId="2" xfId="0" applyNumberFormat="1" applyFont="1" applyBorder="1"/>
    <xf numFmtId="0" fontId="14" fillId="0" borderId="2" xfId="0" applyFont="1" applyBorder="1" applyAlignment="1">
      <alignment horizontal="right"/>
    </xf>
    <xf numFmtId="164" fontId="14" fillId="0" borderId="3" xfId="0" applyNumberFormat="1" applyFont="1" applyBorder="1"/>
    <xf numFmtId="164" fontId="14" fillId="0" borderId="4" xfId="0" applyNumberFormat="1" applyFont="1" applyBorder="1"/>
    <xf numFmtId="0" fontId="14" fillId="0" borderId="5" xfId="0" applyFont="1" applyBorder="1"/>
    <xf numFmtId="3" fontId="14" fillId="0" borderId="4" xfId="0" applyNumberFormat="1" applyFont="1" applyBorder="1"/>
    <xf numFmtId="0" fontId="14" fillId="0" borderId="4" xfId="0" applyFont="1" applyBorder="1" applyAlignment="1">
      <alignment horizontal="right"/>
    </xf>
    <xf numFmtId="164" fontId="14" fillId="0" borderId="5" xfId="0" applyNumberFormat="1" applyFont="1" applyBorder="1"/>
    <xf numFmtId="10" fontId="14" fillId="0" borderId="0" xfId="0" applyNumberFormat="1" applyFont="1"/>
    <xf numFmtId="164" fontId="14" fillId="0" borderId="4" xfId="0" applyNumberFormat="1" applyFont="1" applyBorder="1" applyAlignment="1">
      <alignment horizontal="right"/>
    </xf>
    <xf numFmtId="0" fontId="47" fillId="4" borderId="2" xfId="0" applyFont="1" applyFill="1" applyBorder="1" applyAlignment="1">
      <alignment horizontal="right"/>
    </xf>
    <xf numFmtId="6" fontId="47" fillId="4" borderId="10" xfId="0" applyNumberFormat="1" applyFont="1" applyFill="1" applyBorder="1"/>
    <xf numFmtId="164" fontId="14" fillId="0" borderId="6" xfId="0" applyNumberFormat="1" applyFont="1" applyBorder="1"/>
    <xf numFmtId="164" fontId="14" fillId="0" borderId="7" xfId="0" applyNumberFormat="1" applyFont="1" applyBorder="1"/>
    <xf numFmtId="3" fontId="14" fillId="0" borderId="6" xfId="0" applyNumberFormat="1" applyFont="1" applyBorder="1"/>
    <xf numFmtId="3" fontId="15" fillId="3" borderId="0" xfId="0" applyNumberFormat="1" applyFont="1" applyFill="1"/>
    <xf numFmtId="164" fontId="15" fillId="3" borderId="45" xfId="0" applyNumberFormat="1" applyFont="1" applyFill="1" applyBorder="1"/>
    <xf numFmtId="164" fontId="15" fillId="3" borderId="46" xfId="0" applyNumberFormat="1" applyFont="1" applyFill="1" applyBorder="1"/>
    <xf numFmtId="0" fontId="14" fillId="0" borderId="14" xfId="0" applyFont="1" applyBorder="1" applyAlignment="1">
      <alignment horizontal="right"/>
    </xf>
    <xf numFmtId="164" fontId="15" fillId="3" borderId="7" xfId="0" applyNumberFormat="1" applyFont="1" applyFill="1" applyBorder="1"/>
    <xf numFmtId="9" fontId="14" fillId="2" borderId="44" xfId="0" applyNumberFormat="1" applyFont="1" applyFill="1" applyBorder="1" applyAlignment="1">
      <alignment horizontal="left"/>
    </xf>
    <xf numFmtId="0" fontId="15" fillId="0" borderId="14" xfId="0" applyFont="1" applyBorder="1" applyAlignment="1">
      <alignment horizontal="center" vertical="center"/>
    </xf>
    <xf numFmtId="0" fontId="14" fillId="9" borderId="5" xfId="0" applyFont="1" applyFill="1" applyBorder="1"/>
    <xf numFmtId="164" fontId="15" fillId="3" borderId="15" xfId="0" applyNumberFormat="1" applyFont="1" applyFill="1" applyBorder="1"/>
    <xf numFmtId="1" fontId="15" fillId="3" borderId="0" xfId="0" applyNumberFormat="1" applyFont="1" applyFill="1"/>
    <xf numFmtId="49" fontId="0" fillId="0" borderId="0" xfId="0" applyNumberFormat="1"/>
    <xf numFmtId="0" fontId="0" fillId="2" borderId="49" xfId="0" applyFill="1" applyBorder="1"/>
    <xf numFmtId="0" fontId="0" fillId="2" borderId="50" xfId="0" applyFill="1" applyBorder="1"/>
    <xf numFmtId="0" fontId="1" fillId="2" borderId="50" xfId="0" applyFont="1" applyFill="1" applyBorder="1"/>
    <xf numFmtId="165" fontId="46" fillId="2" borderId="46" xfId="0" applyNumberFormat="1" applyFont="1" applyFill="1" applyBorder="1" applyAlignment="1">
      <alignment horizontal="center"/>
    </xf>
    <xf numFmtId="0" fontId="14" fillId="9" borderId="0" xfId="0" applyFont="1" applyFill="1" applyAlignment="1">
      <alignment horizontal="right"/>
    </xf>
    <xf numFmtId="0" fontId="14" fillId="2" borderId="55" xfId="0" applyFont="1" applyFill="1" applyBorder="1"/>
    <xf numFmtId="3" fontId="14" fillId="2" borderId="55" xfId="0" applyNumberFormat="1" applyFont="1" applyFill="1" applyBorder="1"/>
    <xf numFmtId="0" fontId="47" fillId="0" borderId="0" xfId="0" applyFont="1" applyAlignment="1">
      <alignment horizontal="right"/>
    </xf>
    <xf numFmtId="9" fontId="46" fillId="2" borderId="57" xfId="0" applyNumberFormat="1" applyFont="1" applyFill="1" applyBorder="1" applyAlignment="1">
      <alignment horizontal="center"/>
    </xf>
    <xf numFmtId="1" fontId="47" fillId="4" borderId="4" xfId="0" applyNumberFormat="1" applyFont="1" applyFill="1" applyBorder="1" applyAlignment="1">
      <alignment horizontal="right"/>
    </xf>
    <xf numFmtId="165" fontId="47" fillId="4" borderId="0" xfId="0" applyNumberFormat="1" applyFont="1" applyFill="1" applyAlignment="1">
      <alignment horizontal="right"/>
    </xf>
    <xf numFmtId="3" fontId="14" fillId="0" borderId="0" xfId="0" applyNumberFormat="1" applyFont="1"/>
    <xf numFmtId="3" fontId="14" fillId="0" borderId="9" xfId="0" applyNumberFormat="1" applyFont="1" applyBorder="1"/>
    <xf numFmtId="3" fontId="14" fillId="0" borderId="7" xfId="0" applyNumberFormat="1" applyFont="1" applyBorder="1"/>
    <xf numFmtId="164" fontId="15" fillId="3" borderId="0" xfId="0" applyNumberFormat="1" applyFont="1" applyFill="1"/>
    <xf numFmtId="0" fontId="14" fillId="3" borderId="0" xfId="0" applyFont="1" applyFill="1" applyAlignment="1">
      <alignment horizontal="right"/>
    </xf>
    <xf numFmtId="164" fontId="14" fillId="3" borderId="0" xfId="0" applyNumberFormat="1" applyFont="1" applyFill="1"/>
    <xf numFmtId="164" fontId="15" fillId="3" borderId="4" xfId="0" applyNumberFormat="1" applyFont="1" applyFill="1" applyBorder="1"/>
    <xf numFmtId="0" fontId="14" fillId="0" borderId="60" xfId="0" applyFont="1" applyBorder="1"/>
    <xf numFmtId="164" fontId="14" fillId="3" borderId="5" xfId="0" applyNumberFormat="1" applyFont="1" applyFill="1" applyBorder="1"/>
    <xf numFmtId="0" fontId="14" fillId="0" borderId="61" xfId="0" applyFont="1" applyBorder="1"/>
    <xf numFmtId="3" fontId="14" fillId="0" borderId="62" xfId="0" applyNumberFormat="1" applyFont="1" applyBorder="1"/>
    <xf numFmtId="3" fontId="14" fillId="0" borderId="63" xfId="0" applyNumberFormat="1" applyFont="1" applyBorder="1"/>
    <xf numFmtId="0" fontId="14" fillId="0" borderId="62" xfId="0" applyFont="1" applyBorder="1"/>
    <xf numFmtId="0" fontId="14" fillId="0" borderId="63" xfId="0" applyFont="1" applyBorder="1"/>
    <xf numFmtId="164" fontId="14" fillId="0" borderId="61" xfId="0" applyNumberFormat="1" applyFont="1" applyBorder="1"/>
    <xf numFmtId="164" fontId="14" fillId="0" borderId="62" xfId="0" applyNumberFormat="1" applyFont="1" applyBorder="1"/>
    <xf numFmtId="164" fontId="14" fillId="0" borderId="63" xfId="0" applyNumberFormat="1" applyFont="1" applyBorder="1"/>
    <xf numFmtId="0" fontId="42" fillId="0" borderId="0" xfId="0" applyFont="1" applyAlignment="1">
      <alignment horizontal="right"/>
    </xf>
    <xf numFmtId="0" fontId="42" fillId="0" borderId="0" xfId="0" applyFont="1"/>
    <xf numFmtId="3" fontId="14" fillId="0" borderId="4" xfId="0" applyNumberFormat="1" applyFont="1" applyBorder="1" applyAlignment="1">
      <alignment horizontal="center"/>
    </xf>
    <xf numFmtId="3" fontId="14" fillId="23" borderId="44" xfId="0" applyNumberFormat="1" applyFont="1" applyFill="1" applyBorder="1"/>
    <xf numFmtId="3" fontId="0" fillId="0" borderId="0" xfId="0" applyNumberFormat="1"/>
    <xf numFmtId="0" fontId="0" fillId="2" borderId="0" xfId="0" applyFill="1" applyAlignment="1">
      <alignment horizontal="right"/>
    </xf>
    <xf numFmtId="0" fontId="1" fillId="2" borderId="64" xfId="0" applyFont="1" applyFill="1" applyBorder="1" applyAlignment="1">
      <alignment horizontal="right"/>
    </xf>
    <xf numFmtId="164" fontId="1" fillId="23" borderId="1" xfId="0" applyNumberFormat="1" applyFont="1" applyFill="1" applyBorder="1"/>
    <xf numFmtId="0" fontId="14" fillId="2" borderId="55" xfId="0" applyFont="1" applyFill="1" applyBorder="1" applyAlignment="1">
      <alignment horizontal="center" vertical="center"/>
    </xf>
    <xf numFmtId="0" fontId="1" fillId="0" borderId="0" xfId="0" quotePrefix="1" applyFont="1" applyAlignment="1">
      <alignment horizontal="center" wrapText="1"/>
    </xf>
    <xf numFmtId="3" fontId="1" fillId="23" borderId="5" xfId="0" applyNumberFormat="1" applyFont="1" applyFill="1" applyBorder="1"/>
    <xf numFmtId="3" fontId="1" fillId="23" borderId="1" xfId="0" applyNumberFormat="1" applyFont="1" applyFill="1" applyBorder="1"/>
    <xf numFmtId="3" fontId="1" fillId="23" borderId="7" xfId="0" applyNumberFormat="1" applyFont="1" applyFill="1" applyBorder="1"/>
    <xf numFmtId="0" fontId="1" fillId="23" borderId="53" xfId="0" applyFont="1" applyFill="1" applyBorder="1" applyAlignment="1">
      <alignment horizontal="center" vertical="center" wrapText="1"/>
    </xf>
    <xf numFmtId="0" fontId="1" fillId="23" borderId="6" xfId="0" applyFont="1" applyFill="1" applyBorder="1" applyAlignment="1">
      <alignment horizontal="right"/>
    </xf>
    <xf numFmtId="49" fontId="1" fillId="23" borderId="53" xfId="0" applyNumberFormat="1" applyFont="1" applyFill="1" applyBorder="1" applyAlignment="1">
      <alignment horizontal="center" vertical="center" wrapText="1"/>
    </xf>
    <xf numFmtId="49" fontId="0" fillId="0" borderId="65" xfId="0" applyNumberFormat="1" applyBorder="1"/>
    <xf numFmtId="0" fontId="0" fillId="0" borderId="65" xfId="0" applyBorder="1"/>
    <xf numFmtId="49" fontId="1" fillId="23" borderId="53"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61" xfId="0" applyNumberFormat="1" applyBorder="1"/>
    <xf numFmtId="0" fontId="1" fillId="0" borderId="56" xfId="0" applyFont="1" applyBorder="1" applyAlignment="1">
      <alignment horizontal="right" wrapText="1"/>
    </xf>
    <xf numFmtId="0" fontId="1" fillId="0" borderId="55" xfId="0" applyFont="1" applyBorder="1" applyAlignment="1">
      <alignment horizontal="right"/>
    </xf>
    <xf numFmtId="0" fontId="0" fillId="0" borderId="55" xfId="0" applyBorder="1" applyAlignment="1">
      <alignment horizontal="right"/>
    </xf>
    <xf numFmtId="0" fontId="0" fillId="0" borderId="55" xfId="0" applyBorder="1"/>
    <xf numFmtId="0" fontId="8" fillId="0" borderId="2" xfId="5" applyBorder="1"/>
    <xf numFmtId="1" fontId="8" fillId="0" borderId="10" xfId="5" applyNumberFormat="1" applyBorder="1"/>
    <xf numFmtId="0" fontId="17" fillId="0" borderId="10" xfId="5" applyFont="1" applyBorder="1" applyAlignment="1">
      <alignment horizontal="center"/>
    </xf>
    <xf numFmtId="0" fontId="8"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43" fillId="0" borderId="10" xfId="0" applyFont="1" applyBorder="1" applyAlignment="1">
      <alignment horizontal="center" vertical="center"/>
    </xf>
    <xf numFmtId="0" fontId="0" fillId="0" borderId="3" xfId="0" applyBorder="1" applyAlignment="1">
      <alignment horizontal="right" vertical="center"/>
    </xf>
    <xf numFmtId="0" fontId="0" fillId="3" borderId="0" xfId="0" applyFill="1" applyAlignment="1">
      <alignment horizontal="right"/>
    </xf>
    <xf numFmtId="0" fontId="0" fillId="3" borderId="5" xfId="0" applyFill="1" applyBorder="1" applyAlignment="1">
      <alignment horizontal="right"/>
    </xf>
    <xf numFmtId="0" fontId="0" fillId="16" borderId="0" xfId="0" applyFill="1" applyAlignment="1">
      <alignment horizontal="right"/>
    </xf>
    <xf numFmtId="0" fontId="0" fillId="16" borderId="5" xfId="0" applyFill="1" applyBorder="1" applyAlignment="1">
      <alignment horizontal="right"/>
    </xf>
    <xf numFmtId="0" fontId="0" fillId="17" borderId="0" xfId="0" applyFill="1" applyAlignment="1">
      <alignment horizontal="right"/>
    </xf>
    <xf numFmtId="0" fontId="0" fillId="17" borderId="5" xfId="0" applyFill="1" applyBorder="1"/>
    <xf numFmtId="0" fontId="8" fillId="0" borderId="6" xfId="5" applyBorder="1" applyAlignment="1">
      <alignment wrapText="1"/>
    </xf>
    <xf numFmtId="1" fontId="8" fillId="0" borderId="1" xfId="5" applyNumberFormat="1" applyBorder="1" applyAlignment="1">
      <alignment wrapText="1"/>
    </xf>
    <xf numFmtId="0" fontId="17" fillId="0" borderId="1" xfId="5" applyFont="1" applyBorder="1" applyAlignment="1">
      <alignment horizontal="center" wrapText="1"/>
    </xf>
    <xf numFmtId="0" fontId="8" fillId="0" borderId="1" xfId="5" applyBorder="1" applyAlignment="1">
      <alignment wrapText="1"/>
    </xf>
    <xf numFmtId="0" fontId="17" fillId="0" borderId="1" xfId="3" applyFont="1" applyBorder="1" applyAlignment="1" applyProtection="1">
      <alignment horizontal="right" vertical="center" wrapText="1" indent="1"/>
    </xf>
    <xf numFmtId="0" fontId="0" fillId="0" borderId="7" xfId="0" applyBorder="1"/>
    <xf numFmtId="0" fontId="1" fillId="23" borderId="52"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66" xfId="0" applyBorder="1"/>
    <xf numFmtId="0" fontId="0" fillId="0" borderId="9" xfId="0" applyBorder="1"/>
    <xf numFmtId="9" fontId="14" fillId="2" borderId="55" xfId="0" applyNumberFormat="1" applyFont="1" applyFill="1" applyBorder="1"/>
    <xf numFmtId="0" fontId="14" fillId="9" borderId="44" xfId="0" applyFont="1" applyFill="1" applyBorder="1"/>
    <xf numFmtId="49" fontId="0" fillId="23" borderId="61" xfId="0" applyNumberFormat="1" applyFill="1" applyBorder="1"/>
    <xf numFmtId="0" fontId="0" fillId="23" borderId="55" xfId="0" applyFill="1" applyBorder="1"/>
    <xf numFmtId="49" fontId="1" fillId="23" borderId="55" xfId="0" applyNumberFormat="1" applyFont="1" applyFill="1" applyBorder="1" applyAlignment="1">
      <alignment horizontal="center" vertical="center" wrapText="1"/>
    </xf>
    <xf numFmtId="16" fontId="0" fillId="0" borderId="0" xfId="0" applyNumberFormat="1"/>
    <xf numFmtId="9" fontId="14" fillId="2" borderId="44" xfId="0" applyNumberFormat="1" applyFont="1" applyFill="1" applyBorder="1" applyAlignment="1">
      <alignment horizontal="right"/>
    </xf>
    <xf numFmtId="164" fontId="15" fillId="3" borderId="11" xfId="0" applyNumberFormat="1" applyFont="1" applyFill="1" applyBorder="1"/>
    <xf numFmtId="164" fontId="15" fillId="3" borderId="67" xfId="0" applyNumberFormat="1" applyFont="1" applyFill="1" applyBorder="1"/>
    <xf numFmtId="49" fontId="1" fillId="3" borderId="53" xfId="0" quotePrefix="1" applyNumberFormat="1" applyFont="1" applyFill="1" applyBorder="1" applyAlignment="1">
      <alignment horizontal="center" wrapText="1"/>
    </xf>
    <xf numFmtId="49" fontId="1" fillId="3" borderId="53" xfId="0" applyNumberFormat="1" applyFont="1" applyFill="1" applyBorder="1" applyAlignment="1">
      <alignment horizontal="center" vertical="center" wrapText="1"/>
    </xf>
    <xf numFmtId="3" fontId="1" fillId="3" borderId="1" xfId="0" applyNumberFormat="1" applyFont="1" applyFill="1" applyBorder="1"/>
    <xf numFmtId="164" fontId="1" fillId="23" borderId="53" xfId="0" applyNumberFormat="1" applyFont="1" applyFill="1" applyBorder="1"/>
    <xf numFmtId="0" fontId="1" fillId="23" borderId="68" xfId="0" applyFont="1" applyFill="1" applyBorder="1" applyAlignment="1">
      <alignment horizontal="right"/>
    </xf>
    <xf numFmtId="164" fontId="1" fillId="23" borderId="45" xfId="0" applyNumberFormat="1" applyFont="1" applyFill="1" applyBorder="1"/>
    <xf numFmtId="0" fontId="1" fillId="23" borderId="69" xfId="0" applyFont="1" applyFill="1" applyBorder="1" applyAlignment="1">
      <alignment horizontal="right"/>
    </xf>
    <xf numFmtId="164" fontId="1" fillId="23" borderId="70" xfId="0" applyNumberFormat="1" applyFont="1" applyFill="1" applyBorder="1"/>
    <xf numFmtId="164" fontId="1" fillId="23" borderId="69" xfId="0" applyNumberFormat="1" applyFont="1" applyFill="1" applyBorder="1"/>
    <xf numFmtId="164" fontId="1" fillId="23" borderId="6" xfId="0" applyNumberFormat="1" applyFont="1" applyFill="1" applyBorder="1"/>
    <xf numFmtId="49" fontId="17" fillId="16" borderId="53" xfId="0" quotePrefix="1" applyNumberFormat="1" applyFont="1" applyFill="1" applyBorder="1" applyAlignment="1">
      <alignment horizontal="center" wrapText="1"/>
    </xf>
    <xf numFmtId="3" fontId="17" fillId="16" borderId="67" xfId="0" applyNumberFormat="1" applyFont="1" applyFill="1" applyBorder="1"/>
    <xf numFmtId="0" fontId="48" fillId="0" borderId="0" xfId="0" applyFont="1" applyAlignment="1">
      <alignment horizontal="left" vertical="center" indent="2"/>
    </xf>
    <xf numFmtId="3" fontId="17" fillId="16" borderId="1" xfId="0" applyNumberFormat="1" applyFont="1" applyFill="1" applyBorder="1"/>
    <xf numFmtId="0" fontId="4" fillId="2" borderId="71" xfId="0" applyFont="1" applyFill="1" applyBorder="1" applyAlignment="1">
      <alignment horizontal="right"/>
    </xf>
    <xf numFmtId="0" fontId="4" fillId="2" borderId="70" xfId="0" applyFont="1" applyFill="1" applyBorder="1" applyAlignment="1">
      <alignment horizontal="right"/>
    </xf>
    <xf numFmtId="0" fontId="4" fillId="2" borderId="70" xfId="0" applyFont="1" applyFill="1" applyBorder="1"/>
    <xf numFmtId="0" fontId="4" fillId="2" borderId="72" xfId="0" applyFont="1" applyFill="1" applyBorder="1"/>
    <xf numFmtId="3" fontId="14" fillId="2" borderId="4" xfId="0" applyNumberFormat="1" applyFont="1" applyFill="1" applyBorder="1"/>
    <xf numFmtId="3" fontId="14" fillId="2" borderId="5" xfId="0" applyNumberFormat="1" applyFont="1" applyFill="1" applyBorder="1"/>
    <xf numFmtId="3" fontId="1" fillId="9" borderId="64" xfId="0" applyNumberFormat="1" applyFont="1" applyFill="1" applyBorder="1" applyAlignment="1">
      <alignment horizontal="right"/>
    </xf>
    <xf numFmtId="0" fontId="49" fillId="0" borderId="0" xfId="0" applyFont="1" applyAlignment="1">
      <alignment horizontal="right"/>
    </xf>
    <xf numFmtId="1" fontId="47" fillId="24" borderId="51" xfId="0" applyNumberFormat="1" applyFont="1" applyFill="1" applyBorder="1" applyAlignment="1">
      <alignment horizontal="right"/>
    </xf>
    <xf numFmtId="1" fontId="47" fillId="4" borderId="6" xfId="0" applyNumberFormat="1" applyFont="1" applyFill="1" applyBorder="1" applyAlignment="1">
      <alignment horizontal="right"/>
    </xf>
    <xf numFmtId="165" fontId="47" fillId="4" borderId="7" xfId="0" applyNumberFormat="1" applyFont="1" applyFill="1" applyBorder="1" applyAlignment="1">
      <alignment horizontal="right"/>
    </xf>
    <xf numFmtId="0" fontId="50" fillId="0" borderId="0" xfId="0" applyFont="1" applyAlignment="1">
      <alignment horizontal="right"/>
    </xf>
    <xf numFmtId="9" fontId="1" fillId="2" borderId="75" xfId="0" applyNumberFormat="1" applyFont="1" applyFill="1" applyBorder="1"/>
    <xf numFmtId="1" fontId="1" fillId="2" borderId="75"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5" fillId="3" borderId="2" xfId="0" applyNumberFormat="1" applyFont="1" applyFill="1" applyBorder="1"/>
    <xf numFmtId="3" fontId="14" fillId="3" borderId="1" xfId="0" applyNumberFormat="1" applyFont="1" applyFill="1" applyBorder="1"/>
    <xf numFmtId="166" fontId="1" fillId="2" borderId="75" xfId="0" applyNumberFormat="1" applyFont="1" applyFill="1" applyBorder="1"/>
    <xf numFmtId="3" fontId="1" fillId="2" borderId="64" xfId="0" applyNumberFormat="1" applyFont="1" applyFill="1" applyBorder="1" applyAlignment="1">
      <alignment horizontal="right"/>
    </xf>
    <xf numFmtId="164" fontId="1" fillId="23" borderId="76" xfId="0" applyNumberFormat="1" applyFont="1" applyFill="1" applyBorder="1"/>
    <xf numFmtId="3" fontId="1" fillId="23" borderId="11" xfId="0" applyNumberFormat="1" applyFont="1" applyFill="1" applyBorder="1"/>
    <xf numFmtId="3" fontId="17" fillId="16" borderId="11" xfId="0" applyNumberFormat="1" applyFont="1" applyFill="1" applyBorder="1"/>
    <xf numFmtId="3" fontId="1" fillId="3" borderId="11" xfId="0" applyNumberFormat="1" applyFont="1" applyFill="1" applyBorder="1"/>
    <xf numFmtId="3" fontId="17" fillId="16" borderId="77" xfId="0" applyNumberFormat="1" applyFont="1" applyFill="1" applyBorder="1"/>
    <xf numFmtId="164" fontId="1" fillId="23" borderId="52" xfId="0" applyNumberFormat="1" applyFont="1" applyFill="1" applyBorder="1"/>
    <xf numFmtId="3" fontId="1" fillId="23" borderId="54" xfId="0" applyNumberFormat="1" applyFont="1" applyFill="1" applyBorder="1"/>
    <xf numFmtId="3" fontId="17" fillId="16" borderId="54" xfId="0" applyNumberFormat="1" applyFont="1" applyFill="1" applyBorder="1"/>
    <xf numFmtId="3" fontId="1" fillId="3" borderId="54" xfId="0" applyNumberFormat="1" applyFont="1" applyFill="1" applyBorder="1"/>
    <xf numFmtId="3" fontId="17" fillId="16" borderId="53" xfId="0" applyNumberFormat="1" applyFont="1" applyFill="1" applyBorder="1"/>
    <xf numFmtId="165" fontId="1" fillId="2" borderId="75" xfId="0" applyNumberFormat="1" applyFont="1" applyFill="1" applyBorder="1"/>
    <xf numFmtId="3" fontId="15" fillId="0" borderId="9" xfId="0" applyNumberFormat="1" applyFont="1" applyBorder="1"/>
    <xf numFmtId="0" fontId="0" fillId="0" borderId="0" xfId="0" applyAlignment="1">
      <alignment horizontal="left" vertical="top"/>
    </xf>
    <xf numFmtId="164" fontId="14" fillId="0" borderId="78" xfId="0" applyNumberFormat="1" applyFont="1" applyBorder="1"/>
    <xf numFmtId="166" fontId="15" fillId="9" borderId="0" xfId="0" applyNumberFormat="1" applyFont="1" applyFill="1"/>
    <xf numFmtId="9" fontId="46" fillId="2" borderId="4" xfId="0" applyNumberFormat="1" applyFont="1" applyFill="1" applyBorder="1"/>
    <xf numFmtId="164" fontId="46" fillId="2" borderId="5" xfId="0" applyNumberFormat="1" applyFont="1" applyFill="1" applyBorder="1"/>
    <xf numFmtId="1" fontId="50" fillId="4" borderId="44"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4"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75" xfId="0" applyNumberFormat="1" applyFont="1" applyFill="1" applyBorder="1" applyAlignment="1">
      <alignment horizontal="center"/>
    </xf>
    <xf numFmtId="0" fontId="13"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23" borderId="75" xfId="0" applyNumberFormat="1" applyFont="1" applyFill="1" applyBorder="1"/>
    <xf numFmtId="9" fontId="0" fillId="2" borderId="0" xfId="0" applyNumberFormat="1" applyFill="1"/>
    <xf numFmtId="166" fontId="1" fillId="23" borderId="0" xfId="0" applyNumberFormat="1" applyFont="1" applyFill="1"/>
    <xf numFmtId="164" fontId="1" fillId="23" borderId="75" xfId="0" applyNumberFormat="1" applyFont="1" applyFill="1" applyBorder="1"/>
    <xf numFmtId="0" fontId="51" fillId="2" borderId="4" xfId="0" applyFont="1" applyFill="1" applyBorder="1"/>
    <xf numFmtId="0" fontId="1" fillId="2" borderId="3" xfId="0" applyFont="1" applyFill="1" applyBorder="1" applyAlignment="1">
      <alignment horizontal="left"/>
    </xf>
    <xf numFmtId="0" fontId="51" fillId="2" borderId="2" xfId="0" applyFont="1" applyFill="1" applyBorder="1"/>
    <xf numFmtId="0" fontId="1" fillId="2" borderId="5" xfId="0" applyFont="1" applyFill="1" applyBorder="1" applyAlignment="1">
      <alignment horizontal="left"/>
    </xf>
    <xf numFmtId="14" fontId="14" fillId="0" borderId="0" xfId="0" applyNumberFormat="1" applyFont="1"/>
    <xf numFmtId="49" fontId="36" fillId="0" borderId="0" xfId="14" applyNumberFormat="1" applyFont="1" applyAlignment="1">
      <alignment vertical="top"/>
    </xf>
    <xf numFmtId="172" fontId="52" fillId="0" borderId="0" xfId="14" applyNumberFormat="1" applyAlignment="1">
      <alignment vertical="top"/>
    </xf>
    <xf numFmtId="166" fontId="52" fillId="0" borderId="0" xfId="14" applyNumberFormat="1" applyAlignment="1">
      <alignment vertical="top"/>
    </xf>
    <xf numFmtId="170" fontId="12" fillId="3" borderId="0" xfId="0" applyNumberFormat="1" applyFont="1" applyFill="1" applyAlignment="1" applyProtection="1">
      <alignment horizontal="center" vertical="center" wrapText="1"/>
      <protection locked="0"/>
    </xf>
    <xf numFmtId="170"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36" fillId="0" borderId="0" xfId="0" applyNumberFormat="1" applyFont="1" applyAlignment="1">
      <alignment vertical="top"/>
    </xf>
    <xf numFmtId="171" fontId="0" fillId="0" borderId="0" xfId="0" applyNumberFormat="1"/>
    <xf numFmtId="1" fontId="0" fillId="0" borderId="0" xfId="0" applyNumberFormat="1" applyAlignment="1">
      <alignment horizontal="right" vertical="center"/>
    </xf>
    <xf numFmtId="2" fontId="0" fillId="0" borderId="0" xfId="0" applyNumberFormat="1" applyAlignment="1">
      <alignment horizontal="right" vertical="center"/>
    </xf>
    <xf numFmtId="0" fontId="0" fillId="2" borderId="0" xfId="0" applyFill="1"/>
    <xf numFmtId="0" fontId="0" fillId="0" borderId="0" xfId="0" applyAlignment="1">
      <alignment horizontal="left" vertical="center"/>
    </xf>
    <xf numFmtId="171" fontId="0" fillId="0" borderId="0" xfId="0" applyNumberFormat="1" applyAlignment="1">
      <alignment horizontal="right" vertical="center"/>
    </xf>
    <xf numFmtId="1" fontId="36" fillId="21" borderId="0" xfId="0" applyNumberFormat="1" applyFont="1" applyFill="1" applyAlignment="1">
      <alignment vertical="top"/>
    </xf>
    <xf numFmtId="4" fontId="36" fillId="21" borderId="0" xfId="0" applyNumberFormat="1" applyFont="1" applyFill="1" applyAlignment="1">
      <alignment vertical="top"/>
    </xf>
    <xf numFmtId="164" fontId="1" fillId="23" borderId="54" xfId="0" applyNumberFormat="1" applyFont="1" applyFill="1" applyBorder="1"/>
    <xf numFmtId="0" fontId="0" fillId="0" borderId="53" xfId="0" applyBorder="1" applyAlignment="1">
      <alignment horizontal="center" wrapText="1"/>
    </xf>
    <xf numFmtId="173" fontId="46" fillId="2" borderId="4" xfId="0" applyNumberFormat="1" applyFont="1" applyFill="1" applyBorder="1"/>
    <xf numFmtId="164" fontId="1" fillId="23" borderId="11" xfId="0" applyNumberFormat="1" applyFont="1" applyFill="1" applyBorder="1"/>
    <xf numFmtId="3" fontId="8" fillId="16" borderId="0" xfId="13" applyNumberFormat="1" applyFont="1" applyFill="1" applyAlignment="1" applyProtection="1">
      <alignment horizontal="right" vertical="center"/>
    </xf>
    <xf numFmtId="0" fontId="53" fillId="0" borderId="0" xfId="0" applyFont="1" applyAlignment="1">
      <alignment horizontal="right"/>
    </xf>
    <xf numFmtId="22" fontId="14" fillId="0" borderId="0" xfId="0" applyNumberFormat="1" applyFont="1"/>
    <xf numFmtId="1" fontId="14" fillId="0" borderId="0" xfId="0" applyNumberFormat="1" applyFont="1"/>
    <xf numFmtId="1" fontId="14" fillId="0" borderId="5" xfId="0" applyNumberFormat="1" applyFont="1" applyBorder="1"/>
    <xf numFmtId="0" fontId="15" fillId="0" borderId="3" xfId="0" applyFont="1" applyBorder="1" applyAlignment="1">
      <alignment horizontal="center"/>
    </xf>
    <xf numFmtId="14" fontId="15" fillId="0" borderId="7" xfId="0" applyNumberFormat="1" applyFont="1" applyBorder="1" applyAlignment="1">
      <alignment horizontal="center"/>
    </xf>
    <xf numFmtId="164" fontId="1" fillId="23" borderId="64" xfId="0" applyNumberFormat="1" applyFont="1" applyFill="1" applyBorder="1"/>
    <xf numFmtId="3" fontId="1" fillId="23" borderId="64" xfId="0" applyNumberFormat="1" applyFont="1" applyFill="1" applyBorder="1"/>
    <xf numFmtId="3" fontId="17" fillId="16" borderId="64" xfId="0" applyNumberFormat="1" applyFont="1" applyFill="1" applyBorder="1"/>
    <xf numFmtId="3" fontId="1" fillId="3" borderId="64" xfId="0" applyNumberFormat="1" applyFont="1" applyFill="1" applyBorder="1"/>
    <xf numFmtId="0" fontId="17" fillId="25" borderId="2" xfId="0" applyFont="1" applyFill="1" applyBorder="1" applyAlignment="1">
      <alignment horizontal="right"/>
    </xf>
    <xf numFmtId="164" fontId="17" fillId="25" borderId="70" xfId="0" applyNumberFormat="1" applyFont="1" applyFill="1" applyBorder="1"/>
    <xf numFmtId="0" fontId="0" fillId="0" borderId="0" xfId="0"/>
    <xf numFmtId="0" fontId="15" fillId="22" borderId="2" xfId="0" applyFont="1" applyFill="1" applyBorder="1" applyAlignment="1">
      <alignment horizontal="center" vertical="center" wrapText="1"/>
    </xf>
    <xf numFmtId="0" fontId="1" fillId="22" borderId="10"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7" xfId="0" applyFont="1" applyFill="1" applyBorder="1" applyAlignment="1">
      <alignment horizontal="center" vertical="center" wrapText="1"/>
    </xf>
    <xf numFmtId="0" fontId="15" fillId="22" borderId="4"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2" borderId="5" xfId="0" applyFont="1" applyFill="1" applyBorder="1" applyAlignment="1">
      <alignment horizontal="center" vertical="center" wrapText="1"/>
    </xf>
    <xf numFmtId="0" fontId="15" fillId="3" borderId="10" xfId="0" applyFont="1" applyFill="1" applyBorder="1" applyAlignment="1">
      <alignment horizontal="center" wrapText="1"/>
    </xf>
    <xf numFmtId="0" fontId="15" fillId="3" borderId="1" xfId="0" applyFont="1" applyFill="1" applyBorder="1" applyAlignment="1">
      <alignment horizontal="center" wrapText="1"/>
    </xf>
    <xf numFmtId="0" fontId="15" fillId="3" borderId="6" xfId="0" applyFont="1" applyFill="1" applyBorder="1" applyAlignment="1">
      <alignment horizontal="right"/>
    </xf>
    <xf numFmtId="0" fontId="14" fillId="3" borderId="1" xfId="0" applyFont="1" applyFill="1" applyBorder="1"/>
    <xf numFmtId="3" fontId="14" fillId="2" borderId="4" xfId="0" applyNumberFormat="1" applyFont="1" applyFill="1" applyBorder="1"/>
    <xf numFmtId="3" fontId="14" fillId="2" borderId="5" xfId="0" applyNumberFormat="1" applyFont="1" applyFill="1" applyBorder="1"/>
    <xf numFmtId="3" fontId="14" fillId="0" borderId="0" xfId="0" applyNumberFormat="1" applyFont="1"/>
    <xf numFmtId="3" fontId="14" fillId="2" borderId="2" xfId="0" applyNumberFormat="1" applyFont="1" applyFill="1" applyBorder="1"/>
    <xf numFmtId="3" fontId="14" fillId="2" borderId="3" xfId="0" applyNumberFormat="1" applyFont="1" applyFill="1" applyBorder="1"/>
    <xf numFmtId="3" fontId="14" fillId="2" borderId="6" xfId="0" applyNumberFormat="1" applyFont="1" applyFill="1" applyBorder="1"/>
    <xf numFmtId="3" fontId="14" fillId="2" borderId="7" xfId="0" applyNumberFormat="1" applyFont="1" applyFill="1" applyBorder="1"/>
    <xf numFmtId="164" fontId="14" fillId="0" borderId="1" xfId="0" applyNumberFormat="1" applyFont="1" applyBorder="1"/>
    <xf numFmtId="0" fontId="14" fillId="0" borderId="1" xfId="0" applyFont="1" applyBorder="1"/>
    <xf numFmtId="0" fontId="15" fillId="0" borderId="10" xfId="0" applyFont="1" applyBorder="1" applyAlignment="1">
      <alignment horizontal="center"/>
    </xf>
    <xf numFmtId="14" fontId="15" fillId="0" borderId="1" xfId="0" applyNumberFormat="1" applyFont="1" applyBorder="1" applyAlignment="1">
      <alignment horizontal="center"/>
    </xf>
    <xf numFmtId="0" fontId="0" fillId="0" borderId="1" xfId="0" applyBorder="1"/>
    <xf numFmtId="0" fontId="15" fillId="0" borderId="10" xfId="0" applyFont="1" applyBorder="1" applyAlignment="1">
      <alignment horizontal="center" wrapText="1"/>
    </xf>
    <xf numFmtId="0" fontId="14" fillId="0" borderId="3" xfId="0" applyFont="1" applyBorder="1"/>
    <xf numFmtId="0" fontId="14" fillId="0" borderId="7" xfId="0" applyFont="1" applyBorder="1"/>
    <xf numFmtId="164" fontId="14" fillId="0" borderId="12" xfId="0" applyNumberFormat="1" applyFont="1" applyBorder="1"/>
    <xf numFmtId="0" fontId="14" fillId="0" borderId="13" xfId="0" applyFont="1" applyBorder="1"/>
    <xf numFmtId="0" fontId="14" fillId="23" borderId="52" xfId="0" applyFont="1" applyFill="1" applyBorder="1" applyAlignment="1">
      <alignment horizontal="left"/>
    </xf>
    <xf numFmtId="0" fontId="0" fillId="0" borderId="53" xfId="0" applyBorder="1" applyAlignment="1">
      <alignment horizontal="left"/>
    </xf>
    <xf numFmtId="3" fontId="14" fillId="3" borderId="10" xfId="0" applyNumberFormat="1" applyFont="1" applyFill="1" applyBorder="1"/>
    <xf numFmtId="0" fontId="1" fillId="2" borderId="52" xfId="0" applyFont="1" applyFill="1" applyBorder="1" applyAlignment="1">
      <alignment horizontal="center"/>
    </xf>
    <xf numFmtId="0" fontId="1" fillId="2" borderId="54" xfId="0" applyFont="1" applyFill="1" applyBorder="1" applyAlignment="1">
      <alignment horizontal="center"/>
    </xf>
    <xf numFmtId="0" fontId="1" fillId="2" borderId="53" xfId="0" applyFont="1" applyFill="1" applyBorder="1" applyAlignment="1">
      <alignment horizontal="center"/>
    </xf>
    <xf numFmtId="0" fontId="15" fillId="0" borderId="1" xfId="0" applyFont="1" applyBorder="1" applyAlignment="1">
      <alignment horizontal="center"/>
    </xf>
    <xf numFmtId="0" fontId="15" fillId="23"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5" fillId="9" borderId="2" xfId="0" applyFont="1" applyFill="1" applyBorder="1" applyAlignment="1">
      <alignment horizontal="right" vertical="center" wrapText="1"/>
    </xf>
    <xf numFmtId="0" fontId="14" fillId="9" borderId="6" xfId="0" applyFont="1" applyFill="1" applyBorder="1" applyAlignment="1">
      <alignment horizontal="right" vertical="center" wrapText="1"/>
    </xf>
    <xf numFmtId="164" fontId="14" fillId="23" borderId="6" xfId="0" applyNumberFormat="1" applyFont="1" applyFill="1" applyBorder="1"/>
    <xf numFmtId="0" fontId="14" fillId="23" borderId="7" xfId="0" applyFont="1" applyFill="1" applyBorder="1"/>
    <xf numFmtId="164" fontId="14" fillId="0" borderId="52" xfId="0" applyNumberFormat="1" applyFont="1" applyBorder="1"/>
    <xf numFmtId="0" fontId="14" fillId="0" borderId="53" xfId="0" applyFont="1" applyBorder="1"/>
    <xf numFmtId="164" fontId="14" fillId="0" borderId="6" xfId="0" applyNumberFormat="1" applyFont="1" applyBorder="1"/>
    <xf numFmtId="164" fontId="15" fillId="0" borderId="0" xfId="0" applyNumberFormat="1" applyFont="1" applyAlignment="1">
      <alignment horizontal="right"/>
    </xf>
    <xf numFmtId="0" fontId="15" fillId="0" borderId="10" xfId="0" applyFont="1" applyBorder="1" applyAlignment="1">
      <alignment horizontal="right"/>
    </xf>
    <xf numFmtId="164" fontId="14" fillId="23" borderId="56" xfId="0" applyNumberFormat="1" applyFont="1" applyFill="1" applyBorder="1" applyAlignment="1">
      <alignment horizontal="center" vertical="center" wrapText="1"/>
    </xf>
    <xf numFmtId="164" fontId="0" fillId="23" borderId="51" xfId="0" applyNumberFormat="1" applyFill="1" applyBorder="1" applyAlignment="1">
      <alignment horizontal="center" vertical="center" wrapText="1"/>
    </xf>
    <xf numFmtId="0" fontId="14" fillId="23" borderId="56" xfId="0" applyFont="1" applyFill="1" applyBorder="1" applyAlignment="1">
      <alignment horizontal="center" vertical="center" wrapText="1"/>
    </xf>
    <xf numFmtId="0" fontId="0" fillId="23" borderId="51" xfId="0" applyFill="1" applyBorder="1" applyAlignment="1">
      <alignment horizontal="center" vertical="center" wrapText="1"/>
    </xf>
    <xf numFmtId="0" fontId="15"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4" fillId="2" borderId="56" xfId="0" applyNumberFormat="1" applyFont="1" applyFill="1" applyBorder="1" applyAlignment="1">
      <alignment horizontal="center" vertical="center"/>
    </xf>
    <xf numFmtId="3" fontId="0" fillId="0" borderId="51" xfId="0" applyNumberFormat="1" applyBorder="1" applyAlignment="1">
      <alignment horizontal="center" vertical="center"/>
    </xf>
    <xf numFmtId="164" fontId="14" fillId="2" borderId="6" xfId="0" applyNumberFormat="1" applyFont="1" applyFill="1" applyBorder="1"/>
    <xf numFmtId="0" fontId="14" fillId="2" borderId="7" xfId="0" applyFont="1" applyFill="1" applyBorder="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14" fillId="2" borderId="56" xfId="0" applyNumberFormat="1" applyFont="1" applyFill="1" applyBorder="1" applyAlignment="1">
      <alignment horizontal="center" vertical="center"/>
    </xf>
    <xf numFmtId="0" fontId="0" fillId="0" borderId="51" xfId="0" applyBorder="1" applyAlignment="1">
      <alignment horizontal="center" vertical="center"/>
    </xf>
    <xf numFmtId="0" fontId="15" fillId="2" borderId="52" xfId="0" applyFont="1" applyFill="1" applyBorder="1" applyAlignment="1">
      <alignment horizontal="center" wrapText="1"/>
    </xf>
    <xf numFmtId="0" fontId="0" fillId="0" borderId="53" xfId="0" applyBorder="1"/>
    <xf numFmtId="164" fontId="14" fillId="22" borderId="52" xfId="0" applyNumberFormat="1" applyFont="1" applyFill="1" applyBorder="1"/>
    <xf numFmtId="164" fontId="14" fillId="22" borderId="53" xfId="0" applyNumberFormat="1" applyFont="1" applyFill="1" applyBorder="1"/>
    <xf numFmtId="3" fontId="14" fillId="2" borderId="47" xfId="0" applyNumberFormat="1" applyFont="1" applyFill="1" applyBorder="1"/>
    <xf numFmtId="3" fontId="14" fillId="2" borderId="48" xfId="0" applyNumberFormat="1" applyFont="1" applyFill="1" applyBorder="1"/>
    <xf numFmtId="164" fontId="15" fillId="3" borderId="4" xfId="0" applyNumberFormat="1" applyFont="1" applyFill="1" applyBorder="1" applyAlignment="1">
      <alignment horizontal="right"/>
    </xf>
    <xf numFmtId="0" fontId="14" fillId="3" borderId="0" xfId="0" applyFont="1" applyFill="1" applyAlignment="1">
      <alignment horizontal="right"/>
    </xf>
    <xf numFmtId="9" fontId="14" fillId="2" borderId="56" xfId="0" applyNumberFormat="1" applyFont="1" applyFill="1" applyBorder="1" applyAlignment="1">
      <alignment horizontal="center"/>
    </xf>
    <xf numFmtId="9" fontId="0" fillId="0" borderId="51" xfId="0" applyNumberFormat="1" applyBorder="1" applyAlignment="1">
      <alignment horizontal="center"/>
    </xf>
    <xf numFmtId="0" fontId="15" fillId="3" borderId="3" xfId="0" applyFont="1" applyFill="1" applyBorder="1" applyAlignment="1">
      <alignment horizontal="center" wrapText="1"/>
    </xf>
    <xf numFmtId="0" fontId="15" fillId="3" borderId="5" xfId="0" applyFont="1" applyFill="1" applyBorder="1" applyAlignment="1">
      <alignment horizontal="center" wrapText="1"/>
    </xf>
    <xf numFmtId="0" fontId="15" fillId="2"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5" fillId="0" borderId="0" xfId="0" applyFont="1"/>
    <xf numFmtId="164" fontId="15" fillId="0" borderId="10" xfId="0" applyNumberFormat="1" applyFont="1" applyBorder="1" applyAlignment="1">
      <alignment horizontal="right"/>
    </xf>
    <xf numFmtId="0" fontId="15" fillId="3" borderId="4" xfId="0" applyFont="1" applyFill="1" applyBorder="1" applyAlignment="1">
      <alignment horizontal="right"/>
    </xf>
    <xf numFmtId="0" fontId="15" fillId="3" borderId="0" xfId="0" applyFont="1" applyFill="1" applyAlignment="1">
      <alignment horizontal="right"/>
    </xf>
    <xf numFmtId="0" fontId="14" fillId="2" borderId="56" xfId="0" applyFont="1" applyFill="1" applyBorder="1" applyAlignment="1">
      <alignment horizontal="center" vertical="center"/>
    </xf>
    <xf numFmtId="164" fontId="46" fillId="2" borderId="2" xfId="0" applyNumberFormat="1" applyFont="1" applyFill="1" applyBorder="1"/>
    <xf numFmtId="0" fontId="46" fillId="2" borderId="3" xfId="0" applyFont="1" applyFill="1" applyBorder="1"/>
    <xf numFmtId="0" fontId="0" fillId="2" borderId="7" xfId="0" applyFill="1" applyBorder="1"/>
    <xf numFmtId="164" fontId="14" fillId="3" borderId="10" xfId="0" applyNumberFormat="1" applyFont="1" applyFill="1" applyBorder="1"/>
    <xf numFmtId="0" fontId="14" fillId="3" borderId="3" xfId="0" applyFont="1" applyFill="1" applyBorder="1"/>
    <xf numFmtId="0" fontId="15" fillId="0" borderId="6" xfId="0" applyFont="1" applyBorder="1" applyAlignment="1">
      <alignment horizontal="center"/>
    </xf>
    <xf numFmtId="0" fontId="1" fillId="0" borderId="1" xfId="0" applyFont="1" applyBorder="1" applyAlignment="1">
      <alignment horizontal="center"/>
    </xf>
    <xf numFmtId="0" fontId="15" fillId="0" borderId="2" xfId="0" applyFont="1" applyBorder="1" applyAlignment="1">
      <alignment horizontal="center"/>
    </xf>
    <xf numFmtId="164" fontId="14" fillId="2" borderId="2" xfId="0" applyNumberFormat="1" applyFont="1" applyFill="1" applyBorder="1"/>
    <xf numFmtId="0" fontId="14" fillId="2" borderId="3" xfId="0" applyFont="1" applyFill="1" applyBorder="1"/>
    <xf numFmtId="164" fontId="14" fillId="9" borderId="0" xfId="0" applyNumberFormat="1" applyFont="1" applyFill="1"/>
    <xf numFmtId="0" fontId="14" fillId="9" borderId="0" xfId="0" applyFont="1" applyFill="1"/>
    <xf numFmtId="3" fontId="14" fillId="0" borderId="1" xfId="0" applyNumberFormat="1" applyFont="1" applyBorder="1"/>
    <xf numFmtId="3" fontId="47" fillId="4" borderId="58" xfId="0" applyNumberFormat="1" applyFont="1" applyFill="1" applyBorder="1" applyAlignment="1">
      <alignment horizontal="right"/>
    </xf>
    <xf numFmtId="3" fontId="14" fillId="0" borderId="59" xfId="0" applyNumberFormat="1" applyFont="1" applyBorder="1" applyAlignment="1">
      <alignment horizontal="right"/>
    </xf>
    <xf numFmtId="3" fontId="14" fillId="23" borderId="2" xfId="0" applyNumberFormat="1" applyFont="1" applyFill="1" applyBorder="1"/>
    <xf numFmtId="0" fontId="14" fillId="23" borderId="3" xfId="0" applyFont="1" applyFill="1" applyBorder="1"/>
    <xf numFmtId="0" fontId="15" fillId="0" borderId="0" xfId="0" applyFont="1" applyAlignment="1">
      <alignment horizontal="right"/>
    </xf>
    <xf numFmtId="0" fontId="14" fillId="0" borderId="0" xfId="0" applyFont="1"/>
    <xf numFmtId="9" fontId="14" fillId="2" borderId="52" xfId="0" applyNumberFormat="1" applyFont="1" applyFill="1" applyBorder="1" applyAlignment="1">
      <alignment horizontal="right"/>
    </xf>
    <xf numFmtId="9" fontId="0" fillId="0" borderId="54" xfId="0" applyNumberFormat="1" applyBorder="1" applyAlignment="1">
      <alignment horizontal="right"/>
    </xf>
    <xf numFmtId="164" fontId="15" fillId="3" borderId="73" xfId="0" applyNumberFormat="1" applyFont="1" applyFill="1" applyBorder="1"/>
    <xf numFmtId="0" fontId="0" fillId="0" borderId="74" xfId="0" applyBorder="1"/>
    <xf numFmtId="9" fontId="0" fillId="0" borderId="53" xfId="0" applyNumberFormat="1" applyBorder="1" applyAlignment="1">
      <alignment horizontal="right"/>
    </xf>
    <xf numFmtId="164" fontId="14" fillId="2" borderId="4" xfId="0" applyNumberFormat="1" applyFont="1" applyFill="1" applyBorder="1"/>
    <xf numFmtId="164" fontId="14" fillId="23" borderId="2" xfId="0" applyNumberFormat="1" applyFont="1" applyFill="1" applyBorder="1"/>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1" fillId="0" borderId="0" xfId="0" applyFont="1" applyAlignment="1">
      <alignment horizontal="center"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vertical="top"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79"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164" fontId="1" fillId="23" borderId="54" xfId="0" applyNumberFormat="1" applyFont="1" applyFill="1" applyBorder="1"/>
    <xf numFmtId="0" fontId="1" fillId="23" borderId="52" xfId="0" applyFont="1" applyFill="1" applyBorder="1" applyAlignment="1">
      <alignment horizontal="center" vertical="center" wrapText="1"/>
    </xf>
    <xf numFmtId="0" fontId="0" fillId="0" borderId="54" xfId="0" applyBorder="1" applyAlignment="1">
      <alignment horizontal="center" vertical="center" wrapText="1"/>
    </xf>
    <xf numFmtId="0" fontId="0" fillId="0" borderId="53" xfId="0" applyBorder="1" applyAlignment="1">
      <alignment horizontal="center" vertical="center" wrapText="1"/>
    </xf>
    <xf numFmtId="3" fontId="17" fillId="16" borderId="52" xfId="0" applyNumberFormat="1" applyFont="1" applyFill="1" applyBorder="1" applyAlignment="1">
      <alignment horizontal="center"/>
    </xf>
    <xf numFmtId="0" fontId="0" fillId="0" borderId="54" xfId="0" applyBorder="1" applyAlignment="1">
      <alignment horizontal="center"/>
    </xf>
    <xf numFmtId="0" fontId="0" fillId="0" borderId="53" xfId="0" applyBorder="1" applyAlignment="1">
      <alignment horizontal="center"/>
    </xf>
    <xf numFmtId="3" fontId="12" fillId="3" borderId="52" xfId="0" applyNumberFormat="1" applyFont="1" applyFill="1" applyBorder="1" applyAlignment="1">
      <alignment horizontal="center"/>
    </xf>
    <xf numFmtId="0" fontId="4" fillId="3" borderId="54" xfId="0" applyFont="1" applyFill="1" applyBorder="1" applyAlignment="1">
      <alignment horizontal="center"/>
    </xf>
    <xf numFmtId="0" fontId="4" fillId="3" borderId="53" xfId="0" applyFont="1" applyFill="1" applyBorder="1" applyAlignment="1">
      <alignment horizontal="center"/>
    </xf>
    <xf numFmtId="0" fontId="1" fillId="0" borderId="55" xfId="0" applyFont="1" applyBorder="1" applyAlignment="1">
      <alignment horizontal="center" vertical="center" wrapText="1"/>
    </xf>
    <xf numFmtId="0" fontId="0" fillId="0" borderId="55" xfId="0" applyBorder="1" applyAlignment="1">
      <alignment horizontal="center" vertical="center" wrapText="1"/>
    </xf>
    <xf numFmtId="0" fontId="0" fillId="0" borderId="66" xfId="0" applyBorder="1"/>
    <xf numFmtId="0" fontId="0" fillId="0" borderId="9" xfId="0" applyBorder="1"/>
    <xf numFmtId="0" fontId="1" fillId="23" borderId="6" xfId="0" applyFont="1" applyFill="1" applyBorder="1" applyAlignment="1">
      <alignment horizontal="center" vertical="center" wrapText="1"/>
    </xf>
    <xf numFmtId="0" fontId="0" fillId="0" borderId="7" xfId="0" applyBorder="1" applyAlignment="1">
      <alignment horizontal="center" wrapText="1"/>
    </xf>
    <xf numFmtId="49" fontId="1" fillId="23" borderId="52" xfId="0" applyNumberFormat="1" applyFont="1" applyFill="1" applyBorder="1" applyAlignment="1">
      <alignment horizontal="center" wrapText="1"/>
    </xf>
    <xf numFmtId="0" fontId="0" fillId="0" borderId="53" xfId="0" applyBorder="1" applyAlignment="1">
      <alignment horizontal="center" wrapText="1"/>
    </xf>
    <xf numFmtId="49" fontId="40"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40" fillId="17" borderId="2" xfId="0" applyNumberFormat="1" applyFont="1" applyFill="1" applyBorder="1" applyAlignment="1">
      <alignment horizontal="center" vertical="center"/>
    </xf>
    <xf numFmtId="0" fontId="1" fillId="17" borderId="3" xfId="0" applyFont="1" applyFill="1" applyBorder="1" applyAlignment="1">
      <alignment horizontal="center" vertical="center"/>
    </xf>
    <xf numFmtId="0" fontId="1" fillId="17" borderId="6" xfId="0" applyFont="1" applyFill="1" applyBorder="1" applyAlignment="1">
      <alignment vertical="center"/>
    </xf>
    <xf numFmtId="0" fontId="1" fillId="17" borderId="7" xfId="0" applyFont="1" applyFill="1" applyBorder="1" applyAlignment="1">
      <alignment vertical="center"/>
    </xf>
    <xf numFmtId="49" fontId="40" fillId="16"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40"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42" fillId="20" borderId="36" xfId="0" applyFont="1" applyFill="1" applyBorder="1" applyAlignment="1" applyProtection="1">
      <alignment horizontal="center" vertical="center" wrapText="1"/>
      <protection locked="0"/>
    </xf>
    <xf numFmtId="0" fontId="45" fillId="0" borderId="37" xfId="0" applyFont="1" applyBorder="1" applyAlignment="1" applyProtection="1">
      <alignment vertical="center" wrapText="1"/>
      <protection locked="0"/>
    </xf>
    <xf numFmtId="0" fontId="45" fillId="0" borderId="38" xfId="0" applyFont="1" applyBorder="1" applyAlignment="1" applyProtection="1">
      <alignment vertical="center" wrapText="1"/>
      <protection locked="0"/>
    </xf>
    <xf numFmtId="0" fontId="42" fillId="20" borderId="42" xfId="0" applyFont="1" applyFill="1" applyBorder="1" applyAlignment="1" applyProtection="1">
      <alignment horizontal="center" vertical="center" wrapText="1"/>
      <protection locked="0"/>
    </xf>
    <xf numFmtId="0" fontId="45" fillId="0" borderId="0" xfId="0" applyFont="1" applyAlignment="1" applyProtection="1">
      <alignment vertical="center" wrapText="1"/>
      <protection locked="0"/>
    </xf>
    <xf numFmtId="0" fontId="45" fillId="0" borderId="43" xfId="0" applyFont="1" applyBorder="1" applyAlignment="1" applyProtection="1">
      <alignment vertical="center" wrapText="1"/>
      <protection locked="0"/>
    </xf>
    <xf numFmtId="0" fontId="45" fillId="0" borderId="39" xfId="0" applyFont="1" applyBorder="1" applyAlignment="1" applyProtection="1">
      <alignment vertical="center" wrapText="1"/>
      <protection locked="0"/>
    </xf>
    <xf numFmtId="0" fontId="45" fillId="0" borderId="40" xfId="0" applyFont="1" applyBorder="1" applyAlignment="1" applyProtection="1">
      <alignment vertical="center" wrapText="1"/>
      <protection locked="0"/>
    </xf>
    <xf numFmtId="0" fontId="45" fillId="0" borderId="41" xfId="0" applyFont="1" applyBorder="1" applyAlignment="1" applyProtection="1">
      <alignment vertical="center" wrapText="1"/>
      <protection locked="0"/>
    </xf>
    <xf numFmtId="0" fontId="42" fillId="18" borderId="36" xfId="0" applyFont="1" applyFill="1" applyBorder="1" applyAlignment="1" applyProtection="1">
      <alignment horizontal="center" vertical="center"/>
      <protection locked="0"/>
    </xf>
    <xf numFmtId="0" fontId="0" fillId="0" borderId="37" xfId="0" applyBorder="1"/>
    <xf numFmtId="0" fontId="0" fillId="0" borderId="38" xfId="0" applyBorder="1"/>
    <xf numFmtId="0" fontId="0" fillId="0" borderId="42" xfId="0" applyBorder="1"/>
    <xf numFmtId="0" fontId="0" fillId="0" borderId="43" xfId="0" applyBorder="1"/>
    <xf numFmtId="0" fontId="0" fillId="0" borderId="39" xfId="0" applyBorder="1"/>
    <xf numFmtId="0" fontId="0" fillId="0" borderId="40" xfId="0" applyBorder="1"/>
    <xf numFmtId="0" fontId="0" fillId="0" borderId="41" xfId="0" applyBorder="1"/>
    <xf numFmtId="0" fontId="42" fillId="0" borderId="19" xfId="3" applyFont="1" applyAlignment="1">
      <alignment horizontal="left" vertical="center"/>
    </xf>
    <xf numFmtId="0" fontId="42" fillId="0" borderId="0" xfId="0" applyFont="1" applyAlignment="1">
      <alignment vertical="center"/>
    </xf>
    <xf numFmtId="0" fontId="43" fillId="0" borderId="10" xfId="0" applyFont="1" applyBorder="1" applyAlignment="1">
      <alignment horizontal="center"/>
    </xf>
    <xf numFmtId="0" fontId="17" fillId="0" borderId="0" xfId="3" applyFont="1" applyBorder="1" applyAlignment="1" applyProtection="1">
      <alignment horizontal="right" vertical="center" indent="1"/>
    </xf>
    <xf numFmtId="0" fontId="8"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6" borderId="0" xfId="0" applyFont="1" applyFill="1" applyAlignment="1">
      <alignment horizontal="right" vertical="center" wrapText="1"/>
    </xf>
    <xf numFmtId="0" fontId="0" fillId="16" borderId="0" xfId="0" applyFill="1" applyAlignment="1">
      <alignment horizontal="right" vertical="center" wrapText="1"/>
    </xf>
    <xf numFmtId="0" fontId="1" fillId="17" borderId="0" xfId="0" applyFont="1" applyFill="1" applyAlignment="1">
      <alignment horizontal="right" vertical="center" wrapText="1"/>
    </xf>
    <xf numFmtId="0" fontId="0" fillId="17" borderId="0" xfId="0" applyFill="1" applyAlignment="1">
      <alignment horizontal="right" vertical="center" wrapText="1"/>
    </xf>
    <xf numFmtId="8" fontId="0" fillId="3" borderId="0" xfId="0" applyNumberFormat="1" applyFill="1" applyAlignment="1">
      <alignment horizontal="right"/>
    </xf>
    <xf numFmtId="0" fontId="0" fillId="3" borderId="0" xfId="0" applyFill="1" applyAlignment="1">
      <alignment horizontal="right"/>
    </xf>
    <xf numFmtId="8" fontId="0" fillId="16" borderId="0" xfId="0" applyNumberFormat="1" applyFill="1" applyAlignment="1">
      <alignment horizontal="right"/>
    </xf>
    <xf numFmtId="0" fontId="0" fillId="16" borderId="0" xfId="0" applyFill="1" applyAlignment="1">
      <alignment horizontal="right"/>
    </xf>
    <xf numFmtId="8" fontId="0" fillId="17" borderId="0" xfId="0" applyNumberFormat="1" applyFill="1" applyAlignment="1">
      <alignment horizontal="right"/>
    </xf>
    <xf numFmtId="0" fontId="0" fillId="17" borderId="0" xfId="0" applyFill="1"/>
    <xf numFmtId="8" fontId="0" fillId="9" borderId="1" xfId="0" applyNumberFormat="1" applyFill="1" applyBorder="1" applyAlignment="1">
      <alignment horizontal="right"/>
    </xf>
    <xf numFmtId="0" fontId="41" fillId="0" borderId="4" xfId="5" applyFont="1" applyBorder="1" applyAlignment="1">
      <alignment horizontal="center" wrapText="1"/>
    </xf>
    <xf numFmtId="0" fontId="42" fillId="0" borderId="0" xfId="0" applyFont="1" applyAlignment="1">
      <alignment horizontal="center"/>
    </xf>
    <xf numFmtId="0" fontId="1" fillId="0" borderId="1" xfId="0" applyFont="1" applyBorder="1" applyAlignment="1">
      <alignment horizontal="right" vertical="center" wrapText="1"/>
    </xf>
    <xf numFmtId="0" fontId="0" fillId="3" borderId="0" xfId="0" applyFill="1"/>
    <xf numFmtId="0" fontId="17" fillId="0" borderId="1" xfId="3" applyFont="1" applyBorder="1" applyAlignment="1" applyProtection="1">
      <alignment horizontal="right" vertical="center" indent="1"/>
    </xf>
    <xf numFmtId="0" fontId="8" fillId="0" borderId="1" xfId="0" applyFont="1" applyBorder="1" applyAlignment="1">
      <alignment horizontal="right" vertical="center" indent="1"/>
    </xf>
    <xf numFmtId="0" fontId="0" fillId="16" borderId="0" xfId="0" applyFill="1"/>
    <xf numFmtId="8" fontId="1" fillId="9" borderId="1" xfId="0" applyNumberFormat="1" applyFont="1" applyFill="1" applyBorder="1" applyAlignment="1">
      <alignment horizontal="right"/>
    </xf>
    <xf numFmtId="0" fontId="1" fillId="0" borderId="1" xfId="0" applyFont="1" applyBorder="1"/>
    <xf numFmtId="171" fontId="0" fillId="23" borderId="54" xfId="0" applyNumberFormat="1" applyFill="1" applyBorder="1" applyAlignment="1">
      <alignment horizontal="right" vertical="center"/>
    </xf>
    <xf numFmtId="171" fontId="0" fillId="23" borderId="53" xfId="0" applyNumberFormat="1" applyFill="1" applyBorder="1" applyAlignment="1">
      <alignment horizontal="right" vertical="center"/>
    </xf>
    <xf numFmtId="0" fontId="24" fillId="15" borderId="28" xfId="0" applyFont="1" applyFill="1" applyBorder="1" applyAlignment="1">
      <alignment horizontal="left"/>
    </xf>
    <xf numFmtId="0" fontId="26" fillId="0" borderId="29" xfId="0" applyFont="1" applyBorder="1"/>
    <xf numFmtId="0" fontId="24" fillId="0" borderId="32" xfId="0" applyFont="1" applyBorder="1" applyAlignment="1">
      <alignment horizontal="right"/>
    </xf>
    <xf numFmtId="0" fontId="26" fillId="0" borderId="33" xfId="0" applyFont="1" applyBorder="1"/>
    <xf numFmtId="0" fontId="32" fillId="0" borderId="28" xfId="0" applyFont="1" applyBorder="1" applyAlignment="1">
      <alignment horizontal="left"/>
    </xf>
    <xf numFmtId="0" fontId="25" fillId="0" borderId="28" xfId="0" applyFont="1" applyBorder="1" applyAlignment="1">
      <alignment horizontal="left"/>
    </xf>
    <xf numFmtId="0" fontId="28" fillId="11" borderId="28" xfId="0" applyFont="1" applyFill="1" applyBorder="1" applyAlignment="1">
      <alignment vertical="center"/>
    </xf>
    <xf numFmtId="0" fontId="19" fillId="12" borderId="29" xfId="0" applyFont="1" applyFill="1" applyBorder="1"/>
    <xf numFmtId="1" fontId="25" fillId="0" borderId="0" xfId="0" applyNumberFormat="1" applyFont="1" applyAlignment="1">
      <alignment horizontal="left" vertical="center"/>
    </xf>
    <xf numFmtId="0" fontId="18" fillId="11" borderId="22" xfId="0" applyFont="1" applyFill="1" applyBorder="1" applyAlignment="1">
      <alignment horizontal="left" vertical="center"/>
    </xf>
    <xf numFmtId="0" fontId="19" fillId="12" borderId="23" xfId="0" applyFont="1" applyFill="1" applyBorder="1"/>
    <xf numFmtId="0" fontId="19" fillId="12" borderId="25" xfId="0" applyFont="1" applyFill="1" applyBorder="1"/>
    <xf numFmtId="0" fontId="19" fillId="12" borderId="0" xfId="0" applyFont="1" applyFill="1"/>
    <xf numFmtId="1" fontId="25" fillId="0" borderId="23" xfId="0" applyNumberFormat="1" applyFont="1" applyBorder="1" applyAlignment="1">
      <alignment horizontal="left" vertical="center"/>
    </xf>
    <xf numFmtId="0" fontId="26" fillId="0" borderId="23" xfId="0" applyFont="1" applyBorder="1"/>
    <xf numFmtId="1" fontId="25" fillId="0" borderId="23" xfId="0" applyNumberFormat="1" applyFont="1" applyBorder="1" applyAlignment="1">
      <alignment horizontal="center" vertical="center"/>
    </xf>
    <xf numFmtId="0" fontId="22" fillId="0" borderId="23" xfId="0" applyFont="1" applyBorder="1" applyAlignment="1">
      <alignment horizontal="center" vertical="top"/>
    </xf>
    <xf numFmtId="169" fontId="25" fillId="0" borderId="0" xfId="0" applyNumberFormat="1" applyFont="1" applyAlignment="1">
      <alignment horizontal="left" vertical="center"/>
    </xf>
    <xf numFmtId="166" fontId="1" fillId="0" borderId="0" xfId="0" applyNumberFormat="1" applyFont="1" applyAlignment="1">
      <alignment horizontal="right"/>
    </xf>
    <xf numFmtId="0" fontId="1" fillId="0" borderId="0" xfId="0" applyFont="1" applyAlignment="1">
      <alignment horizontal="right"/>
    </xf>
    <xf numFmtId="0" fontId="55" fillId="26" borderId="80" xfId="0" applyFont="1" applyFill="1" applyBorder="1" applyAlignment="1">
      <alignment horizontal="center" vertical="center" wrapText="1"/>
    </xf>
    <xf numFmtId="0" fontId="56" fillId="27" borderId="81" xfId="0" applyFont="1" applyFill="1" applyBorder="1" applyAlignment="1">
      <alignment horizontal="center"/>
    </xf>
    <xf numFmtId="0" fontId="57" fillId="28" borderId="82" xfId="0" applyFont="1" applyFill="1" applyBorder="1" applyAlignment="1">
      <alignment horizontal="left" vertical="center"/>
    </xf>
    <xf numFmtId="174" fontId="57" fillId="28" borderId="82" xfId="0" applyNumberFormat="1" applyFont="1" applyFill="1" applyBorder="1" applyAlignment="1">
      <alignment vertical="center"/>
    </xf>
    <xf numFmtId="165" fontId="57" fillId="28" borderId="82" xfId="0" applyNumberFormat="1" applyFont="1" applyFill="1" applyBorder="1" applyAlignment="1">
      <alignment vertical="center"/>
    </xf>
    <xf numFmtId="0" fontId="57" fillId="28" borderId="82" xfId="0" applyFont="1" applyFill="1" applyBorder="1" applyAlignment="1">
      <alignment horizontal="left" vertical="center" wrapText="1"/>
    </xf>
    <xf numFmtId="0" fontId="50" fillId="29" borderId="81" xfId="0" applyFont="1" applyFill="1" applyBorder="1" applyAlignment="1">
      <alignment horizontal="right" vertical="top"/>
    </xf>
    <xf numFmtId="175" fontId="0" fillId="30" borderId="81" xfId="0" applyNumberFormat="1" applyFill="1" applyBorder="1" applyAlignment="1">
      <alignment vertical="top"/>
    </xf>
    <xf numFmtId="0" fontId="58" fillId="31" borderId="80" xfId="0" applyFont="1" applyFill="1" applyBorder="1" applyAlignment="1">
      <alignment horizontal="left" vertical="center"/>
    </xf>
    <xf numFmtId="174" fontId="58" fillId="31" borderId="80" xfId="0" applyNumberFormat="1" applyFont="1" applyFill="1" applyBorder="1" applyAlignment="1">
      <alignment vertical="center"/>
    </xf>
    <xf numFmtId="165" fontId="58" fillId="31" borderId="80" xfId="0" applyNumberFormat="1" applyFont="1" applyFill="1" applyBorder="1" applyAlignment="1">
      <alignment vertical="center"/>
    </xf>
    <xf numFmtId="0" fontId="58" fillId="31" borderId="80" xfId="0" applyFont="1" applyFill="1" applyBorder="1" applyAlignment="1">
      <alignment horizontal="left" vertical="center" wrapText="1"/>
    </xf>
    <xf numFmtId="0" fontId="59" fillId="27" borderId="0" xfId="0" applyFont="1" applyFill="1" applyAlignment="1">
      <alignment horizontal="center"/>
    </xf>
    <xf numFmtId="0" fontId="47" fillId="29" borderId="0" xfId="0" applyFont="1" applyFill="1" applyAlignment="1">
      <alignment horizontal="center" vertical="top" wrapText="1"/>
    </xf>
    <xf numFmtId="0" fontId="50" fillId="29" borderId="0" xfId="0" applyFont="1" applyFill="1" applyAlignment="1">
      <alignment horizontal="center" vertical="top" wrapText="1"/>
    </xf>
    <xf numFmtId="0" fontId="0" fillId="29" borderId="83" xfId="0" applyFill="1" applyBorder="1"/>
    <xf numFmtId="165" fontId="0" fillId="29" borderId="83" xfId="0" applyNumberFormat="1" applyFill="1" applyBorder="1" applyAlignment="1">
      <alignment horizontal="right"/>
    </xf>
    <xf numFmtId="0" fontId="60" fillId="21" borderId="0" xfId="0" applyFont="1" applyFill="1"/>
    <xf numFmtId="0" fontId="1" fillId="23" borderId="4" xfId="0" applyFont="1" applyFill="1" applyBorder="1" applyAlignment="1">
      <alignment horizontal="center"/>
    </xf>
    <xf numFmtId="0" fontId="1" fillId="23" borderId="0" xfId="0" applyFont="1" applyFill="1" applyAlignment="1">
      <alignment horizontal="center"/>
    </xf>
    <xf numFmtId="0" fontId="50" fillId="32" borderId="81" xfId="0" applyFont="1" applyFill="1" applyBorder="1" applyAlignment="1">
      <alignment horizontal="center" wrapText="1"/>
    </xf>
    <xf numFmtId="0" fontId="47" fillId="32" borderId="84" xfId="0" applyFont="1" applyFill="1" applyBorder="1" applyAlignment="1">
      <alignment horizontal="center" wrapText="1"/>
    </xf>
    <xf numFmtId="0" fontId="50" fillId="32" borderId="84" xfId="0" applyFont="1" applyFill="1" applyBorder="1" applyAlignment="1">
      <alignment horizontal="center" wrapText="1"/>
    </xf>
    <xf numFmtId="0" fontId="0" fillId="0" borderId="81" xfId="0" applyBorder="1" applyAlignment="1">
      <alignment vertical="top" wrapText="1"/>
    </xf>
    <xf numFmtId="175" fontId="0" fillId="33" borderId="81" xfId="0" applyNumberFormat="1" applyFill="1" applyBorder="1" applyAlignment="1">
      <alignment horizontal="right" vertical="top" wrapText="1"/>
    </xf>
    <xf numFmtId="175" fontId="0" fillId="30" borderId="81" xfId="0" applyNumberFormat="1" applyFill="1" applyBorder="1" applyAlignment="1">
      <alignment horizontal="right" vertical="top" wrapText="1"/>
    </xf>
    <xf numFmtId="176" fontId="0" fillId="33" borderId="81" xfId="0" applyNumberFormat="1" applyFill="1" applyBorder="1" applyAlignment="1">
      <alignment horizontal="center"/>
    </xf>
    <xf numFmtId="0" fontId="0" fillId="33" borderId="81" xfId="0" applyFill="1" applyBorder="1" applyAlignment="1">
      <alignment vertical="top" wrapText="1"/>
    </xf>
    <xf numFmtId="0" fontId="0" fillId="29" borderId="81" xfId="0" applyFill="1" applyBorder="1" applyAlignment="1">
      <alignment vertical="top"/>
    </xf>
    <xf numFmtId="0" fontId="50" fillId="29" borderId="81" xfId="0" applyFont="1" applyFill="1" applyBorder="1" applyAlignment="1">
      <alignment horizontal="right" vertical="top" wrapText="1"/>
    </xf>
    <xf numFmtId="0" fontId="0" fillId="30" borderId="81" xfId="0" applyFill="1" applyBorder="1" applyAlignment="1">
      <alignment vertical="top" wrapText="1"/>
    </xf>
    <xf numFmtId="0" fontId="50" fillId="34" borderId="81" xfId="0" applyFont="1" applyFill="1" applyBorder="1" applyAlignment="1">
      <alignment vertical="top" wrapText="1"/>
    </xf>
    <xf numFmtId="175" fontId="50" fillId="34" borderId="81" xfId="0" applyNumberFormat="1" applyFont="1" applyFill="1" applyBorder="1" applyAlignment="1">
      <alignment horizontal="right" vertical="top" wrapText="1"/>
    </xf>
    <xf numFmtId="0" fontId="0" fillId="29" borderId="81" xfId="0" applyFill="1" applyBorder="1" applyAlignment="1">
      <alignment vertical="top" wrapText="1"/>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56">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2" formatCode="0.00"/>
      <protection locked="1" hidden="0"/>
    </dxf>
    <dxf>
      <numFmt numFmtId="0" formatCode="General"/>
      <protection locked="1" hidden="0"/>
    </dxf>
    <dxf>
      <protection locked="1" hidden="0"/>
    </dxf>
    <dxf>
      <protection locked="1" hidden="0"/>
    </dxf>
    <dxf>
      <numFmt numFmtId="171" formatCode="mm/dd/yy;@"/>
      <protection locked="1" hidden="0"/>
    </dxf>
    <dxf>
      <protection locked="1" hidden="0"/>
    </dxf>
    <dxf>
      <protection locked="1" hidden="0"/>
    </dxf>
    <dxf>
      <numFmt numFmtId="2" formatCode="0.00"/>
      <protection locked="1" hidden="0"/>
    </dxf>
    <dxf>
      <numFmt numFmtId="1" formatCode="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top" textRotation="0" wrapText="1" indent="0" justifyLastLine="0" shrinkToFit="0" readingOrder="0"/>
      <protection locked="1" hidden="0"/>
    </dxf>
    <dxf>
      <fill>
        <patternFill patternType="solid">
          <fgColor indexed="64"/>
          <bgColor rgb="FFFFFF00"/>
        </patternFill>
      </fill>
      <protection locked="0" hidden="0"/>
    </dxf>
    <dxf>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30" formatCode="@"/>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d;@"/>
      <fill>
        <patternFill patternType="solid">
          <fgColor indexed="64"/>
          <bgColor rgb="FFFFFF00"/>
        </patternFill>
      </fill>
      <alignment horizontal="center" vertical="center" textRotation="0" wrapText="0" indent="0" justifyLastLine="0" shrinkToFit="0" readingOrder="0"/>
      <protection locked="0" hidden="0"/>
    </dxf>
    <dxf>
      <numFmt numFmtId="2" formatCode="0.00"/>
      <protection locked="0" hidden="0"/>
    </dxf>
    <dxf>
      <numFmt numFmtId="2"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55"/>
      <tableStyleElement type="headerRow" dxfId="54"/>
      <tableStyleElement type="firstRowStripe" dxfId="53"/>
    </tableStyle>
    <tableStyle name="Gantt Table Style 2" pivot="0" count="3" xr9:uid="{188EAD57-0217-4B5E-8A07-C858B28862F4}">
      <tableStyleElement type="wholeTable" dxfId="52"/>
      <tableStyleElement type="headerRow" dxfId="51"/>
      <tableStyleElement type="first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38"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Radio" firstButton="1" fmlaLink="$J$1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L$14" lockText="1" noThreeD="1"/>
</file>

<file path=xl/ctrlProps/ctrlProp4.xml><?xml version="1.0" encoding="utf-8"?>
<formControlPr xmlns="http://schemas.microsoft.com/office/spreadsheetml/2009/9/main" objectType="CheckBox" fmlaLink="$L$15" lockText="1" noThreeD="1"/>
</file>

<file path=xl/ctrlProps/ctrlProp5.xml><?xml version="1.0" encoding="utf-8"?>
<formControlPr xmlns="http://schemas.microsoft.com/office/spreadsheetml/2009/9/main" objectType="CheckBox" fmlaLink="$L$16" lockText="1" noThreeD="1"/>
</file>

<file path=xl/ctrlProps/ctrlProp6.xml><?xml version="1.0" encoding="utf-8"?>
<formControlPr xmlns="http://schemas.microsoft.com/office/spreadsheetml/2009/9/main" objectType="Scroll" dx="39" fmlaLink="$AB$26" horiz="1" max="365" page="0" val="0"/>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1.png"/><Relationship Id="rId1" Type="http://schemas.openxmlformats.org/officeDocument/2006/relationships/customXml" Target="../ink/ink1.xml"/><Relationship Id="rId6" Type="http://schemas.openxmlformats.org/officeDocument/2006/relationships/image" Target="../media/image13.png"/><Relationship Id="rId5" Type="http://schemas.openxmlformats.org/officeDocument/2006/relationships/customXml" Target="../ink/ink3.xml"/><Relationship Id="rId10" Type="http://schemas.openxmlformats.org/officeDocument/2006/relationships/image" Target="../media/image1.png"/><Relationship Id="rId4" Type="http://schemas.openxmlformats.org/officeDocument/2006/relationships/image" Target="../media/image12.png"/><Relationship Id="rId9" Type="http://schemas.openxmlformats.org/officeDocument/2006/relationships/customXml" Target="../ink/ink5.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28575</xdr:colOff>
          <xdr:row>10</xdr:row>
          <xdr:rowOff>28575</xdr:rowOff>
        </xdr:from>
        <xdr:to>
          <xdr:col>7</xdr:col>
          <xdr:colOff>352425</xdr:colOff>
          <xdr:row>11</xdr:row>
          <xdr:rowOff>47625</xdr:rowOff>
        </xdr:to>
        <xdr:sp macro="" textlink="">
          <xdr:nvSpPr>
            <xdr:cNvPr id="31745" name="optCapBasedValue" hidden="1">
              <a:extLst>
                <a:ext uri="{63B3BB69-23CF-44E3-9099-C40C66FF867C}">
                  <a14:compatExt spid="_x0000_s31745"/>
                </a:ext>
                <a:ext uri="{FF2B5EF4-FFF2-40B4-BE49-F238E27FC236}">
                  <a16:creationId xmlns:a16="http://schemas.microsoft.com/office/drawing/2014/main" id="{F0712AAF-01BB-434B-BC1F-01F4B9D3458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Cap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10</xdr:row>
          <xdr:rowOff>28575</xdr:rowOff>
        </xdr:from>
        <xdr:to>
          <xdr:col>8</xdr:col>
          <xdr:colOff>295275</xdr:colOff>
          <xdr:row>11</xdr:row>
          <xdr:rowOff>47625</xdr:rowOff>
        </xdr:to>
        <xdr:sp macro="" textlink="">
          <xdr:nvSpPr>
            <xdr:cNvPr id="31746" name="optCMABasedValue" hidden="1">
              <a:extLst>
                <a:ext uri="{63B3BB69-23CF-44E3-9099-C40C66FF867C}">
                  <a14:compatExt spid="_x0000_s31746"/>
                </a:ext>
                <a:ext uri="{FF2B5EF4-FFF2-40B4-BE49-F238E27FC236}">
                  <a16:creationId xmlns:a16="http://schemas.microsoft.com/office/drawing/2014/main" id="{BC025177-96E6-409A-8E0A-CFAE51E1AD3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CMA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13</xdr:row>
          <xdr:rowOff>28575</xdr:rowOff>
        </xdr:from>
        <xdr:to>
          <xdr:col>12</xdr:col>
          <xdr:colOff>676275</xdr:colOff>
          <xdr:row>15</xdr:row>
          <xdr:rowOff>28575</xdr:rowOff>
        </xdr:to>
        <xdr:sp macro="" textlink="">
          <xdr:nvSpPr>
            <xdr:cNvPr id="31747" name="chkIncludeContract6" hidden="1">
              <a:extLst>
                <a:ext uri="{63B3BB69-23CF-44E3-9099-C40C66FF867C}">
                  <a14:compatExt spid="_x0000_s31747"/>
                </a:ext>
                <a:ext uri="{FF2B5EF4-FFF2-40B4-BE49-F238E27FC236}">
                  <a16:creationId xmlns:a16="http://schemas.microsoft.com/office/drawing/2014/main" id="{91074CB7-D147-4846-A657-97532C17B4A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14</xdr:row>
          <xdr:rowOff>28575</xdr:rowOff>
        </xdr:from>
        <xdr:to>
          <xdr:col>12</xdr:col>
          <xdr:colOff>676275</xdr:colOff>
          <xdr:row>15</xdr:row>
          <xdr:rowOff>219075</xdr:rowOff>
        </xdr:to>
        <xdr:sp macro="" textlink="">
          <xdr:nvSpPr>
            <xdr:cNvPr id="31748" name="chkIncludeContract7" hidden="1">
              <a:extLst>
                <a:ext uri="{63B3BB69-23CF-44E3-9099-C40C66FF867C}">
                  <a14:compatExt spid="_x0000_s31748"/>
                </a:ext>
                <a:ext uri="{FF2B5EF4-FFF2-40B4-BE49-F238E27FC236}">
                  <a16:creationId xmlns:a16="http://schemas.microsoft.com/office/drawing/2014/main" id="{FEBE635D-8C2C-4AB2-A741-2212275653AF}"/>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15</xdr:row>
          <xdr:rowOff>28575</xdr:rowOff>
        </xdr:from>
        <xdr:to>
          <xdr:col>12</xdr:col>
          <xdr:colOff>676275</xdr:colOff>
          <xdr:row>15</xdr:row>
          <xdr:rowOff>409575</xdr:rowOff>
        </xdr:to>
        <xdr:sp macro="" textlink="">
          <xdr:nvSpPr>
            <xdr:cNvPr id="31749" name="chkIncludeContract8" hidden="1">
              <a:extLst>
                <a:ext uri="{63B3BB69-23CF-44E3-9099-C40C66FF867C}">
                  <a14:compatExt spid="_x0000_s31749"/>
                </a:ext>
                <a:ext uri="{FF2B5EF4-FFF2-40B4-BE49-F238E27FC236}">
                  <a16:creationId xmlns:a16="http://schemas.microsoft.com/office/drawing/2014/main" id="{C1BA1198-95E7-44D6-A67C-B903FEBF9F0F}"/>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2">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3">
              <a:extLst>
                <a:ext uri="{FF2B5EF4-FFF2-40B4-BE49-F238E27FC236}">
                  <a16:creationId xmlns:a16="http://schemas.microsoft.com/office/drawing/2014/main" id="{00000000-0008-0000-0200-000005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4">
              <a:extLst>
                <a:ext uri="{FF2B5EF4-FFF2-40B4-BE49-F238E27FC236}">
                  <a16:creationId xmlns:a16="http://schemas.microsoft.com/office/drawing/2014/main" id="{00000000-0008-0000-0200-000006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6"/>
            <a:stretch>
              <a:fillRect/>
            </a:stretch>
          </xdr:blipFill>
          <xdr:spPr>
            <a:xfrm>
              <a:off x="4519800" y="8360237"/>
              <a:ext cx="64440" cy="60120"/>
            </a:xfrm>
            <a:prstGeom prst="rect">
              <a:avLst/>
            </a:prstGeom>
          </xdr:spPr>
        </xdr:pic>
      </mc:Fallback>
    </mc:AlternateContent>
    <xdr:clientData/>
  </xdr:oneCellAnchor>
  <xdr:oneCellAnchor>
    <xdr:from>
      <xdr:col>3</xdr:col>
      <xdr:colOff>359571</xdr:colOff>
      <xdr:row>45</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 name="Ink 6">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8"/>
            <a:stretch>
              <a:fillRect/>
            </a:stretch>
          </xdr:blipFill>
          <xdr:spPr>
            <a:xfrm>
              <a:off x="4519800" y="8360237"/>
              <a:ext cx="64440" cy="60120"/>
            </a:xfrm>
            <a:prstGeom prst="rect">
              <a:avLst/>
            </a:prstGeom>
          </xdr:spPr>
        </xdr:pic>
      </mc:Fallback>
    </mc:AlternateContent>
    <xdr:clientData/>
  </xdr:oneCellAnchor>
  <xdr:oneCellAnchor>
    <xdr:from>
      <xdr:col>3</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0"/>
            <a:stretch>
              <a:fillRect/>
            </a:stretch>
          </xdr:blipFill>
          <xdr:spPr>
            <a:xfrm>
              <a:off x="4519800" y="8360237"/>
              <a:ext cx="64440" cy="60120"/>
            </a:xfrm>
            <a:prstGeom prst="rect">
              <a:avLst/>
            </a:prstGeom>
          </xdr:spPr>
        </xdr:pic>
      </mc:Fallback>
    </mc:AlternateContent>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xdr:col>
      <xdr:colOff>381000</xdr:colOff>
      <xdr:row>2</xdr:row>
      <xdr:rowOff>85725</xdr:rowOff>
    </xdr:from>
    <xdr:to>
      <xdr:col>7</xdr:col>
      <xdr:colOff>285750</xdr:colOff>
      <xdr:row>4</xdr:row>
      <xdr:rowOff>104387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390525"/>
          <a:ext cx="1266825" cy="399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24_Project%20Management%20-%204121%20Tensity%20Dr%202.xlsm" TargetMode="External"/><Relationship Id="rId1" Type="http://schemas.openxmlformats.org/officeDocument/2006/relationships/externalLinkPath" Target="https://lifeisanadventure.sharepoint.com/sites/SellYourHome/Shared%20Documents/Property/24_Project%20Management%20-%204121%20Tensity%20Dr%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sheetName val="Amortization"/>
      <sheetName val="Docs"/>
      <sheetName val="Trade Properties"/>
      <sheetName val="MOG"/>
      <sheetName val="Contact"/>
      <sheetName val="Carrying"/>
      <sheetName val="Contract"/>
      <sheetName val="UpdateContract"/>
      <sheetName val="Gnatt Chart"/>
      <sheetName val="Invoice"/>
      <sheetName val="Recap"/>
      <sheetName val="Legal"/>
      <sheetName val="Seller Advance"/>
      <sheetName val="MISC"/>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 val="STR"/>
      <sheetName val="2024"/>
      <sheetName val="2023"/>
      <sheetName val="2022"/>
      <sheetName val="2021"/>
      <sheetName val="2020"/>
      <sheetName val="Furnishing"/>
    </sheetNames>
    <sheetDataSet>
      <sheetData sheetId="0"/>
      <sheetData sheetId="1">
        <row r="3">
          <cell r="D3">
            <v>0</v>
          </cell>
        </row>
        <row r="4">
          <cell r="D4">
            <v>0</v>
          </cell>
        </row>
        <row r="5">
          <cell r="E5">
            <v>0</v>
          </cell>
          <cell r="AH5" t="b">
            <v>0</v>
          </cell>
        </row>
        <row r="6">
          <cell r="D6">
            <v>0</v>
          </cell>
        </row>
        <row r="7">
          <cell r="D7">
            <v>45839</v>
          </cell>
        </row>
        <row r="8">
          <cell r="D8">
            <v>52322</v>
          </cell>
          <cell r="O8">
            <v>0.1</v>
          </cell>
          <cell r="V8">
            <v>1717.96</v>
          </cell>
        </row>
        <row r="11">
          <cell r="O11">
            <v>0.03</v>
          </cell>
          <cell r="V11">
            <v>0</v>
          </cell>
        </row>
        <row r="13">
          <cell r="J13">
            <v>46204</v>
          </cell>
          <cell r="P13">
            <v>120</v>
          </cell>
          <cell r="S13">
            <v>49857</v>
          </cell>
        </row>
        <row r="14">
          <cell r="P14">
            <v>120</v>
          </cell>
          <cell r="S14">
            <v>49827</v>
          </cell>
        </row>
      </sheetData>
      <sheetData sheetId="2"/>
      <sheetData sheetId="3"/>
      <sheetData sheetId="4"/>
      <sheetData sheetId="5"/>
      <sheetData sheetId="6"/>
      <sheetData sheetId="7"/>
      <sheetData sheetId="8"/>
      <sheetData sheetId="9">
        <row r="2">
          <cell r="F2">
            <v>45363</v>
          </cell>
        </row>
        <row r="4">
          <cell r="G4">
            <v>1</v>
          </cell>
        </row>
        <row r="24">
          <cell r="AB24">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39"/>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4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41"/>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4:26:18.927"/>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refreshOnLoad="1" growShrinkType="insertClear" adjustColumnWidth="0" connectionId="3" xr16:uid="{AF163B3A-4144-4DA6-B14A-D446DCD77367}" autoFormatId="16" applyNumberFormats="0" applyBorderFormats="0" applyFontFormats="0" applyPatternFormats="0" applyAlignmentFormats="0" applyWidthHeightFormats="0">
  <queryTableRefresh nextId="16">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14" name="Notes" tableColumnId="119"/>
      <queryTableField id="15" name="Due" tableColumnId="1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27" totalsRowShown="0" headerRowDxfId="49" headerRowBorderDxfId="48">
  <autoFilter ref="A11:E27" xr:uid="{E8A9C9B7-BAF7-4CAB-9067-DC10D354858C}"/>
  <tableColumns count="5">
    <tableColumn id="1" xr3:uid="{9A4F1599-587C-4C12-AC23-D5B3879D1321}" name="Cost Code" dataDxfId="47"/>
    <tableColumn id="2" xr3:uid="{3ACCA719-70D2-4F0D-A8A3-69AE3272D3C1}" name="Title" dataDxfId="46"/>
    <tableColumn id="3" xr3:uid="{661FF8D2-2D43-4F8B-B73F-EC14A34B7050}" name="Description" dataDxfId="45"/>
    <tableColumn id="5" xr3:uid="{96319F4C-C120-4B14-BEB7-1D271C147258}" name="Qty" dataDxfId="44"/>
    <tableColumn id="6" xr3:uid="{CAFF8447-B9F2-4425-B2CD-C62CE1EB051F}" name="Unit Price" dataDxfId="4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20" tableType="queryTable" totalsRowShown="0" headerRowDxfId="42" dataDxfId="41">
  <autoFilter ref="A4:N20" xr:uid="{4A34AA4E-C13A-41A2-95E8-83E7E9409806}"/>
  <sortState xmlns:xlrd2="http://schemas.microsoft.com/office/spreadsheetml/2017/richdata2" ref="A5:N20">
    <sortCondition ref="B5:B14"/>
  </sortState>
  <tableColumns count="14">
    <tableColumn id="8" xr3:uid="{96E49A5C-5367-4ACB-B14D-E01CC163A0F1}" uniqueName="8" name="Party" queryTableFieldId="8" dataDxfId="40">
      <calculatedColumnFormula>+IF(FromProposal[[#This Row],[Cost Code]]&lt;&gt;0,"Glasgow","")</calculatedColumnFormula>
    </tableColumn>
    <tableColumn id="1" xr3:uid="{6ADBCE42-4844-4052-8DB6-AB34AD671DD5}" uniqueName="1" name="Item" queryTableFieldId="15" dataDxfId="39"/>
    <tableColumn id="2" xr3:uid="{33F8A9BB-342C-4F7D-B125-F381BCB77C64}" uniqueName="2" name="Cost Code" queryTableFieldId="2" dataDxfId="38"/>
    <tableColumn id="3" xr3:uid="{EAE8FFCB-2C04-49B6-85CD-78C67097E902}" uniqueName="3" name="Title" queryTableFieldId="3" dataDxfId="37"/>
    <tableColumn id="4" xr3:uid="{439B82DD-03F8-428D-9245-8543A46F29DC}" uniqueName="4" name="Description" queryTableFieldId="4" dataDxfId="36"/>
    <tableColumn id="5" xr3:uid="{1E080297-D531-4180-92D4-1B19AACF49C1}" uniqueName="5" name="Qty" queryTableFieldId="5" dataDxfId="35"/>
    <tableColumn id="6" xr3:uid="{575B5FBE-3F82-40CD-8A54-810E146EF82F}" uniqueName="6" name="Unit Price" queryTableFieldId="6" dataDxfId="34"/>
    <tableColumn id="7" xr3:uid="{766B7F26-7C49-427A-A617-067C40444D87}" uniqueName="7" name="Price" queryTableFieldId="7" dataDxfId="33"/>
    <tableColumn id="9" xr3:uid="{A5701DF5-B99B-45EC-8FC5-7061E5C93440}" uniqueName="9" name="Done" queryTableFieldId="17" dataDxfId="32"/>
    <tableColumn id="14" xr3:uid="{1C4B67EF-B985-4B9A-9327-556AFBB5C4A1}" uniqueName="14" name="Group Order" queryTableFieldId="20" dataDxfId="31"/>
    <tableColumn id="12" xr3:uid="{A3E3248C-A9FB-45EA-9F9E-83897992215A}" uniqueName="12" name="Start Date" queryTableFieldId="12" dataDxfId="30"/>
    <tableColumn id="15" xr3:uid="{E31CECDC-7A24-4472-8474-4283CEDBD8FC}" uniqueName="15" name="Days" queryTableFieldId="14" dataDxfId="29"/>
    <tableColumn id="10" xr3:uid="{3EA3D46A-2606-48C3-B90D-0603A94FFB2E}" uniqueName="10" name="Paid" queryTableFieldId="18" dataDxfId="28"/>
    <tableColumn id="13" xr3:uid="{7268DDA6-B96D-499B-92E4-F124E0D116A3}" uniqueName="13" name="Notes" queryTableFieldId="19" dataDxfId="2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45" tableType="queryTable" totalsRowShown="0" headerRowDxfId="26" dataDxfId="25">
  <sortState xmlns:xlrd2="http://schemas.microsoft.com/office/spreadsheetml/2017/richdata2" ref="A30:O45">
    <sortCondition ref="J30:J83"/>
    <sortCondition ref="K30:K83"/>
  </sortState>
  <tableColumns count="15">
    <tableColumn id="106" xr3:uid="{88C796C4-2105-4C93-8E7A-CCEA28B0DF71}" uniqueName="106" name="Party" queryTableFieldId="1" dataDxfId="24"/>
    <tableColumn id="107" xr3:uid="{541F33A4-C6A3-44C5-81DB-FAA61B7F72AB}" uniqueName="107" name="Item" queryTableFieldId="2" dataDxfId="23"/>
    <tableColumn id="108" xr3:uid="{3AE45ADE-D247-428D-BB07-058C3457BF76}" uniqueName="108" name="Cost Code" queryTableFieldId="3" dataDxfId="22"/>
    <tableColumn id="109" xr3:uid="{B0D5185D-6AD1-4E8D-B845-F1898A9538BA}" uniqueName="109" name="Title" queryTableFieldId="4" dataDxfId="21"/>
    <tableColumn id="110" xr3:uid="{BF5C7BBF-561F-458E-BF23-5B7C697DF8C9}" uniqueName="110" name="Description" queryTableFieldId="5" dataDxfId="20"/>
    <tableColumn id="111" xr3:uid="{F21AE756-8924-4878-8615-262AB0D00519}" uniqueName="111" name="Qty" queryTableFieldId="6" dataDxfId="19"/>
    <tableColumn id="112" xr3:uid="{0CD8A8A4-BACC-44F4-93A1-F713A821F322}" uniqueName="112" name="Unit Price" queryTableFieldId="7" dataDxfId="18"/>
    <tableColumn id="113" xr3:uid="{26C57DEB-9347-43DE-B22B-A524ED52F9F1}" uniqueName="113" name="Price" queryTableFieldId="8" dataDxfId="17"/>
    <tableColumn id="114" xr3:uid="{EBDB1F65-628C-4940-9612-1C3FD8569DC1}" uniqueName="114" name="Done" queryTableFieldId="9" dataDxfId="16"/>
    <tableColumn id="115" xr3:uid="{12EEE598-AD5C-449D-9592-F3BFFA8A06FB}" uniqueName="115" name="Group Order" queryTableFieldId="10" dataDxfId="15"/>
    <tableColumn id="116" xr3:uid="{C6321B43-2488-4F52-A140-04EF16631EAF}" uniqueName="116" name="Start Date" queryTableFieldId="11" dataDxfId="14"/>
    <tableColumn id="117" xr3:uid="{E22A3266-2A40-492B-9764-940B22EBAEF6}" uniqueName="117" name="Days" queryTableFieldId="12" dataDxfId="13"/>
    <tableColumn id="118" xr3:uid="{DA6448B5-75FA-40C7-BF8D-CB99AC089926}" uniqueName="118" name="Paid" queryTableFieldId="13" dataDxfId="12"/>
    <tableColumn id="119" xr3:uid="{A789D139-5429-44E2-8E4C-EFA46ED90A52}" uniqueName="119" name="Notes" queryTableFieldId="14" dataDxfId="11"/>
    <tableColumn id="120" xr3:uid="{F39BD6C0-B0A7-49E7-AFB2-4F7FD09D606F}" uniqueName="120" name="Due" queryTableFieldId="15" dataDxfId="1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rushmoreservicing.com/" TargetMode="External"/><Relationship Id="rId3" Type="http://schemas.openxmlformats.org/officeDocument/2006/relationships/hyperlink" Target="mailto:ac63yhompson@gmail.com" TargetMode="External"/><Relationship Id="rId7" Type="http://schemas.openxmlformats.org/officeDocument/2006/relationships/hyperlink" Target="mailto:andycarlson27@yahoo.com" TargetMode="External"/><Relationship Id="rId2" Type="http://schemas.openxmlformats.org/officeDocument/2006/relationships/hyperlink" Target="mailto:LaLogallazo@gmail.com" TargetMode="External"/><Relationship Id="rId1" Type="http://schemas.openxmlformats.org/officeDocument/2006/relationships/hyperlink" Target="mailto:brantley@eldridgeandfranklin.com" TargetMode="External"/><Relationship Id="rId6" Type="http://schemas.openxmlformats.org/officeDocument/2006/relationships/hyperlink" Target="https://nreig.com/contact/" TargetMode="External"/><Relationship Id="rId5" Type="http://schemas.openxmlformats.org/officeDocument/2006/relationships/hyperlink" Target="mailto:Matt@trueserviceinc.com" TargetMode="External"/><Relationship Id="rId4" Type="http://schemas.openxmlformats.org/officeDocument/2006/relationships/hyperlink" Target="mailto:Walter@GlasgowDB.com" TargetMode="External"/><Relationship Id="rId9"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8.bin"/><Relationship Id="rId5" Type="http://schemas.openxmlformats.org/officeDocument/2006/relationships/table" Target="../tables/table3.xml"/><Relationship Id="rId4" Type="http://schemas.openxmlformats.org/officeDocument/2006/relationships/ctrlProp" Target="../ctrlProps/ctrlProp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T108"/>
  <sheetViews>
    <sheetView zoomScaleNormal="100" workbookViewId="0">
      <pane xSplit="1" ySplit="3" topLeftCell="B7" activePane="bottomRight" state="frozen"/>
      <selection pane="topRight" activeCell="B1" sqref="B1"/>
      <selection pane="bottomLeft" activeCell="A3" sqref="A3"/>
      <selection pane="bottomRight" activeCell="E29" sqref="E29"/>
    </sheetView>
  </sheetViews>
  <sheetFormatPr defaultColWidth="9.140625" defaultRowHeight="15" customHeight="1" x14ac:dyDescent="0.2"/>
  <cols>
    <col min="1" max="1" width="24.7109375" style="40" customWidth="1"/>
    <col min="2" max="2" width="6.42578125" style="40" customWidth="1"/>
    <col min="3" max="3" width="8.28515625" style="149" customWidth="1"/>
    <col min="4" max="4" width="9" style="39" customWidth="1"/>
    <col min="5" max="7" width="9.28515625" style="39" bestFit="1" customWidth="1"/>
    <col min="8" max="8" width="10.140625" style="40" customWidth="1"/>
    <col min="9" max="9" width="8.5703125" style="149" bestFit="1" customWidth="1"/>
    <col min="10" max="10" width="11.5703125" style="39" customWidth="1"/>
    <col min="11" max="11" width="9.28515625" style="39" customWidth="1"/>
    <col min="12" max="12" width="5.28515625" style="39" customWidth="1"/>
    <col min="13" max="13" width="8.42578125" style="39" bestFit="1" customWidth="1"/>
    <col min="14" max="14" width="11.28515625" style="39" customWidth="1"/>
    <col min="15" max="15" width="17.140625" style="39" customWidth="1"/>
    <col min="16" max="16" width="21.28515625" style="39" customWidth="1"/>
    <col min="17" max="17" width="13.28515625" style="39" customWidth="1"/>
    <col min="18" max="18" width="17.85546875" style="39" customWidth="1"/>
    <col min="19" max="19" width="10.140625" style="39" bestFit="1" customWidth="1"/>
    <col min="20" max="20" width="18.7109375" style="39" customWidth="1"/>
    <col min="21" max="21" width="11.28515625" style="39" customWidth="1"/>
    <col min="22" max="22" width="11.140625" style="39" bestFit="1" customWidth="1"/>
    <col min="23" max="16384" width="9.140625" style="39"/>
  </cols>
  <sheetData>
    <row r="1" spans="1:20" ht="21" customHeight="1" thickBot="1" x14ac:dyDescent="0.35">
      <c r="A1" s="40" t="s">
        <v>0</v>
      </c>
      <c r="B1" s="465" t="s">
        <v>1</v>
      </c>
      <c r="C1" s="466"/>
      <c r="E1" s="219" t="s">
        <v>2</v>
      </c>
      <c r="F1" s="220" t="s">
        <v>3</v>
      </c>
    </row>
    <row r="2" spans="1:20" ht="16.5" customHeight="1" thickBot="1" x14ac:dyDescent="0.3">
      <c r="A2" s="150"/>
      <c r="B2" s="422" t="s">
        <v>4</v>
      </c>
      <c r="C2" s="423"/>
      <c r="D2" s="423"/>
      <c r="E2" s="423"/>
      <c r="F2" s="424"/>
      <c r="G2" s="151"/>
      <c r="H2" s="414" t="s">
        <v>5</v>
      </c>
      <c r="I2" s="415"/>
      <c r="J2" s="437" t="s">
        <v>6</v>
      </c>
      <c r="K2" s="463"/>
    </row>
    <row r="3" spans="1:20" ht="12" customHeight="1" thickBot="1" x14ac:dyDescent="0.25">
      <c r="A3" s="152" t="s">
        <v>7</v>
      </c>
      <c r="B3" s="153"/>
      <c r="D3" s="425" t="s">
        <v>8</v>
      </c>
      <c r="E3" s="425"/>
      <c r="F3" s="425" t="s">
        <v>9</v>
      </c>
      <c r="G3" s="410"/>
      <c r="H3" s="410"/>
      <c r="I3" s="416"/>
      <c r="J3" s="438"/>
      <c r="K3" s="464"/>
    </row>
    <row r="4" spans="1:20" ht="12" customHeight="1" thickBot="1" x14ac:dyDescent="0.25">
      <c r="A4" s="40" t="s">
        <v>10</v>
      </c>
      <c r="B4" s="493">
        <v>439000</v>
      </c>
      <c r="C4" s="494"/>
      <c r="E4" s="154"/>
      <c r="G4" s="154"/>
      <c r="I4" s="167"/>
      <c r="J4" s="437" t="s">
        <v>11</v>
      </c>
      <c r="K4" s="484" t="s">
        <v>12</v>
      </c>
      <c r="O4" s="40" t="s">
        <v>13</v>
      </c>
      <c r="P4" s="377">
        <f ca="1">NOW()</f>
        <v>46203.546094097219</v>
      </c>
    </row>
    <row r="5" spans="1:20" ht="12" customHeight="1" thickBot="1" x14ac:dyDescent="0.25">
      <c r="A5" s="40" t="s">
        <v>14</v>
      </c>
      <c r="B5" s="276">
        <v>-0.15</v>
      </c>
      <c r="C5" s="276">
        <v>0.1</v>
      </c>
      <c r="E5" s="154"/>
      <c r="G5" s="154"/>
      <c r="I5" s="172"/>
      <c r="J5" s="438"/>
      <c r="K5" s="464"/>
      <c r="N5" s="39" t="s">
        <v>15</v>
      </c>
      <c r="O5" s="355">
        <v>45161</v>
      </c>
      <c r="P5" s="39">
        <v>276600</v>
      </c>
    </row>
    <row r="6" spans="1:20" ht="12" customHeight="1" thickBot="1" x14ac:dyDescent="0.25">
      <c r="A6" s="40" t="s">
        <v>16</v>
      </c>
      <c r="B6" s="495">
        <f>+B4 + IF(B1="Hold",B4*C5,0) + IF(B1="wholetale",B4*B5,0)</f>
        <v>439000</v>
      </c>
      <c r="C6" s="496"/>
      <c r="E6" s="154"/>
      <c r="G6" s="203">
        <f>IF($B$1="hold",$B$4,$B$6)</f>
        <v>439000</v>
      </c>
      <c r="I6" s="172"/>
      <c r="J6" s="437" t="s">
        <v>17</v>
      </c>
      <c r="K6" s="473">
        <v>0.1</v>
      </c>
      <c r="N6" s="149"/>
      <c r="O6" s="355"/>
    </row>
    <row r="7" spans="1:20" ht="12" customHeight="1" thickBot="1" x14ac:dyDescent="0.25">
      <c r="A7" s="40" t="s">
        <v>18</v>
      </c>
      <c r="B7" s="493"/>
      <c r="C7" s="494"/>
      <c r="D7" s="149">
        <f>+B7</f>
        <v>0</v>
      </c>
      <c r="E7" s="154"/>
      <c r="F7" s="149">
        <f>-B7</f>
        <v>0</v>
      </c>
      <c r="G7" s="203">
        <f>+IF($B$1="hold",$K$6,0)*$C$35/12*B4</f>
        <v>0</v>
      </c>
      <c r="H7" s="328" t="str">
        <f>+IF($B$1="hold","&lt;-- Apprication -----------","")</f>
        <v/>
      </c>
      <c r="I7" s="172"/>
      <c r="J7" s="438"/>
      <c r="K7" s="474"/>
    </row>
    <row r="8" spans="1:20" ht="12" customHeight="1" thickBot="1" x14ac:dyDescent="0.25">
      <c r="A8" s="40" t="s">
        <v>19</v>
      </c>
      <c r="B8" s="458">
        <v>2000</v>
      </c>
      <c r="C8" s="459"/>
      <c r="D8" s="155"/>
      <c r="E8" s="156"/>
      <c r="F8" s="155"/>
      <c r="G8" s="157"/>
      <c r="I8" s="204" t="str">
        <f>IF(B1="Hold",+B8,"")</f>
        <v/>
      </c>
      <c r="J8" s="437" t="s">
        <v>20</v>
      </c>
      <c r="K8" s="456">
        <v>1899</v>
      </c>
    </row>
    <row r="9" spans="1:20" ht="12" customHeight="1" thickBot="1" x14ac:dyDescent="0.25">
      <c r="C9" s="444" t="s">
        <v>21</v>
      </c>
      <c r="D9" s="445" t="s">
        <v>21</v>
      </c>
      <c r="E9" s="158">
        <f>SUM(D4:D8)</f>
        <v>0</v>
      </c>
      <c r="F9" s="417">
        <f>+SUM(F4:G8)</f>
        <v>439000</v>
      </c>
      <c r="G9" s="418"/>
      <c r="H9" s="417">
        <f>SUM(H4:I8)</f>
        <v>0</v>
      </c>
      <c r="I9" s="418"/>
      <c r="J9" s="438"/>
      <c r="K9" s="457"/>
    </row>
    <row r="10" spans="1:20" ht="12" customHeight="1" thickBot="1" x14ac:dyDescent="0.25">
      <c r="C10" s="159"/>
      <c r="D10" s="160"/>
      <c r="E10" s="158"/>
      <c r="F10" s="149"/>
      <c r="G10" s="154"/>
      <c r="H10" s="149"/>
      <c r="I10" s="161"/>
    </row>
    <row r="11" spans="1:20" ht="12" customHeight="1" thickTop="1" thickBot="1" x14ac:dyDescent="0.25">
      <c r="A11" s="162" t="s">
        <v>22</v>
      </c>
      <c r="B11" s="162"/>
      <c r="C11" s="163"/>
      <c r="D11" s="164"/>
      <c r="E11" s="211"/>
      <c r="F11" s="165"/>
      <c r="G11" s="211"/>
      <c r="H11" s="166"/>
      <c r="I11" s="216"/>
    </row>
    <row r="12" spans="1:20" ht="11.25" customHeight="1" thickBot="1" x14ac:dyDescent="0.3">
      <c r="A12" s="40" t="s">
        <v>23</v>
      </c>
      <c r="B12" s="485">
        <v>12645</v>
      </c>
      <c r="C12" s="486"/>
      <c r="D12" s="170">
        <f>-B12</f>
        <v>-12645</v>
      </c>
      <c r="E12" s="212"/>
      <c r="F12" s="221"/>
      <c r="G12" s="222" t="str">
        <f>IF(K4="Yes",0.3*B12,"")</f>
        <v/>
      </c>
      <c r="H12" s="419" t="s">
        <v>24</v>
      </c>
      <c r="I12" s="420"/>
      <c r="J12" s="426" t="s">
        <v>25</v>
      </c>
      <c r="K12" s="432"/>
    </row>
    <row r="13" spans="1:20" ht="12" customHeight="1" x14ac:dyDescent="0.2">
      <c r="A13" s="40" t="s">
        <v>26</v>
      </c>
      <c r="B13" s="373">
        <v>3.125E-2</v>
      </c>
      <c r="C13" s="333">
        <v>125037.73</v>
      </c>
      <c r="D13" s="170"/>
      <c r="E13" s="212"/>
      <c r="F13" s="170">
        <f>-C13</f>
        <v>-125037.73</v>
      </c>
      <c r="G13" s="214"/>
      <c r="H13" s="170"/>
      <c r="I13" s="217"/>
      <c r="J13" s="433"/>
      <c r="K13" s="434"/>
      <c r="M13" s="173"/>
    </row>
    <row r="14" spans="1:20" ht="12" customHeight="1" x14ac:dyDescent="0.2">
      <c r="A14" s="40" t="s">
        <v>27</v>
      </c>
      <c r="B14" s="332"/>
      <c r="C14" s="333"/>
      <c r="D14" s="170"/>
      <c r="E14" s="212"/>
      <c r="F14" s="170">
        <f>-+(120-C34)*(C14/120)</f>
        <v>0</v>
      </c>
      <c r="G14" s="214"/>
      <c r="H14" s="170">
        <f>-(C14*B14/12)</f>
        <v>0</v>
      </c>
      <c r="I14" s="217"/>
      <c r="J14" s="433"/>
      <c r="K14" s="434"/>
    </row>
    <row r="15" spans="1:20" ht="12" customHeight="1" thickBot="1" x14ac:dyDescent="0.25">
      <c r="A15" s="40" t="s">
        <v>28</v>
      </c>
      <c r="B15" s="332">
        <v>0.1</v>
      </c>
      <c r="C15" s="333"/>
      <c r="D15" s="168"/>
      <c r="E15" s="212"/>
      <c r="F15" s="170">
        <f>-C15</f>
        <v>0</v>
      </c>
      <c r="G15" s="214"/>
      <c r="H15" s="170">
        <f>-C15/120-(C15*B15/12)</f>
        <v>0</v>
      </c>
      <c r="I15" s="217"/>
      <c r="J15" s="435"/>
      <c r="K15" s="436"/>
      <c r="T15" s="378"/>
    </row>
    <row r="16" spans="1:20" ht="12" customHeight="1" thickBot="1" x14ac:dyDescent="0.25">
      <c r="A16" s="40" t="s">
        <v>29</v>
      </c>
      <c r="B16" s="297"/>
      <c r="C16" s="298"/>
      <c r="D16" s="170">
        <f>-C16</f>
        <v>0</v>
      </c>
      <c r="E16" s="212"/>
      <c r="F16" s="170"/>
      <c r="G16" s="214"/>
      <c r="H16" s="171"/>
      <c r="I16" s="217"/>
      <c r="J16" s="42"/>
      <c r="K16" s="42"/>
    </row>
    <row r="17" spans="1:17" ht="12" customHeight="1" thickBot="1" x14ac:dyDescent="0.25">
      <c r="A17" s="195" t="s">
        <v>30</v>
      </c>
      <c r="B17" s="270">
        <v>0</v>
      </c>
      <c r="C17" s="271"/>
      <c r="D17" s="170"/>
      <c r="E17" s="212"/>
      <c r="F17" s="170"/>
      <c r="G17" s="214"/>
      <c r="H17" s="174"/>
      <c r="I17" s="217"/>
    </row>
    <row r="18" spans="1:17" ht="12" customHeight="1" thickBot="1" x14ac:dyDescent="0.25">
      <c r="A18" s="195" t="s">
        <v>31</v>
      </c>
      <c r="B18" s="509">
        <v>10000</v>
      </c>
      <c r="C18" s="459"/>
      <c r="D18" s="170">
        <f>-B18</f>
        <v>-10000</v>
      </c>
      <c r="E18" s="212"/>
      <c r="F18" s="170"/>
      <c r="G18" s="214"/>
      <c r="H18" s="171"/>
      <c r="I18" s="217"/>
      <c r="J18" s="477" t="s">
        <v>32</v>
      </c>
      <c r="K18" s="428"/>
    </row>
    <row r="19" spans="1:17" ht="12" customHeight="1" thickBot="1" x14ac:dyDescent="0.25">
      <c r="A19" s="195" t="s">
        <v>33</v>
      </c>
      <c r="B19" s="227"/>
      <c r="C19" s="187">
        <v>0</v>
      </c>
      <c r="D19" s="170">
        <f>-B19</f>
        <v>0</v>
      </c>
      <c r="E19" s="212"/>
      <c r="F19" s="170"/>
      <c r="G19" s="214"/>
      <c r="H19" s="171"/>
      <c r="I19" s="217"/>
      <c r="J19" s="478"/>
      <c r="K19" s="479"/>
    </row>
    <row r="20" spans="1:17" ht="12" customHeight="1" x14ac:dyDescent="0.2">
      <c r="A20" s="195" t="s">
        <v>34</v>
      </c>
      <c r="B20" s="197">
        <f ca="1">+F57/30</f>
        <v>60.4</v>
      </c>
      <c r="C20" s="379"/>
      <c r="D20" s="170"/>
      <c r="E20" s="212"/>
      <c r="F20" s="170"/>
      <c r="G20" s="214"/>
      <c r="H20" s="174"/>
      <c r="I20" s="217"/>
      <c r="J20" s="450" t="s">
        <v>35</v>
      </c>
      <c r="K20" s="451"/>
    </row>
    <row r="21" spans="1:17" ht="12" customHeight="1" x14ac:dyDescent="0.2">
      <c r="A21" s="195" t="s">
        <v>36</v>
      </c>
      <c r="B21" s="196">
        <f ca="1">+Carrying!H$88/$B$20</f>
        <v>1154.8923841059611</v>
      </c>
      <c r="C21" s="169"/>
      <c r="D21" s="170"/>
      <c r="E21" s="212"/>
      <c r="F21" s="170"/>
      <c r="G21" s="214"/>
      <c r="H21" s="174" t="str">
        <f>IF(B1="Hold",-B21,"")</f>
        <v/>
      </c>
      <c r="I21" s="217"/>
      <c r="J21" s="452"/>
      <c r="K21" s="453"/>
    </row>
    <row r="22" spans="1:17" ht="12" customHeight="1" x14ac:dyDescent="0.2">
      <c r="A22" s="195" t="s">
        <v>37</v>
      </c>
      <c r="B22" s="196"/>
      <c r="C22" s="169"/>
      <c r="D22" s="170"/>
      <c r="E22" s="212"/>
      <c r="F22" s="170"/>
      <c r="G22" s="214"/>
      <c r="H22" s="174" t="str">
        <f>IF(B1="Hold",-B22,"")</f>
        <v/>
      </c>
      <c r="I22" s="217"/>
      <c r="J22" s="452"/>
      <c r="K22" s="453"/>
    </row>
    <row r="23" spans="1:17" ht="12" customHeight="1" thickBot="1" x14ac:dyDescent="0.25">
      <c r="A23" s="195" t="s">
        <v>38</v>
      </c>
      <c r="B23" s="196">
        <f ca="1">+Carrying!L$88/$B$20</f>
        <v>85.609437086092711</v>
      </c>
      <c r="C23" s="169"/>
      <c r="D23" s="170"/>
      <c r="E23" s="212"/>
      <c r="F23" s="170"/>
      <c r="G23" s="214"/>
      <c r="H23" s="174" t="str">
        <f>IF(B1="Hold",-B23,"")</f>
        <v/>
      </c>
      <c r="I23" s="217"/>
      <c r="J23" s="454"/>
      <c r="K23" s="455"/>
    </row>
    <row r="24" spans="1:17" ht="12" customHeight="1" x14ac:dyDescent="0.2">
      <c r="A24" s="195" t="s">
        <v>39</v>
      </c>
      <c r="B24" s="196"/>
      <c r="C24" s="169"/>
      <c r="D24" s="170"/>
      <c r="E24" s="212"/>
      <c r="F24" s="170"/>
      <c r="G24" s="214"/>
      <c r="H24" s="174" t="str">
        <f>IF(B1="Hold",-B24,"")</f>
        <v/>
      </c>
      <c r="I24" s="217"/>
    </row>
    <row r="25" spans="1:17" ht="12" customHeight="1" x14ac:dyDescent="0.2">
      <c r="A25" s="195" t="s">
        <v>40</v>
      </c>
      <c r="B25" s="196">
        <f ca="1">+Carrying!D$88/$B$20</f>
        <v>12.588576158940402</v>
      </c>
      <c r="C25" s="169"/>
      <c r="D25" s="170"/>
      <c r="E25" s="212"/>
      <c r="F25" s="170"/>
      <c r="G25" s="214"/>
      <c r="H25" s="174"/>
      <c r="I25" s="217"/>
    </row>
    <row r="26" spans="1:17" ht="12" customHeight="1" thickBot="1" x14ac:dyDescent="0.25">
      <c r="A26" s="195" t="s">
        <v>41</v>
      </c>
      <c r="B26" s="196"/>
      <c r="C26" s="178"/>
      <c r="D26" s="170"/>
      <c r="E26" s="212"/>
      <c r="F26" s="170"/>
      <c r="G26" s="214"/>
      <c r="H26" s="174"/>
      <c r="I26" s="217"/>
      <c r="O26" s="40" t="s">
        <v>42</v>
      </c>
      <c r="P26" s="149">
        <f>+C13</f>
        <v>125037.73</v>
      </c>
    </row>
    <row r="27" spans="1:17" ht="12" customHeight="1" thickBot="1" x14ac:dyDescent="0.25">
      <c r="A27" s="40" t="s">
        <v>43</v>
      </c>
      <c r="B27" s="441">
        <f ca="1">+B20*SUM(B21:B26)</f>
        <v>75686.660000000047</v>
      </c>
      <c r="C27" s="442"/>
      <c r="D27" s="170">
        <f ca="1">-B27</f>
        <v>-75686.660000000047</v>
      </c>
      <c r="E27" s="212"/>
      <c r="F27" s="170"/>
      <c r="G27" s="214"/>
      <c r="H27" s="174"/>
      <c r="I27" s="217"/>
      <c r="J27" s="448" t="s">
        <v>44</v>
      </c>
      <c r="K27" s="446">
        <f>+SUM(B12:C16)+B18</f>
        <v>147682.86124999999</v>
      </c>
      <c r="N27" s="39" t="s">
        <v>45</v>
      </c>
      <c r="O27" s="40" t="s">
        <v>46</v>
      </c>
      <c r="P27" s="39">
        <v>75000</v>
      </c>
    </row>
    <row r="28" spans="1:17" ht="12" customHeight="1" thickBot="1" x14ac:dyDescent="0.25">
      <c r="A28" s="300" t="s">
        <v>47</v>
      </c>
      <c r="B28" s="199">
        <v>0.1</v>
      </c>
      <c r="C28" s="194" t="s">
        <v>48</v>
      </c>
      <c r="D28" s="170"/>
      <c r="E28" s="212"/>
      <c r="F28" s="170"/>
      <c r="G28" s="214"/>
      <c r="H28" s="174"/>
      <c r="I28" s="217"/>
      <c r="J28" s="449"/>
      <c r="K28" s="447"/>
      <c r="O28" s="40"/>
    </row>
    <row r="29" spans="1:17" ht="12" customHeight="1" thickBot="1" x14ac:dyDescent="0.25">
      <c r="A29" s="198" t="s">
        <v>49</v>
      </c>
      <c r="B29" s="498">
        <f>IF(C28="NO",0,+(B6*0.75)-(C13+C14+C15))</f>
        <v>204212.27000000002</v>
      </c>
      <c r="C29" s="499"/>
      <c r="D29" s="170"/>
      <c r="E29" s="212">
        <v>75000</v>
      </c>
      <c r="F29" s="170">
        <f ca="1">IF(C28="No","",-E29-(B20*E29*B28/12))</f>
        <v>-112750</v>
      </c>
      <c r="G29" s="214"/>
      <c r="H29" s="174">
        <f>-IF($B$1="Hold",E29*B28/12,0)</f>
        <v>0</v>
      </c>
      <c r="I29" s="330"/>
      <c r="J29" s="448" t="s">
        <v>50</v>
      </c>
      <c r="K29" s="446">
        <f>+B12+C14+C16+B18+B30</f>
        <v>54069.184000000001</v>
      </c>
      <c r="O29" s="40"/>
    </row>
    <row r="30" spans="1:17" ht="12" customHeight="1" thickBot="1" x14ac:dyDescent="0.25">
      <c r="A30" s="40" t="s">
        <v>51</v>
      </c>
      <c r="B30" s="510">
        <f>-D51</f>
        <v>31424.184000000001</v>
      </c>
      <c r="C30" s="501"/>
      <c r="D30" s="170">
        <f>-B30</f>
        <v>-31424.184000000001</v>
      </c>
      <c r="E30" s="212"/>
      <c r="F30" s="170"/>
      <c r="G30" s="214"/>
      <c r="H30" s="171"/>
      <c r="I30" s="330"/>
      <c r="J30" s="449"/>
      <c r="K30" s="447"/>
      <c r="M30" s="149">
        <f>+K27+B30</f>
        <v>179107.04525</v>
      </c>
      <c r="O30" s="40"/>
    </row>
    <row r="31" spans="1:17" ht="12" customHeight="1" thickBot="1" x14ac:dyDescent="0.25">
      <c r="A31" s="40" t="s">
        <v>52</v>
      </c>
      <c r="B31" s="443">
        <v>600</v>
      </c>
      <c r="C31" s="416"/>
      <c r="D31" s="170">
        <f>-B31</f>
        <v>-600</v>
      </c>
      <c r="E31" s="212"/>
      <c r="F31" s="170"/>
      <c r="G31" s="214"/>
      <c r="H31" s="171"/>
      <c r="I31" s="217"/>
      <c r="J31" s="389" t="s">
        <v>53</v>
      </c>
      <c r="K31" s="460"/>
      <c r="Q31" s="149">
        <f>SUM(P26:P30)</f>
        <v>200037.72999999998</v>
      </c>
    </row>
    <row r="32" spans="1:17" ht="12" customHeight="1" thickBot="1" x14ac:dyDescent="0.25">
      <c r="A32" s="198" t="s">
        <v>54</v>
      </c>
      <c r="B32" s="175">
        <v>1</v>
      </c>
      <c r="C32" s="176">
        <f>+B32*399</f>
        <v>399</v>
      </c>
      <c r="D32" s="170"/>
      <c r="E32" s="212"/>
      <c r="F32" s="170">
        <f>-C32</f>
        <v>-399</v>
      </c>
      <c r="G32" s="214"/>
      <c r="H32" s="171"/>
      <c r="I32" s="217"/>
      <c r="J32" s="461"/>
      <c r="K32" s="462"/>
    </row>
    <row r="33" spans="1:15" ht="12" customHeight="1" x14ac:dyDescent="0.2">
      <c r="A33" s="198" t="s">
        <v>55</v>
      </c>
      <c r="B33" s="200">
        <v>0</v>
      </c>
      <c r="C33" s="201">
        <v>2.5999999999999999E-2</v>
      </c>
      <c r="D33" s="170"/>
      <c r="E33" s="212"/>
      <c r="F33" s="170">
        <f>-B33*C33*$F$9</f>
        <v>0</v>
      </c>
      <c r="G33" s="214"/>
      <c r="H33" s="171"/>
      <c r="I33" s="217"/>
    </row>
    <row r="34" spans="1:15" ht="12" customHeight="1" thickBot="1" x14ac:dyDescent="0.25">
      <c r="A34" s="198" t="s">
        <v>56</v>
      </c>
      <c r="B34" s="302">
        <v>1</v>
      </c>
      <c r="C34" s="303">
        <v>2.4E-2</v>
      </c>
      <c r="D34" s="170"/>
      <c r="E34" s="212"/>
      <c r="F34" s="170">
        <f>-B34*C34*$F$9</f>
        <v>-10536</v>
      </c>
      <c r="G34" s="214"/>
      <c r="H34" s="171"/>
      <c r="I34" s="217"/>
    </row>
    <row r="35" spans="1:15" ht="12" customHeight="1" thickBot="1" x14ac:dyDescent="0.25">
      <c r="A35" s="304" t="s">
        <v>57</v>
      </c>
      <c r="B35" s="301"/>
      <c r="C35" s="334">
        <v>12</v>
      </c>
      <c r="D35" s="170"/>
      <c r="E35" s="212"/>
      <c r="F35" s="170"/>
      <c r="G35" s="214"/>
      <c r="H35" s="171"/>
      <c r="I35" s="217"/>
    </row>
    <row r="36" spans="1:15" ht="12" customHeight="1" thickBot="1" x14ac:dyDescent="0.3">
      <c r="A36" s="40" t="s">
        <v>58</v>
      </c>
      <c r="B36" s="458"/>
      <c r="C36" s="487"/>
      <c r="D36" s="202"/>
      <c r="E36" s="212"/>
      <c r="F36" s="170">
        <f>-C36</f>
        <v>0</v>
      </c>
      <c r="G36" s="214"/>
      <c r="H36" s="168"/>
      <c r="I36" s="217"/>
    </row>
    <row r="37" spans="1:15" ht="12" customHeight="1" x14ac:dyDescent="0.2">
      <c r="A37" s="40" t="s">
        <v>59</v>
      </c>
      <c r="B37" s="500">
        <f>+D71</f>
        <v>5998</v>
      </c>
      <c r="C37" s="501"/>
      <c r="D37" s="170">
        <f>-B37</f>
        <v>-5998</v>
      </c>
      <c r="E37" s="212"/>
      <c r="F37" s="170"/>
      <c r="G37" s="214"/>
      <c r="H37" s="168"/>
      <c r="I37" s="217"/>
    </row>
    <row r="38" spans="1:15" ht="12" customHeight="1" thickBot="1" x14ac:dyDescent="0.25">
      <c r="A38" s="40" t="s">
        <v>60</v>
      </c>
      <c r="B38" s="439">
        <f>+D82</f>
        <v>290</v>
      </c>
      <c r="C38" s="440"/>
      <c r="D38" s="179"/>
      <c r="E38" s="213"/>
      <c r="F38" s="179">
        <f>-B38</f>
        <v>-290</v>
      </c>
      <c r="G38" s="215"/>
      <c r="H38" s="177"/>
      <c r="I38" s="218"/>
    </row>
    <row r="39" spans="1:15" ht="12" customHeight="1" thickBot="1" x14ac:dyDescent="0.25">
      <c r="C39" s="481" t="s">
        <v>61</v>
      </c>
      <c r="D39" s="445"/>
      <c r="E39" s="313">
        <f ca="1">+SUM(D12:D38)</f>
        <v>-136353.84400000004</v>
      </c>
      <c r="F39" s="421">
        <f ca="1">+SUM(F12:F38)</f>
        <v>-249012.72999999998</v>
      </c>
      <c r="G39" s="421"/>
      <c r="H39" s="488">
        <f>+SUM(H9:I38)</f>
        <v>0</v>
      </c>
      <c r="I39" s="489"/>
    </row>
    <row r="40" spans="1:15" ht="12" customHeight="1" thickBot="1" x14ac:dyDescent="0.25">
      <c r="A40" s="41"/>
      <c r="B40" s="502" t="s">
        <v>62</v>
      </c>
      <c r="C40" s="503"/>
      <c r="D40" s="503"/>
      <c r="E40" s="208">
        <f ca="1">+SUM(E9:E39)</f>
        <v>-61353.844000000041</v>
      </c>
      <c r="F40" s="421">
        <f ca="1">+SUM(F9:G38)</f>
        <v>189987.27000000002</v>
      </c>
      <c r="G40" s="421"/>
      <c r="H40" s="206"/>
      <c r="I40" s="210"/>
      <c r="O40" s="149"/>
    </row>
    <row r="41" spans="1:15" ht="12" customHeight="1" x14ac:dyDescent="0.2">
      <c r="A41" s="41"/>
      <c r="B41" s="41"/>
      <c r="D41" s="41"/>
      <c r="E41" s="471" t="s">
        <v>63</v>
      </c>
      <c r="F41" s="472"/>
      <c r="G41" s="205">
        <f ca="1">+E40+F40</f>
        <v>128633.42599999998</v>
      </c>
      <c r="H41" s="206"/>
      <c r="I41" s="207"/>
      <c r="J41" s="398" t="s">
        <v>64</v>
      </c>
      <c r="K41" s="475" t="s">
        <v>65</v>
      </c>
      <c r="O41" s="149"/>
    </row>
    <row r="42" spans="1:15" ht="12" customHeight="1" thickBot="1" x14ac:dyDescent="0.25">
      <c r="A42" s="41"/>
      <c r="B42" s="41"/>
      <c r="E42" s="471" t="s">
        <v>66</v>
      </c>
      <c r="F42" s="472"/>
      <c r="G42" s="472"/>
      <c r="H42" s="189">
        <f>IF(B1="Hold",C35,0)</f>
        <v>0</v>
      </c>
      <c r="I42" s="314">
        <f>+H42*H39</f>
        <v>0</v>
      </c>
      <c r="J42" s="399"/>
      <c r="K42" s="476"/>
      <c r="M42" s="40"/>
      <c r="N42" s="149"/>
    </row>
    <row r="43" spans="1:15" ht="12" customHeight="1" thickBot="1" x14ac:dyDescent="0.25">
      <c r="A43" s="41"/>
      <c r="B43" s="41"/>
      <c r="E43" s="209"/>
      <c r="F43" s="400" t="s">
        <v>67</v>
      </c>
      <c r="G43" s="401"/>
      <c r="H43" s="180"/>
      <c r="I43" s="180">
        <f ca="1">+I42+G41</f>
        <v>128633.42599999998</v>
      </c>
      <c r="J43" s="181">
        <f ca="1">$B$17*$I$43</f>
        <v>0</v>
      </c>
      <c r="K43" s="182">
        <f ca="1">+$I$43-J43</f>
        <v>128633.42599999998</v>
      </c>
    </row>
    <row r="44" spans="1:15" ht="12" customHeight="1" thickTop="1" thickBot="1" x14ac:dyDescent="0.3">
      <c r="A44" s="183" t="s">
        <v>68</v>
      </c>
      <c r="B44" s="504">
        <v>0</v>
      </c>
      <c r="C44" s="508"/>
      <c r="D44" s="183"/>
      <c r="E44" s="183"/>
      <c r="H44" s="482" t="s">
        <v>69</v>
      </c>
      <c r="I44" s="483"/>
      <c r="J44" s="277">
        <f ca="1">IF(B44="",0,-$B$44*J43)</f>
        <v>0</v>
      </c>
      <c r="K44" s="278">
        <f ca="1">IF(B44="",0,-$B$44*K43)</f>
        <v>0</v>
      </c>
    </row>
    <row r="45" spans="1:15" ht="12" customHeight="1" thickTop="1" thickBot="1" x14ac:dyDescent="0.3">
      <c r="A45" s="40" t="s">
        <v>70</v>
      </c>
      <c r="B45" s="504">
        <v>0.1</v>
      </c>
      <c r="C45" s="505">
        <v>0.15</v>
      </c>
      <c r="D45" s="506">
        <f ca="1">+K45*B45</f>
        <v>12863.342599999998</v>
      </c>
      <c r="E45" s="507"/>
      <c r="G45" s="41"/>
      <c r="H45" s="400" t="s">
        <v>67</v>
      </c>
      <c r="I45" s="401"/>
      <c r="J45" s="188">
        <f ca="1">+J43+J44</f>
        <v>0</v>
      </c>
      <c r="K45" s="184">
        <f ca="1">+K43+K44</f>
        <v>128633.42599999998</v>
      </c>
    </row>
    <row r="46" spans="1:15" ht="12" customHeight="1" thickBot="1" x14ac:dyDescent="0.25">
      <c r="A46" s="153"/>
      <c r="C46" s="40"/>
      <c r="D46" s="40"/>
      <c r="E46" s="40"/>
    </row>
    <row r="47" spans="1:15" ht="12" customHeight="1" thickTop="1" x14ac:dyDescent="0.2">
      <c r="A47" s="162" t="s">
        <v>71</v>
      </c>
    </row>
    <row r="48" spans="1:15" ht="12" customHeight="1" thickBot="1" x14ac:dyDescent="0.25">
      <c r="A48" s="40" t="s">
        <v>72</v>
      </c>
      <c r="B48" s="404">
        <f>+'Gnatt Chart'!J5</f>
        <v>28567.440000000002</v>
      </c>
      <c r="C48" s="404"/>
      <c r="D48" s="404">
        <f>-B48</f>
        <v>-28567.440000000002</v>
      </c>
      <c r="E48" s="404"/>
      <c r="G48" s="480"/>
      <c r="H48" s="480"/>
      <c r="I48" s="480"/>
    </row>
    <row r="49" spans="1:10" ht="12" customHeight="1" thickBot="1" x14ac:dyDescent="0.25">
      <c r="A49" s="40" t="s">
        <v>73</v>
      </c>
      <c r="B49" s="185">
        <v>0.1</v>
      </c>
      <c r="D49" s="404"/>
      <c r="E49" s="404"/>
      <c r="G49" s="426" t="s">
        <v>74</v>
      </c>
      <c r="H49" s="427"/>
      <c r="I49" s="427"/>
      <c r="J49" s="428"/>
    </row>
    <row r="50" spans="1:10" ht="12" customHeight="1" thickBot="1" x14ac:dyDescent="0.25">
      <c r="A50" s="40" t="s">
        <v>75</v>
      </c>
      <c r="B50" s="497">
        <f>IF(K4&lt;&gt;"Yes",+B49*SUM(B48:C48),0)</f>
        <v>2856.7440000000006</v>
      </c>
      <c r="C50" s="497"/>
      <c r="D50" s="497">
        <f t="shared" ref="D50" si="0">-B50</f>
        <v>-2856.7440000000006</v>
      </c>
      <c r="E50" s="497"/>
      <c r="G50" s="429"/>
      <c r="H50" s="430"/>
      <c r="I50" s="430"/>
      <c r="J50" s="431"/>
    </row>
    <row r="51" spans="1:10" ht="12" customHeight="1" thickBot="1" x14ac:dyDescent="0.25">
      <c r="A51" s="40" t="s">
        <v>76</v>
      </c>
      <c r="D51" s="467">
        <f>+SUM(D48:E50)</f>
        <v>-31424.184000000001</v>
      </c>
      <c r="E51" s="468"/>
      <c r="G51" s="395" t="s">
        <v>77</v>
      </c>
      <c r="H51" s="396"/>
      <c r="I51" s="396"/>
      <c r="J51" s="397"/>
    </row>
    <row r="52" spans="1:10" ht="12" customHeight="1" thickTop="1" thickBot="1" x14ac:dyDescent="0.25">
      <c r="A52" s="186" t="s">
        <v>78</v>
      </c>
      <c r="B52" s="183"/>
      <c r="C52" s="183"/>
      <c r="D52" s="40"/>
      <c r="E52" s="40"/>
      <c r="G52" s="392"/>
      <c r="H52" s="393"/>
      <c r="I52" s="393"/>
      <c r="J52" s="394"/>
    </row>
    <row r="53" spans="1:10" ht="12" customHeight="1" x14ac:dyDescent="0.2">
      <c r="A53" s="40" t="s">
        <v>79</v>
      </c>
      <c r="B53" s="405">
        <v>650</v>
      </c>
      <c r="C53" s="406"/>
      <c r="D53" s="404"/>
      <c r="E53" s="404"/>
    </row>
    <row r="54" spans="1:10" ht="12" customHeight="1" x14ac:dyDescent="0.2">
      <c r="A54" s="40" t="s">
        <v>80</v>
      </c>
      <c r="B54" s="402">
        <v>5000</v>
      </c>
      <c r="C54" s="403"/>
      <c r="D54" s="404"/>
      <c r="E54" s="404"/>
    </row>
    <row r="55" spans="1:10" ht="12" customHeight="1" thickBot="1" x14ac:dyDescent="0.25">
      <c r="A55" s="40" t="s">
        <v>81</v>
      </c>
      <c r="B55" s="402">
        <v>250</v>
      </c>
      <c r="C55" s="403"/>
      <c r="D55" s="404"/>
      <c r="E55" s="404"/>
    </row>
    <row r="56" spans="1:10" ht="12" customHeight="1" x14ac:dyDescent="0.2">
      <c r="A56" s="40" t="s">
        <v>81</v>
      </c>
      <c r="B56" s="402"/>
      <c r="C56" s="403"/>
      <c r="F56" s="492" t="s">
        <v>82</v>
      </c>
      <c r="G56" s="411"/>
      <c r="H56" s="411" t="s">
        <v>83</v>
      </c>
      <c r="I56" s="411"/>
      <c r="J56" s="380" t="s">
        <v>84</v>
      </c>
    </row>
    <row r="57" spans="1:10" ht="12" customHeight="1" thickBot="1" x14ac:dyDescent="0.3">
      <c r="A57" s="40" t="s">
        <v>85</v>
      </c>
      <c r="B57" s="402"/>
      <c r="C57" s="403"/>
      <c r="F57" s="490">
        <f ca="1">_xlfn.DAYS(J57,H57)</f>
        <v>1812</v>
      </c>
      <c r="G57" s="491"/>
      <c r="H57" s="412">
        <v>44391</v>
      </c>
      <c r="I57" s="413"/>
      <c r="J57" s="381">
        <f ca="1">NOW()</f>
        <v>46203.546094097219</v>
      </c>
    </row>
    <row r="58" spans="1:10" ht="12" customHeight="1" x14ac:dyDescent="0.2">
      <c r="A58" s="40" t="s">
        <v>85</v>
      </c>
      <c r="B58" s="402"/>
      <c r="C58" s="403"/>
      <c r="D58" s="404"/>
      <c r="E58" s="404"/>
    </row>
    <row r="59" spans="1:10" ht="12" customHeight="1" x14ac:dyDescent="0.2">
      <c r="A59" s="40" t="s">
        <v>86</v>
      </c>
      <c r="B59" s="402"/>
      <c r="C59" s="403"/>
      <c r="D59" s="404"/>
      <c r="E59" s="404"/>
    </row>
    <row r="60" spans="1:10" ht="12" customHeight="1" x14ac:dyDescent="0.2">
      <c r="A60" s="40" t="s">
        <v>87</v>
      </c>
      <c r="B60" s="402"/>
      <c r="C60" s="403"/>
      <c r="D60" s="404"/>
      <c r="E60" s="404"/>
    </row>
    <row r="61" spans="1:10" ht="12" customHeight="1" x14ac:dyDescent="0.2">
      <c r="A61" s="40" t="s">
        <v>88</v>
      </c>
      <c r="B61" s="402"/>
      <c r="C61" s="403"/>
      <c r="D61" s="404"/>
      <c r="E61" s="404"/>
    </row>
    <row r="62" spans="1:10" ht="12" customHeight="1" x14ac:dyDescent="0.2">
      <c r="A62" s="40" t="s">
        <v>89</v>
      </c>
      <c r="B62" s="402"/>
      <c r="C62" s="403"/>
      <c r="D62" s="404"/>
      <c r="E62" s="404"/>
    </row>
    <row r="63" spans="1:10" ht="12" customHeight="1" x14ac:dyDescent="0.2">
      <c r="A63" s="40" t="s">
        <v>90</v>
      </c>
      <c r="B63" s="402"/>
      <c r="C63" s="403"/>
      <c r="D63" s="404"/>
      <c r="E63" s="404"/>
    </row>
    <row r="64" spans="1:10" ht="12" customHeight="1" x14ac:dyDescent="0.2">
      <c r="A64" s="40" t="s">
        <v>91</v>
      </c>
      <c r="B64" s="402">
        <v>66</v>
      </c>
      <c r="C64" s="403"/>
      <c r="D64" s="404"/>
      <c r="E64" s="404"/>
    </row>
    <row r="65" spans="1:10" ht="12" customHeight="1" x14ac:dyDescent="0.2">
      <c r="A65" s="40" t="s">
        <v>92</v>
      </c>
      <c r="B65" s="402"/>
      <c r="C65" s="403"/>
      <c r="D65" s="404"/>
      <c r="E65" s="404"/>
    </row>
    <row r="66" spans="1:10" ht="12" customHeight="1" x14ac:dyDescent="0.2">
      <c r="A66" s="40" t="s">
        <v>93</v>
      </c>
      <c r="B66" s="402"/>
      <c r="C66" s="403"/>
      <c r="D66" s="404"/>
      <c r="E66" s="404"/>
    </row>
    <row r="67" spans="1:10" ht="12" customHeight="1" x14ac:dyDescent="0.2">
      <c r="A67" s="40" t="s">
        <v>94</v>
      </c>
      <c r="B67" s="402">
        <v>26</v>
      </c>
      <c r="C67" s="403"/>
      <c r="D67" s="404"/>
      <c r="E67" s="404"/>
    </row>
    <row r="68" spans="1:10" ht="12" customHeight="1" x14ac:dyDescent="0.2">
      <c r="A68" s="40" t="s">
        <v>95</v>
      </c>
      <c r="B68" s="402">
        <v>6</v>
      </c>
      <c r="C68" s="403"/>
      <c r="D68" s="404"/>
      <c r="E68" s="404"/>
    </row>
    <row r="69" spans="1:10" ht="12" customHeight="1" x14ac:dyDescent="0.2">
      <c r="A69" s="40" t="s">
        <v>96</v>
      </c>
      <c r="B69" s="402"/>
      <c r="C69" s="403"/>
      <c r="D69" s="404"/>
      <c r="E69" s="404"/>
    </row>
    <row r="70" spans="1:10" ht="12" customHeight="1" thickBot="1" x14ac:dyDescent="0.25">
      <c r="A70" s="40" t="s">
        <v>97</v>
      </c>
      <c r="B70" s="407"/>
      <c r="C70" s="408"/>
      <c r="D70" s="409"/>
      <c r="E70" s="410"/>
    </row>
    <row r="71" spans="1:10" ht="12" customHeight="1" thickBot="1" x14ac:dyDescent="0.25">
      <c r="D71" s="467">
        <f>+SUM(B53:C70)</f>
        <v>5998</v>
      </c>
      <c r="E71" s="468"/>
      <c r="G71" s="389" t="s">
        <v>98</v>
      </c>
      <c r="H71" s="390"/>
      <c r="I71" s="390"/>
      <c r="J71" s="391"/>
    </row>
    <row r="72" spans="1:10" ht="12" customHeight="1" thickBot="1" x14ac:dyDescent="0.25">
      <c r="G72" s="392"/>
      <c r="H72" s="393"/>
      <c r="I72" s="393"/>
      <c r="J72" s="394"/>
    </row>
    <row r="73" spans="1:10" ht="12" customHeight="1" thickTop="1" thickBot="1" x14ac:dyDescent="0.25">
      <c r="A73" s="186" t="s">
        <v>99</v>
      </c>
      <c r="B73" s="183"/>
      <c r="C73" s="183"/>
      <c r="D73" s="183"/>
      <c r="E73" s="183"/>
    </row>
    <row r="74" spans="1:10" ht="12" customHeight="1" x14ac:dyDescent="0.2">
      <c r="A74" s="40" t="s">
        <v>79</v>
      </c>
      <c r="B74" s="405"/>
      <c r="C74" s="406"/>
      <c r="D74" s="404"/>
      <c r="E74" s="404"/>
    </row>
    <row r="75" spans="1:10" ht="12" customHeight="1" x14ac:dyDescent="0.2">
      <c r="A75" s="40" t="s">
        <v>81</v>
      </c>
      <c r="B75" s="402">
        <v>250</v>
      </c>
      <c r="C75" s="403"/>
      <c r="D75" s="404"/>
      <c r="E75" s="404"/>
    </row>
    <row r="76" spans="1:10" ht="12" customHeight="1" x14ac:dyDescent="0.2">
      <c r="A76" s="40" t="s">
        <v>100</v>
      </c>
      <c r="B76" s="402">
        <v>0</v>
      </c>
      <c r="C76" s="403"/>
      <c r="D76" s="404"/>
      <c r="E76" s="404"/>
    </row>
    <row r="77" spans="1:10" ht="12" customHeight="1" x14ac:dyDescent="0.2">
      <c r="A77" s="40" t="s">
        <v>101</v>
      </c>
      <c r="B77" s="402"/>
      <c r="C77" s="403"/>
      <c r="D77" s="404"/>
      <c r="E77" s="404"/>
    </row>
    <row r="78" spans="1:10" ht="12" customHeight="1" x14ac:dyDescent="0.2">
      <c r="A78" s="40" t="s">
        <v>94</v>
      </c>
      <c r="B78" s="402"/>
      <c r="C78" s="403"/>
      <c r="D78" s="404"/>
      <c r="E78" s="404"/>
    </row>
    <row r="79" spans="1:10" ht="12" customHeight="1" x14ac:dyDescent="0.2">
      <c r="A79" s="40" t="s">
        <v>95</v>
      </c>
      <c r="B79" s="402">
        <v>40</v>
      </c>
      <c r="C79" s="403"/>
      <c r="D79" s="404"/>
      <c r="E79" s="404"/>
    </row>
    <row r="80" spans="1:10" ht="12" customHeight="1" x14ac:dyDescent="0.2">
      <c r="A80" s="40" t="s">
        <v>96</v>
      </c>
      <c r="B80" s="402"/>
      <c r="C80" s="403"/>
      <c r="D80" s="404"/>
      <c r="E80" s="404"/>
    </row>
    <row r="81" spans="1:10" ht="12" customHeight="1" thickBot="1" x14ac:dyDescent="0.25">
      <c r="A81" s="40" t="s">
        <v>97</v>
      </c>
      <c r="B81" s="469"/>
      <c r="C81" s="470"/>
      <c r="D81" s="409"/>
      <c r="E81" s="410"/>
    </row>
    <row r="82" spans="1:10" ht="12" customHeight="1" thickTop="1" thickBot="1" x14ac:dyDescent="0.25">
      <c r="D82" s="467">
        <f>+SUM(B74:C81)</f>
        <v>290</v>
      </c>
      <c r="E82" s="468"/>
      <c r="G82" s="389" t="s">
        <v>102</v>
      </c>
      <c r="H82" s="390"/>
      <c r="I82" s="390"/>
      <c r="J82" s="391"/>
    </row>
    <row r="83" spans="1:10" ht="12" customHeight="1" thickBot="1" x14ac:dyDescent="0.25">
      <c r="G83" s="392"/>
      <c r="H83" s="393"/>
      <c r="I83" s="393"/>
      <c r="J83" s="394"/>
    </row>
    <row r="84" spans="1:10" ht="12" customHeight="1" x14ac:dyDescent="0.2"/>
    <row r="85" spans="1:10" ht="12" customHeight="1" x14ac:dyDescent="0.2"/>
    <row r="86" spans="1:10" ht="12" customHeight="1" x14ac:dyDescent="0.2"/>
    <row r="87" spans="1:10" ht="12" customHeight="1" x14ac:dyDescent="0.2"/>
    <row r="88" spans="1:10" ht="12" customHeight="1" x14ac:dyDescent="0.2"/>
    <row r="89" spans="1:10" ht="12" customHeight="1" x14ac:dyDescent="0.2"/>
    <row r="90" spans="1:10" ht="12" customHeight="1" x14ac:dyDescent="0.2"/>
    <row r="91" spans="1:10" ht="12" customHeight="1" x14ac:dyDescent="0.2"/>
    <row r="92" spans="1:10" ht="12" customHeight="1" x14ac:dyDescent="0.2"/>
    <row r="93" spans="1:10" ht="12" customHeight="1" x14ac:dyDescent="0.2"/>
    <row r="94" spans="1:10" ht="12" customHeight="1" x14ac:dyDescent="0.2"/>
    <row r="95" spans="1:10" ht="12" customHeight="1" x14ac:dyDescent="0.2"/>
    <row r="96" spans="1:10"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sheetData>
  <mergeCells count="120">
    <mergeCell ref="J2:J3"/>
    <mergeCell ref="J4:J5"/>
    <mergeCell ref="K4:K5"/>
    <mergeCell ref="B12:C12"/>
    <mergeCell ref="B36:C36"/>
    <mergeCell ref="H39:I39"/>
    <mergeCell ref="F57:G57"/>
    <mergeCell ref="F56:G56"/>
    <mergeCell ref="B4:C4"/>
    <mergeCell ref="B6:C6"/>
    <mergeCell ref="B7:C7"/>
    <mergeCell ref="D53:E53"/>
    <mergeCell ref="D51:E51"/>
    <mergeCell ref="D50:E50"/>
    <mergeCell ref="B50:C50"/>
    <mergeCell ref="B29:C29"/>
    <mergeCell ref="B37:C37"/>
    <mergeCell ref="B40:D40"/>
    <mergeCell ref="B45:C45"/>
    <mergeCell ref="D45:E45"/>
    <mergeCell ref="B44:C44"/>
    <mergeCell ref="B18:C18"/>
    <mergeCell ref="B55:C55"/>
    <mergeCell ref="B30:C30"/>
    <mergeCell ref="K6:K7"/>
    <mergeCell ref="D71:E71"/>
    <mergeCell ref="D62:E62"/>
    <mergeCell ref="D64:E64"/>
    <mergeCell ref="D63:E63"/>
    <mergeCell ref="B54:C54"/>
    <mergeCell ref="D60:E60"/>
    <mergeCell ref="D61:E61"/>
    <mergeCell ref="D55:E55"/>
    <mergeCell ref="K41:K42"/>
    <mergeCell ref="B68:C68"/>
    <mergeCell ref="D68:E68"/>
    <mergeCell ref="D67:E67"/>
    <mergeCell ref="B62:C62"/>
    <mergeCell ref="J18:K19"/>
    <mergeCell ref="G71:J72"/>
    <mergeCell ref="B63:C63"/>
    <mergeCell ref="G48:I48"/>
    <mergeCell ref="F39:G39"/>
    <mergeCell ref="C39:D39"/>
    <mergeCell ref="H45:I45"/>
    <mergeCell ref="H44:I44"/>
    <mergeCell ref="B48:C48"/>
    <mergeCell ref="K29:K30"/>
    <mergeCell ref="B1:C1"/>
    <mergeCell ref="D82:E82"/>
    <mergeCell ref="B76:C76"/>
    <mergeCell ref="D76:E76"/>
    <mergeCell ref="B78:C78"/>
    <mergeCell ref="D78:E78"/>
    <mergeCell ref="B79:C79"/>
    <mergeCell ref="D79:E79"/>
    <mergeCell ref="B77:C77"/>
    <mergeCell ref="D77:E77"/>
    <mergeCell ref="B80:C80"/>
    <mergeCell ref="D80:E80"/>
    <mergeCell ref="B81:C81"/>
    <mergeCell ref="D81:E81"/>
    <mergeCell ref="D58:E58"/>
    <mergeCell ref="D59:E59"/>
    <mergeCell ref="D54:E54"/>
    <mergeCell ref="B60:C60"/>
    <mergeCell ref="B61:C61"/>
    <mergeCell ref="B58:C58"/>
    <mergeCell ref="B59:C59"/>
    <mergeCell ref="B57:C57"/>
    <mergeCell ref="E41:F41"/>
    <mergeCell ref="E42:G42"/>
    <mergeCell ref="H2:I3"/>
    <mergeCell ref="F9:G9"/>
    <mergeCell ref="H9:I9"/>
    <mergeCell ref="H12:I12"/>
    <mergeCell ref="F40:G40"/>
    <mergeCell ref="B2:F2"/>
    <mergeCell ref="D3:E3"/>
    <mergeCell ref="F3:G3"/>
    <mergeCell ref="G49:J50"/>
    <mergeCell ref="J12:K15"/>
    <mergeCell ref="J6:J7"/>
    <mergeCell ref="B38:C38"/>
    <mergeCell ref="J8:J9"/>
    <mergeCell ref="B27:C27"/>
    <mergeCell ref="B31:C31"/>
    <mergeCell ref="C9:D9"/>
    <mergeCell ref="K27:K28"/>
    <mergeCell ref="J27:J28"/>
    <mergeCell ref="J20:K23"/>
    <mergeCell ref="K8:K9"/>
    <mergeCell ref="B8:C8"/>
    <mergeCell ref="J31:K32"/>
    <mergeCell ref="J29:J30"/>
    <mergeCell ref="K2:K3"/>
    <mergeCell ref="G82:J83"/>
    <mergeCell ref="G51:J52"/>
    <mergeCell ref="J41:J42"/>
    <mergeCell ref="F43:G43"/>
    <mergeCell ref="B64:C64"/>
    <mergeCell ref="D65:E65"/>
    <mergeCell ref="D66:E66"/>
    <mergeCell ref="B56:C56"/>
    <mergeCell ref="B74:C74"/>
    <mergeCell ref="D74:E74"/>
    <mergeCell ref="B75:C75"/>
    <mergeCell ref="D75:E75"/>
    <mergeCell ref="B70:C70"/>
    <mergeCell ref="D70:E70"/>
    <mergeCell ref="B66:C66"/>
    <mergeCell ref="B67:C67"/>
    <mergeCell ref="B65:C65"/>
    <mergeCell ref="B69:C69"/>
    <mergeCell ref="B53:C53"/>
    <mergeCell ref="D49:E49"/>
    <mergeCell ref="D48:E48"/>
    <mergeCell ref="D69:E69"/>
    <mergeCell ref="H56:I56"/>
    <mergeCell ref="H57:I57"/>
  </mergeCells>
  <pageMargins left="0.25" right="0.25" top="0.75" bottom="0.75" header="0.3" footer="0.3"/>
  <pageSetup orientation="portrait" r:id="rId1"/>
  <rowBreaks count="1" manualBreakCount="1">
    <brk id="46"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1980-A12C-4C78-A137-BA1B9FF4992D}">
  <dimension ref="A2:T23"/>
  <sheetViews>
    <sheetView showGridLines="0" tabSelected="1" topLeftCell="B1" workbookViewId="0">
      <pane ySplit="7" topLeftCell="A8" activePane="bottomLeft" state="frozenSplit"/>
      <selection pane="bottomLeft" activeCell="S8" sqref="S8"/>
    </sheetView>
  </sheetViews>
  <sheetFormatPr defaultRowHeight="15" x14ac:dyDescent="0.25"/>
  <cols>
    <col min="1" max="1" width="21.85546875" customWidth="1"/>
    <col min="2" max="3" width="12.7109375" customWidth="1"/>
    <col min="4" max="4" width="11.140625" customWidth="1"/>
    <col min="5" max="7" width="10.42578125" customWidth="1"/>
    <col min="8" max="10" width="11.140625" customWidth="1"/>
    <col min="11" max="11" width="12.140625" customWidth="1"/>
    <col min="12" max="12" width="9.85546875" customWidth="1"/>
    <col min="13" max="13" width="11.140625" customWidth="1"/>
    <col min="14" max="14" width="12" customWidth="1"/>
    <col min="15" max="15" width="13.42578125" customWidth="1"/>
    <col min="16" max="16" width="22.7109375" customWidth="1"/>
    <col min="17" max="17" width="14.7109375" customWidth="1"/>
    <col min="18" max="18" width="30.7109375" customWidth="1"/>
    <col min="19" max="19" width="86.42578125" customWidth="1"/>
  </cols>
  <sheetData>
    <row r="2" spans="1:19" ht="24" customHeight="1" x14ac:dyDescent="0.25">
      <c r="A2" s="633" t="s">
        <v>731</v>
      </c>
      <c r="B2" s="633" t="s">
        <v>732</v>
      </c>
      <c r="C2" s="633" t="s">
        <v>733</v>
      </c>
      <c r="D2" s="633" t="s">
        <v>734</v>
      </c>
      <c r="E2" s="633" t="s">
        <v>735</v>
      </c>
      <c r="F2" s="633" t="s">
        <v>736</v>
      </c>
      <c r="G2" s="633" t="s">
        <v>737</v>
      </c>
      <c r="H2" s="633" t="s">
        <v>738</v>
      </c>
      <c r="I2" s="633" t="s">
        <v>739</v>
      </c>
      <c r="J2" s="633" t="s">
        <v>740</v>
      </c>
      <c r="K2" s="633" t="s">
        <v>741</v>
      </c>
      <c r="L2" s="633" t="s">
        <v>742</v>
      </c>
      <c r="M2" s="633" t="s">
        <v>743</v>
      </c>
      <c r="N2" s="633" t="s">
        <v>744</v>
      </c>
      <c r="O2" s="633" t="s">
        <v>745</v>
      </c>
      <c r="P2" s="633" t="s">
        <v>161</v>
      </c>
      <c r="R2" s="634" t="s">
        <v>746</v>
      </c>
      <c r="S2" s="634"/>
    </row>
    <row r="3" spans="1:19" ht="33.950000000000003" customHeight="1" x14ac:dyDescent="0.25">
      <c r="A3" s="635"/>
      <c r="B3" s="635"/>
      <c r="C3" s="636"/>
      <c r="D3" s="636"/>
      <c r="E3" s="636"/>
      <c r="F3" s="636"/>
      <c r="G3" s="636"/>
      <c r="H3" s="636" t="str">
        <f>IF(OR(D3="",E3=""),"",E3-SUM(D3,F3:G3))</f>
        <v/>
      </c>
      <c r="I3" s="636" t="str">
        <f>IF(H3="","",H3*12)</f>
        <v/>
      </c>
      <c r="J3" s="637" t="str">
        <f>IFERROR(SUM(D3,F3:G3)/E3,"")</f>
        <v/>
      </c>
      <c r="K3" s="637" t="str">
        <f>IFERROR(H3/E3,"")</f>
        <v/>
      </c>
      <c r="L3" s="637" t="str">
        <f>IFERROR(I3/C3,"")</f>
        <v/>
      </c>
      <c r="M3" s="636" t="str">
        <f>IF(I3="","",I3/10%)</f>
        <v/>
      </c>
      <c r="N3" s="636" t="str">
        <f>IF(I3="","",I3/12%)</f>
        <v/>
      </c>
      <c r="O3" s="636" t="str">
        <f>IF(I3="","",I3/15%)</f>
        <v/>
      </c>
      <c r="P3" s="638"/>
      <c r="R3" s="639" t="s">
        <v>747</v>
      </c>
      <c r="S3" s="640">
        <f>SUM(I14:I16)</f>
        <v>0</v>
      </c>
    </row>
    <row r="4" spans="1:19" ht="33.950000000000003" customHeight="1" x14ac:dyDescent="0.25">
      <c r="A4" s="635"/>
      <c r="B4" s="635"/>
      <c r="C4" s="636"/>
      <c r="D4" s="636"/>
      <c r="E4" s="636"/>
      <c r="F4" s="636"/>
      <c r="G4" s="636"/>
      <c r="H4" s="636" t="str">
        <f>IF(OR(D4="",E4=""),"",E4-SUM(D4,F4:G4))</f>
        <v/>
      </c>
      <c r="I4" s="636" t="str">
        <f>IF(H4="","",H4*12)</f>
        <v/>
      </c>
      <c r="J4" s="637" t="str">
        <f>IFERROR(SUM(D4,F4:G4)/E4,"")</f>
        <v/>
      </c>
      <c r="K4" s="637" t="str">
        <f>IFERROR(H4/E4,"")</f>
        <v/>
      </c>
      <c r="L4" s="637" t="str">
        <f>IFERROR(I4/C4,"")</f>
        <v/>
      </c>
      <c r="M4" s="636" t="str">
        <f>IF(I4="","",I4/10%)</f>
        <v/>
      </c>
      <c r="N4" s="636" t="str">
        <f>IF(I4="","",I4/12%)</f>
        <v/>
      </c>
      <c r="O4" s="636" t="str">
        <f>IF(I4="","",I4/15%)</f>
        <v/>
      </c>
      <c r="P4" s="638"/>
      <c r="R4" s="639" t="s">
        <v>748</v>
      </c>
      <c r="S4" s="640">
        <f>SUM(J14:J16)</f>
        <v>0</v>
      </c>
    </row>
    <row r="5" spans="1:19" x14ac:dyDescent="0.25">
      <c r="A5" s="635"/>
      <c r="B5" s="635"/>
      <c r="C5" s="636"/>
      <c r="D5" s="636"/>
      <c r="E5" s="636"/>
      <c r="F5" s="636"/>
      <c r="G5" s="636"/>
      <c r="H5" s="636" t="str">
        <f>IF(OR(D5="",E5=""),"",E5-SUM(D5,F5:G5))</f>
        <v/>
      </c>
      <c r="I5" s="636" t="str">
        <f>IF(H5="","",H5*12)</f>
        <v/>
      </c>
      <c r="J5" s="637" t="str">
        <f>IFERROR(SUM(D5,F5:G5)/E5,"")</f>
        <v/>
      </c>
      <c r="K5" s="637" t="str">
        <f>IFERROR(H5/E5,"")</f>
        <v/>
      </c>
      <c r="L5" s="637" t="str">
        <f>IFERROR(I5/C5,"")</f>
        <v/>
      </c>
      <c r="M5" s="636" t="str">
        <f>IF(I5="","",I5/10%)</f>
        <v/>
      </c>
      <c r="N5" s="636" t="str">
        <f>IF(I5="","",I5/12%)</f>
        <v/>
      </c>
      <c r="O5" s="636" t="str">
        <f>IF(I5="","",I5/15%)</f>
        <v/>
      </c>
      <c r="P5" s="638"/>
      <c r="R5" s="639" t="s">
        <v>749</v>
      </c>
      <c r="S5" s="640">
        <f>K17</f>
        <v>0</v>
      </c>
    </row>
    <row r="6" spans="1:19" x14ac:dyDescent="0.25">
      <c r="A6" s="641" t="s">
        <v>504</v>
      </c>
      <c r="B6" s="641"/>
      <c r="C6" s="642">
        <f t="shared" ref="C6:I6" si="0">SUM(C3:C5)</f>
        <v>0</v>
      </c>
      <c r="D6" s="642">
        <f t="shared" si="0"/>
        <v>0</v>
      </c>
      <c r="E6" s="642">
        <f t="shared" si="0"/>
        <v>0</v>
      </c>
      <c r="F6" s="642">
        <f t="shared" si="0"/>
        <v>0</v>
      </c>
      <c r="G6" s="642">
        <f t="shared" si="0"/>
        <v>0</v>
      </c>
      <c r="H6" s="642">
        <f t="shared" si="0"/>
        <v>0</v>
      </c>
      <c r="I6" s="642">
        <f t="shared" si="0"/>
        <v>0</v>
      </c>
      <c r="J6" s="643" t="str">
        <f>IFERROR(SUM(D6,F6:G6)/E6,"")</f>
        <v/>
      </c>
      <c r="K6" s="643" t="str">
        <f>IFERROR(H6/E6,"")</f>
        <v/>
      </c>
      <c r="L6" s="643" t="str">
        <f>IFERROR(I6/C6,"")</f>
        <v/>
      </c>
      <c r="M6" s="642">
        <f>IF(I6="","",I6/10%)</f>
        <v>0</v>
      </c>
      <c r="N6" s="642">
        <f>IF(I6="","",I6/12%)</f>
        <v>0</v>
      </c>
      <c r="O6" s="642">
        <f>IF(I6="","",I6/15%)</f>
        <v>0</v>
      </c>
      <c r="P6" s="644"/>
      <c r="R6" s="639" t="s">
        <v>750</v>
      </c>
      <c r="S6" s="640">
        <f>D17</f>
        <v>0</v>
      </c>
    </row>
    <row r="7" spans="1:19" s="22" customFormat="1" x14ac:dyDescent="0.25">
      <c r="R7" s="639" t="s">
        <v>751</v>
      </c>
      <c r="S7" s="640">
        <f>C17</f>
        <v>0</v>
      </c>
    </row>
    <row r="8" spans="1:19" ht="36" customHeight="1" x14ac:dyDescent="0.3">
      <c r="A8" s="645" t="s">
        <v>752</v>
      </c>
      <c r="B8" s="645"/>
      <c r="C8" s="645"/>
      <c r="D8" s="645"/>
      <c r="E8" s="645"/>
      <c r="F8" s="645"/>
      <c r="G8" s="645"/>
      <c r="H8" s="645"/>
      <c r="I8" s="645"/>
      <c r="J8" s="645"/>
      <c r="K8" s="645"/>
      <c r="L8" s="645"/>
      <c r="M8" s="645"/>
      <c r="N8" s="645"/>
      <c r="O8" s="645"/>
      <c r="R8" s="639" t="s">
        <v>753</v>
      </c>
      <c r="S8" s="640">
        <f>E17</f>
        <v>0</v>
      </c>
    </row>
    <row r="9" spans="1:19" ht="36" customHeight="1" x14ac:dyDescent="0.25">
      <c r="A9" s="646" t="s">
        <v>754</v>
      </c>
      <c r="B9" s="646"/>
      <c r="C9" s="646"/>
      <c r="D9" s="646"/>
      <c r="E9" s="646"/>
      <c r="F9" s="646"/>
      <c r="G9" s="646"/>
      <c r="H9" s="646"/>
      <c r="I9" s="646"/>
      <c r="J9" s="646"/>
      <c r="K9" s="646"/>
      <c r="L9" s="646"/>
      <c r="M9" s="646"/>
      <c r="N9" s="646"/>
      <c r="O9" s="646"/>
      <c r="R9" s="639" t="s">
        <v>755</v>
      </c>
      <c r="S9" s="640">
        <f>F17</f>
        <v>0</v>
      </c>
    </row>
    <row r="10" spans="1:19" x14ac:dyDescent="0.25">
      <c r="A10" s="646"/>
      <c r="B10" s="646"/>
      <c r="C10" s="646"/>
      <c r="D10" s="646"/>
      <c r="E10" s="646"/>
      <c r="F10" s="646"/>
      <c r="G10" s="646"/>
      <c r="H10" s="646"/>
      <c r="I10" s="647"/>
      <c r="J10" s="646"/>
      <c r="K10" s="646"/>
      <c r="L10" s="646"/>
      <c r="M10" s="646"/>
      <c r="N10" s="646"/>
      <c r="O10" s="646"/>
      <c r="R10" s="639"/>
      <c r="S10" s="640"/>
    </row>
    <row r="11" spans="1:19" x14ac:dyDescent="0.25">
      <c r="G11" s="648"/>
      <c r="H11" s="648"/>
      <c r="I11" s="649">
        <v>0.1</v>
      </c>
      <c r="J11" s="650">
        <v>2</v>
      </c>
      <c r="R11" s="639" t="s">
        <v>756</v>
      </c>
      <c r="S11" s="640">
        <f>S9/10%</f>
        <v>0</v>
      </c>
    </row>
    <row r="12" spans="1:19" x14ac:dyDescent="0.25">
      <c r="C12" s="651" t="s">
        <v>757</v>
      </c>
      <c r="D12" s="652"/>
      <c r="E12" s="652"/>
      <c r="F12" s="652"/>
      <c r="G12" s="652"/>
      <c r="H12" s="652"/>
      <c r="I12" s="652"/>
      <c r="J12" s="652"/>
      <c r="K12" s="652"/>
      <c r="L12" s="388"/>
      <c r="M12" s="388"/>
      <c r="R12" s="639" t="s">
        <v>758</v>
      </c>
      <c r="S12" s="640">
        <f>S9/12%</f>
        <v>0</v>
      </c>
    </row>
    <row r="13" spans="1:19" ht="51.75" x14ac:dyDescent="0.25">
      <c r="A13" s="653" t="s">
        <v>759</v>
      </c>
      <c r="B13" s="653" t="s">
        <v>732</v>
      </c>
      <c r="C13" s="654" t="s">
        <v>760</v>
      </c>
      <c r="D13" s="655" t="s">
        <v>761</v>
      </c>
      <c r="E13" s="655" t="s">
        <v>738</v>
      </c>
      <c r="F13" s="655" t="s">
        <v>739</v>
      </c>
      <c r="G13" s="655" t="s">
        <v>762</v>
      </c>
      <c r="H13" s="655" t="s">
        <v>763</v>
      </c>
      <c r="I13" s="655" t="s">
        <v>764</v>
      </c>
      <c r="J13" s="655" t="s">
        <v>765</v>
      </c>
      <c r="K13" s="655" t="s">
        <v>766</v>
      </c>
      <c r="L13" s="653" t="s">
        <v>767</v>
      </c>
      <c r="M13" s="653" t="s">
        <v>768</v>
      </c>
      <c r="N13" s="653" t="s">
        <v>769</v>
      </c>
      <c r="O13" s="653" t="s">
        <v>770</v>
      </c>
      <c r="R13" s="639" t="s">
        <v>771</v>
      </c>
      <c r="S13" s="640">
        <f>S9/15%</f>
        <v>0</v>
      </c>
    </row>
    <row r="14" spans="1:19" x14ac:dyDescent="0.25">
      <c r="A14" s="656">
        <f>+A3</f>
        <v>0</v>
      </c>
      <c r="B14" s="656">
        <f t="shared" ref="B14:B16" si="1">+B3</f>
        <v>0</v>
      </c>
      <c r="C14" s="657">
        <f>SUM(D3,F3:G3)</f>
        <v>0</v>
      </c>
      <c r="D14" s="657">
        <f>E3</f>
        <v>0</v>
      </c>
      <c r="E14" s="658">
        <f>D14-C14</f>
        <v>0</v>
      </c>
      <c r="F14" s="658">
        <f>E14*12</f>
        <v>0</v>
      </c>
      <c r="G14" s="658" t="str">
        <f>+O3</f>
        <v/>
      </c>
      <c r="H14" s="658">
        <f>C3</f>
        <v>0</v>
      </c>
      <c r="I14" s="658">
        <f>IF($J$11=2,H14,G14)*(1-$I$11)</f>
        <v>0</v>
      </c>
      <c r="J14" s="657">
        <v>0</v>
      </c>
      <c r="K14" s="658">
        <f>IF($L14,MAX(0,I14-J14),0)</f>
        <v>0</v>
      </c>
      <c r="L14" s="659" t="b">
        <v>0</v>
      </c>
      <c r="M14" s="660"/>
      <c r="N14" s="660"/>
      <c r="O14" s="660"/>
      <c r="R14" s="639"/>
      <c r="S14" s="661"/>
    </row>
    <row r="15" spans="1:19" x14ac:dyDescent="0.25">
      <c r="A15" s="656">
        <f t="shared" ref="A15:A16" si="2">+A4</f>
        <v>0</v>
      </c>
      <c r="B15" s="656">
        <f t="shared" si="1"/>
        <v>0</v>
      </c>
      <c r="C15" s="657">
        <f>SUM(D4,F4:G4)</f>
        <v>0</v>
      </c>
      <c r="D15" s="657">
        <f>E4</f>
        <v>0</v>
      </c>
      <c r="E15" s="658">
        <f>D15-C15</f>
        <v>0</v>
      </c>
      <c r="F15" s="658">
        <f>E15*12</f>
        <v>0</v>
      </c>
      <c r="G15" s="658" t="str">
        <f>+O4</f>
        <v/>
      </c>
      <c r="H15" s="658">
        <f>C4</f>
        <v>0</v>
      </c>
      <c r="I15" s="658">
        <f>IF($J$11=2,H15,G15)*(1-$I$11)</f>
        <v>0</v>
      </c>
      <c r="J15" s="657">
        <v>0</v>
      </c>
      <c r="K15" s="658">
        <f>IF($L15,MAX(0,I15-J15),0)</f>
        <v>0</v>
      </c>
      <c r="L15" s="659" t="b">
        <v>0</v>
      </c>
      <c r="M15" s="660"/>
      <c r="N15" s="660"/>
      <c r="O15" s="660"/>
      <c r="R15" s="662" t="s">
        <v>772</v>
      </c>
      <c r="S15" s="663" t="str">
        <f>_xlfn.TEXTJOIN("; ",TRUE,IF($L$14,$A$14&amp;" - "&amp;$B$14,""),IF($L$15,$A$15&amp;" - "&amp;$B$15,""),IF($L$16,$A$16&amp;" - "&amp;$B$16,""))</f>
        <v/>
      </c>
    </row>
    <row r="16" spans="1:19" ht="45" x14ac:dyDescent="0.25">
      <c r="A16" s="656">
        <f t="shared" si="2"/>
        <v>0</v>
      </c>
      <c r="B16" s="656">
        <f t="shared" si="1"/>
        <v>0</v>
      </c>
      <c r="C16" s="657">
        <f>SUM(D5,F5:G5)</f>
        <v>0</v>
      </c>
      <c r="D16" s="657">
        <f>E5</f>
        <v>0</v>
      </c>
      <c r="E16" s="658">
        <f>D16-C16</f>
        <v>0</v>
      </c>
      <c r="F16" s="658">
        <f>E16*12</f>
        <v>0</v>
      </c>
      <c r="G16" s="658" t="str">
        <f>+O5</f>
        <v/>
      </c>
      <c r="H16" s="658">
        <f>C5</f>
        <v>0</v>
      </c>
      <c r="I16" s="658">
        <f>IF($J$11=2,H16,G16)*(1-$I$11)</f>
        <v>0</v>
      </c>
      <c r="J16" s="657">
        <v>0</v>
      </c>
      <c r="K16" s="658">
        <f>IF($L16,MAX(0,I16-J16),0)</f>
        <v>0</v>
      </c>
      <c r="L16" s="659" t="b">
        <v>0</v>
      </c>
      <c r="M16" s="660"/>
      <c r="N16" s="660"/>
      <c r="O16" s="660"/>
      <c r="R16" s="662" t="s">
        <v>773</v>
      </c>
      <c r="S16" s="663" t="s">
        <v>774</v>
      </c>
    </row>
    <row r="17" spans="1:20" x14ac:dyDescent="0.25">
      <c r="A17" s="664" t="s">
        <v>775</v>
      </c>
      <c r="B17" s="664"/>
      <c r="C17" s="665">
        <f t="shared" ref="C17:I17" si="3">SUMPRODUCT(--($L$14:$L$16=TRUE),C14:C16)</f>
        <v>0</v>
      </c>
      <c r="D17" s="665">
        <f t="shared" si="3"/>
        <v>0</v>
      </c>
      <c r="E17" s="665">
        <f t="shared" si="3"/>
        <v>0</v>
      </c>
      <c r="F17" s="665">
        <f t="shared" si="3"/>
        <v>0</v>
      </c>
      <c r="G17" s="665">
        <f t="shared" si="3"/>
        <v>0</v>
      </c>
      <c r="H17" s="665">
        <f t="shared" si="3"/>
        <v>0</v>
      </c>
      <c r="I17" s="665">
        <f t="shared" si="3"/>
        <v>0</v>
      </c>
      <c r="J17" s="665">
        <f t="shared" ref="J17" si="4">SUM(J14:J16)</f>
        <v>0</v>
      </c>
      <c r="K17" s="665">
        <f>SUM(K14:K16)</f>
        <v>0</v>
      </c>
      <c r="L17" s="664"/>
      <c r="M17" s="664"/>
      <c r="N17" s="664"/>
      <c r="O17" s="664"/>
      <c r="R17" s="662"/>
      <c r="S17" s="663"/>
    </row>
    <row r="18" spans="1:20" ht="30" x14ac:dyDescent="0.25">
      <c r="R18" s="662" t="s">
        <v>776</v>
      </c>
      <c r="S18" s="666" t="s">
        <v>777</v>
      </c>
    </row>
    <row r="19" spans="1:20" x14ac:dyDescent="0.25">
      <c r="R19" s="662"/>
      <c r="S19" s="663"/>
    </row>
    <row r="20" spans="1:20" x14ac:dyDescent="0.25">
      <c r="T20" t="str">
        <f>_xlfn.TEXTJOIN("; ",TRUE,IF(AND($L$14,$A$14&lt;&gt;""),$A$14&amp;" - "&amp;$B$14,""),IF(AND($L$15,$A$15&lt;&gt;""),$A$15&amp;" - "&amp;$B$15,""),IF(AND($L$16,$A$16&lt;&gt;""),$A$16&amp;" - "&amp;$B$16,""))</f>
        <v/>
      </c>
    </row>
    <row r="23" spans="1:20" ht="48" customHeight="1" x14ac:dyDescent="0.25"/>
  </sheetData>
  <mergeCells count="4">
    <mergeCell ref="R2:S2"/>
    <mergeCell ref="A8:O8"/>
    <mergeCell ref="A9:O10"/>
    <mergeCell ref="C12:M12"/>
  </mergeCells>
  <dataValidations count="2">
    <dataValidation type="decimal" allowBlank="1" showInputMessage="1" showErrorMessage="1" promptTitle="Discount" prompt="Enter a discount percentage from 0% to 100%." sqref="I11" xr:uid="{BE51837C-9959-4240-9613-FC3F1E822904}">
      <formula1>0</formula1>
      <formula2>1</formula2>
    </dataValidation>
    <dataValidation type="list" allowBlank="1" showInputMessage="1" showErrorMessage="1" sqref="M14:O16" xr:uid="{8C79B19F-EC91-4FA0-9CB2-1274698CA3EA}">
      <formula1>"Needs review,Pending,Received,Accepted,Rejected,N/A"</formula1>
    </dataValidation>
  </dataValidations>
  <pageMargins left="0.7" right="0.7" top="0.75" bottom="0.75" header="0.3" footer="0.3"/>
  <pageSetup orientation="portrait" horizontalDpi="4800" verticalDpi="4800" r:id="rId1"/>
  <drawing r:id="rId2"/>
  <legacyDrawing r:id="rId3"/>
  <mc:AlternateContent xmlns:mc="http://schemas.openxmlformats.org/markup-compatibility/2006">
    <mc:Choice Requires="x14">
      <controls>
        <mc:AlternateContent xmlns:mc="http://schemas.openxmlformats.org/markup-compatibility/2006">
          <mc:Choice Requires="x14">
            <control shapeId="31745" r:id="rId4" name="optCapBasedValue">
              <controlPr defaultSize="0" autoFill="0" autoLine="0" autoPict="0">
                <anchor moveWithCells="1">
                  <from>
                    <xdr:col>6</xdr:col>
                    <xdr:colOff>28575</xdr:colOff>
                    <xdr:row>10</xdr:row>
                    <xdr:rowOff>28575</xdr:rowOff>
                  </from>
                  <to>
                    <xdr:col>7</xdr:col>
                    <xdr:colOff>352425</xdr:colOff>
                    <xdr:row>11</xdr:row>
                    <xdr:rowOff>47625</xdr:rowOff>
                  </to>
                </anchor>
              </controlPr>
            </control>
          </mc:Choice>
        </mc:AlternateContent>
        <mc:AlternateContent xmlns:mc="http://schemas.openxmlformats.org/markup-compatibility/2006">
          <mc:Choice Requires="x14">
            <control shapeId="31746" r:id="rId5" name="optCMABasedValue">
              <controlPr defaultSize="0" autoFill="0" autoLine="0" autoPict="0">
                <anchor moveWithCells="1">
                  <from>
                    <xdr:col>7</xdr:col>
                    <xdr:colOff>19050</xdr:colOff>
                    <xdr:row>10</xdr:row>
                    <xdr:rowOff>28575</xdr:rowOff>
                  </from>
                  <to>
                    <xdr:col>8</xdr:col>
                    <xdr:colOff>295275</xdr:colOff>
                    <xdr:row>11</xdr:row>
                    <xdr:rowOff>47625</xdr:rowOff>
                  </to>
                </anchor>
              </controlPr>
            </control>
          </mc:Choice>
        </mc:AlternateContent>
        <mc:AlternateContent xmlns:mc="http://schemas.openxmlformats.org/markup-compatibility/2006">
          <mc:Choice Requires="x14">
            <control shapeId="31747" r:id="rId6" name="chkIncludeContract6">
              <controlPr defaultSize="0" autoFill="0" autoLine="0" autoPict="0">
                <anchor moveWithCells="1">
                  <from>
                    <xdr:col>11</xdr:col>
                    <xdr:colOff>47625</xdr:colOff>
                    <xdr:row>13</xdr:row>
                    <xdr:rowOff>28575</xdr:rowOff>
                  </from>
                  <to>
                    <xdr:col>12</xdr:col>
                    <xdr:colOff>676275</xdr:colOff>
                    <xdr:row>15</xdr:row>
                    <xdr:rowOff>28575</xdr:rowOff>
                  </to>
                </anchor>
              </controlPr>
            </control>
          </mc:Choice>
        </mc:AlternateContent>
        <mc:AlternateContent xmlns:mc="http://schemas.openxmlformats.org/markup-compatibility/2006">
          <mc:Choice Requires="x14">
            <control shapeId="31748" r:id="rId7" name="chkIncludeContract7">
              <controlPr defaultSize="0" autoFill="0" autoLine="0" autoPict="0">
                <anchor moveWithCells="1">
                  <from>
                    <xdr:col>11</xdr:col>
                    <xdr:colOff>47625</xdr:colOff>
                    <xdr:row>14</xdr:row>
                    <xdr:rowOff>28575</xdr:rowOff>
                  </from>
                  <to>
                    <xdr:col>12</xdr:col>
                    <xdr:colOff>676275</xdr:colOff>
                    <xdr:row>15</xdr:row>
                    <xdr:rowOff>219075</xdr:rowOff>
                  </to>
                </anchor>
              </controlPr>
            </control>
          </mc:Choice>
        </mc:AlternateContent>
        <mc:AlternateContent xmlns:mc="http://schemas.openxmlformats.org/markup-compatibility/2006">
          <mc:Choice Requires="x14">
            <control shapeId="31749" r:id="rId8" name="chkIncludeContract8">
              <controlPr defaultSize="0" autoFill="0" autoLine="0" autoPict="0">
                <anchor moveWithCells="1">
                  <from>
                    <xdr:col>11</xdr:col>
                    <xdr:colOff>47625</xdr:colOff>
                    <xdr:row>15</xdr:row>
                    <xdr:rowOff>28575</xdr:rowOff>
                  </from>
                  <to>
                    <xdr:col>12</xdr:col>
                    <xdr:colOff>676275</xdr:colOff>
                    <xdr:row>15</xdr:row>
                    <xdr:rowOff>409575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I20" sqref="I20:I24"/>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528" t="s">
        <v>103</v>
      </c>
      <c r="D1" s="529"/>
      <c r="E1" s="388"/>
      <c r="I1" s="522"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3325 Banks Rd, Raleigh, NC 27603.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30" t="s">
        <v>104</v>
      </c>
      <c r="K1" s="522"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3325 Banks Rd, Raleigh, NC 27603.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$10,000.00
                                Total Value:                      $10,000.00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$2,000.00
                        12 Month Note:                        $28,000.00
                         Interest Earned:                         $2,240.00            $93.33 per month
                                Total Value:                    $32,240.00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$120,773.40   *    Expected 10% appreciation per year
                          Expected Value:                    $130,773.40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388"/>
      <c r="J2" s="530"/>
      <c r="K2" s="522"/>
    </row>
    <row r="3" spans="1:11" ht="16.5" customHeight="1" x14ac:dyDescent="0.25">
      <c r="A3" t="s">
        <v>105</v>
      </c>
      <c r="B3" s="353" t="s">
        <v>106</v>
      </c>
      <c r="C3" s="352" t="s">
        <v>107</v>
      </c>
      <c r="D3" s="22"/>
      <c r="I3" s="388"/>
      <c r="J3" s="346" t="s">
        <v>108</v>
      </c>
      <c r="K3" s="522"/>
    </row>
    <row r="4" spans="1:11" x14ac:dyDescent="0.25">
      <c r="A4" t="s">
        <v>109</v>
      </c>
      <c r="B4" s="351"/>
      <c r="C4" s="354"/>
      <c r="D4" s="22"/>
      <c r="I4" s="388"/>
      <c r="K4" s="522"/>
    </row>
    <row r="5" spans="1:11" ht="16.5" x14ac:dyDescent="0.3">
      <c r="A5" t="s">
        <v>110</v>
      </c>
      <c r="B5" s="341"/>
      <c r="C5" s="342"/>
      <c r="D5" s="22"/>
      <c r="I5" s="388"/>
      <c r="K5" s="522"/>
    </row>
    <row r="6" spans="1:11" ht="15" customHeight="1" thickBot="1" x14ac:dyDescent="0.3">
      <c r="A6" t="s">
        <v>111</v>
      </c>
      <c r="B6" s="343"/>
      <c r="C6" s="344"/>
      <c r="D6" s="22"/>
      <c r="I6" s="388"/>
      <c r="K6" s="522"/>
    </row>
    <row r="7" spans="1:11" x14ac:dyDescent="0.25">
      <c r="I7" s="388"/>
      <c r="K7" s="522"/>
    </row>
    <row r="8" spans="1:11" x14ac:dyDescent="0.25">
      <c r="I8" s="388"/>
      <c r="K8" s="522"/>
    </row>
    <row r="9" spans="1:11" x14ac:dyDescent="0.25">
      <c r="A9" s="15" t="s">
        <v>112</v>
      </c>
      <c r="B9" s="15" t="s">
        <v>113</v>
      </c>
      <c r="C9" s="15"/>
      <c r="I9" s="388"/>
      <c r="K9" s="522"/>
    </row>
    <row r="10" spans="1:11" x14ac:dyDescent="0.25">
      <c r="B10" s="531" t="s">
        <v>114</v>
      </c>
      <c r="C10" s="532"/>
      <c r="D10" s="532"/>
      <c r="E10" s="532"/>
      <c r="F10" s="532"/>
      <c r="G10" s="532"/>
      <c r="I10" s="388"/>
      <c r="K10" s="522"/>
    </row>
    <row r="11" spans="1:11" x14ac:dyDescent="0.25">
      <c r="B11" s="388"/>
      <c r="C11" s="388"/>
      <c r="D11" s="388"/>
      <c r="E11" s="388"/>
      <c r="F11" s="388"/>
      <c r="G11" s="388"/>
      <c r="I11" s="388"/>
      <c r="K11" s="522"/>
    </row>
    <row r="12" spans="1:11" x14ac:dyDescent="0.25">
      <c r="F12" s="520" t="s">
        <v>115</v>
      </c>
      <c r="I12" s="388"/>
      <c r="K12" s="522"/>
    </row>
    <row r="13" spans="1:11" ht="15.75" thickBot="1" x14ac:dyDescent="0.3">
      <c r="B13" s="32" t="s">
        <v>116</v>
      </c>
      <c r="C13" s="339" t="s">
        <v>117</v>
      </c>
      <c r="D13" s="32" t="s">
        <v>118</v>
      </c>
      <c r="E13" s="32"/>
      <c r="F13" s="521"/>
      <c r="G13" s="32" t="s">
        <v>119</v>
      </c>
      <c r="I13" s="388"/>
      <c r="K13" s="522"/>
    </row>
    <row r="14" spans="1:11" ht="16.5" thickTop="1" thickBot="1" x14ac:dyDescent="0.3">
      <c r="B14" s="350">
        <f>+D14+F14</f>
        <v>146682.86124999999</v>
      </c>
      <c r="C14" s="1">
        <f>+Profit!B4</f>
        <v>439000</v>
      </c>
      <c r="D14" s="1">
        <f>+Profit!K27-Profit!B18</f>
        <v>137682.86124999999</v>
      </c>
      <c r="F14" s="349">
        <f>+B24-(B24*F16)</f>
        <v>9000</v>
      </c>
      <c r="G14" s="312">
        <f ca="1">+C14-D14-F14+Profit!E39+Profit!B18</f>
        <v>165963.29475</v>
      </c>
      <c r="I14" s="388"/>
      <c r="K14" s="522"/>
    </row>
    <row r="15" spans="1:11" ht="16.5" thickTop="1" thickBot="1" x14ac:dyDescent="0.3">
      <c r="C15" s="307"/>
      <c r="D15" s="308" t="s">
        <v>120</v>
      </c>
      <c r="E15" s="309">
        <f>+Profit!$K$29</f>
        <v>54069.184000000001</v>
      </c>
      <c r="H15" s="340"/>
      <c r="K15" s="522"/>
    </row>
    <row r="16" spans="1:11" ht="16.5" thickTop="1" thickBot="1" x14ac:dyDescent="0.3">
      <c r="C16" s="307"/>
      <c r="D16" s="310" t="s">
        <v>121</v>
      </c>
      <c r="E16" s="311">
        <f ca="1">+G14/E15</f>
        <v>3.0694617982398253</v>
      </c>
      <c r="F16" s="348">
        <v>0.1</v>
      </c>
      <c r="H16" s="340" t="s">
        <v>122</v>
      </c>
      <c r="I16" s="522"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22"/>
    </row>
    <row r="17" spans="1:13" ht="15.75" thickTop="1" x14ac:dyDescent="0.25">
      <c r="C17" s="307"/>
      <c r="D17" s="310" t="s">
        <v>123</v>
      </c>
      <c r="E17" s="311">
        <f ca="1">+G14/(F14+G14)</f>
        <v>0.94856063945949443</v>
      </c>
      <c r="F17" t="s">
        <v>124</v>
      </c>
      <c r="I17" s="522"/>
      <c r="K17" s="522"/>
    </row>
    <row r="18" spans="1:13" x14ac:dyDescent="0.25">
      <c r="I18" s="522"/>
      <c r="K18" s="522"/>
    </row>
    <row r="19" spans="1:13" ht="15.75" thickBot="1" x14ac:dyDescent="0.3">
      <c r="A19" s="15" t="s">
        <v>125</v>
      </c>
      <c r="B19" s="15" t="s">
        <v>126</v>
      </c>
      <c r="D19" s="15" t="s">
        <v>127</v>
      </c>
      <c r="H19">
        <f>IF(H20="X",1,0)</f>
        <v>0</v>
      </c>
      <c r="K19" s="522"/>
    </row>
    <row r="20" spans="1:13" ht="15" customHeight="1" thickTop="1" thickBot="1" x14ac:dyDescent="0.3">
      <c r="B20" t="s">
        <v>128</v>
      </c>
      <c r="H20" s="340"/>
      <c r="I20" s="522"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$146,682.86
                                Total Value:                     $9,000.00</v>
      </c>
      <c r="K20" s="522"/>
    </row>
    <row r="21" spans="1:13" ht="15.75" thickTop="1" x14ac:dyDescent="0.25">
      <c r="B21" t="s">
        <v>129</v>
      </c>
      <c r="I21" s="522"/>
      <c r="J21" s="337"/>
      <c r="K21" s="522"/>
      <c r="L21" s="336"/>
      <c r="M21" s="336"/>
    </row>
    <row r="22" spans="1:13" ht="30" x14ac:dyDescent="0.25">
      <c r="F22" s="93" t="s">
        <v>130</v>
      </c>
      <c r="I22" s="522"/>
      <c r="J22" s="336"/>
      <c r="K22" s="522"/>
      <c r="L22" s="336"/>
      <c r="M22" s="336"/>
    </row>
    <row r="23" spans="1:13" ht="15.75" thickBot="1" x14ac:dyDescent="0.3">
      <c r="B23" s="32" t="s">
        <v>131</v>
      </c>
      <c r="C23" s="524"/>
      <c r="D23" s="525"/>
      <c r="E23" s="525"/>
      <c r="F23" s="525"/>
      <c r="G23" s="32" t="s">
        <v>119</v>
      </c>
      <c r="I23" s="523"/>
      <c r="J23" s="336"/>
      <c r="K23" s="522"/>
      <c r="L23" s="336"/>
      <c r="M23" s="336"/>
    </row>
    <row r="24" spans="1:13" ht="16.5" thickTop="1" thickBot="1" x14ac:dyDescent="0.3">
      <c r="B24" s="347">
        <f>+Profit!B18</f>
        <v>10000</v>
      </c>
      <c r="C24" s="526" t="s">
        <v>132</v>
      </c>
      <c r="D24" s="527"/>
      <c r="E24" s="527"/>
      <c r="F24" s="10">
        <f>+B24</f>
        <v>10000</v>
      </c>
      <c r="G24" s="312">
        <f ca="1">+Profit!K45+Profit!B18-B24</f>
        <v>128633.42599999998</v>
      </c>
      <c r="I24" s="388"/>
      <c r="K24" s="522"/>
    </row>
    <row r="25" spans="1:13" ht="15.4" customHeight="1" thickTop="1" thickBot="1" x14ac:dyDescent="0.3">
      <c r="C25" s="307"/>
      <c r="D25" s="308" t="s">
        <v>120</v>
      </c>
      <c r="E25" s="309">
        <f>+Profit!$K$29</f>
        <v>54069.184000000001</v>
      </c>
      <c r="H25">
        <f>IF(H26="X",1+H19,H19)</f>
        <v>1</v>
      </c>
      <c r="K25" s="522"/>
    </row>
    <row r="26" spans="1:13" ht="15" customHeight="1" thickTop="1" thickBot="1" x14ac:dyDescent="0.3">
      <c r="C26" s="307"/>
      <c r="D26" s="310" t="s">
        <v>121</v>
      </c>
      <c r="E26" s="311">
        <f ca="1">+G24/E25</f>
        <v>2.3790524746961221</v>
      </c>
      <c r="H26" s="340" t="s">
        <v>133</v>
      </c>
      <c r="I26" s="522"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$10,000.00
                                Total Value:                      $10,000.00</v>
      </c>
      <c r="K26" s="522"/>
    </row>
    <row r="27" spans="1:13" ht="15" customHeight="1" thickTop="1" x14ac:dyDescent="0.25">
      <c r="C27" s="307"/>
      <c r="D27" s="310" t="s">
        <v>123</v>
      </c>
      <c r="E27" s="311">
        <f ca="1">+G24/(F24+G24)</f>
        <v>0.92786732400308713</v>
      </c>
      <c r="I27" s="522"/>
      <c r="K27" s="522"/>
    </row>
    <row r="28" spans="1:13" ht="15" customHeight="1" x14ac:dyDescent="0.25">
      <c r="I28" s="522"/>
      <c r="K28" s="522"/>
    </row>
    <row r="29" spans="1:13" x14ac:dyDescent="0.25">
      <c r="A29" s="15"/>
      <c r="B29" s="15"/>
      <c r="I29" s="523"/>
      <c r="K29" s="522"/>
    </row>
    <row r="30" spans="1:13" x14ac:dyDescent="0.25">
      <c r="A30" s="15" t="s">
        <v>134</v>
      </c>
      <c r="B30" s="15" t="s">
        <v>135</v>
      </c>
      <c r="D30" t="s">
        <v>136</v>
      </c>
      <c r="I30" s="388"/>
      <c r="K30" s="522"/>
    </row>
    <row r="31" spans="1:13" ht="25.5" x14ac:dyDescent="0.25">
      <c r="B31" t="s">
        <v>128</v>
      </c>
      <c r="I31" s="337"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22"/>
    </row>
    <row r="32" spans="1:13" ht="15.75" thickBot="1" x14ac:dyDescent="0.3">
      <c r="B32" t="s">
        <v>129</v>
      </c>
      <c r="H32">
        <f>IF(H33="X",H25+1,H25)</f>
        <v>2</v>
      </c>
      <c r="K32" s="522"/>
    </row>
    <row r="33" spans="1:13" ht="15" customHeight="1" thickTop="1" thickBot="1" x14ac:dyDescent="0.3">
      <c r="H33" s="340" t="s">
        <v>133</v>
      </c>
      <c r="I33" s="522"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$2,000.00
                        12 Month Note:                        $28,000.00
                         Interest Earned:                         $2,240.00            $93.33 per month
                                Total Value:                    $32,240.00</v>
      </c>
      <c r="K33" s="522"/>
    </row>
    <row r="34" spans="1:13" ht="16.5" thickTop="1" thickBot="1" x14ac:dyDescent="0.3">
      <c r="C34" s="2" t="s">
        <v>137</v>
      </c>
      <c r="D34" s="3" t="s">
        <v>138</v>
      </c>
      <c r="F34" s="3" t="s">
        <v>139</v>
      </c>
      <c r="I34" s="522"/>
      <c r="K34" s="522"/>
    </row>
    <row r="35" spans="1:13" ht="16.5" thickTop="1" thickBot="1" x14ac:dyDescent="0.3">
      <c r="B35" s="345" t="s">
        <v>140</v>
      </c>
      <c r="C35" s="315">
        <v>20000</v>
      </c>
      <c r="D35" s="306">
        <v>24</v>
      </c>
      <c r="F35" s="520" t="s">
        <v>130</v>
      </c>
      <c r="I35" s="522"/>
      <c r="K35" s="522"/>
    </row>
    <row r="36" spans="1:13" ht="16.5" thickTop="1" thickBot="1" x14ac:dyDescent="0.3">
      <c r="B36" s="32" t="s">
        <v>141</v>
      </c>
      <c r="C36" s="32" t="s">
        <v>142</v>
      </c>
      <c r="D36" s="32" t="s">
        <v>143</v>
      </c>
      <c r="E36" s="32" t="s">
        <v>144</v>
      </c>
      <c r="F36" s="521"/>
      <c r="G36" s="32" t="s">
        <v>119</v>
      </c>
      <c r="I36" s="522"/>
      <c r="K36" s="522"/>
    </row>
    <row r="37" spans="1:13" ht="16.5" thickTop="1" thickBot="1" x14ac:dyDescent="0.3">
      <c r="B37" s="10">
        <f>+(Profit!$B$18)*B38</f>
        <v>2000</v>
      </c>
      <c r="C37" s="10">
        <f>+(Profit!$B$18)-B37+C35</f>
        <v>28000</v>
      </c>
      <c r="D37" s="10">
        <f>+C37*D35/12*E37</f>
        <v>2240</v>
      </c>
      <c r="E37" s="327">
        <v>0.04</v>
      </c>
      <c r="F37" s="10">
        <f>+SUM(B37:D37)</f>
        <v>32240</v>
      </c>
      <c r="G37" s="312">
        <f ca="1">+Profit!$K$45-D37-C35</f>
        <v>106393.42599999998</v>
      </c>
      <c r="I37" s="522"/>
      <c r="K37" s="522"/>
    </row>
    <row r="38" spans="1:13" ht="16.5" thickTop="1" thickBot="1" x14ac:dyDescent="0.3">
      <c r="B38" s="327">
        <v>0.2</v>
      </c>
      <c r="C38" s="335">
        <f>1-B38</f>
        <v>0.8</v>
      </c>
      <c r="D38" s="10"/>
      <c r="E38" s="38"/>
      <c r="F38" s="10"/>
      <c r="G38" s="10"/>
      <c r="I38" s="522"/>
      <c r="K38" s="522"/>
    </row>
    <row r="39" spans="1:13" ht="15.4" customHeight="1" thickTop="1" x14ac:dyDescent="0.25">
      <c r="B39" s="10"/>
      <c r="C39" s="312"/>
      <c r="D39" s="308" t="s">
        <v>120</v>
      </c>
      <c r="E39" s="309">
        <f>+Profit!$K$29-C37+C35</f>
        <v>46069.184000000001</v>
      </c>
      <c r="F39" s="10"/>
      <c r="G39" s="10"/>
      <c r="I39" s="522"/>
      <c r="K39" s="522"/>
    </row>
    <row r="40" spans="1:13" x14ac:dyDescent="0.25">
      <c r="C40" s="307"/>
      <c r="D40" s="310" t="s">
        <v>121</v>
      </c>
      <c r="E40" s="311">
        <f ca="1">+G37/E39</f>
        <v>2.3094271867285512</v>
      </c>
      <c r="I40" s="522"/>
      <c r="K40" s="522"/>
    </row>
    <row r="41" spans="1:13" ht="15" customHeight="1" thickBot="1" x14ac:dyDescent="0.3">
      <c r="C41" s="307"/>
      <c r="D41" s="310" t="s">
        <v>123</v>
      </c>
      <c r="E41" s="311">
        <f ca="1">+G37/(F37+G37)</f>
        <v>0.76744425258595284</v>
      </c>
      <c r="H41">
        <f>IF(H42="X",H32+1,H32)</f>
        <v>3</v>
      </c>
      <c r="K41" s="522"/>
    </row>
    <row r="42" spans="1:13" ht="16.5" thickTop="1" thickBot="1" x14ac:dyDescent="0.3">
      <c r="A42" s="15" t="s">
        <v>145</v>
      </c>
      <c r="B42" s="15" t="s">
        <v>146</v>
      </c>
      <c r="H42" s="340" t="s">
        <v>133</v>
      </c>
      <c r="I42" s="522"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$120,773.40   *    Expected 10% appreciation per year
                          Expected Value:                    $130,773.40    ** After 24 months.</v>
      </c>
      <c r="K42" s="522"/>
    </row>
    <row r="43" spans="1:13" ht="15.75" thickTop="1" x14ac:dyDescent="0.25">
      <c r="B43" t="s">
        <v>128</v>
      </c>
      <c r="I43" s="522"/>
      <c r="K43" s="388"/>
      <c r="M43" s="331"/>
    </row>
    <row r="44" spans="1:13" x14ac:dyDescent="0.25">
      <c r="B44" t="s">
        <v>129</v>
      </c>
      <c r="I44" s="522"/>
      <c r="K44" s="388"/>
    </row>
    <row r="45" spans="1:13" ht="15" customHeight="1" x14ac:dyDescent="0.25">
      <c r="B45" t="s">
        <v>147</v>
      </c>
      <c r="I45" s="522"/>
      <c r="K45" s="388"/>
    </row>
    <row r="46" spans="1:13" x14ac:dyDescent="0.25">
      <c r="B46" t="s">
        <v>148</v>
      </c>
      <c r="I46" s="522"/>
      <c r="K46" s="388"/>
    </row>
    <row r="47" spans="1:13" x14ac:dyDescent="0.25">
      <c r="F47" s="3" t="s">
        <v>149</v>
      </c>
      <c r="I47" s="522"/>
      <c r="K47" s="388"/>
    </row>
    <row r="48" spans="1:13" x14ac:dyDescent="0.25">
      <c r="C48" s="520" t="s">
        <v>150</v>
      </c>
      <c r="D48" s="520" t="s">
        <v>151</v>
      </c>
      <c r="E48" s="520" t="s">
        <v>152</v>
      </c>
      <c r="F48" s="520" t="s">
        <v>130</v>
      </c>
      <c r="I48" s="522"/>
      <c r="K48" s="388"/>
    </row>
    <row r="49" spans="1:11" ht="15.75" thickBot="1" x14ac:dyDescent="0.3">
      <c r="B49" s="3" t="s">
        <v>141</v>
      </c>
      <c r="C49" s="521" t="s">
        <v>150</v>
      </c>
      <c r="D49" s="521" t="s">
        <v>151</v>
      </c>
      <c r="E49" s="521" t="s">
        <v>153</v>
      </c>
      <c r="F49" s="521"/>
      <c r="G49" s="32" t="s">
        <v>119</v>
      </c>
      <c r="I49" s="522"/>
      <c r="K49" s="388"/>
    </row>
    <row r="50" spans="1:11" ht="16.5" thickTop="1" thickBot="1" x14ac:dyDescent="0.3">
      <c r="B50" s="315">
        <v>10000</v>
      </c>
      <c r="C50" s="8">
        <f ca="1">+Profit!$K$45+Profit!B18-B50+(Profit!K6*Profit!C35/12*Profit!B4)</f>
        <v>172533.42599999998</v>
      </c>
      <c r="D50" s="305">
        <v>0.7</v>
      </c>
      <c r="E50" s="10">
        <f ca="1">+D50*C50</f>
        <v>120773.39819999998</v>
      </c>
      <c r="F50" s="10">
        <f ca="1">+B50+E50</f>
        <v>130773.39819999998</v>
      </c>
      <c r="G50" s="312">
        <f ca="1">(1-D50)*C50</f>
        <v>51760.027800000003</v>
      </c>
      <c r="I50" s="522"/>
      <c r="K50" s="388"/>
    </row>
    <row r="51" spans="1:11" ht="15.75" thickTop="1" x14ac:dyDescent="0.25">
      <c r="D51" s="15" t="s">
        <v>154</v>
      </c>
      <c r="I51" s="338"/>
      <c r="K51" s="388"/>
    </row>
    <row r="52" spans="1:11" x14ac:dyDescent="0.25">
      <c r="C52" s="307"/>
      <c r="D52" s="308" t="s">
        <v>120</v>
      </c>
      <c r="E52" s="309">
        <f>+Profit!$K$29-B24+B50</f>
        <v>54069.184000000001</v>
      </c>
      <c r="H52" t="s">
        <v>122</v>
      </c>
      <c r="I52" s="522"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388"/>
    </row>
    <row r="53" spans="1:11" ht="15" customHeight="1" x14ac:dyDescent="0.25">
      <c r="C53" s="307"/>
      <c r="D53" s="310" t="s">
        <v>121</v>
      </c>
      <c r="E53" s="311">
        <f ca="1">+G50/E52</f>
        <v>0.9572925642820872</v>
      </c>
      <c r="I53" s="388"/>
      <c r="K53" s="388"/>
    </row>
    <row r="54" spans="1:11" x14ac:dyDescent="0.25">
      <c r="C54" s="307"/>
      <c r="D54" s="310" t="s">
        <v>123</v>
      </c>
      <c r="E54" s="311">
        <f ca="1">+G50/(F50+G50)</f>
        <v>0.28356465407053727</v>
      </c>
      <c r="I54" s="388"/>
      <c r="K54" s="388"/>
    </row>
    <row r="55" spans="1:11" ht="15" customHeight="1" x14ac:dyDescent="0.25">
      <c r="I55" s="388"/>
      <c r="K55" s="388"/>
    </row>
    <row r="56" spans="1:11" ht="15.75" thickBot="1" x14ac:dyDescent="0.3">
      <c r="B56" s="15" t="s">
        <v>155</v>
      </c>
      <c r="D56" t="s">
        <v>156</v>
      </c>
      <c r="I56" s="388"/>
      <c r="K56" s="388"/>
    </row>
    <row r="57" spans="1:11" x14ac:dyDescent="0.25">
      <c r="A57" s="511"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12"/>
      <c r="C57" s="512"/>
      <c r="D57" s="512"/>
      <c r="E57" s="512"/>
      <c r="F57" s="512"/>
      <c r="G57" s="513"/>
      <c r="I57" s="388"/>
      <c r="K57" s="388"/>
    </row>
    <row r="58" spans="1:11" x14ac:dyDescent="0.25">
      <c r="A58" s="514"/>
      <c r="B58" s="515"/>
      <c r="C58" s="515"/>
      <c r="D58" s="515"/>
      <c r="E58" s="515"/>
      <c r="F58" s="515"/>
      <c r="G58" s="516"/>
      <c r="I58" s="388"/>
      <c r="K58" s="388"/>
    </row>
    <row r="59" spans="1:11" x14ac:dyDescent="0.25">
      <c r="A59" s="514"/>
      <c r="B59" s="515"/>
      <c r="C59" s="515"/>
      <c r="D59" s="515"/>
      <c r="E59" s="515"/>
      <c r="F59" s="515"/>
      <c r="G59" s="516"/>
      <c r="K59" s="388"/>
    </row>
    <row r="60" spans="1:11" x14ac:dyDescent="0.25">
      <c r="A60" s="514"/>
      <c r="B60" s="515"/>
      <c r="C60" s="515"/>
      <c r="D60" s="515"/>
      <c r="E60" s="515"/>
      <c r="F60" s="515"/>
      <c r="G60" s="516"/>
      <c r="K60" s="388"/>
    </row>
    <row r="61" spans="1:11" x14ac:dyDescent="0.25">
      <c r="A61" s="514"/>
      <c r="B61" s="515"/>
      <c r="C61" s="515"/>
      <c r="D61" s="515"/>
      <c r="E61" s="515"/>
      <c r="F61" s="515"/>
      <c r="G61" s="516"/>
      <c r="H61" t="s">
        <v>122</v>
      </c>
      <c r="I61" s="522" t="str">
        <f>A57</f>
        <v xml:space="preserve">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388"/>
    </row>
    <row r="62" spans="1:11" x14ac:dyDescent="0.25">
      <c r="A62" s="514"/>
      <c r="B62" s="515"/>
      <c r="C62" s="515"/>
      <c r="D62" s="515"/>
      <c r="E62" s="515"/>
      <c r="F62" s="515"/>
      <c r="G62" s="516"/>
      <c r="I62" s="388"/>
      <c r="K62" s="388"/>
    </row>
    <row r="63" spans="1:11" x14ac:dyDescent="0.25">
      <c r="A63" s="514"/>
      <c r="B63" s="515"/>
      <c r="C63" s="515"/>
      <c r="D63" s="515"/>
      <c r="E63" s="515"/>
      <c r="F63" s="515"/>
      <c r="G63" s="516"/>
      <c r="I63" s="388"/>
      <c r="K63" s="388"/>
    </row>
    <row r="64" spans="1:11" x14ac:dyDescent="0.25">
      <c r="A64" s="514"/>
      <c r="B64" s="515"/>
      <c r="C64" s="515"/>
      <c r="D64" s="515"/>
      <c r="E64" s="515"/>
      <c r="F64" s="515"/>
      <c r="G64" s="516"/>
      <c r="I64" s="388"/>
      <c r="K64" s="388"/>
    </row>
    <row r="65" spans="1:11" x14ac:dyDescent="0.25">
      <c r="A65" s="514"/>
      <c r="B65" s="515"/>
      <c r="C65" s="515"/>
      <c r="D65" s="515"/>
      <c r="E65" s="515"/>
      <c r="F65" s="515"/>
      <c r="G65" s="516"/>
      <c r="I65" s="388"/>
      <c r="K65" s="388"/>
    </row>
    <row r="66" spans="1:11" x14ac:dyDescent="0.25">
      <c r="A66" s="514"/>
      <c r="B66" s="515"/>
      <c r="C66" s="515"/>
      <c r="D66" s="515"/>
      <c r="E66" s="515"/>
      <c r="F66" s="515"/>
      <c r="G66" s="516"/>
      <c r="I66" s="388"/>
      <c r="K66" s="388"/>
    </row>
    <row r="67" spans="1:11" x14ac:dyDescent="0.25">
      <c r="A67" s="514"/>
      <c r="B67" s="515"/>
      <c r="C67" s="515"/>
      <c r="D67" s="515"/>
      <c r="E67" s="515"/>
      <c r="F67" s="515"/>
      <c r="G67" s="516"/>
      <c r="I67" s="388"/>
      <c r="K67" s="388"/>
    </row>
    <row r="68" spans="1:11" x14ac:dyDescent="0.25">
      <c r="A68" s="514"/>
      <c r="B68" s="515"/>
      <c r="C68" s="515"/>
      <c r="D68" s="515"/>
      <c r="E68" s="515"/>
      <c r="F68" s="515"/>
      <c r="G68" s="516"/>
      <c r="I68" s="388"/>
    </row>
    <row r="69" spans="1:11" x14ac:dyDescent="0.25">
      <c r="A69" s="514"/>
      <c r="B69" s="515"/>
      <c r="C69" s="515"/>
      <c r="D69" s="515"/>
      <c r="E69" s="515"/>
      <c r="F69" s="515"/>
      <c r="G69" s="516"/>
      <c r="I69" s="388"/>
    </row>
    <row r="70" spans="1:11" x14ac:dyDescent="0.25">
      <c r="A70" s="514"/>
      <c r="B70" s="515"/>
      <c r="C70" s="515"/>
      <c r="D70" s="515"/>
      <c r="E70" s="515"/>
      <c r="F70" s="515"/>
      <c r="G70" s="516"/>
      <c r="I70" s="388"/>
    </row>
    <row r="71" spans="1:11" x14ac:dyDescent="0.25">
      <c r="A71" s="514"/>
      <c r="B71" s="515"/>
      <c r="C71" s="515"/>
      <c r="D71" s="515"/>
      <c r="E71" s="515"/>
      <c r="F71" s="515"/>
      <c r="G71" s="516"/>
      <c r="I71" s="388"/>
    </row>
    <row r="72" spans="1:11" x14ac:dyDescent="0.25">
      <c r="A72" s="514"/>
      <c r="B72" s="515"/>
      <c r="C72" s="515"/>
      <c r="D72" s="515"/>
      <c r="E72" s="515"/>
      <c r="F72" s="515"/>
      <c r="G72" s="516"/>
      <c r="I72" s="388"/>
    </row>
    <row r="73" spans="1:11" x14ac:dyDescent="0.25">
      <c r="A73" s="514"/>
      <c r="B73" s="515"/>
      <c r="C73" s="515"/>
      <c r="D73" s="515"/>
      <c r="E73" s="515"/>
      <c r="F73" s="515"/>
      <c r="G73" s="516"/>
    </row>
    <row r="74" spans="1:11" x14ac:dyDescent="0.25">
      <c r="A74" s="514"/>
      <c r="B74" s="515"/>
      <c r="C74" s="515"/>
      <c r="D74" s="515"/>
      <c r="E74" s="515"/>
      <c r="F74" s="515"/>
      <c r="G74" s="516"/>
      <c r="H74" t="s">
        <v>122</v>
      </c>
      <c r="I74" s="329" t="str">
        <f>"Sincerely,
Wes Browning"</f>
        <v>Sincerely,
Wes Browning</v>
      </c>
    </row>
    <row r="75" spans="1:11" ht="15" customHeight="1" x14ac:dyDescent="0.25">
      <c r="A75" s="514"/>
      <c r="B75" s="515"/>
      <c r="C75" s="515"/>
      <c r="D75" s="515"/>
      <c r="E75" s="515"/>
      <c r="F75" s="515"/>
      <c r="G75" s="516"/>
      <c r="I75" s="329"/>
    </row>
    <row r="76" spans="1:11" x14ac:dyDescent="0.25">
      <c r="A76" s="514"/>
      <c r="B76" s="515"/>
      <c r="C76" s="515"/>
      <c r="D76" s="515"/>
      <c r="E76" s="515"/>
      <c r="F76" s="515"/>
      <c r="G76" s="516"/>
      <c r="I76" s="329"/>
    </row>
    <row r="77" spans="1:11" x14ac:dyDescent="0.25">
      <c r="A77" s="514"/>
      <c r="B77" s="515"/>
      <c r="C77" s="515"/>
      <c r="D77" s="515"/>
      <c r="E77" s="515"/>
      <c r="F77" s="515"/>
      <c r="G77" s="516"/>
    </row>
    <row r="78" spans="1:11" x14ac:dyDescent="0.25">
      <c r="A78" s="514"/>
      <c r="B78" s="515"/>
      <c r="C78" s="515"/>
      <c r="D78" s="515"/>
      <c r="E78" s="515"/>
      <c r="F78" s="515"/>
      <c r="G78" s="516"/>
    </row>
    <row r="79" spans="1:11" ht="15.75" thickBot="1" x14ac:dyDescent="0.3">
      <c r="A79" s="517"/>
      <c r="B79" s="518"/>
      <c r="C79" s="518"/>
      <c r="D79" s="518"/>
      <c r="E79" s="518"/>
      <c r="F79" s="518"/>
      <c r="G79" s="519"/>
    </row>
    <row r="80" spans="1:11" x14ac:dyDescent="0.25">
      <c r="A80" s="329"/>
      <c r="B80" s="329"/>
      <c r="C80" s="329"/>
      <c r="D80" s="329"/>
      <c r="E80" s="329"/>
      <c r="F80" s="329"/>
      <c r="G80" s="329"/>
    </row>
    <row r="81" spans="1:9" x14ac:dyDescent="0.25">
      <c r="A81" s="329"/>
      <c r="B81" s="329"/>
      <c r="C81" s="329"/>
      <c r="D81" s="329"/>
      <c r="E81" s="329"/>
      <c r="F81" s="329"/>
      <c r="G81" s="2" t="s">
        <v>157</v>
      </c>
      <c r="I81" s="329" t="s">
        <v>158</v>
      </c>
    </row>
    <row r="82" spans="1:9" x14ac:dyDescent="0.25">
      <c r="G82" s="2" t="s">
        <v>159</v>
      </c>
      <c r="H82" t="s">
        <v>122</v>
      </c>
      <c r="I82" s="329" t="s">
        <v>160</v>
      </c>
    </row>
  </sheetData>
  <mergeCells count="21">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 ref="A57:G79"/>
    <mergeCell ref="D48:D49"/>
    <mergeCell ref="C48:C49"/>
    <mergeCell ref="I26:I30"/>
    <mergeCell ref="I20:I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U57"/>
  <sheetViews>
    <sheetView workbookViewId="0">
      <pane xSplit="5" ySplit="1" topLeftCell="F23" activePane="bottomRight" state="frozen"/>
      <selection pane="topRight" activeCell="E1" sqref="E1"/>
      <selection pane="bottomLeft" activeCell="A2" sqref="A2"/>
      <selection pane="bottomRight" activeCell="I45" sqref="I45"/>
    </sheetView>
  </sheetViews>
  <sheetFormatPr defaultRowHeight="15" x14ac:dyDescent="0.25"/>
  <cols>
    <col min="1" max="1" width="11" customWidth="1"/>
    <col min="2" max="2" width="38.140625" bestFit="1" customWidth="1"/>
    <col min="3" max="3" width="10.5703125" customWidth="1"/>
    <col min="4" max="4" width="9.28515625" customWidth="1"/>
    <col min="5" max="6" width="29.140625" style="25" customWidth="1"/>
    <col min="7" max="8" width="10" customWidth="1"/>
    <col min="9" max="11" width="9.28515625" style="190" customWidth="1"/>
    <col min="12" max="12" width="8.28515625" style="190" customWidth="1"/>
    <col min="13" max="13" width="8" style="190" customWidth="1"/>
    <col min="14" max="19" width="8.140625" customWidth="1"/>
    <col min="20" max="20" width="3.140625" customWidth="1"/>
  </cols>
  <sheetData>
    <row r="1" spans="1:21" s="93" customFormat="1" ht="45.75" thickBot="1" x14ac:dyDescent="0.3">
      <c r="A1" s="242"/>
      <c r="B1" s="547" t="str">
        <f>+Profit!B2</f>
        <v>3325 Banks Rd, Raleigh, NC 27603</v>
      </c>
      <c r="C1" s="548"/>
      <c r="D1" s="549" t="s">
        <v>161</v>
      </c>
      <c r="E1" s="550"/>
      <c r="F1" s="372"/>
      <c r="G1" s="237" t="s">
        <v>162</v>
      </c>
      <c r="H1" s="237" t="s">
        <v>163</v>
      </c>
      <c r="I1" s="289" t="s">
        <v>164</v>
      </c>
      <c r="J1" s="289" t="s">
        <v>165</v>
      </c>
      <c r="K1" s="279" t="s">
        <v>166</v>
      </c>
      <c r="L1" s="279" t="s">
        <v>167</v>
      </c>
      <c r="M1" s="279" t="s">
        <v>168</v>
      </c>
      <c r="N1" s="289" t="s">
        <v>169</v>
      </c>
      <c r="O1" s="279" t="s">
        <v>170</v>
      </c>
      <c r="P1" s="289" t="s">
        <v>171</v>
      </c>
      <c r="Q1" s="279" t="s">
        <v>172</v>
      </c>
      <c r="R1" s="279" t="s">
        <v>173</v>
      </c>
      <c r="S1" s="289" t="s">
        <v>174</v>
      </c>
      <c r="T1" s="237"/>
      <c r="U1" s="228"/>
    </row>
    <row r="2" spans="1:21" x14ac:dyDescent="0.25">
      <c r="A2" s="243" t="s">
        <v>175</v>
      </c>
      <c r="B2" s="238"/>
      <c r="G2" s="235"/>
      <c r="H2" s="235"/>
      <c r="I2" s="235"/>
      <c r="J2" s="235"/>
      <c r="K2" s="235"/>
      <c r="L2" s="235"/>
      <c r="M2" s="235"/>
      <c r="N2" s="241"/>
      <c r="O2" s="241"/>
      <c r="P2" s="241"/>
      <c r="Q2" s="241"/>
      <c r="R2" s="241"/>
      <c r="S2" s="241"/>
      <c r="T2" s="272"/>
    </row>
    <row r="3" spans="1:21" ht="13.15" customHeight="1" x14ac:dyDescent="0.25">
      <c r="A3" s="244"/>
      <c r="B3" s="239" t="s">
        <v>176</v>
      </c>
      <c r="C3" s="191" t="s">
        <v>177</v>
      </c>
      <c r="D3" s="545" t="s">
        <v>178</v>
      </c>
      <c r="E3" s="546"/>
      <c r="F3" s="269"/>
      <c r="G3" s="236"/>
      <c r="H3" s="236" t="s">
        <v>177</v>
      </c>
      <c r="I3" s="236"/>
      <c r="J3" s="236"/>
      <c r="K3" s="236"/>
      <c r="L3" s="236"/>
      <c r="M3" s="236"/>
      <c r="N3" s="236"/>
      <c r="T3" s="273"/>
    </row>
    <row r="4" spans="1:21" ht="13.15" customHeight="1" x14ac:dyDescent="0.25">
      <c r="A4" s="244"/>
      <c r="B4" s="239" t="s">
        <v>179</v>
      </c>
      <c r="C4" s="192" t="s">
        <v>177</v>
      </c>
      <c r="D4" s="545" t="s">
        <v>178</v>
      </c>
      <c r="E4" s="546"/>
      <c r="F4" s="269"/>
      <c r="G4" s="236"/>
      <c r="H4" s="236" t="s">
        <v>180</v>
      </c>
      <c r="I4" s="236"/>
      <c r="J4" s="236"/>
      <c r="K4" s="236"/>
      <c r="L4" s="236"/>
      <c r="M4" s="236"/>
      <c r="N4" s="236"/>
      <c r="T4" s="273"/>
    </row>
    <row r="5" spans="1:21" ht="13.15" customHeight="1" x14ac:dyDescent="0.25">
      <c r="A5" s="244"/>
      <c r="B5" s="239" t="s">
        <v>181</v>
      </c>
      <c r="C5" s="192" t="s">
        <v>177</v>
      </c>
      <c r="D5" s="545" t="s">
        <v>178</v>
      </c>
      <c r="E5" s="546"/>
      <c r="F5" s="269"/>
      <c r="G5" s="236"/>
      <c r="H5" s="236" t="s">
        <v>180</v>
      </c>
      <c r="I5" s="236"/>
      <c r="J5" s="236"/>
      <c r="K5" s="236"/>
      <c r="L5" s="236"/>
      <c r="M5" s="236"/>
      <c r="N5" s="236"/>
      <c r="T5" s="273"/>
    </row>
    <row r="6" spans="1:21" ht="13.15" customHeight="1" x14ac:dyDescent="0.25">
      <c r="A6" s="244"/>
      <c r="B6" s="239" t="s">
        <v>182</v>
      </c>
      <c r="C6" s="192" t="s">
        <v>177</v>
      </c>
      <c r="D6" s="545" t="s">
        <v>178</v>
      </c>
      <c r="E6" s="546"/>
      <c r="F6" s="269"/>
      <c r="G6" s="236"/>
      <c r="H6" s="236" t="s">
        <v>48</v>
      </c>
      <c r="I6" s="236"/>
      <c r="J6" s="236"/>
      <c r="K6" s="236"/>
      <c r="L6" s="236"/>
      <c r="M6" s="236"/>
      <c r="N6" s="236"/>
      <c r="T6" s="273"/>
    </row>
    <row r="7" spans="1:21" ht="13.15" customHeight="1" x14ac:dyDescent="0.25">
      <c r="A7" s="244"/>
      <c r="B7" s="239" t="s">
        <v>183</v>
      </c>
      <c r="C7" s="192" t="s">
        <v>48</v>
      </c>
      <c r="D7" s="545"/>
      <c r="E7" s="546"/>
      <c r="F7" s="269"/>
      <c r="G7" s="236"/>
      <c r="H7" s="236" t="s">
        <v>48</v>
      </c>
      <c r="I7" s="236"/>
      <c r="J7" s="236"/>
      <c r="K7" s="236"/>
      <c r="L7" s="236"/>
      <c r="M7" s="236"/>
      <c r="N7" s="236"/>
      <c r="T7" s="273"/>
    </row>
    <row r="8" spans="1:21" ht="13.15" customHeight="1" x14ac:dyDescent="0.25">
      <c r="A8" s="244"/>
      <c r="B8" s="239" t="s">
        <v>184</v>
      </c>
      <c r="C8" s="192" t="s">
        <v>48</v>
      </c>
      <c r="D8" s="545"/>
      <c r="E8" s="546"/>
      <c r="F8" s="269"/>
      <c r="G8" s="236"/>
      <c r="H8" s="236" t="s">
        <v>48</v>
      </c>
      <c r="I8" s="236"/>
      <c r="J8" s="236"/>
      <c r="K8" s="236"/>
      <c r="L8" s="236"/>
      <c r="M8" s="236"/>
      <c r="N8" s="236"/>
      <c r="T8" s="273"/>
    </row>
    <row r="9" spans="1:21" ht="13.15" customHeight="1" x14ac:dyDescent="0.25">
      <c r="A9" s="244"/>
      <c r="B9" s="239" t="s">
        <v>185</v>
      </c>
      <c r="C9" s="192" t="s">
        <v>186</v>
      </c>
      <c r="D9" s="545"/>
      <c r="E9" s="546"/>
      <c r="F9" s="269"/>
      <c r="G9" s="236"/>
      <c r="H9" s="236" t="s">
        <v>48</v>
      </c>
      <c r="I9" s="236"/>
      <c r="J9" s="236"/>
      <c r="K9" s="236"/>
      <c r="L9" s="236"/>
      <c r="M9" s="236"/>
      <c r="N9" s="236"/>
      <c r="T9" s="274"/>
    </row>
    <row r="10" spans="1:21" ht="13.15" customHeight="1" x14ac:dyDescent="0.25">
      <c r="A10" s="244"/>
      <c r="B10" s="239" t="s">
        <v>187</v>
      </c>
      <c r="C10" s="192" t="s">
        <v>186</v>
      </c>
      <c r="D10" s="545"/>
      <c r="E10" s="546"/>
      <c r="F10" s="269"/>
      <c r="G10" s="236"/>
      <c r="H10" s="236" t="s">
        <v>48</v>
      </c>
      <c r="I10" s="236"/>
      <c r="J10" s="236"/>
      <c r="K10" s="236"/>
      <c r="L10" s="236"/>
      <c r="M10" s="236"/>
      <c r="N10" s="236"/>
      <c r="T10" s="274"/>
    </row>
    <row r="11" spans="1:21" ht="13.15" customHeight="1" x14ac:dyDescent="0.25">
      <c r="A11" s="244"/>
      <c r="B11" s="239"/>
      <c r="C11" s="192"/>
      <c r="D11" s="545"/>
      <c r="E11" s="546"/>
      <c r="F11" s="269"/>
      <c r="G11" s="236"/>
      <c r="H11" s="236">
        <v>0</v>
      </c>
      <c r="I11" s="236"/>
      <c r="J11" s="236"/>
      <c r="K11" s="236"/>
      <c r="L11" s="236"/>
      <c r="M11" s="236"/>
      <c r="N11" s="236"/>
      <c r="T11" s="274"/>
    </row>
    <row r="12" spans="1:21" ht="13.15" customHeight="1" x14ac:dyDescent="0.25">
      <c r="A12" s="543" t="s">
        <v>188</v>
      </c>
      <c r="B12" s="239"/>
      <c r="C12" s="192"/>
      <c r="D12" s="545"/>
      <c r="E12" s="546"/>
      <c r="F12" s="269"/>
      <c r="G12" s="236"/>
      <c r="H12" s="236">
        <v>0</v>
      </c>
      <c r="I12" s="236"/>
      <c r="J12" s="236"/>
      <c r="K12" s="236"/>
      <c r="L12" s="236"/>
      <c r="M12" s="236"/>
      <c r="N12" s="236"/>
      <c r="T12" s="274"/>
    </row>
    <row r="13" spans="1:21" ht="13.15" customHeight="1" x14ac:dyDescent="0.25">
      <c r="A13" s="544"/>
      <c r="B13" s="239" t="s">
        <v>189</v>
      </c>
      <c r="C13" s="192" t="s">
        <v>186</v>
      </c>
      <c r="D13" s="545"/>
      <c r="E13" s="546"/>
      <c r="F13" s="269"/>
      <c r="G13" s="236"/>
      <c r="H13" s="236" t="s">
        <v>48</v>
      </c>
      <c r="I13" s="236"/>
      <c r="J13" s="236"/>
      <c r="K13" s="236"/>
      <c r="L13" s="236"/>
      <c r="M13" s="236"/>
      <c r="N13" s="236"/>
      <c r="T13" s="274"/>
    </row>
    <row r="14" spans="1:21" ht="13.15" customHeight="1" x14ac:dyDescent="0.25">
      <c r="A14" s="244"/>
      <c r="B14" s="239" t="s">
        <v>190</v>
      </c>
      <c r="C14" s="192" t="s">
        <v>186</v>
      </c>
      <c r="D14" s="545" t="s">
        <v>178</v>
      </c>
      <c r="E14" s="546"/>
      <c r="F14" s="269"/>
      <c r="G14" s="236"/>
      <c r="H14" s="236" t="s">
        <v>48</v>
      </c>
      <c r="I14" s="236"/>
      <c r="J14" s="236"/>
      <c r="K14" s="236"/>
      <c r="L14" s="236"/>
      <c r="M14" s="236"/>
      <c r="N14" s="236"/>
      <c r="T14" s="274"/>
    </row>
    <row r="15" spans="1:21" ht="13.15" customHeight="1" x14ac:dyDescent="0.25">
      <c r="A15" s="244"/>
      <c r="B15" s="239" t="s">
        <v>191</v>
      </c>
      <c r="C15" s="192" t="s">
        <v>186</v>
      </c>
      <c r="D15" s="545" t="s">
        <v>178</v>
      </c>
      <c r="E15" s="546"/>
      <c r="F15" s="269"/>
      <c r="G15" s="236"/>
      <c r="H15" s="236" t="s">
        <v>48</v>
      </c>
      <c r="I15" s="236"/>
      <c r="J15" s="236"/>
      <c r="K15" s="236"/>
      <c r="L15" s="236"/>
      <c r="M15" s="236"/>
      <c r="N15" s="236"/>
      <c r="T15" s="274"/>
    </row>
    <row r="16" spans="1:21" ht="13.15" customHeight="1" x14ac:dyDescent="0.25">
      <c r="A16" s="244"/>
      <c r="B16" s="239" t="s">
        <v>192</v>
      </c>
      <c r="C16" s="192" t="s">
        <v>48</v>
      </c>
      <c r="D16" s="545"/>
      <c r="E16" s="546"/>
      <c r="F16" s="269"/>
      <c r="G16" s="236"/>
      <c r="H16" s="236" t="s">
        <v>48</v>
      </c>
      <c r="I16" s="236"/>
      <c r="J16" s="236"/>
      <c r="K16" s="236"/>
      <c r="L16" s="236"/>
      <c r="M16" s="236"/>
      <c r="N16" s="236"/>
      <c r="T16" s="274"/>
    </row>
    <row r="17" spans="1:20" ht="13.15" customHeight="1" x14ac:dyDescent="0.25">
      <c r="A17" s="244"/>
      <c r="B17" s="239" t="s">
        <v>193</v>
      </c>
      <c r="C17" s="192"/>
      <c r="D17" s="545" t="s">
        <v>194</v>
      </c>
      <c r="E17" s="546"/>
      <c r="F17" s="269"/>
      <c r="G17" s="236"/>
      <c r="H17" s="236" t="s">
        <v>48</v>
      </c>
      <c r="I17" s="236"/>
      <c r="J17" s="236"/>
      <c r="K17" s="236"/>
      <c r="L17" s="236"/>
      <c r="M17" s="236"/>
      <c r="N17" s="236"/>
      <c r="T17" s="274"/>
    </row>
    <row r="18" spans="1:20" ht="13.15" customHeight="1" x14ac:dyDescent="0.25">
      <c r="A18" s="244"/>
      <c r="B18" s="239" t="s">
        <v>195</v>
      </c>
      <c r="C18" s="192" t="s">
        <v>48</v>
      </c>
      <c r="D18" s="545"/>
      <c r="E18" s="546"/>
      <c r="F18" s="269"/>
      <c r="G18" s="236"/>
      <c r="H18" s="236" t="s">
        <v>196</v>
      </c>
      <c r="I18" s="236"/>
      <c r="J18" s="236"/>
      <c r="K18" s="236"/>
      <c r="L18" s="236"/>
      <c r="M18" s="236"/>
      <c r="N18" s="236"/>
      <c r="T18" s="274"/>
    </row>
    <row r="19" spans="1:20" ht="13.15" customHeight="1" x14ac:dyDescent="0.25">
      <c r="A19" s="244"/>
      <c r="B19" s="239" t="s">
        <v>197</v>
      </c>
      <c r="C19" s="192" t="s">
        <v>186</v>
      </c>
      <c r="D19" s="545"/>
      <c r="E19" s="546"/>
      <c r="F19" s="269"/>
      <c r="G19" s="236"/>
      <c r="H19" s="236" t="s">
        <v>48</v>
      </c>
      <c r="I19" s="236"/>
      <c r="J19" s="236"/>
      <c r="K19" s="236"/>
      <c r="L19" s="236"/>
      <c r="M19" s="236"/>
      <c r="N19" s="236"/>
      <c r="T19" s="274"/>
    </row>
    <row r="20" spans="1:20" ht="13.15" customHeight="1" x14ac:dyDescent="0.25">
      <c r="A20" s="244"/>
      <c r="B20" s="239" t="s">
        <v>198</v>
      </c>
      <c r="C20" s="192" t="s">
        <v>48</v>
      </c>
      <c r="D20" s="545" t="s">
        <v>178</v>
      </c>
      <c r="E20" s="546"/>
      <c r="F20" s="269"/>
      <c r="G20" s="236"/>
      <c r="H20" s="236" t="s">
        <v>48</v>
      </c>
      <c r="I20" s="236"/>
      <c r="J20" s="236"/>
      <c r="K20" s="236"/>
      <c r="L20" s="236"/>
      <c r="M20" s="236"/>
      <c r="N20" s="236"/>
      <c r="T20" s="274"/>
    </row>
    <row r="21" spans="1:20" ht="13.15" customHeight="1" x14ac:dyDescent="0.25">
      <c r="A21" s="244"/>
      <c r="B21" s="239" t="s">
        <v>199</v>
      </c>
      <c r="C21" s="192" t="s">
        <v>186</v>
      </c>
      <c r="D21" s="545"/>
      <c r="E21" s="546"/>
      <c r="F21" s="269"/>
      <c r="G21" s="236"/>
      <c r="H21" s="236" t="s">
        <v>48</v>
      </c>
      <c r="I21" s="236"/>
      <c r="J21" s="236"/>
      <c r="K21" s="236"/>
      <c r="L21" s="236"/>
      <c r="M21" s="236"/>
      <c r="N21" s="236"/>
      <c r="T21" s="274"/>
    </row>
    <row r="22" spans="1:20" ht="13.15" customHeight="1" x14ac:dyDescent="0.25">
      <c r="A22" s="244"/>
      <c r="B22" s="239" t="s">
        <v>200</v>
      </c>
      <c r="C22" s="192" t="s">
        <v>48</v>
      </c>
      <c r="D22" s="545"/>
      <c r="E22" s="546"/>
      <c r="F22" s="269"/>
      <c r="G22" s="236"/>
      <c r="H22" s="236" t="s">
        <v>201</v>
      </c>
      <c r="I22" s="236"/>
      <c r="J22" s="236"/>
      <c r="K22" s="236"/>
      <c r="L22" s="236"/>
      <c r="M22" s="236"/>
      <c r="N22" s="236"/>
      <c r="T22" s="274"/>
    </row>
    <row r="23" spans="1:20" ht="13.15" customHeight="1" x14ac:dyDescent="0.25">
      <c r="A23" s="244"/>
      <c r="B23" s="239" t="s">
        <v>202</v>
      </c>
      <c r="C23" s="192" t="s">
        <v>48</v>
      </c>
      <c r="D23" s="545"/>
      <c r="E23" s="546"/>
      <c r="F23" s="269"/>
      <c r="G23" s="236"/>
      <c r="H23" s="236" t="s">
        <v>48</v>
      </c>
      <c r="I23" s="236"/>
      <c r="J23" s="236"/>
      <c r="K23" s="236"/>
      <c r="L23" s="236"/>
      <c r="M23" s="236"/>
      <c r="N23" s="236"/>
      <c r="T23" s="274"/>
    </row>
    <row r="24" spans="1:20" ht="13.15" customHeight="1" x14ac:dyDescent="0.25">
      <c r="A24" s="244"/>
      <c r="B24" s="239" t="s">
        <v>203</v>
      </c>
      <c r="C24" s="192" t="s">
        <v>48</v>
      </c>
      <c r="D24" s="545"/>
      <c r="E24" s="546"/>
      <c r="F24" s="269"/>
      <c r="G24" s="236"/>
      <c r="H24" s="236" t="s">
        <v>48</v>
      </c>
      <c r="I24" s="236"/>
      <c r="J24" s="236"/>
      <c r="K24" s="236"/>
      <c r="L24" s="236"/>
      <c r="M24" s="236"/>
      <c r="N24" s="236"/>
      <c r="T24" s="274"/>
    </row>
    <row r="25" spans="1:20" ht="13.15" customHeight="1" x14ac:dyDescent="0.25">
      <c r="A25" s="245"/>
      <c r="B25" s="239" t="s">
        <v>204</v>
      </c>
      <c r="C25" s="192" t="s">
        <v>48</v>
      </c>
      <c r="D25" s="545"/>
      <c r="E25" s="546"/>
      <c r="F25" s="269"/>
      <c r="G25" s="236"/>
      <c r="H25" s="236" t="s">
        <v>48</v>
      </c>
      <c r="I25" s="236"/>
      <c r="J25" s="236"/>
      <c r="K25" s="236"/>
      <c r="L25" s="236"/>
      <c r="M25" s="236"/>
      <c r="N25" s="236"/>
      <c r="T25" s="274"/>
    </row>
    <row r="26" spans="1:20" ht="13.15" customHeight="1" x14ac:dyDescent="0.25">
      <c r="A26" s="245"/>
      <c r="B26" s="239" t="s">
        <v>205</v>
      </c>
      <c r="C26" s="192" t="s">
        <v>186</v>
      </c>
      <c r="D26" s="545"/>
      <c r="E26" s="546"/>
      <c r="F26" s="269"/>
      <c r="G26" s="236"/>
      <c r="H26" s="236" t="s">
        <v>48</v>
      </c>
      <c r="I26" s="236"/>
      <c r="J26" s="236"/>
      <c r="K26" s="236"/>
      <c r="L26" s="236"/>
      <c r="M26" s="236"/>
      <c r="N26" s="236"/>
      <c r="T26" s="274"/>
    </row>
    <row r="27" spans="1:20" ht="13.15" customHeight="1" x14ac:dyDescent="0.25">
      <c r="A27" s="244"/>
      <c r="B27" s="239" t="s">
        <v>206</v>
      </c>
      <c r="C27" s="193"/>
      <c r="D27" s="545" t="s">
        <v>207</v>
      </c>
      <c r="E27" s="546"/>
      <c r="F27" s="269"/>
      <c r="G27" s="236"/>
      <c r="H27" s="236" t="s">
        <v>48</v>
      </c>
      <c r="I27" s="236"/>
      <c r="J27" s="236"/>
      <c r="K27" s="236"/>
      <c r="L27" s="236"/>
      <c r="M27" s="236"/>
      <c r="N27" s="236"/>
      <c r="T27" s="274"/>
    </row>
    <row r="28" spans="1:20" ht="13.15" customHeight="1" x14ac:dyDescent="0.25">
      <c r="A28" s="244"/>
      <c r="B28" s="239" t="s">
        <v>208</v>
      </c>
      <c r="C28" s="192" t="s">
        <v>186</v>
      </c>
      <c r="D28" s="545"/>
      <c r="E28" s="546"/>
      <c r="F28" s="269"/>
      <c r="G28" s="236"/>
      <c r="H28" s="236" t="s">
        <v>48</v>
      </c>
      <c r="I28" s="236"/>
      <c r="J28" s="236"/>
      <c r="K28" s="236"/>
      <c r="L28" s="236"/>
      <c r="M28" s="236"/>
      <c r="N28" s="236"/>
      <c r="T28" s="274"/>
    </row>
    <row r="29" spans="1:20" ht="13.15" customHeight="1" x14ac:dyDescent="0.25">
      <c r="A29" s="244"/>
      <c r="B29" s="239"/>
      <c r="C29" s="192"/>
      <c r="D29" s="268"/>
      <c r="E29" s="269"/>
      <c r="F29" s="269"/>
      <c r="G29" s="236"/>
      <c r="H29" s="236">
        <v>0</v>
      </c>
      <c r="I29" s="236"/>
      <c r="J29" s="236"/>
      <c r="K29" s="236"/>
      <c r="L29" s="236"/>
      <c r="M29" s="236"/>
      <c r="N29" s="236"/>
      <c r="T29" s="274"/>
    </row>
    <row r="30" spans="1:20" ht="13.15" customHeight="1" x14ac:dyDescent="0.25">
      <c r="A30" s="543" t="s">
        <v>209</v>
      </c>
      <c r="B30" s="239" t="s">
        <v>210</v>
      </c>
      <c r="C30" s="192"/>
      <c r="D30" s="545"/>
      <c r="E30" s="546"/>
      <c r="F30" s="269"/>
      <c r="G30" s="236"/>
      <c r="H30" s="236">
        <v>0</v>
      </c>
      <c r="I30" s="236"/>
      <c r="J30" s="236"/>
      <c r="K30" s="236"/>
      <c r="L30" s="236"/>
      <c r="M30" s="236"/>
      <c r="N30" s="236"/>
      <c r="T30" s="274"/>
    </row>
    <row r="31" spans="1:20" ht="13.15" customHeight="1" x14ac:dyDescent="0.25">
      <c r="A31" s="544"/>
      <c r="B31" s="239" t="s">
        <v>211</v>
      </c>
      <c r="C31" s="192"/>
      <c r="D31" s="268"/>
      <c r="E31" s="269"/>
      <c r="F31" s="269"/>
      <c r="G31" s="236"/>
      <c r="H31" s="236">
        <v>0</v>
      </c>
      <c r="I31" s="236"/>
      <c r="J31" s="236"/>
      <c r="K31" s="236"/>
      <c r="L31" s="236"/>
      <c r="M31" s="236"/>
      <c r="N31" s="236"/>
      <c r="T31" s="274"/>
    </row>
    <row r="32" spans="1:20" ht="13.15" customHeight="1" x14ac:dyDescent="0.25">
      <c r="A32" s="245"/>
      <c r="B32" s="239" t="s">
        <v>212</v>
      </c>
      <c r="C32" s="192"/>
      <c r="D32" s="268"/>
      <c r="E32" s="269"/>
      <c r="F32" s="269"/>
      <c r="G32" s="236"/>
      <c r="H32" s="236">
        <v>0</v>
      </c>
      <c r="I32" s="236"/>
      <c r="J32" s="236"/>
      <c r="K32" s="236"/>
      <c r="L32" s="236"/>
      <c r="M32" s="236"/>
      <c r="N32" s="236"/>
      <c r="T32" s="274"/>
    </row>
    <row r="33" spans="1:20" ht="13.15" customHeight="1" x14ac:dyDescent="0.25">
      <c r="A33" s="245"/>
      <c r="B33" s="239" t="s">
        <v>213</v>
      </c>
      <c r="C33" s="192"/>
      <c r="D33" s="268"/>
      <c r="E33" s="269"/>
      <c r="F33" s="269"/>
      <c r="G33" s="236"/>
      <c r="H33" s="236">
        <v>0</v>
      </c>
      <c r="I33" s="236"/>
      <c r="J33" s="236"/>
      <c r="K33" s="236"/>
      <c r="L33" s="236"/>
      <c r="M33" s="236"/>
      <c r="N33" s="236"/>
      <c r="T33" s="274"/>
    </row>
    <row r="34" spans="1:20" ht="13.15" customHeight="1" x14ac:dyDescent="0.25">
      <c r="A34" s="245"/>
      <c r="B34" s="239" t="s">
        <v>214</v>
      </c>
      <c r="C34" s="192"/>
      <c r="D34" s="545"/>
      <c r="E34" s="546"/>
      <c r="F34" s="269"/>
      <c r="G34" s="236"/>
      <c r="H34" s="236">
        <v>0</v>
      </c>
      <c r="I34" s="236"/>
      <c r="J34" s="236"/>
      <c r="K34" s="236"/>
      <c r="L34" s="236"/>
      <c r="M34" s="236"/>
      <c r="N34" s="236"/>
      <c r="T34" s="274"/>
    </row>
    <row r="35" spans="1:20" ht="13.15" customHeight="1" x14ac:dyDescent="0.25">
      <c r="A35" s="244"/>
      <c r="B35" s="239"/>
      <c r="C35" s="192"/>
      <c r="D35" s="545"/>
      <c r="E35" s="546"/>
      <c r="F35" s="269"/>
      <c r="G35" s="236"/>
      <c r="H35" s="236">
        <v>0</v>
      </c>
      <c r="I35" s="236"/>
      <c r="J35" s="236"/>
      <c r="K35" s="236"/>
      <c r="L35" s="236"/>
      <c r="M35" s="236"/>
      <c r="N35" s="236"/>
      <c r="T35" s="274"/>
    </row>
    <row r="36" spans="1:20" ht="13.15" customHeight="1" x14ac:dyDescent="0.25">
      <c r="A36" s="244"/>
      <c r="B36" s="239"/>
      <c r="C36" s="192"/>
      <c r="D36" s="545"/>
      <c r="E36" s="546"/>
      <c r="F36" s="269"/>
      <c r="G36" s="236"/>
      <c r="H36" s="236">
        <v>0</v>
      </c>
      <c r="I36" s="236"/>
      <c r="J36" s="236"/>
      <c r="K36" s="236"/>
      <c r="L36" s="236"/>
      <c r="M36" s="236"/>
      <c r="N36" s="236"/>
      <c r="T36" s="274"/>
    </row>
    <row r="37" spans="1:20" ht="13.15" customHeight="1" x14ac:dyDescent="0.25">
      <c r="A37" s="244"/>
      <c r="B37" s="239"/>
      <c r="C37" s="192"/>
      <c r="D37" s="545"/>
      <c r="E37" s="546"/>
      <c r="F37" s="269"/>
      <c r="G37" s="236"/>
      <c r="H37" s="236">
        <v>0</v>
      </c>
      <c r="I37" s="236"/>
      <c r="J37" s="236"/>
      <c r="K37" s="236"/>
      <c r="L37" s="236"/>
      <c r="M37" s="236"/>
      <c r="N37" s="236"/>
      <c r="T37" s="274"/>
    </row>
    <row r="38" spans="1:20" ht="13.15" customHeight="1" x14ac:dyDescent="0.25">
      <c r="A38" s="543" t="s">
        <v>215</v>
      </c>
      <c r="B38" s="239" t="s">
        <v>216</v>
      </c>
      <c r="C38" s="192"/>
      <c r="D38" s="545"/>
      <c r="E38" s="546"/>
      <c r="F38" s="269"/>
      <c r="G38" s="236"/>
      <c r="H38" s="236">
        <v>0</v>
      </c>
      <c r="I38" s="236"/>
      <c r="J38" s="236"/>
      <c r="K38" s="236"/>
      <c r="L38" s="236"/>
      <c r="M38" s="236"/>
      <c r="N38" s="236"/>
      <c r="T38" s="274"/>
    </row>
    <row r="39" spans="1:20" ht="13.15" customHeight="1" x14ac:dyDescent="0.25">
      <c r="A39" s="544"/>
      <c r="B39" s="239" t="s">
        <v>214</v>
      </c>
      <c r="C39" s="192"/>
      <c r="D39" s="545"/>
      <c r="E39" s="546"/>
      <c r="F39" s="269"/>
      <c r="G39" s="236"/>
      <c r="H39" s="236">
        <v>0</v>
      </c>
      <c r="I39" s="236"/>
      <c r="J39" s="236"/>
      <c r="K39" s="236"/>
      <c r="L39" s="236"/>
      <c r="M39" s="236"/>
      <c r="N39" s="236"/>
      <c r="T39" s="274"/>
    </row>
    <row r="40" spans="1:20" ht="13.15" customHeight="1" x14ac:dyDescent="0.25">
      <c r="A40" s="244"/>
      <c r="B40" s="239" t="s">
        <v>217</v>
      </c>
      <c r="C40" s="192"/>
      <c r="D40" s="545"/>
      <c r="E40" s="546"/>
      <c r="F40" s="269"/>
      <c r="G40" s="236"/>
      <c r="H40" s="236">
        <v>0</v>
      </c>
      <c r="I40" s="236"/>
      <c r="J40" s="236"/>
      <c r="K40" s="236"/>
      <c r="L40" s="236"/>
      <c r="M40" s="236"/>
      <c r="N40" s="236"/>
      <c r="T40" s="274"/>
    </row>
    <row r="41" spans="1:20" ht="13.15" customHeight="1" x14ac:dyDescent="0.25">
      <c r="A41" s="244"/>
      <c r="B41" s="239" t="s">
        <v>218</v>
      </c>
      <c r="C41" s="192"/>
      <c r="D41" s="545"/>
      <c r="E41" s="546"/>
      <c r="F41" s="269"/>
      <c r="G41" s="236"/>
      <c r="H41" s="236">
        <v>0</v>
      </c>
      <c r="I41" s="236"/>
      <c r="J41" s="236"/>
      <c r="K41" s="236"/>
      <c r="L41" s="236"/>
      <c r="M41" s="236"/>
      <c r="N41" s="236"/>
      <c r="T41" s="274"/>
    </row>
    <row r="42" spans="1:20" ht="13.15" customHeight="1" thickBot="1" x14ac:dyDescent="0.3">
      <c r="A42" s="244"/>
      <c r="B42" s="239"/>
      <c r="C42" s="192"/>
      <c r="D42" s="545"/>
      <c r="E42" s="546"/>
      <c r="F42" s="269"/>
      <c r="G42" s="236"/>
      <c r="H42" s="236"/>
      <c r="I42" s="236"/>
      <c r="J42" s="236"/>
      <c r="K42" s="236"/>
      <c r="L42" s="236"/>
      <c r="M42" s="236"/>
      <c r="N42" s="236"/>
      <c r="T42" s="274"/>
    </row>
    <row r="43" spans="1:20" ht="45.75" thickBot="1" x14ac:dyDescent="0.3">
      <c r="A43" s="245"/>
      <c r="B43" s="240"/>
      <c r="C43" s="534" t="s">
        <v>219</v>
      </c>
      <c r="D43" s="536"/>
      <c r="E43" s="232" t="str">
        <f>+B1</f>
        <v>3325 Banks Rd, Raleigh, NC 27603</v>
      </c>
      <c r="F43" s="232"/>
      <c r="G43" s="234" t="s">
        <v>162</v>
      </c>
      <c r="H43" s="234" t="s">
        <v>163</v>
      </c>
      <c r="I43" s="289" t="s">
        <v>164</v>
      </c>
      <c r="J43" s="289" t="s">
        <v>165</v>
      </c>
      <c r="K43" s="280" t="str">
        <f t="shared" ref="K43:L43" si="0">+K1</f>
        <v>1900 Red Quartz</v>
      </c>
      <c r="L43" s="280" t="str">
        <f t="shared" si="0"/>
        <v>120 Keith</v>
      </c>
      <c r="M43" s="280" t="str">
        <f t="shared" ref="M43:S43" si="1">+M1</f>
        <v>3007 Eric</v>
      </c>
      <c r="N43" s="289" t="str">
        <f t="shared" si="1"/>
        <v>2153 Haig Point</v>
      </c>
      <c r="O43" s="280" t="str">
        <f t="shared" si="1"/>
        <v>178 Patricia</v>
      </c>
      <c r="P43" s="289" t="str">
        <f t="shared" si="1"/>
        <v>1201 Hazelnut</v>
      </c>
      <c r="Q43" s="280" t="str">
        <f t="shared" si="1"/>
        <v>1223 Roffler</v>
      </c>
      <c r="R43" s="280" t="str">
        <f t="shared" si="1"/>
        <v>2025 Metacomet</v>
      </c>
      <c r="S43" s="289" t="str">
        <f t="shared" si="1"/>
        <v xml:space="preserve">5619 Marthonna </v>
      </c>
      <c r="T43" s="274"/>
    </row>
    <row r="44" spans="1:20" ht="15.75" thickBot="1" x14ac:dyDescent="0.3">
      <c r="A44" s="245"/>
      <c r="B44" s="283" t="s">
        <v>220</v>
      </c>
      <c r="C44" s="284">
        <f>+SUM(E44:T44)</f>
        <v>4285329</v>
      </c>
      <c r="D44" s="284"/>
      <c r="E44" s="322">
        <f>+Profit!$B$4</f>
        <v>439000</v>
      </c>
      <c r="F44" s="371"/>
      <c r="G44" s="323">
        <v>285000</v>
      </c>
      <c r="H44" s="323">
        <v>689000</v>
      </c>
      <c r="I44" s="324">
        <v>258000</v>
      </c>
      <c r="J44" s="324">
        <v>210000</v>
      </c>
      <c r="K44" s="325">
        <v>423529</v>
      </c>
      <c r="L44" s="325">
        <v>330000</v>
      </c>
      <c r="M44" s="325">
        <v>299000</v>
      </c>
      <c r="N44" s="324">
        <v>363900</v>
      </c>
      <c r="O44" s="325">
        <v>210000</v>
      </c>
      <c r="P44" s="324">
        <v>237900</v>
      </c>
      <c r="Q44" s="325">
        <v>150000</v>
      </c>
      <c r="R44" s="325">
        <v>195000</v>
      </c>
      <c r="S44" s="326">
        <v>195000</v>
      </c>
      <c r="T44" s="274"/>
    </row>
    <row r="45" spans="1:20" x14ac:dyDescent="0.25">
      <c r="A45" s="245"/>
      <c r="B45" s="283" t="s">
        <v>221</v>
      </c>
      <c r="C45" s="284">
        <f>+SUM(E45:$T$45)</f>
        <v>1182457.5279111112</v>
      </c>
      <c r="D45" s="284"/>
      <c r="E45" s="317">
        <f>+Profit!K27</f>
        <v>147682.86124999999</v>
      </c>
      <c r="F45" s="374"/>
      <c r="G45" s="318">
        <v>0</v>
      </c>
      <c r="H45" s="318">
        <v>-334733.86333888886</v>
      </c>
      <c r="I45" s="319">
        <v>102500</v>
      </c>
      <c r="J45" s="319">
        <v>127000</v>
      </c>
      <c r="K45" s="320">
        <v>174585.47</v>
      </c>
      <c r="L45" s="320">
        <v>85975.790000000008</v>
      </c>
      <c r="M45" s="320">
        <v>167033.66</v>
      </c>
      <c r="N45" s="319">
        <v>220000</v>
      </c>
      <c r="O45" s="320">
        <v>107061.9</v>
      </c>
      <c r="P45" s="319">
        <v>74709</v>
      </c>
      <c r="Q45" s="320">
        <v>71644.86</v>
      </c>
      <c r="R45" s="320">
        <v>110309.86</v>
      </c>
      <c r="S45" s="321">
        <v>128687.99</v>
      </c>
      <c r="T45" s="274"/>
    </row>
    <row r="46" spans="1:20" ht="15.75" thickBot="1" x14ac:dyDescent="0.3">
      <c r="A46" s="245"/>
      <c r="B46" s="285" t="s">
        <v>222</v>
      </c>
      <c r="C46" s="286">
        <f>+SUM(E46:T46)</f>
        <v>717651.49335412495</v>
      </c>
      <c r="D46" s="286"/>
      <c r="E46" s="287">
        <f>+Profit!B30</f>
        <v>31424.184000000001</v>
      </c>
      <c r="F46" s="382"/>
      <c r="G46" s="383">
        <v>94360</v>
      </c>
      <c r="H46" s="383">
        <v>115791.7062</v>
      </c>
      <c r="I46" s="384">
        <v>131036.71900000001</v>
      </c>
      <c r="J46" s="384">
        <v>15000</v>
      </c>
      <c r="K46" s="385">
        <v>12223</v>
      </c>
      <c r="L46" s="385">
        <v>82805.727499999994</v>
      </c>
      <c r="M46" s="385">
        <v>38679.380000000005</v>
      </c>
      <c r="N46" s="384">
        <v>27507.698</v>
      </c>
      <c r="O46" s="385">
        <v>47760.57</v>
      </c>
      <c r="P46" s="384">
        <v>71081.80715412501</v>
      </c>
      <c r="Q46" s="385">
        <v>6302.96</v>
      </c>
      <c r="R46" s="385">
        <v>20425.14</v>
      </c>
      <c r="S46" s="290">
        <v>23252.601500000001</v>
      </c>
      <c r="T46" s="229"/>
    </row>
    <row r="47" spans="1:20" x14ac:dyDescent="0.25">
      <c r="A47" s="245"/>
      <c r="B47" s="386" t="s">
        <v>223</v>
      </c>
      <c r="C47" s="387">
        <f>+SUM(E47:T47)</f>
        <v>200037.72999999998</v>
      </c>
      <c r="D47" s="286"/>
      <c r="E47" s="287">
        <f>+SUM(Profit!C13:C17)+Profit!E29</f>
        <v>200037.72999999998</v>
      </c>
      <c r="F47" s="382"/>
      <c r="G47" s="383"/>
      <c r="H47" s="383"/>
      <c r="I47" s="384"/>
      <c r="J47" s="384"/>
      <c r="K47" s="385"/>
      <c r="L47" s="385"/>
      <c r="M47" s="385"/>
      <c r="N47" s="384"/>
      <c r="O47" s="385"/>
      <c r="P47" s="384"/>
      <c r="Q47" s="385"/>
      <c r="R47" s="385"/>
      <c r="S47" s="290"/>
      <c r="T47" s="229"/>
    </row>
    <row r="48" spans="1:20" x14ac:dyDescent="0.25">
      <c r="A48" s="245"/>
      <c r="B48" s="285" t="s">
        <v>224</v>
      </c>
      <c r="C48" s="286">
        <f ca="1">+SUM(E48:T48)</f>
        <v>1253.1903973509941</v>
      </c>
      <c r="D48" s="286"/>
      <c r="E48" s="287">
        <f ca="1">+Profit!B27/Profit!B20</f>
        <v>1253.0903973509942</v>
      </c>
      <c r="F48" s="382"/>
      <c r="G48" s="383">
        <v>0</v>
      </c>
      <c r="H48" s="383">
        <v>0.1</v>
      </c>
      <c r="I48" s="384"/>
      <c r="J48" s="384"/>
      <c r="K48" s="385"/>
      <c r="L48" s="385"/>
      <c r="M48" s="385"/>
      <c r="N48" s="384"/>
      <c r="O48" s="385"/>
      <c r="P48" s="384"/>
      <c r="Q48" s="385"/>
      <c r="R48" s="385"/>
      <c r="S48" s="290"/>
      <c r="T48" s="229"/>
    </row>
    <row r="49" spans="1:20" x14ac:dyDescent="0.25">
      <c r="A49" s="245"/>
      <c r="B49" s="285" t="s">
        <v>225</v>
      </c>
      <c r="C49" s="286">
        <f>+SUM(E49:N49)</f>
        <v>0</v>
      </c>
      <c r="D49" s="286"/>
      <c r="E49" s="287">
        <f>+Profit!H9</f>
        <v>0</v>
      </c>
      <c r="F49" s="382"/>
      <c r="G49" s="383">
        <v>0</v>
      </c>
      <c r="H49" s="383">
        <v>0</v>
      </c>
      <c r="I49" s="384"/>
      <c r="J49" s="384"/>
      <c r="K49" s="385"/>
      <c r="L49" s="385"/>
      <c r="M49" s="385"/>
      <c r="N49" s="384"/>
      <c r="O49" s="385"/>
      <c r="P49" s="384"/>
      <c r="Q49" s="385"/>
      <c r="R49" s="385"/>
      <c r="S49" s="290"/>
      <c r="T49" s="229"/>
    </row>
    <row r="50" spans="1:20" ht="15.75" thickBot="1" x14ac:dyDescent="0.3">
      <c r="A50" s="245"/>
      <c r="B50" s="233" t="s">
        <v>226</v>
      </c>
      <c r="C50" s="226">
        <f ca="1">+SUM($E$50:$T$50)</f>
        <v>863395.08392912499</v>
      </c>
      <c r="D50" s="226"/>
      <c r="E50" s="288">
        <f ca="1">+Profit!K45</f>
        <v>128633.42599999998</v>
      </c>
      <c r="F50" s="382"/>
      <c r="G50" s="383">
        <v>94360</v>
      </c>
      <c r="H50" s="383">
        <v>164326.054775</v>
      </c>
      <c r="I50" s="384">
        <v>131036.71900000001</v>
      </c>
      <c r="J50" s="384">
        <v>15000</v>
      </c>
      <c r="K50" s="385">
        <v>12223</v>
      </c>
      <c r="L50" s="385">
        <v>82805.727499999994</v>
      </c>
      <c r="M50" s="385">
        <v>38679.380000000005</v>
      </c>
      <c r="N50" s="384">
        <v>27507.698</v>
      </c>
      <c r="O50" s="385">
        <v>47760.57</v>
      </c>
      <c r="P50" s="384">
        <v>71081.80715412501</v>
      </c>
      <c r="Q50" s="385">
        <v>6302.96</v>
      </c>
      <c r="R50" s="385">
        <v>20425.14</v>
      </c>
      <c r="S50" s="290">
        <v>23252.601500000001</v>
      </c>
      <c r="T50" s="229"/>
    </row>
    <row r="51" spans="1:20" ht="15.75" thickBot="1" x14ac:dyDescent="0.3">
      <c r="A51" s="245"/>
      <c r="B51" s="233" t="s">
        <v>227</v>
      </c>
      <c r="C51" s="226">
        <f ca="1">+SUM($E$51:$T$51)</f>
        <v>28334.146400000001</v>
      </c>
      <c r="D51" s="226"/>
      <c r="E51" s="288">
        <f ca="1">+E50*0.1</f>
        <v>12863.342599999998</v>
      </c>
      <c r="F51" s="226"/>
      <c r="G51" s="230"/>
      <c r="H51" s="230"/>
      <c r="I51" s="292"/>
      <c r="J51" s="292"/>
      <c r="K51" s="281">
        <v>15470.803800000003</v>
      </c>
      <c r="L51" s="281"/>
      <c r="M51" s="281"/>
      <c r="N51" s="292"/>
      <c r="O51" s="281"/>
      <c r="P51" s="292"/>
      <c r="Q51" s="281"/>
      <c r="R51" s="281"/>
      <c r="S51" s="292"/>
      <c r="T51" s="229"/>
    </row>
    <row r="52" spans="1:20" ht="15.75" thickBot="1" x14ac:dyDescent="0.3">
      <c r="A52" s="245"/>
      <c r="B52" s="233" t="s">
        <v>228</v>
      </c>
      <c r="C52" s="533">
        <f>+AVERAGE(E44:S44)</f>
        <v>306094.92857142858</v>
      </c>
      <c r="D52" s="466"/>
      <c r="E52" s="282"/>
      <c r="F52" s="226"/>
      <c r="G52" s="230"/>
      <c r="H52" s="230"/>
      <c r="I52" s="230"/>
      <c r="J52" s="230"/>
      <c r="K52" s="230"/>
      <c r="L52" s="230"/>
      <c r="M52" s="230"/>
      <c r="N52" s="230"/>
      <c r="O52" s="230"/>
      <c r="P52" s="230"/>
      <c r="Q52" s="230"/>
      <c r="R52" s="230"/>
      <c r="S52" s="230"/>
      <c r="T52" s="231"/>
    </row>
    <row r="53" spans="1:20" ht="15.75" thickBot="1" x14ac:dyDescent="0.3">
      <c r="A53" s="245"/>
      <c r="B53" s="233" t="s">
        <v>229</v>
      </c>
      <c r="C53" s="533">
        <f>+AVERAGE(E45:S45)</f>
        <v>84461.251993650803</v>
      </c>
      <c r="D53" s="466"/>
      <c r="E53" s="190"/>
      <c r="F53" s="190"/>
      <c r="G53" s="190"/>
      <c r="H53" s="190"/>
      <c r="L53" s="534" t="s">
        <v>230</v>
      </c>
      <c r="M53" s="535"/>
      <c r="N53" s="535"/>
      <c r="O53" s="536"/>
    </row>
    <row r="54" spans="1:20" ht="15.75" thickBot="1" x14ac:dyDescent="0.3">
      <c r="A54" s="245"/>
      <c r="B54" s="233" t="s">
        <v>231</v>
      </c>
      <c r="C54" s="533">
        <f>+AVERAGE(E46:S46)</f>
        <v>51260.820953866067</v>
      </c>
      <c r="D54" s="466"/>
      <c r="L54" s="537" t="s">
        <v>232</v>
      </c>
      <c r="M54" s="538"/>
      <c r="N54" s="538"/>
      <c r="O54" s="539"/>
    </row>
    <row r="55" spans="1:20" ht="15.75" thickBot="1" x14ac:dyDescent="0.3">
      <c r="B55" s="233" t="s">
        <v>233</v>
      </c>
      <c r="C55" s="533">
        <f ca="1">+AVERAGE(D50:S50)</f>
        <v>61671.077423508927</v>
      </c>
      <c r="D55" s="466"/>
      <c r="L55" s="540" t="s">
        <v>234</v>
      </c>
      <c r="M55" s="541"/>
      <c r="N55" s="541"/>
      <c r="O55" s="542"/>
    </row>
    <row r="57" spans="1:20" x14ac:dyDescent="0.25">
      <c r="G57" s="291"/>
      <c r="H57" s="291"/>
    </row>
  </sheetData>
  <mergeCells count="49">
    <mergeCell ref="D39:E39"/>
    <mergeCell ref="D7:E7"/>
    <mergeCell ref="D1:E1"/>
    <mergeCell ref="D3:E3"/>
    <mergeCell ref="D4:E4"/>
    <mergeCell ref="D5:E5"/>
    <mergeCell ref="D6:E6"/>
    <mergeCell ref="D8:E8"/>
    <mergeCell ref="D9:E9"/>
    <mergeCell ref="D10:E10"/>
    <mergeCell ref="D11:E11"/>
    <mergeCell ref="D12:E12"/>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C55:D55"/>
    <mergeCell ref="L53:O53"/>
    <mergeCell ref="L54:O54"/>
    <mergeCell ref="L55:O55"/>
    <mergeCell ref="C54:D54"/>
  </mergeCells>
  <pageMargins left="0.25" right="0.25" top="0.75" bottom="0.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S41"/>
  <sheetViews>
    <sheetView workbookViewId="0">
      <pane ySplit="1" topLeftCell="A2" activePane="bottomLeft" state="frozen"/>
      <selection pane="bottomLeft" activeCell="D20" sqref="D20"/>
    </sheetView>
  </sheetViews>
  <sheetFormatPr defaultRowHeight="15" x14ac:dyDescent="0.25"/>
  <cols>
    <col min="1" max="1" width="47.140625" style="2" bestFit="1" customWidth="1"/>
    <col min="2" max="2" width="25.28515625" style="2" bestFit="1" customWidth="1"/>
    <col min="3" max="3" width="16.42578125" style="25" bestFit="1" customWidth="1"/>
    <col min="4" max="4" width="20.42578125" style="2" bestFit="1" customWidth="1"/>
    <col min="5" max="5" width="36" style="25" customWidth="1"/>
    <col min="6" max="6" width="9.85546875" customWidth="1"/>
    <col min="9" max="9" width="33.140625" bestFit="1" customWidth="1"/>
    <col min="14" max="14" width="22.7109375" bestFit="1" customWidth="1"/>
    <col min="15" max="15" width="10.5703125" bestFit="1" customWidth="1"/>
    <col min="16" max="16" width="17.7109375" bestFit="1" customWidth="1"/>
    <col min="17" max="17" width="10.5703125" bestFit="1" customWidth="1"/>
    <col min="18" max="18" width="18.28515625" bestFit="1" customWidth="1"/>
    <col min="21" max="21" width="34.5703125" bestFit="1" customWidth="1"/>
    <col min="22" max="22" width="4.5703125" bestFit="1" customWidth="1"/>
    <col min="23" max="23" width="10.5703125" bestFit="1" customWidth="1"/>
    <col min="25" max="25" width="5" bestFit="1" customWidth="1"/>
  </cols>
  <sheetData>
    <row r="1" spans="1:19" s="3" customFormat="1" x14ac:dyDescent="0.25">
      <c r="A1" s="3" t="s">
        <v>235</v>
      </c>
      <c r="B1" s="3" t="s">
        <v>236</v>
      </c>
      <c r="C1" s="33" t="s">
        <v>237</v>
      </c>
      <c r="D1" s="31" t="s">
        <v>238</v>
      </c>
      <c r="E1" s="33" t="s">
        <v>239</v>
      </c>
      <c r="F1" s="3" t="s">
        <v>240</v>
      </c>
    </row>
    <row r="2" spans="1:19" s="3" customFormat="1" x14ac:dyDescent="0.25">
      <c r="A2" s="2"/>
      <c r="B2" s="2"/>
      <c r="C2" s="25" t="s">
        <v>241</v>
      </c>
      <c r="D2" s="31" t="s">
        <v>242</v>
      </c>
      <c r="E2" s="25"/>
    </row>
    <row r="3" spans="1:19" s="3" customFormat="1" x14ac:dyDescent="0.25">
      <c r="A3" s="2"/>
      <c r="B3" s="31"/>
      <c r="C3" s="25" t="s">
        <v>243</v>
      </c>
      <c r="D3" s="31" t="s">
        <v>244</v>
      </c>
      <c r="E3" s="33" t="s">
        <v>245</v>
      </c>
    </row>
    <row r="4" spans="1:19" s="3" customFormat="1" x14ac:dyDescent="0.25">
      <c r="A4" s="2"/>
      <c r="B4" s="31"/>
      <c r="C4" s="25"/>
      <c r="D4" s="31"/>
      <c r="E4" s="33"/>
    </row>
    <row r="5" spans="1:19" x14ac:dyDescent="0.25">
      <c r="A5" s="2" t="s">
        <v>246</v>
      </c>
      <c r="B5" s="2" t="s">
        <v>247</v>
      </c>
      <c r="C5" s="25" t="s">
        <v>248</v>
      </c>
      <c r="F5" t="s">
        <v>249</v>
      </c>
      <c r="O5" t="s">
        <v>250</v>
      </c>
      <c r="P5" t="s">
        <v>251</v>
      </c>
      <c r="Q5" t="s">
        <v>252</v>
      </c>
      <c r="R5" t="s">
        <v>253</v>
      </c>
      <c r="S5" t="s">
        <v>254</v>
      </c>
    </row>
    <row r="6" spans="1:19" x14ac:dyDescent="0.25">
      <c r="A6" s="2" t="s">
        <v>255</v>
      </c>
      <c r="B6" s="2" t="s">
        <v>256</v>
      </c>
      <c r="C6" s="25" t="s">
        <v>257</v>
      </c>
      <c r="E6" s="28" t="s">
        <v>258</v>
      </c>
      <c r="F6" t="s">
        <v>259</v>
      </c>
      <c r="N6" t="s">
        <v>260</v>
      </c>
      <c r="O6" t="s">
        <v>122</v>
      </c>
      <c r="P6" t="s">
        <v>122</v>
      </c>
      <c r="R6" t="s">
        <v>122</v>
      </c>
    </row>
    <row r="7" spans="1:19" x14ac:dyDescent="0.25">
      <c r="B7" s="2" t="s">
        <v>261</v>
      </c>
      <c r="E7" s="28" t="s">
        <v>262</v>
      </c>
      <c r="F7" t="s">
        <v>263</v>
      </c>
      <c r="N7" t="s">
        <v>46</v>
      </c>
      <c r="P7" t="s">
        <v>122</v>
      </c>
    </row>
    <row r="8" spans="1:19" x14ac:dyDescent="0.25">
      <c r="A8" s="2" t="s">
        <v>264</v>
      </c>
      <c r="B8" s="2" t="s">
        <v>265</v>
      </c>
      <c r="C8" s="25" t="s">
        <v>266</v>
      </c>
      <c r="F8" t="s">
        <v>267</v>
      </c>
      <c r="I8" t="s">
        <v>268</v>
      </c>
      <c r="N8" t="s">
        <v>269</v>
      </c>
      <c r="P8" t="s">
        <v>122</v>
      </c>
    </row>
    <row r="9" spans="1:19" x14ac:dyDescent="0.25">
      <c r="A9" s="2" t="s">
        <v>270</v>
      </c>
      <c r="B9" s="2" t="s">
        <v>271</v>
      </c>
      <c r="C9" s="25" t="s">
        <v>272</v>
      </c>
      <c r="E9" s="28" t="s">
        <v>273</v>
      </c>
      <c r="F9" t="s">
        <v>267</v>
      </c>
      <c r="I9" t="s">
        <v>268</v>
      </c>
      <c r="N9" t="s">
        <v>274</v>
      </c>
      <c r="P9" t="s">
        <v>122</v>
      </c>
    </row>
    <row r="10" spans="1:19" x14ac:dyDescent="0.25">
      <c r="A10" s="2" t="s">
        <v>275</v>
      </c>
      <c r="B10" s="2" t="s">
        <v>276</v>
      </c>
      <c r="C10" s="25" t="s">
        <v>277</v>
      </c>
      <c r="F10" t="s">
        <v>278</v>
      </c>
      <c r="I10" t="s">
        <v>279</v>
      </c>
      <c r="J10" t="s">
        <v>280</v>
      </c>
      <c r="N10" t="s">
        <v>260</v>
      </c>
      <c r="O10" t="s">
        <v>122</v>
      </c>
      <c r="P10" t="s">
        <v>122</v>
      </c>
      <c r="R10" t="s">
        <v>122</v>
      </c>
    </row>
    <row r="11" spans="1:19" x14ac:dyDescent="0.25">
      <c r="A11" s="2" t="s">
        <v>281</v>
      </c>
      <c r="B11" s="2" t="s">
        <v>282</v>
      </c>
      <c r="C11" s="2"/>
      <c r="D11" s="376"/>
      <c r="E11" s="28" t="s">
        <v>283</v>
      </c>
      <c r="H11" s="25"/>
      <c r="I11" s="25"/>
      <c r="N11" t="s">
        <v>46</v>
      </c>
      <c r="P11" t="s">
        <v>122</v>
      </c>
    </row>
    <row r="12" spans="1:19" x14ac:dyDescent="0.25">
      <c r="N12" t="s">
        <v>269</v>
      </c>
      <c r="P12" t="s">
        <v>122</v>
      </c>
    </row>
    <row r="13" spans="1:19" x14ac:dyDescent="0.25">
      <c r="A13" s="2" t="s">
        <v>284</v>
      </c>
      <c r="B13" s="2" t="s">
        <v>285</v>
      </c>
      <c r="C13" s="25" t="s">
        <v>286</v>
      </c>
      <c r="E13" s="28" t="s">
        <v>287</v>
      </c>
      <c r="N13" t="s">
        <v>274</v>
      </c>
      <c r="P13" t="s">
        <v>122</v>
      </c>
    </row>
    <row r="14" spans="1:19" x14ac:dyDescent="0.25">
      <c r="A14" s="2" t="s">
        <v>288</v>
      </c>
      <c r="B14" s="2" t="s">
        <v>289</v>
      </c>
      <c r="E14" s="28" t="s">
        <v>290</v>
      </c>
      <c r="N14" t="s">
        <v>260</v>
      </c>
      <c r="S14" t="s">
        <v>122</v>
      </c>
    </row>
    <row r="15" spans="1:19" x14ac:dyDescent="0.25">
      <c r="C15" s="29"/>
      <c r="N15" t="s">
        <v>46</v>
      </c>
      <c r="S15" t="s">
        <v>122</v>
      </c>
    </row>
    <row r="16" spans="1:19" x14ac:dyDescent="0.25">
      <c r="A16" s="224"/>
      <c r="C16" s="29"/>
      <c r="N16" t="s">
        <v>269</v>
      </c>
      <c r="S16" t="s">
        <v>122</v>
      </c>
    </row>
    <row r="17" spans="1:19" x14ac:dyDescent="0.25">
      <c r="N17" t="s">
        <v>274</v>
      </c>
      <c r="S17" t="s">
        <v>122</v>
      </c>
    </row>
    <row r="18" spans="1:19" x14ac:dyDescent="0.25">
      <c r="A18" s="2" t="s">
        <v>291</v>
      </c>
      <c r="B18" s="2" t="s">
        <v>292</v>
      </c>
      <c r="E18" s="28"/>
    </row>
    <row r="19" spans="1:19" x14ac:dyDescent="0.25">
      <c r="B19" s="2" t="s">
        <v>293</v>
      </c>
      <c r="E19" s="28" t="s">
        <v>294</v>
      </c>
      <c r="F19" t="s">
        <v>295</v>
      </c>
    </row>
    <row r="20" spans="1:19" x14ac:dyDescent="0.25">
      <c r="A20" s="33" t="s">
        <v>296</v>
      </c>
      <c r="B20" s="2" t="s">
        <v>297</v>
      </c>
      <c r="D20" s="2" t="s">
        <v>298</v>
      </c>
      <c r="E20" s="28" t="s">
        <v>299</v>
      </c>
    </row>
    <row r="21" spans="1:19" x14ac:dyDescent="0.25">
      <c r="E21" s="28" t="s">
        <v>300</v>
      </c>
    </row>
    <row r="22" spans="1:19" x14ac:dyDescent="0.25">
      <c r="E22" s="28" t="s">
        <v>301</v>
      </c>
    </row>
    <row r="23" spans="1:19" x14ac:dyDescent="0.25">
      <c r="E23" s="28" t="s">
        <v>302</v>
      </c>
    </row>
    <row r="24" spans="1:19" x14ac:dyDescent="0.25">
      <c r="E24" s="28" t="s">
        <v>303</v>
      </c>
    </row>
    <row r="25" spans="1:19" x14ac:dyDescent="0.25">
      <c r="E25" s="28"/>
    </row>
    <row r="26" spans="1:19" x14ac:dyDescent="0.25">
      <c r="A26" s="2" t="s">
        <v>304</v>
      </c>
      <c r="B26" s="2" t="s">
        <v>305</v>
      </c>
      <c r="C26" s="25" t="s">
        <v>306</v>
      </c>
      <c r="E26" s="25" t="s">
        <v>307</v>
      </c>
    </row>
    <row r="27" spans="1:19" x14ac:dyDescent="0.25">
      <c r="A27" s="2" t="s">
        <v>241</v>
      </c>
      <c r="D27" s="2" t="s">
        <v>308</v>
      </c>
    </row>
    <row r="28" spans="1:19" x14ac:dyDescent="0.25">
      <c r="A28" s="2" t="s">
        <v>243</v>
      </c>
      <c r="D28" s="2" t="s">
        <v>309</v>
      </c>
    </row>
    <row r="30" spans="1:19" x14ac:dyDescent="0.25">
      <c r="A30" s="2" t="s">
        <v>310</v>
      </c>
      <c r="B30" s="34" t="s">
        <v>311</v>
      </c>
      <c r="C30" s="25" t="s">
        <v>312</v>
      </c>
      <c r="D30" s="2" t="s">
        <v>313</v>
      </c>
      <c r="E30" s="19" t="s">
        <v>314</v>
      </c>
    </row>
    <row r="31" spans="1:19" x14ac:dyDescent="0.25">
      <c r="A31" s="2" t="s">
        <v>315</v>
      </c>
      <c r="E31" s="25" t="s">
        <v>316</v>
      </c>
    </row>
    <row r="33" spans="1:6" x14ac:dyDescent="0.25">
      <c r="A33" s="2" t="s">
        <v>317</v>
      </c>
      <c r="B33" s="2" t="s">
        <v>318</v>
      </c>
      <c r="E33" s="28"/>
      <c r="F33" s="19"/>
    </row>
    <row r="34" spans="1:6" x14ac:dyDescent="0.25">
      <c r="A34" s="2" t="s">
        <v>319</v>
      </c>
      <c r="B34" s="2" t="s">
        <v>320</v>
      </c>
    </row>
    <row r="35" spans="1:6" x14ac:dyDescent="0.25">
      <c r="A35" s="2" t="s">
        <v>321</v>
      </c>
      <c r="B35" s="2">
        <v>1.1200000000000001</v>
      </c>
    </row>
    <row r="41" spans="1:6" x14ac:dyDescent="0.25">
      <c r="A41" s="25"/>
    </row>
  </sheetData>
  <hyperlinks>
    <hyperlink ref="E6" r:id="rId1" xr:uid="{8C83B00F-AC3F-4EEF-89E8-6B47BC3A3BB6}"/>
    <hyperlink ref="E7" r:id="rId2" xr:uid="{6C24B27F-AC8D-4444-9586-E4DF3637ED0E}"/>
    <hyperlink ref="E9" r:id="rId3" xr:uid="{0A0AD2FA-637A-4E14-A51A-A7A4A3383AD0}"/>
    <hyperlink ref="E14" r:id="rId4" xr:uid="{D3FA03CC-F7EB-4151-8F17-7DDF196E1CBC}"/>
    <hyperlink ref="E13" r:id="rId5" xr:uid="{45C5F4A4-880B-42C5-9318-425CF6267ECB}"/>
    <hyperlink ref="E30" r:id="rId6" xr:uid="{AB94FB7C-6245-45BD-AA6A-897D75AF05EE}"/>
    <hyperlink ref="E11" r:id="rId7" xr:uid="{F572C88F-C1CC-4FC3-BD8A-459FEB189139}"/>
    <hyperlink ref="E20" r:id="rId8" xr:uid="{0A8CB5EF-2F49-4B4F-8B3A-574BCFDC7353}"/>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23A59-49E8-4164-BF93-A006E514040E}">
  <sheetPr>
    <tabColor rgb="FFFF0000"/>
  </sheetPr>
  <dimension ref="A1:Q88"/>
  <sheetViews>
    <sheetView workbookViewId="0">
      <pane ySplit="3" topLeftCell="A28" activePane="bottomLeft" state="frozen"/>
      <selection pane="bottomLeft" activeCell="D49" sqref="D49"/>
    </sheetView>
  </sheetViews>
  <sheetFormatPr defaultRowHeight="15" x14ac:dyDescent="0.25"/>
  <cols>
    <col min="1" max="1" width="12.7109375" bestFit="1" customWidth="1"/>
    <col min="2" max="2" width="10.7109375" bestFit="1" customWidth="1"/>
    <col min="6" max="6" width="10.7109375" bestFit="1" customWidth="1"/>
    <col min="8" max="8" width="10.140625" bestFit="1" customWidth="1"/>
    <col min="10" max="10" width="10.7109375" bestFit="1" customWidth="1"/>
    <col min="14" max="14" width="9.7109375" bestFit="1" customWidth="1"/>
  </cols>
  <sheetData>
    <row r="1" spans="1:17" x14ac:dyDescent="0.25">
      <c r="A1" s="388" t="s">
        <v>322</v>
      </c>
      <c r="B1" s="388"/>
      <c r="C1" s="388"/>
      <c r="D1" s="388"/>
      <c r="E1" s="388" t="s">
        <v>323</v>
      </c>
      <c r="F1" s="388"/>
      <c r="G1" s="388"/>
      <c r="H1" s="388"/>
      <c r="J1" s="388" t="s">
        <v>324</v>
      </c>
      <c r="K1" s="388"/>
      <c r="L1" s="388"/>
      <c r="M1" s="388"/>
      <c r="N1" s="388" t="s">
        <v>325</v>
      </c>
      <c r="O1" s="388"/>
      <c r="P1" s="388"/>
      <c r="Q1" s="388"/>
    </row>
    <row r="3" spans="1:17" x14ac:dyDescent="0.25">
      <c r="A3" s="3" t="s">
        <v>326</v>
      </c>
      <c r="B3" s="3" t="s">
        <v>327</v>
      </c>
      <c r="C3" s="13" t="s">
        <v>328</v>
      </c>
      <c r="D3" s="3"/>
      <c r="E3" s="3"/>
      <c r="F3" s="3" t="s">
        <v>327</v>
      </c>
      <c r="G3" s="13" t="s">
        <v>329</v>
      </c>
      <c r="H3" s="3"/>
      <c r="J3" s="3" t="s">
        <v>327</v>
      </c>
      <c r="K3" s="13" t="s">
        <v>329</v>
      </c>
      <c r="L3" s="3"/>
      <c r="N3" s="3" t="s">
        <v>327</v>
      </c>
      <c r="O3" s="13" t="s">
        <v>329</v>
      </c>
      <c r="P3" s="3"/>
    </row>
    <row r="4" spans="1:17" x14ac:dyDescent="0.25">
      <c r="A4" s="2"/>
      <c r="C4" s="14"/>
      <c r="D4" s="14"/>
      <c r="E4" s="2"/>
      <c r="G4" s="14"/>
      <c r="H4" s="14"/>
      <c r="K4" s="14"/>
      <c r="L4" s="14"/>
      <c r="O4" s="14"/>
      <c r="P4" s="14"/>
    </row>
    <row r="5" spans="1:17" x14ac:dyDescent="0.25">
      <c r="A5" s="2" t="s">
        <v>330</v>
      </c>
      <c r="B5" s="12">
        <v>44482</v>
      </c>
      <c r="C5" s="14">
        <v>114.72</v>
      </c>
      <c r="D5" s="14"/>
      <c r="E5" s="2"/>
      <c r="F5" s="12">
        <v>44405</v>
      </c>
      <c r="G5" s="14">
        <v>724.38</v>
      </c>
      <c r="H5" s="14"/>
      <c r="J5" s="12">
        <v>44565</v>
      </c>
      <c r="K5" s="14">
        <v>149.79</v>
      </c>
      <c r="L5" s="14"/>
      <c r="N5" s="12" t="s">
        <v>178</v>
      </c>
      <c r="O5" s="14"/>
      <c r="P5" s="14"/>
    </row>
    <row r="6" spans="1:17" x14ac:dyDescent="0.25">
      <c r="A6" s="2"/>
      <c r="B6" s="12">
        <f>+B5+30</f>
        <v>44512</v>
      </c>
      <c r="C6" s="14">
        <v>30.06</v>
      </c>
      <c r="D6" s="14"/>
      <c r="E6" s="2"/>
      <c r="F6" s="12">
        <v>44440</v>
      </c>
      <c r="G6" s="14">
        <v>748.17</v>
      </c>
      <c r="H6" s="14"/>
      <c r="J6" s="12">
        <v>44599</v>
      </c>
      <c r="K6" s="14">
        <v>149.79</v>
      </c>
      <c r="L6" s="14"/>
      <c r="N6" s="12"/>
      <c r="O6" s="14"/>
      <c r="P6" s="14"/>
    </row>
    <row r="7" spans="1:17" x14ac:dyDescent="0.25">
      <c r="A7" s="2"/>
      <c r="B7" s="12">
        <v>44571</v>
      </c>
      <c r="C7" s="14">
        <v>30.21</v>
      </c>
      <c r="D7" s="14"/>
      <c r="E7" s="2"/>
      <c r="F7" s="12">
        <v>44461</v>
      </c>
      <c r="G7" s="14">
        <v>748.17</v>
      </c>
      <c r="H7" s="14"/>
      <c r="J7" s="12">
        <v>44627</v>
      </c>
      <c r="K7" s="14">
        <v>149.79</v>
      </c>
      <c r="L7" s="14"/>
      <c r="N7" s="12"/>
      <c r="O7" s="14"/>
      <c r="P7" s="14"/>
    </row>
    <row r="8" spans="1:17" x14ac:dyDescent="0.25">
      <c r="A8" s="2"/>
      <c r="B8" s="12">
        <f t="shared" ref="B8:B26" si="0">+B7+30</f>
        <v>44601</v>
      </c>
      <c r="C8" s="14">
        <v>30.21</v>
      </c>
      <c r="D8" s="14"/>
      <c r="E8" s="2"/>
      <c r="F8" s="12">
        <v>44504</v>
      </c>
      <c r="G8" s="14">
        <v>748.17</v>
      </c>
      <c r="H8" s="14"/>
      <c r="J8" s="12">
        <v>44656</v>
      </c>
      <c r="K8" s="14">
        <v>149.79</v>
      </c>
      <c r="L8" s="14"/>
      <c r="N8" s="12"/>
      <c r="O8" s="14"/>
      <c r="P8" s="14"/>
    </row>
    <row r="9" spans="1:17" x14ac:dyDescent="0.25">
      <c r="A9" s="2"/>
      <c r="B9" s="12">
        <f t="shared" si="0"/>
        <v>44631</v>
      </c>
      <c r="C9" s="14">
        <v>30.39</v>
      </c>
      <c r="D9" s="14"/>
      <c r="E9" s="2"/>
      <c r="F9" s="12">
        <v>44524</v>
      </c>
      <c r="G9" s="14">
        <v>748.17</v>
      </c>
      <c r="H9" s="14"/>
      <c r="J9" s="12">
        <f t="shared" ref="J9:J21" si="1">+J8+30</f>
        <v>44686</v>
      </c>
      <c r="K9" s="14">
        <v>149.79</v>
      </c>
      <c r="L9" s="14"/>
      <c r="N9" s="12"/>
      <c r="O9" s="14"/>
      <c r="P9" s="14"/>
    </row>
    <row r="10" spans="1:17" x14ac:dyDescent="0.25">
      <c r="A10" s="2"/>
      <c r="B10" s="12">
        <v>44648</v>
      </c>
      <c r="C10" s="14">
        <v>30.31</v>
      </c>
      <c r="D10" s="14"/>
      <c r="E10" s="2"/>
      <c r="F10" s="12">
        <v>44546</v>
      </c>
      <c r="G10" s="14">
        <v>748.17</v>
      </c>
      <c r="H10" s="14"/>
      <c r="J10" s="12">
        <v>44713</v>
      </c>
      <c r="K10" s="14">
        <v>149.79</v>
      </c>
      <c r="L10" s="14"/>
      <c r="N10" s="12"/>
      <c r="O10" s="14"/>
      <c r="P10" s="14"/>
    </row>
    <row r="11" spans="1:17" x14ac:dyDescent="0.25">
      <c r="A11" s="2"/>
      <c r="B11" s="12">
        <v>44712</v>
      </c>
      <c r="C11" s="14">
        <v>60.81</v>
      </c>
      <c r="D11" s="14"/>
      <c r="E11" s="2"/>
      <c r="F11" s="12">
        <v>44573</v>
      </c>
      <c r="G11" s="14">
        <v>748.17</v>
      </c>
      <c r="H11" s="14"/>
      <c r="J11" s="12">
        <f t="shared" si="1"/>
        <v>44743</v>
      </c>
      <c r="K11" s="14">
        <v>149.79</v>
      </c>
      <c r="L11" s="14"/>
      <c r="N11" s="12"/>
      <c r="O11" s="14"/>
      <c r="P11" s="14"/>
    </row>
    <row r="12" spans="1:17" x14ac:dyDescent="0.25">
      <c r="A12" s="2"/>
      <c r="B12" s="12">
        <v>44740</v>
      </c>
      <c r="C12" s="14">
        <v>30.39</v>
      </c>
      <c r="D12" s="14"/>
      <c r="E12" s="2"/>
      <c r="F12" s="12">
        <v>44588</v>
      </c>
      <c r="G12" s="14">
        <v>748.17</v>
      </c>
      <c r="H12" s="14"/>
      <c r="J12" s="12">
        <f t="shared" si="1"/>
        <v>44773</v>
      </c>
      <c r="K12" s="14">
        <v>149.79</v>
      </c>
      <c r="L12" s="14"/>
      <c r="N12" s="12"/>
      <c r="O12" s="14"/>
      <c r="P12" s="14"/>
    </row>
    <row r="13" spans="1:17" x14ac:dyDescent="0.25">
      <c r="A13" s="2"/>
      <c r="B13" s="12">
        <v>44776</v>
      </c>
      <c r="C13" s="14">
        <v>30.39</v>
      </c>
      <c r="D13" s="14"/>
      <c r="E13" s="2"/>
      <c r="F13" s="12">
        <v>44648</v>
      </c>
      <c r="G13" s="14">
        <v>748.17</v>
      </c>
      <c r="H13" s="14"/>
      <c r="J13" s="12">
        <v>44809</v>
      </c>
      <c r="K13" s="14">
        <v>149.79</v>
      </c>
      <c r="L13" s="14"/>
      <c r="N13" s="12"/>
      <c r="O13" s="14"/>
      <c r="P13" s="14"/>
    </row>
    <row r="14" spans="1:17" x14ac:dyDescent="0.25">
      <c r="A14" s="2"/>
      <c r="B14" s="12">
        <v>45041</v>
      </c>
      <c r="C14" s="14">
        <v>33.24</v>
      </c>
      <c r="D14" s="14"/>
      <c r="E14" s="2"/>
      <c r="F14" s="12">
        <v>44649</v>
      </c>
      <c r="G14" s="14">
        <v>748.17</v>
      </c>
      <c r="H14" s="14"/>
      <c r="J14" s="12">
        <f t="shared" si="1"/>
        <v>44839</v>
      </c>
      <c r="K14" s="14">
        <v>149.79</v>
      </c>
      <c r="L14" s="14"/>
      <c r="N14" s="12"/>
      <c r="O14" s="14"/>
      <c r="P14" s="14"/>
    </row>
    <row r="15" spans="1:17" x14ac:dyDescent="0.25">
      <c r="A15" s="2"/>
      <c r="B15" s="12">
        <v>45083</v>
      </c>
      <c r="C15" s="14">
        <v>30.61</v>
      </c>
      <c r="D15" s="14"/>
      <c r="E15" s="2"/>
      <c r="F15" s="12">
        <f t="shared" ref="F15:F17" si="2">+F16-30</f>
        <v>44667</v>
      </c>
      <c r="G15" s="14">
        <v>749.94</v>
      </c>
      <c r="H15" s="14"/>
      <c r="J15" s="12">
        <f t="shared" si="1"/>
        <v>44869</v>
      </c>
      <c r="K15" s="14">
        <v>149.79</v>
      </c>
      <c r="L15" s="14"/>
      <c r="N15" s="12"/>
      <c r="O15" s="14"/>
      <c r="P15" s="14"/>
    </row>
    <row r="16" spans="1:17" x14ac:dyDescent="0.25">
      <c r="A16" s="2"/>
      <c r="B16" s="12">
        <v>45135</v>
      </c>
      <c r="C16" s="14">
        <v>7.74</v>
      </c>
      <c r="D16" s="14"/>
      <c r="E16" s="2"/>
      <c r="F16" s="12">
        <v>44697</v>
      </c>
      <c r="G16" s="14">
        <v>749.94</v>
      </c>
      <c r="H16" s="14"/>
      <c r="J16" s="12">
        <f t="shared" si="1"/>
        <v>44899</v>
      </c>
      <c r="K16" s="14">
        <v>149.79</v>
      </c>
      <c r="L16" s="14"/>
      <c r="N16" s="12"/>
      <c r="O16" s="14"/>
      <c r="P16" s="14"/>
    </row>
    <row r="17" spans="1:16" x14ac:dyDescent="0.25">
      <c r="A17" s="2"/>
      <c r="B17" s="12">
        <v>45166</v>
      </c>
      <c r="C17" s="14">
        <v>25.86</v>
      </c>
      <c r="D17" s="14"/>
      <c r="E17" s="2"/>
      <c r="F17" s="12">
        <f t="shared" si="2"/>
        <v>44745</v>
      </c>
      <c r="G17" s="14">
        <v>748.17</v>
      </c>
      <c r="H17" s="14"/>
      <c r="J17" s="12">
        <f t="shared" si="1"/>
        <v>44929</v>
      </c>
      <c r="K17" s="14">
        <v>149.79</v>
      </c>
      <c r="L17" s="14"/>
      <c r="N17" s="12"/>
      <c r="O17" s="14"/>
      <c r="P17" s="14"/>
    </row>
    <row r="18" spans="1:16" x14ac:dyDescent="0.25">
      <c r="A18" s="2"/>
      <c r="B18" s="12">
        <v>45195</v>
      </c>
      <c r="C18" s="14">
        <v>31.48</v>
      </c>
      <c r="D18" s="14"/>
      <c r="E18" s="2"/>
      <c r="F18" s="12">
        <f>+F19-30</f>
        <v>44775</v>
      </c>
      <c r="G18" s="14">
        <v>748.17</v>
      </c>
      <c r="H18" s="14"/>
      <c r="J18" s="12">
        <f t="shared" si="1"/>
        <v>44959</v>
      </c>
      <c r="K18" s="14">
        <v>149.79</v>
      </c>
      <c r="L18" s="14"/>
      <c r="N18" s="12"/>
      <c r="O18" s="14"/>
      <c r="P18" s="14"/>
    </row>
    <row r="19" spans="1:16" x14ac:dyDescent="0.25">
      <c r="A19" s="2"/>
      <c r="B19" s="12">
        <f t="shared" si="0"/>
        <v>45225</v>
      </c>
      <c r="C19" s="14">
        <v>32.119999999999997</v>
      </c>
      <c r="D19" s="14"/>
      <c r="E19" s="2"/>
      <c r="F19" s="12">
        <v>44805</v>
      </c>
      <c r="G19" s="14">
        <v>748.17</v>
      </c>
      <c r="H19" s="14"/>
      <c r="J19" s="12">
        <f t="shared" si="1"/>
        <v>44989</v>
      </c>
      <c r="K19" s="14">
        <v>149.79</v>
      </c>
      <c r="L19" s="14"/>
      <c r="N19" s="12"/>
      <c r="O19" s="14"/>
      <c r="P19" s="14"/>
    </row>
    <row r="20" spans="1:16" x14ac:dyDescent="0.25">
      <c r="A20" s="2"/>
      <c r="B20" s="12">
        <v>45329</v>
      </c>
      <c r="C20" s="14">
        <v>18.739999999999998</v>
      </c>
      <c r="D20" s="14"/>
      <c r="E20" s="2"/>
      <c r="F20" s="12">
        <f>+F5+30</f>
        <v>44435</v>
      </c>
      <c r="G20" s="14">
        <v>751.63</v>
      </c>
      <c r="H20" s="14"/>
      <c r="J20" s="12">
        <f t="shared" si="1"/>
        <v>45019</v>
      </c>
      <c r="K20" s="14">
        <v>149.79</v>
      </c>
      <c r="L20" s="14"/>
      <c r="N20" s="12"/>
      <c r="O20" s="14"/>
      <c r="P20" s="14"/>
    </row>
    <row r="21" spans="1:16" x14ac:dyDescent="0.25">
      <c r="A21" s="2"/>
      <c r="B21" s="12">
        <v>45364</v>
      </c>
      <c r="C21" s="14">
        <v>32.340000000000003</v>
      </c>
      <c r="D21" s="14"/>
      <c r="E21" s="2"/>
      <c r="F21" s="12">
        <f t="shared" ref="F21:F84" si="3">+F20+30</f>
        <v>44465</v>
      </c>
      <c r="G21" s="14">
        <f t="shared" ref="G21:G39" si="4">+G20</f>
        <v>751.63</v>
      </c>
      <c r="H21" s="14"/>
      <c r="J21" s="12">
        <f t="shared" si="1"/>
        <v>45049</v>
      </c>
      <c r="K21" s="14">
        <v>149.79</v>
      </c>
      <c r="L21" s="14"/>
      <c r="N21" s="12"/>
      <c r="O21" s="14"/>
      <c r="P21" s="14"/>
    </row>
    <row r="22" spans="1:16" x14ac:dyDescent="0.25">
      <c r="A22" s="2"/>
      <c r="B22" s="12">
        <v>45379</v>
      </c>
      <c r="C22" s="14">
        <v>32.340000000000003</v>
      </c>
      <c r="D22" s="14"/>
      <c r="E22" s="2"/>
      <c r="F22" s="12">
        <v>44896</v>
      </c>
      <c r="G22" s="14">
        <f t="shared" si="4"/>
        <v>751.63</v>
      </c>
      <c r="H22" s="14"/>
      <c r="J22" s="12">
        <v>45078</v>
      </c>
      <c r="K22" s="14">
        <v>149.79</v>
      </c>
      <c r="L22" s="14"/>
      <c r="N22" s="12"/>
      <c r="O22" s="14"/>
      <c r="P22" s="14"/>
    </row>
    <row r="23" spans="1:16" x14ac:dyDescent="0.25">
      <c r="A23" s="2"/>
      <c r="B23" s="12">
        <v>45400</v>
      </c>
      <c r="C23" s="14">
        <v>32.340000000000003</v>
      </c>
      <c r="D23" s="14"/>
      <c r="E23" s="2"/>
      <c r="F23" s="12">
        <v>44927</v>
      </c>
      <c r="G23" s="14">
        <f t="shared" si="4"/>
        <v>751.63</v>
      </c>
      <c r="H23" s="14"/>
      <c r="J23" s="12">
        <v>45117</v>
      </c>
      <c r="K23" s="14">
        <v>222.97</v>
      </c>
      <c r="L23" s="14"/>
      <c r="N23" s="12"/>
      <c r="O23" s="14"/>
      <c r="P23" s="14"/>
    </row>
    <row r="24" spans="1:16" x14ac:dyDescent="0.25">
      <c r="A24" s="2"/>
      <c r="B24" s="12">
        <v>45433</v>
      </c>
      <c r="C24" s="14">
        <v>32.340000000000003</v>
      </c>
      <c r="D24" s="14"/>
      <c r="E24" s="2"/>
      <c r="F24" s="12">
        <f t="shared" si="3"/>
        <v>44957</v>
      </c>
      <c r="G24" s="14">
        <f t="shared" si="4"/>
        <v>751.63</v>
      </c>
      <c r="H24" s="14"/>
      <c r="J24" s="12">
        <v>45142</v>
      </c>
      <c r="K24" s="14">
        <v>222.97</v>
      </c>
      <c r="L24" s="14"/>
      <c r="N24" s="12"/>
      <c r="O24" s="14"/>
      <c r="P24" s="14"/>
    </row>
    <row r="25" spans="1:16" x14ac:dyDescent="0.25">
      <c r="A25" s="2"/>
      <c r="B25" s="12">
        <v>45462</v>
      </c>
      <c r="C25" s="14">
        <v>32.340000000000003</v>
      </c>
      <c r="D25" s="14"/>
      <c r="E25" s="2"/>
      <c r="F25" s="12">
        <f t="shared" si="3"/>
        <v>44987</v>
      </c>
      <c r="G25" s="14">
        <f t="shared" si="4"/>
        <v>751.63</v>
      </c>
      <c r="J25" s="12">
        <v>45182</v>
      </c>
      <c r="K25" s="14">
        <v>222.97</v>
      </c>
      <c r="N25" s="12"/>
      <c r="O25" s="14"/>
    </row>
    <row r="26" spans="1:16" x14ac:dyDescent="0.25">
      <c r="A26" s="2"/>
      <c r="B26" s="12">
        <f t="shared" si="0"/>
        <v>45492</v>
      </c>
      <c r="C26" s="14">
        <v>32.340000000000003</v>
      </c>
      <c r="D26" s="14"/>
      <c r="E26" s="2"/>
      <c r="F26" s="12">
        <f t="shared" si="3"/>
        <v>45017</v>
      </c>
      <c r="G26" s="14">
        <f t="shared" si="4"/>
        <v>751.63</v>
      </c>
      <c r="J26" s="12">
        <v>45202</v>
      </c>
      <c r="K26" s="14">
        <v>222.97</v>
      </c>
      <c r="N26" s="12"/>
      <c r="O26" s="14"/>
    </row>
    <row r="27" spans="1:16" x14ac:dyDescent="0.25">
      <c r="A27" s="2"/>
      <c r="B27" s="12">
        <v>45524</v>
      </c>
      <c r="C27" s="14">
        <v>-115.05</v>
      </c>
      <c r="D27" s="14"/>
      <c r="E27" s="2"/>
      <c r="F27" s="12">
        <v>45019</v>
      </c>
      <c r="G27" s="14">
        <f t="shared" si="4"/>
        <v>751.63</v>
      </c>
      <c r="J27" s="12">
        <v>45231</v>
      </c>
      <c r="K27" s="14">
        <v>222.97</v>
      </c>
      <c r="O27" s="14"/>
    </row>
    <row r="28" spans="1:16" x14ac:dyDescent="0.25">
      <c r="A28" s="2"/>
      <c r="B28" s="12">
        <v>45554</v>
      </c>
      <c r="C28" s="14">
        <v>-115.05</v>
      </c>
      <c r="D28" s="14"/>
      <c r="E28" s="2"/>
      <c r="F28" s="12">
        <f t="shared" si="3"/>
        <v>45049</v>
      </c>
      <c r="G28" s="14">
        <f t="shared" si="4"/>
        <v>751.63</v>
      </c>
      <c r="J28" s="12">
        <f>+J27+30</f>
        <v>45261</v>
      </c>
      <c r="K28" s="14">
        <v>222.97</v>
      </c>
      <c r="O28" s="14"/>
    </row>
    <row r="29" spans="1:16" x14ac:dyDescent="0.25">
      <c r="A29" s="2"/>
      <c r="B29" s="12">
        <v>45586</v>
      </c>
      <c r="C29" s="14">
        <v>-82.71</v>
      </c>
      <c r="E29" s="2"/>
      <c r="F29" s="12">
        <f t="shared" si="3"/>
        <v>45079</v>
      </c>
      <c r="G29" s="14">
        <f t="shared" si="4"/>
        <v>751.63</v>
      </c>
      <c r="J29" s="12">
        <v>45292</v>
      </c>
      <c r="K29" s="14">
        <v>222.97</v>
      </c>
      <c r="O29" s="14"/>
    </row>
    <row r="30" spans="1:16" x14ac:dyDescent="0.25">
      <c r="A30" s="2"/>
      <c r="B30" s="12">
        <v>45615</v>
      </c>
      <c r="C30" s="14">
        <v>-50.37</v>
      </c>
      <c r="E30" s="2"/>
      <c r="F30" s="12">
        <f t="shared" si="3"/>
        <v>45109</v>
      </c>
      <c r="G30" s="14">
        <f t="shared" si="4"/>
        <v>751.63</v>
      </c>
      <c r="J30" s="12">
        <v>45323</v>
      </c>
      <c r="K30" s="14">
        <v>182.76</v>
      </c>
      <c r="O30" s="14"/>
    </row>
    <row r="31" spans="1:16" x14ac:dyDescent="0.25">
      <c r="A31" s="2"/>
      <c r="B31" s="12">
        <v>45644</v>
      </c>
      <c r="C31" s="14">
        <v>-17.05</v>
      </c>
      <c r="E31" s="2"/>
      <c r="F31" s="12">
        <f t="shared" si="3"/>
        <v>45139</v>
      </c>
      <c r="G31" s="14">
        <f t="shared" si="4"/>
        <v>751.63</v>
      </c>
      <c r="J31" s="12">
        <f t="shared" ref="J31:J33" si="5">+J30+30</f>
        <v>45353</v>
      </c>
      <c r="K31" s="14">
        <v>182.76</v>
      </c>
      <c r="O31" s="14"/>
    </row>
    <row r="32" spans="1:16" x14ac:dyDescent="0.25">
      <c r="A32" s="2"/>
      <c r="B32" s="12">
        <v>45678</v>
      </c>
      <c r="C32" s="14">
        <v>16.39</v>
      </c>
      <c r="E32" s="2"/>
      <c r="F32" s="12">
        <f t="shared" si="3"/>
        <v>45169</v>
      </c>
      <c r="G32" s="14">
        <f t="shared" si="4"/>
        <v>751.63</v>
      </c>
      <c r="J32" s="12">
        <f t="shared" si="5"/>
        <v>45383</v>
      </c>
      <c r="K32" s="14">
        <v>182.76</v>
      </c>
      <c r="O32" s="14"/>
    </row>
    <row r="33" spans="1:15" x14ac:dyDescent="0.25">
      <c r="A33" s="2"/>
      <c r="B33" s="12">
        <v>45708</v>
      </c>
      <c r="C33" s="14">
        <v>-69.17</v>
      </c>
      <c r="E33" s="2"/>
      <c r="F33" s="12">
        <f t="shared" si="3"/>
        <v>45199</v>
      </c>
      <c r="G33" s="14">
        <f t="shared" si="4"/>
        <v>751.63</v>
      </c>
      <c r="J33" s="12">
        <f t="shared" si="5"/>
        <v>45413</v>
      </c>
      <c r="K33" s="14">
        <v>182.76</v>
      </c>
      <c r="O33" s="14"/>
    </row>
    <row r="34" spans="1:15" x14ac:dyDescent="0.25">
      <c r="A34" s="2"/>
      <c r="B34" s="12">
        <v>45736</v>
      </c>
      <c r="C34" s="14">
        <v>-36.46</v>
      </c>
      <c r="E34" s="2"/>
      <c r="F34" s="12">
        <f t="shared" si="3"/>
        <v>45229</v>
      </c>
      <c r="G34" s="14">
        <f t="shared" si="4"/>
        <v>751.63</v>
      </c>
      <c r="K34" s="14">
        <v>182.76</v>
      </c>
      <c r="O34" s="14"/>
    </row>
    <row r="35" spans="1:15" x14ac:dyDescent="0.25">
      <c r="A35" s="2"/>
      <c r="B35" s="12">
        <v>45768</v>
      </c>
      <c r="C35" s="14">
        <v>-3.75</v>
      </c>
      <c r="E35" s="2"/>
      <c r="F35" s="12">
        <f t="shared" si="3"/>
        <v>45259</v>
      </c>
      <c r="G35" s="14">
        <f t="shared" si="4"/>
        <v>751.63</v>
      </c>
      <c r="K35" s="14"/>
      <c r="O35" s="14"/>
    </row>
    <row r="36" spans="1:15" x14ac:dyDescent="0.25">
      <c r="A36" s="2"/>
      <c r="B36" s="12">
        <v>45797</v>
      </c>
      <c r="C36" s="14">
        <v>28.96</v>
      </c>
      <c r="E36" s="2"/>
      <c r="F36" s="12">
        <v>45292</v>
      </c>
      <c r="G36" s="14">
        <f t="shared" si="4"/>
        <v>751.63</v>
      </c>
      <c r="K36" s="14"/>
      <c r="O36" s="14"/>
    </row>
    <row r="37" spans="1:15" x14ac:dyDescent="0.25">
      <c r="A37" s="2"/>
      <c r="B37" s="12">
        <v>45827</v>
      </c>
      <c r="C37" s="14">
        <v>33.29</v>
      </c>
      <c r="E37" s="2"/>
      <c r="F37" s="12">
        <f t="shared" si="3"/>
        <v>45322</v>
      </c>
      <c r="G37" s="14">
        <f t="shared" si="4"/>
        <v>751.63</v>
      </c>
      <c r="K37" s="14"/>
      <c r="O37" s="14"/>
    </row>
    <row r="38" spans="1:15" x14ac:dyDescent="0.25">
      <c r="A38" s="2"/>
      <c r="B38" s="12">
        <v>45859</v>
      </c>
      <c r="C38" s="14">
        <v>32.71</v>
      </c>
      <c r="E38" s="2"/>
      <c r="F38" s="12">
        <f t="shared" si="3"/>
        <v>45352</v>
      </c>
      <c r="G38" s="14">
        <f t="shared" si="4"/>
        <v>751.63</v>
      </c>
      <c r="K38" s="14"/>
      <c r="O38" s="14"/>
    </row>
    <row r="39" spans="1:15" x14ac:dyDescent="0.25">
      <c r="A39" s="2"/>
      <c r="B39" s="12">
        <v>45889</v>
      </c>
      <c r="C39" s="14">
        <v>32.71</v>
      </c>
      <c r="E39" s="2"/>
      <c r="F39" s="12">
        <f t="shared" si="3"/>
        <v>45382</v>
      </c>
      <c r="G39" s="14">
        <f t="shared" si="4"/>
        <v>751.63</v>
      </c>
      <c r="K39" s="14"/>
      <c r="O39" s="14"/>
    </row>
    <row r="40" spans="1:15" x14ac:dyDescent="0.25">
      <c r="A40" s="2"/>
      <c r="B40" s="12">
        <v>45919</v>
      </c>
      <c r="C40" s="14">
        <v>32.71</v>
      </c>
      <c r="E40" s="2"/>
      <c r="F40" s="12">
        <f t="shared" si="3"/>
        <v>45412</v>
      </c>
      <c r="G40" s="14">
        <f>+G39</f>
        <v>751.63</v>
      </c>
      <c r="K40" s="14"/>
      <c r="O40" s="14"/>
    </row>
    <row r="41" spans="1:15" x14ac:dyDescent="0.25">
      <c r="A41" s="2"/>
      <c r="B41" s="12">
        <v>45951</v>
      </c>
      <c r="C41" s="14">
        <v>32.71</v>
      </c>
      <c r="E41" s="2"/>
      <c r="F41" s="12">
        <f t="shared" si="3"/>
        <v>45442</v>
      </c>
      <c r="G41" s="14">
        <f t="shared" ref="G41:G86" si="6">+G40</f>
        <v>751.63</v>
      </c>
      <c r="K41" s="14"/>
      <c r="O41" s="14"/>
    </row>
    <row r="42" spans="1:15" x14ac:dyDescent="0.25">
      <c r="A42" s="2"/>
      <c r="B42" s="12">
        <v>45980</v>
      </c>
      <c r="C42" s="14">
        <v>32.71</v>
      </c>
      <c r="E42" s="2"/>
      <c r="F42" s="12">
        <f t="shared" si="3"/>
        <v>45472</v>
      </c>
      <c r="G42" s="14">
        <v>782.96</v>
      </c>
      <c r="K42" s="14"/>
      <c r="O42" s="14"/>
    </row>
    <row r="43" spans="1:15" x14ac:dyDescent="0.25">
      <c r="A43" s="2"/>
      <c r="B43" s="12">
        <v>46009</v>
      </c>
      <c r="C43" s="14">
        <v>33.75</v>
      </c>
      <c r="E43" s="2"/>
      <c r="F43" s="12">
        <f t="shared" si="3"/>
        <v>45502</v>
      </c>
      <c r="G43" s="14">
        <f t="shared" si="6"/>
        <v>782.96</v>
      </c>
      <c r="K43" s="14"/>
      <c r="O43" s="14"/>
    </row>
    <row r="44" spans="1:15" x14ac:dyDescent="0.25">
      <c r="A44" s="2"/>
      <c r="B44" s="12">
        <v>46043</v>
      </c>
      <c r="C44" s="14">
        <v>35.1</v>
      </c>
      <c r="E44" s="2"/>
      <c r="F44" s="12">
        <f t="shared" si="3"/>
        <v>45532</v>
      </c>
      <c r="G44" s="14">
        <f t="shared" si="6"/>
        <v>782.96</v>
      </c>
      <c r="K44" s="14"/>
      <c r="O44" s="14"/>
    </row>
    <row r="45" spans="1:15" x14ac:dyDescent="0.25">
      <c r="A45" s="2"/>
      <c r="B45" s="12">
        <v>46071</v>
      </c>
      <c r="C45" s="14">
        <v>35.520000000000003</v>
      </c>
      <c r="E45" s="2"/>
      <c r="F45" s="12">
        <f t="shared" si="3"/>
        <v>45562</v>
      </c>
      <c r="G45" s="14">
        <f t="shared" si="6"/>
        <v>782.96</v>
      </c>
      <c r="K45" s="14"/>
      <c r="O45" s="14"/>
    </row>
    <row r="46" spans="1:15" x14ac:dyDescent="0.25">
      <c r="A46" s="2"/>
      <c r="B46" s="12">
        <v>46100</v>
      </c>
      <c r="C46" s="14">
        <v>35.520000000000003</v>
      </c>
      <c r="E46" s="2"/>
      <c r="F46" s="12">
        <f t="shared" si="3"/>
        <v>45592</v>
      </c>
      <c r="G46" s="14">
        <f t="shared" si="6"/>
        <v>782.96</v>
      </c>
      <c r="K46" s="14"/>
      <c r="O46" s="14"/>
    </row>
    <row r="47" spans="1:15" x14ac:dyDescent="0.25">
      <c r="A47" s="2"/>
      <c r="B47" s="12">
        <v>46133</v>
      </c>
      <c r="C47" s="14">
        <v>35.520000000000003</v>
      </c>
      <c r="E47" s="2"/>
      <c r="F47" s="12">
        <f t="shared" si="3"/>
        <v>45622</v>
      </c>
      <c r="G47" s="14">
        <f t="shared" si="6"/>
        <v>782.96</v>
      </c>
      <c r="K47" s="14"/>
      <c r="O47" s="14"/>
    </row>
    <row r="48" spans="1:15" x14ac:dyDescent="0.25">
      <c r="A48" s="2"/>
      <c r="B48" s="12">
        <v>46161</v>
      </c>
      <c r="C48" s="14">
        <v>35.520000000000003</v>
      </c>
      <c r="E48" s="2"/>
      <c r="F48" s="12">
        <v>45657</v>
      </c>
      <c r="G48" s="14">
        <v>966.22</v>
      </c>
      <c r="K48" s="14"/>
      <c r="O48" s="14"/>
    </row>
    <row r="49" spans="1:15" x14ac:dyDescent="0.25">
      <c r="A49" s="2"/>
      <c r="B49" s="12">
        <v>46191</v>
      </c>
      <c r="C49" s="14">
        <v>35.520000000000003</v>
      </c>
      <c r="E49" s="2"/>
      <c r="F49" s="12">
        <f t="shared" si="3"/>
        <v>45687</v>
      </c>
      <c r="G49" s="14">
        <f t="shared" si="6"/>
        <v>966.22</v>
      </c>
      <c r="K49" s="14"/>
      <c r="O49" s="14"/>
    </row>
    <row r="50" spans="1:15" x14ac:dyDescent="0.25">
      <c r="A50" s="2"/>
      <c r="C50" s="14"/>
      <c r="E50" s="2"/>
      <c r="F50" s="12">
        <f t="shared" si="3"/>
        <v>45717</v>
      </c>
      <c r="G50" s="14">
        <f t="shared" si="6"/>
        <v>966.22</v>
      </c>
      <c r="K50" s="14"/>
      <c r="O50" s="14"/>
    </row>
    <row r="51" spans="1:15" x14ac:dyDescent="0.25">
      <c r="A51" s="2"/>
      <c r="C51" s="14"/>
      <c r="E51" s="2"/>
      <c r="F51" s="12">
        <f t="shared" si="3"/>
        <v>45747</v>
      </c>
      <c r="G51" s="14">
        <f t="shared" si="6"/>
        <v>966.22</v>
      </c>
      <c r="K51" s="14"/>
      <c r="O51" s="14"/>
    </row>
    <row r="52" spans="1:15" x14ac:dyDescent="0.25">
      <c r="A52" s="2"/>
      <c r="C52" s="14"/>
      <c r="E52" s="2"/>
      <c r="F52" s="12">
        <f t="shared" si="3"/>
        <v>45777</v>
      </c>
      <c r="G52" s="14">
        <f t="shared" si="6"/>
        <v>966.22</v>
      </c>
      <c r="K52" s="14"/>
      <c r="O52" s="14"/>
    </row>
    <row r="53" spans="1:15" x14ac:dyDescent="0.25">
      <c r="A53" s="2"/>
      <c r="C53" s="14"/>
      <c r="E53" s="2"/>
      <c r="F53" s="12">
        <f t="shared" si="3"/>
        <v>45807</v>
      </c>
      <c r="G53" s="14">
        <f t="shared" si="6"/>
        <v>966.22</v>
      </c>
      <c r="K53" s="14"/>
      <c r="O53" s="14"/>
    </row>
    <row r="54" spans="1:15" x14ac:dyDescent="0.25">
      <c r="A54" s="2"/>
      <c r="C54" s="14"/>
      <c r="E54" s="2"/>
      <c r="F54" s="12">
        <f t="shared" si="3"/>
        <v>45837</v>
      </c>
      <c r="G54" s="14">
        <f t="shared" si="6"/>
        <v>966.22</v>
      </c>
      <c r="K54" s="14"/>
      <c r="O54" s="14"/>
    </row>
    <row r="55" spans="1:15" x14ac:dyDescent="0.25">
      <c r="A55" s="2"/>
      <c r="C55" s="14"/>
      <c r="E55" s="2"/>
      <c r="F55" s="12">
        <f t="shared" si="3"/>
        <v>45867</v>
      </c>
      <c r="G55" s="14">
        <f t="shared" si="6"/>
        <v>966.22</v>
      </c>
      <c r="K55" s="14"/>
      <c r="O55" s="14"/>
    </row>
    <row r="56" spans="1:15" x14ac:dyDescent="0.25">
      <c r="A56" s="2"/>
      <c r="C56" s="14"/>
      <c r="E56" s="2"/>
      <c r="F56" s="12">
        <f t="shared" si="3"/>
        <v>45897</v>
      </c>
      <c r="G56" s="14">
        <f t="shared" si="6"/>
        <v>966.22</v>
      </c>
      <c r="K56" s="14"/>
      <c r="O56" s="14"/>
    </row>
    <row r="57" spans="1:15" x14ac:dyDescent="0.25">
      <c r="A57" s="2"/>
      <c r="C57" s="14"/>
      <c r="E57" s="2"/>
      <c r="F57" s="12">
        <f t="shared" si="3"/>
        <v>45927</v>
      </c>
      <c r="G57" s="14">
        <f t="shared" si="6"/>
        <v>966.22</v>
      </c>
      <c r="K57" s="14"/>
      <c r="O57" s="14"/>
    </row>
    <row r="58" spans="1:15" x14ac:dyDescent="0.25">
      <c r="A58" s="2"/>
      <c r="C58" s="14"/>
      <c r="E58" s="2"/>
      <c r="F58" s="12">
        <f t="shared" si="3"/>
        <v>45957</v>
      </c>
      <c r="G58" s="14">
        <f t="shared" si="6"/>
        <v>966.22</v>
      </c>
      <c r="K58" s="14"/>
      <c r="O58" s="14"/>
    </row>
    <row r="59" spans="1:15" x14ac:dyDescent="0.25">
      <c r="A59" s="2"/>
      <c r="C59" s="14"/>
      <c r="E59" s="2"/>
      <c r="F59" s="12">
        <f t="shared" si="3"/>
        <v>45987</v>
      </c>
      <c r="G59" s="14">
        <f t="shared" si="6"/>
        <v>966.22</v>
      </c>
      <c r="K59" s="14"/>
      <c r="O59" s="14"/>
    </row>
    <row r="60" spans="1:15" x14ac:dyDescent="0.25">
      <c r="A60" s="2"/>
      <c r="C60" s="14"/>
      <c r="E60" s="2"/>
      <c r="F60" s="12">
        <f t="shared" si="3"/>
        <v>46017</v>
      </c>
      <c r="G60" s="14">
        <f t="shared" si="6"/>
        <v>966.22</v>
      </c>
      <c r="K60" s="14"/>
      <c r="O60" s="14"/>
    </row>
    <row r="61" spans="1:15" x14ac:dyDescent="0.25">
      <c r="A61" s="2"/>
      <c r="C61" s="14"/>
      <c r="E61" s="2"/>
      <c r="F61" s="12">
        <f t="shared" si="3"/>
        <v>46047</v>
      </c>
      <c r="G61" s="14">
        <f t="shared" si="6"/>
        <v>966.22</v>
      </c>
      <c r="K61" s="14"/>
      <c r="O61" s="14"/>
    </row>
    <row r="62" spans="1:15" x14ac:dyDescent="0.25">
      <c r="A62" s="2"/>
      <c r="C62" s="14"/>
      <c r="E62" s="2"/>
      <c r="F62" s="12">
        <f t="shared" si="3"/>
        <v>46077</v>
      </c>
      <c r="G62" s="14">
        <f t="shared" si="6"/>
        <v>966.22</v>
      </c>
      <c r="K62" s="14"/>
      <c r="O62" s="14"/>
    </row>
    <row r="63" spans="1:15" x14ac:dyDescent="0.25">
      <c r="A63" s="2"/>
      <c r="C63" s="14"/>
      <c r="E63" s="2"/>
      <c r="F63" s="12">
        <f t="shared" si="3"/>
        <v>46107</v>
      </c>
      <c r="G63" s="14">
        <f t="shared" si="6"/>
        <v>966.22</v>
      </c>
      <c r="K63" s="14"/>
      <c r="O63" s="14"/>
    </row>
    <row r="64" spans="1:15" x14ac:dyDescent="0.25">
      <c r="A64" s="2"/>
      <c r="C64" s="14"/>
      <c r="E64" s="2"/>
      <c r="F64" s="12">
        <f t="shared" si="3"/>
        <v>46137</v>
      </c>
      <c r="G64" s="14">
        <f t="shared" si="6"/>
        <v>966.22</v>
      </c>
      <c r="K64" s="14"/>
      <c r="O64" s="14"/>
    </row>
    <row r="65" spans="1:15" x14ac:dyDescent="0.25">
      <c r="A65" s="2"/>
      <c r="C65" s="14"/>
      <c r="E65" s="2"/>
      <c r="F65" s="12">
        <v>45807</v>
      </c>
      <c r="G65" s="14">
        <v>949.72</v>
      </c>
      <c r="K65" s="14"/>
      <c r="O65" s="14"/>
    </row>
    <row r="66" spans="1:15" x14ac:dyDescent="0.25">
      <c r="A66" s="2"/>
      <c r="C66" s="14"/>
      <c r="E66" s="2"/>
      <c r="F66" s="12">
        <f t="shared" si="3"/>
        <v>45837</v>
      </c>
      <c r="G66" s="14">
        <f t="shared" si="6"/>
        <v>949.72</v>
      </c>
      <c r="K66" s="14"/>
      <c r="O66" s="14"/>
    </row>
    <row r="67" spans="1:15" x14ac:dyDescent="0.25">
      <c r="A67" s="2"/>
      <c r="C67" s="14"/>
      <c r="E67" s="2"/>
      <c r="F67" s="12">
        <f t="shared" si="3"/>
        <v>45867</v>
      </c>
      <c r="G67" s="14">
        <f t="shared" si="6"/>
        <v>949.72</v>
      </c>
      <c r="K67" s="14"/>
      <c r="O67" s="14"/>
    </row>
    <row r="68" spans="1:15" x14ac:dyDescent="0.25">
      <c r="A68" s="2"/>
      <c r="C68" s="14"/>
      <c r="E68" s="2"/>
      <c r="F68" s="12">
        <f t="shared" si="3"/>
        <v>45897</v>
      </c>
      <c r="G68" s="14">
        <f t="shared" si="6"/>
        <v>949.72</v>
      </c>
      <c r="K68" s="14"/>
      <c r="O68" s="14"/>
    </row>
    <row r="69" spans="1:15" x14ac:dyDescent="0.25">
      <c r="A69" s="2"/>
      <c r="C69" s="14"/>
      <c r="E69" s="2"/>
      <c r="F69" s="12">
        <f t="shared" si="3"/>
        <v>45927</v>
      </c>
      <c r="G69" s="14">
        <f t="shared" si="6"/>
        <v>949.72</v>
      </c>
      <c r="K69" s="14"/>
      <c r="O69" s="14"/>
    </row>
    <row r="70" spans="1:15" x14ac:dyDescent="0.25">
      <c r="A70" s="2"/>
      <c r="C70" s="14"/>
      <c r="E70" s="2"/>
      <c r="F70" s="12">
        <f t="shared" si="3"/>
        <v>45957</v>
      </c>
      <c r="G70" s="14">
        <f t="shared" si="6"/>
        <v>949.72</v>
      </c>
      <c r="K70" s="14"/>
      <c r="O70" s="14"/>
    </row>
    <row r="71" spans="1:15" x14ac:dyDescent="0.25">
      <c r="A71" s="2"/>
      <c r="C71" s="14"/>
      <c r="E71" s="2"/>
      <c r="F71" s="12">
        <f t="shared" si="3"/>
        <v>45987</v>
      </c>
      <c r="G71" s="14">
        <f t="shared" si="6"/>
        <v>949.72</v>
      </c>
      <c r="K71" s="14"/>
      <c r="O71" s="14"/>
    </row>
    <row r="72" spans="1:15" x14ac:dyDescent="0.25">
      <c r="A72" s="2"/>
      <c r="C72" s="14"/>
      <c r="E72" s="2"/>
      <c r="F72" s="12">
        <f t="shared" si="3"/>
        <v>46017</v>
      </c>
      <c r="G72" s="14">
        <f t="shared" si="6"/>
        <v>949.72</v>
      </c>
      <c r="K72" s="14"/>
      <c r="O72" s="14"/>
    </row>
    <row r="73" spans="1:15" x14ac:dyDescent="0.25">
      <c r="A73" s="2"/>
      <c r="C73" s="14"/>
      <c r="E73" s="2"/>
      <c r="F73" s="12">
        <f t="shared" si="3"/>
        <v>46047</v>
      </c>
      <c r="G73" s="14">
        <f t="shared" si="6"/>
        <v>949.72</v>
      </c>
      <c r="K73" s="14"/>
      <c r="O73" s="14"/>
    </row>
    <row r="74" spans="1:15" x14ac:dyDescent="0.25">
      <c r="A74" s="2"/>
      <c r="C74" s="14"/>
      <c r="E74" s="2"/>
      <c r="F74" s="12">
        <f t="shared" si="3"/>
        <v>46077</v>
      </c>
      <c r="G74" s="14">
        <f t="shared" si="6"/>
        <v>949.72</v>
      </c>
      <c r="K74" s="14"/>
      <c r="O74" s="14"/>
    </row>
    <row r="75" spans="1:15" x14ac:dyDescent="0.25">
      <c r="A75" s="2"/>
      <c r="C75" s="14"/>
      <c r="E75" s="2"/>
      <c r="F75" s="12">
        <f t="shared" si="3"/>
        <v>46107</v>
      </c>
      <c r="G75" s="14">
        <f t="shared" si="6"/>
        <v>949.72</v>
      </c>
      <c r="K75" s="14"/>
      <c r="O75" s="14"/>
    </row>
    <row r="76" spans="1:15" x14ac:dyDescent="0.25">
      <c r="A76" s="2"/>
      <c r="C76" s="14"/>
      <c r="E76" s="2"/>
      <c r="F76" s="12">
        <f t="shared" si="3"/>
        <v>46137</v>
      </c>
      <c r="G76" s="14">
        <f t="shared" si="6"/>
        <v>949.72</v>
      </c>
      <c r="K76" s="14"/>
      <c r="O76" s="14"/>
    </row>
    <row r="77" spans="1:15" x14ac:dyDescent="0.25">
      <c r="A77" s="2"/>
      <c r="C77" s="14"/>
      <c r="E77" s="2"/>
      <c r="F77" s="12">
        <f t="shared" si="3"/>
        <v>46167</v>
      </c>
      <c r="G77" s="14">
        <f t="shared" si="6"/>
        <v>949.72</v>
      </c>
      <c r="K77" s="14"/>
      <c r="O77" s="14"/>
    </row>
    <row r="78" spans="1:15" x14ac:dyDescent="0.25">
      <c r="A78" s="2"/>
      <c r="C78" s="14"/>
      <c r="E78" s="2"/>
      <c r="F78" s="12">
        <f t="shared" si="3"/>
        <v>46197</v>
      </c>
      <c r="G78" s="14">
        <f t="shared" si="6"/>
        <v>949.72</v>
      </c>
      <c r="K78" s="14"/>
      <c r="O78" s="14"/>
    </row>
    <row r="79" spans="1:15" x14ac:dyDescent="0.25">
      <c r="A79" s="2"/>
      <c r="C79" s="14"/>
      <c r="E79" s="2"/>
      <c r="F79" s="12">
        <f t="shared" si="3"/>
        <v>46227</v>
      </c>
      <c r="G79" s="14">
        <f t="shared" si="6"/>
        <v>949.72</v>
      </c>
      <c r="K79" s="14"/>
      <c r="O79" s="14"/>
    </row>
    <row r="80" spans="1:15" x14ac:dyDescent="0.25">
      <c r="A80" s="2"/>
      <c r="C80" s="14"/>
      <c r="E80" s="2"/>
      <c r="F80" s="12">
        <f t="shared" si="3"/>
        <v>46257</v>
      </c>
      <c r="G80" s="14">
        <f t="shared" si="6"/>
        <v>949.72</v>
      </c>
      <c r="K80" s="14"/>
      <c r="O80" s="14"/>
    </row>
    <row r="81" spans="1:16" x14ac:dyDescent="0.25">
      <c r="A81" s="2"/>
      <c r="C81" s="14"/>
      <c r="E81" s="2"/>
      <c r="F81" s="12">
        <f t="shared" si="3"/>
        <v>46287</v>
      </c>
      <c r="G81" s="14">
        <f t="shared" si="6"/>
        <v>949.72</v>
      </c>
      <c r="K81" s="14"/>
      <c r="O81" s="14"/>
    </row>
    <row r="82" spans="1:16" x14ac:dyDescent="0.25">
      <c r="A82" s="2"/>
      <c r="C82" s="14"/>
      <c r="E82" s="2"/>
      <c r="F82" s="12">
        <f t="shared" si="3"/>
        <v>46317</v>
      </c>
      <c r="G82" s="14">
        <f t="shared" si="6"/>
        <v>949.72</v>
      </c>
      <c r="K82" s="14"/>
      <c r="O82" s="14"/>
    </row>
    <row r="83" spans="1:16" x14ac:dyDescent="0.25">
      <c r="A83" s="2"/>
      <c r="C83" s="14"/>
      <c r="E83" s="2"/>
      <c r="F83" s="12">
        <f t="shared" si="3"/>
        <v>46347</v>
      </c>
      <c r="G83" s="14">
        <f t="shared" si="6"/>
        <v>949.72</v>
      </c>
      <c r="K83" s="14"/>
      <c r="O83" s="14"/>
    </row>
    <row r="84" spans="1:16" x14ac:dyDescent="0.25">
      <c r="A84" s="2"/>
      <c r="C84" s="14"/>
      <c r="E84" s="2"/>
      <c r="F84" s="12">
        <f t="shared" si="3"/>
        <v>46377</v>
      </c>
      <c r="G84" s="14">
        <f t="shared" si="6"/>
        <v>949.72</v>
      </c>
      <c r="K84" s="14"/>
      <c r="O84" s="14"/>
    </row>
    <row r="85" spans="1:16" x14ac:dyDescent="0.25">
      <c r="A85" s="2"/>
      <c r="C85" s="14"/>
      <c r="E85" s="2"/>
      <c r="F85" s="12">
        <f t="shared" ref="F85:F86" si="7">+F84+30</f>
        <v>46407</v>
      </c>
      <c r="G85" s="14">
        <f t="shared" si="6"/>
        <v>949.72</v>
      </c>
      <c r="K85" s="14"/>
      <c r="O85" s="14"/>
    </row>
    <row r="86" spans="1:16" x14ac:dyDescent="0.25">
      <c r="A86" s="2"/>
      <c r="C86" s="14"/>
      <c r="E86" s="2"/>
      <c r="F86" s="12">
        <f t="shared" si="7"/>
        <v>46437</v>
      </c>
      <c r="G86" s="14">
        <f t="shared" si="6"/>
        <v>949.72</v>
      </c>
      <c r="K86" s="14"/>
      <c r="O86" s="14"/>
    </row>
    <row r="87" spans="1:16" ht="15.75" thickBot="1" x14ac:dyDescent="0.3">
      <c r="A87" s="2"/>
      <c r="C87" s="23"/>
      <c r="D87" s="23"/>
      <c r="E87" s="2"/>
      <c r="G87" s="23"/>
      <c r="H87" s="23"/>
      <c r="K87" s="23"/>
      <c r="L87" s="23"/>
      <c r="O87" s="23"/>
      <c r="P87" s="23"/>
    </row>
    <row r="88" spans="1:16" x14ac:dyDescent="0.25">
      <c r="A88" s="2"/>
      <c r="C88" s="14"/>
      <c r="D88" s="5">
        <f>SUM(C4:C87)</f>
        <v>760.35000000000025</v>
      </c>
      <c r="E88" s="2"/>
      <c r="G88" s="14"/>
      <c r="H88" s="5">
        <f>SUM(G4:G87)</f>
        <v>69755.500000000044</v>
      </c>
      <c r="K88" s="14"/>
      <c r="L88" s="5">
        <f>SUM(K4:K87)</f>
        <v>5170.8099999999995</v>
      </c>
      <c r="O88" s="14"/>
      <c r="P88" s="5">
        <f>SUM(O4:O87)</f>
        <v>0</v>
      </c>
    </row>
  </sheetData>
  <mergeCells count="4">
    <mergeCell ref="A1:D1"/>
    <mergeCell ref="E1:H1"/>
    <mergeCell ref="J1:M1"/>
    <mergeCell ref="N1:Q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7" tint="0.79998168889431442"/>
  </sheetPr>
  <dimension ref="A1:M70"/>
  <sheetViews>
    <sheetView topLeftCell="B1" zoomScaleNormal="100" workbookViewId="0">
      <pane ySplit="11" topLeftCell="A12" activePane="bottomLeft" state="frozen"/>
      <selection pane="bottomLeft" activeCell="C38" sqref="C38"/>
    </sheetView>
  </sheetViews>
  <sheetFormatPr defaultRowHeight="15" x14ac:dyDescent="0.25"/>
  <cols>
    <col min="1" max="1" width="35.85546875" style="84" customWidth="1"/>
    <col min="2" max="2" width="35.140625" style="84" bestFit="1" customWidth="1"/>
    <col min="3" max="3" width="118.140625" style="84" customWidth="1"/>
    <col min="4" max="4" width="9.5703125" style="85" bestFit="1" customWidth="1"/>
    <col min="5" max="5" width="16.28515625" style="86" bestFit="1" customWidth="1"/>
    <col min="6" max="6" width="9.140625" style="84"/>
    <col min="7" max="7" width="18.7109375" style="84" bestFit="1" customWidth="1"/>
    <col min="8" max="8" width="27.7109375" style="84" bestFit="1" customWidth="1"/>
    <col min="9" max="9" width="81.140625" style="84" bestFit="1" customWidth="1"/>
    <col min="10" max="10" width="6.28515625" style="84" bestFit="1" customWidth="1"/>
    <col min="11" max="12" width="12" style="84" bestFit="1" customWidth="1"/>
    <col min="13" max="254" width="9.140625" style="84"/>
    <col min="255" max="255" width="21.85546875" style="84" customWidth="1"/>
    <col min="256" max="256" width="35.85546875" style="84" customWidth="1"/>
    <col min="257" max="257" width="97.7109375" style="84" customWidth="1"/>
    <col min="258" max="258" width="31.7109375" style="84" customWidth="1"/>
    <col min="259" max="259" width="13.7109375" style="84" bestFit="1" customWidth="1"/>
    <col min="260" max="510" width="9.140625" style="84"/>
    <col min="511" max="511" width="21.85546875" style="84" customWidth="1"/>
    <col min="512" max="512" width="35.85546875" style="84" customWidth="1"/>
    <col min="513" max="513" width="97.7109375" style="84" customWidth="1"/>
    <col min="514" max="514" width="31.7109375" style="84" customWidth="1"/>
    <col min="515" max="515" width="13.7109375" style="84" bestFit="1" customWidth="1"/>
    <col min="516" max="766" width="9.140625" style="84"/>
    <col min="767" max="767" width="21.85546875" style="84" customWidth="1"/>
    <col min="768" max="768" width="35.85546875" style="84" customWidth="1"/>
    <col min="769" max="769" width="97.7109375" style="84" customWidth="1"/>
    <col min="770" max="770" width="31.7109375" style="84" customWidth="1"/>
    <col min="771" max="771" width="13.7109375" style="84" bestFit="1" customWidth="1"/>
    <col min="772" max="1022" width="9.140625" style="84"/>
    <col min="1023" max="1023" width="21.85546875" style="84" customWidth="1"/>
    <col min="1024" max="1024" width="35.85546875" style="84" customWidth="1"/>
    <col min="1025" max="1025" width="97.7109375" style="84" customWidth="1"/>
    <col min="1026" max="1026" width="31.7109375" style="84" customWidth="1"/>
    <col min="1027" max="1027" width="13.7109375" style="84" bestFit="1" customWidth="1"/>
    <col min="1028" max="1278" width="9.140625" style="84"/>
    <col min="1279" max="1279" width="21.85546875" style="84" customWidth="1"/>
    <col min="1280" max="1280" width="35.85546875" style="84" customWidth="1"/>
    <col min="1281" max="1281" width="97.7109375" style="84" customWidth="1"/>
    <col min="1282" max="1282" width="31.7109375" style="84" customWidth="1"/>
    <col min="1283" max="1283" width="13.7109375" style="84" bestFit="1" customWidth="1"/>
    <col min="1284" max="1534" width="9.140625" style="84"/>
    <col min="1535" max="1535" width="21.85546875" style="84" customWidth="1"/>
    <col min="1536" max="1536" width="35.85546875" style="84" customWidth="1"/>
    <col min="1537" max="1537" width="97.7109375" style="84" customWidth="1"/>
    <col min="1538" max="1538" width="31.7109375" style="84" customWidth="1"/>
    <col min="1539" max="1539" width="13.7109375" style="84" bestFit="1" customWidth="1"/>
    <col min="1540" max="1790" width="9.140625" style="84"/>
    <col min="1791" max="1791" width="21.85546875" style="84" customWidth="1"/>
    <col min="1792" max="1792" width="35.85546875" style="84" customWidth="1"/>
    <col min="1793" max="1793" width="97.7109375" style="84" customWidth="1"/>
    <col min="1794" max="1794" width="31.7109375" style="84" customWidth="1"/>
    <col min="1795" max="1795" width="13.7109375" style="84" bestFit="1" customWidth="1"/>
    <col min="1796" max="2046" width="9.140625" style="84"/>
    <col min="2047" max="2047" width="21.85546875" style="84" customWidth="1"/>
    <col min="2048" max="2048" width="35.85546875" style="84" customWidth="1"/>
    <col min="2049" max="2049" width="97.7109375" style="84" customWidth="1"/>
    <col min="2050" max="2050" width="31.7109375" style="84" customWidth="1"/>
    <col min="2051" max="2051" width="13.7109375" style="84" bestFit="1" customWidth="1"/>
    <col min="2052" max="2302" width="9.140625" style="84"/>
    <col min="2303" max="2303" width="21.85546875" style="84" customWidth="1"/>
    <col min="2304" max="2304" width="35.85546875" style="84" customWidth="1"/>
    <col min="2305" max="2305" width="97.7109375" style="84" customWidth="1"/>
    <col min="2306" max="2306" width="31.7109375" style="84" customWidth="1"/>
    <col min="2307" max="2307" width="13.7109375" style="84" bestFit="1" customWidth="1"/>
    <col min="2308" max="2558" width="9.140625" style="84"/>
    <col min="2559" max="2559" width="21.85546875" style="84" customWidth="1"/>
    <col min="2560" max="2560" width="35.85546875" style="84" customWidth="1"/>
    <col min="2561" max="2561" width="97.7109375" style="84" customWidth="1"/>
    <col min="2562" max="2562" width="31.7109375" style="84" customWidth="1"/>
    <col min="2563" max="2563" width="13.7109375" style="84" bestFit="1" customWidth="1"/>
    <col min="2564" max="2814" width="9.140625" style="84"/>
    <col min="2815" max="2815" width="21.85546875" style="84" customWidth="1"/>
    <col min="2816" max="2816" width="35.85546875" style="84" customWidth="1"/>
    <col min="2817" max="2817" width="97.7109375" style="84" customWidth="1"/>
    <col min="2818" max="2818" width="31.7109375" style="84" customWidth="1"/>
    <col min="2819" max="2819" width="13.7109375" style="84" bestFit="1" customWidth="1"/>
    <col min="2820" max="3070" width="9.140625" style="84"/>
    <col min="3071" max="3071" width="21.85546875" style="84" customWidth="1"/>
    <col min="3072" max="3072" width="35.85546875" style="84" customWidth="1"/>
    <col min="3073" max="3073" width="97.7109375" style="84" customWidth="1"/>
    <col min="3074" max="3074" width="31.7109375" style="84" customWidth="1"/>
    <col min="3075" max="3075" width="13.7109375" style="84" bestFit="1" customWidth="1"/>
    <col min="3076" max="3326" width="9.140625" style="84"/>
    <col min="3327" max="3327" width="21.85546875" style="84" customWidth="1"/>
    <col min="3328" max="3328" width="35.85546875" style="84" customWidth="1"/>
    <col min="3329" max="3329" width="97.7109375" style="84" customWidth="1"/>
    <col min="3330" max="3330" width="31.7109375" style="84" customWidth="1"/>
    <col min="3331" max="3331" width="13.7109375" style="84" bestFit="1" customWidth="1"/>
    <col min="3332" max="3582" width="9.140625" style="84"/>
    <col min="3583" max="3583" width="21.85546875" style="84" customWidth="1"/>
    <col min="3584" max="3584" width="35.85546875" style="84" customWidth="1"/>
    <col min="3585" max="3585" width="97.7109375" style="84" customWidth="1"/>
    <col min="3586" max="3586" width="31.7109375" style="84" customWidth="1"/>
    <col min="3587" max="3587" width="13.7109375" style="84" bestFit="1" customWidth="1"/>
    <col min="3588" max="3838" width="9.140625" style="84"/>
    <col min="3839" max="3839" width="21.85546875" style="84" customWidth="1"/>
    <col min="3840" max="3840" width="35.85546875" style="84" customWidth="1"/>
    <col min="3841" max="3841" width="97.7109375" style="84" customWidth="1"/>
    <col min="3842" max="3842" width="31.7109375" style="84" customWidth="1"/>
    <col min="3843" max="3843" width="13.7109375" style="84" bestFit="1" customWidth="1"/>
    <col min="3844" max="4094" width="9.140625" style="84"/>
    <col min="4095" max="4095" width="21.85546875" style="84" customWidth="1"/>
    <col min="4096" max="4096" width="35.85546875" style="84" customWidth="1"/>
    <col min="4097" max="4097" width="97.7109375" style="84" customWidth="1"/>
    <col min="4098" max="4098" width="31.7109375" style="84" customWidth="1"/>
    <col min="4099" max="4099" width="13.7109375" style="84" bestFit="1" customWidth="1"/>
    <col min="4100" max="4350" width="9.140625" style="84"/>
    <col min="4351" max="4351" width="21.85546875" style="84" customWidth="1"/>
    <col min="4352" max="4352" width="35.85546875" style="84" customWidth="1"/>
    <col min="4353" max="4353" width="97.7109375" style="84" customWidth="1"/>
    <col min="4354" max="4354" width="31.7109375" style="84" customWidth="1"/>
    <col min="4355" max="4355" width="13.7109375" style="84" bestFit="1" customWidth="1"/>
    <col min="4356" max="4606" width="9.140625" style="84"/>
    <col min="4607" max="4607" width="21.85546875" style="84" customWidth="1"/>
    <col min="4608" max="4608" width="35.85546875" style="84" customWidth="1"/>
    <col min="4609" max="4609" width="97.7109375" style="84" customWidth="1"/>
    <col min="4610" max="4610" width="31.7109375" style="84" customWidth="1"/>
    <col min="4611" max="4611" width="13.7109375" style="84" bestFit="1" customWidth="1"/>
    <col min="4612" max="4862" width="9.140625" style="84"/>
    <col min="4863" max="4863" width="21.85546875" style="84" customWidth="1"/>
    <col min="4864" max="4864" width="35.85546875" style="84" customWidth="1"/>
    <col min="4865" max="4865" width="97.7109375" style="84" customWidth="1"/>
    <col min="4866" max="4866" width="31.7109375" style="84" customWidth="1"/>
    <col min="4867" max="4867" width="13.7109375" style="84" bestFit="1" customWidth="1"/>
    <col min="4868" max="5118" width="9.140625" style="84"/>
    <col min="5119" max="5119" width="21.85546875" style="84" customWidth="1"/>
    <col min="5120" max="5120" width="35.85546875" style="84" customWidth="1"/>
    <col min="5121" max="5121" width="97.7109375" style="84" customWidth="1"/>
    <col min="5122" max="5122" width="31.7109375" style="84" customWidth="1"/>
    <col min="5123" max="5123" width="13.7109375" style="84" bestFit="1" customWidth="1"/>
    <col min="5124" max="5374" width="9.140625" style="84"/>
    <col min="5375" max="5375" width="21.85546875" style="84" customWidth="1"/>
    <col min="5376" max="5376" width="35.85546875" style="84" customWidth="1"/>
    <col min="5377" max="5377" width="97.7109375" style="84" customWidth="1"/>
    <col min="5378" max="5378" width="31.7109375" style="84" customWidth="1"/>
    <col min="5379" max="5379" width="13.7109375" style="84" bestFit="1" customWidth="1"/>
    <col min="5380" max="5630" width="9.140625" style="84"/>
    <col min="5631" max="5631" width="21.85546875" style="84" customWidth="1"/>
    <col min="5632" max="5632" width="35.85546875" style="84" customWidth="1"/>
    <col min="5633" max="5633" width="97.7109375" style="84" customWidth="1"/>
    <col min="5634" max="5634" width="31.7109375" style="84" customWidth="1"/>
    <col min="5635" max="5635" width="13.7109375" style="84" bestFit="1" customWidth="1"/>
    <col min="5636" max="5886" width="9.140625" style="84"/>
    <col min="5887" max="5887" width="21.85546875" style="84" customWidth="1"/>
    <col min="5888" max="5888" width="35.85546875" style="84" customWidth="1"/>
    <col min="5889" max="5889" width="97.7109375" style="84" customWidth="1"/>
    <col min="5890" max="5890" width="31.7109375" style="84" customWidth="1"/>
    <col min="5891" max="5891" width="13.7109375" style="84" bestFit="1" customWidth="1"/>
    <col min="5892" max="6142" width="9.140625" style="84"/>
    <col min="6143" max="6143" width="21.85546875" style="84" customWidth="1"/>
    <col min="6144" max="6144" width="35.85546875" style="84" customWidth="1"/>
    <col min="6145" max="6145" width="97.7109375" style="84" customWidth="1"/>
    <col min="6146" max="6146" width="31.7109375" style="84" customWidth="1"/>
    <col min="6147" max="6147" width="13.7109375" style="84" bestFit="1" customWidth="1"/>
    <col min="6148" max="6398" width="9.140625" style="84"/>
    <col min="6399" max="6399" width="21.85546875" style="84" customWidth="1"/>
    <col min="6400" max="6400" width="35.85546875" style="84" customWidth="1"/>
    <col min="6401" max="6401" width="97.7109375" style="84" customWidth="1"/>
    <col min="6402" max="6402" width="31.7109375" style="84" customWidth="1"/>
    <col min="6403" max="6403" width="13.7109375" style="84" bestFit="1" customWidth="1"/>
    <col min="6404" max="6654" width="9.140625" style="84"/>
    <col min="6655" max="6655" width="21.85546875" style="84" customWidth="1"/>
    <col min="6656" max="6656" width="35.85546875" style="84" customWidth="1"/>
    <col min="6657" max="6657" width="97.7109375" style="84" customWidth="1"/>
    <col min="6658" max="6658" width="31.7109375" style="84" customWidth="1"/>
    <col min="6659" max="6659" width="13.7109375" style="84" bestFit="1" customWidth="1"/>
    <col min="6660" max="6910" width="9.140625" style="84"/>
    <col min="6911" max="6911" width="21.85546875" style="84" customWidth="1"/>
    <col min="6912" max="6912" width="35.85546875" style="84" customWidth="1"/>
    <col min="6913" max="6913" width="97.7109375" style="84" customWidth="1"/>
    <col min="6914" max="6914" width="31.7109375" style="84" customWidth="1"/>
    <col min="6915" max="6915" width="13.7109375" style="84" bestFit="1" customWidth="1"/>
    <col min="6916" max="7166" width="9.140625" style="84"/>
    <col min="7167" max="7167" width="21.85546875" style="84" customWidth="1"/>
    <col min="7168" max="7168" width="35.85546875" style="84" customWidth="1"/>
    <col min="7169" max="7169" width="97.7109375" style="84" customWidth="1"/>
    <col min="7170" max="7170" width="31.7109375" style="84" customWidth="1"/>
    <col min="7171" max="7171" width="13.7109375" style="84" bestFit="1" customWidth="1"/>
    <col min="7172" max="7422" width="9.140625" style="84"/>
    <col min="7423" max="7423" width="21.85546875" style="84" customWidth="1"/>
    <col min="7424" max="7424" width="35.85546875" style="84" customWidth="1"/>
    <col min="7425" max="7425" width="97.7109375" style="84" customWidth="1"/>
    <col min="7426" max="7426" width="31.7109375" style="84" customWidth="1"/>
    <col min="7427" max="7427" width="13.7109375" style="84" bestFit="1" customWidth="1"/>
    <col min="7428" max="7678" width="9.140625" style="84"/>
    <col min="7679" max="7679" width="21.85546875" style="84" customWidth="1"/>
    <col min="7680" max="7680" width="35.85546875" style="84" customWidth="1"/>
    <col min="7681" max="7681" width="97.7109375" style="84" customWidth="1"/>
    <col min="7682" max="7682" width="31.7109375" style="84" customWidth="1"/>
    <col min="7683" max="7683" width="13.7109375" style="84" bestFit="1" customWidth="1"/>
    <col min="7684" max="7934" width="9.140625" style="84"/>
    <col min="7935" max="7935" width="21.85546875" style="84" customWidth="1"/>
    <col min="7936" max="7936" width="35.85546875" style="84" customWidth="1"/>
    <col min="7937" max="7937" width="97.7109375" style="84" customWidth="1"/>
    <col min="7938" max="7938" width="31.7109375" style="84" customWidth="1"/>
    <col min="7939" max="7939" width="13.7109375" style="84" bestFit="1" customWidth="1"/>
    <col min="7940" max="8190" width="9.140625" style="84"/>
    <col min="8191" max="8191" width="21.85546875" style="84" customWidth="1"/>
    <col min="8192" max="8192" width="35.85546875" style="84" customWidth="1"/>
    <col min="8193" max="8193" width="97.7109375" style="84" customWidth="1"/>
    <col min="8194" max="8194" width="31.7109375" style="84" customWidth="1"/>
    <col min="8195" max="8195" width="13.7109375" style="84" bestFit="1" customWidth="1"/>
    <col min="8196" max="8446" width="9.140625" style="84"/>
    <col min="8447" max="8447" width="21.85546875" style="84" customWidth="1"/>
    <col min="8448" max="8448" width="35.85546875" style="84" customWidth="1"/>
    <col min="8449" max="8449" width="97.7109375" style="84" customWidth="1"/>
    <col min="8450" max="8450" width="31.7109375" style="84" customWidth="1"/>
    <col min="8451" max="8451" width="13.7109375" style="84" bestFit="1" customWidth="1"/>
    <col min="8452" max="8702" width="9.140625" style="84"/>
    <col min="8703" max="8703" width="21.85546875" style="84" customWidth="1"/>
    <col min="8704" max="8704" width="35.85546875" style="84" customWidth="1"/>
    <col min="8705" max="8705" width="97.7109375" style="84" customWidth="1"/>
    <col min="8706" max="8706" width="31.7109375" style="84" customWidth="1"/>
    <col min="8707" max="8707" width="13.7109375" style="84" bestFit="1" customWidth="1"/>
    <col min="8708" max="8958" width="9.140625" style="84"/>
    <col min="8959" max="8959" width="21.85546875" style="84" customWidth="1"/>
    <col min="8960" max="8960" width="35.85546875" style="84" customWidth="1"/>
    <col min="8961" max="8961" width="97.7109375" style="84" customWidth="1"/>
    <col min="8962" max="8962" width="31.7109375" style="84" customWidth="1"/>
    <col min="8963" max="8963" width="13.7109375" style="84" bestFit="1" customWidth="1"/>
    <col min="8964" max="9214" width="9.140625" style="84"/>
    <col min="9215" max="9215" width="21.85546875" style="84" customWidth="1"/>
    <col min="9216" max="9216" width="35.85546875" style="84" customWidth="1"/>
    <col min="9217" max="9217" width="97.7109375" style="84" customWidth="1"/>
    <col min="9218" max="9218" width="31.7109375" style="84" customWidth="1"/>
    <col min="9219" max="9219" width="13.7109375" style="84" bestFit="1" customWidth="1"/>
    <col min="9220" max="9470" width="9.140625" style="84"/>
    <col min="9471" max="9471" width="21.85546875" style="84" customWidth="1"/>
    <col min="9472" max="9472" width="35.85546875" style="84" customWidth="1"/>
    <col min="9473" max="9473" width="97.7109375" style="84" customWidth="1"/>
    <col min="9474" max="9474" width="31.7109375" style="84" customWidth="1"/>
    <col min="9475" max="9475" width="13.7109375" style="84" bestFit="1" customWidth="1"/>
    <col min="9476" max="9726" width="9.140625" style="84"/>
    <col min="9727" max="9727" width="21.85546875" style="84" customWidth="1"/>
    <col min="9728" max="9728" width="35.85546875" style="84" customWidth="1"/>
    <col min="9729" max="9729" width="97.7109375" style="84" customWidth="1"/>
    <col min="9730" max="9730" width="31.7109375" style="84" customWidth="1"/>
    <col min="9731" max="9731" width="13.7109375" style="84" bestFit="1" customWidth="1"/>
    <col min="9732" max="9982" width="9.140625" style="84"/>
    <col min="9983" max="9983" width="21.85546875" style="84" customWidth="1"/>
    <col min="9984" max="9984" width="35.85546875" style="84" customWidth="1"/>
    <col min="9985" max="9985" width="97.7109375" style="84" customWidth="1"/>
    <col min="9986" max="9986" width="31.7109375" style="84" customWidth="1"/>
    <col min="9987" max="9987" width="13.7109375" style="84" bestFit="1" customWidth="1"/>
    <col min="9988" max="10238" width="9.140625" style="84"/>
    <col min="10239" max="10239" width="21.85546875" style="84" customWidth="1"/>
    <col min="10240" max="10240" width="35.85546875" style="84" customWidth="1"/>
    <col min="10241" max="10241" width="97.7109375" style="84" customWidth="1"/>
    <col min="10242" max="10242" width="31.7109375" style="84" customWidth="1"/>
    <col min="10243" max="10243" width="13.7109375" style="84" bestFit="1" customWidth="1"/>
    <col min="10244" max="10494" width="9.140625" style="84"/>
    <col min="10495" max="10495" width="21.85546875" style="84" customWidth="1"/>
    <col min="10496" max="10496" width="35.85546875" style="84" customWidth="1"/>
    <col min="10497" max="10497" width="97.7109375" style="84" customWidth="1"/>
    <col min="10498" max="10498" width="31.7109375" style="84" customWidth="1"/>
    <col min="10499" max="10499" width="13.7109375" style="84" bestFit="1" customWidth="1"/>
    <col min="10500" max="10750" width="9.140625" style="84"/>
    <col min="10751" max="10751" width="21.85546875" style="84" customWidth="1"/>
    <col min="10752" max="10752" width="35.85546875" style="84" customWidth="1"/>
    <col min="10753" max="10753" width="97.7109375" style="84" customWidth="1"/>
    <col min="10754" max="10754" width="31.7109375" style="84" customWidth="1"/>
    <col min="10755" max="10755" width="13.7109375" style="84" bestFit="1" customWidth="1"/>
    <col min="10756" max="11006" width="9.140625" style="84"/>
    <col min="11007" max="11007" width="21.85546875" style="84" customWidth="1"/>
    <col min="11008" max="11008" width="35.85546875" style="84" customWidth="1"/>
    <col min="11009" max="11009" width="97.7109375" style="84" customWidth="1"/>
    <col min="11010" max="11010" width="31.7109375" style="84" customWidth="1"/>
    <col min="11011" max="11011" width="13.7109375" style="84" bestFit="1" customWidth="1"/>
    <col min="11012" max="11262" width="9.140625" style="84"/>
    <col min="11263" max="11263" width="21.85546875" style="84" customWidth="1"/>
    <col min="11264" max="11264" width="35.85546875" style="84" customWidth="1"/>
    <col min="11265" max="11265" width="97.7109375" style="84" customWidth="1"/>
    <col min="11266" max="11266" width="31.7109375" style="84" customWidth="1"/>
    <col min="11267" max="11267" width="13.7109375" style="84" bestFit="1" customWidth="1"/>
    <col min="11268" max="11518" width="9.140625" style="84"/>
    <col min="11519" max="11519" width="21.85546875" style="84" customWidth="1"/>
    <col min="11520" max="11520" width="35.85546875" style="84" customWidth="1"/>
    <col min="11521" max="11521" width="97.7109375" style="84" customWidth="1"/>
    <col min="11522" max="11522" width="31.7109375" style="84" customWidth="1"/>
    <col min="11523" max="11523" width="13.7109375" style="84" bestFit="1" customWidth="1"/>
    <col min="11524" max="11774" width="9.140625" style="84"/>
    <col min="11775" max="11775" width="21.85546875" style="84" customWidth="1"/>
    <col min="11776" max="11776" width="35.85546875" style="84" customWidth="1"/>
    <col min="11777" max="11777" width="97.7109375" style="84" customWidth="1"/>
    <col min="11778" max="11778" width="31.7109375" style="84" customWidth="1"/>
    <col min="11779" max="11779" width="13.7109375" style="84" bestFit="1" customWidth="1"/>
    <col min="11780" max="12030" width="9.140625" style="84"/>
    <col min="12031" max="12031" width="21.85546875" style="84" customWidth="1"/>
    <col min="12032" max="12032" width="35.85546875" style="84" customWidth="1"/>
    <col min="12033" max="12033" width="97.7109375" style="84" customWidth="1"/>
    <col min="12034" max="12034" width="31.7109375" style="84" customWidth="1"/>
    <col min="12035" max="12035" width="13.7109375" style="84" bestFit="1" customWidth="1"/>
    <col min="12036" max="12286" width="9.140625" style="84"/>
    <col min="12287" max="12287" width="21.85546875" style="84" customWidth="1"/>
    <col min="12288" max="12288" width="35.85546875" style="84" customWidth="1"/>
    <col min="12289" max="12289" width="97.7109375" style="84" customWidth="1"/>
    <col min="12290" max="12290" width="31.7109375" style="84" customWidth="1"/>
    <col min="12291" max="12291" width="13.7109375" style="84" bestFit="1" customWidth="1"/>
    <col min="12292" max="12542" width="9.140625" style="84"/>
    <col min="12543" max="12543" width="21.85546875" style="84" customWidth="1"/>
    <col min="12544" max="12544" width="35.85546875" style="84" customWidth="1"/>
    <col min="12545" max="12545" width="97.7109375" style="84" customWidth="1"/>
    <col min="12546" max="12546" width="31.7109375" style="84" customWidth="1"/>
    <col min="12547" max="12547" width="13.7109375" style="84" bestFit="1" customWidth="1"/>
    <col min="12548" max="12798" width="9.140625" style="84"/>
    <col min="12799" max="12799" width="21.85546875" style="84" customWidth="1"/>
    <col min="12800" max="12800" width="35.85546875" style="84" customWidth="1"/>
    <col min="12801" max="12801" width="97.7109375" style="84" customWidth="1"/>
    <col min="12802" max="12802" width="31.7109375" style="84" customWidth="1"/>
    <col min="12803" max="12803" width="13.7109375" style="84" bestFit="1" customWidth="1"/>
    <col min="12804" max="13054" width="9.140625" style="84"/>
    <col min="13055" max="13055" width="21.85546875" style="84" customWidth="1"/>
    <col min="13056" max="13056" width="35.85546875" style="84" customWidth="1"/>
    <col min="13057" max="13057" width="97.7109375" style="84" customWidth="1"/>
    <col min="13058" max="13058" width="31.7109375" style="84" customWidth="1"/>
    <col min="13059" max="13059" width="13.7109375" style="84" bestFit="1" customWidth="1"/>
    <col min="13060" max="13310" width="9.140625" style="84"/>
    <col min="13311" max="13311" width="21.85546875" style="84" customWidth="1"/>
    <col min="13312" max="13312" width="35.85546875" style="84" customWidth="1"/>
    <col min="13313" max="13313" width="97.7109375" style="84" customWidth="1"/>
    <col min="13314" max="13314" width="31.7109375" style="84" customWidth="1"/>
    <col min="13315" max="13315" width="13.7109375" style="84" bestFit="1" customWidth="1"/>
    <col min="13316" max="13566" width="9.140625" style="84"/>
    <col min="13567" max="13567" width="21.85546875" style="84" customWidth="1"/>
    <col min="13568" max="13568" width="35.85546875" style="84" customWidth="1"/>
    <col min="13569" max="13569" width="97.7109375" style="84" customWidth="1"/>
    <col min="13570" max="13570" width="31.7109375" style="84" customWidth="1"/>
    <col min="13571" max="13571" width="13.7109375" style="84" bestFit="1" customWidth="1"/>
    <col min="13572" max="13822" width="9.140625" style="84"/>
    <col min="13823" max="13823" width="21.85546875" style="84" customWidth="1"/>
    <col min="13824" max="13824" width="35.85546875" style="84" customWidth="1"/>
    <col min="13825" max="13825" width="97.7109375" style="84" customWidth="1"/>
    <col min="13826" max="13826" width="31.7109375" style="84" customWidth="1"/>
    <col min="13827" max="13827" width="13.7109375" style="84" bestFit="1" customWidth="1"/>
    <col min="13828" max="14078" width="9.140625" style="84"/>
    <col min="14079" max="14079" width="21.85546875" style="84" customWidth="1"/>
    <col min="14080" max="14080" width="35.85546875" style="84" customWidth="1"/>
    <col min="14081" max="14081" width="97.7109375" style="84" customWidth="1"/>
    <col min="14082" max="14082" width="31.7109375" style="84" customWidth="1"/>
    <col min="14083" max="14083" width="13.7109375" style="84" bestFit="1" customWidth="1"/>
    <col min="14084" max="14334" width="9.140625" style="84"/>
    <col min="14335" max="14335" width="21.85546875" style="84" customWidth="1"/>
    <col min="14336" max="14336" width="35.85546875" style="84" customWidth="1"/>
    <col min="14337" max="14337" width="97.7109375" style="84" customWidth="1"/>
    <col min="14338" max="14338" width="31.7109375" style="84" customWidth="1"/>
    <col min="14339" max="14339" width="13.7109375" style="84" bestFit="1" customWidth="1"/>
    <col min="14340" max="14590" width="9.140625" style="84"/>
    <col min="14591" max="14591" width="21.85546875" style="84" customWidth="1"/>
    <col min="14592" max="14592" width="35.85546875" style="84" customWidth="1"/>
    <col min="14593" max="14593" width="97.7109375" style="84" customWidth="1"/>
    <col min="14594" max="14594" width="31.7109375" style="84" customWidth="1"/>
    <col min="14595" max="14595" width="13.7109375" style="84" bestFit="1" customWidth="1"/>
    <col min="14596" max="14846" width="9.140625" style="84"/>
    <col min="14847" max="14847" width="21.85546875" style="84" customWidth="1"/>
    <col min="14848" max="14848" width="35.85546875" style="84" customWidth="1"/>
    <col min="14849" max="14849" width="97.7109375" style="84" customWidth="1"/>
    <col min="14850" max="14850" width="31.7109375" style="84" customWidth="1"/>
    <col min="14851" max="14851" width="13.7109375" style="84" bestFit="1" customWidth="1"/>
    <col min="14852" max="15102" width="9.140625" style="84"/>
    <col min="15103" max="15103" width="21.85546875" style="84" customWidth="1"/>
    <col min="15104" max="15104" width="35.85546875" style="84" customWidth="1"/>
    <col min="15105" max="15105" width="97.7109375" style="84" customWidth="1"/>
    <col min="15106" max="15106" width="31.7109375" style="84" customWidth="1"/>
    <col min="15107" max="15107" width="13.7109375" style="84" bestFit="1" customWidth="1"/>
    <col min="15108" max="15358" width="9.140625" style="84"/>
    <col min="15359" max="15359" width="21.85546875" style="84" customWidth="1"/>
    <col min="15360" max="15360" width="35.85546875" style="84" customWidth="1"/>
    <col min="15361" max="15361" width="97.7109375" style="84" customWidth="1"/>
    <col min="15362" max="15362" width="31.7109375" style="84" customWidth="1"/>
    <col min="15363" max="15363" width="13.7109375" style="84" bestFit="1" customWidth="1"/>
    <col min="15364" max="15614" width="9.140625" style="84"/>
    <col min="15615" max="15615" width="21.85546875" style="84" customWidth="1"/>
    <col min="15616" max="15616" width="35.85546875" style="84" customWidth="1"/>
    <col min="15617" max="15617" width="97.7109375" style="84" customWidth="1"/>
    <col min="15618" max="15618" width="31.7109375" style="84" customWidth="1"/>
    <col min="15619" max="15619" width="13.7109375" style="84" bestFit="1" customWidth="1"/>
    <col min="15620" max="15870" width="9.140625" style="84"/>
    <col min="15871" max="15871" width="21.85546875" style="84" customWidth="1"/>
    <col min="15872" max="15872" width="35.85546875" style="84" customWidth="1"/>
    <col min="15873" max="15873" width="97.7109375" style="84" customWidth="1"/>
    <col min="15874" max="15874" width="31.7109375" style="84" customWidth="1"/>
    <col min="15875" max="15875" width="13.7109375" style="84" bestFit="1" customWidth="1"/>
    <col min="15876" max="16126" width="9.140625" style="84"/>
    <col min="16127" max="16127" width="21.85546875" style="84" customWidth="1"/>
    <col min="16128" max="16128" width="35.85546875" style="84" customWidth="1"/>
    <col min="16129" max="16129" width="97.7109375" style="84" customWidth="1"/>
    <col min="16130" max="16130" width="31.7109375" style="84" customWidth="1"/>
    <col min="16131" max="16131" width="13.7109375" style="84" bestFit="1" customWidth="1"/>
    <col min="16132" max="16384" width="9.140625" style="84"/>
  </cols>
  <sheetData>
    <row r="1" spans="1:13" ht="15.75" thickBot="1" x14ac:dyDescent="0.3"/>
    <row r="2" spans="1:13" x14ac:dyDescent="0.25">
      <c r="B2" s="551" t="str">
        <f>"Preassigned Rows Indicating Payment or Scheduling by " &amp;Profit!E1&amp;" Your Home"</f>
        <v>Preassigned Rows Indicating Payment or Scheduling by Buy Your Home</v>
      </c>
      <c r="C2" s="552"/>
      <c r="E2" s="84"/>
    </row>
    <row r="3" spans="1:13" ht="15.75" thickBot="1" x14ac:dyDescent="0.3">
      <c r="B3" s="553"/>
      <c r="C3" s="554"/>
      <c r="E3" s="84"/>
    </row>
    <row r="4" spans="1:13" x14ac:dyDescent="0.25">
      <c r="B4" s="559" t="s">
        <v>331</v>
      </c>
      <c r="C4" s="560"/>
      <c r="E4" s="84"/>
    </row>
    <row r="5" spans="1:13" ht="15.75" thickBot="1" x14ac:dyDescent="0.3">
      <c r="B5" s="561"/>
      <c r="C5" s="562"/>
      <c r="E5" s="84"/>
    </row>
    <row r="6" spans="1:13" x14ac:dyDescent="0.25">
      <c r="B6" s="555" t="s">
        <v>332</v>
      </c>
      <c r="C6" s="556"/>
      <c r="E6" s="84"/>
    </row>
    <row r="7" spans="1:13" ht="15.75" thickBot="1" x14ac:dyDescent="0.3">
      <c r="B7" s="557"/>
      <c r="C7" s="558"/>
    </row>
    <row r="8" spans="1:13" x14ac:dyDescent="0.25">
      <c r="B8" s="563" t="s">
        <v>333</v>
      </c>
      <c r="C8" s="564"/>
    </row>
    <row r="9" spans="1:13" ht="15.75" thickBot="1" x14ac:dyDescent="0.3">
      <c r="B9" s="565"/>
      <c r="C9" s="566"/>
    </row>
    <row r="11" spans="1:13" s="78" customFormat="1" ht="15.75" thickBot="1" x14ac:dyDescent="0.3">
      <c r="A11" s="77" t="s">
        <v>334</v>
      </c>
      <c r="B11" s="77" t="s">
        <v>335</v>
      </c>
      <c r="C11" s="77" t="s">
        <v>336</v>
      </c>
      <c r="D11" s="96" t="s">
        <v>337</v>
      </c>
      <c r="E11" s="97" t="s">
        <v>338</v>
      </c>
      <c r="G11" s="84"/>
      <c r="H11" s="84"/>
      <c r="I11" s="84"/>
      <c r="J11" s="84"/>
      <c r="K11" s="84"/>
      <c r="L11" s="84"/>
      <c r="M11" s="84"/>
    </row>
    <row r="12" spans="1:13" s="78" customFormat="1" ht="15.75" thickTop="1" x14ac:dyDescent="0.25">
      <c r="A12" s="80" t="s">
        <v>339</v>
      </c>
      <c r="B12" s="80" t="s">
        <v>339</v>
      </c>
      <c r="C12" s="80" t="s">
        <v>340</v>
      </c>
      <c r="D12" s="94">
        <v>0</v>
      </c>
      <c r="E12" s="95"/>
      <c r="G12" s="84"/>
      <c r="H12" s="84"/>
      <c r="I12" s="84"/>
      <c r="J12" s="84"/>
      <c r="K12" s="84"/>
      <c r="L12" s="84"/>
      <c r="M12" s="84"/>
    </row>
    <row r="13" spans="1:13" s="78" customFormat="1" x14ac:dyDescent="0.25">
      <c r="A13" s="80" t="s">
        <v>341</v>
      </c>
      <c r="B13" s="80" t="s">
        <v>342</v>
      </c>
      <c r="C13" s="80" t="s">
        <v>343</v>
      </c>
      <c r="D13" s="94">
        <v>0</v>
      </c>
      <c r="E13" s="95"/>
      <c r="G13" s="84"/>
      <c r="H13" s="84"/>
      <c r="I13" s="84"/>
      <c r="J13" s="84"/>
      <c r="K13" s="84"/>
      <c r="L13" s="84"/>
      <c r="M13" s="84"/>
    </row>
    <row r="14" spans="1:13" s="78" customFormat="1" x14ac:dyDescent="0.25">
      <c r="A14" s="80" t="s">
        <v>341</v>
      </c>
      <c r="B14" s="80" t="s">
        <v>344</v>
      </c>
      <c r="C14" s="80" t="s">
        <v>344</v>
      </c>
      <c r="D14" s="94">
        <v>0</v>
      </c>
      <c r="E14" s="95"/>
      <c r="G14" s="84"/>
      <c r="H14" s="84"/>
      <c r="I14" s="84"/>
      <c r="J14" s="84"/>
      <c r="K14" s="84"/>
      <c r="L14" s="84"/>
      <c r="M14" s="84"/>
    </row>
    <row r="15" spans="1:13" s="78" customFormat="1" x14ac:dyDescent="0.25">
      <c r="A15" s="80"/>
      <c r="B15" s="80" t="s">
        <v>345</v>
      </c>
      <c r="C15" s="80" t="s">
        <v>346</v>
      </c>
      <c r="D15" s="94">
        <v>6</v>
      </c>
      <c r="E15" s="95"/>
      <c r="G15" s="84"/>
      <c r="H15" s="84"/>
      <c r="I15" s="84"/>
      <c r="J15" s="84"/>
      <c r="K15" s="84"/>
      <c r="L15" s="84"/>
      <c r="M15" s="84"/>
    </row>
    <row r="16" spans="1:13" s="78" customFormat="1" x14ac:dyDescent="0.25">
      <c r="A16" s="81" t="s">
        <v>347</v>
      </c>
      <c r="B16" s="81" t="s">
        <v>348</v>
      </c>
      <c r="C16" s="81" t="s">
        <v>347</v>
      </c>
      <c r="D16" s="82">
        <v>0</v>
      </c>
      <c r="E16" s="83">
        <v>0</v>
      </c>
      <c r="G16" s="84"/>
      <c r="H16" s="84"/>
      <c r="I16" s="84"/>
      <c r="J16" s="84"/>
      <c r="K16" s="84"/>
      <c r="L16" s="84"/>
      <c r="M16" s="84"/>
    </row>
    <row r="17" spans="1:13" s="78" customFormat="1" x14ac:dyDescent="0.25">
      <c r="A17" s="81" t="s">
        <v>349</v>
      </c>
      <c r="B17" s="81" t="s">
        <v>348</v>
      </c>
      <c r="C17" s="81" t="s">
        <v>350</v>
      </c>
      <c r="D17" s="82">
        <v>0</v>
      </c>
      <c r="E17" s="83">
        <v>200</v>
      </c>
      <c r="G17" s="84"/>
      <c r="H17" s="84"/>
      <c r="I17" s="84"/>
      <c r="J17" s="84"/>
      <c r="K17" s="84"/>
      <c r="L17" s="84"/>
      <c r="M17" s="84"/>
    </row>
    <row r="18" spans="1:13" s="78" customFormat="1" x14ac:dyDescent="0.25">
      <c r="A18" s="81" t="s">
        <v>351</v>
      </c>
      <c r="B18" s="81" t="s">
        <v>348</v>
      </c>
      <c r="C18" s="81" t="s">
        <v>352</v>
      </c>
      <c r="D18" s="82">
        <v>0</v>
      </c>
      <c r="E18" s="83">
        <v>200</v>
      </c>
      <c r="G18" s="84"/>
      <c r="H18" s="84"/>
      <c r="I18" s="84"/>
      <c r="J18" s="84"/>
      <c r="K18" s="84"/>
      <c r="L18" s="84"/>
      <c r="M18" s="84"/>
    </row>
    <row r="19" spans="1:13" s="78" customFormat="1" x14ac:dyDescent="0.25">
      <c r="A19" s="81" t="s">
        <v>353</v>
      </c>
      <c r="B19" s="81" t="s">
        <v>348</v>
      </c>
      <c r="C19" s="81" t="s">
        <v>354</v>
      </c>
      <c r="D19" s="82">
        <v>0</v>
      </c>
      <c r="E19" s="83">
        <v>200</v>
      </c>
      <c r="G19" s="84"/>
      <c r="H19" s="84"/>
      <c r="I19" s="84"/>
      <c r="J19" s="84"/>
      <c r="K19" s="84"/>
      <c r="L19" s="84"/>
      <c r="M19" s="84"/>
    </row>
    <row r="20" spans="1:13" s="78" customFormat="1" x14ac:dyDescent="0.25">
      <c r="A20" s="81" t="s">
        <v>355</v>
      </c>
      <c r="B20" s="81" t="s">
        <v>348</v>
      </c>
      <c r="C20" s="81" t="s">
        <v>356</v>
      </c>
      <c r="D20" s="82">
        <v>0</v>
      </c>
      <c r="E20" s="83">
        <v>135</v>
      </c>
      <c r="G20" s="79"/>
    </row>
    <row r="21" spans="1:13" x14ac:dyDescent="0.25">
      <c r="A21" s="362"/>
      <c r="B21" s="362"/>
      <c r="C21" s="362" t="s">
        <v>357</v>
      </c>
      <c r="D21" s="369">
        <v>1</v>
      </c>
      <c r="E21" s="358">
        <v>0</v>
      </c>
    </row>
    <row r="22" spans="1:13" x14ac:dyDescent="0.25">
      <c r="A22" s="362"/>
      <c r="B22" s="362"/>
      <c r="C22" s="362" t="s">
        <v>358</v>
      </c>
      <c r="D22" s="369">
        <v>0</v>
      </c>
      <c r="E22" s="370">
        <v>0</v>
      </c>
    </row>
    <row r="23" spans="1:13" x14ac:dyDescent="0.25">
      <c r="A23" s="356" t="s">
        <v>359</v>
      </c>
      <c r="B23" s="356"/>
      <c r="C23" s="356"/>
      <c r="D23" s="357"/>
      <c r="E23" s="358"/>
    </row>
    <row r="24" spans="1:13" x14ac:dyDescent="0.25">
      <c r="A24" s="356" t="s">
        <v>359</v>
      </c>
      <c r="B24" s="356"/>
      <c r="C24" s="356"/>
      <c r="D24" s="357"/>
      <c r="E24" s="358"/>
    </row>
    <row r="25" spans="1:13" x14ac:dyDescent="0.25">
      <c r="A25" s="356" t="s">
        <v>360</v>
      </c>
      <c r="B25" s="356"/>
      <c r="C25" s="356"/>
      <c r="D25" s="357"/>
      <c r="E25" s="358"/>
    </row>
    <row r="26" spans="1:13" x14ac:dyDescent="0.25">
      <c r="A26" s="356" t="s">
        <v>361</v>
      </c>
      <c r="B26" s="356"/>
      <c r="C26" s="356"/>
      <c r="D26" s="357"/>
      <c r="E26" s="358"/>
    </row>
    <row r="27" spans="1:13" x14ac:dyDescent="0.25">
      <c r="A27" s="356" t="s">
        <v>361</v>
      </c>
      <c r="B27" s="356"/>
      <c r="C27" s="356"/>
      <c r="D27" s="357"/>
      <c r="E27" s="358"/>
    </row>
    <row r="28" spans="1:13" x14ac:dyDescent="0.25">
      <c r="A28" s="356" t="s">
        <v>361</v>
      </c>
      <c r="B28" s="356"/>
      <c r="C28" s="356"/>
      <c r="D28" s="357"/>
      <c r="E28" s="358"/>
    </row>
    <row r="29" spans="1:13" x14ac:dyDescent="0.25">
      <c r="A29" s="356" t="s">
        <v>361</v>
      </c>
      <c r="B29" s="356"/>
      <c r="C29" s="356"/>
      <c r="D29" s="357"/>
      <c r="E29" s="358"/>
    </row>
    <row r="30" spans="1:13" x14ac:dyDescent="0.25">
      <c r="A30" s="356" t="s">
        <v>362</v>
      </c>
      <c r="B30" s="356"/>
      <c r="C30" s="356"/>
      <c r="D30" s="357"/>
      <c r="E30" s="358"/>
    </row>
    <row r="31" spans="1:13" x14ac:dyDescent="0.25">
      <c r="A31" s="356" t="s">
        <v>363</v>
      </c>
      <c r="B31" s="356"/>
      <c r="C31" s="356"/>
      <c r="D31" s="357"/>
      <c r="E31" s="358"/>
    </row>
    <row r="32" spans="1:13" x14ac:dyDescent="0.25">
      <c r="A32" s="356" t="s">
        <v>363</v>
      </c>
      <c r="B32" s="356"/>
      <c r="C32" s="356"/>
      <c r="D32" s="357"/>
      <c r="E32" s="358"/>
    </row>
    <row r="33" spans="1:7" x14ac:dyDescent="0.25">
      <c r="A33" s="356" t="s">
        <v>363</v>
      </c>
      <c r="B33" s="356"/>
      <c r="C33" s="356"/>
      <c r="D33" s="357"/>
      <c r="E33" s="358"/>
    </row>
    <row r="34" spans="1:7" x14ac:dyDescent="0.25">
      <c r="A34" s="356" t="s">
        <v>364</v>
      </c>
      <c r="B34" s="356"/>
      <c r="C34" s="356"/>
      <c r="D34" s="357"/>
      <c r="E34" s="358"/>
    </row>
    <row r="35" spans="1:7" x14ac:dyDescent="0.25">
      <c r="A35" s="356" t="s">
        <v>364</v>
      </c>
      <c r="B35" s="356"/>
      <c r="C35" s="356"/>
      <c r="D35" s="357"/>
      <c r="E35" s="358"/>
    </row>
    <row r="36" spans="1:7" x14ac:dyDescent="0.25">
      <c r="A36" s="356" t="s">
        <v>364</v>
      </c>
      <c r="B36" s="356"/>
      <c r="C36" s="356"/>
      <c r="D36" s="357"/>
      <c r="E36" s="358"/>
    </row>
    <row r="37" spans="1:7" x14ac:dyDescent="0.25">
      <c r="A37" s="356" t="s">
        <v>365</v>
      </c>
      <c r="B37" s="356"/>
      <c r="C37" s="356"/>
      <c r="D37" s="357"/>
      <c r="E37" s="358"/>
    </row>
    <row r="38" spans="1:7" x14ac:dyDescent="0.25">
      <c r="A38" s="356" t="s">
        <v>366</v>
      </c>
      <c r="B38" s="356"/>
      <c r="C38" s="356"/>
      <c r="D38" s="357"/>
      <c r="E38" s="358"/>
      <c r="G38" s="84">
        <v>1160</v>
      </c>
    </row>
    <row r="39" spans="1:7" x14ac:dyDescent="0.25">
      <c r="A39" s="356" t="s">
        <v>353</v>
      </c>
      <c r="B39" s="356"/>
      <c r="C39" s="356"/>
      <c r="D39" s="357"/>
      <c r="E39" s="358"/>
    </row>
    <row r="40" spans="1:7" x14ac:dyDescent="0.25">
      <c r="A40" s="356" t="s">
        <v>367</v>
      </c>
      <c r="B40" s="356"/>
      <c r="C40" s="356"/>
      <c r="D40" s="357"/>
      <c r="E40" s="358"/>
    </row>
    <row r="41" spans="1:7" x14ac:dyDescent="0.25">
      <c r="A41" s="356" t="s">
        <v>368</v>
      </c>
      <c r="B41" s="356"/>
      <c r="C41" s="356"/>
      <c r="D41" s="357"/>
      <c r="E41" s="358"/>
    </row>
    <row r="42" spans="1:7" x14ac:dyDescent="0.25">
      <c r="A42" s="356" t="s">
        <v>368</v>
      </c>
      <c r="B42" s="356"/>
      <c r="C42" s="356"/>
      <c r="D42" s="357"/>
      <c r="E42" s="358"/>
    </row>
    <row r="43" spans="1:7" x14ac:dyDescent="0.25">
      <c r="A43" s="356" t="s">
        <v>368</v>
      </c>
      <c r="B43" s="356"/>
      <c r="C43" s="356"/>
      <c r="D43" s="357"/>
      <c r="E43" s="358"/>
    </row>
    <row r="44" spans="1:7" x14ac:dyDescent="0.25">
      <c r="A44" s="356" t="s">
        <v>368</v>
      </c>
      <c r="B44" s="356"/>
      <c r="C44" s="356"/>
      <c r="D44" s="357"/>
      <c r="E44" s="358"/>
    </row>
    <row r="45" spans="1:7" x14ac:dyDescent="0.25">
      <c r="A45" s="356" t="s">
        <v>369</v>
      </c>
      <c r="B45" s="356"/>
      <c r="C45" s="356"/>
      <c r="D45" s="357"/>
      <c r="E45" s="358"/>
    </row>
    <row r="46" spans="1:7" x14ac:dyDescent="0.25">
      <c r="A46" s="356" t="s">
        <v>369</v>
      </c>
      <c r="B46" s="356"/>
      <c r="C46" s="356"/>
      <c r="D46" s="357"/>
      <c r="E46" s="358"/>
    </row>
    <row r="47" spans="1:7" x14ac:dyDescent="0.25">
      <c r="A47" s="356" t="s">
        <v>369</v>
      </c>
      <c r="B47" s="356"/>
      <c r="C47" s="356"/>
      <c r="D47" s="357"/>
      <c r="E47" s="358"/>
    </row>
    <row r="48" spans="1:7" x14ac:dyDescent="0.25">
      <c r="A48" s="356" t="s">
        <v>347</v>
      </c>
      <c r="B48" s="356"/>
      <c r="C48" s="356"/>
      <c r="D48" s="357"/>
      <c r="E48" s="358"/>
    </row>
    <row r="49" spans="1:5" x14ac:dyDescent="0.25">
      <c r="A49" s="356" t="s">
        <v>370</v>
      </c>
      <c r="B49" s="356"/>
      <c r="C49" s="356"/>
      <c r="D49" s="357"/>
      <c r="E49" s="358"/>
    </row>
    <row r="50" spans="1:5" x14ac:dyDescent="0.25">
      <c r="A50" s="356" t="s">
        <v>370</v>
      </c>
      <c r="B50" s="356"/>
      <c r="C50" s="356"/>
      <c r="D50" s="357"/>
      <c r="E50" s="358"/>
    </row>
    <row r="51" spans="1:5" x14ac:dyDescent="0.25">
      <c r="A51" s="356" t="s">
        <v>371</v>
      </c>
      <c r="B51" s="356"/>
      <c r="C51" s="356"/>
      <c r="D51" s="357"/>
      <c r="E51" s="358"/>
    </row>
    <row r="52" spans="1:5" x14ac:dyDescent="0.25">
      <c r="A52" s="356" t="s">
        <v>372</v>
      </c>
      <c r="B52" s="356"/>
      <c r="C52" s="356"/>
      <c r="D52" s="357"/>
      <c r="E52" s="358"/>
    </row>
    <row r="53" spans="1:5" x14ac:dyDescent="0.25">
      <c r="A53" s="356" t="s">
        <v>372</v>
      </c>
      <c r="B53" s="356"/>
      <c r="C53" s="356"/>
      <c r="D53" s="357"/>
      <c r="E53" s="358"/>
    </row>
    <row r="54" spans="1:5" x14ac:dyDescent="0.25">
      <c r="A54" s="356" t="s">
        <v>372</v>
      </c>
      <c r="B54" s="356"/>
      <c r="C54" s="356"/>
      <c r="D54" s="357"/>
      <c r="E54" s="358"/>
    </row>
    <row r="55" spans="1:5" x14ac:dyDescent="0.25">
      <c r="A55" s="356" t="s">
        <v>372</v>
      </c>
      <c r="B55" s="356"/>
      <c r="C55" s="356"/>
      <c r="D55" s="357"/>
      <c r="E55" s="358"/>
    </row>
    <row r="56" spans="1:5" x14ac:dyDescent="0.25">
      <c r="A56" s="356" t="s">
        <v>373</v>
      </c>
      <c r="B56" s="356"/>
      <c r="C56" s="356"/>
      <c r="D56" s="357"/>
      <c r="E56" s="358"/>
    </row>
    <row r="57" spans="1:5" x14ac:dyDescent="0.25">
      <c r="A57" s="356" t="s">
        <v>374</v>
      </c>
      <c r="B57" s="356"/>
      <c r="C57" s="356"/>
      <c r="D57" s="357"/>
      <c r="E57" s="358"/>
    </row>
    <row r="58" spans="1:5" x14ac:dyDescent="0.25">
      <c r="A58" s="356" t="s">
        <v>374</v>
      </c>
      <c r="B58" s="356"/>
      <c r="C58" s="356"/>
      <c r="D58" s="357"/>
      <c r="E58" s="358"/>
    </row>
    <row r="59" spans="1:5" x14ac:dyDescent="0.25">
      <c r="A59" s="356" t="s">
        <v>375</v>
      </c>
      <c r="B59" s="356"/>
      <c r="C59" s="356"/>
      <c r="D59" s="357"/>
      <c r="E59" s="358"/>
    </row>
    <row r="60" spans="1:5" x14ac:dyDescent="0.25">
      <c r="A60" s="356" t="s">
        <v>375</v>
      </c>
      <c r="B60" s="356"/>
      <c r="C60" s="356"/>
      <c r="D60" s="357"/>
      <c r="E60" s="358"/>
    </row>
    <row r="61" spans="1:5" x14ac:dyDescent="0.25">
      <c r="A61" s="356" t="s">
        <v>376</v>
      </c>
      <c r="B61" s="356"/>
      <c r="C61" s="356"/>
      <c r="D61" s="357"/>
      <c r="E61" s="358"/>
    </row>
    <row r="62" spans="1:5" x14ac:dyDescent="0.25">
      <c r="A62" s="356" t="s">
        <v>376</v>
      </c>
      <c r="B62" s="356"/>
      <c r="C62" s="356"/>
      <c r="D62" s="357"/>
      <c r="E62" s="358"/>
    </row>
    <row r="63" spans="1:5" x14ac:dyDescent="0.25">
      <c r="A63" s="356" t="s">
        <v>377</v>
      </c>
      <c r="B63" s="356"/>
      <c r="C63" s="356"/>
      <c r="D63" s="357"/>
      <c r="E63" s="358"/>
    </row>
    <row r="64" spans="1:5" x14ac:dyDescent="0.25">
      <c r="A64" s="362" t="s">
        <v>367</v>
      </c>
      <c r="B64" s="362"/>
      <c r="C64" s="362"/>
      <c r="D64" s="357"/>
      <c r="E64" s="358"/>
    </row>
    <row r="65" spans="1:5" x14ac:dyDescent="0.25">
      <c r="A65" s="362" t="s">
        <v>378</v>
      </c>
      <c r="B65" s="362"/>
      <c r="C65" s="362"/>
      <c r="D65" s="369"/>
      <c r="E65" s="370"/>
    </row>
    <row r="66" spans="1:5" x14ac:dyDescent="0.25">
      <c r="A66" s="362" t="s">
        <v>370</v>
      </c>
      <c r="B66" s="362"/>
      <c r="C66" s="362"/>
      <c r="D66" s="357"/>
      <c r="E66" s="358"/>
    </row>
    <row r="67" spans="1:5" x14ac:dyDescent="0.25">
      <c r="A67" s="362" t="s">
        <v>379</v>
      </c>
      <c r="B67" s="362"/>
      <c r="C67" s="362"/>
      <c r="D67" s="369"/>
      <c r="E67" s="370"/>
    </row>
    <row r="68" spans="1:5" x14ac:dyDescent="0.25">
      <c r="A68" s="362" t="s">
        <v>380</v>
      </c>
      <c r="B68" s="362"/>
      <c r="C68" s="362"/>
      <c r="D68" s="357"/>
      <c r="E68" s="358"/>
    </row>
    <row r="69" spans="1:5" x14ac:dyDescent="0.25">
      <c r="A69" s="362" t="s">
        <v>377</v>
      </c>
      <c r="B69" s="362"/>
      <c r="C69" s="362"/>
      <c r="D69" s="369"/>
      <c r="E69" s="370"/>
    </row>
    <row r="70" spans="1:5" x14ac:dyDescent="0.25">
      <c r="A70" s="362" t="s">
        <v>359</v>
      </c>
      <c r="B70" s="362"/>
      <c r="C70" s="362"/>
      <c r="D70" s="357"/>
      <c r="E70" s="358"/>
    </row>
  </sheetData>
  <mergeCells count="4">
    <mergeCell ref="B2:C3"/>
    <mergeCell ref="B6:C7"/>
    <mergeCell ref="B4:C5"/>
    <mergeCell ref="B8:C9"/>
  </mergeCells>
  <phoneticPr fontId="38" type="noConversion"/>
  <pageMargins left="0.7" right="0.7" top="0.75" bottom="0.75" header="0.3" footer="0.3"/>
  <pageSetup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7" tint="0.79998168889431442"/>
    <pageSetUpPr fitToPage="1"/>
  </sheetPr>
  <dimension ref="A1:S64"/>
  <sheetViews>
    <sheetView topLeftCell="D1" workbookViewId="0">
      <pane ySplit="4" topLeftCell="A5" activePane="bottomLeft" state="frozen"/>
      <selection pane="bottomLeft" activeCell="G39" sqref="G39"/>
    </sheetView>
  </sheetViews>
  <sheetFormatPr defaultRowHeight="15" x14ac:dyDescent="0.25"/>
  <cols>
    <col min="1" max="1" width="10.140625" style="104" bestFit="1" customWidth="1"/>
    <col min="2" max="2" width="9.7109375" style="102" bestFit="1" customWidth="1"/>
    <col min="3" max="3" width="18.5703125" style="104" bestFit="1" customWidth="1"/>
    <col min="4" max="4" width="13.5703125" style="104" bestFit="1" customWidth="1"/>
    <col min="5" max="5" width="56.28515625" style="104" bestFit="1" customWidth="1"/>
    <col min="6" max="6" width="8.7109375" style="104" bestFit="1" customWidth="1"/>
    <col min="7" max="7" width="14.28515625" style="147" bestFit="1" customWidth="1"/>
    <col min="8" max="8" width="10" style="147" bestFit="1" customWidth="1"/>
    <col min="9" max="9" width="10.28515625" style="361" bestFit="1" customWidth="1"/>
    <col min="10" max="10" width="11.140625" style="102" bestFit="1" customWidth="1"/>
    <col min="11" max="11" width="14.28515625" style="143" bestFit="1" customWidth="1"/>
    <col min="12" max="12" width="9.7109375" style="103" bestFit="1" customWidth="1"/>
    <col min="13" max="13" width="9.42578125" style="102" bestFit="1" customWidth="1"/>
    <col min="14" max="14" width="10.85546875" style="10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76" t="s">
        <v>381</v>
      </c>
      <c r="B1" s="577"/>
      <c r="C1" s="577"/>
      <c r="D1" s="577"/>
      <c r="E1" s="577"/>
      <c r="F1" s="577"/>
      <c r="G1" s="577"/>
      <c r="H1" s="578"/>
      <c r="I1" s="567" t="s">
        <v>382</v>
      </c>
      <c r="J1" s="568"/>
      <c r="K1" s="568"/>
      <c r="L1" s="568"/>
      <c r="M1" s="568"/>
      <c r="N1" s="569"/>
      <c r="P1" s="31" t="s">
        <v>383</v>
      </c>
      <c r="Q1" s="15">
        <v>1</v>
      </c>
      <c r="R1" s="90" t="s">
        <v>384</v>
      </c>
      <c r="S1" s="15">
        <v>4</v>
      </c>
    </row>
    <row r="2" spans="1:19" x14ac:dyDescent="0.25">
      <c r="A2" s="579"/>
      <c r="B2" s="388"/>
      <c r="C2" s="388"/>
      <c r="D2" s="388"/>
      <c r="E2" s="388"/>
      <c r="F2" s="388"/>
      <c r="G2" s="388"/>
      <c r="H2" s="580"/>
      <c r="I2" s="570"/>
      <c r="J2" s="571"/>
      <c r="K2" s="571"/>
      <c r="L2" s="571"/>
      <c r="M2" s="571"/>
      <c r="N2" s="572"/>
      <c r="P2" s="31" t="s">
        <v>385</v>
      </c>
      <c r="Q2" s="15">
        <v>2</v>
      </c>
      <c r="R2" s="31" t="s">
        <v>386</v>
      </c>
      <c r="S2" s="15">
        <v>0</v>
      </c>
    </row>
    <row r="3" spans="1:19" ht="15.75" thickBot="1" x14ac:dyDescent="0.3">
      <c r="A3" s="581"/>
      <c r="B3" s="582"/>
      <c r="C3" s="582"/>
      <c r="D3" s="582"/>
      <c r="E3" s="582"/>
      <c r="F3" s="582"/>
      <c r="G3" s="582"/>
      <c r="H3" s="583"/>
      <c r="I3" s="573"/>
      <c r="J3" s="574"/>
      <c r="K3" s="574"/>
      <c r="L3" s="574"/>
      <c r="M3" s="574"/>
      <c r="N3" s="575"/>
      <c r="P3" s="31" t="s">
        <v>387</v>
      </c>
      <c r="Q3" s="15">
        <v>3</v>
      </c>
      <c r="R3" s="15" t="s">
        <v>388</v>
      </c>
      <c r="S3" s="15">
        <v>5</v>
      </c>
    </row>
    <row r="4" spans="1:19" s="93" customFormat="1" ht="30.75" thickTop="1" x14ac:dyDescent="0.25">
      <c r="A4" s="144" t="s">
        <v>389</v>
      </c>
      <c r="B4" s="145" t="s">
        <v>390</v>
      </c>
      <c r="C4" s="144" t="s">
        <v>391</v>
      </c>
      <c r="D4" s="144" t="s">
        <v>392</v>
      </c>
      <c r="E4" s="144" t="s">
        <v>393</v>
      </c>
      <c r="F4" s="144" t="s">
        <v>337</v>
      </c>
      <c r="G4" s="146" t="s">
        <v>338</v>
      </c>
      <c r="H4" s="146" t="s">
        <v>394</v>
      </c>
      <c r="I4" s="359" t="s">
        <v>395</v>
      </c>
      <c r="J4" s="99" t="s">
        <v>396</v>
      </c>
      <c r="K4" s="142" t="s">
        <v>83</v>
      </c>
      <c r="L4" s="99" t="s">
        <v>397</v>
      </c>
      <c r="M4" s="99" t="s">
        <v>398</v>
      </c>
      <c r="N4" s="99" t="s">
        <v>161</v>
      </c>
    </row>
    <row r="5" spans="1:19" x14ac:dyDescent="0.25">
      <c r="A5" s="104" t="str">
        <f>+IF(FromProposal[[#This Row],[Cost Code]]&lt;&gt;0,"Glasgow","")</f>
        <v>Glasgow</v>
      </c>
      <c r="B5" s="102">
        <v>1</v>
      </c>
      <c r="C5" s="104" t="s">
        <v>339</v>
      </c>
      <c r="D5" s="104" t="s">
        <v>339</v>
      </c>
      <c r="E5" s="104" t="s">
        <v>340</v>
      </c>
      <c r="F5" s="104">
        <v>0</v>
      </c>
      <c r="I5" s="360"/>
      <c r="J5" s="100"/>
      <c r="K5" s="148"/>
      <c r="L5" s="100"/>
      <c r="M5" s="101"/>
      <c r="N5" s="101"/>
    </row>
    <row r="6" spans="1:19" x14ac:dyDescent="0.25">
      <c r="A6" s="104" t="str">
        <f>+IF(FromProposal[[#This Row],[Cost Code]]&lt;&gt;0,"Glasgow","")</f>
        <v>Glasgow</v>
      </c>
      <c r="B6" s="102">
        <v>2</v>
      </c>
      <c r="C6" s="104" t="s">
        <v>341</v>
      </c>
      <c r="D6" s="104" t="s">
        <v>342</v>
      </c>
      <c r="E6" s="104" t="s">
        <v>343</v>
      </c>
      <c r="F6" s="104">
        <v>0</v>
      </c>
      <c r="I6" s="360"/>
      <c r="J6" s="100"/>
      <c r="K6" s="148"/>
      <c r="L6" s="100"/>
      <c r="M6" s="101"/>
      <c r="N6" s="101"/>
    </row>
    <row r="7" spans="1:19" x14ac:dyDescent="0.25">
      <c r="A7" s="104" t="str">
        <f>+IF(FromProposal[[#This Row],[Cost Code]]&lt;&gt;0,"Glasgow","")</f>
        <v>Glasgow</v>
      </c>
      <c r="B7" s="102">
        <v>3</v>
      </c>
      <c r="C7" s="104" t="s">
        <v>341</v>
      </c>
      <c r="D7" s="104" t="s">
        <v>344</v>
      </c>
      <c r="E7" s="104" t="s">
        <v>344</v>
      </c>
      <c r="F7" s="104">
        <v>0</v>
      </c>
      <c r="I7" s="360"/>
      <c r="J7" s="100"/>
      <c r="K7" s="148"/>
      <c r="L7" s="100"/>
      <c r="M7" s="101"/>
      <c r="N7" s="101"/>
    </row>
    <row r="8" spans="1:19" x14ac:dyDescent="0.25">
      <c r="A8" s="104" t="str">
        <f>+IF(FromProposal[[#This Row],[Cost Code]]&lt;&gt;0,"Glasgow","")</f>
        <v/>
      </c>
      <c r="B8" s="102">
        <v>4</v>
      </c>
      <c r="D8" s="104" t="s">
        <v>345</v>
      </c>
      <c r="E8" s="104" t="s">
        <v>346</v>
      </c>
      <c r="F8" s="104">
        <v>6</v>
      </c>
      <c r="I8" s="360"/>
      <c r="J8" s="100"/>
      <c r="K8" s="148"/>
      <c r="L8" s="100"/>
      <c r="M8" s="101"/>
      <c r="N8" s="101"/>
    </row>
    <row r="9" spans="1:19" x14ac:dyDescent="0.25">
      <c r="A9" s="104" t="str">
        <f>+IF(FromProposal[[#This Row],[Cost Code]]&lt;&gt;0,"Glasgow","")</f>
        <v>Glasgow</v>
      </c>
      <c r="B9" s="102">
        <v>5</v>
      </c>
      <c r="C9" s="104" t="s">
        <v>347</v>
      </c>
      <c r="D9" s="104" t="s">
        <v>348</v>
      </c>
      <c r="E9" s="104" t="s">
        <v>347</v>
      </c>
      <c r="F9" s="104">
        <v>0</v>
      </c>
      <c r="G9" s="147">
        <v>0</v>
      </c>
      <c r="H9" s="147">
        <v>0</v>
      </c>
      <c r="I9" s="360"/>
      <c r="J9" s="100"/>
      <c r="K9" s="148"/>
      <c r="L9" s="100"/>
      <c r="M9" s="101"/>
      <c r="N9" s="101"/>
    </row>
    <row r="10" spans="1:19" x14ac:dyDescent="0.25">
      <c r="A10" s="104" t="str">
        <f>+IF(FromProposal[[#This Row],[Cost Code]]&lt;&gt;0,"Glasgow","")</f>
        <v>Glasgow</v>
      </c>
      <c r="B10" s="102">
        <v>6</v>
      </c>
      <c r="C10" s="104" t="s">
        <v>349</v>
      </c>
      <c r="D10" s="104" t="s">
        <v>348</v>
      </c>
      <c r="E10" s="104" t="s">
        <v>350</v>
      </c>
      <c r="F10" s="104">
        <v>0</v>
      </c>
      <c r="G10" s="147">
        <v>200</v>
      </c>
      <c r="H10" s="147">
        <v>0</v>
      </c>
      <c r="I10" s="360"/>
      <c r="J10" s="100"/>
      <c r="K10" s="148"/>
      <c r="L10" s="100"/>
      <c r="M10" s="101"/>
      <c r="N10" s="101"/>
    </row>
    <row r="11" spans="1:19" x14ac:dyDescent="0.25">
      <c r="A11" s="104" t="str">
        <f>+IF(FromProposal[[#This Row],[Cost Code]]&lt;&gt;0,"Glasgow","")</f>
        <v>Glasgow</v>
      </c>
      <c r="B11" s="102">
        <v>7</v>
      </c>
      <c r="C11" s="104" t="s">
        <v>351</v>
      </c>
      <c r="D11" s="104" t="s">
        <v>348</v>
      </c>
      <c r="E11" s="104" t="s">
        <v>352</v>
      </c>
      <c r="F11" s="104">
        <v>0</v>
      </c>
      <c r="G11" s="147">
        <v>200</v>
      </c>
      <c r="H11" s="147">
        <v>0</v>
      </c>
      <c r="I11" s="360"/>
      <c r="J11" s="100"/>
      <c r="K11" s="148"/>
      <c r="L11" s="100"/>
      <c r="M11" s="101"/>
      <c r="N11" s="101"/>
    </row>
    <row r="12" spans="1:19" x14ac:dyDescent="0.25">
      <c r="A12" s="104" t="str">
        <f>+IF(FromProposal[[#This Row],[Cost Code]]&lt;&gt;0,"Glasgow","")</f>
        <v>Glasgow</v>
      </c>
      <c r="B12" s="102">
        <v>8</v>
      </c>
      <c r="C12" s="104" t="s">
        <v>353</v>
      </c>
      <c r="D12" s="104" t="s">
        <v>348</v>
      </c>
      <c r="E12" s="104" t="s">
        <v>354</v>
      </c>
      <c r="F12" s="104">
        <v>0</v>
      </c>
      <c r="G12" s="147">
        <v>200</v>
      </c>
      <c r="H12" s="147">
        <v>0</v>
      </c>
      <c r="I12" s="360"/>
      <c r="J12" s="100"/>
      <c r="K12" s="148"/>
      <c r="L12" s="100"/>
      <c r="M12" s="101"/>
      <c r="N12" s="101"/>
    </row>
    <row r="13" spans="1:19" x14ac:dyDescent="0.25">
      <c r="A13" s="104" t="str">
        <f>+IF(FromProposal[[#This Row],[Cost Code]]&lt;&gt;0,"Glasgow","")</f>
        <v>Glasgow</v>
      </c>
      <c r="B13" s="102">
        <v>9</v>
      </c>
      <c r="C13" s="104" t="s">
        <v>355</v>
      </c>
      <c r="D13" s="104" t="s">
        <v>348</v>
      </c>
      <c r="E13" s="104" t="s">
        <v>356</v>
      </c>
      <c r="F13" s="104">
        <v>0</v>
      </c>
      <c r="G13" s="147">
        <v>135</v>
      </c>
      <c r="H13" s="147">
        <v>0</v>
      </c>
      <c r="I13" s="360"/>
      <c r="J13" s="100"/>
      <c r="K13" s="148"/>
      <c r="L13" s="100"/>
      <c r="M13" s="101"/>
      <c r="N13" s="101"/>
    </row>
    <row r="14" spans="1:19" x14ac:dyDescent="0.25">
      <c r="A14" s="104" t="str">
        <f>+IF(FromProposal[[#This Row],[Cost Code]]&lt;&gt;0,"Glasgow","")</f>
        <v/>
      </c>
      <c r="B14" s="102">
        <v>10</v>
      </c>
      <c r="E14" s="104" t="s">
        <v>357</v>
      </c>
      <c r="F14" s="104">
        <v>1</v>
      </c>
      <c r="G14" s="147">
        <v>0</v>
      </c>
      <c r="H14" s="147">
        <v>0</v>
      </c>
      <c r="I14" s="360"/>
      <c r="J14" s="100"/>
      <c r="K14" s="148"/>
      <c r="L14" s="100"/>
      <c r="M14" s="101"/>
      <c r="N14" s="101"/>
    </row>
    <row r="15" spans="1:19" x14ac:dyDescent="0.25">
      <c r="A15" s="104" t="str">
        <f>+IF(FromProposal[[#This Row],[Cost Code]]&lt;&gt;0,"Glasgow","")</f>
        <v/>
      </c>
      <c r="B15" s="102">
        <v>11</v>
      </c>
      <c r="E15" s="104" t="s">
        <v>358</v>
      </c>
      <c r="F15" s="104">
        <v>0</v>
      </c>
      <c r="G15" s="147">
        <v>0</v>
      </c>
      <c r="H15" s="147">
        <v>0</v>
      </c>
      <c r="I15" s="360"/>
      <c r="J15" s="100"/>
      <c r="K15" s="148"/>
      <c r="L15" s="100"/>
      <c r="M15" s="101"/>
      <c r="N15" s="101"/>
    </row>
    <row r="16" spans="1:19" x14ac:dyDescent="0.25">
      <c r="A16" s="104" t="str">
        <f>+IF(FromProposal[[#This Row],[Cost Code]]&lt;&gt;0,"Glasgow","")</f>
        <v>Glasgow</v>
      </c>
      <c r="B16" s="102">
        <v>12</v>
      </c>
      <c r="C16" s="104" t="s">
        <v>359</v>
      </c>
      <c r="I16" s="360"/>
      <c r="J16" s="100"/>
      <c r="K16" s="148"/>
      <c r="L16" s="100"/>
      <c r="M16" s="101"/>
      <c r="N16" s="101"/>
    </row>
    <row r="17" spans="1:14" x14ac:dyDescent="0.25">
      <c r="A17" s="104" t="str">
        <f>+IF(FromProposal[[#This Row],[Cost Code]]&lt;&gt;0,"Glasgow","")</f>
        <v>Glasgow</v>
      </c>
      <c r="B17" s="102">
        <v>13</v>
      </c>
      <c r="C17" s="104" t="s">
        <v>359</v>
      </c>
      <c r="I17" s="360"/>
      <c r="J17" s="100"/>
      <c r="K17" s="148"/>
      <c r="L17" s="100"/>
      <c r="M17" s="101"/>
      <c r="N17" s="101"/>
    </row>
    <row r="18" spans="1:14" x14ac:dyDescent="0.25">
      <c r="A18" s="104" t="str">
        <f>+IF(FromProposal[[#This Row],[Cost Code]]&lt;&gt;0,"Glasgow","")</f>
        <v>Glasgow</v>
      </c>
      <c r="B18" s="102">
        <v>14</v>
      </c>
      <c r="C18" s="104" t="s">
        <v>360</v>
      </c>
      <c r="I18" s="360"/>
      <c r="J18" s="100"/>
      <c r="K18" s="148"/>
      <c r="L18" s="100"/>
      <c r="M18" s="101"/>
      <c r="N18" s="101"/>
    </row>
    <row r="19" spans="1:14" x14ac:dyDescent="0.25">
      <c r="A19" s="104" t="str">
        <f>+IF(FromProposal[[#This Row],[Cost Code]]&lt;&gt;0,"Glasgow","")</f>
        <v>Glasgow</v>
      </c>
      <c r="B19" s="102">
        <v>15</v>
      </c>
      <c r="C19" s="104" t="s">
        <v>361</v>
      </c>
      <c r="I19" s="360"/>
      <c r="J19" s="100"/>
      <c r="K19" s="148"/>
      <c r="L19" s="100"/>
      <c r="M19" s="101"/>
      <c r="N19" s="101"/>
    </row>
    <row r="20" spans="1:14" x14ac:dyDescent="0.25">
      <c r="A20" s="104" t="str">
        <f>+IF(FromProposal[[#This Row],[Cost Code]]&lt;&gt;0,"Glasgow","")</f>
        <v>Glasgow</v>
      </c>
      <c r="B20" s="102">
        <v>16</v>
      </c>
      <c r="C20" s="104" t="s">
        <v>361</v>
      </c>
      <c r="I20" s="360"/>
      <c r="J20" s="100"/>
      <c r="K20" s="148"/>
      <c r="L20" s="100"/>
      <c r="M20" s="101"/>
      <c r="N20" s="101"/>
    </row>
    <row r="21" spans="1:14" x14ac:dyDescent="0.25">
      <c r="G21" s="104"/>
      <c r="H21" s="104"/>
    </row>
    <row r="22" spans="1:14" x14ac:dyDescent="0.25">
      <c r="G22" s="104"/>
      <c r="H22" s="104"/>
    </row>
    <row r="23" spans="1:14" x14ac:dyDescent="0.25">
      <c r="G23" s="104"/>
      <c r="H23" s="104"/>
    </row>
    <row r="24" spans="1:14" x14ac:dyDescent="0.25">
      <c r="G24" s="104"/>
      <c r="H24" s="104"/>
    </row>
    <row r="25" spans="1:14" x14ac:dyDescent="0.25">
      <c r="G25" s="104"/>
      <c r="H25" s="104"/>
    </row>
    <row r="26" spans="1:14" x14ac:dyDescent="0.25">
      <c r="G26" s="104"/>
      <c r="H26" s="104"/>
    </row>
    <row r="27" spans="1:14" x14ac:dyDescent="0.25">
      <c r="G27" s="104"/>
      <c r="H27" s="104"/>
    </row>
    <row r="28" spans="1:14" x14ac:dyDescent="0.25">
      <c r="G28" s="104"/>
      <c r="H28" s="104"/>
    </row>
    <row r="29" spans="1:14" x14ac:dyDescent="0.25">
      <c r="G29" s="104"/>
      <c r="H29" s="104"/>
    </row>
    <row r="30" spans="1:14" x14ac:dyDescent="0.25">
      <c r="G30" s="104"/>
      <c r="H30" s="104"/>
    </row>
    <row r="31" spans="1:14" x14ac:dyDescent="0.25">
      <c r="G31" s="104"/>
      <c r="H31" s="104"/>
    </row>
    <row r="32" spans="1:14" x14ac:dyDescent="0.25">
      <c r="G32" s="104"/>
      <c r="H32" s="104"/>
    </row>
    <row r="33" spans="7:8" x14ac:dyDescent="0.25">
      <c r="G33" s="104"/>
      <c r="H33" s="104"/>
    </row>
    <row r="34" spans="7:8" x14ac:dyDescent="0.25">
      <c r="G34" s="104"/>
      <c r="H34" s="104"/>
    </row>
    <row r="35" spans="7:8" x14ac:dyDescent="0.25">
      <c r="G35" s="104"/>
      <c r="H35" s="104"/>
    </row>
    <row r="36" spans="7:8" x14ac:dyDescent="0.25">
      <c r="G36" s="104"/>
      <c r="H36" s="104"/>
    </row>
    <row r="37" spans="7:8" x14ac:dyDescent="0.25">
      <c r="G37" s="104"/>
      <c r="H37" s="104"/>
    </row>
    <row r="38" spans="7:8" x14ac:dyDescent="0.25">
      <c r="G38" s="104"/>
      <c r="H38" s="104"/>
    </row>
    <row r="39" spans="7:8" x14ac:dyDescent="0.25">
      <c r="G39" s="104"/>
      <c r="H39" s="104"/>
    </row>
    <row r="40" spans="7:8" x14ac:dyDescent="0.25">
      <c r="G40" s="104"/>
      <c r="H40" s="104"/>
    </row>
    <row r="41" spans="7:8" x14ac:dyDescent="0.25">
      <c r="G41" s="104"/>
      <c r="H41" s="104"/>
    </row>
    <row r="42" spans="7:8" x14ac:dyDescent="0.25">
      <c r="G42" s="104"/>
      <c r="H42" s="104"/>
    </row>
    <row r="43" spans="7:8" x14ac:dyDescent="0.25">
      <c r="G43" s="104"/>
      <c r="H43" s="104"/>
    </row>
    <row r="44" spans="7:8" x14ac:dyDescent="0.25">
      <c r="G44" s="104"/>
      <c r="H44" s="104"/>
    </row>
    <row r="45" spans="7:8" x14ac:dyDescent="0.25">
      <c r="G45" s="104"/>
      <c r="H45" s="104"/>
    </row>
    <row r="46" spans="7:8" x14ac:dyDescent="0.25">
      <c r="G46" s="104"/>
      <c r="H46" s="104"/>
    </row>
    <row r="47" spans="7:8" x14ac:dyDescent="0.25">
      <c r="G47" s="104"/>
      <c r="H47" s="104"/>
    </row>
    <row r="48" spans="7:8" x14ac:dyDescent="0.25">
      <c r="G48" s="104"/>
      <c r="H48" s="104"/>
    </row>
    <row r="49" spans="7:8" x14ac:dyDescent="0.25">
      <c r="G49" s="104"/>
      <c r="H49" s="104"/>
    </row>
    <row r="50" spans="7:8" x14ac:dyDescent="0.25">
      <c r="G50" s="104"/>
      <c r="H50" s="104"/>
    </row>
    <row r="51" spans="7:8" x14ac:dyDescent="0.25">
      <c r="G51" s="104"/>
      <c r="H51" s="104"/>
    </row>
    <row r="52" spans="7:8" x14ac:dyDescent="0.25">
      <c r="G52" s="104"/>
      <c r="H52" s="104"/>
    </row>
    <row r="53" spans="7:8" x14ac:dyDescent="0.25">
      <c r="G53" s="104"/>
      <c r="H53" s="104"/>
    </row>
    <row r="54" spans="7:8" x14ac:dyDescent="0.25">
      <c r="G54" s="104"/>
      <c r="H54" s="104"/>
    </row>
    <row r="55" spans="7:8" x14ac:dyDescent="0.25">
      <c r="G55" s="104"/>
      <c r="H55" s="104"/>
    </row>
    <row r="56" spans="7:8" x14ac:dyDescent="0.25">
      <c r="G56" s="104"/>
      <c r="H56" s="104"/>
    </row>
    <row r="57" spans="7:8" x14ac:dyDescent="0.25">
      <c r="G57" s="104"/>
      <c r="H57" s="104"/>
    </row>
    <row r="58" spans="7:8" x14ac:dyDescent="0.25">
      <c r="G58" s="104"/>
      <c r="H58" s="104"/>
    </row>
    <row r="59" spans="7:8" x14ac:dyDescent="0.25">
      <c r="G59" s="104"/>
      <c r="H59" s="104"/>
    </row>
    <row r="60" spans="7:8" x14ac:dyDescent="0.25">
      <c r="G60" s="104"/>
      <c r="H60" s="104"/>
    </row>
    <row r="61" spans="7:8" x14ac:dyDescent="0.25">
      <c r="G61" s="104"/>
      <c r="H61" s="104"/>
    </row>
    <row r="62" spans="7:8" x14ac:dyDescent="0.25">
      <c r="G62" s="104"/>
      <c r="H62" s="104"/>
    </row>
    <row r="63" spans="7:8" x14ac:dyDescent="0.25">
      <c r="G63" s="104"/>
      <c r="H63" s="104"/>
    </row>
    <row r="64" spans="7:8" x14ac:dyDescent="0.25">
      <c r="G64" s="104"/>
      <c r="H64" s="104"/>
    </row>
  </sheetData>
  <mergeCells count="2">
    <mergeCell ref="I1:N3"/>
    <mergeCell ref="A1:H3"/>
  </mergeCells>
  <phoneticPr fontId="38" type="noConversion"/>
  <pageMargins left="0.7" right="0.7" top="0.75" bottom="0.75" header="0.3" footer="0.3"/>
  <pageSetup scale="58"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7" tint="0.79998168889431442"/>
    <pageSetUpPr fitToPage="1"/>
  </sheetPr>
  <dimension ref="A1:DU96"/>
  <sheetViews>
    <sheetView workbookViewId="0">
      <selection activeCell="I26" sqref="I26"/>
    </sheetView>
  </sheetViews>
  <sheetFormatPr defaultColWidth="9.140625" defaultRowHeight="30" customHeight="1" x14ac:dyDescent="0.25"/>
  <cols>
    <col min="1" max="1" width="17.28515625" style="105" bestFit="1" customWidth="1"/>
    <col min="2" max="2" width="5.28515625" style="106" customWidth="1"/>
    <col min="3" max="3" width="18.5703125" style="107" bestFit="1" customWidth="1"/>
    <col min="4" max="4" width="21.140625" style="105" customWidth="1"/>
    <col min="5" max="5" width="69.140625" style="25" customWidth="1"/>
    <col min="6" max="6" width="5.5703125" style="36" customWidth="1"/>
    <col min="7" max="7" width="9.5703125" style="36" bestFit="1" customWidth="1"/>
    <col min="8" max="8" width="10" style="36" bestFit="1" customWidth="1"/>
    <col min="9" max="9" width="5.5703125" style="36" customWidth="1"/>
    <col min="10" max="10" width="6.28515625" style="36" customWidth="1"/>
    <col min="11" max="11" width="20.42578125" style="36" customWidth="1"/>
    <col min="12" max="12" width="5.28515625" style="36" customWidth="1"/>
    <col min="13" max="13" width="9" style="36" customWidth="1"/>
    <col min="14" max="14" width="10.85546875" style="36" bestFit="1" customWidth="1"/>
    <col min="15" max="15" width="11.85546875" style="36"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246"/>
      <c r="B1" s="247"/>
      <c r="C1" s="248"/>
      <c r="D1" s="249"/>
      <c r="E1" s="250"/>
      <c r="F1" s="251"/>
      <c r="G1" s="251"/>
      <c r="H1" s="251"/>
      <c r="I1" s="251"/>
      <c r="J1" s="586" t="s">
        <v>399</v>
      </c>
      <c r="K1" s="586"/>
      <c r="L1" s="251"/>
      <c r="M1" s="251"/>
      <c r="N1" s="252" t="s">
        <v>400</v>
      </c>
      <c r="O1" s="253"/>
    </row>
    <row r="2" spans="1:125" ht="30" customHeight="1" thickBot="1" x14ac:dyDescent="0.35">
      <c r="A2" s="602" t="str">
        <f>"Glasgow Design Build for "&amp;Profit!E1&amp; " Your Home"</f>
        <v>Glasgow Design Build for Buy Your Home</v>
      </c>
      <c r="B2" s="603"/>
      <c r="C2" s="603"/>
      <c r="D2" s="603"/>
      <c r="E2" s="266" t="s">
        <v>401</v>
      </c>
      <c r="F2" s="611">
        <f>+MIN(ProposalToGnatt[Start Date])</f>
        <v>0</v>
      </c>
      <c r="G2" s="612"/>
      <c r="H2" s="589" t="s">
        <v>402</v>
      </c>
      <c r="I2" s="590"/>
      <c r="J2" s="595">
        <f>+SUM(H8:H22)</f>
        <v>27817.440000000002</v>
      </c>
      <c r="K2" s="605"/>
      <c r="L2" s="254"/>
      <c r="M2" s="595">
        <f>+SUM(O8:O22)-SUM(M8:M22)</f>
        <v>1070</v>
      </c>
      <c r="N2" s="596"/>
      <c r="O2" s="255"/>
      <c r="P2" s="91"/>
      <c r="R2" s="89"/>
      <c r="S2" s="89"/>
      <c r="T2" s="89"/>
      <c r="U2" s="89"/>
      <c r="V2" s="89"/>
      <c r="W2" s="89"/>
      <c r="X2" s="89"/>
      <c r="Y2" s="89"/>
      <c r="Z2" s="89"/>
      <c r="AA2" s="89"/>
      <c r="AB2" s="89"/>
      <c r="AC2" s="89"/>
      <c r="AD2" s="89"/>
      <c r="AE2" s="89"/>
      <c r="AF2" s="89"/>
      <c r="AG2" s="89"/>
      <c r="AH2" s="89"/>
      <c r="AI2" s="89"/>
      <c r="AJ2" s="90"/>
      <c r="AK2" s="90"/>
      <c r="AP2" s="15"/>
      <c r="AQ2" s="15"/>
      <c r="AR2" s="15"/>
    </row>
    <row r="3" spans="1:125" ht="30" customHeight="1" x14ac:dyDescent="0.3">
      <c r="A3" s="602" t="s">
        <v>403</v>
      </c>
      <c r="B3" s="603" t="s">
        <v>403</v>
      </c>
      <c r="C3" s="603"/>
      <c r="D3" s="603"/>
      <c r="E3" s="267"/>
      <c r="H3" s="591" t="s">
        <v>404</v>
      </c>
      <c r="I3" s="592"/>
      <c r="J3" s="597">
        <f>SUM(H24:H27)</f>
        <v>750</v>
      </c>
      <c r="K3" s="608"/>
      <c r="L3" s="256"/>
      <c r="M3" s="597">
        <f>+J3-SUM(M24:M27)</f>
        <v>0</v>
      </c>
      <c r="N3" s="598"/>
      <c r="O3" s="257"/>
      <c r="P3" s="91"/>
      <c r="AP3" s="15"/>
      <c r="AQ3" s="15"/>
      <c r="AR3" s="15"/>
    </row>
    <row r="4" spans="1:125" ht="30" customHeight="1" x14ac:dyDescent="0.3">
      <c r="A4" s="602" t="str">
        <f>+Profit!B2</f>
        <v>3325 Banks Rd, Raleigh, NC 27603</v>
      </c>
      <c r="B4" s="603" t="str">
        <f>+Profit!B2</f>
        <v>3325 Banks Rd, Raleigh, NC 27603</v>
      </c>
      <c r="C4" s="603"/>
      <c r="D4" s="603"/>
      <c r="E4" s="587" t="s">
        <v>405</v>
      </c>
      <c r="F4" s="588"/>
      <c r="G4" s="108">
        <v>1</v>
      </c>
      <c r="H4" s="593" t="s">
        <v>406</v>
      </c>
      <c r="I4" s="594"/>
      <c r="J4" s="599">
        <f>SUM(ProposalToGnatt[Price])</f>
        <v>0</v>
      </c>
      <c r="K4" s="600"/>
      <c r="L4" s="258"/>
      <c r="M4" s="599" cm="1">
        <f t="array" ref="M4">+SUM(ProposalToGnatt[Due]-ProposalToGnatt[Paid])</f>
        <v>0</v>
      </c>
      <c r="N4" s="600"/>
      <c r="O4" s="259"/>
      <c r="P4" s="91"/>
      <c r="AP4" s="15"/>
      <c r="AQ4" s="15"/>
      <c r="AR4" s="15"/>
    </row>
    <row r="5" spans="1:125" ht="18" customHeight="1" thickBot="1" x14ac:dyDescent="0.3">
      <c r="A5" s="260"/>
      <c r="B5" s="261" t="s">
        <v>407</v>
      </c>
      <c r="C5" s="262"/>
      <c r="D5" s="263"/>
      <c r="E5" s="606" t="s">
        <v>408</v>
      </c>
      <c r="F5" s="607"/>
      <c r="G5" s="264">
        <v>2</v>
      </c>
      <c r="H5" s="604" t="s">
        <v>409</v>
      </c>
      <c r="I5" s="604"/>
      <c r="J5" s="609">
        <f>+SUM(J2:K4)</f>
        <v>28567.440000000002</v>
      </c>
      <c r="K5" s="610"/>
      <c r="L5" s="24"/>
      <c r="M5" s="601">
        <f>+SUM(M2:N4)</f>
        <v>1070</v>
      </c>
      <c r="N5" s="413"/>
      <c r="O5" s="265"/>
      <c r="P5" s="87"/>
      <c r="BB5" s="15"/>
      <c r="BC5" s="15"/>
      <c r="BD5" s="15"/>
    </row>
    <row r="6" spans="1:125" s="22" customFormat="1" ht="30.75" customHeight="1" x14ac:dyDescent="0.35">
      <c r="A6" s="109"/>
      <c r="B6" s="110"/>
      <c r="C6" s="111"/>
      <c r="D6" s="109"/>
      <c r="E6" s="112" t="str">
        <f>Profit!E1&amp;" Your Home Supplied Materials"</f>
        <v>Buy Your Home Supplied Materials</v>
      </c>
      <c r="F6" s="109"/>
      <c r="G6" s="113"/>
      <c r="H6" s="113"/>
      <c r="I6" s="109"/>
      <c r="J6" s="109"/>
      <c r="K6" s="114"/>
      <c r="L6" s="109"/>
      <c r="M6" s="109"/>
      <c r="N6" s="109"/>
      <c r="O6" s="109"/>
      <c r="R6" s="36"/>
      <c r="S6" s="36"/>
      <c r="T6" s="36"/>
      <c r="U6" s="36"/>
      <c r="V6" s="36"/>
      <c r="W6" s="36"/>
      <c r="X6" s="36"/>
      <c r="Y6" s="36"/>
      <c r="Z6" s="36"/>
      <c r="AA6" s="36"/>
      <c r="AB6" s="36"/>
      <c r="AC6" s="36"/>
      <c r="AD6" s="36"/>
      <c r="AE6" s="36"/>
      <c r="AF6" s="36"/>
      <c r="AG6" s="36"/>
      <c r="AH6" s="36"/>
    </row>
    <row r="7" spans="1:125" s="42" customFormat="1" ht="32.25" customHeight="1" x14ac:dyDescent="0.25">
      <c r="A7" s="109" t="s">
        <v>410</v>
      </c>
      <c r="B7" s="110" t="s">
        <v>411</v>
      </c>
      <c r="C7" s="111" t="s">
        <v>391</v>
      </c>
      <c r="D7" s="109" t="s">
        <v>392</v>
      </c>
      <c r="E7" s="109" t="s">
        <v>393</v>
      </c>
      <c r="F7" s="109" t="s">
        <v>337</v>
      </c>
      <c r="G7" s="113" t="s">
        <v>338</v>
      </c>
      <c r="H7" s="113" t="s">
        <v>394</v>
      </c>
      <c r="I7" s="109" t="s">
        <v>395</v>
      </c>
      <c r="J7" s="109" t="s">
        <v>396</v>
      </c>
      <c r="K7" s="114" t="s">
        <v>83</v>
      </c>
      <c r="L7" s="109" t="s">
        <v>397</v>
      </c>
      <c r="M7" s="109" t="s">
        <v>398</v>
      </c>
      <c r="N7" s="109" t="s">
        <v>161</v>
      </c>
      <c r="O7" s="109" t="s">
        <v>412</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115" t="str">
        <f>Profit!$E$1&amp;" Your Home"</f>
        <v>Buy Your Home</v>
      </c>
      <c r="B8" s="116">
        <v>1</v>
      </c>
      <c r="C8" s="117"/>
      <c r="D8" s="115"/>
      <c r="E8" s="115" t="s">
        <v>413</v>
      </c>
      <c r="F8" s="116">
        <v>1</v>
      </c>
      <c r="G8" s="118">
        <f>+'Demo &amp; Trash Haul'!G21</f>
        <v>5322.49</v>
      </c>
      <c r="H8" s="118">
        <f t="shared" ref="H8:H22" si="0">+F8*G8</f>
        <v>5322.49</v>
      </c>
      <c r="I8" s="119" t="s">
        <v>177</v>
      </c>
      <c r="J8" s="118"/>
      <c r="K8" s="120"/>
      <c r="L8" s="118"/>
      <c r="M8" s="118">
        <v>4672.49</v>
      </c>
      <c r="N8" s="119"/>
      <c r="O8" s="118">
        <f t="shared" ref="O8:O22" si="1">IF(I8="Yes",H8,0)</f>
        <v>5322.49</v>
      </c>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115" t="str">
        <f>Profit!$E$1&amp;" Your Home"</f>
        <v>Buy Your Home</v>
      </c>
      <c r="B9" s="116">
        <f t="shared" ref="B9" si="2">+B8+1</f>
        <v>2</v>
      </c>
      <c r="C9" s="117"/>
      <c r="D9" s="115"/>
      <c r="E9" s="115" t="s">
        <v>414</v>
      </c>
      <c r="F9" s="116">
        <v>0</v>
      </c>
      <c r="G9" s="118">
        <f>+Taxes!E19</f>
        <v>0</v>
      </c>
      <c r="H9" s="118">
        <f t="shared" si="0"/>
        <v>0</v>
      </c>
      <c r="I9" s="119"/>
      <c r="J9" s="118"/>
      <c r="K9" s="120"/>
      <c r="L9" s="118"/>
      <c r="M9" s="118"/>
      <c r="N9" s="119"/>
      <c r="O9" s="118">
        <f t="shared" si="1"/>
        <v>0</v>
      </c>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115" t="str">
        <f>Profit!$E$1&amp;" Your Home"</f>
        <v>Buy Your Home</v>
      </c>
      <c r="B10" s="116">
        <f>+B8+1</f>
        <v>2</v>
      </c>
      <c r="C10" s="117"/>
      <c r="D10" s="115"/>
      <c r="E10" s="115" t="s">
        <v>415</v>
      </c>
      <c r="F10" s="116">
        <v>0</v>
      </c>
      <c r="G10" s="118">
        <f>+Appliances!F21</f>
        <v>1269.1600000000001</v>
      </c>
      <c r="H10" s="118">
        <f t="shared" si="0"/>
        <v>0</v>
      </c>
      <c r="I10" s="119"/>
      <c r="J10" s="118"/>
      <c r="K10" s="120"/>
      <c r="L10" s="118"/>
      <c r="M10" s="118"/>
      <c r="N10" s="119"/>
      <c r="O10" s="118">
        <f t="shared" si="1"/>
        <v>0</v>
      </c>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115" t="str">
        <f>Profit!$E$1&amp;" Your Home"</f>
        <v>Buy Your Home</v>
      </c>
      <c r="B11" s="116">
        <f t="shared" ref="B11:B22" si="3">+B10+1</f>
        <v>3</v>
      </c>
      <c r="C11" s="117"/>
      <c r="D11" s="115"/>
      <c r="E11" s="115" t="s">
        <v>416</v>
      </c>
      <c r="F11" s="116">
        <v>0</v>
      </c>
      <c r="G11" s="118">
        <f>+'Plumbing Fixtures'!F23</f>
        <v>433.46</v>
      </c>
      <c r="H11" s="118">
        <f t="shared" si="0"/>
        <v>0</v>
      </c>
      <c r="I11" s="119"/>
      <c r="J11" s="118"/>
      <c r="K11" s="120"/>
      <c r="L11" s="118"/>
      <c r="M11" s="118"/>
      <c r="N11" s="119"/>
      <c r="O11" s="118">
        <f t="shared" si="1"/>
        <v>0</v>
      </c>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115" t="str">
        <f>Profit!$E$1&amp;" Your Home"</f>
        <v>Buy Your Home</v>
      </c>
      <c r="B12" s="116">
        <f t="shared" si="3"/>
        <v>4</v>
      </c>
      <c r="C12" s="117"/>
      <c r="D12" s="115"/>
      <c r="E12" s="115" t="s">
        <v>417</v>
      </c>
      <c r="F12" s="116">
        <v>0</v>
      </c>
      <c r="G12" s="118">
        <f>+'Windows &amp; Doors'!F30</f>
        <v>749.65000000000009</v>
      </c>
      <c r="H12" s="118">
        <f t="shared" si="0"/>
        <v>0</v>
      </c>
      <c r="I12" s="119"/>
      <c r="J12" s="118"/>
      <c r="K12" s="120"/>
      <c r="L12" s="118"/>
      <c r="M12" s="118"/>
      <c r="N12" s="119"/>
      <c r="O12" s="118">
        <f t="shared" si="1"/>
        <v>0</v>
      </c>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115" t="str">
        <f>Profit!$E$1&amp;" Your Home"</f>
        <v>Buy Your Home</v>
      </c>
      <c r="B13" s="116">
        <f t="shared" si="3"/>
        <v>5</v>
      </c>
      <c r="C13" s="117"/>
      <c r="D13" s="115"/>
      <c r="E13" s="115" t="s">
        <v>418</v>
      </c>
      <c r="F13" s="116">
        <v>0</v>
      </c>
      <c r="G13" s="118">
        <f>+Cabinets!G44</f>
        <v>4165.3999999999996</v>
      </c>
      <c r="H13" s="118">
        <f t="shared" si="0"/>
        <v>0</v>
      </c>
      <c r="I13" s="119"/>
      <c r="J13" s="118"/>
      <c r="K13" s="120"/>
      <c r="L13" s="118"/>
      <c r="M13" s="118"/>
      <c r="N13" s="119"/>
      <c r="O13" s="118">
        <f t="shared" si="1"/>
        <v>0</v>
      </c>
      <c r="AQ13" s="37"/>
    </row>
    <row r="14" spans="1:125" s="42" customFormat="1" ht="20.100000000000001" customHeight="1" x14ac:dyDescent="0.25">
      <c r="A14" s="115" t="str">
        <f>Profit!$E$1&amp;" Your Home"</f>
        <v>Buy Your Home</v>
      </c>
      <c r="B14" s="116">
        <f t="shared" si="3"/>
        <v>6</v>
      </c>
      <c r="C14" s="117"/>
      <c r="D14" s="115"/>
      <c r="E14" s="115" t="s">
        <v>419</v>
      </c>
      <c r="F14" s="116">
        <v>0</v>
      </c>
      <c r="G14" s="118">
        <f>+Paint!G28</f>
        <v>1332.94</v>
      </c>
      <c r="H14" s="118">
        <f t="shared" si="0"/>
        <v>0</v>
      </c>
      <c r="I14" s="119"/>
      <c r="J14" s="118"/>
      <c r="K14" s="120"/>
      <c r="L14" s="118"/>
      <c r="M14" s="118"/>
      <c r="N14" s="119"/>
      <c r="O14" s="118">
        <f t="shared" si="1"/>
        <v>0</v>
      </c>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115" t="str">
        <f>Profit!$E$1&amp;" Your Home"</f>
        <v>Buy Your Home</v>
      </c>
      <c r="B15" s="116">
        <f t="shared" si="3"/>
        <v>7</v>
      </c>
      <c r="C15" s="117"/>
      <c r="D15" s="115"/>
      <c r="E15" s="115" t="s">
        <v>420</v>
      </c>
      <c r="F15" s="116">
        <v>0</v>
      </c>
      <c r="G15" s="118">
        <f>+Flooring!G7</f>
        <v>5098.8</v>
      </c>
      <c r="H15" s="118">
        <f t="shared" si="0"/>
        <v>0</v>
      </c>
      <c r="I15" s="119"/>
      <c r="J15" s="118"/>
      <c r="K15" s="120"/>
      <c r="L15" s="118"/>
      <c r="M15" s="118"/>
      <c r="N15" s="119"/>
      <c r="O15" s="118">
        <f t="shared" si="1"/>
        <v>0</v>
      </c>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115" t="str">
        <f>Profit!$E$1&amp;" Your Home"</f>
        <v>Buy Your Home</v>
      </c>
      <c r="B16" s="116">
        <f t="shared" si="3"/>
        <v>8</v>
      </c>
      <c r="C16" s="117"/>
      <c r="D16" s="115"/>
      <c r="E16" s="115" t="s">
        <v>421</v>
      </c>
      <c r="F16" s="116">
        <v>0</v>
      </c>
      <c r="G16" s="118">
        <f>+'Electrical Fixtures'!F23</f>
        <v>1357.2</v>
      </c>
      <c r="H16" s="118">
        <f t="shared" si="0"/>
        <v>0</v>
      </c>
      <c r="I16" s="119"/>
      <c r="J16" s="118"/>
      <c r="K16" s="120"/>
      <c r="L16" s="118"/>
      <c r="M16" s="118"/>
      <c r="N16" s="119"/>
      <c r="O16" s="118">
        <f t="shared" si="1"/>
        <v>0</v>
      </c>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115" t="str">
        <f>Profit!$E$1&amp;" Your Home"</f>
        <v>Buy Your Home</v>
      </c>
      <c r="B17" s="116">
        <f t="shared" si="3"/>
        <v>9</v>
      </c>
      <c r="C17" s="117"/>
      <c r="D17" s="115"/>
      <c r="E17" s="115" t="s">
        <v>422</v>
      </c>
      <c r="F17" s="116">
        <v>1</v>
      </c>
      <c r="G17" s="118">
        <f>+Exterior!D16</f>
        <v>19189.95</v>
      </c>
      <c r="H17" s="118">
        <f t="shared" si="0"/>
        <v>19189.95</v>
      </c>
      <c r="I17" s="119" t="s">
        <v>177</v>
      </c>
      <c r="J17" s="118"/>
      <c r="K17" s="120"/>
      <c r="L17" s="118"/>
      <c r="M17" s="118">
        <v>19189.95</v>
      </c>
      <c r="N17" s="119"/>
      <c r="O17" s="118">
        <f t="shared" ref="O17" si="4">IF(I17="Yes",H17,0)</f>
        <v>19189.95</v>
      </c>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115" t="str">
        <f>Profit!$E$1&amp;" Your Home"</f>
        <v>Buy Your Home</v>
      </c>
      <c r="B18" s="116">
        <f t="shared" si="3"/>
        <v>10</v>
      </c>
      <c r="C18" s="117"/>
      <c r="D18" s="115"/>
      <c r="E18" s="115" t="s">
        <v>423</v>
      </c>
      <c r="F18" s="116">
        <v>1</v>
      </c>
      <c r="G18" s="118">
        <f>+Landscape!H17</f>
        <v>3305</v>
      </c>
      <c r="H18" s="118">
        <f t="shared" ref="H18" si="5">+F18*G18</f>
        <v>3305</v>
      </c>
      <c r="I18" s="119" t="s">
        <v>177</v>
      </c>
      <c r="J18" s="118"/>
      <c r="K18" s="120"/>
      <c r="L18" s="118"/>
      <c r="M18" s="118">
        <v>2885</v>
      </c>
      <c r="N18" s="119"/>
      <c r="O18" s="118">
        <f t="shared" ref="O18" si="6">IF(I18="Yes",H18,0)</f>
        <v>3305</v>
      </c>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115" t="str">
        <f>Profit!$E$1&amp;" Your Home"</f>
        <v>Buy Your Home</v>
      </c>
      <c r="B19" s="116">
        <f t="shared" si="3"/>
        <v>11</v>
      </c>
      <c r="C19" s="117"/>
      <c r="D19" s="115"/>
      <c r="E19" s="115" t="s">
        <v>424</v>
      </c>
      <c r="F19" s="116">
        <v>0</v>
      </c>
      <c r="G19" s="118">
        <f>+'Demo &amp; Trash Haul'!F33</f>
        <v>0</v>
      </c>
      <c r="H19" s="118">
        <f t="shared" si="0"/>
        <v>0</v>
      </c>
      <c r="I19" s="119"/>
      <c r="J19" s="118"/>
      <c r="K19" s="120"/>
      <c r="L19" s="118"/>
      <c r="M19" s="118"/>
      <c r="N19" s="119"/>
      <c r="O19" s="118">
        <f t="shared" si="1"/>
        <v>0</v>
      </c>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115" t="str">
        <f>Profit!$E$1&amp;" Your Home"</f>
        <v>Buy Your Home</v>
      </c>
      <c r="B20" s="116">
        <f t="shared" si="3"/>
        <v>12</v>
      </c>
      <c r="C20" s="117"/>
      <c r="D20" s="115"/>
      <c r="E20" s="115" t="s">
        <v>425</v>
      </c>
      <c r="F20" s="116">
        <v>0</v>
      </c>
      <c r="G20" s="118">
        <f>+'Demo &amp; Trash Haul'!F34</f>
        <v>0</v>
      </c>
      <c r="H20" s="118">
        <f t="shared" si="0"/>
        <v>0</v>
      </c>
      <c r="I20" s="119"/>
      <c r="J20" s="118"/>
      <c r="K20" s="120"/>
      <c r="L20" s="118"/>
      <c r="M20" s="118"/>
      <c r="N20" s="119"/>
      <c r="O20" s="118">
        <f t="shared" si="1"/>
        <v>0</v>
      </c>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115" t="str">
        <f>Profit!$E$1&amp;" Your Home"</f>
        <v>Buy Your Home</v>
      </c>
      <c r="B21" s="116">
        <f t="shared" si="3"/>
        <v>13</v>
      </c>
      <c r="C21" s="117"/>
      <c r="D21" s="115"/>
      <c r="E21" s="115" t="s">
        <v>426</v>
      </c>
      <c r="F21" s="116">
        <v>0</v>
      </c>
      <c r="G21" s="118">
        <v>0</v>
      </c>
      <c r="H21" s="118">
        <f t="shared" si="0"/>
        <v>0</v>
      </c>
      <c r="I21" s="119"/>
      <c r="J21" s="118"/>
      <c r="K21" s="120"/>
      <c r="L21" s="118"/>
      <c r="M21" s="118"/>
      <c r="N21" s="119"/>
      <c r="O21" s="118">
        <f t="shared" si="1"/>
        <v>0</v>
      </c>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115" t="str">
        <f>Profit!$E$1&amp;" Your Home"</f>
        <v>Buy Your Home</v>
      </c>
      <c r="B22" s="116">
        <f t="shared" si="3"/>
        <v>14</v>
      </c>
      <c r="C22" s="117"/>
      <c r="D22" s="115"/>
      <c r="E22" s="115" t="s">
        <v>427</v>
      </c>
      <c r="F22" s="116">
        <v>0</v>
      </c>
      <c r="G22" s="118">
        <f>+'Demo &amp; Trash Haul'!F36</f>
        <v>0</v>
      </c>
      <c r="H22" s="118">
        <f t="shared" si="0"/>
        <v>0</v>
      </c>
      <c r="I22" s="119"/>
      <c r="J22" s="118"/>
      <c r="K22" s="120"/>
      <c r="L22" s="118"/>
      <c r="M22" s="118"/>
      <c r="N22" s="119"/>
      <c r="O22" s="118">
        <f t="shared" si="1"/>
        <v>0</v>
      </c>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121"/>
      <c r="B23" s="122"/>
      <c r="C23" s="123"/>
      <c r="D23" s="123"/>
      <c r="E23" s="124" t="str">
        <f>Profit!E1&amp;" Your Home's Paid Contractors"</f>
        <v>Buy Your Home's Paid Contractors</v>
      </c>
      <c r="F23" s="125"/>
      <c r="G23" s="123"/>
      <c r="H23" s="123"/>
      <c r="I23" s="123"/>
      <c r="J23" s="123"/>
      <c r="K23" s="126"/>
      <c r="L23" s="123"/>
      <c r="M23" s="123"/>
      <c r="N23" s="123"/>
      <c r="O23" s="123"/>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127" t="s">
        <v>428</v>
      </c>
      <c r="B24" s="128">
        <f>+B22+1</f>
        <v>15</v>
      </c>
      <c r="C24" s="129"/>
      <c r="D24" s="130"/>
      <c r="E24" s="131" t="s">
        <v>429</v>
      </c>
      <c r="F24" s="132">
        <v>0</v>
      </c>
      <c r="G24" s="133">
        <v>300000</v>
      </c>
      <c r="H24" s="133">
        <f>+F24*G24</f>
        <v>0</v>
      </c>
      <c r="I24" s="134"/>
      <c r="J24" s="134"/>
      <c r="K24" s="135"/>
      <c r="L24" s="134"/>
      <c r="M24" s="134"/>
      <c r="N24" s="134"/>
      <c r="O24" s="134">
        <f t="shared" ref="O24:O27" si="7">IF(I24="Yes",H24,0)</f>
        <v>0</v>
      </c>
      <c r="R24" s="76"/>
      <c r="S24" s="76"/>
      <c r="T24" s="76"/>
      <c r="U24" s="76"/>
      <c r="V24" s="76"/>
      <c r="W24" s="76"/>
      <c r="X24" s="76"/>
      <c r="Y24" s="76"/>
      <c r="Z24" s="76"/>
      <c r="AA24" s="584" t="s">
        <v>430</v>
      </c>
      <c r="AB24" s="585"/>
      <c r="AC24" s="585"/>
      <c r="AD24" s="585"/>
      <c r="AE24" s="585"/>
      <c r="AF24" s="585"/>
      <c r="AG24" s="585"/>
      <c r="AH24" s="585"/>
      <c r="AI24" s="75"/>
      <c r="AJ24" s="75"/>
      <c r="AK24" s="75"/>
      <c r="AL24" s="75"/>
      <c r="AM24" s="75"/>
      <c r="AN24" s="75"/>
      <c r="AO24" s="75"/>
      <c r="AP24" s="75"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127" t="s">
        <v>431</v>
      </c>
      <c r="B25" s="128">
        <f>+B24+1</f>
        <v>16</v>
      </c>
      <c r="C25" s="129"/>
      <c r="D25" s="130"/>
      <c r="E25" s="131" t="s">
        <v>432</v>
      </c>
      <c r="F25" s="132">
        <v>1</v>
      </c>
      <c r="G25" s="375">
        <v>750</v>
      </c>
      <c r="H25" s="133">
        <f>+F25*G25</f>
        <v>750</v>
      </c>
      <c r="I25" s="134" t="s">
        <v>177</v>
      </c>
      <c r="J25" s="134"/>
      <c r="K25" s="135"/>
      <c r="L25" s="134"/>
      <c r="M25" s="134">
        <v>750</v>
      </c>
      <c r="N25" s="134"/>
      <c r="O25" s="134">
        <f t="shared" si="7"/>
        <v>750</v>
      </c>
      <c r="R25" s="76"/>
      <c r="S25" s="76"/>
      <c r="T25" s="76"/>
      <c r="U25" s="76"/>
      <c r="V25" s="76"/>
      <c r="W25" s="76"/>
      <c r="X25" s="76"/>
      <c r="Y25" s="76"/>
      <c r="Z25" s="76"/>
      <c r="AA25" s="585"/>
      <c r="AB25" s="585"/>
      <c r="AC25" s="585"/>
      <c r="AD25" s="585"/>
      <c r="AE25" s="585"/>
      <c r="AF25" s="585"/>
      <c r="AG25" s="585"/>
      <c r="AH25" s="585"/>
      <c r="AI25" s="75"/>
      <c r="AJ25" s="75"/>
      <c r="AK25" s="75"/>
      <c r="AL25" s="75"/>
      <c r="AM25" s="75"/>
      <c r="AN25" s="75"/>
      <c r="AO25" s="75"/>
      <c r="AP25" s="75"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127" t="s">
        <v>433</v>
      </c>
      <c r="B26" s="128">
        <f>+B25+1</f>
        <v>17</v>
      </c>
      <c r="C26" s="129"/>
      <c r="D26" s="130"/>
      <c r="E26" s="131" t="s">
        <v>434</v>
      </c>
      <c r="F26" s="132">
        <v>0</v>
      </c>
      <c r="G26" s="133">
        <f>+HVAC!F13</f>
        <v>13062</v>
      </c>
      <c r="H26" s="133">
        <f>+F26*G26</f>
        <v>0</v>
      </c>
      <c r="I26" s="134"/>
      <c r="J26" s="134"/>
      <c r="K26" s="135"/>
      <c r="L26" s="134"/>
      <c r="M26" s="134"/>
      <c r="N26" s="134"/>
      <c r="O26" s="134">
        <f t="shared" si="7"/>
        <v>0</v>
      </c>
      <c r="R26" s="76"/>
      <c r="S26" s="76"/>
      <c r="T26" s="76"/>
      <c r="U26" s="76"/>
      <c r="V26" s="76"/>
      <c r="W26" s="76"/>
      <c r="X26" s="76"/>
      <c r="Y26" s="76"/>
      <c r="Z26" s="76"/>
      <c r="AB26" s="98">
        <v>0</v>
      </c>
      <c r="AC26" s="75"/>
      <c r="AD26" s="75"/>
      <c r="AE26" s="75"/>
      <c r="AF26" s="75"/>
      <c r="AG26" s="75"/>
      <c r="AH26" s="75"/>
      <c r="AI26" s="75"/>
      <c r="AJ26" s="75"/>
      <c r="AK26" s="75"/>
      <c r="AL26" s="75"/>
      <c r="AM26" s="75"/>
      <c r="AN26" s="75"/>
      <c r="AO26" s="75"/>
      <c r="AP26" s="75"/>
    </row>
    <row r="27" spans="1:125" s="42" customFormat="1" ht="20.100000000000001" customHeight="1" x14ac:dyDescent="0.25">
      <c r="A27" s="127" t="s">
        <v>433</v>
      </c>
      <c r="B27" s="128">
        <f>+B26+1</f>
        <v>18</v>
      </c>
      <c r="C27" s="129"/>
      <c r="D27" s="130"/>
      <c r="E27" s="131" t="s">
        <v>435</v>
      </c>
      <c r="F27" s="132">
        <v>0</v>
      </c>
      <c r="G27" s="133">
        <v>4598</v>
      </c>
      <c r="H27" s="133">
        <f>+F27*G27</f>
        <v>0</v>
      </c>
      <c r="I27" s="134"/>
      <c r="J27" s="134"/>
      <c r="K27" s="135"/>
      <c r="L27" s="134"/>
      <c r="M27" s="134"/>
      <c r="N27" s="134"/>
      <c r="O27" s="134">
        <f t="shared" si="7"/>
        <v>0</v>
      </c>
      <c r="R27" s="76"/>
      <c r="S27" s="76"/>
      <c r="T27" s="76"/>
      <c r="U27" s="76"/>
      <c r="V27" s="76"/>
      <c r="W27" s="76"/>
      <c r="X27" s="76"/>
      <c r="Y27" s="76"/>
      <c r="Z27" s="76"/>
    </row>
    <row r="28" spans="1:125" s="42" customFormat="1" ht="21.75" thickBot="1" x14ac:dyDescent="0.25">
      <c r="A28" s="136"/>
      <c r="B28" s="137"/>
      <c r="C28" s="136"/>
      <c r="D28" s="136"/>
      <c r="E28" s="124" t="s">
        <v>436</v>
      </c>
      <c r="F28" s="136"/>
      <c r="G28" s="136"/>
      <c r="H28" s="136"/>
      <c r="I28" s="136"/>
      <c r="J28" s="136"/>
      <c r="K28" s="138"/>
      <c r="L28" s="136"/>
      <c r="M28" s="136"/>
      <c r="N28" s="136"/>
      <c r="O28" s="136"/>
      <c r="P28" s="88" t="str">
        <f ca="1">IF(TEXT(Project_Start,"mmmm")=TEXT(P29,"mmmm"),"",TEXT(P29,"mmmm"))</f>
        <v/>
      </c>
      <c r="Q28" s="88" t="str">
        <f t="shared" ref="Q28:AV28" ca="1" si="8">IF(TEXT(P29,"mmmm")=TEXT(Q29,"mmmm"),"",TEXT(Q29,"mmmm"))</f>
        <v/>
      </c>
      <c r="R28" s="88" t="str">
        <f t="shared" ca="1" si="8"/>
        <v/>
      </c>
      <c r="S28" s="88" t="str">
        <f t="shared" ca="1" si="8"/>
        <v/>
      </c>
      <c r="T28" s="88" t="str">
        <f t="shared" ca="1" si="8"/>
        <v/>
      </c>
      <c r="U28" s="88" t="str">
        <f t="shared" ca="1" si="8"/>
        <v/>
      </c>
      <c r="V28" s="88" t="str">
        <f t="shared" ca="1" si="8"/>
        <v/>
      </c>
      <c r="W28" s="88" t="str">
        <f t="shared" ca="1" si="8"/>
        <v/>
      </c>
      <c r="X28" s="88" t="str">
        <f t="shared" ca="1" si="8"/>
        <v/>
      </c>
      <c r="Y28" s="88" t="str">
        <f t="shared" ca="1" si="8"/>
        <v/>
      </c>
      <c r="Z28" s="88" t="str">
        <f t="shared" ca="1" si="8"/>
        <v/>
      </c>
      <c r="AA28" s="88" t="str">
        <f t="shared" ca="1" si="8"/>
        <v/>
      </c>
      <c r="AB28" s="88" t="str">
        <f t="shared" ca="1" si="8"/>
        <v/>
      </c>
      <c r="AC28" s="88" t="str">
        <f t="shared" ca="1" si="8"/>
        <v/>
      </c>
      <c r="AD28" s="88" t="str">
        <f t="shared" ca="1" si="8"/>
        <v/>
      </c>
      <c r="AE28" s="88" t="str">
        <f t="shared" ca="1" si="8"/>
        <v/>
      </c>
      <c r="AF28" s="88" t="str">
        <f t="shared" ca="1" si="8"/>
        <v/>
      </c>
      <c r="AG28" s="88" t="str">
        <f t="shared" ca="1" si="8"/>
        <v/>
      </c>
      <c r="AH28" s="88" t="str">
        <f t="shared" ca="1" si="8"/>
        <v/>
      </c>
      <c r="AI28" s="88" t="str">
        <f t="shared" ca="1" si="8"/>
        <v/>
      </c>
      <c r="AJ28" s="88" t="str">
        <f t="shared" ca="1" si="8"/>
        <v/>
      </c>
      <c r="AK28" s="88" t="str">
        <f t="shared" ca="1" si="8"/>
        <v/>
      </c>
      <c r="AL28" s="88" t="str">
        <f t="shared" ca="1" si="8"/>
        <v/>
      </c>
      <c r="AM28" s="88" t="str">
        <f t="shared" ca="1" si="8"/>
        <v/>
      </c>
      <c r="AN28" s="88" t="str">
        <f t="shared" ca="1" si="8"/>
        <v/>
      </c>
      <c r="AO28" s="88" t="str">
        <f t="shared" ca="1" si="8"/>
        <v/>
      </c>
      <c r="AP28" s="88" t="str">
        <f t="shared" ca="1" si="8"/>
        <v/>
      </c>
      <c r="AQ28" s="88" t="str">
        <f t="shared" ca="1" si="8"/>
        <v/>
      </c>
      <c r="AR28" s="88" t="str">
        <f t="shared" ca="1" si="8"/>
        <v/>
      </c>
      <c r="AS28" s="88" t="str">
        <f t="shared" ca="1" si="8"/>
        <v/>
      </c>
      <c r="AT28" s="88" t="str">
        <f t="shared" ca="1" si="8"/>
        <v/>
      </c>
      <c r="AU28" s="88" t="str">
        <f t="shared" ca="1" si="8"/>
        <v/>
      </c>
      <c r="AV28" s="88" t="str">
        <f t="shared" ca="1" si="8"/>
        <v>February</v>
      </c>
      <c r="AW28" s="88" t="str">
        <f t="shared" ref="AW28:CB28" ca="1" si="9">IF(TEXT(AV29,"mmmm")=TEXT(AW29,"mmmm"),"",TEXT(AW29,"mmmm"))</f>
        <v/>
      </c>
      <c r="AX28" s="88" t="str">
        <f t="shared" ca="1" si="9"/>
        <v/>
      </c>
      <c r="AY28" s="88" t="str">
        <f t="shared" ca="1" si="9"/>
        <v/>
      </c>
      <c r="AZ28" s="88" t="str">
        <f t="shared" ca="1" si="9"/>
        <v/>
      </c>
      <c r="BA28" s="88" t="str">
        <f t="shared" ca="1" si="9"/>
        <v/>
      </c>
      <c r="BB28" s="88" t="str">
        <f t="shared" ca="1" si="9"/>
        <v/>
      </c>
      <c r="BC28" s="88" t="str">
        <f t="shared" ca="1" si="9"/>
        <v/>
      </c>
      <c r="BD28" s="88" t="str">
        <f t="shared" ca="1" si="9"/>
        <v/>
      </c>
      <c r="BE28" s="88" t="str">
        <f t="shared" ca="1" si="9"/>
        <v/>
      </c>
      <c r="BF28" s="88" t="str">
        <f t="shared" ca="1" si="9"/>
        <v/>
      </c>
      <c r="BG28" s="88" t="str">
        <f t="shared" ca="1" si="9"/>
        <v/>
      </c>
      <c r="BH28" s="88" t="str">
        <f t="shared" ca="1" si="9"/>
        <v/>
      </c>
      <c r="BI28" s="88" t="str">
        <f t="shared" ca="1" si="9"/>
        <v/>
      </c>
      <c r="BJ28" s="88" t="str">
        <f t="shared" ca="1" si="9"/>
        <v/>
      </c>
      <c r="BK28" s="88" t="str">
        <f t="shared" ca="1" si="9"/>
        <v/>
      </c>
      <c r="BL28" s="88" t="str">
        <f t="shared" ca="1" si="9"/>
        <v/>
      </c>
      <c r="BM28" s="88" t="str">
        <f t="shared" ca="1" si="9"/>
        <v/>
      </c>
      <c r="BN28" s="88" t="str">
        <f t="shared" ca="1" si="9"/>
        <v/>
      </c>
      <c r="BO28" s="88" t="str">
        <f t="shared" ca="1" si="9"/>
        <v/>
      </c>
      <c r="BP28" s="88" t="str">
        <f t="shared" ca="1" si="9"/>
        <v/>
      </c>
      <c r="BQ28" s="88" t="str">
        <f t="shared" ca="1" si="9"/>
        <v/>
      </c>
      <c r="BR28" s="88" t="str">
        <f t="shared" ca="1" si="9"/>
        <v/>
      </c>
      <c r="BS28" s="88" t="str">
        <f t="shared" ca="1" si="9"/>
        <v/>
      </c>
      <c r="BT28" s="88" t="str">
        <f t="shared" ca="1" si="9"/>
        <v/>
      </c>
      <c r="BU28" s="88" t="str">
        <f t="shared" ca="1" si="9"/>
        <v/>
      </c>
      <c r="BV28" s="88" t="str">
        <f t="shared" ca="1" si="9"/>
        <v/>
      </c>
      <c r="BW28" s="88" t="str">
        <f t="shared" ca="1" si="9"/>
        <v/>
      </c>
      <c r="BX28" s="88" t="str">
        <f t="shared" ca="1" si="9"/>
        <v/>
      </c>
      <c r="BY28" s="88" t="str">
        <f t="shared" ca="1" si="9"/>
        <v>March</v>
      </c>
      <c r="BZ28" s="88" t="str">
        <f t="shared" ca="1" si="9"/>
        <v/>
      </c>
      <c r="CA28" s="88" t="str">
        <f t="shared" ca="1" si="9"/>
        <v/>
      </c>
      <c r="CB28" s="88" t="str">
        <f t="shared" ca="1" si="9"/>
        <v/>
      </c>
      <c r="CC28" s="88" t="str">
        <f t="shared" ref="CC28:CU28" ca="1" si="10">IF(TEXT(CB29,"mmmm")=TEXT(CC29,"mmmm"),"",TEXT(CC29,"mmmm"))</f>
        <v/>
      </c>
      <c r="CD28" s="88" t="str">
        <f t="shared" ca="1" si="10"/>
        <v/>
      </c>
      <c r="CE28" s="88" t="str">
        <f t="shared" ca="1" si="10"/>
        <v/>
      </c>
      <c r="CF28" s="88" t="str">
        <f t="shared" ca="1" si="10"/>
        <v/>
      </c>
      <c r="CG28" s="88" t="str">
        <f t="shared" ca="1" si="10"/>
        <v/>
      </c>
      <c r="CH28" s="88" t="str">
        <f t="shared" ca="1" si="10"/>
        <v/>
      </c>
      <c r="CI28" s="88" t="str">
        <f t="shared" ca="1" si="10"/>
        <v/>
      </c>
      <c r="CJ28" s="88" t="str">
        <f t="shared" ca="1" si="10"/>
        <v/>
      </c>
      <c r="CK28" s="88" t="str">
        <f t="shared" ca="1" si="10"/>
        <v/>
      </c>
      <c r="CL28" s="88" t="str">
        <f t="shared" ca="1" si="10"/>
        <v/>
      </c>
      <c r="CM28" s="88" t="str">
        <f t="shared" ca="1" si="10"/>
        <v/>
      </c>
      <c r="CN28" s="88" t="str">
        <f t="shared" ca="1" si="10"/>
        <v/>
      </c>
      <c r="CO28" s="88" t="str">
        <f t="shared" ca="1" si="10"/>
        <v/>
      </c>
      <c r="CP28" s="88" t="str">
        <f t="shared" ca="1" si="10"/>
        <v/>
      </c>
      <c r="CQ28" s="88" t="str">
        <f t="shared" ca="1" si="10"/>
        <v/>
      </c>
      <c r="CR28" s="88" t="str">
        <f t="shared" ca="1" si="10"/>
        <v/>
      </c>
      <c r="CS28" s="88" t="str">
        <f t="shared" ca="1" si="10"/>
        <v/>
      </c>
      <c r="CT28" s="88" t="str">
        <f t="shared" ca="1" si="10"/>
        <v/>
      </c>
      <c r="CU28" s="88" t="str">
        <f t="shared" ca="1" si="10"/>
        <v/>
      </c>
    </row>
    <row r="29" spans="1:125" s="84" customFormat="1" ht="34.5" customHeight="1" thickTop="1" x14ac:dyDescent="0.25">
      <c r="A29" s="139" t="s">
        <v>389</v>
      </c>
      <c r="B29" s="139" t="s">
        <v>390</v>
      </c>
      <c r="C29" s="139" t="s">
        <v>391</v>
      </c>
      <c r="D29" s="139" t="s">
        <v>392</v>
      </c>
      <c r="E29" s="139" t="s">
        <v>393</v>
      </c>
      <c r="F29" s="139" t="s">
        <v>337</v>
      </c>
      <c r="G29" s="140" t="s">
        <v>338</v>
      </c>
      <c r="H29" s="140" t="s">
        <v>394</v>
      </c>
      <c r="I29" s="139" t="s">
        <v>395</v>
      </c>
      <c r="J29" s="139" t="s">
        <v>396</v>
      </c>
      <c r="K29" s="141" t="s">
        <v>83</v>
      </c>
      <c r="L29" s="139" t="s">
        <v>397</v>
      </c>
      <c r="M29" s="139" t="s">
        <v>398</v>
      </c>
      <c r="N29" s="139" t="s">
        <v>161</v>
      </c>
      <c r="O29" s="139" t="s">
        <v>412</v>
      </c>
      <c r="P29" s="92">
        <f ca="1">IFERROR(Project_Start+Scrolling_Increment,TODAY())</f>
        <v>0</v>
      </c>
      <c r="Q29" s="92">
        <f t="shared" ref="Q29:AV29" ca="1" si="11">+P29+1</f>
        <v>1</v>
      </c>
      <c r="R29" s="92">
        <f t="shared" ca="1" si="11"/>
        <v>2</v>
      </c>
      <c r="S29" s="92">
        <f t="shared" ca="1" si="11"/>
        <v>3</v>
      </c>
      <c r="T29" s="92">
        <f t="shared" ca="1" si="11"/>
        <v>4</v>
      </c>
      <c r="U29" s="92">
        <f t="shared" ca="1" si="11"/>
        <v>5</v>
      </c>
      <c r="V29" s="92">
        <f t="shared" ca="1" si="11"/>
        <v>6</v>
      </c>
      <c r="W29" s="92">
        <f t="shared" ca="1" si="11"/>
        <v>7</v>
      </c>
      <c r="X29" s="92">
        <f t="shared" ca="1" si="11"/>
        <v>8</v>
      </c>
      <c r="Y29" s="92">
        <f t="shared" ca="1" si="11"/>
        <v>9</v>
      </c>
      <c r="Z29" s="92">
        <f t="shared" ca="1" si="11"/>
        <v>10</v>
      </c>
      <c r="AA29" s="92">
        <f t="shared" ca="1" si="11"/>
        <v>11</v>
      </c>
      <c r="AB29" s="92">
        <f t="shared" ca="1" si="11"/>
        <v>12</v>
      </c>
      <c r="AC29" s="92">
        <f t="shared" ca="1" si="11"/>
        <v>13</v>
      </c>
      <c r="AD29" s="92">
        <f t="shared" ca="1" si="11"/>
        <v>14</v>
      </c>
      <c r="AE29" s="92">
        <f t="shared" ca="1" si="11"/>
        <v>15</v>
      </c>
      <c r="AF29" s="92">
        <f t="shared" ca="1" si="11"/>
        <v>16</v>
      </c>
      <c r="AG29" s="92">
        <f t="shared" ca="1" si="11"/>
        <v>17</v>
      </c>
      <c r="AH29" s="92">
        <f t="shared" ca="1" si="11"/>
        <v>18</v>
      </c>
      <c r="AI29" s="92">
        <f t="shared" ca="1" si="11"/>
        <v>19</v>
      </c>
      <c r="AJ29" s="92">
        <f t="shared" ca="1" si="11"/>
        <v>20</v>
      </c>
      <c r="AK29" s="92">
        <f t="shared" ca="1" si="11"/>
        <v>21</v>
      </c>
      <c r="AL29" s="92">
        <f t="shared" ca="1" si="11"/>
        <v>22</v>
      </c>
      <c r="AM29" s="92">
        <f t="shared" ca="1" si="11"/>
        <v>23</v>
      </c>
      <c r="AN29" s="92">
        <f t="shared" ca="1" si="11"/>
        <v>24</v>
      </c>
      <c r="AO29" s="92">
        <f t="shared" ca="1" si="11"/>
        <v>25</v>
      </c>
      <c r="AP29" s="92">
        <f t="shared" ca="1" si="11"/>
        <v>26</v>
      </c>
      <c r="AQ29" s="92">
        <f t="shared" ca="1" si="11"/>
        <v>27</v>
      </c>
      <c r="AR29" s="92">
        <f t="shared" ca="1" si="11"/>
        <v>28</v>
      </c>
      <c r="AS29" s="92">
        <f t="shared" ca="1" si="11"/>
        <v>29</v>
      </c>
      <c r="AT29" s="92">
        <f t="shared" ca="1" si="11"/>
        <v>30</v>
      </c>
      <c r="AU29" s="92">
        <f t="shared" ca="1" si="11"/>
        <v>31</v>
      </c>
      <c r="AV29" s="92">
        <f t="shared" ca="1" si="11"/>
        <v>32</v>
      </c>
      <c r="AW29" s="92">
        <f t="shared" ref="AW29:CB29" ca="1" si="12">+AV29+1</f>
        <v>33</v>
      </c>
      <c r="AX29" s="92">
        <f t="shared" ca="1" si="12"/>
        <v>34</v>
      </c>
      <c r="AY29" s="92">
        <f t="shared" ca="1" si="12"/>
        <v>35</v>
      </c>
      <c r="AZ29" s="92">
        <f t="shared" ca="1" si="12"/>
        <v>36</v>
      </c>
      <c r="BA29" s="92">
        <f t="shared" ca="1" si="12"/>
        <v>37</v>
      </c>
      <c r="BB29" s="92">
        <f t="shared" ca="1" si="12"/>
        <v>38</v>
      </c>
      <c r="BC29" s="92">
        <f t="shared" ca="1" si="12"/>
        <v>39</v>
      </c>
      <c r="BD29" s="92">
        <f t="shared" ca="1" si="12"/>
        <v>40</v>
      </c>
      <c r="BE29" s="92">
        <f t="shared" ca="1" si="12"/>
        <v>41</v>
      </c>
      <c r="BF29" s="92">
        <f t="shared" ca="1" si="12"/>
        <v>42</v>
      </c>
      <c r="BG29" s="92">
        <f t="shared" ca="1" si="12"/>
        <v>43</v>
      </c>
      <c r="BH29" s="92">
        <f t="shared" ca="1" si="12"/>
        <v>44</v>
      </c>
      <c r="BI29" s="92">
        <f t="shared" ca="1" si="12"/>
        <v>45</v>
      </c>
      <c r="BJ29" s="92">
        <f t="shared" ca="1" si="12"/>
        <v>46</v>
      </c>
      <c r="BK29" s="92">
        <f t="shared" ca="1" si="12"/>
        <v>47</v>
      </c>
      <c r="BL29" s="92">
        <f t="shared" ca="1" si="12"/>
        <v>48</v>
      </c>
      <c r="BM29" s="92">
        <f t="shared" ca="1" si="12"/>
        <v>49</v>
      </c>
      <c r="BN29" s="92">
        <f t="shared" ca="1" si="12"/>
        <v>50</v>
      </c>
      <c r="BO29" s="92">
        <f t="shared" ca="1" si="12"/>
        <v>51</v>
      </c>
      <c r="BP29" s="92">
        <f t="shared" ca="1" si="12"/>
        <v>52</v>
      </c>
      <c r="BQ29" s="92">
        <f t="shared" ca="1" si="12"/>
        <v>53</v>
      </c>
      <c r="BR29" s="92">
        <f t="shared" ca="1" si="12"/>
        <v>54</v>
      </c>
      <c r="BS29" s="92">
        <f t="shared" ca="1" si="12"/>
        <v>55</v>
      </c>
      <c r="BT29" s="92">
        <f t="shared" ca="1" si="12"/>
        <v>56</v>
      </c>
      <c r="BU29" s="92">
        <f t="shared" ca="1" si="12"/>
        <v>57</v>
      </c>
      <c r="BV29" s="92">
        <f t="shared" ca="1" si="12"/>
        <v>58</v>
      </c>
      <c r="BW29" s="92">
        <f t="shared" ca="1" si="12"/>
        <v>59</v>
      </c>
      <c r="BX29" s="92">
        <f t="shared" ca="1" si="12"/>
        <v>60</v>
      </c>
      <c r="BY29" s="92">
        <f t="shared" ca="1" si="12"/>
        <v>61</v>
      </c>
      <c r="BZ29" s="92">
        <f t="shared" ca="1" si="12"/>
        <v>62</v>
      </c>
      <c r="CA29" s="92">
        <f t="shared" ca="1" si="12"/>
        <v>63</v>
      </c>
      <c r="CB29" s="92">
        <f t="shared" ca="1" si="12"/>
        <v>64</v>
      </c>
      <c r="CC29" s="92">
        <f t="shared" ref="CC29:CU29" ca="1" si="13">+CB29+1</f>
        <v>65</v>
      </c>
      <c r="CD29" s="92">
        <f t="shared" ca="1" si="13"/>
        <v>66</v>
      </c>
      <c r="CE29" s="92">
        <f t="shared" ca="1" si="13"/>
        <v>67</v>
      </c>
      <c r="CF29" s="92">
        <f t="shared" ca="1" si="13"/>
        <v>68</v>
      </c>
      <c r="CG29" s="92">
        <f t="shared" ca="1" si="13"/>
        <v>69</v>
      </c>
      <c r="CH29" s="92">
        <f t="shared" ca="1" si="13"/>
        <v>70</v>
      </c>
      <c r="CI29" s="92">
        <f t="shared" ca="1" si="13"/>
        <v>71</v>
      </c>
      <c r="CJ29" s="92">
        <f t="shared" ca="1" si="13"/>
        <v>72</v>
      </c>
      <c r="CK29" s="92">
        <f t="shared" ca="1" si="13"/>
        <v>73</v>
      </c>
      <c r="CL29" s="92">
        <f t="shared" ca="1" si="13"/>
        <v>74</v>
      </c>
      <c r="CM29" s="92">
        <f t="shared" ca="1" si="13"/>
        <v>75</v>
      </c>
      <c r="CN29" s="92">
        <f t="shared" ca="1" si="13"/>
        <v>76</v>
      </c>
      <c r="CO29" s="92">
        <f t="shared" ca="1" si="13"/>
        <v>77</v>
      </c>
      <c r="CP29" s="92">
        <f t="shared" ca="1" si="13"/>
        <v>78</v>
      </c>
      <c r="CQ29" s="92">
        <f t="shared" ca="1" si="13"/>
        <v>79</v>
      </c>
      <c r="CR29" s="92">
        <f t="shared" ca="1" si="13"/>
        <v>80</v>
      </c>
      <c r="CS29" s="92">
        <f t="shared" ca="1" si="13"/>
        <v>81</v>
      </c>
      <c r="CT29" s="92">
        <f t="shared" ca="1" si="13"/>
        <v>82</v>
      </c>
      <c r="CU29" s="92">
        <f t="shared" ca="1" si="13"/>
        <v>83</v>
      </c>
    </row>
    <row r="30" spans="1:125" s="42" customFormat="1" ht="20.100000000000001" customHeight="1" x14ac:dyDescent="0.25">
      <c r="A30" t="s">
        <v>437</v>
      </c>
      <c r="B30">
        <v>1</v>
      </c>
      <c r="C30" t="s">
        <v>339</v>
      </c>
      <c r="D30" t="s">
        <v>339</v>
      </c>
      <c r="E30" t="s">
        <v>340</v>
      </c>
      <c r="F30">
        <v>0</v>
      </c>
      <c r="G30" s="11"/>
      <c r="H30" s="26"/>
      <c r="I30"/>
      <c r="J30"/>
      <c r="K30" s="363"/>
      <c r="L30"/>
      <c r="M30"/>
      <c r="N30"/>
      <c r="O30" s="26"/>
      <c r="P30" s="37">
        <f ca="1">IFERROR(+IF(P$29=ProposalToGnatt[[#This Row],[Start Date]],Milestone_Marker,IF(AND(P$29&gt;ProposalToGnatt[[#This Row],[Start Date]],P$29&lt;ProposalToGnatt[[#This Row],[Start Date]]+ProposalToGnatt[[#This Row],[Days]]),$G$5,"")),"")</f>
        <v>1</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437</v>
      </c>
      <c r="B31">
        <v>2</v>
      </c>
      <c r="C31" t="s">
        <v>341</v>
      </c>
      <c r="D31" t="s">
        <v>342</v>
      </c>
      <c r="E31" t="s">
        <v>343</v>
      </c>
      <c r="F31">
        <v>0</v>
      </c>
      <c r="G31" s="11"/>
      <c r="H31" s="26"/>
      <c r="I31"/>
      <c r="J31"/>
      <c r="K31" s="363"/>
      <c r="L31"/>
      <c r="M31"/>
      <c r="N31"/>
      <c r="O31" s="26"/>
      <c r="P31" s="37">
        <f ca="1">IFERROR(+IF(P$29=ProposalToGnatt[[#This Row],[Start Date]],Milestone_Marker,IF(AND(P$29&gt;ProposalToGnatt[[#This Row],[Start Date]],P$29&lt;ProposalToGnatt[[#This Row],[Start Date]]+ProposalToGnatt[[#This Row],[Days]]),$G$5,"")),"")</f>
        <v>1</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437</v>
      </c>
      <c r="B32">
        <v>3</v>
      </c>
      <c r="C32" t="s">
        <v>341</v>
      </c>
      <c r="D32" t="s">
        <v>344</v>
      </c>
      <c r="E32" t="s">
        <v>344</v>
      </c>
      <c r="F32">
        <v>0</v>
      </c>
      <c r="G32" s="11"/>
      <c r="H32" s="26"/>
      <c r="I32"/>
      <c r="J32"/>
      <c r="K32" s="363"/>
      <c r="L32"/>
      <c r="M32"/>
      <c r="N32"/>
      <c r="O32" s="26"/>
      <c r="P32" s="37">
        <f ca="1">IFERROR(+IF(P$29=ProposalToGnatt[[#This Row],[Start Date]],Milestone_Marker,IF(AND(P$29&gt;ProposalToGnatt[[#This Row],[Start Date]],P$29&lt;ProposalToGnatt[[#This Row],[Start Date]]+ProposalToGnatt[[#This Row],[Days]]),$G$5,"")),"")</f>
        <v>1</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438</v>
      </c>
      <c r="B33">
        <v>4</v>
      </c>
      <c r="C33"/>
      <c r="D33" t="s">
        <v>345</v>
      </c>
      <c r="E33" t="s">
        <v>346</v>
      </c>
      <c r="F33">
        <v>6</v>
      </c>
      <c r="G33" s="11"/>
      <c r="H33" s="26"/>
      <c r="I33"/>
      <c r="J33"/>
      <c r="K33" s="363"/>
      <c r="L33"/>
      <c r="M33"/>
      <c r="N33"/>
      <c r="O33" s="26"/>
      <c r="P33" s="37">
        <f ca="1">IFERROR(+IF(P$29=ProposalToGnatt[[#This Row],[Start Date]],Milestone_Marker,IF(AND(P$29&gt;ProposalToGnatt[[#This Row],[Start Date]],P$29&lt;ProposalToGnatt[[#This Row],[Start Date]]+ProposalToGnatt[[#This Row],[Days]]),$G$5,"")),"")</f>
        <v>1</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437</v>
      </c>
      <c r="B34">
        <v>5</v>
      </c>
      <c r="C34" t="s">
        <v>347</v>
      </c>
      <c r="D34" t="s">
        <v>348</v>
      </c>
      <c r="E34" t="s">
        <v>347</v>
      </c>
      <c r="F34">
        <v>0</v>
      </c>
      <c r="G34" s="11">
        <v>0</v>
      </c>
      <c r="H34" s="26">
        <v>0</v>
      </c>
      <c r="I34"/>
      <c r="J34"/>
      <c r="K34" s="363"/>
      <c r="L34"/>
      <c r="M34"/>
      <c r="N34"/>
      <c r="O34" s="26"/>
      <c r="P34" s="37">
        <f ca="1">IFERROR(+IF(P$29=ProposalToGnatt[[#This Row],[Start Date]],Milestone_Marker,IF(AND(P$29&gt;ProposalToGnatt[[#This Row],[Start Date]],P$29&lt;ProposalToGnatt[[#This Row],[Start Date]]+ProposalToGnatt[[#This Row],[Days]]),$G$5,"")),"")</f>
        <v>1</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437</v>
      </c>
      <c r="B35">
        <v>6</v>
      </c>
      <c r="C35" t="s">
        <v>349</v>
      </c>
      <c r="D35" t="s">
        <v>348</v>
      </c>
      <c r="E35" t="s">
        <v>350</v>
      </c>
      <c r="F35">
        <v>0</v>
      </c>
      <c r="G35" s="11">
        <v>200</v>
      </c>
      <c r="H35" s="26">
        <v>0</v>
      </c>
      <c r="I35"/>
      <c r="J35"/>
      <c r="K35" s="363"/>
      <c r="L35"/>
      <c r="M35"/>
      <c r="N35"/>
      <c r="O35" s="26"/>
      <c r="P35" s="37">
        <f ca="1">IFERROR(+IF(P$29=ProposalToGnatt[[#This Row],[Start Date]],Milestone_Marker,IF(AND(P$29&gt;ProposalToGnatt[[#This Row],[Start Date]],P$29&lt;ProposalToGnatt[[#This Row],[Start Date]]+ProposalToGnatt[[#This Row],[Days]]),$G$5,"")),"")</f>
        <v>1</v>
      </c>
      <c r="Q35" s="37" t="str">
        <f ca="1">IFERROR(+IF(Q$29=ProposalToGnatt[[#This Row],[Start Date]],Milestone_Marker,IF(AND(Q$29&gt;ProposalToGnatt[[#This Row],[Start Date]],Q$29&lt;ProposalToGnatt[[#This Row],[Start Date]]+ProposalToGnatt[[#This Row],[Days]]),$G$5,"")),"")</f>
        <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437</v>
      </c>
      <c r="B36">
        <v>7</v>
      </c>
      <c r="C36" t="s">
        <v>351</v>
      </c>
      <c r="D36" t="s">
        <v>348</v>
      </c>
      <c r="E36" t="s">
        <v>352</v>
      </c>
      <c r="F36">
        <v>0</v>
      </c>
      <c r="G36" s="11">
        <v>200</v>
      </c>
      <c r="H36" s="26">
        <v>0</v>
      </c>
      <c r="I36"/>
      <c r="J36"/>
      <c r="K36" s="363"/>
      <c r="L36"/>
      <c r="M36"/>
      <c r="N36"/>
      <c r="O36" s="26"/>
      <c r="P36" s="37">
        <f ca="1">IFERROR(+IF(P$29=ProposalToGnatt[[#This Row],[Start Date]],Milestone_Marker,IF(AND(P$29&gt;ProposalToGnatt[[#This Row],[Start Date]],P$29&lt;ProposalToGnatt[[#This Row],[Start Date]]+ProposalToGnatt[[#This Row],[Days]]),$G$5,"")),"")</f>
        <v>1</v>
      </c>
      <c r="Q36" s="37" t="str">
        <f ca="1">IFERROR(+IF(Q$29=ProposalToGnatt[[#This Row],[Start Date]],Milestone_Marker,IF(AND(Q$29&gt;ProposalToGnatt[[#This Row],[Start Date]],Q$29&lt;ProposalToGnatt[[#This Row],[Start Date]]+ProposalToGnatt[[#This Row],[Days]]),$G$5,"")),"")</f>
        <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437</v>
      </c>
      <c r="B37">
        <v>8</v>
      </c>
      <c r="C37" t="s">
        <v>353</v>
      </c>
      <c r="D37" t="s">
        <v>348</v>
      </c>
      <c r="E37" t="s">
        <v>354</v>
      </c>
      <c r="F37">
        <v>0</v>
      </c>
      <c r="G37" s="11">
        <v>200</v>
      </c>
      <c r="H37" s="26">
        <v>0</v>
      </c>
      <c r="I37"/>
      <c r="J37"/>
      <c r="K37" s="363"/>
      <c r="L37"/>
      <c r="M37"/>
      <c r="N37"/>
      <c r="O37" s="26"/>
      <c r="P37" s="37">
        <f ca="1">IFERROR(+IF(P$29=ProposalToGnatt[[#This Row],[Start Date]],Milestone_Marker,IF(AND(P$29&gt;ProposalToGnatt[[#This Row],[Start Date]],P$29&lt;ProposalToGnatt[[#This Row],[Start Date]]+ProposalToGnatt[[#This Row],[Days]]),$G$5,"")),"")</f>
        <v>1</v>
      </c>
      <c r="Q37" s="37" t="str">
        <f ca="1">IFERROR(+IF(Q$29=ProposalToGnatt[[#This Row],[Start Date]],Milestone_Marker,IF(AND(Q$29&gt;ProposalToGnatt[[#This Row],[Start Date]],Q$29&lt;ProposalToGnatt[[#This Row],[Start Date]]+ProposalToGnatt[[#This Row],[Days]]),$G$5,"")),"")</f>
        <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437</v>
      </c>
      <c r="B38">
        <v>9</v>
      </c>
      <c r="C38" t="s">
        <v>355</v>
      </c>
      <c r="D38" t="s">
        <v>348</v>
      </c>
      <c r="E38" t="s">
        <v>356</v>
      </c>
      <c r="F38">
        <v>0</v>
      </c>
      <c r="G38" s="11">
        <v>135</v>
      </c>
      <c r="H38" s="26">
        <v>0</v>
      </c>
      <c r="I38"/>
      <c r="J38"/>
      <c r="K38" s="363"/>
      <c r="L38"/>
      <c r="M38"/>
      <c r="N38"/>
      <c r="O38" s="26"/>
      <c r="P38" s="37">
        <f ca="1">IFERROR(+IF(P$29=ProposalToGnatt[[#This Row],[Start Date]],Milestone_Marker,IF(AND(P$29&gt;ProposalToGnatt[[#This Row],[Start Date]],P$29&lt;ProposalToGnatt[[#This Row],[Start Date]]+ProposalToGnatt[[#This Row],[Days]]),$G$5,"")),"")</f>
        <v>1</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t="str">
        <f ca="1">IFERROR(+IF(T$29=ProposalToGnatt[[#This Row],[Start Date]],Milestone_Marker,IF(AND(T$29&gt;ProposalToGnatt[[#This Row],[Start Date]],T$29&lt;ProposalToGnatt[[#This Row],[Start Date]]+ProposalToGnatt[[#This Row],[Days]]),$G$5,"")),"")</f>
        <v/>
      </c>
      <c r="U38" s="37" t="str">
        <f ca="1">IFERROR(+IF(U$29=ProposalToGnatt[[#This Row],[Start Date]],Milestone_Marker,IF(AND(U$29&gt;ProposalToGnatt[[#This Row],[Start Date]],U$29&lt;ProposalToGnatt[[#This Row],[Start Date]]+ProposalToGnatt[[#This Row],[Days]]),$G$5,"")),"")</f>
        <v/>
      </c>
      <c r="V38" s="37" t="str">
        <f ca="1">IFERROR(+IF(V$29=ProposalToGnatt[[#This Row],[Start Date]],Milestone_Marker,IF(AND(V$29&gt;ProposalToGnatt[[#This Row],[Start Date]],V$29&lt;ProposalToGnatt[[#This Row],[Start Date]]+ProposalToGnatt[[#This Row],[Days]]),$G$5,"")),"")</f>
        <v/>
      </c>
      <c r="W38" s="37" t="str">
        <f ca="1">IFERROR(+IF(W$29=ProposalToGnatt[[#This Row],[Start Date]],Milestone_Marker,IF(AND(W$29&gt;ProposalToGnatt[[#This Row],[Start Date]],W$29&lt;ProposalToGnatt[[#This Row],[Start Date]]+ProposalToGnatt[[#This Row],[Days]]),$G$5,"")),"")</f>
        <v/>
      </c>
      <c r="X38" s="37" t="str">
        <f ca="1">IFERROR(+IF(X$29=ProposalToGnatt[[#This Row],[Start Date]],Milestone_Marker,IF(AND(X$29&gt;ProposalToGnatt[[#This Row],[Start Date]],X$29&lt;ProposalToGnatt[[#This Row],[Start Date]]+ProposalToGnatt[[#This Row],[Days]]),$G$5,"")),"")</f>
        <v/>
      </c>
      <c r="Y38" s="37" t="str">
        <f ca="1">IFERROR(+IF(Y$29=ProposalToGnatt[[#This Row],[Start Date]],Milestone_Marker,IF(AND(Y$29&gt;ProposalToGnatt[[#This Row],[Start Date]],Y$29&lt;ProposalToGnatt[[#This Row],[Start Date]]+ProposalToGnatt[[#This Row],[Days]]),$G$5,"")),"")</f>
        <v/>
      </c>
      <c r="Z38" s="37" t="str">
        <f ca="1">IFERROR(+IF(Z$29=ProposalToGnatt[[#This Row],[Start Date]],Milestone_Marker,IF(AND(Z$29&gt;ProposalToGnatt[[#This Row],[Start Date]],Z$29&lt;ProposalToGnatt[[#This Row],[Start Date]]+ProposalToGnatt[[#This Row],[Days]]),$G$5,"")),"")</f>
        <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438</v>
      </c>
      <c r="B39">
        <v>10</v>
      </c>
      <c r="C39"/>
      <c r="D39"/>
      <c r="E39" t="s">
        <v>357</v>
      </c>
      <c r="F39">
        <v>1</v>
      </c>
      <c r="G39" s="11">
        <v>0</v>
      </c>
      <c r="H39" s="26">
        <v>0</v>
      </c>
      <c r="I39"/>
      <c r="J39"/>
      <c r="K39" s="363"/>
      <c r="L39"/>
      <c r="M39"/>
      <c r="N39"/>
      <c r="O39" s="26"/>
      <c r="P39" s="37">
        <f ca="1">IFERROR(+IF(P$29=ProposalToGnatt[[#This Row],[Start Date]],Milestone_Marker,IF(AND(P$29&gt;ProposalToGnatt[[#This Row],[Start Date]],P$29&lt;ProposalToGnatt[[#This Row],[Start Date]]+ProposalToGnatt[[#This Row],[Days]]),$G$5,"")),"")</f>
        <v>1</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t="str">
        <f ca="1">IFERROR(+IF(T$29=ProposalToGnatt[[#This Row],[Start Date]],Milestone_Marker,IF(AND(T$29&gt;ProposalToGnatt[[#This Row],[Start Date]],T$29&lt;ProposalToGnatt[[#This Row],[Start Date]]+ProposalToGnatt[[#This Row],[Days]]),$G$5,"")),"")</f>
        <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438</v>
      </c>
      <c r="B40">
        <v>11</v>
      </c>
      <c r="C40"/>
      <c r="D40"/>
      <c r="E40" t="s">
        <v>358</v>
      </c>
      <c r="F40">
        <v>0</v>
      </c>
      <c r="G40" s="11">
        <v>0</v>
      </c>
      <c r="H40" s="26">
        <v>0</v>
      </c>
      <c r="I40"/>
      <c r="J40"/>
      <c r="K40" s="363"/>
      <c r="L40"/>
      <c r="M40"/>
      <c r="N40"/>
      <c r="O40" s="26"/>
      <c r="P40" s="37">
        <f ca="1">IFERROR(+IF(P$29=ProposalToGnatt[[#This Row],[Start Date]],Milestone_Marker,IF(AND(P$29&gt;ProposalToGnatt[[#This Row],[Start Date]],P$29&lt;ProposalToGnatt[[#This Row],[Start Date]]+ProposalToGnatt[[#This Row],[Days]]),$G$5,"")),"")</f>
        <v>1</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t="str">
        <f ca="1">IFERROR(+IF(W$29=ProposalToGnatt[[#This Row],[Start Date]],Milestone_Marker,IF(AND(W$29&gt;ProposalToGnatt[[#This Row],[Start Date]],W$29&lt;ProposalToGnatt[[#This Row],[Start Date]]+ProposalToGnatt[[#This Row],[Days]]),$G$5,"")),"")</f>
        <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437</v>
      </c>
      <c r="B41">
        <v>12</v>
      </c>
      <c r="C41" t="s">
        <v>359</v>
      </c>
      <c r="D41"/>
      <c r="E41"/>
      <c r="F41"/>
      <c r="G41" s="11"/>
      <c r="H41" s="26"/>
      <c r="I41"/>
      <c r="J41"/>
      <c r="K41" s="363"/>
      <c r="L41"/>
      <c r="M41"/>
      <c r="N41"/>
      <c r="O41" s="26"/>
      <c r="P41" s="37">
        <f ca="1">IFERROR(+IF(P$29=ProposalToGnatt[[#This Row],[Start Date]],Milestone_Marker,IF(AND(P$29&gt;ProposalToGnatt[[#This Row],[Start Date]],P$29&lt;ProposalToGnatt[[#This Row],[Start Date]]+ProposalToGnatt[[#This Row],[Days]]),$G$5,"")),"")</f>
        <v>1</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437</v>
      </c>
      <c r="B42">
        <v>13</v>
      </c>
      <c r="C42" t="s">
        <v>359</v>
      </c>
      <c r="D42"/>
      <c r="E42"/>
      <c r="F42"/>
      <c r="G42" s="11"/>
      <c r="H42" s="26"/>
      <c r="I42"/>
      <c r="J42"/>
      <c r="K42" s="363"/>
      <c r="L42"/>
      <c r="M42"/>
      <c r="N42"/>
      <c r="O42" s="26"/>
      <c r="P42" s="37">
        <f ca="1">IFERROR(+IF(P$29=ProposalToGnatt[[#This Row],[Start Date]],Milestone_Marker,IF(AND(P$29&gt;ProposalToGnatt[[#This Row],[Start Date]],P$29&lt;ProposalToGnatt[[#This Row],[Start Date]]+ProposalToGnatt[[#This Row],[Days]]),$G$5,"")),"")</f>
        <v>1</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437</v>
      </c>
      <c r="B43">
        <v>14</v>
      </c>
      <c r="C43" t="s">
        <v>360</v>
      </c>
      <c r="D43"/>
      <c r="E43"/>
      <c r="F43"/>
      <c r="G43" s="11"/>
      <c r="H43" s="26"/>
      <c r="I43"/>
      <c r="J43"/>
      <c r="K43" s="363"/>
      <c r="L43"/>
      <c r="M43"/>
      <c r="N43"/>
      <c r="O43" s="26"/>
      <c r="P43" s="37">
        <f ca="1">IFERROR(+IF(P$29=ProposalToGnatt[[#This Row],[Start Date]],Milestone_Marker,IF(AND(P$29&gt;ProposalToGnatt[[#This Row],[Start Date]],P$29&lt;ProposalToGnatt[[#This Row],[Start Date]]+ProposalToGnatt[[#This Row],[Days]]),$G$5,"")),"")</f>
        <v>1</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437</v>
      </c>
      <c r="B44">
        <v>15</v>
      </c>
      <c r="C44" t="s">
        <v>361</v>
      </c>
      <c r="D44"/>
      <c r="E44"/>
      <c r="F44"/>
      <c r="G44" s="11"/>
      <c r="H44" s="26"/>
      <c r="I44"/>
      <c r="J44"/>
      <c r="K44" s="363"/>
      <c r="L44"/>
      <c r="M44"/>
      <c r="N44"/>
      <c r="O44" s="26"/>
      <c r="P44" s="37">
        <f ca="1">IFERROR(+IF(P$29=ProposalToGnatt[[#This Row],[Start Date]],Milestone_Marker,IF(AND(P$29&gt;ProposalToGnatt[[#This Row],[Start Date]],P$29&lt;ProposalToGnatt[[#This Row],[Start Date]]+ProposalToGnatt[[#This Row],[Days]]),$G$5,"")),"")</f>
        <v>1</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t="str">
        <f ca="1">IFERROR(+IF(AG$29=ProposalToGnatt[[#This Row],[Start Date]],Milestone_Marker,IF(AND(AG$29&gt;ProposalToGnatt[[#This Row],[Start Date]],AG$29&lt;ProposalToGnatt[[#This Row],[Start Date]]+ProposalToGnatt[[#This Row],[Days]]),$G$5,"")),"")</f>
        <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437</v>
      </c>
      <c r="B45">
        <v>16</v>
      </c>
      <c r="C45" t="s">
        <v>361</v>
      </c>
      <c r="D45"/>
      <c r="E45"/>
      <c r="F45"/>
      <c r="G45" s="11"/>
      <c r="H45" s="26"/>
      <c r="I45" s="367"/>
      <c r="J45"/>
      <c r="K45" s="363"/>
      <c r="L45"/>
      <c r="M45"/>
      <c r="N45"/>
      <c r="O45" s="26"/>
      <c r="P45" s="37">
        <f ca="1">IFERROR(+IF(P$29=ProposalToGnatt[[#This Row],[Start Date]],Milestone_Marker,IF(AND(P$29&gt;ProposalToGnatt[[#This Row],[Start Date]],P$29&lt;ProposalToGnatt[[#This Row],[Start Date]]+ProposalToGnatt[[#This Row],[Days]]),$G$5,"")),"")</f>
        <v>1</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t="str">
        <f ca="1">IFERROR(+IF(AG$29=ProposalToGnatt[[#This Row],[Start Date]],Milestone_Marker,IF(AND(AG$29&gt;ProposalToGnatt[[#This Row],[Start Date]],AG$29&lt;ProposalToGnatt[[#This Row],[Start Date]]+ProposalToGnatt[[#This Row],[Days]]),$G$5,"")),"")</f>
        <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c r="B46"/>
      <c r="C46"/>
      <c r="D46"/>
      <c r="E46"/>
      <c r="F46"/>
      <c r="G46" s="11"/>
      <c r="H46" s="26"/>
      <c r="I46"/>
      <c r="J46"/>
      <c r="K46" s="363"/>
      <c r="L46"/>
      <c r="M46"/>
      <c r="N46"/>
      <c r="O46" s="26"/>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t="str">
        <f ca="1">IFERROR(+IF(AG$29=ProposalToGnatt[[#This Row],[Start Date]],Milestone_Marker,IF(AND(AG$29&gt;ProposalToGnatt[[#This Row],[Start Date]],AG$29&lt;ProposalToGnatt[[#This Row],[Start Date]]+ProposalToGnatt[[#This Row],[Days]]),$G$5,"")),"")</f>
        <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c r="B47"/>
      <c r="C47"/>
      <c r="D47"/>
      <c r="E47"/>
      <c r="F47"/>
      <c r="G47" s="11"/>
      <c r="H47" s="26"/>
      <c r="I47"/>
      <c r="J47"/>
      <c r="K47" s="363"/>
      <c r="L47"/>
      <c r="M47"/>
      <c r="N47"/>
      <c r="O47" s="26"/>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t="str">
        <f ca="1">IFERROR(+IF(AG$29=ProposalToGnatt[[#This Row],[Start Date]],Milestone_Marker,IF(AND(AG$29&gt;ProposalToGnatt[[#This Row],[Start Date]],AG$29&lt;ProposalToGnatt[[#This Row],[Start Date]]+ProposalToGnatt[[#This Row],[Days]]),$G$5,"")),"")</f>
        <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c r="B48"/>
      <c r="C48"/>
      <c r="D48"/>
      <c r="E48"/>
      <c r="F48"/>
      <c r="G48" s="11"/>
      <c r="H48" s="26"/>
      <c r="I48"/>
      <c r="J48"/>
      <c r="K48" s="363"/>
      <c r="L48"/>
      <c r="M48"/>
      <c r="N48"/>
      <c r="O48" s="26"/>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t="str">
        <f ca="1">IFERROR(+IF(AG$29=ProposalToGnatt[[#This Row],[Start Date]],Milestone_Marker,IF(AND(AG$29&gt;ProposalToGnatt[[#This Row],[Start Date]],AG$29&lt;ProposalToGnatt[[#This Row],[Start Date]]+ProposalToGnatt[[#This Row],[Days]]),$G$5,"")),"")</f>
        <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c r="B49"/>
      <c r="C49"/>
      <c r="D49"/>
      <c r="E49"/>
      <c r="F49"/>
      <c r="G49" s="11"/>
      <c r="H49" s="26"/>
      <c r="I49"/>
      <c r="J49"/>
      <c r="K49" s="363"/>
      <c r="L49"/>
      <c r="M49"/>
      <c r="N49"/>
      <c r="O49" s="26"/>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t="str">
        <f ca="1">IFERROR(+IF(AG$29=ProposalToGnatt[[#This Row],[Start Date]],Milestone_Marker,IF(AND(AG$29&gt;ProposalToGnatt[[#This Row],[Start Date]],AG$29&lt;ProposalToGnatt[[#This Row],[Start Date]]+ProposalToGnatt[[#This Row],[Days]]),$G$5,"")),"")</f>
        <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c r="B50"/>
      <c r="C50"/>
      <c r="D50"/>
      <c r="E50"/>
      <c r="F50"/>
      <c r="G50" s="11"/>
      <c r="H50" s="26"/>
      <c r="I50"/>
      <c r="J50"/>
      <c r="K50" s="363"/>
      <c r="L50"/>
      <c r="M50"/>
      <c r="N50"/>
      <c r="O50" s="26"/>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t="str">
        <f ca="1">IFERROR(+IF(AG$29=ProposalToGnatt[[#This Row],[Start Date]],Milestone_Marker,IF(AND(AG$29&gt;ProposalToGnatt[[#This Row],[Start Date]],AG$29&lt;ProposalToGnatt[[#This Row],[Start Date]]+ProposalToGnatt[[#This Row],[Days]]),$G$5,"")),"")</f>
        <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c r="B51"/>
      <c r="C51"/>
      <c r="D51"/>
      <c r="E51"/>
      <c r="F51"/>
      <c r="G51" s="11"/>
      <c r="H51" s="26"/>
      <c r="I51"/>
      <c r="J51"/>
      <c r="K51" s="363"/>
      <c r="L51"/>
      <c r="M51"/>
      <c r="N51"/>
      <c r="O51" s="26"/>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t="str">
        <f ca="1">IFERROR(+IF(AG$29=ProposalToGnatt[[#This Row],[Start Date]],Milestone_Marker,IF(AND(AG$29&gt;ProposalToGnatt[[#This Row],[Start Date]],AG$29&lt;ProposalToGnatt[[#This Row],[Start Date]]+ProposalToGnatt[[#This Row],[Days]]),$G$5,"")),"")</f>
        <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c r="B52"/>
      <c r="C52"/>
      <c r="D52"/>
      <c r="E52"/>
      <c r="F52"/>
      <c r="G52" s="11"/>
      <c r="H52" s="26"/>
      <c r="I52"/>
      <c r="J52"/>
      <c r="K52" s="363"/>
      <c r="L52"/>
      <c r="M52"/>
      <c r="N52"/>
      <c r="O52" s="26"/>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t="str">
        <f ca="1">IFERROR(+IF(AG$29=ProposalToGnatt[[#This Row],[Start Date]],Milestone_Marker,IF(AND(AG$29&gt;ProposalToGnatt[[#This Row],[Start Date]],AG$29&lt;ProposalToGnatt[[#This Row],[Start Date]]+ProposalToGnatt[[#This Row],[Days]]),$G$5,"")),"")</f>
        <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c r="B53"/>
      <c r="C53"/>
      <c r="D53"/>
      <c r="E53"/>
      <c r="F53"/>
      <c r="G53" s="11"/>
      <c r="H53" s="26"/>
      <c r="I53"/>
      <c r="J53"/>
      <c r="K53" s="363"/>
      <c r="L53"/>
      <c r="M53"/>
      <c r="N53"/>
      <c r="O53" s="26"/>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t="str">
        <f ca="1">IFERROR(+IF(AG$29=ProposalToGnatt[[#This Row],[Start Date]],Milestone_Marker,IF(AND(AG$29&gt;ProposalToGnatt[[#This Row],[Start Date]],AG$29&lt;ProposalToGnatt[[#This Row],[Start Date]]+ProposalToGnatt[[#This Row],[Days]]),$G$5,"")),"")</f>
        <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c r="B54"/>
      <c r="C54"/>
      <c r="D54"/>
      <c r="E54"/>
      <c r="F54"/>
      <c r="G54" s="11"/>
      <c r="H54" s="26"/>
      <c r="I54"/>
      <c r="J54"/>
      <c r="K54" s="363"/>
      <c r="L54"/>
      <c r="M54"/>
      <c r="N54"/>
      <c r="O54" s="26"/>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t="str">
        <f ca="1">IFERROR(+IF(AG$29=ProposalToGnatt[[#This Row],[Start Date]],Milestone_Marker,IF(AND(AG$29&gt;ProposalToGnatt[[#This Row],[Start Date]],AG$29&lt;ProposalToGnatt[[#This Row],[Start Date]]+ProposalToGnatt[[#This Row],[Days]]),$G$5,"")),"")</f>
        <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c r="B55"/>
      <c r="C55"/>
      <c r="D55"/>
      <c r="E55"/>
      <c r="F55"/>
      <c r="G55" s="11"/>
      <c r="H55" s="26"/>
      <c r="I55"/>
      <c r="J55"/>
      <c r="K55" s="363"/>
      <c r="L55"/>
      <c r="M55"/>
      <c r="N55"/>
      <c r="O55" s="26"/>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t="str">
        <f ca="1">IFERROR(+IF(AG$29=ProposalToGnatt[[#This Row],[Start Date]],Milestone_Marker,IF(AND(AG$29&gt;ProposalToGnatt[[#This Row],[Start Date]],AG$29&lt;ProposalToGnatt[[#This Row],[Start Date]]+ProposalToGnatt[[#This Row],[Days]]),$G$5,"")),"")</f>
        <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c r="B56"/>
      <c r="C56"/>
      <c r="D56"/>
      <c r="E56"/>
      <c r="F56"/>
      <c r="G56" s="11"/>
      <c r="H56" s="26"/>
      <c r="I56"/>
      <c r="J56"/>
      <c r="K56" s="363"/>
      <c r="L56"/>
      <c r="M56"/>
      <c r="N56"/>
      <c r="O56" s="26"/>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c r="B57"/>
      <c r="C57"/>
      <c r="D57"/>
      <c r="E57"/>
      <c r="F57"/>
      <c r="G57" s="11"/>
      <c r="H57" s="26"/>
      <c r="I57"/>
      <c r="J57"/>
      <c r="K57" s="363"/>
      <c r="L57"/>
      <c r="M57"/>
      <c r="N57"/>
      <c r="O57" s="26"/>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c r="B58"/>
      <c r="C58"/>
      <c r="D58"/>
      <c r="E58"/>
      <c r="F58"/>
      <c r="G58" s="11"/>
      <c r="H58" s="26"/>
      <c r="I58"/>
      <c r="J58"/>
      <c r="K58" s="363"/>
      <c r="L58"/>
      <c r="M58"/>
      <c r="N58"/>
      <c r="O58" s="26"/>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c r="B59"/>
      <c r="C59"/>
      <c r="D59"/>
      <c r="E59"/>
      <c r="F59"/>
      <c r="G59" s="11"/>
      <c r="H59" s="26"/>
      <c r="I59" s="366"/>
      <c r="J59"/>
      <c r="K59" s="363"/>
      <c r="L59"/>
      <c r="M59"/>
      <c r="N59"/>
      <c r="O59" s="26"/>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c r="B60"/>
      <c r="C60"/>
      <c r="D60"/>
      <c r="E60"/>
      <c r="F60"/>
      <c r="G60" s="11"/>
      <c r="H60" s="26"/>
      <c r="I60"/>
      <c r="J60"/>
      <c r="K60" s="363"/>
      <c r="L60"/>
      <c r="M60"/>
      <c r="N60"/>
      <c r="O60" s="26"/>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s="105"/>
      <c r="B61" s="106"/>
      <c r="C61" s="107"/>
      <c r="D61" s="105"/>
      <c r="E61" s="25"/>
      <c r="F61" s="36"/>
      <c r="G61" s="364"/>
      <c r="H61" s="365"/>
      <c r="I61"/>
      <c r="J61" s="36"/>
      <c r="K61" s="368"/>
      <c r="L61" s="36"/>
      <c r="M61" s="36"/>
      <c r="N61" s="36"/>
      <c r="O61" s="365"/>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c r="B62"/>
      <c r="C62"/>
      <c r="D62"/>
      <c r="E62"/>
      <c r="F62"/>
      <c r="G62" s="11"/>
      <c r="H62" s="26"/>
      <c r="I62"/>
      <c r="J62"/>
      <c r="K62" s="363"/>
      <c r="L62"/>
      <c r="M62"/>
      <c r="N62"/>
      <c r="O62" s="26"/>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c r="B63"/>
      <c r="C63"/>
      <c r="D63"/>
      <c r="E63"/>
      <c r="F63"/>
      <c r="G63" s="11"/>
      <c r="H63" s="26"/>
      <c r="I63"/>
      <c r="J63"/>
      <c r="K63" s="363"/>
      <c r="L63"/>
      <c r="M63"/>
      <c r="N63"/>
      <c r="O63" s="26"/>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c r="B64"/>
      <c r="C64"/>
      <c r="D64"/>
      <c r="E64"/>
      <c r="F64"/>
      <c r="G64" s="11"/>
      <c r="H64" s="26"/>
      <c r="I64"/>
      <c r="J64"/>
      <c r="K64" s="363"/>
      <c r="L64"/>
      <c r="M64"/>
      <c r="N64"/>
      <c r="O64" s="26"/>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c r="B65"/>
      <c r="C65"/>
      <c r="D65"/>
      <c r="E65"/>
      <c r="F65"/>
      <c r="G65" s="11"/>
      <c r="H65" s="26"/>
      <c r="I65"/>
      <c r="J65"/>
      <c r="K65" s="363"/>
      <c r="L65"/>
      <c r="M65"/>
      <c r="N65"/>
      <c r="O65" s="26"/>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c r="B66"/>
      <c r="C66"/>
      <c r="D66"/>
      <c r="E66"/>
      <c r="F66"/>
      <c r="G66" s="11"/>
      <c r="H66" s="26"/>
      <c r="I66"/>
      <c r="J66"/>
      <c r="K66" s="363"/>
      <c r="L66"/>
      <c r="M66"/>
      <c r="N66"/>
      <c r="O66" s="26"/>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c r="B67"/>
      <c r="C67"/>
      <c r="D67"/>
      <c r="E67"/>
      <c r="F67"/>
      <c r="G67" s="11"/>
      <c r="H67" s="26"/>
      <c r="I67"/>
      <c r="J67"/>
      <c r="K67" s="363"/>
      <c r="L67"/>
      <c r="M67"/>
      <c r="N67"/>
      <c r="O67" s="26"/>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c r="B68"/>
      <c r="C68"/>
      <c r="D68"/>
      <c r="E68"/>
      <c r="F68"/>
      <c r="G68" s="11"/>
      <c r="H68" s="26"/>
      <c r="I68"/>
      <c r="J68"/>
      <c r="K68" s="363"/>
      <c r="L68"/>
      <c r="M68"/>
      <c r="N68"/>
      <c r="O68" s="26"/>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c r="B69"/>
      <c r="C69"/>
      <c r="D69"/>
      <c r="E69"/>
      <c r="F69"/>
      <c r="G69" s="11"/>
      <c r="H69" s="26"/>
      <c r="I69"/>
      <c r="J69"/>
      <c r="K69" s="363"/>
      <c r="L69"/>
      <c r="M69"/>
      <c r="N69"/>
      <c r="O69" s="26"/>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c r="B70"/>
      <c r="C70"/>
      <c r="D70"/>
      <c r="E70"/>
      <c r="F70"/>
      <c r="G70" s="11"/>
      <c r="H70" s="26"/>
      <c r="I70"/>
      <c r="J70"/>
      <c r="K70" s="363"/>
      <c r="L70"/>
      <c r="M70"/>
      <c r="N70"/>
      <c r="O70" s="26"/>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c r="B71"/>
      <c r="C71"/>
      <c r="D71"/>
      <c r="E71"/>
      <c r="F71"/>
      <c r="G71" s="11"/>
      <c r="H71" s="26"/>
      <c r="I71"/>
      <c r="J71"/>
      <c r="K71" s="363"/>
      <c r="L71"/>
      <c r="M71"/>
      <c r="N71"/>
      <c r="O71" s="26"/>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c r="B72"/>
      <c r="C72"/>
      <c r="D72"/>
      <c r="E72"/>
      <c r="F72"/>
      <c r="G72" s="11"/>
      <c r="H72" s="26"/>
      <c r="I72"/>
      <c r="J72"/>
      <c r="K72" s="363"/>
      <c r="L72"/>
      <c r="M72"/>
      <c r="N72"/>
      <c r="O72" s="26"/>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c r="B73"/>
      <c r="C73"/>
      <c r="D73"/>
      <c r="E73"/>
      <c r="F73"/>
      <c r="G73" s="11"/>
      <c r="H73" s="26"/>
      <c r="I73"/>
      <c r="J73"/>
      <c r="K73" s="363"/>
      <c r="L73"/>
      <c r="M73"/>
      <c r="N73"/>
      <c r="O73" s="26"/>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c r="B74"/>
      <c r="C74"/>
      <c r="D74"/>
      <c r="E74"/>
      <c r="F74"/>
      <c r="G74" s="11"/>
      <c r="H74" s="26"/>
      <c r="I74"/>
      <c r="J74"/>
      <c r="K74" s="363"/>
      <c r="L74"/>
      <c r="M74"/>
      <c r="N74"/>
      <c r="O74" s="26"/>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c r="B75"/>
      <c r="C75"/>
      <c r="D75"/>
      <c r="E75"/>
      <c r="F75"/>
      <c r="G75" s="11"/>
      <c r="H75" s="26"/>
      <c r="I75"/>
      <c r="J75"/>
      <c r="K75" s="363"/>
      <c r="L75"/>
      <c r="M75"/>
      <c r="N75"/>
      <c r="O75" s="26"/>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c r="B76"/>
      <c r="C76"/>
      <c r="D76"/>
      <c r="E76"/>
      <c r="F76"/>
      <c r="G76" s="11"/>
      <c r="H76" s="26"/>
      <c r="I76"/>
      <c r="J76"/>
      <c r="K76" s="363"/>
      <c r="L76"/>
      <c r="M76"/>
      <c r="N76"/>
      <c r="O76" s="26"/>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c r="B77"/>
      <c r="C77"/>
      <c r="D77"/>
      <c r="E77"/>
      <c r="F77"/>
      <c r="G77" s="11"/>
      <c r="H77" s="26"/>
      <c r="I77"/>
      <c r="J77"/>
      <c r="K77" s="363"/>
      <c r="L77"/>
      <c r="M77"/>
      <c r="N77"/>
      <c r="O77" s="26"/>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c r="B78"/>
      <c r="C78"/>
      <c r="D78"/>
      <c r="E78"/>
      <c r="F78"/>
      <c r="G78" s="11"/>
      <c r="H78" s="26"/>
      <c r="I78"/>
      <c r="J78"/>
      <c r="K78" s="363"/>
      <c r="L78"/>
      <c r="M78"/>
      <c r="N78"/>
      <c r="O78" s="26"/>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c r="B79"/>
      <c r="C79"/>
      <c r="D79"/>
      <c r="E79"/>
      <c r="F79"/>
      <c r="G79" s="11"/>
      <c r="H79" s="26"/>
      <c r="I79"/>
      <c r="J79"/>
      <c r="K79" s="363"/>
      <c r="L79"/>
      <c r="M79"/>
      <c r="N79"/>
      <c r="O79" s="26"/>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c r="B80"/>
      <c r="C80"/>
      <c r="D80"/>
      <c r="E80"/>
      <c r="F80"/>
      <c r="G80" s="11"/>
      <c r="H80" s="26"/>
      <c r="I80"/>
      <c r="J80"/>
      <c r="K80" s="363"/>
      <c r="L80"/>
      <c r="M80"/>
      <c r="N80"/>
      <c r="O80" s="26"/>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c r="B81"/>
      <c r="C81"/>
      <c r="D81"/>
      <c r="E81"/>
      <c r="F81"/>
      <c r="G81" s="11"/>
      <c r="H81" s="26"/>
      <c r="I81"/>
      <c r="J81"/>
      <c r="K81" s="363"/>
      <c r="L81"/>
      <c r="M81"/>
      <c r="N81"/>
      <c r="O81" s="26"/>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c r="B82"/>
      <c r="C82"/>
      <c r="D82"/>
      <c r="E82"/>
      <c r="F82"/>
      <c r="G82" s="11"/>
      <c r="H82" s="26"/>
      <c r="I82"/>
      <c r="J82"/>
      <c r="K82" s="363"/>
      <c r="L82"/>
      <c r="M82"/>
      <c r="N82"/>
      <c r="O82" s="26"/>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c r="B83"/>
      <c r="C83"/>
      <c r="D83"/>
      <c r="E83"/>
      <c r="F83"/>
      <c r="G83" s="11"/>
      <c r="H83" s="26"/>
      <c r="I83"/>
      <c r="J83"/>
      <c r="K83" s="363"/>
      <c r="L83"/>
      <c r="M83"/>
      <c r="N83"/>
      <c r="O83" s="26"/>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c r="B84"/>
      <c r="C84"/>
      <c r="D84"/>
      <c r="E84"/>
      <c r="F84"/>
      <c r="G84" s="11"/>
      <c r="H84" s="26"/>
      <c r="I84"/>
      <c r="J84"/>
      <c r="K84" s="363"/>
      <c r="L84"/>
      <c r="M84"/>
      <c r="N84"/>
      <c r="O84" s="26"/>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c r="B85"/>
      <c r="C85"/>
      <c r="D85"/>
      <c r="E85"/>
      <c r="F85"/>
      <c r="G85" s="11"/>
      <c r="H85" s="26"/>
      <c r="I85"/>
      <c r="J85"/>
      <c r="K85" s="363"/>
      <c r="L85"/>
      <c r="M85"/>
      <c r="N85"/>
      <c r="O85" s="26"/>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c r="B86"/>
      <c r="C86"/>
      <c r="D86"/>
      <c r="E86"/>
      <c r="F86"/>
      <c r="G86" s="11"/>
      <c r="H86" s="26"/>
      <c r="I86"/>
      <c r="J86"/>
      <c r="K86" s="363"/>
      <c r="L86"/>
      <c r="M86"/>
      <c r="N86"/>
      <c r="O86" s="26"/>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c r="B87"/>
      <c r="C87"/>
      <c r="D87"/>
      <c r="E87"/>
      <c r="F87"/>
      <c r="G87" s="11"/>
      <c r="H87" s="26"/>
      <c r="I87"/>
      <c r="J87"/>
      <c r="K87" s="363"/>
      <c r="L87"/>
      <c r="M87"/>
      <c r="N87"/>
      <c r="O87" s="26"/>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c r="B88"/>
      <c r="C88"/>
      <c r="D88"/>
      <c r="E88"/>
      <c r="F88"/>
      <c r="G88" s="11"/>
      <c r="H88" s="26"/>
      <c r="I88"/>
      <c r="J88"/>
      <c r="K88" s="363"/>
      <c r="L88"/>
      <c r="M88"/>
      <c r="N88"/>
      <c r="O88" s="26"/>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30" customHeight="1" x14ac:dyDescent="0.25">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30" customHeight="1" x14ac:dyDescent="0.25">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30" customHeight="1" x14ac:dyDescent="0.25">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30" customHeight="1" x14ac:dyDescent="0.25">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30" customHeight="1" x14ac:dyDescent="0.25">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30" customHeight="1" x14ac:dyDescent="0.25">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30" customHeight="1" x14ac:dyDescent="0.25">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30" customHeight="1" x14ac:dyDescent="0.25">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0">
    <mergeCell ref="A2:D2"/>
    <mergeCell ref="A3:D3"/>
    <mergeCell ref="A4:D4"/>
    <mergeCell ref="H5:I5"/>
    <mergeCell ref="J2:K2"/>
    <mergeCell ref="E5:F5"/>
    <mergeCell ref="J3:K3"/>
    <mergeCell ref="J4:K4"/>
    <mergeCell ref="J5:K5"/>
    <mergeCell ref="F2:G2"/>
    <mergeCell ref="AA24:AH25"/>
    <mergeCell ref="J1:K1"/>
    <mergeCell ref="E4:F4"/>
    <mergeCell ref="H2:I2"/>
    <mergeCell ref="H3:I3"/>
    <mergeCell ref="H4:I4"/>
    <mergeCell ref="M2:N2"/>
    <mergeCell ref="M3:N3"/>
    <mergeCell ref="M4:N4"/>
    <mergeCell ref="M5:N5"/>
  </mergeCells>
  <phoneticPr fontId="38" type="noConversion"/>
  <conditionalFormatting sqref="P28:CU84 P30:DU36 AA37:DU37 P38:DU78 R75:CW84 P75:CT96 AQ8:DU10 AQ11:AQ25 AP15:AP23">
    <cfRule type="expression" dxfId="9" priority="11">
      <formula>#REF!&lt;=Today</formula>
    </cfRule>
  </conditionalFormatting>
  <conditionalFormatting sqref="P29:CU29">
    <cfRule type="expression" dxfId="8" priority="26">
      <formula>P$29&lt;=TODAY()</formula>
    </cfRule>
  </conditionalFormatting>
  <conditionalFormatting sqref="P30:CU84 AP75:DU83 R75:CW84 P75:CT96 P30:DU36 AA37:DU37 P38:DU78">
    <cfRule type="expression" dxfId="7" priority="3">
      <formula>#REF!&lt;=Today</formula>
    </cfRule>
  </conditionalFormatting>
  <conditionalFormatting sqref="P30:DU36 P30:CU84 AA37:DU37 P38:DU78 AP75:DU83 R75:CW84 P75:CT96">
    <cfRule type="expression" dxfId="6" priority="4" stopIfTrue="1">
      <formula>AND(#REF!&gt;=#REF!+1,#REF!&lt;=#REF!+#REF!-2)</formula>
    </cfRule>
  </conditionalFormatting>
  <conditionalFormatting sqref="AO7:DT7">
    <cfRule type="expression" dxfId="5" priority="5">
      <formula>#REF!&lt;=Today</formula>
    </cfRule>
  </conditionalFormatting>
  <conditionalFormatting sqref="AP79:DR83">
    <cfRule type="expression" dxfId="4" priority="1">
      <formula>#REF!&lt;=Today</formula>
    </cfRule>
    <cfRule type="expression" dxfId="3" priority="2" stopIfTrue="1">
      <formula>AND(#REF!&gt;=#REF!+1,#REF!&lt;=#REF!+#REF!-2)</formula>
    </cfRule>
  </conditionalFormatting>
  <conditionalFormatting sqref="AQ11:AQ25 AQ8:DU10 AP15:AP23 AO7:DT7">
    <cfRule type="expression" dxfId="2" priority="14" stopIfTrue="1">
      <formula>AND(#REF!&gt;=#REF!+1,#REF!&lt;=#REF!+#REF!-2)</formula>
    </cfRule>
  </conditionalFormatting>
  <conditionalFormatting sqref="AR11:DU12 AR14:DU25">
    <cfRule type="expression" dxfId="1" priority="10">
      <formula>#REF!&lt;=Today</formula>
    </cfRule>
    <cfRule type="expression" dxfId="0" priority="13" stopIfTrue="1">
      <formula>AND(#REF!&gt;=#REF!+1,#REF!&lt;=#REF!+#REF!-2)</formula>
    </cfRule>
  </conditionalFormatting>
  <pageMargins left="0.7" right="0.7" top="0.75" bottom="0.75" header="0.3" footer="0.3"/>
  <pageSetup scale="2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AP75:DU83 R75:CW84 P75:CT96 P30:DU36 P38:DU78 AA37:DU37 P30:CU84</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AQ8:DL10 AP7:DK7 AR11:DL12 AR14:DL25 AP15:AQ23 DM15:DU25 R75:CW84 AQ24:AQ25 P75:CT96 P30:DU36 P38:DU78 AA37:DU37 P30:CU84</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topLeftCell="A4" workbookViewId="0">
      <selection activeCell="E5" sqref="E5"/>
    </sheetView>
  </sheetViews>
  <sheetFormatPr defaultRowHeight="15" x14ac:dyDescent="0.25"/>
  <cols>
    <col min="1" max="1" width="12.7109375" bestFit="1" customWidth="1"/>
    <col min="2" max="2" width="10.7109375" bestFit="1" customWidth="1"/>
  </cols>
  <sheetData>
    <row r="1" spans="1:5" x14ac:dyDescent="0.25">
      <c r="A1" s="388" t="s">
        <v>439</v>
      </c>
      <c r="B1" s="388"/>
      <c r="C1" s="388"/>
      <c r="D1" s="388"/>
      <c r="E1" s="388"/>
    </row>
    <row r="3" spans="1:5" x14ac:dyDescent="0.25">
      <c r="A3" s="3" t="s">
        <v>440</v>
      </c>
      <c r="B3" s="3" t="s">
        <v>327</v>
      </c>
      <c r="C3" s="13" t="s">
        <v>441</v>
      </c>
      <c r="D3" s="13" t="s">
        <v>328</v>
      </c>
      <c r="E3" s="3"/>
    </row>
    <row r="4" spans="1:5" x14ac:dyDescent="0.25">
      <c r="A4" s="2"/>
      <c r="C4" s="14"/>
      <c r="D4" s="14"/>
      <c r="E4" s="14"/>
    </row>
    <row r="5" spans="1:5" x14ac:dyDescent="0.25">
      <c r="A5" s="2" t="s">
        <v>318</v>
      </c>
      <c r="B5" s="12" t="s">
        <v>442</v>
      </c>
      <c r="C5" s="14" t="s">
        <v>443</v>
      </c>
      <c r="D5" s="14">
        <v>0</v>
      </c>
      <c r="E5" s="14"/>
    </row>
    <row r="6" spans="1:5" x14ac:dyDescent="0.25">
      <c r="A6" s="2"/>
      <c r="C6" s="14"/>
      <c r="D6" s="14"/>
      <c r="E6" s="14"/>
    </row>
    <row r="7" spans="1:5" x14ac:dyDescent="0.25">
      <c r="A7" s="2"/>
      <c r="C7" s="14"/>
      <c r="D7" s="14"/>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0</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3769-E26D-4717-8496-30C9FE99907F}">
  <sheetPr codeName="Sheet10"/>
  <dimension ref="A1:Z1000"/>
  <sheetViews>
    <sheetView topLeftCell="A17" workbookViewId="0">
      <selection activeCell="G12" sqref="G12"/>
    </sheetView>
  </sheetViews>
  <sheetFormatPr defaultColWidth="16" defaultRowHeight="15" x14ac:dyDescent="0.25"/>
  <cols>
    <col min="1" max="1" width="10.5703125" customWidth="1"/>
    <col min="2" max="2" width="8.140625" customWidth="1"/>
    <col min="3" max="3" width="18" customWidth="1"/>
    <col min="4" max="4" width="13.7109375" customWidth="1"/>
    <col min="5" max="5" width="13.85546875" customWidth="1"/>
    <col min="6" max="6" width="13.28515625" customWidth="1"/>
    <col min="7" max="7" width="6.85546875" customWidth="1"/>
    <col min="8" max="17" width="9.28515625" customWidth="1"/>
    <col min="18" max="26" width="11.28515625" customWidth="1"/>
  </cols>
  <sheetData>
    <row r="1" spans="1:26" ht="12.75" customHeight="1" x14ac:dyDescent="0.25">
      <c r="A1" s="622" t="s">
        <v>444</v>
      </c>
      <c r="B1" s="623"/>
      <c r="C1" s="623"/>
      <c r="D1" s="623"/>
      <c r="E1" s="43"/>
      <c r="F1" s="44"/>
      <c r="G1" s="45"/>
      <c r="H1" s="45"/>
      <c r="I1" s="45"/>
      <c r="J1" s="45"/>
      <c r="K1" s="45"/>
      <c r="L1" s="45"/>
      <c r="M1" s="45"/>
      <c r="N1" s="45"/>
      <c r="O1" s="45"/>
      <c r="P1" s="45"/>
      <c r="Q1" s="45"/>
      <c r="R1" s="45"/>
      <c r="S1" s="45"/>
      <c r="T1" s="45"/>
      <c r="U1" s="45"/>
      <c r="V1" s="45"/>
      <c r="W1" s="45"/>
      <c r="X1" s="45"/>
      <c r="Y1" s="45"/>
      <c r="Z1" s="45"/>
    </row>
    <row r="2" spans="1:26" ht="11.25" customHeight="1" x14ac:dyDescent="0.25">
      <c r="A2" s="624"/>
      <c r="B2" s="625"/>
      <c r="C2" s="625"/>
      <c r="D2" s="625"/>
      <c r="E2" s="46"/>
      <c r="F2" s="47"/>
      <c r="G2" s="45"/>
      <c r="H2" s="45"/>
      <c r="I2" s="45"/>
      <c r="J2" s="45"/>
      <c r="K2" s="45"/>
      <c r="L2" s="45"/>
      <c r="M2" s="45"/>
      <c r="N2" s="45"/>
      <c r="O2" s="45"/>
      <c r="P2" s="45"/>
      <c r="Q2" s="45"/>
      <c r="R2" s="45"/>
      <c r="S2" s="45"/>
      <c r="T2" s="45"/>
      <c r="U2" s="45"/>
      <c r="V2" s="45"/>
      <c r="W2" s="45"/>
      <c r="X2" s="45"/>
      <c r="Y2" s="45"/>
      <c r="Z2" s="45"/>
    </row>
    <row r="3" spans="1:26" ht="18" customHeight="1" x14ac:dyDescent="0.25">
      <c r="A3" s="48" t="s">
        <v>445</v>
      </c>
      <c r="B3" s="626" t="s">
        <v>446</v>
      </c>
      <c r="C3" s="627"/>
      <c r="D3" s="628"/>
      <c r="E3" s="629"/>
      <c r="F3" s="49"/>
      <c r="G3" s="45"/>
      <c r="H3" s="45"/>
      <c r="I3" s="45"/>
      <c r="J3" s="45"/>
      <c r="K3" s="45"/>
      <c r="L3" s="45"/>
      <c r="M3" s="45"/>
      <c r="N3" s="45"/>
      <c r="O3" s="45"/>
      <c r="P3" s="45"/>
      <c r="Q3" s="45"/>
      <c r="R3" s="45"/>
      <c r="S3" s="45"/>
      <c r="T3" s="45"/>
      <c r="U3" s="45"/>
      <c r="V3" s="45"/>
      <c r="W3" s="45"/>
      <c r="X3" s="45"/>
      <c r="Y3" s="45"/>
      <c r="Z3" s="45"/>
    </row>
    <row r="4" spans="1:26" ht="13.5" customHeight="1" x14ac:dyDescent="0.25">
      <c r="A4" s="50" t="s">
        <v>447</v>
      </c>
      <c r="B4" s="630" t="s">
        <v>446</v>
      </c>
      <c r="C4" s="388"/>
      <c r="D4" s="388"/>
      <c r="E4" s="388"/>
      <c r="F4" s="51"/>
      <c r="G4" s="45"/>
      <c r="H4" s="45"/>
      <c r="I4" s="45"/>
      <c r="J4" s="45"/>
      <c r="K4" s="45"/>
      <c r="L4" s="45"/>
      <c r="M4" s="45"/>
      <c r="N4" s="45"/>
      <c r="O4" s="45"/>
      <c r="P4" s="45"/>
      <c r="Q4" s="45"/>
      <c r="R4" s="45"/>
      <c r="S4" s="45"/>
      <c r="T4" s="45"/>
      <c r="U4" s="45"/>
      <c r="V4" s="45"/>
      <c r="W4" s="45"/>
      <c r="X4" s="45"/>
      <c r="Y4" s="45"/>
      <c r="Z4" s="45"/>
    </row>
    <row r="5" spans="1:26" ht="15.75" customHeight="1" x14ac:dyDescent="0.25">
      <c r="A5" s="50" t="s">
        <v>448</v>
      </c>
      <c r="B5" s="621" t="s">
        <v>446</v>
      </c>
      <c r="C5" s="388"/>
      <c r="D5" s="52"/>
      <c r="E5" s="45"/>
      <c r="F5" s="51"/>
      <c r="G5" s="45"/>
      <c r="H5" s="45"/>
      <c r="I5" s="45"/>
      <c r="J5" s="45"/>
      <c r="K5" s="45"/>
      <c r="L5" s="45"/>
      <c r="M5" s="45"/>
      <c r="N5" s="45"/>
      <c r="O5" s="45"/>
      <c r="P5" s="45"/>
      <c r="Q5" s="45"/>
      <c r="R5" s="45"/>
      <c r="S5" s="45"/>
      <c r="T5" s="45"/>
      <c r="U5" s="45"/>
      <c r="V5" s="45"/>
      <c r="W5" s="45"/>
      <c r="X5" s="45"/>
      <c r="Y5" s="45"/>
      <c r="Z5" s="45"/>
    </row>
    <row r="6" spans="1:26" ht="41.25" customHeight="1" x14ac:dyDescent="0.25">
      <c r="A6" s="53"/>
      <c r="B6" s="619" t="s">
        <v>449</v>
      </c>
      <c r="C6" s="620"/>
      <c r="D6" s="54" t="s">
        <v>450</v>
      </c>
      <c r="E6" s="54" t="s">
        <v>451</v>
      </c>
      <c r="F6" s="55" t="s">
        <v>452</v>
      </c>
      <c r="G6" s="56"/>
      <c r="H6" s="45"/>
      <c r="I6" s="45"/>
      <c r="J6" s="45"/>
      <c r="K6" s="45"/>
      <c r="L6" s="45"/>
      <c r="M6" s="45"/>
      <c r="N6" s="45"/>
      <c r="O6" s="57"/>
      <c r="P6" s="45"/>
      <c r="Q6" s="45"/>
      <c r="R6" s="45"/>
      <c r="S6" s="45"/>
      <c r="T6" s="45"/>
      <c r="U6" s="45"/>
      <c r="V6" s="45"/>
      <c r="W6" s="45"/>
      <c r="X6" s="45"/>
      <c r="Y6" s="45"/>
      <c r="Z6" s="45"/>
    </row>
    <row r="7" spans="1:26" ht="13.5" customHeight="1" x14ac:dyDescent="0.25">
      <c r="A7" s="58">
        <v>100</v>
      </c>
      <c r="B7" s="618" t="s">
        <v>453</v>
      </c>
      <c r="C7" s="614"/>
      <c r="D7" s="59">
        <v>0</v>
      </c>
      <c r="E7" s="59">
        <v>0</v>
      </c>
      <c r="F7" s="60">
        <f t="shared" ref="F7:F48" si="0">SUM(D7-E7)</f>
        <v>0</v>
      </c>
      <c r="G7" s="56"/>
      <c r="H7" s="45"/>
      <c r="I7" s="45"/>
      <c r="J7" s="45"/>
      <c r="K7" s="45"/>
      <c r="L7" s="45"/>
      <c r="M7" s="45"/>
      <c r="N7" s="45"/>
      <c r="O7" s="57"/>
      <c r="P7" s="45"/>
      <c r="Q7" s="45"/>
      <c r="R7" s="45"/>
      <c r="S7" s="45"/>
      <c r="T7" s="45"/>
      <c r="U7" s="45"/>
      <c r="V7" s="45"/>
      <c r="W7" s="45"/>
      <c r="X7" s="45"/>
      <c r="Y7" s="45"/>
      <c r="Z7" s="45"/>
    </row>
    <row r="8" spans="1:26" ht="13.5" customHeight="1" x14ac:dyDescent="0.25">
      <c r="A8" s="58">
        <v>1000</v>
      </c>
      <c r="B8" s="618" t="s">
        <v>454</v>
      </c>
      <c r="C8" s="614"/>
      <c r="D8" s="59">
        <v>0</v>
      </c>
      <c r="E8" s="59">
        <v>0</v>
      </c>
      <c r="F8" s="60">
        <f t="shared" si="0"/>
        <v>0</v>
      </c>
      <c r="G8" s="56"/>
      <c r="H8" s="45"/>
      <c r="I8" s="45"/>
      <c r="J8" s="45"/>
      <c r="K8" s="45"/>
      <c r="L8" s="45"/>
      <c r="M8" s="45"/>
      <c r="N8" s="45"/>
      <c r="O8" s="57"/>
      <c r="P8" s="45"/>
      <c r="Q8" s="45"/>
      <c r="R8" s="45"/>
      <c r="S8" s="45"/>
      <c r="T8" s="45"/>
      <c r="U8" s="45"/>
      <c r="V8" s="45"/>
      <c r="W8" s="45"/>
      <c r="X8" s="45"/>
      <c r="Y8" s="45"/>
      <c r="Z8" s="45"/>
    </row>
    <row r="9" spans="1:26" ht="13.5" customHeight="1" x14ac:dyDescent="0.25">
      <c r="A9" s="58">
        <v>2000</v>
      </c>
      <c r="B9" s="618" t="s">
        <v>455</v>
      </c>
      <c r="C9" s="614"/>
      <c r="D9" s="59">
        <v>0</v>
      </c>
      <c r="E9" s="59">
        <v>0</v>
      </c>
      <c r="F9" s="60">
        <f t="shared" si="0"/>
        <v>0</v>
      </c>
      <c r="G9" s="56"/>
      <c r="H9" s="45"/>
      <c r="I9" s="45"/>
      <c r="J9" s="45"/>
      <c r="K9" s="45"/>
      <c r="L9" s="45"/>
      <c r="M9" s="45"/>
      <c r="N9" s="45"/>
      <c r="O9" s="45"/>
      <c r="P9" s="45"/>
      <c r="Q9" s="45"/>
      <c r="R9" s="45"/>
      <c r="S9" s="45"/>
      <c r="T9" s="45"/>
      <c r="U9" s="45"/>
      <c r="V9" s="45"/>
      <c r="W9" s="45"/>
      <c r="X9" s="45"/>
      <c r="Y9" s="45"/>
      <c r="Z9" s="45"/>
    </row>
    <row r="10" spans="1:26" ht="13.5" customHeight="1" x14ac:dyDescent="0.25">
      <c r="A10" s="58">
        <v>3000</v>
      </c>
      <c r="B10" s="618" t="s">
        <v>456</v>
      </c>
      <c r="C10" s="614"/>
      <c r="D10" s="59">
        <v>0</v>
      </c>
      <c r="E10" s="59">
        <v>0</v>
      </c>
      <c r="F10" s="60">
        <f t="shared" si="0"/>
        <v>0</v>
      </c>
      <c r="G10" s="56"/>
      <c r="H10" s="45"/>
      <c r="I10" s="45"/>
      <c r="J10" s="45"/>
      <c r="K10" s="45"/>
      <c r="L10" s="45"/>
      <c r="M10" s="45"/>
      <c r="N10" s="45"/>
      <c r="O10" s="45"/>
      <c r="P10" s="45"/>
      <c r="Q10" s="45"/>
      <c r="R10" s="45"/>
      <c r="S10" s="45"/>
      <c r="T10" s="45"/>
      <c r="U10" s="45"/>
      <c r="V10" s="45"/>
      <c r="W10" s="45"/>
      <c r="X10" s="45"/>
      <c r="Y10" s="45"/>
      <c r="Z10" s="45"/>
    </row>
    <row r="11" spans="1:26" ht="13.5" customHeight="1" x14ac:dyDescent="0.25">
      <c r="A11" s="58">
        <v>4000</v>
      </c>
      <c r="B11" s="618" t="s">
        <v>457</v>
      </c>
      <c r="C11" s="614"/>
      <c r="D11" s="59">
        <v>0</v>
      </c>
      <c r="E11" s="59">
        <v>0</v>
      </c>
      <c r="F11" s="60">
        <f t="shared" si="0"/>
        <v>0</v>
      </c>
      <c r="G11" s="56"/>
      <c r="H11" s="45"/>
      <c r="I11" s="45"/>
      <c r="J11" s="45"/>
      <c r="K11" s="45"/>
      <c r="L11" s="45"/>
      <c r="M11" s="45"/>
      <c r="N11" s="45"/>
      <c r="O11" s="45"/>
      <c r="P11" s="45"/>
      <c r="Q11" s="45"/>
      <c r="R11" s="45"/>
      <c r="S11" s="45"/>
      <c r="T11" s="45"/>
      <c r="U11" s="45"/>
      <c r="V11" s="45"/>
      <c r="W11" s="45"/>
      <c r="X11" s="45"/>
      <c r="Y11" s="45"/>
      <c r="Z11" s="45"/>
    </row>
    <row r="12" spans="1:26" ht="13.5" customHeight="1" x14ac:dyDescent="0.25">
      <c r="A12" s="58">
        <v>5000</v>
      </c>
      <c r="B12" s="61" t="s">
        <v>458</v>
      </c>
      <c r="C12" s="61"/>
      <c r="D12" s="59">
        <v>0</v>
      </c>
      <c r="E12" s="59">
        <v>0</v>
      </c>
      <c r="F12" s="60">
        <f t="shared" si="0"/>
        <v>0</v>
      </c>
      <c r="G12" s="56"/>
      <c r="H12" s="45"/>
      <c r="I12" s="45"/>
      <c r="J12" s="45"/>
      <c r="K12" s="45"/>
      <c r="L12" s="45"/>
      <c r="M12" s="45"/>
      <c r="N12" s="45"/>
      <c r="O12" s="45"/>
      <c r="P12" s="45"/>
      <c r="Q12" s="45"/>
      <c r="R12" s="45"/>
      <c r="S12" s="45"/>
      <c r="T12" s="45"/>
      <c r="U12" s="45"/>
      <c r="V12" s="45"/>
      <c r="W12" s="45"/>
      <c r="X12" s="45"/>
      <c r="Y12" s="45"/>
      <c r="Z12" s="45"/>
    </row>
    <row r="13" spans="1:26" ht="13.5" customHeight="1" x14ac:dyDescent="0.25">
      <c r="A13" s="58">
        <v>6000</v>
      </c>
      <c r="B13" s="61" t="s">
        <v>459</v>
      </c>
      <c r="C13" s="61"/>
      <c r="D13" s="59">
        <v>0</v>
      </c>
      <c r="E13" s="59">
        <v>0</v>
      </c>
      <c r="F13" s="60">
        <f t="shared" si="0"/>
        <v>0</v>
      </c>
      <c r="G13" s="56"/>
      <c r="H13" s="45"/>
      <c r="I13" s="45"/>
      <c r="J13" s="45"/>
      <c r="K13" s="45"/>
      <c r="L13" s="45"/>
      <c r="M13" s="45"/>
      <c r="N13" s="45"/>
      <c r="O13" s="45"/>
      <c r="P13" s="45"/>
      <c r="Q13" s="45"/>
      <c r="R13" s="45"/>
      <c r="S13" s="45"/>
      <c r="T13" s="45"/>
      <c r="U13" s="45"/>
      <c r="V13" s="45"/>
      <c r="W13" s="45"/>
      <c r="X13" s="45"/>
      <c r="Y13" s="45"/>
      <c r="Z13" s="45"/>
    </row>
    <row r="14" spans="1:26" ht="13.5" customHeight="1" x14ac:dyDescent="0.25">
      <c r="A14" s="58">
        <v>7000</v>
      </c>
      <c r="B14" s="61" t="s">
        <v>460</v>
      </c>
      <c r="C14" s="61"/>
      <c r="D14" s="59">
        <v>0</v>
      </c>
      <c r="E14" s="59">
        <v>0</v>
      </c>
      <c r="F14" s="60">
        <f t="shared" si="0"/>
        <v>0</v>
      </c>
      <c r="G14" s="56"/>
      <c r="H14" s="45"/>
      <c r="I14" s="45"/>
      <c r="J14" s="45"/>
      <c r="K14" s="45"/>
      <c r="L14" s="45"/>
      <c r="M14" s="45"/>
      <c r="N14" s="45"/>
      <c r="O14" s="45"/>
      <c r="P14" s="45"/>
      <c r="Q14" s="45"/>
      <c r="R14" s="45"/>
      <c r="S14" s="45"/>
      <c r="T14" s="45"/>
      <c r="U14" s="45"/>
      <c r="V14" s="45"/>
      <c r="W14" s="45"/>
      <c r="X14" s="45"/>
      <c r="Y14" s="45"/>
      <c r="Z14" s="45"/>
    </row>
    <row r="15" spans="1:26" ht="13.5" customHeight="1" x14ac:dyDescent="0.25">
      <c r="A15" s="58">
        <v>8000</v>
      </c>
      <c r="B15" s="61" t="s">
        <v>461</v>
      </c>
      <c r="C15" s="61"/>
      <c r="D15" s="59">
        <v>0</v>
      </c>
      <c r="E15" s="59">
        <v>0</v>
      </c>
      <c r="F15" s="60">
        <f t="shared" si="0"/>
        <v>0</v>
      </c>
      <c r="G15" s="56"/>
      <c r="H15" s="45"/>
      <c r="I15" s="45"/>
      <c r="J15" s="45"/>
      <c r="K15" s="45"/>
      <c r="L15" s="45"/>
      <c r="M15" s="45"/>
      <c r="N15" s="45"/>
      <c r="O15" s="45"/>
      <c r="P15" s="45"/>
      <c r="Q15" s="45"/>
      <c r="R15" s="45"/>
      <c r="S15" s="45"/>
      <c r="T15" s="45"/>
      <c r="U15" s="45"/>
      <c r="V15" s="45"/>
      <c r="W15" s="45"/>
      <c r="X15" s="45"/>
      <c r="Y15" s="45"/>
      <c r="Z15" s="45"/>
    </row>
    <row r="16" spans="1:26" ht="13.5" customHeight="1" x14ac:dyDescent="0.25">
      <c r="A16" s="58">
        <v>9000</v>
      </c>
      <c r="B16" s="618" t="s">
        <v>462</v>
      </c>
      <c r="C16" s="614"/>
      <c r="D16" s="59">
        <v>0</v>
      </c>
      <c r="E16" s="62">
        <v>0</v>
      </c>
      <c r="F16" s="60">
        <f t="shared" si="0"/>
        <v>0</v>
      </c>
      <c r="G16" s="56"/>
      <c r="H16" s="45"/>
      <c r="I16" s="45"/>
      <c r="J16" s="45"/>
      <c r="K16" s="45"/>
      <c r="L16" s="45"/>
      <c r="M16" s="45"/>
      <c r="N16" s="45"/>
      <c r="O16" s="45"/>
      <c r="P16" s="45"/>
      <c r="Q16" s="45"/>
      <c r="R16" s="45"/>
      <c r="S16" s="45"/>
      <c r="T16" s="45"/>
      <c r="U16" s="45"/>
      <c r="V16" s="45"/>
      <c r="W16" s="45"/>
      <c r="X16" s="45"/>
      <c r="Y16" s="45"/>
      <c r="Z16" s="45"/>
    </row>
    <row r="17" spans="1:26" ht="13.5" customHeight="1" x14ac:dyDescent="0.25">
      <c r="A17" s="58">
        <v>10000</v>
      </c>
      <c r="B17" s="618" t="s">
        <v>463</v>
      </c>
      <c r="C17" s="614"/>
      <c r="D17" s="59">
        <v>0</v>
      </c>
      <c r="E17" s="59">
        <v>0</v>
      </c>
      <c r="F17" s="60">
        <f t="shared" si="0"/>
        <v>0</v>
      </c>
      <c r="G17" s="56"/>
      <c r="H17" s="45"/>
      <c r="I17" s="45"/>
      <c r="J17" s="45"/>
      <c r="K17" s="45"/>
      <c r="L17" s="45"/>
      <c r="M17" s="45"/>
      <c r="N17" s="45"/>
      <c r="O17" s="45"/>
      <c r="P17" s="45"/>
      <c r="Q17" s="45"/>
      <c r="R17" s="45"/>
      <c r="S17" s="45"/>
      <c r="T17" s="45"/>
      <c r="U17" s="45"/>
      <c r="V17" s="45"/>
      <c r="W17" s="45"/>
      <c r="X17" s="45"/>
      <c r="Y17" s="45"/>
      <c r="Z17" s="45"/>
    </row>
    <row r="18" spans="1:26" ht="13.5" customHeight="1" x14ac:dyDescent="0.25">
      <c r="A18" s="58">
        <v>11000</v>
      </c>
      <c r="B18" s="618" t="s">
        <v>464</v>
      </c>
      <c r="C18" s="614"/>
      <c r="D18" s="59">
        <v>0</v>
      </c>
      <c r="E18" s="59">
        <v>0</v>
      </c>
      <c r="F18" s="60">
        <f t="shared" si="0"/>
        <v>0</v>
      </c>
      <c r="G18" s="56"/>
      <c r="H18" s="45"/>
      <c r="I18" s="45"/>
      <c r="J18" s="45"/>
      <c r="K18" s="45"/>
      <c r="L18" s="45"/>
      <c r="M18" s="45"/>
      <c r="N18" s="45"/>
      <c r="O18" s="45"/>
      <c r="P18" s="45"/>
      <c r="Q18" s="45"/>
      <c r="R18" s="45"/>
      <c r="S18" s="45"/>
      <c r="T18" s="45"/>
      <c r="U18" s="45"/>
      <c r="V18" s="45"/>
      <c r="W18" s="45"/>
      <c r="X18" s="45"/>
      <c r="Y18" s="45"/>
      <c r="Z18" s="45"/>
    </row>
    <row r="19" spans="1:26" ht="13.5" customHeight="1" x14ac:dyDescent="0.25">
      <c r="A19" s="58">
        <v>12000</v>
      </c>
      <c r="B19" s="618" t="s">
        <v>465</v>
      </c>
      <c r="C19" s="614"/>
      <c r="D19" s="59">
        <v>0</v>
      </c>
      <c r="E19" s="59">
        <v>0</v>
      </c>
      <c r="F19" s="60">
        <f t="shared" si="0"/>
        <v>0</v>
      </c>
      <c r="G19" s="56"/>
      <c r="H19" s="45"/>
      <c r="I19" s="45"/>
      <c r="J19" s="45"/>
      <c r="K19" s="45"/>
      <c r="L19" s="45"/>
      <c r="M19" s="45"/>
      <c r="N19" s="45"/>
      <c r="O19" s="45"/>
      <c r="P19" s="45"/>
      <c r="Q19" s="45"/>
      <c r="R19" s="45"/>
      <c r="S19" s="45"/>
      <c r="T19" s="45"/>
      <c r="U19" s="45"/>
      <c r="V19" s="45"/>
      <c r="W19" s="45"/>
      <c r="X19" s="45"/>
      <c r="Y19" s="45"/>
      <c r="Z19" s="45"/>
    </row>
    <row r="20" spans="1:26" ht="13.5" customHeight="1" x14ac:dyDescent="0.25">
      <c r="A20" s="58">
        <v>13000</v>
      </c>
      <c r="B20" s="618" t="s">
        <v>370</v>
      </c>
      <c r="C20" s="614"/>
      <c r="D20" s="59">
        <v>0</v>
      </c>
      <c r="E20" s="59">
        <v>0</v>
      </c>
      <c r="F20" s="60">
        <f t="shared" si="0"/>
        <v>0</v>
      </c>
      <c r="G20" s="56"/>
      <c r="H20" s="45"/>
      <c r="I20" s="45"/>
      <c r="J20" s="45"/>
      <c r="K20" s="45"/>
      <c r="L20" s="45"/>
      <c r="M20" s="45"/>
      <c r="N20" s="45"/>
      <c r="O20" s="45"/>
      <c r="P20" s="45"/>
      <c r="Q20" s="45"/>
      <c r="R20" s="45"/>
      <c r="S20" s="45"/>
      <c r="T20" s="45"/>
      <c r="U20" s="45"/>
      <c r="V20" s="45"/>
      <c r="W20" s="45"/>
      <c r="X20" s="45"/>
      <c r="Y20" s="45"/>
      <c r="Z20" s="45"/>
    </row>
    <row r="21" spans="1:26" ht="13.5" customHeight="1" x14ac:dyDescent="0.25">
      <c r="A21" s="58">
        <v>14000</v>
      </c>
      <c r="B21" s="618" t="s">
        <v>466</v>
      </c>
      <c r="C21" s="614"/>
      <c r="D21" s="59">
        <v>0</v>
      </c>
      <c r="E21" s="59">
        <v>0</v>
      </c>
      <c r="F21" s="60">
        <f t="shared" si="0"/>
        <v>0</v>
      </c>
      <c r="G21" s="56"/>
      <c r="H21" s="45"/>
      <c r="I21" s="45"/>
      <c r="J21" s="45"/>
      <c r="K21" s="45"/>
      <c r="L21" s="45"/>
      <c r="M21" s="45"/>
      <c r="N21" s="45"/>
      <c r="O21" s="45"/>
      <c r="P21" s="45"/>
      <c r="Q21" s="45"/>
      <c r="R21" s="45"/>
      <c r="S21" s="45"/>
      <c r="T21" s="45"/>
      <c r="U21" s="45"/>
      <c r="V21" s="45"/>
      <c r="W21" s="45"/>
      <c r="X21" s="45"/>
      <c r="Y21" s="45"/>
      <c r="Z21" s="45"/>
    </row>
    <row r="22" spans="1:26" ht="13.5" customHeight="1" x14ac:dyDescent="0.25">
      <c r="A22" s="58">
        <v>15000</v>
      </c>
      <c r="B22" s="618" t="s">
        <v>467</v>
      </c>
      <c r="C22" s="614"/>
      <c r="D22" s="59">
        <v>0</v>
      </c>
      <c r="E22" s="59">
        <v>0</v>
      </c>
      <c r="F22" s="60">
        <f t="shared" si="0"/>
        <v>0</v>
      </c>
      <c r="G22" s="63"/>
      <c r="H22" s="45"/>
      <c r="I22" s="45"/>
      <c r="J22" s="45"/>
      <c r="K22" s="45"/>
      <c r="L22" s="45"/>
      <c r="M22" s="45"/>
      <c r="N22" s="45"/>
      <c r="O22" s="45"/>
      <c r="P22" s="45"/>
      <c r="Q22" s="45"/>
      <c r="R22" s="45"/>
      <c r="S22" s="45"/>
      <c r="T22" s="45"/>
      <c r="U22" s="45"/>
      <c r="V22" s="45"/>
      <c r="W22" s="45"/>
      <c r="X22" s="45"/>
      <c r="Y22" s="45"/>
      <c r="Z22" s="45"/>
    </row>
    <row r="23" spans="1:26" ht="13.5" customHeight="1" x14ac:dyDescent="0.25">
      <c r="A23" s="58">
        <v>16000</v>
      </c>
      <c r="B23" s="618" t="s">
        <v>468</v>
      </c>
      <c r="C23" s="614"/>
      <c r="D23" s="59">
        <v>0</v>
      </c>
      <c r="E23" s="59">
        <v>0</v>
      </c>
      <c r="F23" s="60">
        <f t="shared" si="0"/>
        <v>0</v>
      </c>
      <c r="G23" s="63"/>
      <c r="H23" s="45"/>
      <c r="I23" s="45"/>
      <c r="J23" s="45"/>
      <c r="K23" s="45"/>
      <c r="L23" s="45"/>
      <c r="M23" s="45"/>
      <c r="N23" s="45"/>
      <c r="O23" s="45"/>
      <c r="P23" s="45"/>
      <c r="Q23" s="45"/>
      <c r="R23" s="45"/>
      <c r="S23" s="45"/>
      <c r="T23" s="45"/>
      <c r="U23" s="45"/>
      <c r="V23" s="45"/>
      <c r="W23" s="45"/>
      <c r="X23" s="45"/>
      <c r="Y23" s="45"/>
      <c r="Z23" s="45"/>
    </row>
    <row r="24" spans="1:26" ht="13.5" customHeight="1" x14ac:dyDescent="0.25">
      <c r="A24" s="58">
        <v>17000</v>
      </c>
      <c r="B24" s="618" t="s">
        <v>469</v>
      </c>
      <c r="C24" s="614"/>
      <c r="D24" s="59">
        <v>0</v>
      </c>
      <c r="E24" s="59">
        <v>0</v>
      </c>
      <c r="F24" s="60">
        <f t="shared" si="0"/>
        <v>0</v>
      </c>
      <c r="G24" s="63"/>
      <c r="H24" s="45"/>
      <c r="I24" s="45"/>
      <c r="J24" s="45"/>
      <c r="K24" s="45"/>
      <c r="L24" s="45"/>
      <c r="M24" s="45"/>
      <c r="N24" s="45"/>
      <c r="O24" s="45"/>
      <c r="P24" s="45"/>
      <c r="Q24" s="45"/>
      <c r="R24" s="45"/>
      <c r="S24" s="45"/>
      <c r="T24" s="45"/>
      <c r="U24" s="45"/>
      <c r="V24" s="45"/>
      <c r="W24" s="45"/>
      <c r="X24" s="45"/>
      <c r="Y24" s="45"/>
      <c r="Z24" s="45"/>
    </row>
    <row r="25" spans="1:26" ht="13.5" customHeight="1" x14ac:dyDescent="0.25">
      <c r="A25" s="58">
        <v>18000</v>
      </c>
      <c r="B25" s="618" t="s">
        <v>470</v>
      </c>
      <c r="C25" s="614"/>
      <c r="D25" s="59">
        <v>0</v>
      </c>
      <c r="E25" s="59">
        <v>0</v>
      </c>
      <c r="F25" s="60">
        <f t="shared" si="0"/>
        <v>0</v>
      </c>
      <c r="G25" s="63"/>
      <c r="H25" s="45"/>
      <c r="I25" s="45"/>
      <c r="J25" s="45"/>
      <c r="K25" s="45"/>
      <c r="L25" s="45"/>
      <c r="M25" s="45"/>
      <c r="N25" s="45"/>
      <c r="O25" s="45"/>
      <c r="P25" s="45"/>
      <c r="Q25" s="45"/>
      <c r="R25" s="45"/>
      <c r="S25" s="45"/>
      <c r="T25" s="45"/>
      <c r="U25" s="45"/>
      <c r="V25" s="45"/>
      <c r="W25" s="45"/>
      <c r="X25" s="45"/>
      <c r="Y25" s="45"/>
      <c r="Z25" s="45"/>
    </row>
    <row r="26" spans="1:26" ht="13.5" customHeight="1" x14ac:dyDescent="0.25">
      <c r="A26" s="58">
        <v>19000</v>
      </c>
      <c r="B26" s="618" t="s">
        <v>471</v>
      </c>
      <c r="C26" s="614"/>
      <c r="D26" s="59">
        <v>0</v>
      </c>
      <c r="E26" s="59">
        <v>0</v>
      </c>
      <c r="F26" s="60">
        <f t="shared" si="0"/>
        <v>0</v>
      </c>
      <c r="G26" s="63"/>
      <c r="H26" s="45"/>
      <c r="I26" s="45"/>
      <c r="J26" s="45"/>
      <c r="K26" s="45"/>
      <c r="L26" s="45"/>
      <c r="M26" s="45"/>
      <c r="N26" s="45"/>
      <c r="O26" s="45"/>
      <c r="P26" s="45"/>
      <c r="Q26" s="45"/>
      <c r="R26" s="45"/>
      <c r="S26" s="45"/>
      <c r="T26" s="45"/>
      <c r="U26" s="45"/>
      <c r="V26" s="45"/>
      <c r="W26" s="45"/>
      <c r="X26" s="45"/>
      <c r="Y26" s="45"/>
      <c r="Z26" s="45"/>
    </row>
    <row r="27" spans="1:26" ht="13.5" customHeight="1" x14ac:dyDescent="0.25">
      <c r="A27" s="58">
        <v>20000</v>
      </c>
      <c r="B27" s="618" t="s">
        <v>472</v>
      </c>
      <c r="C27" s="614"/>
      <c r="D27" s="59">
        <v>0</v>
      </c>
      <c r="E27" s="59">
        <v>0</v>
      </c>
      <c r="F27" s="60">
        <f t="shared" si="0"/>
        <v>0</v>
      </c>
      <c r="G27" s="63"/>
      <c r="H27" s="45"/>
      <c r="I27" s="45"/>
      <c r="J27" s="45"/>
      <c r="K27" s="45"/>
      <c r="L27" s="45"/>
      <c r="M27" s="45"/>
      <c r="N27" s="45"/>
      <c r="O27" s="45"/>
      <c r="P27" s="45"/>
      <c r="Q27" s="45"/>
      <c r="R27" s="45"/>
      <c r="S27" s="45"/>
      <c r="T27" s="45"/>
      <c r="U27" s="45"/>
      <c r="V27" s="45"/>
      <c r="W27" s="45"/>
      <c r="X27" s="45"/>
      <c r="Y27" s="45"/>
      <c r="Z27" s="45"/>
    </row>
    <row r="28" spans="1:26" ht="13.5" customHeight="1" x14ac:dyDescent="0.25">
      <c r="A28" s="58">
        <v>21000</v>
      </c>
      <c r="B28" s="618" t="s">
        <v>420</v>
      </c>
      <c r="C28" s="614"/>
      <c r="D28" s="59">
        <v>0</v>
      </c>
      <c r="E28" s="59">
        <v>0</v>
      </c>
      <c r="F28" s="60">
        <f t="shared" si="0"/>
        <v>0</v>
      </c>
      <c r="G28" s="63"/>
      <c r="H28" s="45"/>
      <c r="I28" s="45"/>
      <c r="J28" s="45"/>
      <c r="K28" s="45"/>
      <c r="L28" s="45"/>
      <c r="M28" s="45"/>
      <c r="N28" s="45"/>
      <c r="O28" s="45"/>
      <c r="P28" s="45"/>
      <c r="Q28" s="45"/>
      <c r="R28" s="45"/>
      <c r="S28" s="45"/>
      <c r="T28" s="45"/>
      <c r="U28" s="45"/>
      <c r="V28" s="45"/>
      <c r="W28" s="45"/>
      <c r="X28" s="45"/>
      <c r="Y28" s="45"/>
      <c r="Z28" s="45"/>
    </row>
    <row r="29" spans="1:26" ht="13.5" customHeight="1" x14ac:dyDescent="0.25">
      <c r="A29" s="58">
        <v>22000</v>
      </c>
      <c r="B29" s="618" t="s">
        <v>473</v>
      </c>
      <c r="C29" s="614"/>
      <c r="D29" s="59">
        <v>0</v>
      </c>
      <c r="E29" s="59">
        <v>0</v>
      </c>
      <c r="F29" s="60">
        <f t="shared" si="0"/>
        <v>0</v>
      </c>
      <c r="G29" s="63"/>
      <c r="H29" s="45"/>
      <c r="I29" s="45"/>
      <c r="J29" s="45"/>
      <c r="K29" s="45"/>
      <c r="L29" s="45"/>
      <c r="M29" s="45"/>
      <c r="N29" s="45"/>
      <c r="O29" s="45"/>
      <c r="P29" s="45"/>
      <c r="Q29" s="45"/>
      <c r="R29" s="45"/>
      <c r="S29" s="45"/>
      <c r="T29" s="45"/>
      <c r="U29" s="45"/>
      <c r="V29" s="45"/>
      <c r="W29" s="45"/>
      <c r="X29" s="45"/>
      <c r="Y29" s="45"/>
      <c r="Z29" s="45"/>
    </row>
    <row r="30" spans="1:26" ht="13.5" customHeight="1" x14ac:dyDescent="0.25">
      <c r="A30" s="58">
        <v>23000</v>
      </c>
      <c r="B30" s="618" t="s">
        <v>474</v>
      </c>
      <c r="C30" s="614"/>
      <c r="D30" s="59">
        <v>0</v>
      </c>
      <c r="E30" s="59">
        <v>0</v>
      </c>
      <c r="F30" s="60">
        <f t="shared" si="0"/>
        <v>0</v>
      </c>
      <c r="G30" s="63"/>
      <c r="H30" s="45"/>
      <c r="I30" s="45"/>
      <c r="J30" s="45"/>
      <c r="K30" s="45"/>
      <c r="L30" s="45"/>
      <c r="M30" s="45"/>
      <c r="N30" s="45"/>
      <c r="O30" s="45"/>
      <c r="P30" s="45"/>
      <c r="Q30" s="45"/>
      <c r="R30" s="45"/>
      <c r="S30" s="45"/>
      <c r="T30" s="45"/>
      <c r="U30" s="45"/>
      <c r="V30" s="45"/>
      <c r="W30" s="45"/>
      <c r="X30" s="45"/>
      <c r="Y30" s="45"/>
      <c r="Z30" s="45"/>
    </row>
    <row r="31" spans="1:26" ht="13.5" customHeight="1" x14ac:dyDescent="0.25">
      <c r="A31" s="58">
        <v>24000</v>
      </c>
      <c r="B31" s="61" t="s">
        <v>475</v>
      </c>
      <c r="C31" s="64"/>
      <c r="D31" s="59">
        <v>0</v>
      </c>
      <c r="E31" s="59">
        <v>0</v>
      </c>
      <c r="F31" s="60">
        <f t="shared" si="0"/>
        <v>0</v>
      </c>
      <c r="G31" s="63"/>
      <c r="H31" s="45"/>
      <c r="I31" s="45"/>
      <c r="J31" s="45"/>
      <c r="K31" s="45"/>
      <c r="L31" s="45"/>
      <c r="M31" s="45"/>
      <c r="N31" s="45"/>
      <c r="O31" s="45"/>
      <c r="P31" s="45"/>
      <c r="Q31" s="45"/>
      <c r="R31" s="45"/>
      <c r="S31" s="45"/>
      <c r="T31" s="45"/>
      <c r="U31" s="45"/>
      <c r="V31" s="45"/>
      <c r="W31" s="45"/>
      <c r="X31" s="45"/>
      <c r="Y31" s="45"/>
      <c r="Z31" s="45"/>
    </row>
    <row r="32" spans="1:26" ht="13.5" customHeight="1" x14ac:dyDescent="0.25">
      <c r="A32" s="58">
        <v>25000</v>
      </c>
      <c r="B32" s="61" t="s">
        <v>476</v>
      </c>
      <c r="C32" s="61"/>
      <c r="D32" s="59">
        <v>0</v>
      </c>
      <c r="E32" s="59">
        <v>0</v>
      </c>
      <c r="F32" s="60">
        <f t="shared" si="0"/>
        <v>0</v>
      </c>
      <c r="G32" s="63"/>
      <c r="H32" s="45"/>
      <c r="I32" s="45"/>
      <c r="J32" s="45"/>
      <c r="K32" s="45"/>
      <c r="L32" s="45"/>
      <c r="M32" s="45"/>
      <c r="N32" s="45"/>
      <c r="O32" s="45"/>
      <c r="P32" s="45"/>
      <c r="Q32" s="45"/>
      <c r="R32" s="45"/>
      <c r="S32" s="45"/>
      <c r="T32" s="45"/>
      <c r="U32" s="45"/>
      <c r="V32" s="45"/>
      <c r="W32" s="45"/>
      <c r="X32" s="45"/>
      <c r="Y32" s="45"/>
      <c r="Z32" s="45"/>
    </row>
    <row r="33" spans="1:26" ht="13.5" customHeight="1" x14ac:dyDescent="0.25">
      <c r="A33" s="58">
        <v>26000</v>
      </c>
      <c r="B33" s="61" t="s">
        <v>372</v>
      </c>
      <c r="C33" s="64"/>
      <c r="D33" s="59">
        <v>0</v>
      </c>
      <c r="E33" s="59">
        <v>0</v>
      </c>
      <c r="F33" s="60">
        <f t="shared" si="0"/>
        <v>0</v>
      </c>
      <c r="G33" s="63"/>
      <c r="H33" s="45"/>
      <c r="I33" s="45"/>
      <c r="J33" s="45"/>
      <c r="K33" s="45"/>
      <c r="L33" s="45"/>
      <c r="M33" s="45"/>
      <c r="N33" s="45"/>
      <c r="O33" s="45"/>
      <c r="P33" s="45"/>
      <c r="Q33" s="45"/>
      <c r="R33" s="45"/>
      <c r="S33" s="45"/>
      <c r="T33" s="45"/>
      <c r="U33" s="45"/>
      <c r="V33" s="45"/>
      <c r="W33" s="45"/>
      <c r="X33" s="45"/>
      <c r="Y33" s="45"/>
      <c r="Z33" s="45"/>
    </row>
    <row r="34" spans="1:26" ht="13.5" customHeight="1" x14ac:dyDescent="0.25">
      <c r="A34" s="58">
        <v>27000</v>
      </c>
      <c r="B34" s="61" t="s">
        <v>477</v>
      </c>
      <c r="C34" s="61"/>
      <c r="D34" s="59">
        <v>0</v>
      </c>
      <c r="E34" s="59">
        <v>0</v>
      </c>
      <c r="F34" s="60">
        <f t="shared" si="0"/>
        <v>0</v>
      </c>
      <c r="G34" s="63"/>
      <c r="H34" s="45"/>
      <c r="I34" s="45"/>
      <c r="J34" s="45"/>
      <c r="K34" s="45"/>
      <c r="L34" s="45"/>
      <c r="M34" s="45"/>
      <c r="N34" s="45"/>
      <c r="O34" s="45"/>
      <c r="P34" s="45"/>
      <c r="Q34" s="45"/>
      <c r="R34" s="45"/>
      <c r="S34" s="45"/>
      <c r="T34" s="45"/>
      <c r="U34" s="45"/>
      <c r="V34" s="45"/>
      <c r="W34" s="45"/>
      <c r="X34" s="45"/>
      <c r="Y34" s="45"/>
      <c r="Z34" s="45"/>
    </row>
    <row r="35" spans="1:26" ht="13.5" customHeight="1" x14ac:dyDescent="0.25">
      <c r="A35" s="58">
        <v>28000</v>
      </c>
      <c r="B35" s="61" t="s">
        <v>478</v>
      </c>
      <c r="C35" s="61"/>
      <c r="D35" s="59">
        <v>0</v>
      </c>
      <c r="E35" s="59">
        <v>0</v>
      </c>
      <c r="F35" s="60">
        <f t="shared" si="0"/>
        <v>0</v>
      </c>
      <c r="G35" s="63"/>
      <c r="H35" s="45"/>
      <c r="I35" s="45"/>
      <c r="J35" s="45"/>
      <c r="K35" s="45"/>
      <c r="L35" s="45"/>
      <c r="M35" s="45"/>
      <c r="N35" s="45"/>
      <c r="O35" s="45"/>
      <c r="P35" s="45"/>
      <c r="Q35" s="45"/>
      <c r="R35" s="45"/>
      <c r="S35" s="45"/>
      <c r="T35" s="45"/>
      <c r="U35" s="45"/>
      <c r="V35" s="45"/>
      <c r="W35" s="45"/>
      <c r="X35" s="45"/>
      <c r="Y35" s="45"/>
      <c r="Z35" s="45"/>
    </row>
    <row r="36" spans="1:26" ht="13.5" customHeight="1" x14ac:dyDescent="0.25">
      <c r="A36" s="58">
        <v>29000</v>
      </c>
      <c r="B36" s="61" t="s">
        <v>479</v>
      </c>
      <c r="C36" s="64"/>
      <c r="D36" s="59">
        <v>0</v>
      </c>
      <c r="E36" s="59">
        <v>0</v>
      </c>
      <c r="F36" s="60">
        <f t="shared" si="0"/>
        <v>0</v>
      </c>
      <c r="G36" s="63"/>
      <c r="H36" s="45"/>
      <c r="I36" s="45"/>
      <c r="J36" s="45"/>
      <c r="K36" s="45"/>
      <c r="L36" s="45"/>
      <c r="M36" s="45"/>
      <c r="N36" s="45"/>
      <c r="O36" s="45"/>
      <c r="P36" s="45"/>
      <c r="Q36" s="45"/>
      <c r="R36" s="45"/>
      <c r="S36" s="45"/>
      <c r="T36" s="45"/>
      <c r="U36" s="45"/>
      <c r="V36" s="45"/>
      <c r="W36" s="45"/>
      <c r="X36" s="45"/>
      <c r="Y36" s="45"/>
      <c r="Z36" s="45"/>
    </row>
    <row r="37" spans="1:26" ht="13.5" customHeight="1" x14ac:dyDescent="0.25">
      <c r="A37" s="58">
        <v>30000</v>
      </c>
      <c r="B37" s="618" t="s">
        <v>480</v>
      </c>
      <c r="C37" s="614"/>
      <c r="D37" s="59">
        <v>0</v>
      </c>
      <c r="E37" s="62">
        <v>0</v>
      </c>
      <c r="F37" s="60">
        <f t="shared" si="0"/>
        <v>0</v>
      </c>
      <c r="G37" s="63"/>
      <c r="H37" s="45"/>
      <c r="I37" s="45"/>
      <c r="J37" s="45"/>
      <c r="K37" s="45"/>
      <c r="L37" s="45"/>
      <c r="M37" s="45"/>
      <c r="N37" s="45"/>
      <c r="O37" s="45"/>
      <c r="P37" s="45"/>
      <c r="Q37" s="45"/>
      <c r="R37" s="45"/>
      <c r="S37" s="45"/>
      <c r="T37" s="45"/>
      <c r="U37" s="45"/>
      <c r="V37" s="45"/>
      <c r="W37" s="45"/>
      <c r="X37" s="45"/>
      <c r="Y37" s="45"/>
      <c r="Z37" s="45"/>
    </row>
    <row r="38" spans="1:26" ht="13.5" customHeight="1" x14ac:dyDescent="0.25">
      <c r="A38" s="58">
        <v>31000</v>
      </c>
      <c r="B38" s="61" t="s">
        <v>481</v>
      </c>
      <c r="C38" s="64"/>
      <c r="D38" s="59">
        <v>0</v>
      </c>
      <c r="E38" s="59">
        <v>0</v>
      </c>
      <c r="F38" s="60">
        <f t="shared" si="0"/>
        <v>0</v>
      </c>
      <c r="G38" s="63"/>
      <c r="H38" s="45"/>
      <c r="I38" s="45"/>
      <c r="J38" s="45"/>
      <c r="K38" s="45"/>
      <c r="L38" s="45"/>
      <c r="M38" s="45"/>
      <c r="N38" s="45"/>
      <c r="O38" s="45"/>
      <c r="P38" s="45"/>
      <c r="Q38" s="45"/>
      <c r="R38" s="45"/>
      <c r="S38" s="45"/>
      <c r="T38" s="45"/>
      <c r="U38" s="45"/>
      <c r="V38" s="45"/>
      <c r="W38" s="45"/>
      <c r="X38" s="45"/>
      <c r="Y38" s="45"/>
      <c r="Z38" s="45"/>
    </row>
    <row r="39" spans="1:26" ht="13.5" customHeight="1" x14ac:dyDescent="0.25">
      <c r="A39" s="58">
        <v>32000</v>
      </c>
      <c r="B39" s="617" t="s">
        <v>482</v>
      </c>
      <c r="C39" s="614"/>
      <c r="D39" s="59">
        <v>0</v>
      </c>
      <c r="E39" s="65">
        <v>0</v>
      </c>
      <c r="F39" s="60">
        <f t="shared" si="0"/>
        <v>0</v>
      </c>
      <c r="G39" s="63"/>
      <c r="H39" s="45"/>
      <c r="I39" s="45"/>
      <c r="J39" s="45"/>
      <c r="K39" s="45"/>
      <c r="L39" s="45"/>
      <c r="M39" s="45"/>
      <c r="N39" s="45"/>
      <c r="O39" s="45"/>
      <c r="P39" s="45"/>
      <c r="Q39" s="45"/>
      <c r="R39" s="45"/>
      <c r="S39" s="45"/>
      <c r="T39" s="45"/>
      <c r="U39" s="45"/>
      <c r="V39" s="45"/>
      <c r="W39" s="45"/>
      <c r="X39" s="45"/>
      <c r="Y39" s="45"/>
      <c r="Z39" s="45"/>
    </row>
    <row r="40" spans="1:26" ht="13.5" customHeight="1" x14ac:dyDescent="0.25">
      <c r="A40" s="58">
        <v>33000</v>
      </c>
      <c r="B40" s="617" t="s">
        <v>483</v>
      </c>
      <c r="C40" s="614"/>
      <c r="D40" s="59">
        <v>0</v>
      </c>
      <c r="E40" s="65">
        <v>0</v>
      </c>
      <c r="F40" s="60">
        <f t="shared" si="0"/>
        <v>0</v>
      </c>
      <c r="G40" s="63"/>
      <c r="H40" s="45"/>
      <c r="I40" s="45"/>
      <c r="J40" s="45"/>
      <c r="K40" s="45"/>
      <c r="L40" s="45"/>
      <c r="M40" s="45"/>
      <c r="N40" s="45"/>
      <c r="O40" s="45"/>
      <c r="P40" s="45"/>
      <c r="Q40" s="45"/>
      <c r="R40" s="45"/>
      <c r="S40" s="45"/>
      <c r="T40" s="45"/>
      <c r="U40" s="45"/>
      <c r="V40" s="45"/>
      <c r="W40" s="45"/>
      <c r="X40" s="45"/>
      <c r="Y40" s="45"/>
      <c r="Z40" s="45"/>
    </row>
    <row r="41" spans="1:26" ht="13.5" customHeight="1" x14ac:dyDescent="0.25">
      <c r="A41" s="58">
        <v>34000</v>
      </c>
      <c r="B41" s="617" t="s">
        <v>484</v>
      </c>
      <c r="C41" s="614"/>
      <c r="D41" s="59">
        <v>0</v>
      </c>
      <c r="E41" s="65">
        <v>0</v>
      </c>
      <c r="F41" s="60">
        <f t="shared" si="0"/>
        <v>0</v>
      </c>
      <c r="G41" s="63"/>
      <c r="H41" s="45"/>
      <c r="I41" s="45"/>
      <c r="J41" s="45"/>
      <c r="K41" s="45"/>
      <c r="L41" s="45"/>
      <c r="M41" s="45"/>
      <c r="N41" s="45"/>
      <c r="O41" s="45"/>
      <c r="P41" s="45"/>
      <c r="Q41" s="45"/>
      <c r="R41" s="45"/>
      <c r="S41" s="45"/>
      <c r="T41" s="45"/>
      <c r="U41" s="45"/>
      <c r="V41" s="45"/>
      <c r="W41" s="45"/>
      <c r="X41" s="45"/>
      <c r="Y41" s="45"/>
      <c r="Z41" s="45"/>
    </row>
    <row r="42" spans="1:26" ht="13.5" customHeight="1" x14ac:dyDescent="0.25">
      <c r="A42" s="58">
        <v>35000</v>
      </c>
      <c r="B42" s="617" t="s">
        <v>485</v>
      </c>
      <c r="C42" s="614"/>
      <c r="D42" s="59">
        <v>0</v>
      </c>
      <c r="E42" s="65">
        <v>0</v>
      </c>
      <c r="F42" s="60">
        <f t="shared" si="0"/>
        <v>0</v>
      </c>
      <c r="G42" s="63"/>
      <c r="H42" s="45"/>
      <c r="I42" s="45"/>
      <c r="J42" s="45"/>
      <c r="K42" s="45"/>
      <c r="L42" s="45"/>
      <c r="M42" s="45"/>
      <c r="N42" s="45"/>
      <c r="O42" s="45"/>
      <c r="P42" s="45"/>
      <c r="Q42" s="45"/>
      <c r="R42" s="45"/>
      <c r="S42" s="45"/>
      <c r="T42" s="45"/>
      <c r="U42" s="45"/>
      <c r="V42" s="45"/>
      <c r="W42" s="45"/>
      <c r="X42" s="45"/>
      <c r="Y42" s="45"/>
      <c r="Z42" s="45"/>
    </row>
    <row r="43" spans="1:26" ht="13.5" customHeight="1" x14ac:dyDescent="0.25">
      <c r="A43" s="58">
        <v>36000</v>
      </c>
      <c r="B43" s="617" t="s">
        <v>486</v>
      </c>
      <c r="C43" s="614"/>
      <c r="D43" s="59">
        <v>0</v>
      </c>
      <c r="E43" s="65">
        <v>0</v>
      </c>
      <c r="F43" s="60">
        <f t="shared" si="0"/>
        <v>0</v>
      </c>
      <c r="G43" s="63"/>
      <c r="H43" s="45"/>
      <c r="I43" s="45"/>
      <c r="J43" s="45"/>
      <c r="K43" s="45"/>
      <c r="L43" s="45"/>
      <c r="M43" s="45"/>
      <c r="N43" s="45"/>
      <c r="O43" s="45"/>
      <c r="P43" s="45"/>
      <c r="Q43" s="45"/>
      <c r="R43" s="45"/>
      <c r="S43" s="45"/>
      <c r="T43" s="45"/>
      <c r="U43" s="45"/>
      <c r="V43" s="45"/>
      <c r="W43" s="45"/>
      <c r="X43" s="45"/>
      <c r="Y43" s="45"/>
      <c r="Z43" s="45"/>
    </row>
    <row r="44" spans="1:26" ht="13.5" customHeight="1" x14ac:dyDescent="0.25">
      <c r="A44" s="58">
        <v>37000</v>
      </c>
      <c r="B44" s="617" t="s">
        <v>486</v>
      </c>
      <c r="C44" s="614"/>
      <c r="D44" s="59">
        <v>0</v>
      </c>
      <c r="E44" s="65">
        <v>0</v>
      </c>
      <c r="F44" s="60">
        <f t="shared" si="0"/>
        <v>0</v>
      </c>
      <c r="G44" s="63"/>
      <c r="H44" s="45"/>
      <c r="I44" s="45"/>
      <c r="J44" s="45"/>
      <c r="K44" s="45"/>
      <c r="L44" s="45"/>
      <c r="M44" s="45"/>
      <c r="N44" s="45"/>
      <c r="O44" s="45"/>
      <c r="P44" s="45"/>
      <c r="Q44" s="45"/>
      <c r="R44" s="45"/>
      <c r="S44" s="45"/>
      <c r="T44" s="45"/>
      <c r="U44" s="45"/>
      <c r="V44" s="45"/>
      <c r="W44" s="45"/>
      <c r="X44" s="45"/>
      <c r="Y44" s="45"/>
      <c r="Z44" s="45"/>
    </row>
    <row r="45" spans="1:26" ht="13.5" customHeight="1" x14ac:dyDescent="0.25">
      <c r="A45" s="58">
        <v>38000</v>
      </c>
      <c r="B45" s="617" t="s">
        <v>486</v>
      </c>
      <c r="C45" s="614"/>
      <c r="D45" s="59">
        <v>0</v>
      </c>
      <c r="E45" s="65">
        <v>0</v>
      </c>
      <c r="F45" s="60">
        <f t="shared" si="0"/>
        <v>0</v>
      </c>
      <c r="G45" s="63"/>
      <c r="H45" s="45"/>
      <c r="I45" s="45"/>
      <c r="J45" s="45"/>
      <c r="K45" s="45"/>
      <c r="L45" s="45"/>
      <c r="M45" s="45"/>
      <c r="N45" s="45"/>
      <c r="O45" s="45"/>
      <c r="P45" s="45"/>
      <c r="Q45" s="45"/>
      <c r="R45" s="45"/>
      <c r="S45" s="45"/>
      <c r="T45" s="45"/>
      <c r="U45" s="45"/>
      <c r="V45" s="45"/>
      <c r="W45" s="45"/>
      <c r="X45" s="45"/>
      <c r="Y45" s="45"/>
      <c r="Z45" s="45"/>
    </row>
    <row r="46" spans="1:26" ht="13.5" customHeight="1" x14ac:dyDescent="0.25">
      <c r="A46" s="58">
        <v>39000</v>
      </c>
      <c r="B46" s="61" t="s">
        <v>487</v>
      </c>
      <c r="C46" s="64"/>
      <c r="D46" s="59">
        <v>0</v>
      </c>
      <c r="E46" s="59">
        <v>0</v>
      </c>
      <c r="F46" s="60">
        <f t="shared" si="0"/>
        <v>0</v>
      </c>
      <c r="G46" s="63"/>
      <c r="H46" s="45"/>
      <c r="I46" s="45"/>
      <c r="J46" s="45"/>
      <c r="K46" s="45"/>
      <c r="L46" s="45"/>
      <c r="M46" s="45"/>
      <c r="N46" s="45"/>
      <c r="O46" s="45"/>
      <c r="P46" s="45"/>
      <c r="Q46" s="45"/>
      <c r="R46" s="45"/>
      <c r="S46" s="45"/>
      <c r="T46" s="45"/>
      <c r="U46" s="45"/>
      <c r="V46" s="45"/>
      <c r="W46" s="45"/>
      <c r="X46" s="45"/>
      <c r="Y46" s="45"/>
      <c r="Z46" s="45"/>
    </row>
    <row r="47" spans="1:26" ht="13.5" customHeight="1" x14ac:dyDescent="0.25">
      <c r="A47" s="58">
        <v>40000</v>
      </c>
      <c r="B47" s="618" t="s">
        <v>488</v>
      </c>
      <c r="C47" s="614"/>
      <c r="D47" s="59">
        <v>0</v>
      </c>
      <c r="E47" s="62">
        <v>0</v>
      </c>
      <c r="F47" s="60">
        <f t="shared" si="0"/>
        <v>0</v>
      </c>
      <c r="G47" s="63"/>
      <c r="H47" s="45"/>
      <c r="I47" s="45"/>
      <c r="J47" s="45"/>
      <c r="K47" s="45"/>
      <c r="L47" s="45"/>
      <c r="M47" s="45"/>
      <c r="N47" s="45"/>
      <c r="O47" s="45"/>
      <c r="P47" s="45"/>
      <c r="Q47" s="45"/>
      <c r="R47" s="45"/>
      <c r="S47" s="45"/>
      <c r="T47" s="45"/>
      <c r="U47" s="45"/>
      <c r="V47" s="45"/>
      <c r="W47" s="45"/>
      <c r="X47" s="45"/>
      <c r="Y47" s="45"/>
      <c r="Z47" s="45"/>
    </row>
    <row r="48" spans="1:26" ht="13.5" customHeight="1" x14ac:dyDescent="0.25">
      <c r="A48" s="58">
        <v>41000</v>
      </c>
      <c r="B48" s="66" t="s">
        <v>489</v>
      </c>
      <c r="C48" s="67"/>
      <c r="D48" s="59">
        <v>0</v>
      </c>
      <c r="E48" s="62">
        <v>0</v>
      </c>
      <c r="F48" s="60">
        <f t="shared" si="0"/>
        <v>0</v>
      </c>
      <c r="G48" s="63"/>
      <c r="H48" s="45"/>
      <c r="I48" s="45"/>
      <c r="J48" s="45"/>
      <c r="K48" s="45"/>
      <c r="L48" s="45"/>
      <c r="M48" s="45"/>
      <c r="N48" s="45"/>
      <c r="O48" s="45"/>
      <c r="P48" s="45"/>
      <c r="Q48" s="45"/>
      <c r="R48" s="45"/>
      <c r="S48" s="45"/>
      <c r="T48" s="45"/>
      <c r="U48" s="45"/>
      <c r="V48" s="45"/>
      <c r="W48" s="45"/>
      <c r="X48" s="45"/>
      <c r="Y48" s="45"/>
      <c r="Z48" s="45"/>
    </row>
    <row r="49" spans="1:26" ht="13.5" customHeight="1" x14ac:dyDescent="0.25">
      <c r="A49" s="68"/>
      <c r="B49" s="613"/>
      <c r="C49" s="614"/>
      <c r="D49" s="69"/>
      <c r="E49" s="69"/>
      <c r="F49" s="70"/>
      <c r="G49" s="63"/>
      <c r="H49" s="45"/>
      <c r="I49" s="45"/>
      <c r="J49" s="45"/>
      <c r="K49" s="45"/>
      <c r="L49" s="45"/>
      <c r="M49" s="45"/>
      <c r="N49" s="45"/>
      <c r="O49" s="45"/>
      <c r="P49" s="45"/>
      <c r="Q49" s="45"/>
      <c r="R49" s="45"/>
      <c r="S49" s="45"/>
      <c r="T49" s="45"/>
      <c r="U49" s="45"/>
      <c r="V49" s="45"/>
      <c r="W49" s="45"/>
      <c r="X49" s="45"/>
      <c r="Y49" s="45"/>
      <c r="Z49" s="45"/>
    </row>
    <row r="50" spans="1:26" ht="13.5" customHeight="1" thickBot="1" x14ac:dyDescent="0.3">
      <c r="A50" s="71"/>
      <c r="B50" s="615" t="s">
        <v>490</v>
      </c>
      <c r="C50" s="616"/>
      <c r="D50" s="72">
        <f t="shared" ref="D50:F50" si="1">SUM(D7:D48)</f>
        <v>0</v>
      </c>
      <c r="E50" s="72">
        <f t="shared" si="1"/>
        <v>0</v>
      </c>
      <c r="F50" s="72">
        <f t="shared" si="1"/>
        <v>0</v>
      </c>
      <c r="G50" s="63"/>
      <c r="H50" s="45"/>
      <c r="I50" s="45"/>
      <c r="J50" s="45"/>
      <c r="K50" s="45"/>
      <c r="L50" s="45"/>
      <c r="M50" s="45"/>
      <c r="N50" s="45"/>
      <c r="O50" s="45"/>
      <c r="P50" s="45"/>
      <c r="Q50" s="45"/>
      <c r="R50" s="45"/>
      <c r="S50" s="45"/>
      <c r="T50" s="45"/>
      <c r="U50" s="45"/>
      <c r="V50" s="45"/>
      <c r="W50" s="45"/>
      <c r="X50" s="45"/>
      <c r="Y50" s="45"/>
      <c r="Z50" s="45"/>
    </row>
    <row r="51" spans="1:26" ht="13.5" customHeight="1" x14ac:dyDescent="0.25">
      <c r="A51" s="73"/>
      <c r="B51" s="73"/>
      <c r="C51" s="73"/>
      <c r="D51" s="73"/>
      <c r="E51" s="73"/>
      <c r="F51" s="45"/>
      <c r="G51" s="45"/>
      <c r="H51" s="45"/>
      <c r="I51" s="45"/>
      <c r="J51" s="45"/>
      <c r="K51" s="45"/>
      <c r="L51" s="45"/>
      <c r="M51" s="45"/>
      <c r="N51" s="45"/>
      <c r="O51" s="45"/>
      <c r="P51" s="45"/>
      <c r="Q51" s="45"/>
      <c r="R51" s="45"/>
      <c r="S51" s="45"/>
      <c r="T51" s="45"/>
      <c r="U51" s="45"/>
      <c r="V51" s="45"/>
      <c r="W51" s="45"/>
      <c r="X51" s="45"/>
      <c r="Y51" s="45"/>
      <c r="Z51" s="45"/>
    </row>
    <row r="52" spans="1:26" ht="18.75" customHeight="1" x14ac:dyDescent="0.2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3.5" customHeight="1" x14ac:dyDescent="0.2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3.5" customHeight="1" x14ac:dyDescent="0.25">
      <c r="A54" s="45"/>
      <c r="B54" s="45"/>
      <c r="C54" s="45"/>
      <c r="D54" s="45"/>
      <c r="E54" s="45"/>
      <c r="F54" s="73"/>
      <c r="G54" s="45"/>
      <c r="H54" s="45"/>
      <c r="I54" s="45"/>
      <c r="J54" s="45"/>
      <c r="K54" s="45"/>
      <c r="L54" s="45"/>
      <c r="M54" s="45"/>
      <c r="N54" s="45"/>
      <c r="O54" s="45"/>
      <c r="P54" s="45"/>
      <c r="Q54" s="45"/>
      <c r="R54" s="45"/>
      <c r="S54" s="45"/>
      <c r="T54" s="45"/>
      <c r="U54" s="45"/>
      <c r="V54" s="45"/>
      <c r="W54" s="45"/>
      <c r="X54" s="45"/>
      <c r="Y54" s="45"/>
      <c r="Z54" s="45"/>
    </row>
    <row r="55" spans="1:26" ht="13.5" customHeight="1" x14ac:dyDescent="0.25">
      <c r="A55" s="45"/>
      <c r="B55" s="45"/>
      <c r="C55" s="45"/>
      <c r="D55" s="45"/>
      <c r="E55" s="45"/>
      <c r="F55" s="73"/>
      <c r="G55" s="45"/>
      <c r="H55" s="45"/>
      <c r="I55" s="45"/>
      <c r="J55" s="45"/>
      <c r="K55" s="45"/>
      <c r="L55" s="45"/>
      <c r="M55" s="45"/>
      <c r="N55" s="45"/>
      <c r="O55" s="45"/>
      <c r="P55" s="45"/>
      <c r="Q55" s="45"/>
      <c r="R55" s="45"/>
      <c r="S55" s="45"/>
      <c r="T55" s="45"/>
      <c r="U55" s="45"/>
      <c r="V55" s="45"/>
      <c r="W55" s="45"/>
      <c r="X55" s="45"/>
      <c r="Y55" s="45"/>
      <c r="Z55" s="45"/>
    </row>
    <row r="56" spans="1:26" ht="13.5" customHeight="1" x14ac:dyDescent="0.25">
      <c r="A56" s="45"/>
      <c r="B56" s="45"/>
      <c r="C56" s="45"/>
      <c r="D56" s="45"/>
      <c r="E56" s="45"/>
      <c r="F56" s="73"/>
      <c r="G56" s="45"/>
      <c r="H56" s="45"/>
      <c r="I56" s="45"/>
      <c r="J56" s="45"/>
      <c r="K56" s="45"/>
      <c r="L56" s="45"/>
      <c r="M56" s="45"/>
      <c r="N56" s="45"/>
      <c r="O56" s="45"/>
      <c r="P56" s="45"/>
      <c r="Q56" s="45"/>
      <c r="R56" s="45"/>
      <c r="S56" s="45"/>
      <c r="T56" s="45"/>
      <c r="U56" s="45"/>
      <c r="V56" s="45"/>
      <c r="W56" s="45"/>
      <c r="X56" s="45"/>
      <c r="Y56" s="45"/>
      <c r="Z56" s="45"/>
    </row>
    <row r="57" spans="1:26" ht="13.5" customHeight="1" x14ac:dyDescent="0.25">
      <c r="A57" s="45"/>
      <c r="B57" s="45"/>
      <c r="C57" s="45"/>
      <c r="D57" s="45"/>
      <c r="E57" s="45"/>
      <c r="F57" s="73"/>
      <c r="G57" s="45"/>
      <c r="H57" s="45"/>
      <c r="I57" s="45"/>
      <c r="J57" s="45"/>
      <c r="K57" s="45"/>
      <c r="L57" s="45"/>
      <c r="M57" s="45"/>
      <c r="N57" s="45"/>
      <c r="O57" s="45"/>
      <c r="P57" s="45"/>
      <c r="Q57" s="45"/>
      <c r="R57" s="45"/>
      <c r="S57" s="45"/>
      <c r="T57" s="45"/>
      <c r="U57" s="45"/>
      <c r="V57" s="45"/>
      <c r="W57" s="45"/>
      <c r="X57" s="45"/>
      <c r="Y57" s="45"/>
      <c r="Z57" s="45"/>
    </row>
    <row r="58" spans="1:26" ht="13.5" customHeight="1" x14ac:dyDescent="0.25">
      <c r="A58" s="45"/>
      <c r="B58" s="45"/>
      <c r="C58" s="45"/>
      <c r="D58" s="45"/>
      <c r="E58" s="45"/>
      <c r="F58" s="73"/>
      <c r="G58" s="45"/>
      <c r="H58" s="45"/>
      <c r="I58" s="45"/>
      <c r="J58" s="45"/>
      <c r="K58" s="45"/>
      <c r="L58" s="45"/>
      <c r="M58" s="45"/>
      <c r="N58" s="45"/>
      <c r="O58" s="45"/>
      <c r="P58" s="45"/>
      <c r="Q58" s="45"/>
      <c r="R58" s="45"/>
      <c r="S58" s="45"/>
      <c r="T58" s="45"/>
      <c r="U58" s="45"/>
      <c r="V58" s="45"/>
      <c r="W58" s="45"/>
      <c r="X58" s="45"/>
      <c r="Y58" s="45"/>
      <c r="Z58" s="45"/>
    </row>
    <row r="59" spans="1:26" ht="13.5" customHeight="1" x14ac:dyDescent="0.25">
      <c r="A59" s="45"/>
      <c r="B59" s="45"/>
      <c r="C59" s="45"/>
      <c r="D59" s="45"/>
      <c r="E59" s="45"/>
      <c r="F59" s="73"/>
      <c r="G59" s="45"/>
      <c r="H59" s="45"/>
      <c r="I59" s="45"/>
      <c r="J59" s="45"/>
      <c r="K59" s="45"/>
      <c r="L59" s="45"/>
      <c r="M59" s="45"/>
      <c r="N59" s="45"/>
      <c r="O59" s="45"/>
      <c r="P59" s="45"/>
      <c r="Q59" s="45"/>
      <c r="R59" s="45"/>
      <c r="S59" s="45"/>
      <c r="T59" s="45"/>
      <c r="U59" s="45"/>
      <c r="V59" s="45"/>
      <c r="W59" s="45"/>
      <c r="X59" s="45"/>
      <c r="Y59" s="45"/>
      <c r="Z59" s="45"/>
    </row>
    <row r="60" spans="1:26" ht="13.5" customHeight="1" x14ac:dyDescent="0.25">
      <c r="A60" s="45"/>
      <c r="B60" s="45"/>
      <c r="C60" s="45"/>
      <c r="D60" s="45"/>
      <c r="E60" s="45"/>
      <c r="F60" s="73"/>
      <c r="G60" s="45"/>
      <c r="H60" s="45"/>
      <c r="I60" s="45"/>
      <c r="J60" s="45"/>
      <c r="K60" s="45"/>
      <c r="L60" s="45"/>
      <c r="M60" s="45"/>
      <c r="N60" s="45"/>
      <c r="O60" s="45"/>
      <c r="P60" s="45"/>
      <c r="Q60" s="45"/>
      <c r="R60" s="45"/>
      <c r="S60" s="45"/>
      <c r="T60" s="45"/>
      <c r="U60" s="45"/>
      <c r="V60" s="45"/>
      <c r="W60" s="45"/>
      <c r="X60" s="45"/>
      <c r="Y60" s="45"/>
      <c r="Z60" s="45"/>
    </row>
    <row r="61" spans="1:26" ht="13.5" customHeight="1" x14ac:dyDescent="0.25">
      <c r="A61" s="45"/>
      <c r="B61" s="45"/>
      <c r="C61" s="45"/>
      <c r="D61" s="45"/>
      <c r="E61" s="45"/>
      <c r="F61" s="73"/>
      <c r="G61" s="45"/>
      <c r="H61" s="45"/>
      <c r="I61" s="45"/>
      <c r="J61" s="45"/>
      <c r="K61" s="45"/>
      <c r="L61" s="45"/>
      <c r="M61" s="45"/>
      <c r="N61" s="45"/>
      <c r="O61" s="45"/>
      <c r="P61" s="45"/>
      <c r="Q61" s="45"/>
      <c r="R61" s="45"/>
      <c r="S61" s="45"/>
      <c r="T61" s="45"/>
      <c r="U61" s="45"/>
      <c r="V61" s="45"/>
      <c r="W61" s="45"/>
      <c r="X61" s="45"/>
      <c r="Y61" s="45"/>
      <c r="Z61" s="45"/>
    </row>
    <row r="62" spans="1:26" ht="13.5" customHeight="1" x14ac:dyDescent="0.25">
      <c r="A62" s="45"/>
      <c r="B62" s="45"/>
      <c r="C62" s="45"/>
      <c r="D62" s="45"/>
      <c r="E62" s="45"/>
      <c r="F62" s="73"/>
      <c r="G62" s="45"/>
      <c r="H62" s="45"/>
      <c r="I62" s="45"/>
      <c r="J62" s="45"/>
      <c r="K62" s="45"/>
      <c r="L62" s="45"/>
      <c r="M62" s="45"/>
      <c r="N62" s="45"/>
      <c r="O62" s="45"/>
      <c r="P62" s="45"/>
      <c r="Q62" s="45"/>
      <c r="R62" s="45"/>
      <c r="S62" s="45"/>
      <c r="T62" s="45"/>
      <c r="U62" s="45"/>
      <c r="V62" s="45"/>
      <c r="W62" s="45"/>
      <c r="X62" s="45"/>
      <c r="Y62" s="45"/>
      <c r="Z62" s="45"/>
    </row>
    <row r="63" spans="1:26" ht="13.5" customHeight="1" x14ac:dyDescent="0.25">
      <c r="A63" s="45"/>
      <c r="B63" s="45"/>
      <c r="C63" s="45"/>
      <c r="D63" s="45"/>
      <c r="E63" s="45"/>
      <c r="F63" s="73"/>
      <c r="G63" s="45"/>
      <c r="H63" s="45"/>
      <c r="I63" s="45"/>
      <c r="J63" s="45"/>
      <c r="K63" s="45"/>
      <c r="L63" s="45"/>
      <c r="M63" s="45"/>
      <c r="N63" s="45"/>
      <c r="O63" s="45"/>
      <c r="P63" s="45"/>
      <c r="Q63" s="45"/>
      <c r="R63" s="45"/>
      <c r="S63" s="45"/>
      <c r="T63" s="45"/>
      <c r="U63" s="45"/>
      <c r="V63" s="45"/>
      <c r="W63" s="45"/>
      <c r="X63" s="45"/>
      <c r="Y63" s="45"/>
      <c r="Z63" s="45"/>
    </row>
    <row r="64" spans="1:26" ht="13.5" customHeight="1" x14ac:dyDescent="0.25">
      <c r="A64" s="45"/>
      <c r="B64" s="45"/>
      <c r="C64" s="45"/>
      <c r="D64" s="45"/>
      <c r="E64" s="45"/>
      <c r="F64" s="73"/>
      <c r="G64" s="45"/>
      <c r="H64" s="45"/>
      <c r="I64" s="45"/>
      <c r="J64" s="45"/>
      <c r="K64" s="45"/>
      <c r="L64" s="45"/>
      <c r="M64" s="45"/>
      <c r="N64" s="45"/>
      <c r="O64" s="45"/>
      <c r="P64" s="45"/>
      <c r="Q64" s="45"/>
      <c r="R64" s="45"/>
      <c r="S64" s="45"/>
      <c r="T64" s="45"/>
      <c r="U64" s="45"/>
      <c r="V64" s="45"/>
      <c r="W64" s="45"/>
      <c r="X64" s="45"/>
      <c r="Y64" s="45"/>
      <c r="Z64" s="45"/>
    </row>
    <row r="65" spans="1:26" ht="13.5" customHeight="1" x14ac:dyDescent="0.25">
      <c r="A65" s="45"/>
      <c r="B65" s="45"/>
      <c r="C65" s="45"/>
      <c r="D65" s="45"/>
      <c r="E65" s="45"/>
      <c r="F65" s="74"/>
      <c r="G65" s="45"/>
      <c r="H65" s="45"/>
      <c r="I65" s="45"/>
      <c r="J65" s="45"/>
      <c r="K65" s="45"/>
      <c r="L65" s="45"/>
      <c r="M65" s="45"/>
      <c r="N65" s="45"/>
      <c r="O65" s="45"/>
      <c r="P65" s="45"/>
      <c r="Q65" s="45"/>
      <c r="R65" s="45"/>
      <c r="S65" s="45"/>
      <c r="T65" s="45"/>
      <c r="U65" s="45"/>
      <c r="V65" s="45"/>
      <c r="W65" s="45"/>
      <c r="X65" s="45"/>
      <c r="Y65" s="45"/>
      <c r="Z65" s="45"/>
    </row>
    <row r="66" spans="1:26" ht="12.75" customHeight="1" x14ac:dyDescent="0.2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x14ac:dyDescent="0.2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x14ac:dyDescent="0.2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x14ac:dyDescent="0.2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x14ac:dyDescent="0.2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x14ac:dyDescent="0.2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x14ac:dyDescent="0.2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x14ac:dyDescent="0.2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x14ac:dyDescent="0.2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x14ac:dyDescent="0.2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x14ac:dyDescent="0.2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x14ac:dyDescent="0.25">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x14ac:dyDescent="0.25">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x14ac:dyDescent="0.25">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x14ac:dyDescent="0.25">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x14ac:dyDescent="0.25">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x14ac:dyDescent="0.25">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x14ac:dyDescent="0.25">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x14ac:dyDescent="0.25">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x14ac:dyDescent="0.2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x14ac:dyDescent="0.25">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x14ac:dyDescent="0.25">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x14ac:dyDescent="0.25">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x14ac:dyDescent="0.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x14ac:dyDescent="0.2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x14ac:dyDescent="0.2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x14ac:dyDescent="0.2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x14ac:dyDescent="0.2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x14ac:dyDescent="0.2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x14ac:dyDescent="0.2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x14ac:dyDescent="0.2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x14ac:dyDescent="0.2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x14ac:dyDescent="0.2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x14ac:dyDescent="0.2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x14ac:dyDescent="0.2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x14ac:dyDescent="0.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x14ac:dyDescent="0.2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x14ac:dyDescent="0.2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x14ac:dyDescent="0.2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x14ac:dyDescent="0.2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x14ac:dyDescent="0.2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x14ac:dyDescent="0.2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x14ac:dyDescent="0.2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x14ac:dyDescent="0.2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x14ac:dyDescent="0.2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x14ac:dyDescent="0.2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x14ac:dyDescent="0.2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x14ac:dyDescent="0.2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x14ac:dyDescent="0.2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x14ac:dyDescent="0.2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x14ac:dyDescent="0.2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x14ac:dyDescent="0.2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x14ac:dyDescent="0.2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x14ac:dyDescent="0.2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x14ac:dyDescent="0.2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x14ac:dyDescent="0.2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x14ac:dyDescent="0.2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x14ac:dyDescent="0.2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x14ac:dyDescent="0.2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x14ac:dyDescent="0.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x14ac:dyDescent="0.2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x14ac:dyDescent="0.2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x14ac:dyDescent="0.2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x14ac:dyDescent="0.2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x14ac:dyDescent="0.2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x14ac:dyDescent="0.2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x14ac:dyDescent="0.2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x14ac:dyDescent="0.2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x14ac:dyDescent="0.2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x14ac:dyDescent="0.2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x14ac:dyDescent="0.2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x14ac:dyDescent="0.2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x14ac:dyDescent="0.2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x14ac:dyDescent="0.2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x14ac:dyDescent="0.2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x14ac:dyDescent="0.2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x14ac:dyDescent="0.2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x14ac:dyDescent="0.2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x14ac:dyDescent="0.2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x14ac:dyDescent="0.2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x14ac:dyDescent="0.2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x14ac:dyDescent="0.2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x14ac:dyDescent="0.2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x14ac:dyDescent="0.2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x14ac:dyDescent="0.2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x14ac:dyDescent="0.2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x14ac:dyDescent="0.2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x14ac:dyDescent="0.2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x14ac:dyDescent="0.2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x14ac:dyDescent="0.2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x14ac:dyDescent="0.2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x14ac:dyDescent="0.2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x14ac:dyDescent="0.2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x14ac:dyDescent="0.2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x14ac:dyDescent="0.2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x14ac:dyDescent="0.2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x14ac:dyDescent="0.2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x14ac:dyDescent="0.2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x14ac:dyDescent="0.2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x14ac:dyDescent="0.2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x14ac:dyDescent="0.2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x14ac:dyDescent="0.2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x14ac:dyDescent="0.2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x14ac:dyDescent="0.2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x14ac:dyDescent="0.2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x14ac:dyDescent="0.2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x14ac:dyDescent="0.2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x14ac:dyDescent="0.2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x14ac:dyDescent="0.2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x14ac:dyDescent="0.2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x14ac:dyDescent="0.2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x14ac:dyDescent="0.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x14ac:dyDescent="0.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x14ac:dyDescent="0.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x14ac:dyDescent="0.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x14ac:dyDescent="0.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x14ac:dyDescent="0.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x14ac:dyDescent="0.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x14ac:dyDescent="0.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x14ac:dyDescent="0.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x14ac:dyDescent="0.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x14ac:dyDescent="0.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x14ac:dyDescent="0.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x14ac:dyDescent="0.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x14ac:dyDescent="0.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x14ac:dyDescent="0.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x14ac:dyDescent="0.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x14ac:dyDescent="0.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x14ac:dyDescent="0.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x14ac:dyDescent="0.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x14ac:dyDescent="0.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x14ac:dyDescent="0.2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x14ac:dyDescent="0.2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x14ac:dyDescent="0.2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x14ac:dyDescent="0.2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x14ac:dyDescent="0.2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x14ac:dyDescent="0.2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x14ac:dyDescent="0.2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x14ac:dyDescent="0.2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x14ac:dyDescent="0.2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x14ac:dyDescent="0.2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x14ac:dyDescent="0.2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x14ac:dyDescent="0.2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x14ac:dyDescent="0.2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x14ac:dyDescent="0.2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x14ac:dyDescent="0.2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x14ac:dyDescent="0.2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x14ac:dyDescent="0.2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x14ac:dyDescent="0.2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x14ac:dyDescent="0.2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x14ac:dyDescent="0.2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x14ac:dyDescent="0.2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x14ac:dyDescent="0.2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x14ac:dyDescent="0.2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x14ac:dyDescent="0.2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75" customHeight="1" x14ac:dyDescent="0.2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75" customHeight="1" x14ac:dyDescent="0.2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75" customHeight="1" x14ac:dyDescent="0.2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75" customHeight="1" x14ac:dyDescent="0.2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75" customHeight="1" x14ac:dyDescent="0.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75" customHeight="1" x14ac:dyDescent="0.2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75" customHeight="1" x14ac:dyDescent="0.2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75" customHeight="1" x14ac:dyDescent="0.2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75" customHeight="1" x14ac:dyDescent="0.2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75" customHeight="1" x14ac:dyDescent="0.2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75" customHeight="1" x14ac:dyDescent="0.2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75" customHeight="1" x14ac:dyDescent="0.2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75" customHeight="1" x14ac:dyDescent="0.2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75" customHeight="1" x14ac:dyDescent="0.2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75" customHeight="1" x14ac:dyDescent="0.2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75" customHeight="1" x14ac:dyDescent="0.2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75" customHeight="1" x14ac:dyDescent="0.2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75" customHeight="1" x14ac:dyDescent="0.2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75" customHeight="1" x14ac:dyDescent="0.2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75" customHeight="1" x14ac:dyDescent="0.2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75" customHeight="1" x14ac:dyDescent="0.2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75" customHeight="1" x14ac:dyDescent="0.2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75" customHeight="1" x14ac:dyDescent="0.2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75" customHeight="1" x14ac:dyDescent="0.2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75" customHeight="1" x14ac:dyDescent="0.2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75" customHeight="1" x14ac:dyDescent="0.2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75" customHeight="1" x14ac:dyDescent="0.2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75" customHeight="1" x14ac:dyDescent="0.2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75" customHeight="1" x14ac:dyDescent="0.2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75" customHeight="1" x14ac:dyDescent="0.2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75" customHeight="1" x14ac:dyDescent="0.2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75" customHeight="1" x14ac:dyDescent="0.2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75" customHeight="1" x14ac:dyDescent="0.2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75" customHeight="1" x14ac:dyDescent="0.2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75" customHeight="1" x14ac:dyDescent="0.2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75" customHeight="1" x14ac:dyDescent="0.2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75" customHeight="1" x14ac:dyDescent="0.2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75" customHeight="1" x14ac:dyDescent="0.2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75" customHeight="1" x14ac:dyDescent="0.2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75" customHeight="1" x14ac:dyDescent="0.2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75" customHeight="1" x14ac:dyDescent="0.2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75" customHeight="1" x14ac:dyDescent="0.2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75" customHeight="1" x14ac:dyDescent="0.2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75" customHeight="1" x14ac:dyDescent="0.2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75" customHeight="1" x14ac:dyDescent="0.2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75" customHeight="1" x14ac:dyDescent="0.2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75" customHeight="1" x14ac:dyDescent="0.2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75" customHeight="1" x14ac:dyDescent="0.2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75" customHeight="1" x14ac:dyDescent="0.2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75" customHeight="1" x14ac:dyDescent="0.2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75" customHeight="1" x14ac:dyDescent="0.2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75" customHeight="1" x14ac:dyDescent="0.2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75" customHeight="1" x14ac:dyDescent="0.2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75" customHeight="1" x14ac:dyDescent="0.2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75" customHeight="1" x14ac:dyDescent="0.2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75" customHeight="1" x14ac:dyDescent="0.2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75" customHeight="1" x14ac:dyDescent="0.2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75" customHeight="1" x14ac:dyDescent="0.2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75" customHeight="1" x14ac:dyDescent="0.2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75" customHeight="1" x14ac:dyDescent="0.2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75" customHeight="1" x14ac:dyDescent="0.2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75" customHeight="1" x14ac:dyDescent="0.2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75" customHeight="1" x14ac:dyDescent="0.2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75" customHeight="1" x14ac:dyDescent="0.2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75" customHeight="1" x14ac:dyDescent="0.2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75" customHeight="1" x14ac:dyDescent="0.2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75" customHeight="1" x14ac:dyDescent="0.2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75" customHeight="1" x14ac:dyDescent="0.2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75" customHeight="1" x14ac:dyDescent="0.2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75" customHeight="1" x14ac:dyDescent="0.2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75" customHeight="1" x14ac:dyDescent="0.2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75" customHeight="1" x14ac:dyDescent="0.2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75" customHeight="1" x14ac:dyDescent="0.2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75" customHeight="1" x14ac:dyDescent="0.2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75" customHeight="1" x14ac:dyDescent="0.2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75" customHeight="1" x14ac:dyDescent="0.2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75" customHeight="1" x14ac:dyDescent="0.2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75" customHeight="1" x14ac:dyDescent="0.2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75" customHeight="1" x14ac:dyDescent="0.2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75" customHeight="1" x14ac:dyDescent="0.2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75" customHeight="1" x14ac:dyDescent="0.2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75" customHeight="1" x14ac:dyDescent="0.2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75" customHeight="1" x14ac:dyDescent="0.2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75" customHeight="1" x14ac:dyDescent="0.2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75" customHeight="1" x14ac:dyDescent="0.2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75" customHeight="1" x14ac:dyDescent="0.2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75" customHeight="1" x14ac:dyDescent="0.2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75" customHeight="1" x14ac:dyDescent="0.2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75" customHeight="1" x14ac:dyDescent="0.2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75" customHeight="1" x14ac:dyDescent="0.2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75" customHeight="1" x14ac:dyDescent="0.2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75" customHeight="1" x14ac:dyDescent="0.2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75" customHeight="1" x14ac:dyDescent="0.2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75" customHeight="1" x14ac:dyDescent="0.2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75" customHeight="1" x14ac:dyDescent="0.2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75" customHeight="1" x14ac:dyDescent="0.2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75" customHeight="1" x14ac:dyDescent="0.2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75" customHeight="1" x14ac:dyDescent="0.2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75" customHeight="1" x14ac:dyDescent="0.2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75" customHeight="1" x14ac:dyDescent="0.2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75" customHeight="1" x14ac:dyDescent="0.2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75" customHeight="1" x14ac:dyDescent="0.2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75" customHeight="1" x14ac:dyDescent="0.2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75" customHeight="1" x14ac:dyDescent="0.2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75" customHeight="1" x14ac:dyDescent="0.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75" customHeight="1" x14ac:dyDescent="0.2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75" customHeight="1" x14ac:dyDescent="0.2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75" customHeight="1" x14ac:dyDescent="0.2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75" customHeight="1" x14ac:dyDescent="0.2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75" customHeight="1" x14ac:dyDescent="0.2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75" customHeight="1" x14ac:dyDescent="0.2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75" customHeight="1" x14ac:dyDescent="0.2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75" customHeight="1" x14ac:dyDescent="0.2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75" customHeight="1" x14ac:dyDescent="0.2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75" customHeight="1" x14ac:dyDescent="0.2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75" customHeight="1" x14ac:dyDescent="0.2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75" customHeight="1" x14ac:dyDescent="0.2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75" customHeight="1" x14ac:dyDescent="0.2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75" customHeight="1" x14ac:dyDescent="0.2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75" customHeight="1" x14ac:dyDescent="0.2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75" customHeight="1" x14ac:dyDescent="0.2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75" customHeight="1" x14ac:dyDescent="0.2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75" customHeight="1" x14ac:dyDescent="0.2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75" customHeight="1" x14ac:dyDescent="0.2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75" customHeight="1" x14ac:dyDescent="0.2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75" customHeight="1" x14ac:dyDescent="0.2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75" customHeight="1" x14ac:dyDescent="0.2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75" customHeight="1" x14ac:dyDescent="0.2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75" customHeight="1" x14ac:dyDescent="0.2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75" customHeight="1" x14ac:dyDescent="0.2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75" customHeight="1" x14ac:dyDescent="0.2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75" customHeight="1" x14ac:dyDescent="0.2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75" customHeight="1" x14ac:dyDescent="0.2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75" customHeight="1" x14ac:dyDescent="0.2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75" customHeight="1" x14ac:dyDescent="0.2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75" customHeight="1" x14ac:dyDescent="0.2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75" customHeight="1" x14ac:dyDescent="0.2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75" customHeight="1" x14ac:dyDescent="0.2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75" customHeight="1" x14ac:dyDescent="0.2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75" customHeight="1" x14ac:dyDescent="0.2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75" customHeight="1" x14ac:dyDescent="0.2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75" customHeight="1" x14ac:dyDescent="0.2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75" customHeight="1" x14ac:dyDescent="0.2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75" customHeight="1" x14ac:dyDescent="0.2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75" customHeight="1" x14ac:dyDescent="0.2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75" customHeight="1" x14ac:dyDescent="0.2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75" customHeight="1" x14ac:dyDescent="0.2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75" customHeight="1" x14ac:dyDescent="0.2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75" customHeight="1" x14ac:dyDescent="0.2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75" customHeight="1" x14ac:dyDescent="0.2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75" customHeight="1" x14ac:dyDescent="0.2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75" customHeight="1" x14ac:dyDescent="0.2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75" customHeight="1" x14ac:dyDescent="0.2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75" customHeight="1" x14ac:dyDescent="0.2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75" customHeight="1" x14ac:dyDescent="0.2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75" customHeight="1" x14ac:dyDescent="0.2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75" customHeight="1" x14ac:dyDescent="0.2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75" customHeight="1" x14ac:dyDescent="0.2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75" customHeight="1" x14ac:dyDescent="0.2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75" customHeight="1" x14ac:dyDescent="0.2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75" customHeight="1" x14ac:dyDescent="0.2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75" customHeight="1" x14ac:dyDescent="0.2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75" customHeight="1" x14ac:dyDescent="0.2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75" customHeight="1" x14ac:dyDescent="0.2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75" customHeight="1" x14ac:dyDescent="0.2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75" customHeight="1" x14ac:dyDescent="0.2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75" customHeight="1" x14ac:dyDescent="0.2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75" customHeight="1" x14ac:dyDescent="0.2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75" customHeight="1" x14ac:dyDescent="0.2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75" customHeight="1" x14ac:dyDescent="0.2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75" customHeight="1" x14ac:dyDescent="0.2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75" customHeight="1" x14ac:dyDescent="0.2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75" customHeight="1" x14ac:dyDescent="0.2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75" customHeight="1" x14ac:dyDescent="0.2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75" customHeight="1" x14ac:dyDescent="0.2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75" customHeight="1" x14ac:dyDescent="0.2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75" customHeight="1" x14ac:dyDescent="0.2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75" customHeight="1" x14ac:dyDescent="0.2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75" customHeight="1" x14ac:dyDescent="0.2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75" customHeight="1" x14ac:dyDescent="0.2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75" customHeight="1" x14ac:dyDescent="0.2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75" customHeight="1" x14ac:dyDescent="0.2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75" customHeight="1" x14ac:dyDescent="0.2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75" customHeight="1" x14ac:dyDescent="0.2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75" customHeight="1" x14ac:dyDescent="0.2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75" customHeight="1" x14ac:dyDescent="0.2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75" customHeight="1" x14ac:dyDescent="0.2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75" customHeight="1" x14ac:dyDescent="0.2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75" customHeight="1" x14ac:dyDescent="0.2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75" customHeight="1" x14ac:dyDescent="0.2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75" customHeight="1" x14ac:dyDescent="0.2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75" customHeight="1" x14ac:dyDescent="0.2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75" customHeight="1" x14ac:dyDescent="0.2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75" customHeight="1" x14ac:dyDescent="0.2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75" customHeight="1" x14ac:dyDescent="0.2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75" customHeight="1" x14ac:dyDescent="0.2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75" customHeight="1" x14ac:dyDescent="0.2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75" customHeight="1" x14ac:dyDescent="0.2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75" customHeight="1" x14ac:dyDescent="0.2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75" customHeight="1" x14ac:dyDescent="0.2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75" customHeight="1" x14ac:dyDescent="0.2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75" customHeight="1" x14ac:dyDescent="0.2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75" customHeight="1" x14ac:dyDescent="0.2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75" customHeight="1" x14ac:dyDescent="0.2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75" customHeight="1" x14ac:dyDescent="0.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75" customHeight="1" x14ac:dyDescent="0.2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75" customHeight="1" x14ac:dyDescent="0.2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75" customHeight="1" x14ac:dyDescent="0.2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75" customHeight="1" x14ac:dyDescent="0.2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75" customHeight="1" x14ac:dyDescent="0.2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75" customHeight="1" x14ac:dyDescent="0.2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75" customHeight="1" x14ac:dyDescent="0.2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75" customHeight="1" x14ac:dyDescent="0.2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75" customHeight="1" x14ac:dyDescent="0.2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75" customHeight="1" x14ac:dyDescent="0.2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75" customHeight="1" x14ac:dyDescent="0.2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75" customHeight="1" x14ac:dyDescent="0.2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75" customHeight="1" x14ac:dyDescent="0.2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75" customHeight="1" x14ac:dyDescent="0.2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75" customHeight="1" x14ac:dyDescent="0.2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75" customHeight="1" x14ac:dyDescent="0.2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75" customHeight="1" x14ac:dyDescent="0.2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75" customHeight="1" x14ac:dyDescent="0.2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75" customHeight="1" x14ac:dyDescent="0.2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75" customHeight="1" x14ac:dyDescent="0.2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75" customHeight="1" x14ac:dyDescent="0.2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75" customHeight="1" x14ac:dyDescent="0.2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75" customHeight="1" x14ac:dyDescent="0.2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75" customHeight="1" x14ac:dyDescent="0.2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75" customHeight="1" x14ac:dyDescent="0.2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75" customHeight="1" x14ac:dyDescent="0.2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75" customHeight="1" x14ac:dyDescent="0.2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75" customHeight="1" x14ac:dyDescent="0.2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75" customHeight="1" x14ac:dyDescent="0.2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75" customHeight="1" x14ac:dyDescent="0.2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75" customHeight="1" x14ac:dyDescent="0.2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75" customHeight="1" x14ac:dyDescent="0.2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75" customHeight="1" x14ac:dyDescent="0.2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75" customHeight="1" x14ac:dyDescent="0.2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75" customHeight="1" x14ac:dyDescent="0.2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75" customHeight="1" x14ac:dyDescent="0.2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75" customHeight="1" x14ac:dyDescent="0.2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75" customHeight="1" x14ac:dyDescent="0.2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75" customHeight="1" x14ac:dyDescent="0.2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75" customHeight="1" x14ac:dyDescent="0.2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75" customHeight="1" x14ac:dyDescent="0.2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75" customHeight="1" x14ac:dyDescent="0.2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75" customHeight="1" x14ac:dyDescent="0.2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75" customHeight="1" x14ac:dyDescent="0.2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75" customHeight="1" x14ac:dyDescent="0.2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75" customHeight="1" x14ac:dyDescent="0.2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75" customHeight="1" x14ac:dyDescent="0.2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75" customHeight="1" x14ac:dyDescent="0.2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75" customHeight="1" x14ac:dyDescent="0.2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75" customHeight="1" x14ac:dyDescent="0.2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75" customHeight="1" x14ac:dyDescent="0.2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75" customHeight="1" x14ac:dyDescent="0.2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75" customHeight="1" x14ac:dyDescent="0.2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75" customHeight="1" x14ac:dyDescent="0.2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75" customHeight="1" x14ac:dyDescent="0.2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75" customHeight="1" x14ac:dyDescent="0.2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75" customHeight="1" x14ac:dyDescent="0.2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75" customHeight="1" x14ac:dyDescent="0.2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75" customHeight="1" x14ac:dyDescent="0.2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75" customHeight="1" x14ac:dyDescent="0.2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75" customHeight="1" x14ac:dyDescent="0.2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75" customHeight="1" x14ac:dyDescent="0.2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75" customHeight="1" x14ac:dyDescent="0.2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75" customHeight="1" x14ac:dyDescent="0.2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75" customHeight="1" x14ac:dyDescent="0.2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75" customHeight="1" x14ac:dyDescent="0.2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75" customHeight="1" x14ac:dyDescent="0.2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75" customHeight="1" x14ac:dyDescent="0.2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75" customHeight="1" x14ac:dyDescent="0.2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75" customHeight="1" x14ac:dyDescent="0.2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75" customHeight="1" x14ac:dyDescent="0.2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75" customHeight="1" x14ac:dyDescent="0.2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75" customHeight="1" x14ac:dyDescent="0.2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75" customHeight="1" x14ac:dyDescent="0.2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75" customHeight="1" x14ac:dyDescent="0.2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75" customHeight="1" x14ac:dyDescent="0.2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75" customHeight="1" x14ac:dyDescent="0.2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75" customHeight="1" x14ac:dyDescent="0.2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75" customHeight="1" x14ac:dyDescent="0.2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75" customHeight="1" x14ac:dyDescent="0.2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75" customHeight="1" x14ac:dyDescent="0.2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75" customHeight="1" x14ac:dyDescent="0.2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75" customHeight="1" x14ac:dyDescent="0.2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75" customHeight="1" x14ac:dyDescent="0.2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75" customHeight="1" x14ac:dyDescent="0.2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75" customHeight="1" x14ac:dyDescent="0.2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75" customHeight="1" x14ac:dyDescent="0.2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75" customHeight="1" x14ac:dyDescent="0.2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75" customHeight="1" x14ac:dyDescent="0.2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75" customHeight="1" x14ac:dyDescent="0.2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75" customHeight="1" x14ac:dyDescent="0.2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75" customHeight="1" x14ac:dyDescent="0.2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75" customHeight="1" x14ac:dyDescent="0.2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75" customHeight="1" x14ac:dyDescent="0.2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75" customHeight="1" x14ac:dyDescent="0.2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75" customHeight="1" x14ac:dyDescent="0.2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75" customHeight="1" x14ac:dyDescent="0.2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75" customHeight="1" x14ac:dyDescent="0.2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75" customHeight="1" x14ac:dyDescent="0.2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75" customHeight="1" x14ac:dyDescent="0.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75" customHeight="1" x14ac:dyDescent="0.2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75" customHeight="1" x14ac:dyDescent="0.2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75" customHeight="1" x14ac:dyDescent="0.2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75" customHeight="1" x14ac:dyDescent="0.2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75" customHeight="1" x14ac:dyDescent="0.2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75" customHeight="1" x14ac:dyDescent="0.2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75" customHeight="1" x14ac:dyDescent="0.2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75" customHeight="1" x14ac:dyDescent="0.2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75" customHeight="1" x14ac:dyDescent="0.2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75" customHeight="1" x14ac:dyDescent="0.2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75" customHeight="1" x14ac:dyDescent="0.2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75" customHeight="1" x14ac:dyDescent="0.2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75" customHeight="1" x14ac:dyDescent="0.2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75" customHeight="1" x14ac:dyDescent="0.2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75" customHeight="1" x14ac:dyDescent="0.2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75" customHeight="1" x14ac:dyDescent="0.2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75" customHeight="1" x14ac:dyDescent="0.2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75" customHeight="1" x14ac:dyDescent="0.2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75" customHeight="1" x14ac:dyDescent="0.2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75" customHeight="1" x14ac:dyDescent="0.2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75" customHeight="1" x14ac:dyDescent="0.2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75" customHeight="1" x14ac:dyDescent="0.2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75" customHeight="1" x14ac:dyDescent="0.2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75" customHeight="1" x14ac:dyDescent="0.2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75" customHeight="1" x14ac:dyDescent="0.2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75" customHeight="1" x14ac:dyDescent="0.2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75" customHeight="1" x14ac:dyDescent="0.2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75" customHeight="1" x14ac:dyDescent="0.2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75" customHeight="1" x14ac:dyDescent="0.2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75" customHeight="1" x14ac:dyDescent="0.2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75" customHeight="1" x14ac:dyDescent="0.2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75" customHeight="1" x14ac:dyDescent="0.2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75" customHeight="1" x14ac:dyDescent="0.2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75" customHeight="1" x14ac:dyDescent="0.2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75" customHeight="1" x14ac:dyDescent="0.2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75" customHeight="1" x14ac:dyDescent="0.2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75" customHeight="1" x14ac:dyDescent="0.2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75" customHeight="1" x14ac:dyDescent="0.2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75" customHeight="1" x14ac:dyDescent="0.2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75" customHeight="1" x14ac:dyDescent="0.2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75" customHeight="1" x14ac:dyDescent="0.2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75" customHeight="1" x14ac:dyDescent="0.2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75" customHeight="1" x14ac:dyDescent="0.2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75" customHeight="1" x14ac:dyDescent="0.2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75" customHeight="1" x14ac:dyDescent="0.2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75" customHeight="1" x14ac:dyDescent="0.2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75" customHeight="1" x14ac:dyDescent="0.2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75" customHeight="1" x14ac:dyDescent="0.2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75" customHeight="1" x14ac:dyDescent="0.2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75" customHeight="1" x14ac:dyDescent="0.2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75" customHeight="1" x14ac:dyDescent="0.2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75" customHeight="1" x14ac:dyDescent="0.2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75" customHeight="1" x14ac:dyDescent="0.2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75" customHeight="1" x14ac:dyDescent="0.2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75" customHeight="1" x14ac:dyDescent="0.2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75" customHeight="1" x14ac:dyDescent="0.2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75" customHeight="1" x14ac:dyDescent="0.2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75" customHeight="1" x14ac:dyDescent="0.2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75" customHeight="1" x14ac:dyDescent="0.2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75" customHeight="1" x14ac:dyDescent="0.2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75" customHeight="1" x14ac:dyDescent="0.2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75" customHeight="1" x14ac:dyDescent="0.2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75" customHeight="1" x14ac:dyDescent="0.2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75" customHeight="1" x14ac:dyDescent="0.2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75" customHeight="1" x14ac:dyDescent="0.2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75" customHeight="1" x14ac:dyDescent="0.2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75" customHeight="1" x14ac:dyDescent="0.2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75" customHeight="1" x14ac:dyDescent="0.2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75" customHeight="1" x14ac:dyDescent="0.2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75" customHeight="1" x14ac:dyDescent="0.2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75" customHeight="1" x14ac:dyDescent="0.2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75" customHeight="1" x14ac:dyDescent="0.2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75" customHeight="1" x14ac:dyDescent="0.2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75" customHeight="1" x14ac:dyDescent="0.2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75" customHeight="1" x14ac:dyDescent="0.2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75" customHeight="1" x14ac:dyDescent="0.2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75" customHeight="1" x14ac:dyDescent="0.2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75" customHeight="1" x14ac:dyDescent="0.2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75" customHeight="1" x14ac:dyDescent="0.2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75" customHeight="1" x14ac:dyDescent="0.2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75" customHeight="1" x14ac:dyDescent="0.2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75" customHeight="1" x14ac:dyDescent="0.2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75" customHeight="1" x14ac:dyDescent="0.2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75" customHeight="1" x14ac:dyDescent="0.2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75" customHeight="1" x14ac:dyDescent="0.2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75" customHeight="1" x14ac:dyDescent="0.2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75" customHeight="1" x14ac:dyDescent="0.2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75" customHeight="1" x14ac:dyDescent="0.2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75" customHeight="1" x14ac:dyDescent="0.2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75" customHeight="1" x14ac:dyDescent="0.2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75" customHeight="1" x14ac:dyDescent="0.2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75" customHeight="1" x14ac:dyDescent="0.2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75" customHeight="1" x14ac:dyDescent="0.2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75" customHeight="1" x14ac:dyDescent="0.2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75" customHeight="1" x14ac:dyDescent="0.2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75" customHeight="1" x14ac:dyDescent="0.2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75" customHeight="1" x14ac:dyDescent="0.2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75" customHeight="1" x14ac:dyDescent="0.2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75" customHeight="1" x14ac:dyDescent="0.2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75" customHeight="1" x14ac:dyDescent="0.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75" customHeight="1" x14ac:dyDescent="0.2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75" customHeight="1" x14ac:dyDescent="0.2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75" customHeight="1" x14ac:dyDescent="0.2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75" customHeight="1" x14ac:dyDescent="0.2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75" customHeight="1" x14ac:dyDescent="0.2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75" customHeight="1" x14ac:dyDescent="0.2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75" customHeight="1" x14ac:dyDescent="0.2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75" customHeight="1" x14ac:dyDescent="0.2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75" customHeight="1" x14ac:dyDescent="0.2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75" customHeight="1" x14ac:dyDescent="0.2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75" customHeight="1" x14ac:dyDescent="0.2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75" customHeight="1" x14ac:dyDescent="0.2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75" customHeight="1" x14ac:dyDescent="0.2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75" customHeight="1" x14ac:dyDescent="0.2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75" customHeight="1" x14ac:dyDescent="0.2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75" customHeight="1" x14ac:dyDescent="0.2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75" customHeight="1" x14ac:dyDescent="0.2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75" customHeight="1" x14ac:dyDescent="0.2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75" customHeight="1" x14ac:dyDescent="0.2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75" customHeight="1" x14ac:dyDescent="0.2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75" customHeight="1" x14ac:dyDescent="0.2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75" customHeight="1" x14ac:dyDescent="0.2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75" customHeight="1" x14ac:dyDescent="0.2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75" customHeight="1" x14ac:dyDescent="0.2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75" customHeight="1" x14ac:dyDescent="0.2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75" customHeight="1" x14ac:dyDescent="0.2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75" customHeight="1" x14ac:dyDescent="0.2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75" customHeight="1" x14ac:dyDescent="0.2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75" customHeight="1" x14ac:dyDescent="0.2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75" customHeight="1" x14ac:dyDescent="0.2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75" customHeight="1" x14ac:dyDescent="0.2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75" customHeight="1" x14ac:dyDescent="0.2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75" customHeight="1" x14ac:dyDescent="0.2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75" customHeight="1" x14ac:dyDescent="0.2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75" customHeight="1" x14ac:dyDescent="0.2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75" customHeight="1" x14ac:dyDescent="0.2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75" customHeight="1" x14ac:dyDescent="0.2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75" customHeight="1" x14ac:dyDescent="0.2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75" customHeight="1" x14ac:dyDescent="0.2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75" customHeight="1" x14ac:dyDescent="0.2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75" customHeight="1" x14ac:dyDescent="0.2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75" customHeight="1" x14ac:dyDescent="0.2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75" customHeight="1" x14ac:dyDescent="0.2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75" customHeight="1" x14ac:dyDescent="0.2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75" customHeight="1" x14ac:dyDescent="0.2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75" customHeight="1" x14ac:dyDescent="0.2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75" customHeight="1" x14ac:dyDescent="0.2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75" customHeight="1" x14ac:dyDescent="0.2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75" customHeight="1" x14ac:dyDescent="0.2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75" customHeight="1" x14ac:dyDescent="0.2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75" customHeight="1" x14ac:dyDescent="0.2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75" customHeight="1" x14ac:dyDescent="0.2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75" customHeight="1" x14ac:dyDescent="0.2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75" customHeight="1" x14ac:dyDescent="0.2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75" customHeight="1" x14ac:dyDescent="0.2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75" customHeight="1" x14ac:dyDescent="0.2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75" customHeight="1" x14ac:dyDescent="0.2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75" customHeight="1" x14ac:dyDescent="0.2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75" customHeight="1" x14ac:dyDescent="0.2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75" customHeight="1" x14ac:dyDescent="0.2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75" customHeight="1" x14ac:dyDescent="0.2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75" customHeight="1" x14ac:dyDescent="0.2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75" customHeight="1" x14ac:dyDescent="0.2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75" customHeight="1" x14ac:dyDescent="0.2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75" customHeight="1" x14ac:dyDescent="0.2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75" customHeight="1" x14ac:dyDescent="0.2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75" customHeight="1" x14ac:dyDescent="0.2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75" customHeight="1" x14ac:dyDescent="0.2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75" customHeight="1" x14ac:dyDescent="0.2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75" customHeight="1" x14ac:dyDescent="0.2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75" customHeight="1" x14ac:dyDescent="0.2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75" customHeight="1" x14ac:dyDescent="0.2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75" customHeight="1" x14ac:dyDescent="0.2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75" customHeight="1" x14ac:dyDescent="0.2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75" customHeight="1" x14ac:dyDescent="0.2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75" customHeight="1" x14ac:dyDescent="0.2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75" customHeight="1" x14ac:dyDescent="0.2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75" customHeight="1" x14ac:dyDescent="0.2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75" customHeight="1" x14ac:dyDescent="0.2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75" customHeight="1" x14ac:dyDescent="0.2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75" customHeight="1" x14ac:dyDescent="0.2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75" customHeight="1" x14ac:dyDescent="0.2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75" customHeight="1" x14ac:dyDescent="0.2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75" customHeight="1" x14ac:dyDescent="0.2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75" customHeight="1" x14ac:dyDescent="0.2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75" customHeight="1" x14ac:dyDescent="0.2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75" customHeight="1" x14ac:dyDescent="0.2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75" customHeight="1" x14ac:dyDescent="0.2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75" customHeight="1" x14ac:dyDescent="0.2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75" customHeight="1" x14ac:dyDescent="0.2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75" customHeight="1" x14ac:dyDescent="0.2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75" customHeight="1" x14ac:dyDescent="0.2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75" customHeight="1" x14ac:dyDescent="0.2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75" customHeight="1" x14ac:dyDescent="0.2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75" customHeight="1" x14ac:dyDescent="0.2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75" customHeight="1" x14ac:dyDescent="0.2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75" customHeight="1" x14ac:dyDescent="0.2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75" customHeight="1" x14ac:dyDescent="0.2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75" customHeight="1" x14ac:dyDescent="0.2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75" customHeight="1" x14ac:dyDescent="0.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75" customHeight="1" x14ac:dyDescent="0.2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75" customHeight="1" x14ac:dyDescent="0.2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75" customHeight="1" x14ac:dyDescent="0.2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75" customHeight="1" x14ac:dyDescent="0.2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75" customHeight="1" x14ac:dyDescent="0.2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75" customHeight="1" x14ac:dyDescent="0.2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75" customHeight="1" x14ac:dyDescent="0.2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75" customHeight="1" x14ac:dyDescent="0.2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75" customHeight="1" x14ac:dyDescent="0.2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75" customHeight="1" x14ac:dyDescent="0.2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75" customHeight="1" x14ac:dyDescent="0.2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75" customHeight="1" x14ac:dyDescent="0.2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75" customHeight="1" x14ac:dyDescent="0.2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75" customHeight="1" x14ac:dyDescent="0.2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75" customHeight="1" x14ac:dyDescent="0.2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75" customHeight="1" x14ac:dyDescent="0.2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75" customHeight="1" x14ac:dyDescent="0.2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75" customHeight="1" x14ac:dyDescent="0.2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75" customHeight="1" x14ac:dyDescent="0.2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75" customHeight="1" x14ac:dyDescent="0.2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75" customHeight="1" x14ac:dyDescent="0.2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75" customHeight="1" x14ac:dyDescent="0.2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75" customHeight="1" x14ac:dyDescent="0.2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75" customHeight="1" x14ac:dyDescent="0.2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75" customHeight="1" x14ac:dyDescent="0.2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75" customHeight="1" x14ac:dyDescent="0.2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75" customHeight="1" x14ac:dyDescent="0.2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75" customHeight="1" x14ac:dyDescent="0.2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75" customHeight="1" x14ac:dyDescent="0.2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75" customHeight="1" x14ac:dyDescent="0.2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75" customHeight="1" x14ac:dyDescent="0.2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75" customHeight="1" x14ac:dyDescent="0.2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75" customHeight="1" x14ac:dyDescent="0.2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75" customHeight="1" x14ac:dyDescent="0.2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75" customHeight="1" x14ac:dyDescent="0.2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75" customHeight="1" x14ac:dyDescent="0.2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75" customHeight="1" x14ac:dyDescent="0.2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75" customHeight="1" x14ac:dyDescent="0.2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75" customHeight="1" x14ac:dyDescent="0.2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75" customHeight="1" x14ac:dyDescent="0.2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75" customHeight="1" x14ac:dyDescent="0.2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75" customHeight="1" x14ac:dyDescent="0.2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75" customHeight="1" x14ac:dyDescent="0.2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75" customHeight="1" x14ac:dyDescent="0.2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75" customHeight="1" x14ac:dyDescent="0.2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75" customHeight="1" x14ac:dyDescent="0.2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75" customHeight="1" x14ac:dyDescent="0.2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75" customHeight="1" x14ac:dyDescent="0.2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75" customHeight="1" x14ac:dyDescent="0.2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75" customHeight="1" x14ac:dyDescent="0.2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75" customHeight="1" x14ac:dyDescent="0.2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75" customHeight="1" x14ac:dyDescent="0.2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75" customHeight="1" x14ac:dyDescent="0.2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75" customHeight="1" x14ac:dyDescent="0.2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75" customHeight="1" x14ac:dyDescent="0.2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75" customHeight="1" x14ac:dyDescent="0.2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75" customHeight="1" x14ac:dyDescent="0.2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75" customHeight="1" x14ac:dyDescent="0.2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75" customHeight="1" x14ac:dyDescent="0.2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75" customHeight="1" x14ac:dyDescent="0.2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75" customHeight="1" x14ac:dyDescent="0.2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75" customHeight="1" x14ac:dyDescent="0.2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75" customHeight="1" x14ac:dyDescent="0.2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75" customHeight="1" x14ac:dyDescent="0.2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75" customHeight="1" x14ac:dyDescent="0.2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75" customHeight="1" x14ac:dyDescent="0.2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75" customHeight="1" x14ac:dyDescent="0.2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75" customHeight="1" x14ac:dyDescent="0.2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75" customHeight="1" x14ac:dyDescent="0.2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75" customHeight="1" x14ac:dyDescent="0.2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75" customHeight="1" x14ac:dyDescent="0.2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75" customHeight="1" x14ac:dyDescent="0.2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75" customHeight="1" x14ac:dyDescent="0.2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75" customHeight="1" x14ac:dyDescent="0.2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75" customHeight="1" x14ac:dyDescent="0.2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75" customHeight="1" x14ac:dyDescent="0.2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75" customHeight="1" x14ac:dyDescent="0.2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75" customHeight="1" x14ac:dyDescent="0.2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75" customHeight="1" x14ac:dyDescent="0.2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75" customHeight="1" x14ac:dyDescent="0.2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75" customHeight="1" x14ac:dyDescent="0.2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75" customHeight="1" x14ac:dyDescent="0.2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75" customHeight="1" x14ac:dyDescent="0.2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75" customHeight="1" x14ac:dyDescent="0.2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75" customHeight="1" x14ac:dyDescent="0.2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75" customHeight="1" x14ac:dyDescent="0.2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75" customHeight="1" x14ac:dyDescent="0.2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75" customHeight="1" x14ac:dyDescent="0.2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75" customHeight="1" x14ac:dyDescent="0.2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75" customHeight="1" x14ac:dyDescent="0.2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75" customHeight="1" x14ac:dyDescent="0.2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75" customHeight="1" x14ac:dyDescent="0.2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75" customHeight="1" x14ac:dyDescent="0.2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75" customHeight="1" x14ac:dyDescent="0.2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75" customHeight="1" x14ac:dyDescent="0.2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75" customHeight="1" x14ac:dyDescent="0.2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75" customHeight="1" x14ac:dyDescent="0.2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75" customHeight="1" x14ac:dyDescent="0.2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75" customHeight="1" x14ac:dyDescent="0.2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75" customHeight="1" x14ac:dyDescent="0.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75" customHeight="1" x14ac:dyDescent="0.2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75" customHeight="1" x14ac:dyDescent="0.2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75" customHeight="1" x14ac:dyDescent="0.2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75" customHeight="1" x14ac:dyDescent="0.2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75" customHeight="1" x14ac:dyDescent="0.2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75" customHeight="1" x14ac:dyDescent="0.2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75" customHeight="1" x14ac:dyDescent="0.2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75" customHeight="1" x14ac:dyDescent="0.2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75" customHeight="1" x14ac:dyDescent="0.2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75" customHeight="1" x14ac:dyDescent="0.2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75" customHeight="1" x14ac:dyDescent="0.2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75" customHeight="1" x14ac:dyDescent="0.2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75" customHeight="1" x14ac:dyDescent="0.2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75" customHeight="1" x14ac:dyDescent="0.2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75" customHeight="1" x14ac:dyDescent="0.2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75" customHeight="1" x14ac:dyDescent="0.2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75" customHeight="1" x14ac:dyDescent="0.2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75" customHeight="1" x14ac:dyDescent="0.2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75" customHeight="1" x14ac:dyDescent="0.2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75" customHeight="1" x14ac:dyDescent="0.2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75" customHeight="1" x14ac:dyDescent="0.2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75" customHeight="1" x14ac:dyDescent="0.2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75" customHeight="1" x14ac:dyDescent="0.2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75" customHeight="1" x14ac:dyDescent="0.2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75" customHeight="1" x14ac:dyDescent="0.2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75" customHeight="1" x14ac:dyDescent="0.2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75" customHeight="1" x14ac:dyDescent="0.2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75" customHeight="1" x14ac:dyDescent="0.2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75" customHeight="1" x14ac:dyDescent="0.2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75" customHeight="1" x14ac:dyDescent="0.2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75" customHeight="1" x14ac:dyDescent="0.2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75" customHeight="1" x14ac:dyDescent="0.2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75" customHeight="1" x14ac:dyDescent="0.2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75" customHeight="1" x14ac:dyDescent="0.2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75" customHeight="1" x14ac:dyDescent="0.2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75" customHeight="1" x14ac:dyDescent="0.2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75" customHeight="1" x14ac:dyDescent="0.2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75" customHeight="1" x14ac:dyDescent="0.2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75" customHeight="1" x14ac:dyDescent="0.2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75" customHeight="1" x14ac:dyDescent="0.2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75" customHeight="1" x14ac:dyDescent="0.2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75" customHeight="1" x14ac:dyDescent="0.2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75" customHeight="1" x14ac:dyDescent="0.2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75" customHeight="1" x14ac:dyDescent="0.2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75" customHeight="1" x14ac:dyDescent="0.2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75" customHeight="1" x14ac:dyDescent="0.2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75" customHeight="1" x14ac:dyDescent="0.2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75" customHeight="1" x14ac:dyDescent="0.2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75" customHeight="1" x14ac:dyDescent="0.2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75" customHeight="1" x14ac:dyDescent="0.2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75" customHeight="1" x14ac:dyDescent="0.2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75" customHeight="1" x14ac:dyDescent="0.2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75" customHeight="1" x14ac:dyDescent="0.2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75" customHeight="1" x14ac:dyDescent="0.2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75" customHeight="1" x14ac:dyDescent="0.2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75" customHeight="1" x14ac:dyDescent="0.2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75" customHeight="1" x14ac:dyDescent="0.2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75" customHeight="1" x14ac:dyDescent="0.2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75" customHeight="1" x14ac:dyDescent="0.2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75" customHeight="1" x14ac:dyDescent="0.2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75" customHeight="1" x14ac:dyDescent="0.2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75" customHeight="1" x14ac:dyDescent="0.2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75" customHeight="1" x14ac:dyDescent="0.2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75" customHeight="1" x14ac:dyDescent="0.2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75" customHeight="1" x14ac:dyDescent="0.2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75" customHeight="1" x14ac:dyDescent="0.2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75" customHeight="1" x14ac:dyDescent="0.2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75" customHeight="1" x14ac:dyDescent="0.2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75" customHeight="1" x14ac:dyDescent="0.2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75" customHeight="1" x14ac:dyDescent="0.2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75" customHeight="1" x14ac:dyDescent="0.2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75" customHeight="1" x14ac:dyDescent="0.2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75" customHeight="1" x14ac:dyDescent="0.2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75" customHeight="1" x14ac:dyDescent="0.2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75" customHeight="1" x14ac:dyDescent="0.2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75" customHeight="1" x14ac:dyDescent="0.2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75" customHeight="1" x14ac:dyDescent="0.2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75" customHeight="1" x14ac:dyDescent="0.2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75" customHeight="1" x14ac:dyDescent="0.2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75" customHeight="1" x14ac:dyDescent="0.2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75" customHeight="1" x14ac:dyDescent="0.2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75" customHeight="1" x14ac:dyDescent="0.2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75" customHeight="1" x14ac:dyDescent="0.2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75" customHeight="1" x14ac:dyDescent="0.2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75" customHeight="1" x14ac:dyDescent="0.2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75" customHeight="1" x14ac:dyDescent="0.2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75" customHeight="1" x14ac:dyDescent="0.2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75" customHeight="1" x14ac:dyDescent="0.2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75" customHeight="1" x14ac:dyDescent="0.2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75" customHeight="1" x14ac:dyDescent="0.2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75" customHeight="1" x14ac:dyDescent="0.2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75" customHeight="1" x14ac:dyDescent="0.2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75" customHeight="1" x14ac:dyDescent="0.2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75" customHeight="1" x14ac:dyDescent="0.2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75" customHeight="1" x14ac:dyDescent="0.2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75" customHeight="1" x14ac:dyDescent="0.2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75" customHeight="1" x14ac:dyDescent="0.2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75" customHeight="1" x14ac:dyDescent="0.2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75" customHeight="1" x14ac:dyDescent="0.2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75" customHeight="1" x14ac:dyDescent="0.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75" customHeight="1" x14ac:dyDescent="0.2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75" customHeight="1" x14ac:dyDescent="0.2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75" customHeight="1" x14ac:dyDescent="0.2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75" customHeight="1" x14ac:dyDescent="0.2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75" customHeight="1" x14ac:dyDescent="0.2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75" customHeight="1" x14ac:dyDescent="0.2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75" customHeight="1" x14ac:dyDescent="0.2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75" customHeight="1" x14ac:dyDescent="0.2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75" customHeight="1" x14ac:dyDescent="0.2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75" customHeight="1" x14ac:dyDescent="0.2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75" customHeight="1" x14ac:dyDescent="0.2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75" customHeight="1" x14ac:dyDescent="0.2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75" customHeight="1" x14ac:dyDescent="0.2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75" customHeight="1" x14ac:dyDescent="0.2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75" customHeight="1" x14ac:dyDescent="0.2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75" customHeight="1" x14ac:dyDescent="0.2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75" customHeight="1" x14ac:dyDescent="0.2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75" customHeight="1" x14ac:dyDescent="0.2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75" customHeight="1" x14ac:dyDescent="0.2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75" customHeight="1" x14ac:dyDescent="0.2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75" customHeight="1" x14ac:dyDescent="0.2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75" customHeight="1" x14ac:dyDescent="0.2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75" customHeight="1" x14ac:dyDescent="0.2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75" customHeight="1" x14ac:dyDescent="0.2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75" customHeight="1" x14ac:dyDescent="0.2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75" customHeight="1" x14ac:dyDescent="0.2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75" customHeight="1" x14ac:dyDescent="0.2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75" customHeight="1" x14ac:dyDescent="0.2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75" customHeight="1" x14ac:dyDescent="0.2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75" customHeight="1" x14ac:dyDescent="0.2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75" customHeight="1" x14ac:dyDescent="0.2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75" customHeight="1" x14ac:dyDescent="0.2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75" customHeight="1" x14ac:dyDescent="0.2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75" customHeight="1" x14ac:dyDescent="0.2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75" customHeight="1" x14ac:dyDescent="0.2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75" customHeight="1" x14ac:dyDescent="0.2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75" customHeight="1" x14ac:dyDescent="0.2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75" customHeight="1" x14ac:dyDescent="0.2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75" customHeight="1" x14ac:dyDescent="0.2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75" customHeight="1" x14ac:dyDescent="0.2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75" customHeight="1" x14ac:dyDescent="0.2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75" customHeight="1" x14ac:dyDescent="0.2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75" customHeight="1" x14ac:dyDescent="0.2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75" customHeight="1" x14ac:dyDescent="0.2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75" customHeight="1" x14ac:dyDescent="0.2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75" customHeight="1" x14ac:dyDescent="0.2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75" customHeight="1" x14ac:dyDescent="0.2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75" customHeight="1" x14ac:dyDescent="0.2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75" customHeight="1" x14ac:dyDescent="0.2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75" customHeight="1" x14ac:dyDescent="0.2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75" customHeight="1" x14ac:dyDescent="0.2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75" customHeight="1" x14ac:dyDescent="0.2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75" customHeight="1" x14ac:dyDescent="0.2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75" customHeight="1" x14ac:dyDescent="0.2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75" customHeight="1" x14ac:dyDescent="0.2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75" customHeight="1" x14ac:dyDescent="0.2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75" customHeight="1" x14ac:dyDescent="0.2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75" customHeight="1" x14ac:dyDescent="0.2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75" customHeight="1" x14ac:dyDescent="0.2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75" customHeight="1" x14ac:dyDescent="0.2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75" customHeight="1" x14ac:dyDescent="0.2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75" customHeight="1" x14ac:dyDescent="0.25">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75" customHeight="1" x14ac:dyDescent="0.25">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75" customHeight="1" x14ac:dyDescent="0.25">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75" customHeight="1" x14ac:dyDescent="0.25">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75" customHeight="1" x14ac:dyDescent="0.25">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75" customHeight="1" x14ac:dyDescent="0.25">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75" customHeight="1" x14ac:dyDescent="0.25">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75" customHeight="1" x14ac:dyDescent="0.25">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75" customHeight="1" x14ac:dyDescent="0.2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75" customHeight="1" x14ac:dyDescent="0.25">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75" customHeight="1" x14ac:dyDescent="0.25">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2.75" customHeight="1" x14ac:dyDescent="0.25">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2.75" customHeight="1" x14ac:dyDescent="0.25">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2.75" customHeight="1" x14ac:dyDescent="0.25">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38">
    <mergeCell ref="B5:C5"/>
    <mergeCell ref="A1:D2"/>
    <mergeCell ref="B3:C3"/>
    <mergeCell ref="D3:D4"/>
    <mergeCell ref="E3:E4"/>
    <mergeCell ref="B4:C4"/>
    <mergeCell ref="B21:C21"/>
    <mergeCell ref="B6:C6"/>
    <mergeCell ref="B7:C7"/>
    <mergeCell ref="B8:C8"/>
    <mergeCell ref="B9:C9"/>
    <mergeCell ref="B10:C10"/>
    <mergeCell ref="B11:C11"/>
    <mergeCell ref="B16:C16"/>
    <mergeCell ref="B17:C17"/>
    <mergeCell ref="B18:C18"/>
    <mergeCell ref="B19:C19"/>
    <mergeCell ref="B20:C20"/>
    <mergeCell ref="B40:C40"/>
    <mergeCell ref="B22:C22"/>
    <mergeCell ref="B23:C23"/>
    <mergeCell ref="B24:C24"/>
    <mergeCell ref="B25:C25"/>
    <mergeCell ref="B26:C26"/>
    <mergeCell ref="B27:C27"/>
    <mergeCell ref="B28:C28"/>
    <mergeCell ref="B29:C29"/>
    <mergeCell ref="B30:C30"/>
    <mergeCell ref="B37:C37"/>
    <mergeCell ref="B39:C39"/>
    <mergeCell ref="B49:C49"/>
    <mergeCell ref="B50:C50"/>
    <mergeCell ref="B41:C41"/>
    <mergeCell ref="B42:C42"/>
    <mergeCell ref="B43:C43"/>
    <mergeCell ref="B44:C44"/>
    <mergeCell ref="B45:C45"/>
    <mergeCell ref="B47:C4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491</v>
      </c>
      <c r="B1" s="7" t="s">
        <v>492</v>
      </c>
    </row>
    <row r="2" spans="1:5" x14ac:dyDescent="0.25">
      <c r="A2" s="3" t="s">
        <v>493</v>
      </c>
      <c r="B2" s="6"/>
      <c r="C2" s="4"/>
    </row>
    <row r="4" spans="1:5" x14ac:dyDescent="0.25">
      <c r="A4" s="2" t="s">
        <v>494</v>
      </c>
      <c r="B4" s="1">
        <v>0</v>
      </c>
      <c r="C4" s="1">
        <v>0</v>
      </c>
    </row>
    <row r="5" spans="1:5" x14ac:dyDescent="0.25">
      <c r="A5" s="2" t="s">
        <v>495</v>
      </c>
      <c r="B5" s="1">
        <v>33</v>
      </c>
      <c r="C5"/>
      <c r="D5" s="1"/>
    </row>
    <row r="6" spans="1:5" ht="15.75" thickBot="1" x14ac:dyDescent="0.3">
      <c r="A6" s="2" t="s">
        <v>496</v>
      </c>
      <c r="B6" s="20">
        <v>0</v>
      </c>
      <c r="C6" s="20">
        <f>B5*B6</f>
        <v>0</v>
      </c>
      <c r="D6" s="30"/>
    </row>
    <row r="7" spans="1:5" x14ac:dyDescent="0.25">
      <c r="C7" s="9" t="s">
        <v>497</v>
      </c>
      <c r="D7" s="1">
        <f>SUM(C4:C6)</f>
        <v>0</v>
      </c>
    </row>
    <row r="8" spans="1:5" x14ac:dyDescent="0.25">
      <c r="D8" s="1"/>
    </row>
    <row r="10" spans="1:5" ht="15.75" thickBot="1" x14ac:dyDescent="0.3">
      <c r="D10" s="30"/>
    </row>
    <row r="11" spans="1:5" x14ac:dyDescent="0.25">
      <c r="D11" s="31" t="s">
        <v>498</v>
      </c>
      <c r="E11" s="1">
        <f>+SUM(C4:C10)</f>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F62"/>
  <sheetViews>
    <sheetView topLeftCell="A46" workbookViewId="0">
      <selection activeCell="F62" sqref="F62"/>
    </sheetView>
  </sheetViews>
  <sheetFormatPr defaultColWidth="9.140625" defaultRowHeight="15" x14ac:dyDescent="0.25"/>
  <cols>
    <col min="1" max="1" width="39.7109375" bestFit="1" customWidth="1"/>
    <col min="2" max="2" width="26.85546875" style="2" customWidth="1"/>
    <col min="5" max="5" width="9.28515625" bestFit="1" customWidth="1"/>
  </cols>
  <sheetData>
    <row r="1" spans="1:6" x14ac:dyDescent="0.25">
      <c r="A1" s="15" t="s">
        <v>499</v>
      </c>
    </row>
    <row r="2" spans="1:6" s="3" customFormat="1" x14ac:dyDescent="0.25">
      <c r="B2" s="3" t="s">
        <v>500</v>
      </c>
      <c r="C2" s="3" t="s">
        <v>501</v>
      </c>
      <c r="D2" s="8" t="s">
        <v>502</v>
      </c>
      <c r="E2" s="3" t="s">
        <v>503</v>
      </c>
      <c r="F2" s="3" t="s">
        <v>504</v>
      </c>
    </row>
    <row r="3" spans="1:6" x14ac:dyDescent="0.25">
      <c r="A3" s="294" t="s">
        <v>505</v>
      </c>
      <c r="B3" s="294"/>
      <c r="C3" s="295">
        <v>0</v>
      </c>
      <c r="D3" s="296">
        <v>0</v>
      </c>
      <c r="E3">
        <f>+C3*D3</f>
        <v>0</v>
      </c>
    </row>
    <row r="4" spans="1:6" x14ac:dyDescent="0.25">
      <c r="A4" s="294" t="s">
        <v>506</v>
      </c>
      <c r="B4" s="294"/>
      <c r="C4" s="295">
        <v>0</v>
      </c>
      <c r="D4" s="296">
        <v>0</v>
      </c>
      <c r="E4">
        <f t="shared" ref="E4:E61" si="0">+C4*D4</f>
        <v>0</v>
      </c>
    </row>
    <row r="5" spans="1:6" x14ac:dyDescent="0.25">
      <c r="A5" s="294" t="s">
        <v>507</v>
      </c>
      <c r="B5" s="294"/>
      <c r="C5" s="295">
        <v>0</v>
      </c>
      <c r="D5" s="296">
        <v>0</v>
      </c>
      <c r="E5">
        <f t="shared" si="0"/>
        <v>0</v>
      </c>
    </row>
    <row r="6" spans="1:6" x14ac:dyDescent="0.25">
      <c r="A6" s="294" t="s">
        <v>508</v>
      </c>
      <c r="B6" s="294"/>
      <c r="C6" s="295">
        <v>0</v>
      </c>
      <c r="D6" s="296">
        <v>0</v>
      </c>
      <c r="E6">
        <f t="shared" si="0"/>
        <v>0</v>
      </c>
    </row>
    <row r="7" spans="1:6" x14ac:dyDescent="0.25">
      <c r="A7" s="294" t="s">
        <v>509</v>
      </c>
      <c r="B7" s="294"/>
      <c r="C7" s="295">
        <v>0</v>
      </c>
      <c r="D7" s="296">
        <v>0</v>
      </c>
      <c r="E7">
        <f t="shared" si="0"/>
        <v>0</v>
      </c>
    </row>
    <row r="8" spans="1:6" x14ac:dyDescent="0.25">
      <c r="A8" s="294" t="s">
        <v>510</v>
      </c>
      <c r="B8" s="294"/>
      <c r="C8" s="295">
        <v>0</v>
      </c>
      <c r="D8" s="296">
        <v>0</v>
      </c>
      <c r="E8">
        <f t="shared" si="0"/>
        <v>0</v>
      </c>
    </row>
    <row r="9" spans="1:6" x14ac:dyDescent="0.25">
      <c r="A9" s="294" t="s">
        <v>511</v>
      </c>
      <c r="B9" s="294"/>
      <c r="C9" s="295">
        <v>0</v>
      </c>
      <c r="D9" s="296">
        <v>0</v>
      </c>
      <c r="E9">
        <f t="shared" si="0"/>
        <v>0</v>
      </c>
    </row>
    <row r="10" spans="1:6" x14ac:dyDescent="0.25">
      <c r="A10" s="294" t="s">
        <v>178</v>
      </c>
      <c r="B10" s="294"/>
      <c r="C10" s="295">
        <v>0</v>
      </c>
      <c r="D10" s="296">
        <v>0</v>
      </c>
      <c r="E10">
        <f t="shared" si="0"/>
        <v>0</v>
      </c>
    </row>
    <row r="11" spans="1:6" x14ac:dyDescent="0.25">
      <c r="A11" s="294"/>
      <c r="B11" s="294"/>
      <c r="C11" s="295">
        <v>0</v>
      </c>
      <c r="D11" s="296">
        <v>0</v>
      </c>
      <c r="E11">
        <f t="shared" si="0"/>
        <v>0</v>
      </c>
    </row>
    <row r="12" spans="1:6" x14ac:dyDescent="0.25">
      <c r="A12" s="294" t="s">
        <v>512</v>
      </c>
      <c r="B12" s="294"/>
      <c r="C12" s="295">
        <v>0</v>
      </c>
      <c r="D12" s="296">
        <v>0</v>
      </c>
      <c r="E12">
        <f t="shared" si="0"/>
        <v>0</v>
      </c>
    </row>
    <row r="13" spans="1:6" x14ac:dyDescent="0.25">
      <c r="A13" s="294" t="s">
        <v>513</v>
      </c>
      <c r="B13" s="294"/>
      <c r="C13" s="295">
        <v>0</v>
      </c>
      <c r="D13" s="296">
        <v>0</v>
      </c>
      <c r="E13">
        <f t="shared" si="0"/>
        <v>0</v>
      </c>
    </row>
    <row r="14" spans="1:6" x14ac:dyDescent="0.25">
      <c r="A14" s="294" t="s">
        <v>514</v>
      </c>
      <c r="B14" s="294"/>
      <c r="C14" s="295">
        <v>0</v>
      </c>
      <c r="D14" s="296">
        <v>0</v>
      </c>
      <c r="E14">
        <f t="shared" si="0"/>
        <v>0</v>
      </c>
    </row>
    <row r="15" spans="1:6" x14ac:dyDescent="0.25">
      <c r="A15" s="294" t="s">
        <v>515</v>
      </c>
      <c r="B15" s="294"/>
      <c r="C15" s="295">
        <v>0</v>
      </c>
      <c r="D15" s="296">
        <v>0</v>
      </c>
      <c r="E15">
        <f t="shared" si="0"/>
        <v>0</v>
      </c>
    </row>
    <row r="16" spans="1:6" x14ac:dyDescent="0.25">
      <c r="A16" s="294"/>
      <c r="B16" s="294"/>
      <c r="C16" s="295">
        <v>0</v>
      </c>
      <c r="D16" s="296">
        <v>0</v>
      </c>
      <c r="E16">
        <f t="shared" si="0"/>
        <v>0</v>
      </c>
    </row>
    <row r="17" spans="1:5" x14ac:dyDescent="0.25">
      <c r="A17" s="294" t="s">
        <v>516</v>
      </c>
      <c r="B17" s="294"/>
      <c r="C17" s="295">
        <v>0</v>
      </c>
      <c r="D17" s="296">
        <v>0</v>
      </c>
      <c r="E17">
        <f t="shared" si="0"/>
        <v>0</v>
      </c>
    </row>
    <row r="18" spans="1:5" x14ac:dyDescent="0.25">
      <c r="A18" s="294" t="s">
        <v>517</v>
      </c>
      <c r="B18" s="294"/>
      <c r="C18" s="295">
        <v>0</v>
      </c>
      <c r="D18" s="296">
        <v>0</v>
      </c>
      <c r="E18">
        <f t="shared" si="0"/>
        <v>0</v>
      </c>
    </row>
    <row r="19" spans="1:5" x14ac:dyDescent="0.25">
      <c r="A19" s="294"/>
      <c r="B19" s="294"/>
      <c r="C19" s="295">
        <v>0</v>
      </c>
      <c r="D19" s="296">
        <v>0</v>
      </c>
      <c r="E19">
        <f t="shared" si="0"/>
        <v>0</v>
      </c>
    </row>
    <row r="20" spans="1:5" x14ac:dyDescent="0.25">
      <c r="A20" s="294" t="s">
        <v>518</v>
      </c>
      <c r="B20" s="294"/>
      <c r="C20" s="295">
        <v>0</v>
      </c>
      <c r="D20" s="296">
        <v>0</v>
      </c>
      <c r="E20">
        <f t="shared" si="0"/>
        <v>0</v>
      </c>
    </row>
    <row r="21" spans="1:5" x14ac:dyDescent="0.25">
      <c r="A21" s="294" t="s">
        <v>519</v>
      </c>
      <c r="B21" s="294"/>
      <c r="C21" s="295">
        <v>0</v>
      </c>
      <c r="D21" s="296">
        <v>0</v>
      </c>
      <c r="E21">
        <f t="shared" si="0"/>
        <v>0</v>
      </c>
    </row>
    <row r="22" spans="1:5" x14ac:dyDescent="0.25">
      <c r="A22" s="294"/>
      <c r="B22" s="294"/>
      <c r="C22" s="295">
        <v>0</v>
      </c>
      <c r="D22" s="296">
        <v>0</v>
      </c>
      <c r="E22">
        <f t="shared" si="0"/>
        <v>0</v>
      </c>
    </row>
    <row r="23" spans="1:5" x14ac:dyDescent="0.25">
      <c r="A23" s="294" t="s">
        <v>520</v>
      </c>
      <c r="B23" s="294"/>
      <c r="C23" s="295">
        <v>0</v>
      </c>
      <c r="D23" s="296">
        <v>0</v>
      </c>
      <c r="E23">
        <f t="shared" si="0"/>
        <v>0</v>
      </c>
    </row>
    <row r="24" spans="1:5" x14ac:dyDescent="0.25">
      <c r="A24" s="294"/>
      <c r="B24" s="294"/>
      <c r="C24" s="295">
        <v>0</v>
      </c>
      <c r="D24" s="296">
        <v>0</v>
      </c>
      <c r="E24">
        <f t="shared" si="0"/>
        <v>0</v>
      </c>
    </row>
    <row r="25" spans="1:5" x14ac:dyDescent="0.25">
      <c r="A25" s="294"/>
      <c r="B25" s="294"/>
      <c r="C25" s="295">
        <v>0</v>
      </c>
      <c r="D25" s="296">
        <v>0</v>
      </c>
      <c r="E25">
        <f t="shared" si="0"/>
        <v>0</v>
      </c>
    </row>
    <row r="26" spans="1:5" x14ac:dyDescent="0.25">
      <c r="A26" s="294" t="s">
        <v>521</v>
      </c>
      <c r="B26" s="294"/>
      <c r="C26" s="295">
        <v>0</v>
      </c>
      <c r="D26" s="296">
        <v>0</v>
      </c>
      <c r="E26">
        <f t="shared" si="0"/>
        <v>0</v>
      </c>
    </row>
    <row r="27" spans="1:5" x14ac:dyDescent="0.25">
      <c r="A27" s="294" t="s">
        <v>522</v>
      </c>
      <c r="B27" s="294"/>
      <c r="C27" s="295">
        <v>0</v>
      </c>
      <c r="D27" s="296">
        <v>0</v>
      </c>
      <c r="E27">
        <f t="shared" si="0"/>
        <v>0</v>
      </c>
    </row>
    <row r="28" spans="1:5" x14ac:dyDescent="0.25">
      <c r="A28" s="294" t="s">
        <v>523</v>
      </c>
      <c r="B28" s="294"/>
      <c r="C28" s="295">
        <v>0</v>
      </c>
      <c r="D28" s="296">
        <v>0</v>
      </c>
      <c r="E28">
        <f t="shared" si="0"/>
        <v>0</v>
      </c>
    </row>
    <row r="29" spans="1:5" x14ac:dyDescent="0.25">
      <c r="A29" s="294" t="s">
        <v>524</v>
      </c>
      <c r="B29" s="294"/>
      <c r="C29" s="295">
        <v>0</v>
      </c>
      <c r="D29" s="296">
        <v>0</v>
      </c>
      <c r="E29">
        <f t="shared" si="0"/>
        <v>0</v>
      </c>
    </row>
    <row r="30" spans="1:5" x14ac:dyDescent="0.25">
      <c r="A30" s="294" t="s">
        <v>525</v>
      </c>
      <c r="B30" s="294"/>
      <c r="C30" s="295">
        <v>0</v>
      </c>
      <c r="D30" s="296">
        <v>0</v>
      </c>
      <c r="E30">
        <f t="shared" si="0"/>
        <v>0</v>
      </c>
    </row>
    <row r="31" spans="1:5" x14ac:dyDescent="0.25">
      <c r="A31" s="294" t="s">
        <v>526</v>
      </c>
      <c r="B31" s="294"/>
      <c r="C31" s="295">
        <v>0</v>
      </c>
      <c r="D31" s="296">
        <v>0</v>
      </c>
      <c r="E31">
        <f t="shared" si="0"/>
        <v>0</v>
      </c>
    </row>
    <row r="32" spans="1:5" x14ac:dyDescent="0.25">
      <c r="A32" s="294" t="s">
        <v>527</v>
      </c>
      <c r="B32" s="294"/>
      <c r="C32" s="295">
        <v>0</v>
      </c>
      <c r="D32" s="296">
        <v>0</v>
      </c>
      <c r="E32">
        <f t="shared" si="0"/>
        <v>0</v>
      </c>
    </row>
    <row r="33" spans="1:5" x14ac:dyDescent="0.25">
      <c r="A33" s="294" t="s">
        <v>528</v>
      </c>
      <c r="B33" s="294"/>
      <c r="C33" s="295">
        <v>0</v>
      </c>
      <c r="D33" s="296">
        <v>0</v>
      </c>
      <c r="E33">
        <f t="shared" si="0"/>
        <v>0</v>
      </c>
    </row>
    <row r="34" spans="1:5" x14ac:dyDescent="0.25">
      <c r="A34" s="294" t="s">
        <v>529</v>
      </c>
      <c r="B34" s="294"/>
      <c r="C34" s="295">
        <v>0</v>
      </c>
      <c r="D34" s="296">
        <v>0</v>
      </c>
      <c r="E34">
        <f t="shared" si="0"/>
        <v>0</v>
      </c>
    </row>
    <row r="35" spans="1:5" x14ac:dyDescent="0.25">
      <c r="A35" s="294" t="s">
        <v>530</v>
      </c>
      <c r="B35" s="294"/>
      <c r="C35" s="295">
        <v>0</v>
      </c>
      <c r="D35" s="296">
        <v>0</v>
      </c>
      <c r="E35">
        <f t="shared" si="0"/>
        <v>0</v>
      </c>
    </row>
    <row r="36" spans="1:5" x14ac:dyDescent="0.25">
      <c r="A36" s="294" t="s">
        <v>531</v>
      </c>
      <c r="B36" s="294"/>
      <c r="C36" s="295">
        <v>0</v>
      </c>
      <c r="D36" s="296">
        <v>0</v>
      </c>
      <c r="E36">
        <f t="shared" si="0"/>
        <v>0</v>
      </c>
    </row>
    <row r="37" spans="1:5" x14ac:dyDescent="0.25">
      <c r="A37" s="294"/>
      <c r="B37" s="294"/>
      <c r="C37" s="295">
        <v>0</v>
      </c>
      <c r="D37" s="296">
        <v>0</v>
      </c>
      <c r="E37">
        <f t="shared" si="0"/>
        <v>0</v>
      </c>
    </row>
    <row r="38" spans="1:5" x14ac:dyDescent="0.25">
      <c r="A38" s="294" t="s">
        <v>532</v>
      </c>
      <c r="B38" s="294"/>
      <c r="C38" s="295">
        <v>0</v>
      </c>
      <c r="D38" s="296">
        <v>0</v>
      </c>
      <c r="E38">
        <f t="shared" si="0"/>
        <v>0</v>
      </c>
    </row>
    <row r="39" spans="1:5" x14ac:dyDescent="0.25">
      <c r="A39" s="294" t="s">
        <v>533</v>
      </c>
      <c r="B39" s="294"/>
      <c r="C39" s="295">
        <v>0</v>
      </c>
      <c r="D39" s="296">
        <v>0</v>
      </c>
      <c r="E39">
        <f t="shared" si="0"/>
        <v>0</v>
      </c>
    </row>
    <row r="40" spans="1:5" x14ac:dyDescent="0.25">
      <c r="A40" s="294" t="s">
        <v>534</v>
      </c>
      <c r="B40" s="294"/>
      <c r="C40" s="295">
        <v>0</v>
      </c>
      <c r="D40" s="296">
        <v>0</v>
      </c>
      <c r="E40">
        <f t="shared" si="0"/>
        <v>0</v>
      </c>
    </row>
    <row r="41" spans="1:5" x14ac:dyDescent="0.25">
      <c r="A41" s="294" t="s">
        <v>535</v>
      </c>
      <c r="B41" s="294"/>
      <c r="C41" s="295">
        <v>0</v>
      </c>
      <c r="D41" s="296">
        <v>0</v>
      </c>
      <c r="E41">
        <f t="shared" si="0"/>
        <v>0</v>
      </c>
    </row>
    <row r="42" spans="1:5" x14ac:dyDescent="0.25">
      <c r="A42" s="294"/>
      <c r="B42" s="294"/>
      <c r="C42" s="295">
        <v>0</v>
      </c>
      <c r="D42" s="296">
        <v>0</v>
      </c>
      <c r="E42">
        <f t="shared" si="0"/>
        <v>0</v>
      </c>
    </row>
    <row r="43" spans="1:5" x14ac:dyDescent="0.25">
      <c r="A43" s="294"/>
      <c r="B43" s="294"/>
      <c r="C43" s="295">
        <v>0</v>
      </c>
      <c r="D43" s="296">
        <v>0</v>
      </c>
      <c r="E43">
        <f t="shared" ref="E43:E57" si="1">+C43*D43</f>
        <v>0</v>
      </c>
    </row>
    <row r="44" spans="1:5" x14ac:dyDescent="0.25">
      <c r="A44" s="294"/>
      <c r="B44" s="294"/>
      <c r="C44" s="295">
        <v>0</v>
      </c>
      <c r="D44" s="296">
        <v>0</v>
      </c>
      <c r="E44">
        <f t="shared" si="1"/>
        <v>0</v>
      </c>
    </row>
    <row r="45" spans="1:5" x14ac:dyDescent="0.25">
      <c r="A45" s="294"/>
      <c r="B45" s="294"/>
      <c r="C45" s="295">
        <v>0</v>
      </c>
      <c r="D45" s="296">
        <v>0</v>
      </c>
      <c r="E45">
        <f t="shared" si="1"/>
        <v>0</v>
      </c>
    </row>
    <row r="46" spans="1:5" x14ac:dyDescent="0.25">
      <c r="A46" s="294"/>
      <c r="B46" s="294"/>
      <c r="C46" s="295">
        <v>0</v>
      </c>
      <c r="D46" s="296">
        <v>0</v>
      </c>
      <c r="E46">
        <f t="shared" si="1"/>
        <v>0</v>
      </c>
    </row>
    <row r="47" spans="1:5" x14ac:dyDescent="0.25">
      <c r="A47" s="294"/>
      <c r="B47" s="294"/>
      <c r="C47" s="295">
        <v>0</v>
      </c>
      <c r="D47" s="296">
        <v>0</v>
      </c>
      <c r="E47">
        <f t="shared" si="1"/>
        <v>0</v>
      </c>
    </row>
    <row r="48" spans="1:5" x14ac:dyDescent="0.25">
      <c r="A48" s="294"/>
      <c r="B48" s="294"/>
      <c r="C48" s="295">
        <v>0</v>
      </c>
      <c r="D48" s="296">
        <v>0</v>
      </c>
      <c r="E48">
        <f t="shared" si="1"/>
        <v>0</v>
      </c>
    </row>
    <row r="49" spans="1:6" x14ac:dyDescent="0.25">
      <c r="A49" s="294"/>
      <c r="B49" s="294"/>
      <c r="C49" s="295">
        <v>0</v>
      </c>
      <c r="D49" s="296">
        <v>0</v>
      </c>
      <c r="E49">
        <f t="shared" si="1"/>
        <v>0</v>
      </c>
    </row>
    <row r="50" spans="1:6" x14ac:dyDescent="0.25">
      <c r="A50" s="294"/>
      <c r="B50" s="294"/>
      <c r="C50" s="295">
        <v>0</v>
      </c>
      <c r="D50" s="296">
        <v>0</v>
      </c>
      <c r="E50">
        <f t="shared" si="1"/>
        <v>0</v>
      </c>
    </row>
    <row r="51" spans="1:6" x14ac:dyDescent="0.25">
      <c r="A51" s="294"/>
      <c r="B51" s="294"/>
      <c r="C51" s="295">
        <v>0</v>
      </c>
      <c r="D51" s="296">
        <v>0</v>
      </c>
      <c r="E51">
        <f t="shared" si="1"/>
        <v>0</v>
      </c>
    </row>
    <row r="52" spans="1:6" x14ac:dyDescent="0.25">
      <c r="A52" s="294"/>
      <c r="B52" s="294"/>
      <c r="C52" s="295">
        <v>0</v>
      </c>
      <c r="D52" s="296">
        <v>0</v>
      </c>
      <c r="E52">
        <f t="shared" si="1"/>
        <v>0</v>
      </c>
    </row>
    <row r="53" spans="1:6" x14ac:dyDescent="0.25">
      <c r="A53" s="294"/>
      <c r="B53" s="294"/>
      <c r="C53" s="295">
        <v>0</v>
      </c>
      <c r="D53" s="296">
        <v>0</v>
      </c>
      <c r="E53">
        <f t="shared" si="1"/>
        <v>0</v>
      </c>
    </row>
    <row r="54" spans="1:6" x14ac:dyDescent="0.25">
      <c r="A54" s="294"/>
      <c r="B54" s="294"/>
      <c r="C54" s="295">
        <v>0</v>
      </c>
      <c r="D54" s="296">
        <v>0</v>
      </c>
      <c r="E54">
        <f t="shared" si="1"/>
        <v>0</v>
      </c>
    </row>
    <row r="55" spans="1:6" x14ac:dyDescent="0.25">
      <c r="A55" s="294"/>
      <c r="B55" s="294"/>
      <c r="C55" s="295">
        <v>0</v>
      </c>
      <c r="D55" s="296">
        <v>0</v>
      </c>
      <c r="E55">
        <f t="shared" si="1"/>
        <v>0</v>
      </c>
    </row>
    <row r="56" spans="1:6" x14ac:dyDescent="0.25">
      <c r="A56" s="294"/>
      <c r="B56" s="294"/>
      <c r="C56" s="295">
        <v>0</v>
      </c>
      <c r="D56" s="296">
        <v>0</v>
      </c>
      <c r="E56">
        <f t="shared" si="1"/>
        <v>0</v>
      </c>
    </row>
    <row r="57" spans="1:6" x14ac:dyDescent="0.25">
      <c r="A57" s="294"/>
      <c r="B57" s="294"/>
      <c r="C57" s="295">
        <v>0</v>
      </c>
      <c r="D57" s="296">
        <v>0</v>
      </c>
      <c r="E57">
        <f t="shared" si="1"/>
        <v>0</v>
      </c>
    </row>
    <row r="58" spans="1:6" x14ac:dyDescent="0.25">
      <c r="A58" s="294"/>
      <c r="B58" s="294"/>
      <c r="C58" s="295">
        <v>0</v>
      </c>
      <c r="D58" s="296">
        <v>0</v>
      </c>
      <c r="E58">
        <f t="shared" si="0"/>
        <v>0</v>
      </c>
    </row>
    <row r="59" spans="1:6" x14ac:dyDescent="0.25">
      <c r="A59" s="294" t="s">
        <v>536</v>
      </c>
      <c r="B59" s="294"/>
      <c r="C59" s="295">
        <v>0</v>
      </c>
      <c r="D59" s="296">
        <v>0</v>
      </c>
      <c r="E59">
        <f t="shared" si="0"/>
        <v>0</v>
      </c>
    </row>
    <row r="60" spans="1:6" x14ac:dyDescent="0.25">
      <c r="A60" s="293"/>
      <c r="B60" s="294"/>
      <c r="C60" s="295">
        <v>0</v>
      </c>
      <c r="D60" s="296">
        <v>0</v>
      </c>
      <c r="E60">
        <f t="shared" si="0"/>
        <v>0</v>
      </c>
    </row>
    <row r="61" spans="1:6" ht="15.75" thickBot="1" x14ac:dyDescent="0.3">
      <c r="A61" s="293"/>
      <c r="B61" s="294"/>
      <c r="C61" s="295">
        <v>0</v>
      </c>
      <c r="D61" s="296">
        <v>0</v>
      </c>
      <c r="E61">
        <f t="shared" si="0"/>
        <v>0</v>
      </c>
      <c r="F61" s="23"/>
    </row>
    <row r="62" spans="1:6" x14ac:dyDescent="0.25">
      <c r="F62">
        <f>+SUM(E3:E61)</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8"/>
  <sheetViews>
    <sheetView workbookViewId="0">
      <selection activeCell="F18" sqref="F18"/>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537</v>
      </c>
      <c r="B1" s="3" t="s">
        <v>327</v>
      </c>
      <c r="C1" s="13" t="s">
        <v>538</v>
      </c>
      <c r="D1" s="3" t="s">
        <v>539</v>
      </c>
      <c r="E1" s="13" t="s">
        <v>540</v>
      </c>
      <c r="F1" s="3" t="s">
        <v>541</v>
      </c>
    </row>
    <row r="2" spans="1:9" x14ac:dyDescent="0.25">
      <c r="B2"/>
      <c r="C2" s="14"/>
      <c r="D2"/>
      <c r="E2" s="14"/>
      <c r="F2" s="14">
        <v>0</v>
      </c>
    </row>
    <row r="3" spans="1:9" s="22" customFormat="1" x14ac:dyDescent="0.25">
      <c r="A3" s="2" t="s">
        <v>542</v>
      </c>
      <c r="B3" s="12"/>
      <c r="C3" s="14" t="s">
        <v>543</v>
      </c>
      <c r="D3">
        <v>0</v>
      </c>
      <c r="E3" s="14">
        <v>50</v>
      </c>
      <c r="F3" s="14">
        <f>+D3*E3</f>
        <v>0</v>
      </c>
      <c r="G3"/>
      <c r="H3" s="3"/>
      <c r="I3" s="3"/>
    </row>
    <row r="4" spans="1:9" x14ac:dyDescent="0.25">
      <c r="A4" s="2" t="s">
        <v>542</v>
      </c>
      <c r="B4"/>
      <c r="C4" s="14" t="s">
        <v>544</v>
      </c>
      <c r="D4">
        <v>0</v>
      </c>
      <c r="E4" s="14">
        <v>150</v>
      </c>
      <c r="F4" s="14">
        <f t="shared" ref="F4:F19" si="0">+D4*E4</f>
        <v>0</v>
      </c>
    </row>
    <row r="5" spans="1:9" x14ac:dyDescent="0.25">
      <c r="A5" s="2" t="s">
        <v>542</v>
      </c>
      <c r="B5"/>
      <c r="C5" s="14" t="s">
        <v>545</v>
      </c>
      <c r="D5">
        <v>0</v>
      </c>
      <c r="E5" s="14">
        <v>104</v>
      </c>
      <c r="F5" s="14">
        <f t="shared" si="0"/>
        <v>0</v>
      </c>
    </row>
    <row r="6" spans="1:9" x14ac:dyDescent="0.25">
      <c r="A6" s="2" t="s">
        <v>542</v>
      </c>
      <c r="B6"/>
      <c r="C6" s="14" t="s">
        <v>546</v>
      </c>
      <c r="D6">
        <v>0</v>
      </c>
      <c r="E6" s="14">
        <f>+(12.13+31.46+41.63)/3</f>
        <v>28.406666666666666</v>
      </c>
      <c r="F6" s="14">
        <f t="shared" si="0"/>
        <v>0</v>
      </c>
    </row>
    <row r="7" spans="1:9" x14ac:dyDescent="0.25">
      <c r="A7" s="2" t="s">
        <v>542</v>
      </c>
      <c r="B7"/>
      <c r="C7" s="14" t="s">
        <v>547</v>
      </c>
      <c r="D7">
        <v>0</v>
      </c>
      <c r="E7" s="14">
        <v>6.35</v>
      </c>
      <c r="F7" s="14">
        <f t="shared" si="0"/>
        <v>0</v>
      </c>
    </row>
    <row r="8" spans="1:9" x14ac:dyDescent="0.25">
      <c r="A8" s="2" t="s">
        <v>542</v>
      </c>
      <c r="B8"/>
      <c r="C8" s="14" t="s">
        <v>548</v>
      </c>
      <c r="D8">
        <v>0</v>
      </c>
      <c r="E8" s="14">
        <v>2.5</v>
      </c>
      <c r="F8" s="14">
        <f t="shared" si="0"/>
        <v>0</v>
      </c>
    </row>
    <row r="9" spans="1:9" x14ac:dyDescent="0.25">
      <c r="A9" s="2" t="s">
        <v>542</v>
      </c>
      <c r="B9"/>
      <c r="C9" s="14" t="s">
        <v>549</v>
      </c>
      <c r="D9">
        <v>0</v>
      </c>
      <c r="E9" s="14">
        <f>(8.5+10+17.34)/3</f>
        <v>11.946666666666667</v>
      </c>
      <c r="F9" s="14">
        <f t="shared" si="0"/>
        <v>0</v>
      </c>
    </row>
    <row r="10" spans="1:9" x14ac:dyDescent="0.25">
      <c r="A10" s="2" t="s">
        <v>542</v>
      </c>
      <c r="B10" s="275"/>
      <c r="C10" s="14" t="s">
        <v>550</v>
      </c>
      <c r="D10">
        <v>0</v>
      </c>
      <c r="E10" s="14">
        <v>0</v>
      </c>
      <c r="F10" s="14">
        <f t="shared" si="0"/>
        <v>0</v>
      </c>
    </row>
    <row r="11" spans="1:9" x14ac:dyDescent="0.25">
      <c r="A11" s="2" t="s">
        <v>542</v>
      </c>
      <c r="B11" s="275"/>
      <c r="C11" s="14" t="s">
        <v>551</v>
      </c>
      <c r="D11">
        <v>0</v>
      </c>
      <c r="E11" s="14">
        <v>0</v>
      </c>
      <c r="F11" s="14">
        <f t="shared" si="0"/>
        <v>0</v>
      </c>
    </row>
    <row r="12" spans="1:9" x14ac:dyDescent="0.25">
      <c r="A12" s="2" t="s">
        <v>542</v>
      </c>
      <c r="B12" s="275">
        <v>44666</v>
      </c>
      <c r="C12" s="14"/>
      <c r="D12">
        <v>0</v>
      </c>
      <c r="E12" s="14">
        <v>599.75</v>
      </c>
      <c r="F12" s="14">
        <f t="shared" si="0"/>
        <v>0</v>
      </c>
    </row>
    <row r="13" spans="1:9" x14ac:dyDescent="0.25">
      <c r="A13" s="2" t="s">
        <v>542</v>
      </c>
      <c r="B13" s="12">
        <v>44638</v>
      </c>
      <c r="C13" s="14"/>
      <c r="D13">
        <v>1</v>
      </c>
      <c r="E13" s="14">
        <v>1311.18</v>
      </c>
      <c r="F13" s="14">
        <f t="shared" si="0"/>
        <v>1311.18</v>
      </c>
    </row>
    <row r="14" spans="1:9" x14ac:dyDescent="0.25">
      <c r="A14" s="2" t="s">
        <v>542</v>
      </c>
      <c r="B14" s="12">
        <v>44638</v>
      </c>
      <c r="C14" s="14"/>
      <c r="D14">
        <v>1</v>
      </c>
      <c r="E14" s="14">
        <v>661.31</v>
      </c>
      <c r="F14" s="14">
        <f t="shared" si="0"/>
        <v>661.31</v>
      </c>
    </row>
    <row r="15" spans="1:9" x14ac:dyDescent="0.25">
      <c r="A15" s="2" t="s">
        <v>437</v>
      </c>
      <c r="B15" s="12">
        <v>44634</v>
      </c>
      <c r="C15" s="14"/>
      <c r="D15">
        <v>1</v>
      </c>
      <c r="E15" s="14">
        <v>2700</v>
      </c>
      <c r="F15" s="14">
        <f t="shared" si="0"/>
        <v>2700</v>
      </c>
    </row>
    <row r="16" spans="1:9" x14ac:dyDescent="0.25">
      <c r="A16" s="2" t="s">
        <v>437</v>
      </c>
      <c r="B16" s="12"/>
      <c r="C16" s="14"/>
      <c r="D16">
        <v>0</v>
      </c>
      <c r="E16" s="14"/>
      <c r="F16" s="14">
        <f t="shared" si="0"/>
        <v>0</v>
      </c>
    </row>
    <row r="17" spans="1:10" x14ac:dyDescent="0.25">
      <c r="A17" s="2" t="s">
        <v>437</v>
      </c>
      <c r="B17" s="12"/>
      <c r="C17" s="14"/>
      <c r="D17"/>
      <c r="E17" s="14"/>
      <c r="F17" s="14">
        <f t="shared" si="0"/>
        <v>0</v>
      </c>
    </row>
    <row r="18" spans="1:10" x14ac:dyDescent="0.25">
      <c r="A18" s="2" t="s">
        <v>542</v>
      </c>
      <c r="B18" s="12">
        <v>45516</v>
      </c>
      <c r="C18" s="14" t="s">
        <v>552</v>
      </c>
      <c r="D18">
        <v>1</v>
      </c>
      <c r="E18" s="14">
        <v>650</v>
      </c>
      <c r="F18" s="14">
        <f t="shared" si="0"/>
        <v>650</v>
      </c>
    </row>
    <row r="19" spans="1:10" x14ac:dyDescent="0.25">
      <c r="B19" s="12"/>
      <c r="C19" s="14"/>
      <c r="D19">
        <v>1</v>
      </c>
      <c r="E19" s="14"/>
      <c r="F19" s="14">
        <f t="shared" si="0"/>
        <v>0</v>
      </c>
    </row>
    <row r="20" spans="1:10" ht="15.75" thickBot="1" x14ac:dyDescent="0.3">
      <c r="B20"/>
      <c r="C20" s="14"/>
      <c r="D20"/>
      <c r="E20" s="14"/>
      <c r="F20" s="23"/>
      <c r="G20" s="23"/>
    </row>
    <row r="21" spans="1:10" x14ac:dyDescent="0.25">
      <c r="B21"/>
      <c r="C21" s="14"/>
      <c r="D21"/>
      <c r="E21" s="14"/>
      <c r="F21" s="14"/>
      <c r="G21" s="5">
        <f>SUM(F2:F20)</f>
        <v>5322.49</v>
      </c>
    </row>
    <row r="22" spans="1:10" x14ac:dyDescent="0.25">
      <c r="A22"/>
      <c r="C22" s="11"/>
    </row>
    <row r="23" spans="1:10" x14ac:dyDescent="0.25">
      <c r="A23"/>
      <c r="C23" s="11"/>
    </row>
    <row r="24" spans="1:10" ht="15.75" thickBot="1" x14ac:dyDescent="0.3">
      <c r="C24" s="11"/>
      <c r="E24" s="30"/>
      <c r="F24" s="30"/>
      <c r="I24" s="2"/>
      <c r="J24" s="12"/>
    </row>
    <row r="25" spans="1:10" x14ac:dyDescent="0.25">
      <c r="C25" s="631"/>
      <c r="D25" s="632"/>
      <c r="E25" s="632"/>
      <c r="F25" s="4"/>
      <c r="I25" s="2"/>
    </row>
    <row r="27" spans="1:10" x14ac:dyDescent="0.25">
      <c r="E27" s="2"/>
      <c r="F27" s="2"/>
    </row>
    <row r="28" spans="1:10" x14ac:dyDescent="0.25">
      <c r="F28" s="4"/>
    </row>
  </sheetData>
  <mergeCells count="1">
    <mergeCell ref="C25:E2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F21"/>
  <sheetViews>
    <sheetView workbookViewId="0">
      <selection activeCell="E11" sqref="E11"/>
    </sheetView>
  </sheetViews>
  <sheetFormatPr defaultRowHeight="15" x14ac:dyDescent="0.25"/>
  <cols>
    <col min="1" max="1" width="18" customWidth="1"/>
    <col min="2" max="2" width="11" bestFit="1" customWidth="1"/>
  </cols>
  <sheetData>
    <row r="1" spans="1:6" x14ac:dyDescent="0.25">
      <c r="A1" s="3" t="s">
        <v>475</v>
      </c>
      <c r="B1" s="3"/>
      <c r="D1" s="5"/>
      <c r="E1" s="14"/>
      <c r="F1" s="14"/>
    </row>
    <row r="2" spans="1:6" x14ac:dyDescent="0.25">
      <c r="A2" s="2"/>
      <c r="B2" s="2"/>
      <c r="C2" s="3"/>
      <c r="D2" s="8"/>
      <c r="E2" s="13"/>
      <c r="F2" s="13"/>
    </row>
    <row r="3" spans="1:6" x14ac:dyDescent="0.25">
      <c r="A3" s="3" t="s">
        <v>393</v>
      </c>
      <c r="B3" s="3" t="s">
        <v>553</v>
      </c>
      <c r="C3" s="3" t="s">
        <v>501</v>
      </c>
      <c r="D3" s="8" t="s">
        <v>502</v>
      </c>
      <c r="E3" s="13" t="s">
        <v>503</v>
      </c>
      <c r="F3" s="13" t="s">
        <v>504</v>
      </c>
    </row>
    <row r="4" spans="1:6" x14ac:dyDescent="0.25">
      <c r="A4" s="2" t="s">
        <v>554</v>
      </c>
      <c r="B4" s="2">
        <v>977057</v>
      </c>
      <c r="C4">
        <v>0</v>
      </c>
      <c r="D4" s="5">
        <v>149</v>
      </c>
      <c r="E4" s="14">
        <f t="shared" ref="E4:E6" si="0">+C4*D4</f>
        <v>0</v>
      </c>
      <c r="F4" s="13"/>
    </row>
    <row r="5" spans="1:6" x14ac:dyDescent="0.25">
      <c r="A5" s="2" t="s">
        <v>555</v>
      </c>
      <c r="B5" s="2"/>
      <c r="C5">
        <v>0</v>
      </c>
      <c r="D5" s="5">
        <v>400</v>
      </c>
      <c r="E5" s="14">
        <f t="shared" si="0"/>
        <v>0</v>
      </c>
      <c r="F5" s="14"/>
    </row>
    <row r="6" spans="1:6" x14ac:dyDescent="0.25">
      <c r="A6" s="2" t="s">
        <v>556</v>
      </c>
      <c r="B6" s="2">
        <v>1002425336</v>
      </c>
      <c r="C6">
        <v>0</v>
      </c>
      <c r="D6" s="5">
        <v>348</v>
      </c>
      <c r="E6" s="14">
        <f t="shared" si="0"/>
        <v>0</v>
      </c>
      <c r="F6" s="14"/>
    </row>
    <row r="7" spans="1:6" ht="15.75" thickBot="1" x14ac:dyDescent="0.3">
      <c r="A7" s="2"/>
      <c r="B7" s="2"/>
      <c r="D7" s="5"/>
      <c r="E7" s="21"/>
      <c r="F7" s="21"/>
    </row>
    <row r="8" spans="1:6" x14ac:dyDescent="0.25">
      <c r="A8" s="2"/>
      <c r="B8" s="2"/>
      <c r="D8" s="10" t="s">
        <v>557</v>
      </c>
      <c r="E8" s="14"/>
      <c r="F8" s="14">
        <f>+SUM(E4:E7)</f>
        <v>0</v>
      </c>
    </row>
    <row r="9" spans="1:6" x14ac:dyDescent="0.25">
      <c r="A9" s="2" t="s">
        <v>558</v>
      </c>
      <c r="B9" s="2"/>
      <c r="C9">
        <v>0</v>
      </c>
      <c r="D9" s="10">
        <v>31.98</v>
      </c>
      <c r="E9" s="14">
        <v>0</v>
      </c>
      <c r="F9" s="14">
        <v>0</v>
      </c>
    </row>
    <row r="10" spans="1:6" x14ac:dyDescent="0.25">
      <c r="A10" s="2" t="s">
        <v>178</v>
      </c>
      <c r="B10" s="2"/>
      <c r="C10" t="s">
        <v>178</v>
      </c>
      <c r="D10" s="5" t="s">
        <v>178</v>
      </c>
      <c r="E10" s="14" t="s">
        <v>178</v>
      </c>
      <c r="F10" s="14"/>
    </row>
    <row r="11" spans="1:6" x14ac:dyDescent="0.25">
      <c r="A11" s="2" t="s">
        <v>558</v>
      </c>
      <c r="B11" s="2">
        <v>1630551</v>
      </c>
      <c r="C11">
        <v>1</v>
      </c>
      <c r="D11" s="5">
        <v>32.979999999999997</v>
      </c>
      <c r="E11" s="14">
        <f>+C11*D11</f>
        <v>32.979999999999997</v>
      </c>
      <c r="F11" s="14"/>
    </row>
    <row r="12" spans="1:6" x14ac:dyDescent="0.25">
      <c r="A12" s="2" t="s">
        <v>559</v>
      </c>
      <c r="B12" s="2">
        <v>3648606</v>
      </c>
      <c r="C12">
        <v>1</v>
      </c>
      <c r="D12" s="5">
        <v>560.30999999999995</v>
      </c>
      <c r="E12" s="14">
        <f t="shared" ref="E12" si="1">+C12*D12</f>
        <v>560.30999999999995</v>
      </c>
      <c r="F12" s="14"/>
    </row>
    <row r="13" spans="1:6" x14ac:dyDescent="0.25">
      <c r="A13" s="2" t="s">
        <v>560</v>
      </c>
      <c r="B13" s="2">
        <v>1654366</v>
      </c>
      <c r="C13">
        <v>1</v>
      </c>
      <c r="D13" s="5">
        <v>374.29</v>
      </c>
      <c r="E13" s="14">
        <v>374.29</v>
      </c>
      <c r="F13" s="14"/>
    </row>
    <row r="14" spans="1:6" x14ac:dyDescent="0.25">
      <c r="A14" s="2" t="s">
        <v>561</v>
      </c>
      <c r="B14" s="2">
        <v>118694</v>
      </c>
      <c r="C14">
        <v>1</v>
      </c>
      <c r="D14" s="5">
        <v>39.28</v>
      </c>
      <c r="E14" s="14">
        <v>39.28</v>
      </c>
      <c r="F14" s="14"/>
    </row>
    <row r="15" spans="1:6" x14ac:dyDescent="0.25">
      <c r="A15" s="2" t="s">
        <v>562</v>
      </c>
      <c r="B15" s="31"/>
      <c r="C15">
        <v>0</v>
      </c>
      <c r="D15" s="5">
        <v>189</v>
      </c>
      <c r="E15" s="14">
        <f>+C15*D15</f>
        <v>0</v>
      </c>
      <c r="F15" s="14"/>
    </row>
    <row r="16" spans="1:6" x14ac:dyDescent="0.25">
      <c r="A16" s="2" t="s">
        <v>178</v>
      </c>
      <c r="B16" s="31"/>
      <c r="C16" t="s">
        <v>178</v>
      </c>
      <c r="D16" s="5" t="s">
        <v>178</v>
      </c>
      <c r="E16" s="14" t="s">
        <v>178</v>
      </c>
      <c r="F16" s="14"/>
    </row>
    <row r="17" spans="1:6" x14ac:dyDescent="0.25">
      <c r="A17" s="2" t="s">
        <v>563</v>
      </c>
      <c r="B17" s="31"/>
      <c r="C17">
        <v>0</v>
      </c>
      <c r="D17" s="5">
        <v>169</v>
      </c>
      <c r="E17" s="14">
        <f t="shared" ref="E17:E20" si="2">+C17*D17</f>
        <v>0</v>
      </c>
      <c r="F17" s="14"/>
    </row>
    <row r="18" spans="1:6" x14ac:dyDescent="0.25">
      <c r="A18" s="31" t="s">
        <v>564</v>
      </c>
      <c r="B18" s="31">
        <v>1692925</v>
      </c>
      <c r="C18">
        <v>1</v>
      </c>
      <c r="D18" s="5">
        <v>170.39</v>
      </c>
      <c r="E18" s="14">
        <f t="shared" si="2"/>
        <v>170.39</v>
      </c>
      <c r="F18" s="14"/>
    </row>
    <row r="19" spans="1:6" x14ac:dyDescent="0.25">
      <c r="A19" s="31" t="s">
        <v>565</v>
      </c>
      <c r="B19" s="31"/>
      <c r="C19">
        <v>1</v>
      </c>
      <c r="D19" s="5">
        <v>90.91</v>
      </c>
      <c r="E19" s="14">
        <v>91.91</v>
      </c>
      <c r="F19" s="14"/>
    </row>
    <row r="20" spans="1:6" ht="15.75" thickBot="1" x14ac:dyDescent="0.3">
      <c r="A20" s="2" t="s">
        <v>566</v>
      </c>
      <c r="B20" s="31"/>
      <c r="C20">
        <v>0</v>
      </c>
      <c r="D20" s="5">
        <v>400</v>
      </c>
      <c r="E20" s="14">
        <f t="shared" si="2"/>
        <v>0</v>
      </c>
      <c r="F20" s="21"/>
    </row>
    <row r="21" spans="1:6" x14ac:dyDescent="0.25">
      <c r="B21" s="2"/>
      <c r="C21" s="632" t="s">
        <v>567</v>
      </c>
      <c r="D21" s="632"/>
      <c r="E21" s="632"/>
      <c r="F21" s="14">
        <f>SUM(E9:E20)</f>
        <v>1269.1600000000001</v>
      </c>
    </row>
  </sheetData>
  <mergeCells count="1">
    <mergeCell ref="C21:E21"/>
  </mergeCells>
  <printOptions headings="1" gridLines="1"/>
  <pageMargins left="0.7" right="0.7" top="0.75" bottom="0.75" header="0.3" footer="0.3"/>
  <pageSetup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I29"/>
  <sheetViews>
    <sheetView workbookViewId="0">
      <selection activeCell="F21" sqref="F21"/>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373</v>
      </c>
      <c r="B1" s="3"/>
    </row>
    <row r="2" spans="1:6" x14ac:dyDescent="0.25">
      <c r="C2" s="3"/>
      <c r="D2" s="8"/>
      <c r="E2" s="13"/>
      <c r="F2" s="13"/>
    </row>
    <row r="3" spans="1:6" x14ac:dyDescent="0.25">
      <c r="A3" s="3" t="s">
        <v>393</v>
      </c>
      <c r="B3" s="3" t="s">
        <v>553</v>
      </c>
      <c r="C3" s="3" t="s">
        <v>501</v>
      </c>
      <c r="D3" s="8" t="s">
        <v>502</v>
      </c>
      <c r="E3" s="13" t="s">
        <v>503</v>
      </c>
      <c r="F3" s="13" t="s">
        <v>504</v>
      </c>
    </row>
    <row r="4" spans="1:6" x14ac:dyDescent="0.25">
      <c r="A4" s="3"/>
      <c r="B4" s="3"/>
      <c r="C4" s="31"/>
      <c r="D4" s="8"/>
      <c r="E4" s="14">
        <f>+C4*D4</f>
        <v>0</v>
      </c>
      <c r="F4" s="13"/>
    </row>
    <row r="5" spans="1:6" x14ac:dyDescent="0.25">
      <c r="A5" s="31" t="s">
        <v>568</v>
      </c>
      <c r="B5" s="31">
        <v>1255143</v>
      </c>
      <c r="C5">
        <v>1</v>
      </c>
      <c r="D5" s="5">
        <v>107.1</v>
      </c>
      <c r="E5" s="14">
        <f>+C5*D5</f>
        <v>107.1</v>
      </c>
    </row>
    <row r="6" spans="1:6" x14ac:dyDescent="0.25">
      <c r="A6" s="31" t="s">
        <v>569</v>
      </c>
      <c r="B6" s="31">
        <v>2131173</v>
      </c>
      <c r="C6">
        <v>2</v>
      </c>
      <c r="D6" s="5">
        <v>53.98</v>
      </c>
      <c r="E6" s="14">
        <f>+C6*D6</f>
        <v>107.96</v>
      </c>
    </row>
    <row r="7" spans="1:6" x14ac:dyDescent="0.25">
      <c r="A7" s="31" t="s">
        <v>570</v>
      </c>
      <c r="B7" s="31">
        <v>1227792</v>
      </c>
      <c r="C7">
        <v>2</v>
      </c>
      <c r="D7" s="5">
        <v>15.47</v>
      </c>
      <c r="E7" s="14">
        <f>+C7*D7</f>
        <v>30.94</v>
      </c>
    </row>
    <row r="8" spans="1:6" x14ac:dyDescent="0.25">
      <c r="A8" s="31" t="s">
        <v>571</v>
      </c>
      <c r="B8" s="31">
        <v>1233228</v>
      </c>
      <c r="C8">
        <v>2</v>
      </c>
      <c r="D8" s="5">
        <v>39.979999999999997</v>
      </c>
      <c r="E8" s="14">
        <f>+C8*D8</f>
        <v>79.959999999999994</v>
      </c>
    </row>
    <row r="9" spans="1:6" x14ac:dyDescent="0.25">
      <c r="A9" s="31" t="s">
        <v>178</v>
      </c>
      <c r="B9" s="31" t="s">
        <v>178</v>
      </c>
      <c r="C9">
        <v>0</v>
      </c>
      <c r="D9" s="5">
        <v>0</v>
      </c>
      <c r="E9" s="14">
        <f t="shared" ref="E9:E22" si="0">+C9*D9</f>
        <v>0</v>
      </c>
    </row>
    <row r="10" spans="1:6" x14ac:dyDescent="0.25">
      <c r="A10" s="31" t="s">
        <v>178</v>
      </c>
      <c r="B10" s="31"/>
      <c r="C10">
        <v>0</v>
      </c>
      <c r="D10" s="5" t="s">
        <v>178</v>
      </c>
      <c r="E10" s="14">
        <v>0</v>
      </c>
    </row>
    <row r="11" spans="1:6" x14ac:dyDescent="0.25">
      <c r="A11" s="31" t="s">
        <v>572</v>
      </c>
      <c r="B11" s="31"/>
      <c r="C11">
        <v>0</v>
      </c>
      <c r="D11" s="5">
        <v>0</v>
      </c>
      <c r="E11" s="14">
        <f t="shared" si="0"/>
        <v>0</v>
      </c>
    </row>
    <row r="12" spans="1:6" x14ac:dyDescent="0.25">
      <c r="A12" s="31" t="s">
        <v>178</v>
      </c>
      <c r="B12" s="31"/>
      <c r="C12">
        <v>0</v>
      </c>
      <c r="D12" s="5">
        <v>0</v>
      </c>
      <c r="E12" s="14">
        <f t="shared" si="0"/>
        <v>0</v>
      </c>
    </row>
    <row r="13" spans="1:6" x14ac:dyDescent="0.25">
      <c r="A13" s="31"/>
      <c r="B13" s="31"/>
      <c r="E13" s="14">
        <f t="shared" si="0"/>
        <v>0</v>
      </c>
    </row>
    <row r="14" spans="1:6" x14ac:dyDescent="0.25">
      <c r="A14" s="31" t="s">
        <v>573</v>
      </c>
      <c r="B14" s="31"/>
      <c r="C14">
        <v>0</v>
      </c>
      <c r="E14" s="14">
        <f t="shared" si="0"/>
        <v>0</v>
      </c>
    </row>
    <row r="15" spans="1:6" x14ac:dyDescent="0.25">
      <c r="A15" s="31"/>
      <c r="B15" s="31"/>
      <c r="E15" s="14">
        <f t="shared" si="0"/>
        <v>0</v>
      </c>
    </row>
    <row r="16" spans="1:6" x14ac:dyDescent="0.25">
      <c r="A16" s="31"/>
      <c r="B16" s="31"/>
      <c r="E16" s="14">
        <f t="shared" si="0"/>
        <v>0</v>
      </c>
    </row>
    <row r="17" spans="1:9" x14ac:dyDescent="0.25">
      <c r="A17" s="31"/>
      <c r="B17" s="31"/>
      <c r="E17" s="14">
        <f t="shared" si="0"/>
        <v>0</v>
      </c>
    </row>
    <row r="18" spans="1:9" x14ac:dyDescent="0.25">
      <c r="A18" s="31"/>
      <c r="B18" s="31"/>
      <c r="E18" s="14">
        <f t="shared" si="0"/>
        <v>0</v>
      </c>
    </row>
    <row r="19" spans="1:9" x14ac:dyDescent="0.25">
      <c r="A19" s="31"/>
      <c r="B19" s="31"/>
      <c r="E19" s="14">
        <f t="shared" si="0"/>
        <v>0</v>
      </c>
    </row>
    <row r="20" spans="1:9" x14ac:dyDescent="0.25">
      <c r="A20" s="31"/>
      <c r="B20" s="31"/>
      <c r="E20" s="14">
        <f t="shared" si="0"/>
        <v>0</v>
      </c>
    </row>
    <row r="21" spans="1:9" x14ac:dyDescent="0.25">
      <c r="A21" s="31" t="s">
        <v>565</v>
      </c>
      <c r="B21" s="31"/>
      <c r="E21" s="14">
        <v>107.5</v>
      </c>
    </row>
    <row r="22" spans="1:9" ht="15.75" thickBot="1" x14ac:dyDescent="0.3">
      <c r="A22" s="31"/>
      <c r="B22" s="31"/>
      <c r="E22" s="21">
        <f t="shared" si="0"/>
        <v>0</v>
      </c>
      <c r="F22" s="21"/>
    </row>
    <row r="23" spans="1:9" x14ac:dyDescent="0.25">
      <c r="F23" s="14">
        <f>+SUM(E4:E22)</f>
        <v>433.46</v>
      </c>
      <c r="I23" s="1"/>
    </row>
    <row r="26" spans="1:9" x14ac:dyDescent="0.25">
      <c r="F26"/>
    </row>
    <row r="27" spans="1:9" x14ac:dyDescent="0.25">
      <c r="F27"/>
    </row>
    <row r="28" spans="1:9" x14ac:dyDescent="0.25">
      <c r="F28"/>
    </row>
    <row r="29" spans="1:9" x14ac:dyDescent="0.25">
      <c r="F29"/>
    </row>
  </sheetData>
  <printOptions headings="1" gridLines="1"/>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49"/>
  <sheetViews>
    <sheetView workbookViewId="0">
      <selection activeCell="E23" sqref="E23"/>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6" ht="5.25" customHeight="1" x14ac:dyDescent="0.25">
      <c r="A1" s="33" t="s">
        <v>574</v>
      </c>
      <c r="B1" s="33"/>
    </row>
    <row r="2" spans="1:6" x14ac:dyDescent="0.25">
      <c r="C2" s="3"/>
      <c r="D2" s="8"/>
      <c r="E2" s="13"/>
      <c r="F2" s="13"/>
    </row>
    <row r="3" spans="1:6" s="22" customFormat="1" ht="14.25" customHeight="1" x14ac:dyDescent="0.25">
      <c r="A3" s="3" t="s">
        <v>393</v>
      </c>
      <c r="B3" s="3" t="s">
        <v>553</v>
      </c>
      <c r="C3" s="3" t="s">
        <v>501</v>
      </c>
      <c r="D3" s="8" t="s">
        <v>502</v>
      </c>
      <c r="E3" s="13" t="s">
        <v>503</v>
      </c>
      <c r="F3" s="13" t="s">
        <v>504</v>
      </c>
    </row>
    <row r="4" spans="1:6" ht="14.25" customHeight="1" x14ac:dyDescent="0.25">
      <c r="A4" s="33" t="s">
        <v>575</v>
      </c>
      <c r="B4" s="33">
        <v>935605</v>
      </c>
      <c r="C4" s="31">
        <v>0</v>
      </c>
      <c r="D4" s="5">
        <v>209</v>
      </c>
      <c r="E4" s="14">
        <f t="shared" ref="E4:E15" si="0">+C4*D4</f>
        <v>0</v>
      </c>
      <c r="F4" s="13"/>
    </row>
    <row r="5" spans="1:6" ht="14.25" customHeight="1" x14ac:dyDescent="0.25">
      <c r="A5" s="33" t="s">
        <v>576</v>
      </c>
      <c r="B5" s="33">
        <v>935604</v>
      </c>
      <c r="C5" s="31">
        <v>0</v>
      </c>
      <c r="D5" s="5">
        <v>209</v>
      </c>
      <c r="E5" s="14">
        <f t="shared" si="0"/>
        <v>0</v>
      </c>
      <c r="F5" s="13"/>
    </row>
    <row r="6" spans="1:6" ht="14.25" customHeight="1" x14ac:dyDescent="0.25">
      <c r="A6" s="33" t="s">
        <v>577</v>
      </c>
      <c r="B6" s="33">
        <v>935599</v>
      </c>
      <c r="C6" s="31">
        <v>0</v>
      </c>
      <c r="D6" s="5">
        <v>198.56</v>
      </c>
      <c r="E6" s="14">
        <f t="shared" ref="E6" si="1">+C6*D6</f>
        <v>0</v>
      </c>
      <c r="F6" s="13"/>
    </row>
    <row r="7" spans="1:6" ht="14.25" customHeight="1" x14ac:dyDescent="0.25">
      <c r="A7" s="33" t="s">
        <v>578</v>
      </c>
      <c r="B7" s="33">
        <v>14005</v>
      </c>
      <c r="C7">
        <v>0</v>
      </c>
      <c r="D7" s="5">
        <v>179</v>
      </c>
      <c r="E7" s="14">
        <f t="shared" si="0"/>
        <v>0</v>
      </c>
    </row>
    <row r="8" spans="1:6" ht="14.25" customHeight="1" x14ac:dyDescent="0.25">
      <c r="A8" s="33" t="s">
        <v>579</v>
      </c>
      <c r="B8" s="33">
        <v>14006</v>
      </c>
      <c r="C8">
        <v>0</v>
      </c>
      <c r="D8" s="5">
        <v>179</v>
      </c>
      <c r="E8" s="14">
        <f t="shared" si="0"/>
        <v>0</v>
      </c>
    </row>
    <row r="9" spans="1:6" ht="14.25" customHeight="1" x14ac:dyDescent="0.25">
      <c r="A9" s="33" t="s">
        <v>580</v>
      </c>
      <c r="B9" s="33">
        <v>935587</v>
      </c>
      <c r="C9">
        <v>0</v>
      </c>
      <c r="D9" s="5">
        <v>198.55</v>
      </c>
      <c r="E9" s="14">
        <f t="shared" ref="E9" si="2">+C9*D9</f>
        <v>0</v>
      </c>
    </row>
    <row r="10" spans="1:6" ht="14.25" customHeight="1" x14ac:dyDescent="0.25">
      <c r="A10" s="33" t="s">
        <v>581</v>
      </c>
      <c r="B10" s="33">
        <v>49504</v>
      </c>
      <c r="C10">
        <v>0</v>
      </c>
      <c r="D10" s="5">
        <v>103</v>
      </c>
      <c r="E10" s="14">
        <f t="shared" si="0"/>
        <v>0</v>
      </c>
    </row>
    <row r="11" spans="1:6" ht="14.25" customHeight="1" x14ac:dyDescent="0.25">
      <c r="A11" s="33" t="s">
        <v>582</v>
      </c>
      <c r="B11" s="33">
        <v>49706</v>
      </c>
      <c r="C11">
        <v>0</v>
      </c>
      <c r="D11" s="5">
        <v>103</v>
      </c>
      <c r="E11" s="14">
        <f t="shared" si="0"/>
        <v>0</v>
      </c>
    </row>
    <row r="12" spans="1:6" ht="14.25" customHeight="1" x14ac:dyDescent="0.25">
      <c r="A12" s="33" t="s">
        <v>583</v>
      </c>
      <c r="B12" s="33">
        <v>47025</v>
      </c>
      <c r="C12">
        <v>0</v>
      </c>
      <c r="D12" s="5">
        <v>99</v>
      </c>
      <c r="E12" s="14">
        <f t="shared" si="0"/>
        <v>0</v>
      </c>
    </row>
    <row r="13" spans="1:6" ht="14.25" customHeight="1" x14ac:dyDescent="0.25">
      <c r="A13" s="33" t="s">
        <v>584</v>
      </c>
      <c r="B13" s="33">
        <v>47422</v>
      </c>
      <c r="C13">
        <v>0</v>
      </c>
      <c r="D13" s="5">
        <v>99</v>
      </c>
      <c r="E13" s="14">
        <f t="shared" si="0"/>
        <v>0</v>
      </c>
    </row>
    <row r="14" spans="1:6" ht="14.25" customHeight="1" x14ac:dyDescent="0.25">
      <c r="A14" s="33" t="s">
        <v>585</v>
      </c>
      <c r="B14" s="33">
        <v>43359</v>
      </c>
      <c r="C14">
        <v>0</v>
      </c>
      <c r="D14" s="5">
        <v>95</v>
      </c>
      <c r="E14" s="14">
        <f t="shared" si="0"/>
        <v>0</v>
      </c>
    </row>
    <row r="15" spans="1:6" ht="14.25" customHeight="1" x14ac:dyDescent="0.25">
      <c r="A15" s="33" t="s">
        <v>586</v>
      </c>
      <c r="B15" s="33">
        <v>44035</v>
      </c>
      <c r="C15">
        <v>0</v>
      </c>
      <c r="D15" s="5">
        <v>95</v>
      </c>
      <c r="E15" s="14">
        <f t="shared" si="0"/>
        <v>0</v>
      </c>
    </row>
    <row r="16" spans="1:6" ht="14.25" customHeight="1" x14ac:dyDescent="0.25">
      <c r="A16" s="33" t="s">
        <v>587</v>
      </c>
      <c r="B16" s="33">
        <v>10758</v>
      </c>
      <c r="C16">
        <v>0</v>
      </c>
      <c r="D16" s="5">
        <v>73</v>
      </c>
      <c r="E16" s="14">
        <f t="shared" ref="E16:E28" si="3">+C16*D16</f>
        <v>0</v>
      </c>
    </row>
    <row r="17" spans="1:9" ht="14.25" customHeight="1" x14ac:dyDescent="0.25">
      <c r="A17" s="33" t="s">
        <v>588</v>
      </c>
      <c r="B17" s="33">
        <v>338797</v>
      </c>
      <c r="C17">
        <v>0</v>
      </c>
      <c r="D17" s="5">
        <v>196</v>
      </c>
      <c r="E17" s="14">
        <f t="shared" si="3"/>
        <v>0</v>
      </c>
    </row>
    <row r="18" spans="1:9" ht="14.25" customHeight="1" x14ac:dyDescent="0.25">
      <c r="A18" s="33" t="s">
        <v>589</v>
      </c>
      <c r="B18" s="33"/>
      <c r="C18">
        <v>0</v>
      </c>
      <c r="D18" s="5">
        <v>284.56</v>
      </c>
      <c r="E18" s="14">
        <f t="shared" si="3"/>
        <v>0</v>
      </c>
    </row>
    <row r="19" spans="1:9" ht="14.25" customHeight="1" x14ac:dyDescent="0.25">
      <c r="A19" s="33" t="s">
        <v>590</v>
      </c>
      <c r="B19" s="33">
        <v>72904</v>
      </c>
      <c r="C19">
        <v>0</v>
      </c>
      <c r="D19" s="5">
        <v>429.62</v>
      </c>
      <c r="E19" s="14">
        <f t="shared" ref="E19" si="4">+C19*D19</f>
        <v>0</v>
      </c>
    </row>
    <row r="20" spans="1:9" ht="14.25" customHeight="1" x14ac:dyDescent="0.25">
      <c r="A20" s="33" t="s">
        <v>591</v>
      </c>
      <c r="B20" s="33" t="s">
        <v>592</v>
      </c>
      <c r="C20">
        <v>4</v>
      </c>
      <c r="D20" s="5">
        <v>8.9700000000000006</v>
      </c>
      <c r="E20" s="14">
        <f t="shared" si="3"/>
        <v>35.880000000000003</v>
      </c>
    </row>
    <row r="21" spans="1:9" ht="14.25" customHeight="1" x14ac:dyDescent="0.25">
      <c r="A21" s="33" t="s">
        <v>591</v>
      </c>
      <c r="B21" s="33" t="s">
        <v>593</v>
      </c>
      <c r="C21">
        <v>3</v>
      </c>
      <c r="D21" s="5">
        <v>9.48</v>
      </c>
      <c r="E21" s="14">
        <f t="shared" si="3"/>
        <v>28.44</v>
      </c>
    </row>
    <row r="22" spans="1:9" ht="14.25" customHeight="1" x14ac:dyDescent="0.25">
      <c r="A22" s="33" t="s">
        <v>591</v>
      </c>
      <c r="B22" s="33" t="s">
        <v>593</v>
      </c>
      <c r="C22">
        <v>1</v>
      </c>
      <c r="D22" s="5">
        <v>9.48</v>
      </c>
      <c r="E22" s="14">
        <f t="shared" si="3"/>
        <v>9.48</v>
      </c>
    </row>
    <row r="23" spans="1:9" ht="14.25" customHeight="1" x14ac:dyDescent="0.25">
      <c r="A23" s="33" t="s">
        <v>594</v>
      </c>
      <c r="B23" s="33" t="s">
        <v>595</v>
      </c>
      <c r="C23">
        <v>5</v>
      </c>
      <c r="D23" s="5">
        <v>13.47</v>
      </c>
      <c r="E23" s="14">
        <f t="shared" si="3"/>
        <v>67.350000000000009</v>
      </c>
    </row>
    <row r="24" spans="1:9" ht="14.25" customHeight="1" x14ac:dyDescent="0.25">
      <c r="A24" s="33" t="s">
        <v>596</v>
      </c>
      <c r="B24" s="33">
        <v>100619</v>
      </c>
      <c r="C24">
        <v>1</v>
      </c>
      <c r="D24" s="5">
        <v>79.98</v>
      </c>
      <c r="E24" s="14">
        <f t="shared" si="3"/>
        <v>79.98</v>
      </c>
    </row>
    <row r="25" spans="1:9" ht="14.25" customHeight="1" x14ac:dyDescent="0.25">
      <c r="A25" s="33" t="s">
        <v>597</v>
      </c>
      <c r="B25" s="33">
        <v>287027</v>
      </c>
      <c r="C25">
        <v>1</v>
      </c>
      <c r="D25" s="5">
        <v>50.48</v>
      </c>
      <c r="E25" s="14">
        <f t="shared" si="3"/>
        <v>50.48</v>
      </c>
    </row>
    <row r="26" spans="1:9" ht="14.25" customHeight="1" x14ac:dyDescent="0.25">
      <c r="A26" s="33" t="s">
        <v>598</v>
      </c>
      <c r="B26" s="33"/>
      <c r="C26">
        <v>1</v>
      </c>
      <c r="D26" s="5">
        <v>69.47</v>
      </c>
      <c r="E26" s="14">
        <v>69.47</v>
      </c>
    </row>
    <row r="27" spans="1:9" ht="14.25" customHeight="1" x14ac:dyDescent="0.25">
      <c r="A27" s="33" t="s">
        <v>599</v>
      </c>
      <c r="B27" s="33" t="s">
        <v>600</v>
      </c>
      <c r="C27">
        <v>1</v>
      </c>
      <c r="D27" s="5">
        <v>289</v>
      </c>
      <c r="E27" s="14">
        <f t="shared" si="3"/>
        <v>289</v>
      </c>
    </row>
    <row r="28" spans="1:9" ht="14.25" customHeight="1" x14ac:dyDescent="0.25">
      <c r="A28" s="33" t="s">
        <v>601</v>
      </c>
      <c r="B28" s="33" t="s">
        <v>602</v>
      </c>
      <c r="C28">
        <v>4</v>
      </c>
      <c r="D28" s="5">
        <v>12.97</v>
      </c>
      <c r="E28" s="14">
        <f t="shared" si="3"/>
        <v>51.88</v>
      </c>
    </row>
    <row r="29" spans="1:9" ht="14.25" customHeight="1" thickBot="1" x14ac:dyDescent="0.3">
      <c r="A29" s="33" t="s">
        <v>565</v>
      </c>
      <c r="B29" s="33"/>
      <c r="E29" s="21">
        <v>67.69</v>
      </c>
      <c r="F29" s="21"/>
    </row>
    <row r="30" spans="1:9" ht="14.25" customHeight="1" x14ac:dyDescent="0.25">
      <c r="F30" s="14">
        <f>SUM(E4:E29)</f>
        <v>749.65000000000009</v>
      </c>
      <c r="I30" s="1"/>
    </row>
    <row r="31" spans="1:9" ht="14.25" customHeight="1" x14ac:dyDescent="0.25">
      <c r="A31" s="33"/>
    </row>
    <row r="32" spans="1:9" x14ac:dyDescent="0.25">
      <c r="A32" s="33"/>
      <c r="B32" s="33"/>
      <c r="C32" s="3"/>
      <c r="D32" s="8"/>
      <c r="E32" s="13"/>
      <c r="F32" s="13"/>
    </row>
    <row r="37" spans="1:7" ht="15.75" thickBot="1" x14ac:dyDescent="0.3">
      <c r="E37" s="21"/>
      <c r="F37" s="21"/>
    </row>
    <row r="40" spans="1:7" x14ac:dyDescent="0.25">
      <c r="A40" s="33"/>
    </row>
    <row r="41" spans="1:7" x14ac:dyDescent="0.25">
      <c r="A41" s="33"/>
      <c r="B41" s="33"/>
      <c r="C41" s="3"/>
      <c r="D41" s="8"/>
      <c r="E41" s="13"/>
      <c r="F41" s="13"/>
    </row>
    <row r="43" spans="1:7" ht="15.75" thickBot="1" x14ac:dyDescent="0.3">
      <c r="F43" s="21"/>
    </row>
    <row r="44" spans="1:7" x14ac:dyDescent="0.25">
      <c r="F44" s="14">
        <f>+SUM(E39:E43)</f>
        <v>0</v>
      </c>
    </row>
    <row r="46" spans="1:7" ht="15.75" thickBot="1" x14ac:dyDescent="0.3">
      <c r="F46" s="21"/>
    </row>
    <row r="48" spans="1:7" ht="15.75" thickBot="1" x14ac:dyDescent="0.3">
      <c r="G48" s="21"/>
    </row>
    <row r="49" spans="7:7" x14ac:dyDescent="0.25">
      <c r="G49" s="14">
        <f>+SUM(F30:F48)</f>
        <v>749.65000000000009</v>
      </c>
    </row>
  </sheetData>
  <printOptions headings="1" gridLines="1"/>
  <pageMargins left="0.7" right="0.7" top="0.75" bottom="0.75" header="0.3" footer="0.3"/>
  <pageSetup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I44"/>
  <sheetViews>
    <sheetView topLeftCell="A16" workbookViewId="0">
      <selection activeCell="F33" sqref="F33"/>
    </sheetView>
  </sheetViews>
  <sheetFormatPr defaultRowHeight="15" x14ac:dyDescent="0.25"/>
  <cols>
    <col min="1" max="1" width="32.85546875" style="2" bestFit="1" customWidth="1"/>
    <col min="2" max="2" width="23.85546875" style="2" customWidth="1"/>
    <col min="4" max="4" width="13.85546875" style="5" bestFit="1" customWidth="1"/>
    <col min="5" max="6" width="9.140625" style="14"/>
  </cols>
  <sheetData>
    <row r="1" spans="1:6" x14ac:dyDescent="0.25">
      <c r="A1" s="3" t="s">
        <v>482</v>
      </c>
      <c r="B1" s="3"/>
    </row>
    <row r="2" spans="1:6" x14ac:dyDescent="0.25">
      <c r="C2" s="3"/>
      <c r="D2" s="8"/>
      <c r="E2" s="13"/>
      <c r="F2" s="13"/>
    </row>
    <row r="3" spans="1:6" x14ac:dyDescent="0.25">
      <c r="A3" s="3" t="s">
        <v>393</v>
      </c>
      <c r="B3" s="3" t="s">
        <v>553</v>
      </c>
      <c r="C3" s="3" t="s">
        <v>501</v>
      </c>
      <c r="D3" s="8" t="s">
        <v>502</v>
      </c>
      <c r="E3" s="13" t="s">
        <v>503</v>
      </c>
      <c r="F3" s="13" t="s">
        <v>504</v>
      </c>
    </row>
    <row r="4" spans="1:6" x14ac:dyDescent="0.25">
      <c r="A4" s="3"/>
      <c r="B4" s="3" t="s">
        <v>603</v>
      </c>
      <c r="C4" s="31">
        <v>0</v>
      </c>
      <c r="D4" s="8">
        <v>154</v>
      </c>
      <c r="E4" s="14">
        <f>+C4*D4</f>
        <v>0</v>
      </c>
      <c r="F4" s="13"/>
    </row>
    <row r="5" spans="1:6" x14ac:dyDescent="0.25">
      <c r="A5" s="31" t="s">
        <v>604</v>
      </c>
      <c r="B5" s="31">
        <v>795984</v>
      </c>
      <c r="C5">
        <v>0</v>
      </c>
      <c r="D5" s="5">
        <v>144</v>
      </c>
      <c r="E5" s="14">
        <f>+C5*D5</f>
        <v>0</v>
      </c>
    </row>
    <row r="6" spans="1:6" x14ac:dyDescent="0.25">
      <c r="A6" s="31" t="s">
        <v>605</v>
      </c>
      <c r="B6" s="31" t="s">
        <v>605</v>
      </c>
      <c r="C6">
        <v>0</v>
      </c>
      <c r="D6" s="5">
        <v>224</v>
      </c>
      <c r="E6" s="14">
        <f>+C6*D6</f>
        <v>0</v>
      </c>
    </row>
    <row r="7" spans="1:6" x14ac:dyDescent="0.25">
      <c r="A7" s="31" t="s">
        <v>606</v>
      </c>
      <c r="B7" s="31" t="s">
        <v>607</v>
      </c>
      <c r="C7">
        <v>0</v>
      </c>
      <c r="D7" s="5">
        <v>152</v>
      </c>
      <c r="E7" s="14">
        <f>+C7*D7</f>
        <v>0</v>
      </c>
    </row>
    <row r="8" spans="1:6" x14ac:dyDescent="0.25">
      <c r="A8" s="31" t="s">
        <v>608</v>
      </c>
      <c r="B8" s="31" t="s">
        <v>609</v>
      </c>
      <c r="C8">
        <v>0</v>
      </c>
      <c r="D8" s="5">
        <v>50</v>
      </c>
      <c r="E8" s="14">
        <f>+C8*D8</f>
        <v>0</v>
      </c>
    </row>
    <row r="9" spans="1:6" x14ac:dyDescent="0.25">
      <c r="A9" s="31" t="s">
        <v>610</v>
      </c>
      <c r="B9" s="31" t="s">
        <v>611</v>
      </c>
      <c r="C9">
        <v>0</v>
      </c>
      <c r="D9" s="5">
        <v>166</v>
      </c>
      <c r="E9" s="14">
        <f t="shared" ref="E9:E22" si="0">+C9*D9</f>
        <v>0</v>
      </c>
    </row>
    <row r="10" spans="1:6" x14ac:dyDescent="0.25">
      <c r="A10" s="31" t="s">
        <v>612</v>
      </c>
      <c r="B10" s="31" t="s">
        <v>613</v>
      </c>
      <c r="C10">
        <v>0</v>
      </c>
      <c r="D10" s="5">
        <v>104</v>
      </c>
      <c r="E10" s="14">
        <f t="shared" si="0"/>
        <v>0</v>
      </c>
    </row>
    <row r="11" spans="1:6" x14ac:dyDescent="0.25">
      <c r="A11" s="31" t="s">
        <v>614</v>
      </c>
      <c r="B11" s="31" t="s">
        <v>615</v>
      </c>
      <c r="C11">
        <v>0</v>
      </c>
      <c r="D11" s="5">
        <v>81.98</v>
      </c>
      <c r="E11" s="14">
        <f t="shared" si="0"/>
        <v>0</v>
      </c>
    </row>
    <row r="12" spans="1:6" x14ac:dyDescent="0.25">
      <c r="A12" s="31" t="s">
        <v>614</v>
      </c>
      <c r="B12" s="31" t="s">
        <v>616</v>
      </c>
      <c r="C12">
        <v>0</v>
      </c>
      <c r="D12" s="5">
        <v>143</v>
      </c>
      <c r="E12" s="14">
        <f t="shared" si="0"/>
        <v>0</v>
      </c>
    </row>
    <row r="13" spans="1:6" x14ac:dyDescent="0.25">
      <c r="A13" s="31" t="s">
        <v>614</v>
      </c>
      <c r="B13" s="31" t="s">
        <v>617</v>
      </c>
      <c r="C13">
        <v>0</v>
      </c>
      <c r="D13" s="5">
        <v>98.98</v>
      </c>
      <c r="E13" s="14">
        <f t="shared" si="0"/>
        <v>0</v>
      </c>
    </row>
    <row r="14" spans="1:6" x14ac:dyDescent="0.25">
      <c r="A14" s="31" t="s">
        <v>618</v>
      </c>
      <c r="B14" s="31" t="s">
        <v>619</v>
      </c>
      <c r="C14">
        <v>0</v>
      </c>
      <c r="D14" s="5">
        <v>165</v>
      </c>
      <c r="E14" s="14">
        <f t="shared" si="0"/>
        <v>0</v>
      </c>
    </row>
    <row r="15" spans="1:6" x14ac:dyDescent="0.25">
      <c r="A15" s="31" t="s">
        <v>620</v>
      </c>
      <c r="B15" s="31">
        <v>795984</v>
      </c>
      <c r="C15">
        <v>0</v>
      </c>
      <c r="D15" s="5">
        <v>144</v>
      </c>
      <c r="E15" s="14">
        <f t="shared" si="0"/>
        <v>0</v>
      </c>
    </row>
    <row r="16" spans="1:6" x14ac:dyDescent="0.25">
      <c r="A16" s="31"/>
      <c r="B16" s="31" t="s">
        <v>621</v>
      </c>
      <c r="C16">
        <v>0</v>
      </c>
      <c r="D16" s="5">
        <v>107</v>
      </c>
      <c r="E16" s="14">
        <f t="shared" si="0"/>
        <v>0</v>
      </c>
    </row>
    <row r="17" spans="1:9" x14ac:dyDescent="0.25">
      <c r="A17" s="31" t="s">
        <v>614</v>
      </c>
      <c r="B17" s="31" t="s">
        <v>622</v>
      </c>
      <c r="C17">
        <v>0</v>
      </c>
      <c r="D17" s="5">
        <v>112</v>
      </c>
      <c r="E17" s="14">
        <f t="shared" si="0"/>
        <v>0</v>
      </c>
    </row>
    <row r="18" spans="1:9" x14ac:dyDescent="0.25">
      <c r="A18" s="31" t="s">
        <v>623</v>
      </c>
      <c r="B18" s="31" t="s">
        <v>623</v>
      </c>
      <c r="C18">
        <v>0</v>
      </c>
      <c r="D18" s="5">
        <v>40.96</v>
      </c>
      <c r="E18" s="14">
        <f t="shared" si="0"/>
        <v>0</v>
      </c>
    </row>
    <row r="19" spans="1:9" x14ac:dyDescent="0.25">
      <c r="A19" s="31"/>
      <c r="B19" s="31" t="s">
        <v>624</v>
      </c>
      <c r="C19">
        <v>0</v>
      </c>
      <c r="D19" s="5">
        <v>18.28</v>
      </c>
      <c r="E19" s="14">
        <f t="shared" si="0"/>
        <v>0</v>
      </c>
    </row>
    <row r="20" spans="1:9" x14ac:dyDescent="0.25">
      <c r="A20" s="31"/>
      <c r="B20" s="31" t="s">
        <v>178</v>
      </c>
      <c r="C20">
        <v>0</v>
      </c>
      <c r="D20" s="5">
        <v>0</v>
      </c>
      <c r="E20" s="14">
        <f t="shared" si="0"/>
        <v>0</v>
      </c>
    </row>
    <row r="21" spans="1:9" x14ac:dyDescent="0.25">
      <c r="A21" s="31" t="s">
        <v>625</v>
      </c>
      <c r="B21" s="31"/>
      <c r="C21">
        <v>0</v>
      </c>
      <c r="D21" s="5">
        <v>0</v>
      </c>
      <c r="E21" s="14">
        <f t="shared" si="0"/>
        <v>0</v>
      </c>
    </row>
    <row r="22" spans="1:9" ht="15.75" thickBot="1" x14ac:dyDescent="0.3">
      <c r="A22" s="31" t="s">
        <v>626</v>
      </c>
      <c r="B22" s="31"/>
      <c r="C22">
        <v>1</v>
      </c>
      <c r="D22" s="5">
        <v>935.09</v>
      </c>
      <c r="E22" s="21">
        <f t="shared" si="0"/>
        <v>935.09</v>
      </c>
      <c r="F22" s="21"/>
    </row>
    <row r="23" spans="1:9" x14ac:dyDescent="0.25">
      <c r="F23" s="14">
        <f>+SUM(E4:E22)</f>
        <v>935.09</v>
      </c>
      <c r="I23" s="1"/>
    </row>
    <row r="24" spans="1:9" x14ac:dyDescent="0.25">
      <c r="A24" s="33" t="s">
        <v>627</v>
      </c>
    </row>
    <row r="25" spans="1:9" x14ac:dyDescent="0.25">
      <c r="A25" s="3" t="s">
        <v>393</v>
      </c>
      <c r="B25" s="3" t="s">
        <v>553</v>
      </c>
      <c r="C25" s="3" t="s">
        <v>501</v>
      </c>
      <c r="D25" s="8" t="s">
        <v>502</v>
      </c>
      <c r="E25" s="13" t="s">
        <v>503</v>
      </c>
      <c r="F25" s="13" t="s">
        <v>504</v>
      </c>
    </row>
    <row r="26" spans="1:9" x14ac:dyDescent="0.25">
      <c r="B26" s="2" t="s">
        <v>628</v>
      </c>
      <c r="C26">
        <v>0</v>
      </c>
      <c r="D26" s="5">
        <v>0</v>
      </c>
      <c r="E26" s="14">
        <f t="shared" ref="E26:E30" si="1">+C26*D26</f>
        <v>0</v>
      </c>
    </row>
    <row r="27" spans="1:9" x14ac:dyDescent="0.25">
      <c r="B27" s="2" t="s">
        <v>629</v>
      </c>
      <c r="C27">
        <v>0</v>
      </c>
      <c r="D27" s="5">
        <v>0</v>
      </c>
      <c r="E27" s="14">
        <f t="shared" si="1"/>
        <v>0</v>
      </c>
    </row>
    <row r="28" spans="1:9" x14ac:dyDescent="0.25">
      <c r="B28" s="2" t="s">
        <v>630</v>
      </c>
      <c r="C28">
        <v>0</v>
      </c>
      <c r="D28" s="5">
        <v>0</v>
      </c>
      <c r="E28" s="14">
        <f t="shared" si="1"/>
        <v>0</v>
      </c>
    </row>
    <row r="29" spans="1:9" x14ac:dyDescent="0.25">
      <c r="A29" s="25" t="s">
        <v>631</v>
      </c>
      <c r="C29">
        <v>1</v>
      </c>
      <c r="D29" s="5">
        <v>3142.43</v>
      </c>
      <c r="E29" s="14">
        <v>3142.43</v>
      </c>
    </row>
    <row r="30" spans="1:9" x14ac:dyDescent="0.25">
      <c r="C30">
        <v>0</v>
      </c>
      <c r="D30" s="5">
        <v>0</v>
      </c>
      <c r="E30" s="14">
        <f t="shared" si="1"/>
        <v>0</v>
      </c>
    </row>
    <row r="31" spans="1:9" ht="15.75" thickBot="1" x14ac:dyDescent="0.3">
      <c r="E31" s="21"/>
      <c r="F31" s="21"/>
    </row>
    <row r="32" spans="1:9" x14ac:dyDescent="0.25">
      <c r="F32" s="14">
        <v>3142.43</v>
      </c>
    </row>
    <row r="34" spans="1:7" x14ac:dyDescent="0.25">
      <c r="A34" s="33" t="s">
        <v>632</v>
      </c>
    </row>
    <row r="35" spans="1:7" x14ac:dyDescent="0.25">
      <c r="A35" s="3" t="s">
        <v>393</v>
      </c>
      <c r="B35" s="3" t="s">
        <v>553</v>
      </c>
      <c r="C35" s="3" t="s">
        <v>501</v>
      </c>
      <c r="D35" s="8" t="s">
        <v>502</v>
      </c>
      <c r="E35" s="13" t="s">
        <v>503</v>
      </c>
      <c r="F35" s="13" t="s">
        <v>504</v>
      </c>
    </row>
    <row r="36" spans="1:7" x14ac:dyDescent="0.25">
      <c r="A36" s="3" t="s">
        <v>633</v>
      </c>
      <c r="B36" s="3"/>
      <c r="C36" s="3">
        <v>0</v>
      </c>
      <c r="D36" s="8">
        <v>1100</v>
      </c>
      <c r="E36" s="14">
        <f t="shared" ref="E36:E41" si="2">+C36*D36</f>
        <v>0</v>
      </c>
      <c r="F36" s="13"/>
    </row>
    <row r="37" spans="1:7" x14ac:dyDescent="0.25">
      <c r="A37" s="2" t="s">
        <v>634</v>
      </c>
      <c r="B37" s="2">
        <v>400390</v>
      </c>
      <c r="C37">
        <v>4</v>
      </c>
      <c r="D37" s="5">
        <v>2.0499999999999998</v>
      </c>
      <c r="E37" s="14">
        <f t="shared" si="2"/>
        <v>8.1999999999999993</v>
      </c>
    </row>
    <row r="38" spans="1:7" x14ac:dyDescent="0.25">
      <c r="A38" s="2" t="s">
        <v>635</v>
      </c>
      <c r="B38" s="2">
        <v>376787</v>
      </c>
      <c r="C38">
        <v>16</v>
      </c>
      <c r="D38" s="5">
        <v>4.9800000000000004</v>
      </c>
      <c r="E38" s="14">
        <f t="shared" si="2"/>
        <v>79.680000000000007</v>
      </c>
    </row>
    <row r="39" spans="1:7" x14ac:dyDescent="0.25">
      <c r="A39" s="2" t="s">
        <v>178</v>
      </c>
      <c r="B39" s="2" t="s">
        <v>178</v>
      </c>
      <c r="C39">
        <v>0</v>
      </c>
      <c r="D39" s="5">
        <v>0</v>
      </c>
      <c r="E39" s="14">
        <f t="shared" si="2"/>
        <v>0</v>
      </c>
    </row>
    <row r="40" spans="1:7" x14ac:dyDescent="0.25">
      <c r="A40" s="2" t="s">
        <v>636</v>
      </c>
      <c r="B40" s="2">
        <v>2280072</v>
      </c>
      <c r="C40">
        <v>0</v>
      </c>
      <c r="D40" s="5">
        <v>18.97</v>
      </c>
      <c r="E40" s="14">
        <f t="shared" si="2"/>
        <v>0</v>
      </c>
    </row>
    <row r="41" spans="1:7" ht="15.75" thickBot="1" x14ac:dyDescent="0.3">
      <c r="A41" s="2" t="s">
        <v>637</v>
      </c>
      <c r="B41" s="2">
        <v>1000707539</v>
      </c>
      <c r="C41">
        <v>0</v>
      </c>
      <c r="D41" s="5">
        <v>1.98</v>
      </c>
      <c r="E41" s="14">
        <f t="shared" si="2"/>
        <v>0</v>
      </c>
      <c r="F41" s="21"/>
    </row>
    <row r="42" spans="1:7" x14ac:dyDescent="0.25">
      <c r="F42" s="14">
        <f>+SUM(E36:E41)</f>
        <v>87.88000000000001</v>
      </c>
    </row>
    <row r="43" spans="1:7" ht="15.75" thickBot="1" x14ac:dyDescent="0.3">
      <c r="G43" s="21"/>
    </row>
    <row r="44" spans="1:7" x14ac:dyDescent="0.25">
      <c r="G44" s="14">
        <f>+SUM(F23:F43)</f>
        <v>4165.3999999999996</v>
      </c>
    </row>
  </sheetData>
  <printOptions headings="1" gridLine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L30"/>
  <sheetViews>
    <sheetView workbookViewId="0">
      <selection activeCell="F20" sqref="F20"/>
    </sheetView>
  </sheetViews>
  <sheetFormatPr defaultRowHeight="15" x14ac:dyDescent="0.25"/>
  <cols>
    <col min="1" max="1" width="45.28515625" style="2" customWidth="1"/>
    <col min="2" max="2" width="6.28515625" style="2" customWidth="1"/>
    <col min="3" max="3" width="21.5703125" style="2" bestFit="1" customWidth="1"/>
    <col min="4" max="4" width="5.28515625" style="2" bestFit="1" customWidth="1"/>
    <col min="5" max="5" width="9.5703125" bestFit="1" customWidth="1"/>
    <col min="6" max="6" width="16.85546875" style="5" customWidth="1"/>
    <col min="7" max="7" width="9.140625" style="1"/>
  </cols>
  <sheetData>
    <row r="1" spans="1:10" x14ac:dyDescent="0.25">
      <c r="A1" s="33" t="s">
        <v>638</v>
      </c>
      <c r="B1" s="33"/>
    </row>
    <row r="2" spans="1:10" s="3" customFormat="1" x14ac:dyDescent="0.25">
      <c r="A2" s="3" t="s">
        <v>393</v>
      </c>
      <c r="B2" s="3" t="s">
        <v>639</v>
      </c>
      <c r="C2" s="3" t="s">
        <v>411</v>
      </c>
      <c r="D2" s="3" t="s">
        <v>337</v>
      </c>
      <c r="E2" s="8" t="s">
        <v>502</v>
      </c>
      <c r="F2" s="6" t="s">
        <v>503</v>
      </c>
      <c r="G2" s="3" t="s">
        <v>504</v>
      </c>
    </row>
    <row r="3" spans="1:10" s="3" customFormat="1" x14ac:dyDescent="0.25">
      <c r="A3" s="33" t="s">
        <v>640</v>
      </c>
      <c r="B3" s="299">
        <f>+Profit!K8</f>
        <v>1899</v>
      </c>
      <c r="E3" s="8"/>
      <c r="F3" s="6"/>
    </row>
    <row r="4" spans="1:10" x14ac:dyDescent="0.25">
      <c r="A4" s="224" t="s">
        <v>641</v>
      </c>
      <c r="C4" s="224" t="s">
        <v>642</v>
      </c>
      <c r="D4">
        <v>1</v>
      </c>
      <c r="E4" s="5">
        <v>68.540000000000006</v>
      </c>
      <c r="F4" s="1">
        <f t="shared" ref="F4:F12" si="0">+D4*E4</f>
        <v>68.540000000000006</v>
      </c>
      <c r="G4"/>
      <c r="J4" s="5">
        <f>SUM(F4:F11)/28</f>
        <v>17.547857142857143</v>
      </c>
    </row>
    <row r="5" spans="1:10" x14ac:dyDescent="0.25">
      <c r="A5" s="224" t="s">
        <v>643</v>
      </c>
      <c r="C5" s="224" t="s">
        <v>644</v>
      </c>
      <c r="D5">
        <v>1</v>
      </c>
      <c r="E5" s="5">
        <v>85.89</v>
      </c>
      <c r="F5" s="1">
        <f t="shared" si="0"/>
        <v>85.89</v>
      </c>
      <c r="G5"/>
    </row>
    <row r="6" spans="1:10" x14ac:dyDescent="0.25">
      <c r="A6" s="224" t="s">
        <v>645</v>
      </c>
      <c r="C6" s="224">
        <v>185342</v>
      </c>
      <c r="D6">
        <v>1</v>
      </c>
      <c r="E6">
        <v>147</v>
      </c>
      <c r="F6" s="1">
        <f t="shared" si="0"/>
        <v>147</v>
      </c>
      <c r="G6"/>
    </row>
    <row r="7" spans="1:10" x14ac:dyDescent="0.25">
      <c r="A7" s="224" t="s">
        <v>643</v>
      </c>
      <c r="C7" s="224" t="s">
        <v>646</v>
      </c>
      <c r="D7">
        <v>5</v>
      </c>
      <c r="E7" s="5">
        <v>21.99</v>
      </c>
      <c r="F7" s="1">
        <f t="shared" si="0"/>
        <v>109.94999999999999</v>
      </c>
      <c r="G7"/>
    </row>
    <row r="8" spans="1:10" x14ac:dyDescent="0.25">
      <c r="A8" s="224" t="s">
        <v>647</v>
      </c>
      <c r="C8" s="224">
        <v>389832</v>
      </c>
      <c r="D8">
        <v>1</v>
      </c>
      <c r="E8" s="5">
        <v>39.979999999999997</v>
      </c>
      <c r="F8" s="1">
        <f t="shared" si="0"/>
        <v>39.979999999999997</v>
      </c>
      <c r="G8"/>
    </row>
    <row r="9" spans="1:10" x14ac:dyDescent="0.25">
      <c r="A9" s="224" t="s">
        <v>648</v>
      </c>
      <c r="C9" s="224">
        <v>985007</v>
      </c>
      <c r="D9">
        <v>1</v>
      </c>
      <c r="E9" s="5">
        <v>39.979999999999997</v>
      </c>
      <c r="F9" s="1">
        <f t="shared" si="0"/>
        <v>39.979999999999997</v>
      </c>
      <c r="G9"/>
    </row>
    <row r="10" spans="1:10" x14ac:dyDescent="0.25">
      <c r="A10" s="224" t="s">
        <v>649</v>
      </c>
      <c r="C10" s="224">
        <v>814917</v>
      </c>
      <c r="D10">
        <v>0</v>
      </c>
      <c r="E10" s="5">
        <v>60.98</v>
      </c>
      <c r="F10" s="1">
        <f t="shared" si="0"/>
        <v>0</v>
      </c>
      <c r="G10"/>
    </row>
    <row r="11" spans="1:10" x14ac:dyDescent="0.25">
      <c r="A11" s="224" t="s">
        <v>650</v>
      </c>
      <c r="C11" s="224" t="s">
        <v>651</v>
      </c>
      <c r="D11">
        <v>0</v>
      </c>
      <c r="E11" s="5">
        <v>40</v>
      </c>
      <c r="F11" s="1">
        <f t="shared" si="0"/>
        <v>0</v>
      </c>
      <c r="G11"/>
    </row>
    <row r="12" spans="1:10" x14ac:dyDescent="0.25">
      <c r="A12" s="2" t="s">
        <v>652</v>
      </c>
      <c r="B12" s="2">
        <v>10</v>
      </c>
      <c r="C12" s="2" t="s">
        <v>653</v>
      </c>
      <c r="D12">
        <v>10</v>
      </c>
      <c r="E12" s="5">
        <v>50.24</v>
      </c>
      <c r="F12" s="1">
        <f t="shared" si="0"/>
        <v>502.40000000000003</v>
      </c>
    </row>
    <row r="13" spans="1:10" x14ac:dyDescent="0.25">
      <c r="A13" s="33" t="s">
        <v>654</v>
      </c>
      <c r="B13" s="225">
        <v>0</v>
      </c>
      <c r="D13"/>
      <c r="E13" s="5"/>
      <c r="F13" s="1"/>
      <c r="G13"/>
    </row>
    <row r="14" spans="1:10" x14ac:dyDescent="0.25">
      <c r="A14" s="2" t="s">
        <v>652</v>
      </c>
      <c r="D14"/>
      <c r="E14" s="5"/>
      <c r="F14" s="1"/>
      <c r="G14"/>
    </row>
    <row r="15" spans="1:10" x14ac:dyDescent="0.25">
      <c r="A15" s="33" t="s">
        <v>655</v>
      </c>
      <c r="B15" s="225">
        <v>0</v>
      </c>
      <c r="D15"/>
      <c r="E15" s="5"/>
      <c r="F15" s="1"/>
      <c r="G15"/>
    </row>
    <row r="16" spans="1:10" x14ac:dyDescent="0.25">
      <c r="A16" s="224" t="s">
        <v>656</v>
      </c>
      <c r="C16" s="224" t="s">
        <v>657</v>
      </c>
      <c r="D16">
        <v>0</v>
      </c>
      <c r="E16" s="5">
        <v>93</v>
      </c>
      <c r="F16" s="1">
        <f t="shared" ref="F16:F17" si="1">+D16*E16</f>
        <v>0</v>
      </c>
      <c r="G16"/>
    </row>
    <row r="17" spans="1:12" x14ac:dyDescent="0.25">
      <c r="A17" s="33" t="s">
        <v>658</v>
      </c>
      <c r="B17" s="225">
        <v>500</v>
      </c>
      <c r="D17"/>
      <c r="E17" s="5"/>
      <c r="F17" s="1">
        <f t="shared" si="1"/>
        <v>0</v>
      </c>
      <c r="G17"/>
    </row>
    <row r="18" spans="1:12" x14ac:dyDescent="0.25">
      <c r="A18" s="224" t="s">
        <v>659</v>
      </c>
      <c r="C18" s="224" t="s">
        <v>660</v>
      </c>
      <c r="D18">
        <v>2</v>
      </c>
      <c r="E18" s="5">
        <v>47.98</v>
      </c>
      <c r="F18" s="1">
        <f>+D18*E18</f>
        <v>95.96</v>
      </c>
      <c r="G18"/>
    </row>
    <row r="19" spans="1:12" x14ac:dyDescent="0.25">
      <c r="A19" s="2" t="s">
        <v>661</v>
      </c>
      <c r="C19" s="2" t="s">
        <v>662</v>
      </c>
      <c r="D19">
        <v>1</v>
      </c>
      <c r="E19" s="5">
        <v>48.98</v>
      </c>
      <c r="F19" s="1">
        <f t="shared" ref="F19:F20" si="2">+D19*E19</f>
        <v>48.98</v>
      </c>
      <c r="G19"/>
    </row>
    <row r="20" spans="1:12" x14ac:dyDescent="0.25">
      <c r="A20" s="2" t="s">
        <v>663</v>
      </c>
      <c r="D20">
        <v>1</v>
      </c>
      <c r="E20" s="5">
        <v>97.13</v>
      </c>
      <c r="F20" s="5">
        <f t="shared" si="2"/>
        <v>97.13</v>
      </c>
    </row>
    <row r="21" spans="1:12" ht="15.75" thickBot="1" x14ac:dyDescent="0.3">
      <c r="D21"/>
      <c r="E21" s="5"/>
      <c r="F21" s="30">
        <f>+D20*E20</f>
        <v>97.13</v>
      </c>
      <c r="G21" s="30"/>
    </row>
    <row r="22" spans="1:12" x14ac:dyDescent="0.25">
      <c r="D22"/>
      <c r="E22" s="5"/>
      <c r="F22" s="1"/>
      <c r="L22" s="2"/>
    </row>
    <row r="23" spans="1:12" x14ac:dyDescent="0.25">
      <c r="D23" s="631" t="s">
        <v>664</v>
      </c>
      <c r="E23" s="632"/>
      <c r="F23" s="632"/>
      <c r="G23" s="1">
        <f>SUM(F4:F21)</f>
        <v>1332.94</v>
      </c>
    </row>
    <row r="24" spans="1:12" x14ac:dyDescent="0.25">
      <c r="A24" s="2" t="s">
        <v>263</v>
      </c>
      <c r="D24"/>
      <c r="E24" s="5"/>
      <c r="F24" s="1">
        <v>0</v>
      </c>
      <c r="G24">
        <v>0</v>
      </c>
    </row>
    <row r="25" spans="1:12" x14ac:dyDescent="0.25">
      <c r="A25" s="224" t="s">
        <v>263</v>
      </c>
      <c r="B25" s="299">
        <f>+$B$3</f>
        <v>1899</v>
      </c>
      <c r="C25" s="224" t="s">
        <v>665</v>
      </c>
      <c r="D25" s="223" t="s">
        <v>177</v>
      </c>
      <c r="E25" s="5">
        <v>2.04</v>
      </c>
      <c r="F25" s="1">
        <v>0</v>
      </c>
      <c r="G25"/>
    </row>
    <row r="26" spans="1:12" x14ac:dyDescent="0.25">
      <c r="A26" s="224" t="s">
        <v>263</v>
      </c>
      <c r="B26" s="299">
        <f t="shared" ref="B26:B27" si="3">+$B$3</f>
        <v>1899</v>
      </c>
      <c r="C26" s="224" t="s">
        <v>666</v>
      </c>
      <c r="D26" t="s">
        <v>12</v>
      </c>
      <c r="E26" s="5">
        <v>1</v>
      </c>
      <c r="F26" s="1">
        <f t="shared" ref="F26:F27" si="4">IF(D26="yes",E26*B26,0)</f>
        <v>0</v>
      </c>
      <c r="G26"/>
    </row>
    <row r="27" spans="1:12" ht="15.75" thickBot="1" x14ac:dyDescent="0.3">
      <c r="A27" s="224" t="s">
        <v>263</v>
      </c>
      <c r="B27" s="299">
        <f t="shared" si="3"/>
        <v>1899</v>
      </c>
      <c r="C27" s="224" t="s">
        <v>667</v>
      </c>
      <c r="D27" t="s">
        <v>12</v>
      </c>
      <c r="E27" s="5">
        <v>1</v>
      </c>
      <c r="F27" s="1">
        <f t="shared" si="4"/>
        <v>0</v>
      </c>
      <c r="G27" s="23"/>
    </row>
    <row r="28" spans="1:12" x14ac:dyDescent="0.25">
      <c r="D28"/>
      <c r="E28" s="5"/>
      <c r="F28" s="1"/>
      <c r="G28" s="1">
        <f>+SUM(F25:F27)+G23</f>
        <v>1332.94</v>
      </c>
    </row>
    <row r="29" spans="1:12" x14ac:dyDescent="0.25">
      <c r="D29"/>
      <c r="E29" s="5"/>
    </row>
    <row r="30" spans="1:12" x14ac:dyDescent="0.25">
      <c r="D30"/>
      <c r="E30" s="5"/>
    </row>
  </sheetData>
  <mergeCells count="1">
    <mergeCell ref="D23:F23"/>
  </mergeCells>
  <printOptions headings="1" gridLines="1"/>
  <pageMargins left="0.7" right="0.7" top="0.75" bottom="0.75" header="0.3" footer="0.3"/>
  <pageSetup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G9"/>
  <sheetViews>
    <sheetView workbookViewId="0">
      <selection activeCell="E9" sqref="E9"/>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s>
  <sheetData>
    <row r="1" spans="1:7" x14ac:dyDescent="0.25">
      <c r="A1" s="33" t="s">
        <v>668</v>
      </c>
      <c r="B1" s="33"/>
    </row>
    <row r="2" spans="1:7" s="3" customFormat="1" x14ac:dyDescent="0.25">
      <c r="A2" s="3" t="s">
        <v>393</v>
      </c>
      <c r="B2" s="3" t="s">
        <v>639</v>
      </c>
      <c r="C2" s="3" t="s">
        <v>411</v>
      </c>
      <c r="D2" s="3" t="s">
        <v>337</v>
      </c>
      <c r="E2" s="8" t="s">
        <v>502</v>
      </c>
      <c r="F2" s="6" t="s">
        <v>503</v>
      </c>
      <c r="G2" s="3" t="s">
        <v>504</v>
      </c>
    </row>
    <row r="3" spans="1:7" x14ac:dyDescent="0.25">
      <c r="B3" s="299">
        <f>+Profit!K8</f>
        <v>1899</v>
      </c>
      <c r="D3"/>
      <c r="E3" s="5"/>
      <c r="F3" s="1"/>
      <c r="G3"/>
    </row>
    <row r="4" spans="1:7" x14ac:dyDescent="0.25">
      <c r="A4" s="224" t="s">
        <v>669</v>
      </c>
      <c r="B4" s="316">
        <f>+B3</f>
        <v>1899</v>
      </c>
      <c r="C4" s="224" t="s">
        <v>665</v>
      </c>
      <c r="D4" t="s">
        <v>108</v>
      </c>
      <c r="E4" s="5">
        <v>6.5</v>
      </c>
      <c r="F4" s="1">
        <f>IF(D4="yes",E4*B4,0)</f>
        <v>0</v>
      </c>
      <c r="G4"/>
    </row>
    <row r="5" spans="1:7" x14ac:dyDescent="0.25">
      <c r="A5" s="224" t="s">
        <v>670</v>
      </c>
      <c r="B5" s="316">
        <f>+B3</f>
        <v>1899</v>
      </c>
      <c r="C5" s="224"/>
      <c r="D5" t="s">
        <v>12</v>
      </c>
      <c r="E5" s="5">
        <v>1</v>
      </c>
      <c r="F5" s="1">
        <v>571.79999999999995</v>
      </c>
      <c r="G5"/>
    </row>
    <row r="6" spans="1:7" ht="15.75" thickBot="1" x14ac:dyDescent="0.3">
      <c r="A6" s="224" t="s">
        <v>671</v>
      </c>
      <c r="B6" s="316">
        <f>+B3</f>
        <v>1899</v>
      </c>
      <c r="C6" s="224"/>
      <c r="D6" t="s">
        <v>12</v>
      </c>
      <c r="E6" s="5">
        <v>1</v>
      </c>
      <c r="F6" s="1">
        <v>4527</v>
      </c>
      <c r="G6" s="23">
        <v>3191.7</v>
      </c>
    </row>
    <row r="7" spans="1:7" x14ac:dyDescent="0.25">
      <c r="D7"/>
      <c r="E7" s="5"/>
      <c r="F7" s="1"/>
      <c r="G7" s="1">
        <f>SUM(F4:F6)</f>
        <v>5098.8</v>
      </c>
    </row>
    <row r="8" spans="1:7" x14ac:dyDescent="0.25">
      <c r="D8"/>
      <c r="E8" s="5"/>
    </row>
    <row r="9" spans="1:7" x14ac:dyDescent="0.25">
      <c r="A9" s="2" t="s">
        <v>178</v>
      </c>
      <c r="D9" t="s">
        <v>178</v>
      </c>
      <c r="E9" s="5" t="s">
        <v>178</v>
      </c>
    </row>
  </sheetData>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E5" sqref="E5"/>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347</v>
      </c>
    </row>
    <row r="3" spans="1:14" s="22" customFormat="1" x14ac:dyDescent="0.25">
      <c r="A3" s="3" t="s">
        <v>393</v>
      </c>
      <c r="B3" s="3" t="s">
        <v>672</v>
      </c>
      <c r="C3" s="3" t="s">
        <v>501</v>
      </c>
      <c r="D3" s="8" t="s">
        <v>502</v>
      </c>
      <c r="E3" s="16" t="s">
        <v>541</v>
      </c>
      <c r="F3" s="3" t="s">
        <v>504</v>
      </c>
      <c r="H3" s="3"/>
      <c r="I3" s="3"/>
    </row>
    <row r="4" spans="1:14" x14ac:dyDescent="0.25">
      <c r="A4" t="s">
        <v>673</v>
      </c>
      <c r="B4" s="2" t="s">
        <v>674</v>
      </c>
      <c r="C4" s="11">
        <v>1</v>
      </c>
      <c r="D4" s="5">
        <v>13062</v>
      </c>
      <c r="E4" s="26">
        <f>+C4*D4</f>
        <v>13062</v>
      </c>
    </row>
    <row r="5" spans="1:14" x14ac:dyDescent="0.25">
      <c r="A5" t="s">
        <v>675</v>
      </c>
      <c r="B5" s="2" t="s">
        <v>676</v>
      </c>
      <c r="C5" s="11">
        <v>0</v>
      </c>
      <c r="D5" s="5">
        <v>8.98</v>
      </c>
      <c r="E5" s="26">
        <f t="shared" ref="E5:E12" si="0">+C5*D5</f>
        <v>0</v>
      </c>
    </row>
    <row r="6" spans="1:14" x14ac:dyDescent="0.25">
      <c r="A6" t="s">
        <v>675</v>
      </c>
      <c r="B6" s="2" t="s">
        <v>677</v>
      </c>
      <c r="C6" s="11">
        <v>0</v>
      </c>
      <c r="D6" s="5">
        <v>7.98</v>
      </c>
      <c r="E6" s="26">
        <f t="shared" ref="E6:E11" si="1">+C6*D6</f>
        <v>0</v>
      </c>
    </row>
    <row r="7" spans="1:14" x14ac:dyDescent="0.25">
      <c r="A7" t="s">
        <v>678</v>
      </c>
      <c r="B7" s="2" t="s">
        <v>679</v>
      </c>
      <c r="C7" s="11">
        <v>0</v>
      </c>
      <c r="D7" s="5">
        <v>44.93</v>
      </c>
      <c r="E7" s="26">
        <f t="shared" si="1"/>
        <v>0</v>
      </c>
    </row>
    <row r="8" spans="1:14" x14ac:dyDescent="0.25">
      <c r="A8" t="s">
        <v>680</v>
      </c>
      <c r="B8" s="2" t="s">
        <v>681</v>
      </c>
      <c r="C8" s="11">
        <v>0</v>
      </c>
      <c r="D8" s="5">
        <v>4.47</v>
      </c>
      <c r="E8" s="26">
        <f t="shared" si="1"/>
        <v>0</v>
      </c>
    </row>
    <row r="9" spans="1:14" x14ac:dyDescent="0.25">
      <c r="A9" t="s">
        <v>680</v>
      </c>
      <c r="B9" s="2" t="s">
        <v>682</v>
      </c>
      <c r="C9" s="11">
        <v>0</v>
      </c>
      <c r="D9" s="5">
        <v>4.97</v>
      </c>
      <c r="E9" s="26">
        <f t="shared" si="1"/>
        <v>0</v>
      </c>
      <c r="I9" s="33"/>
      <c r="J9" s="2"/>
      <c r="L9" s="5"/>
      <c r="M9" s="26"/>
    </row>
    <row r="10" spans="1:14" x14ac:dyDescent="0.25">
      <c r="A10" t="s">
        <v>683</v>
      </c>
      <c r="B10" s="2" t="s">
        <v>684</v>
      </c>
      <c r="C10" s="11">
        <v>0</v>
      </c>
      <c r="D10" s="5">
        <v>23</v>
      </c>
      <c r="E10" s="26">
        <f t="shared" si="1"/>
        <v>0</v>
      </c>
      <c r="I10" s="3"/>
      <c r="J10" s="3"/>
      <c r="K10" s="3"/>
      <c r="L10" s="8"/>
      <c r="M10" s="16"/>
      <c r="N10" s="3"/>
    </row>
    <row r="11" spans="1:14" x14ac:dyDescent="0.25">
      <c r="A11"/>
      <c r="C11" s="11"/>
      <c r="E11" s="26">
        <f t="shared" si="1"/>
        <v>0</v>
      </c>
      <c r="J11" s="2"/>
      <c r="K11" s="11"/>
      <c r="L11" s="5"/>
      <c r="M11" s="26"/>
    </row>
    <row r="12" spans="1:14" ht="15.75" thickBot="1" x14ac:dyDescent="0.3">
      <c r="A12" s="2" t="s">
        <v>685</v>
      </c>
      <c r="C12">
        <v>0</v>
      </c>
      <c r="D12" s="5">
        <v>11504</v>
      </c>
      <c r="E12" s="30">
        <f t="shared" si="0"/>
        <v>0</v>
      </c>
      <c r="F12" s="30"/>
      <c r="J12" s="2"/>
      <c r="K12" s="11"/>
      <c r="L12" s="5"/>
      <c r="M12" s="26"/>
    </row>
    <row r="13" spans="1:14" x14ac:dyDescent="0.25">
      <c r="C13" s="631"/>
      <c r="D13" s="632"/>
      <c r="E13" s="632"/>
      <c r="F13" s="4">
        <f>+SUM(E4:E12)</f>
        <v>13062</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631"/>
      <c r="L20" s="632"/>
      <c r="M20" s="632"/>
      <c r="N20" s="4"/>
    </row>
  </sheetData>
  <mergeCells count="2">
    <mergeCell ref="C13:E13"/>
    <mergeCell ref="K20:M20"/>
  </mergeCells>
  <printOptions headings="1" gridLines="1"/>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29"/>
  <sheetViews>
    <sheetView workbookViewId="0">
      <selection activeCell="A18" sqref="A18"/>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686</v>
      </c>
      <c r="B1" s="3"/>
    </row>
    <row r="2" spans="1:6" x14ac:dyDescent="0.25">
      <c r="C2" s="3"/>
      <c r="D2" s="8"/>
      <c r="E2" s="13"/>
      <c r="F2" s="13"/>
    </row>
    <row r="3" spans="1:6" x14ac:dyDescent="0.25">
      <c r="A3" s="3" t="s">
        <v>393</v>
      </c>
      <c r="B3" s="3" t="s">
        <v>553</v>
      </c>
      <c r="C3" s="3" t="s">
        <v>501</v>
      </c>
      <c r="D3" s="8" t="s">
        <v>502</v>
      </c>
      <c r="E3" s="13" t="s">
        <v>503</v>
      </c>
      <c r="F3" s="13" t="s">
        <v>504</v>
      </c>
    </row>
    <row r="4" spans="1:6" x14ac:dyDescent="0.25">
      <c r="A4" s="3"/>
      <c r="B4" s="3"/>
      <c r="C4" s="31"/>
      <c r="D4" s="8"/>
      <c r="E4" s="14">
        <f>+C4*D4</f>
        <v>0</v>
      </c>
      <c r="F4" s="13"/>
    </row>
    <row r="5" spans="1:6" x14ac:dyDescent="0.25">
      <c r="A5" s="31" t="s">
        <v>687</v>
      </c>
      <c r="B5" s="31">
        <v>2599776</v>
      </c>
      <c r="C5">
        <v>3</v>
      </c>
      <c r="D5" s="5">
        <v>124.98</v>
      </c>
      <c r="E5" s="14">
        <f>+C5*D5</f>
        <v>374.94</v>
      </c>
    </row>
    <row r="6" spans="1:6" x14ac:dyDescent="0.25">
      <c r="A6" s="31" t="s">
        <v>688</v>
      </c>
      <c r="B6" s="31">
        <v>807421</v>
      </c>
      <c r="C6">
        <v>1</v>
      </c>
      <c r="D6" s="5">
        <v>112.48</v>
      </c>
      <c r="E6" s="14">
        <f>+C6*D6</f>
        <v>112.48</v>
      </c>
    </row>
    <row r="7" spans="1:6" x14ac:dyDescent="0.25">
      <c r="A7" s="31" t="s">
        <v>689</v>
      </c>
      <c r="B7" s="31">
        <v>321702</v>
      </c>
      <c r="C7">
        <v>2</v>
      </c>
      <c r="D7" s="5">
        <v>89.98</v>
      </c>
      <c r="E7" s="14">
        <f>+C7*D7</f>
        <v>179.96</v>
      </c>
    </row>
    <row r="8" spans="1:6" x14ac:dyDescent="0.25">
      <c r="A8" s="31" t="s">
        <v>690</v>
      </c>
      <c r="B8" s="31">
        <v>649829</v>
      </c>
      <c r="C8">
        <v>1</v>
      </c>
      <c r="D8" s="5">
        <v>129.97999999999999</v>
      </c>
      <c r="E8" s="14">
        <f>+C8*D8</f>
        <v>129.97999999999999</v>
      </c>
    </row>
    <row r="9" spans="1:6" x14ac:dyDescent="0.25">
      <c r="A9" s="31" t="s">
        <v>691</v>
      </c>
      <c r="B9" s="31">
        <v>2296055</v>
      </c>
      <c r="C9">
        <v>1</v>
      </c>
      <c r="D9" s="5">
        <v>179.98</v>
      </c>
      <c r="E9" s="14">
        <f t="shared" ref="E9:E22" si="0">+C9*D9</f>
        <v>179.98</v>
      </c>
    </row>
    <row r="10" spans="1:6" x14ac:dyDescent="0.25">
      <c r="A10" s="31" t="s">
        <v>692</v>
      </c>
      <c r="B10" s="31">
        <v>482287</v>
      </c>
      <c r="C10">
        <v>2</v>
      </c>
      <c r="D10" s="5">
        <v>62.98</v>
      </c>
      <c r="E10" s="14">
        <f t="shared" si="0"/>
        <v>125.96</v>
      </c>
    </row>
    <row r="11" spans="1:6" x14ac:dyDescent="0.25">
      <c r="A11" s="31" t="s">
        <v>693</v>
      </c>
      <c r="B11" s="31">
        <v>2535475</v>
      </c>
      <c r="C11">
        <v>1</v>
      </c>
      <c r="D11" s="5">
        <v>24.98</v>
      </c>
      <c r="E11" s="14">
        <f t="shared" si="0"/>
        <v>24.98</v>
      </c>
    </row>
    <row r="12" spans="1:6" x14ac:dyDescent="0.25">
      <c r="A12" s="31" t="s">
        <v>694</v>
      </c>
      <c r="B12" s="31" t="s">
        <v>695</v>
      </c>
      <c r="C12">
        <v>10</v>
      </c>
      <c r="D12" s="5">
        <v>10.9</v>
      </c>
      <c r="E12" s="14">
        <f t="shared" si="0"/>
        <v>109</v>
      </c>
    </row>
    <row r="13" spans="1:6" x14ac:dyDescent="0.25">
      <c r="A13" s="31" t="s">
        <v>696</v>
      </c>
      <c r="B13" s="31" t="s">
        <v>697</v>
      </c>
      <c r="C13">
        <v>1</v>
      </c>
      <c r="D13" s="5">
        <v>14.97</v>
      </c>
      <c r="E13" s="14">
        <f t="shared" si="0"/>
        <v>14.97</v>
      </c>
    </row>
    <row r="14" spans="1:6" x14ac:dyDescent="0.25">
      <c r="A14" s="31" t="s">
        <v>698</v>
      </c>
      <c r="B14" s="31" t="s">
        <v>699</v>
      </c>
      <c r="C14">
        <v>2</v>
      </c>
      <c r="D14" s="5">
        <v>19.97</v>
      </c>
      <c r="E14" s="14">
        <f t="shared" si="0"/>
        <v>39.94</v>
      </c>
    </row>
    <row r="15" spans="1:6" x14ac:dyDescent="0.25">
      <c r="A15" s="31" t="s">
        <v>700</v>
      </c>
      <c r="B15" s="31" t="s">
        <v>701</v>
      </c>
      <c r="C15">
        <v>1</v>
      </c>
      <c r="D15" s="5">
        <v>17.97</v>
      </c>
      <c r="E15" s="14">
        <f t="shared" si="0"/>
        <v>17.97</v>
      </c>
    </row>
    <row r="16" spans="1:6" x14ac:dyDescent="0.25">
      <c r="A16" s="31" t="s">
        <v>702</v>
      </c>
      <c r="B16" s="31" t="s">
        <v>703</v>
      </c>
      <c r="C16">
        <v>2</v>
      </c>
      <c r="D16" s="5">
        <v>16.98</v>
      </c>
      <c r="E16" s="14">
        <f t="shared" si="0"/>
        <v>33.96</v>
      </c>
    </row>
    <row r="17" spans="1:9" x14ac:dyDescent="0.25">
      <c r="A17" s="31" t="s">
        <v>704</v>
      </c>
      <c r="B17" s="31" t="s">
        <v>705</v>
      </c>
      <c r="C17">
        <v>4</v>
      </c>
      <c r="D17" s="5">
        <v>3.27</v>
      </c>
      <c r="E17" s="14">
        <f t="shared" si="0"/>
        <v>13.08</v>
      </c>
    </row>
    <row r="18" spans="1:9" x14ac:dyDescent="0.25">
      <c r="A18" s="31"/>
      <c r="B18" s="31"/>
      <c r="E18" s="14">
        <f t="shared" si="0"/>
        <v>0</v>
      </c>
    </row>
    <row r="19" spans="1:9" x14ac:dyDescent="0.25">
      <c r="A19" s="31"/>
      <c r="B19" s="31"/>
      <c r="E19" s="14">
        <f t="shared" si="0"/>
        <v>0</v>
      </c>
    </row>
    <row r="20" spans="1:9" x14ac:dyDescent="0.25">
      <c r="A20" s="31"/>
      <c r="B20" s="31" t="s">
        <v>499</v>
      </c>
      <c r="C20">
        <v>0</v>
      </c>
      <c r="D20" s="5">
        <v>700</v>
      </c>
      <c r="E20" s="14">
        <f t="shared" si="0"/>
        <v>0</v>
      </c>
    </row>
    <row r="21" spans="1:9" x14ac:dyDescent="0.25">
      <c r="A21" s="31"/>
      <c r="B21" s="31"/>
      <c r="E21" s="14">
        <f t="shared" si="0"/>
        <v>0</v>
      </c>
    </row>
    <row r="22" spans="1:9" ht="15.75" thickBot="1" x14ac:dyDescent="0.3">
      <c r="A22" s="31"/>
      <c r="B22" s="31"/>
      <c r="E22" s="21">
        <f t="shared" si="0"/>
        <v>0</v>
      </c>
      <c r="F22" s="21"/>
    </row>
    <row r="23" spans="1:9" x14ac:dyDescent="0.25">
      <c r="F23" s="14">
        <f>SUM(E4:E22)</f>
        <v>1357.2</v>
      </c>
      <c r="I23" s="1"/>
    </row>
    <row r="26" spans="1:9" x14ac:dyDescent="0.25">
      <c r="F26"/>
    </row>
    <row r="27" spans="1:9" x14ac:dyDescent="0.25">
      <c r="F27"/>
    </row>
    <row r="28" spans="1:9" x14ac:dyDescent="0.25">
      <c r="F28"/>
    </row>
    <row r="29" spans="1:9" x14ac:dyDescent="0.25">
      <c r="F2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H17"/>
  <sheetViews>
    <sheetView workbookViewId="0">
      <selection activeCell="L12" sqref="L12"/>
    </sheetView>
  </sheetViews>
  <sheetFormatPr defaultRowHeight="15" x14ac:dyDescent="0.25"/>
  <cols>
    <col min="1" max="1" width="16.28515625" bestFit="1" customWidth="1"/>
    <col min="2" max="2" width="24.7109375" style="2" bestFit="1" customWidth="1"/>
    <col min="3" max="3" width="15.28515625" style="18" customWidth="1"/>
    <col min="4" max="4" width="15.28515625" style="2" customWidth="1"/>
    <col min="6" max="6" width="9.140625" style="5"/>
    <col min="7" max="7" width="9.140625" style="1"/>
  </cols>
  <sheetData>
    <row r="1" spans="1:8" s="3" customFormat="1" x14ac:dyDescent="0.25">
      <c r="B1" s="3" t="s">
        <v>425</v>
      </c>
      <c r="C1" s="16"/>
    </row>
    <row r="2" spans="1:8" s="15" customFormat="1" x14ac:dyDescent="0.25">
      <c r="A2" s="15" t="s">
        <v>327</v>
      </c>
      <c r="B2" s="3" t="s">
        <v>390</v>
      </c>
      <c r="C2" s="17" t="s">
        <v>706</v>
      </c>
      <c r="D2" s="31" t="s">
        <v>707</v>
      </c>
      <c r="E2" s="3" t="s">
        <v>501</v>
      </c>
      <c r="F2" s="8" t="s">
        <v>708</v>
      </c>
      <c r="G2" s="6" t="s">
        <v>709</v>
      </c>
      <c r="H2" s="15" t="s">
        <v>504</v>
      </c>
    </row>
    <row r="4" spans="1:8" x14ac:dyDescent="0.25">
      <c r="A4" s="12">
        <v>44355</v>
      </c>
      <c r="B4" s="2" t="s">
        <v>710</v>
      </c>
      <c r="C4" s="18">
        <v>0.79</v>
      </c>
      <c r="D4" s="2">
        <v>500</v>
      </c>
      <c r="E4">
        <v>1</v>
      </c>
      <c r="F4" s="5">
        <v>110</v>
      </c>
      <c r="G4" s="1">
        <f>+E4*F4</f>
        <v>110</v>
      </c>
    </row>
    <row r="5" spans="1:8" x14ac:dyDescent="0.25">
      <c r="A5" s="12">
        <v>44407</v>
      </c>
      <c r="B5" s="2" t="s">
        <v>710</v>
      </c>
      <c r="C5" s="18">
        <v>1</v>
      </c>
      <c r="D5" s="2">
        <f>24*10</f>
        <v>240</v>
      </c>
      <c r="E5">
        <v>1</v>
      </c>
      <c r="F5" s="5">
        <v>890</v>
      </c>
      <c r="G5" s="1">
        <f t="shared" ref="G5:G10" si="0">+E5*F5</f>
        <v>890</v>
      </c>
    </row>
    <row r="6" spans="1:8" x14ac:dyDescent="0.25">
      <c r="A6" s="12">
        <v>44435</v>
      </c>
      <c r="B6" s="2" t="s">
        <v>710</v>
      </c>
      <c r="E6">
        <v>1</v>
      </c>
      <c r="F6" s="5">
        <v>200</v>
      </c>
      <c r="G6" s="1">
        <f t="shared" si="0"/>
        <v>200</v>
      </c>
    </row>
    <row r="7" spans="1:8" x14ac:dyDescent="0.25">
      <c r="A7" s="12">
        <v>44454</v>
      </c>
      <c r="B7" s="2" t="s">
        <v>710</v>
      </c>
      <c r="E7">
        <v>1</v>
      </c>
      <c r="F7" s="5">
        <v>200</v>
      </c>
      <c r="G7" s="1">
        <f t="shared" si="0"/>
        <v>200</v>
      </c>
    </row>
    <row r="8" spans="1:8" x14ac:dyDescent="0.25">
      <c r="A8" t="s">
        <v>711</v>
      </c>
      <c r="B8" s="2" t="s">
        <v>712</v>
      </c>
      <c r="E8">
        <v>1</v>
      </c>
      <c r="F8" s="5">
        <v>1485</v>
      </c>
      <c r="G8" s="1">
        <f t="shared" si="0"/>
        <v>1485</v>
      </c>
    </row>
    <row r="9" spans="1:8" x14ac:dyDescent="0.25">
      <c r="B9" s="2" t="s">
        <v>713</v>
      </c>
      <c r="E9">
        <v>1</v>
      </c>
      <c r="F9" s="5">
        <v>140</v>
      </c>
      <c r="G9" s="1">
        <f t="shared" si="0"/>
        <v>140</v>
      </c>
    </row>
    <row r="10" spans="1:8" x14ac:dyDescent="0.25">
      <c r="B10" s="2" t="s">
        <v>714</v>
      </c>
      <c r="E10">
        <v>1</v>
      </c>
      <c r="F10" s="5">
        <v>70</v>
      </c>
      <c r="G10" s="1">
        <f t="shared" si="0"/>
        <v>70</v>
      </c>
    </row>
    <row r="11" spans="1:8" x14ac:dyDescent="0.25">
      <c r="B11" s="2" t="s">
        <v>715</v>
      </c>
      <c r="E11">
        <v>1</v>
      </c>
      <c r="F11" s="5">
        <v>70</v>
      </c>
      <c r="G11" s="1">
        <f t="shared" ref="G11" si="1">+E11*F11</f>
        <v>70</v>
      </c>
    </row>
    <row r="12" spans="1:8" x14ac:dyDescent="0.25">
      <c r="B12" s="2" t="s">
        <v>716</v>
      </c>
      <c r="E12">
        <v>1</v>
      </c>
      <c r="F12" s="5">
        <v>70</v>
      </c>
      <c r="G12" s="1">
        <f t="shared" ref="G12:G15" si="2">+E12*F12</f>
        <v>70</v>
      </c>
    </row>
    <row r="13" spans="1:8" x14ac:dyDescent="0.25">
      <c r="B13" s="2" t="s">
        <v>717</v>
      </c>
      <c r="E13">
        <v>1</v>
      </c>
      <c r="F13" s="5">
        <v>70</v>
      </c>
      <c r="G13" s="1">
        <f t="shared" si="2"/>
        <v>70</v>
      </c>
    </row>
    <row r="14" spans="1:8" x14ac:dyDescent="0.25">
      <c r="B14" s="2" t="s">
        <v>178</v>
      </c>
      <c r="C14" s="18" t="s">
        <v>178</v>
      </c>
      <c r="E14">
        <v>0</v>
      </c>
      <c r="F14" s="5">
        <v>0</v>
      </c>
      <c r="G14" s="1">
        <f t="shared" si="2"/>
        <v>0</v>
      </c>
    </row>
    <row r="15" spans="1:8" x14ac:dyDescent="0.25">
      <c r="B15" s="2" t="s">
        <v>178</v>
      </c>
      <c r="E15">
        <v>0</v>
      </c>
      <c r="F15" s="5">
        <v>0</v>
      </c>
      <c r="G15" s="1">
        <f t="shared" si="2"/>
        <v>0</v>
      </c>
    </row>
    <row r="16" spans="1:8" ht="15.75" thickBot="1" x14ac:dyDescent="0.3">
      <c r="G16" s="30"/>
      <c r="H16" s="23"/>
    </row>
    <row r="17" spans="4:8" x14ac:dyDescent="0.25">
      <c r="D17" s="2">
        <f>+SUM(D4:D16)</f>
        <v>740</v>
      </c>
      <c r="G17" s="15" t="s">
        <v>504</v>
      </c>
      <c r="H17" s="1">
        <f>+SUM(G4:G16)</f>
        <v>3305</v>
      </c>
    </row>
  </sheetData>
  <printOptions headings="1" gridLines="1"/>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G16"/>
  <sheetViews>
    <sheetView workbookViewId="0">
      <selection activeCell="B6" sqref="B6"/>
    </sheetView>
  </sheetViews>
  <sheetFormatPr defaultRowHeight="15" x14ac:dyDescent="0.25"/>
  <cols>
    <col min="1" max="1" width="24.7109375" style="2" bestFit="1" customWidth="1"/>
    <col min="2" max="2" width="24.7109375" style="2" customWidth="1"/>
    <col min="3" max="3" width="15.28515625" style="18" customWidth="1"/>
    <col min="4" max="4" width="10.140625" bestFit="1" customWidth="1"/>
  </cols>
  <sheetData>
    <row r="1" spans="1:7" s="3" customFormat="1" x14ac:dyDescent="0.25">
      <c r="A1" s="33" t="s">
        <v>464</v>
      </c>
      <c r="B1" s="33"/>
      <c r="C1" s="16"/>
    </row>
    <row r="2" spans="1:7" s="15" customFormat="1" x14ac:dyDescent="0.25">
      <c r="A2" s="3" t="s">
        <v>390</v>
      </c>
      <c r="B2" s="3" t="s">
        <v>337</v>
      </c>
      <c r="C2" s="17" t="s">
        <v>718</v>
      </c>
      <c r="D2" s="15" t="s">
        <v>504</v>
      </c>
      <c r="E2" s="632" t="s">
        <v>719</v>
      </c>
      <c r="F2" s="388"/>
      <c r="G2" s="27">
        <v>20</v>
      </c>
    </row>
    <row r="4" spans="1:7" x14ac:dyDescent="0.25">
      <c r="A4" s="2" t="s">
        <v>352</v>
      </c>
      <c r="B4" s="2">
        <v>0</v>
      </c>
      <c r="C4" s="18">
        <v>800</v>
      </c>
      <c r="D4" s="5">
        <f>+B4*C4</f>
        <v>0</v>
      </c>
    </row>
    <row r="5" spans="1:7" x14ac:dyDescent="0.25">
      <c r="A5" s="2" t="s">
        <v>720</v>
      </c>
      <c r="B5" s="2">
        <v>0</v>
      </c>
      <c r="C5" s="18">
        <v>28.46</v>
      </c>
      <c r="D5" s="5">
        <f t="shared" ref="D5:D14" si="0">+B5*C5</f>
        <v>0</v>
      </c>
    </row>
    <row r="6" spans="1:7" x14ac:dyDescent="0.25">
      <c r="A6" s="2" t="s">
        <v>721</v>
      </c>
      <c r="B6" s="2" t="s">
        <v>722</v>
      </c>
      <c r="C6" s="18">
        <v>1</v>
      </c>
      <c r="D6" s="5">
        <v>32.979999999999997</v>
      </c>
    </row>
    <row r="7" spans="1:7" x14ac:dyDescent="0.25">
      <c r="A7" s="2" t="s">
        <v>723</v>
      </c>
      <c r="D7" s="5">
        <f t="shared" si="0"/>
        <v>0</v>
      </c>
    </row>
    <row r="8" spans="1:7" x14ac:dyDescent="0.25">
      <c r="A8" s="2" t="s">
        <v>723</v>
      </c>
      <c r="D8" s="5">
        <f t="shared" si="0"/>
        <v>0</v>
      </c>
    </row>
    <row r="9" spans="1:7" x14ac:dyDescent="0.25">
      <c r="A9" s="2" t="s">
        <v>724</v>
      </c>
      <c r="C9" s="18">
        <v>1000</v>
      </c>
      <c r="D9" s="5">
        <f t="shared" si="0"/>
        <v>0</v>
      </c>
    </row>
    <row r="10" spans="1:7" x14ac:dyDescent="0.25">
      <c r="A10" s="2" t="s">
        <v>725</v>
      </c>
      <c r="D10" s="5">
        <f t="shared" si="0"/>
        <v>0</v>
      </c>
    </row>
    <row r="11" spans="1:7" x14ac:dyDescent="0.25">
      <c r="A11" s="2" t="s">
        <v>726</v>
      </c>
      <c r="B11" s="2">
        <v>1</v>
      </c>
      <c r="C11" s="18">
        <v>19156.97</v>
      </c>
      <c r="D11" s="5">
        <f t="shared" si="0"/>
        <v>19156.97</v>
      </c>
    </row>
    <row r="12" spans="1:7" x14ac:dyDescent="0.25">
      <c r="A12" s="2" t="s">
        <v>727</v>
      </c>
      <c r="B12" s="2">
        <v>0</v>
      </c>
      <c r="C12" s="18">
        <v>5500</v>
      </c>
      <c r="D12" s="5">
        <f t="shared" si="0"/>
        <v>0</v>
      </c>
    </row>
    <row r="13" spans="1:7" x14ac:dyDescent="0.25">
      <c r="A13" s="2" t="s">
        <v>728</v>
      </c>
      <c r="C13" s="18">
        <v>1604326</v>
      </c>
      <c r="D13" s="5">
        <f t="shared" si="0"/>
        <v>0</v>
      </c>
    </row>
    <row r="14" spans="1:7" x14ac:dyDescent="0.25">
      <c r="A14" s="2" t="s">
        <v>729</v>
      </c>
      <c r="C14" s="18">
        <v>228556</v>
      </c>
      <c r="D14" s="5">
        <f t="shared" si="0"/>
        <v>0</v>
      </c>
    </row>
    <row r="15" spans="1:7" ht="15.75" thickBot="1" x14ac:dyDescent="0.3">
      <c r="A15" s="2" t="s">
        <v>730</v>
      </c>
      <c r="B15" s="2">
        <v>0</v>
      </c>
      <c r="C15" s="18">
        <v>400</v>
      </c>
      <c r="D15" s="23">
        <v>0</v>
      </c>
    </row>
    <row r="16" spans="1:7" x14ac:dyDescent="0.25">
      <c r="D16" s="1">
        <f>SUM(D4:D15)</f>
        <v>19189.95</v>
      </c>
    </row>
  </sheetData>
  <mergeCells count="1">
    <mergeCell ref="E2:F2"/>
  </mergeCells>
  <printOptions headings="1" gridLine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Props1.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2.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3.xml><?xml version="1.0" encoding="utf-8"?>
<ds:datastoreItem xmlns:ds="http://schemas.openxmlformats.org/officeDocument/2006/customXml" ds:itemID="{17F5EC78-4FFD-486F-8437-514CC02DB5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5.xml><?xml version="1.0" encoding="utf-8"?>
<ds:datastoreItem xmlns:ds="http://schemas.openxmlformats.org/officeDocument/2006/customXml" ds:itemID="{C8DEC3D8-E357-4A8C-AFF9-645AD3C1C068}">
  <ds:schemaRefs>
    <ds:schemaRef ds:uri="http://schemas.microsoft.com/DataMashup"/>
  </ds:schemaRefs>
</ds:datastoreItem>
</file>

<file path=customXml/itemProps6.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7.xml><?xml version="1.0" encoding="utf-8"?>
<ds:datastoreItem xmlns:ds="http://schemas.openxmlformats.org/officeDocument/2006/customXml" ds:itemID="{98C4DA37-4AFD-4CD2-9A66-0C8B8DF4AF27}">
  <ds:schemaRefs>
    <ds:schemaRef ds:uri="http://schemas.microsoft.com/office/2006/metadata/properties"/>
    <ds:schemaRef ds:uri="http://schemas.microsoft.com/office/infopath/2007/PartnerControls"/>
    <ds:schemaRef ds:uri="42cc25d9-27fe-4f07-accb-ded05ec47eee"/>
    <ds:schemaRef ds:uri="ab9fedca-001d-4cc9-b244-d9c3be5a27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7</vt:i4>
      </vt:variant>
    </vt:vector>
  </HeadingPairs>
  <TitlesOfParts>
    <vt:vector size="31" baseType="lpstr">
      <vt:lpstr>Profit</vt:lpstr>
      <vt:lpstr>Trade Properties</vt:lpstr>
      <vt:lpstr>MOG</vt:lpstr>
      <vt:lpstr>Todo</vt:lpstr>
      <vt:lpstr>Contact</vt:lpstr>
      <vt:lpstr>Carrying</vt:lpstr>
      <vt:lpstr>Proposal</vt:lpstr>
      <vt:lpstr>ProposalUpdate</vt:lpstr>
      <vt:lpstr>Gnatt Chart</vt:lpstr>
      <vt:lpstr>Taxes</vt:lpstr>
      <vt:lpstr>Financing</vt:lpstr>
      <vt:lpstr>Seller Advance</vt:lpstr>
      <vt:lpstr>MISC 2</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Milestone_Marker</vt:lpstr>
      <vt:lpstr>Project_Start</vt:lpstr>
      <vt:lpstr>Scrolling_Increment</vt:lpstr>
      <vt:lpstr>tradeMonthlyNetSpread</vt:lpstr>
      <vt:lpstr>tradeNetCreditIncluded</vt:lpstr>
      <vt:lpstr>tradePropertyConditionsForDocs</vt:lpstr>
      <vt:lpstr>tradePropertyListForDocs</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dcterms:created xsi:type="dcterms:W3CDTF">2019-07-25T11:32:14Z</dcterms:created>
  <dcterms:modified xsi:type="dcterms:W3CDTF">2026-06-30T17:06:22Z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