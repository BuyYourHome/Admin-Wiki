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6.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4.xml" ContentType="application/vnd.openxmlformats-officedocument.spreadsheetml.queryTable+xml"/>
  <Override PartName="/xl/drawings/drawing3.xml" ContentType="application/vnd.openxmlformats-officedocument.drawing+xml"/>
  <Override PartName="/xl/ink/ink1.xml" ContentType="application/inkml+xml"/>
  <Override PartName="/xl/drawings/drawing4.xml" ContentType="application/vnd.openxmlformats-officedocument.drawing+xml"/>
  <Override PartName="/xl/ink/ink2.xml" ContentType="application/inkml+xml"/>
  <Override PartName="/xl/drawings/drawing5.xml" ContentType="application/vnd.openxmlformats-officedocument.drawing+xml"/>
  <Override PartName="/xl/ink/ink3.xml" ContentType="application/inkml+xml"/>
  <Override PartName="/xl/drawings/drawing6.xml" ContentType="application/vnd.openxmlformats-officedocument.drawing+xml"/>
  <Override PartName="/xl/ink/ink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Codex\Wiki Files\Project Rooms\Project Management Spreadsheet Redesign\working\worksheet-migration\trade-properties\20260630-130540\workbooks\"/>
    </mc:Choice>
  </mc:AlternateContent>
  <xr:revisionPtr revIDLastSave="0" documentId="13_ncr:1_{F7A30C24-DC0F-45F1-9E84-9777C323A457}" xr6:coauthVersionLast="47" xr6:coauthVersionMax="47" xr10:uidLastSave="{00000000-0000-0000-0000-000000000000}"/>
  <bookViews>
    <workbookView xWindow="-120" yWindow="-120" windowWidth="38640" windowHeight="15720" tabRatio="889" activeTab="1" xr2:uid="{00000000-000D-0000-FFFF-FFFF00000000}"/>
  </bookViews>
  <sheets>
    <sheet name="Profit" sheetId="1" r:id="rId1"/>
    <sheet name="Trade Properties" sheetId="58" r:id="rId2"/>
    <sheet name="MOG" sheetId="33" r:id="rId3"/>
    <sheet name="Contact" sheetId="10" r:id="rId4"/>
    <sheet name="Carrying" sheetId="53" r:id="rId5"/>
    <sheet name="Contract" sheetId="36" r:id="rId6"/>
    <sheet name="UpdateContract" sheetId="47" r:id="rId7"/>
    <sheet name="Gnatt Chart" sheetId="37" r:id="rId8"/>
    <sheet name="Recap" sheetId="52" r:id="rId9"/>
    <sheet name="Taxes" sheetId="48" r:id="rId10"/>
    <sheet name="Seller Advance" sheetId="9" r:id="rId11"/>
    <sheet name="MISC" sheetId="50" r:id="rId12"/>
    <sheet name="Demo &amp; Trash Haul" sheetId="21" r:id="rId13"/>
    <sheet name="Appliances" sheetId="15" r:id="rId14"/>
    <sheet name="Plumbing Fixtures" sheetId="22" r:id="rId15"/>
    <sheet name="Windows &amp; Doors" sheetId="20" r:id="rId16"/>
    <sheet name="Cabinets" sheetId="6" r:id="rId17"/>
    <sheet name="Paint" sheetId="4" r:id="rId18"/>
    <sheet name="Flooring" sheetId="3" r:id="rId19"/>
    <sheet name="HVAC" sheetId="18" r:id="rId20"/>
    <sheet name="Electrical Fixtures" sheetId="35" r:id="rId21"/>
    <sheet name="Landscape" sheetId="13" r:id="rId22"/>
    <sheet name="Exterior" sheetId="16" r:id="rId23"/>
    <sheet name="2023" sheetId="54" r:id="rId24"/>
    <sheet name="2022" sheetId="55" r:id="rId25"/>
    <sheet name="2021" sheetId="56" r:id="rId26"/>
    <sheet name="2020" sheetId="57" r:id="rId27"/>
  </sheets>
  <externalReferences>
    <externalReference r:id="rId28"/>
  </externalReferences>
  <definedNames>
    <definedName name="_xlnm._FilterDatabase" localSheetId="7" hidden="1">'Gnatt Chart'!$A$1:$DU$28</definedName>
    <definedName name="baseCost">#REF!</definedName>
    <definedName name="BaseDepth">_xlfn.LAMBDA(_xlpm.i,_xlpm.editsIdxTxt,_xlpm.editsParentKeyTxt,_xlpm.baseIdxTxt,_xlpm.baseCost,   IF(_xlpm.i="0", 0,      IF(BaseFlagOf(_xlpm.i, _xlpm.baseIdxTxt, _xlpm.baseCost),         1 + BaseDepth( ParentOf(_xlpm.i,_xlpm.editsIdxTxt,_xlpm.editsParentKeyTxt),                        _xlpm.editsIdxTxt,_xlpm.editsParentKeyTxt, _xlpm.baseIdxTxt,_xlpm.baseCost),         0      )   ) )</definedName>
    <definedName name="BaseDepthL">_xlfn.LAMBDA(_xlpm.i,_xlpm.limit,_xlpm.editsIdxTxt,_xlpm.editsParentKeyTxt,_xlpm.baseIdxTxt,_xlpm.baseCost,   IF(_xlpm.limit&lt;=0, 0,     IF(_xlpm.i="0", 0,       IF(         ISNUMBER(SEARCH("BASE PARENT", UPPER(_xlfn.XLOOKUP(TEXT(_xlpm.i,"0"), _xlpm.baseIdxTxt, _xlpm.baseCost, "")))),         1 + BaseDepthL(               IF(                 TEXT(_xlfn.IFNA(_xlfn.XLOOKUP(TEXT(_xlpm.i,"0"), _xlpm.editsIdxTxt, _xlpm.editsParentKeyTxt),"0"),"0")                 = TEXT(_xlpm.i,"0"),                 "0",                 TEXT(_xlfn.IFNA(_xlfn.XLOOKUP(TEXT(_xlpm.i,"0"), _xlpm.editsIdxTxt, _xlpm.editsParentKeyTxt),"0"),"0")               ),               _xlpm.limit-1,               _xlpm.editsIdxTxt, _xlpm.editsParentKeyTxt, _xlpm.baseIdxTxt, _xlpm.baseCost             ),         0       )     )   ) )</definedName>
    <definedName name="BaseFlagOf">_xlfn.LAMBDA(_xlpm.i,_xlpm.baseIdxTxt,_xlpm.baseCost,   --ISNUMBER(SEARCH("BASE PARENT", UPPER(_xlfn.XLOOKUP(TEXT(_xlpm.i,"0"), _xlpm.baseIdxTxt, _xlpm.baseCost, "")))) )</definedName>
    <definedName name="baseIdxTxt">TEXT(#REF!,"0")</definedName>
    <definedName name="cfdContractDate">[1]Amortization!$J$13</definedName>
    <definedName name="cfdContractMonths">[1]Amortization!$P$14</definedName>
    <definedName name="cfdEndDate">[1]Amortization!$S$14</definedName>
    <definedName name="cfdFirstRateMonths">[1]Amortization!$P$13</definedName>
    <definedName name="cfdRate1">[1]Amortization!$O$8</definedName>
    <definedName name="cfdRate1Payment">[1]Amortization!$V$8</definedName>
    <definedName name="cfdRate2">[1]Amortization!$O$11</definedName>
    <definedName name="cfdRate2Payment">[1]Amortization!$V$11</definedName>
    <definedName name="cfdRateChangeDate">[1]Amortization!$S$13</definedName>
    <definedName name="DepTitlesUsed">_xlfn.ANCHORARRAY(#REF!)</definedName>
    <definedName name="downPaymentRefinancedFirstMortgage">[1]Amortization!$AH$5</definedName>
    <definedName name="editsIdxTxt">TEXT(#REF!,"0")</definedName>
    <definedName name="editsParentKeyTxt">TEXT(#REF!,"0")</definedName>
    <definedName name="ExternalData_2" localSheetId="8" hidden="1">'Recap'!$N$4:$S$25</definedName>
    <definedName name="ExternalData_3" localSheetId="6" hidden="1">UpdateContract!$B$4:$H$64</definedName>
    <definedName name="ExternalData_4" localSheetId="7" hidden="1">'Gnatt Chart'!$A$29:$O$89</definedName>
    <definedName name="Milestone_Marker" localSheetId="1">'[1]Gnatt Chart'!$G$4</definedName>
    <definedName name="Milestone_Marker">'Gnatt Chart'!$G$4</definedName>
    <definedName name="NearestBase">_xlfn.LAMBDA(_xlpm.i,_xlpm.editsIdxTxt,_xlpm.editsParentKeyTxt,_xlpm.baseIdxTxt,_xlpm.baseCost,   IF(_xlpm.i="0", "0",      IF(BaseFlagOf(_xlpm.i, _xlpm.baseIdxTxt, _xlpm.baseCost),         TEXT(_xlpm.i,"0"),         NearestBase( ParentOf(_xlpm.i,_xlpm.editsIdxTxt,_xlpm.editsParentKeyTxt),                      _xlpm.editsIdxTxt,_xlpm.editsParentKeyTxt, _xlpm.baseIdxTxt,_xlpm.baseCost)      )   ) )</definedName>
    <definedName name="NearestBaseL">_xlfn.LAMBDA(_xlpm.i,_xlpm.limit,_xlpm.editsIdxTxt,_xlpm.editsParentKeyTxt,_xlpm.baseIdxTxt,_xlpm.baseCost,   IF(_xlpm.limit&lt;=0, "0",     IF(_xlpm.i="0", "0",       IF(         ISNUMBER(SEARCH("BASE PARENT", UPPER(_xlfn.XLOOKUP(TEXT(_xlpm.i,"0"), _xlpm.baseIdxTxt, _xlpm.baseCost, "")))),         TEXT(_xlpm.i,"0"),         NearestBaseL(           IF(             TEXT(_xlfn.IFNA(_xlfn.XLOOKUP(TEXT(_xlpm.i,"0"), _xlpm.editsIdxTxt, _xlpm.editsParentKeyTxt),"0"),"0")             = TEXT(_xlpm.i,"0"),             "0",             TEXT(_xlfn.IFNA(_xlfn.XLOOKUP(TEXT(_xlpm.i,"0"), _xlpm.editsIdxTxt, _xlpm.editsParentKeyTxt),"0"),"0")           ),           _xlpm.limit-1,           _xlpm.editsIdxTxt, _xlpm.editsParentKeyTxt, _xlpm.baseIdxTxt, _xlpm.baseCost         )       )     )   ) )</definedName>
    <definedName name="ParentOf">_xlfn.LAMBDA(_xlpm.i,_xlpm.editsIdxTxt,_xlpm.editsParentKeyTxt,   _xlfn.LET(_xlpm.p, _xlfn.IFNA(_xlfn.XLOOKUP(TEXT(_xlpm.i,"0"), _xlpm.editsIdxTxt, _xlpm.editsParentKeyTxt), "0"),       IF(TEXT(_xlpm.p,"0")=TEXT(_xlpm.i,"0"), "0", TEXT(_xlpm.p,"0"))) )</definedName>
    <definedName name="Project_Start" localSheetId="1">'[1]Gnatt Chart'!$F$2</definedName>
    <definedName name="Project_Start">'Gnatt Chart'!$F$2</definedName>
    <definedName name="ProposalToGnatt__2" localSheetId="8" hidden="1">'Recap'!$A$4:$G$47</definedName>
    <definedName name="Scrolling_Increment" localSheetId="1">'[1]Gnatt Chart'!$AB$24</definedName>
    <definedName name="Scrolling_Increment">'Gnatt Chart'!$AB$26</definedName>
    <definedName name="subjectInterestRate">[1]Amortization!$D$4</definedName>
    <definedName name="subjectKnownBalance">[1]Amortization!$D$3</definedName>
    <definedName name="subjectKnownBalanceDate">[1]Amortization!$D$7</definedName>
    <definedName name="subjectMortgageEndDate">[1]Amortization!$D$8</definedName>
    <definedName name="subjectPayment">[1]Amortization!$D$6</definedName>
    <definedName name="subjectRemainingMonths">[1]Amortization!$E$5</definedName>
    <definedName name="Today" localSheetId="7">TODAY()</definedName>
    <definedName name="tradeMonthlyNetSpread">'Trade Properties'!$T$13</definedName>
    <definedName name="tradeNetCreditIncluded">'Trade Properties'!$T$10</definedName>
    <definedName name="tradePropertyConditionsForDocs">'Trade Properties'!$T$21</definedName>
    <definedName name="tradePropertyListForDocs">'Trade Properties'!$T$20</definedName>
  </definedNames>
  <calcPr calcId="191029" iterate="1" iterateDelta="1E-4"/>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cap_93f76440-af07-4f37-8bb6-5797315de35b" name="Recap" connection="Query - Reca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58" l="1"/>
  <c r="K16" i="58"/>
  <c r="H16" i="58"/>
  <c r="I16" i="58" s="1"/>
  <c r="D16" i="58"/>
  <c r="B16" i="58"/>
  <c r="A16" i="58"/>
  <c r="S15" i="58"/>
  <c r="K15" i="58"/>
  <c r="H15" i="58"/>
  <c r="I15" i="58" s="1"/>
  <c r="D15" i="58"/>
  <c r="B15" i="58"/>
  <c r="A15" i="58"/>
  <c r="K14" i="58"/>
  <c r="H14" i="58"/>
  <c r="D14" i="58"/>
  <c r="B14" i="58"/>
  <c r="A14" i="58"/>
  <c r="G6" i="58"/>
  <c r="E6" i="58"/>
  <c r="D6" i="58"/>
  <c r="C6" i="58"/>
  <c r="H5" i="58"/>
  <c r="K5" i="58" s="1"/>
  <c r="J5" i="58"/>
  <c r="S4" i="58"/>
  <c r="J4" i="58"/>
  <c r="H4" i="58"/>
  <c r="F6" i="58"/>
  <c r="K47" i="1"/>
  <c r="K44" i="1"/>
  <c r="D43" i="1"/>
  <c r="E15" i="1"/>
  <c r="H69" i="1"/>
  <c r="D13" i="1"/>
  <c r="C11" i="57"/>
  <c r="C10" i="57"/>
  <c r="C9" i="57"/>
  <c r="C8" i="57"/>
  <c r="C7" i="57"/>
  <c r="C6" i="57"/>
  <c r="C5" i="57"/>
  <c r="C4" i="57"/>
  <c r="C3" i="57"/>
  <c r="C11" i="56"/>
  <c r="C10" i="56"/>
  <c r="C9" i="56"/>
  <c r="C8" i="56"/>
  <c r="C7" i="56"/>
  <c r="C6" i="56"/>
  <c r="C5" i="56"/>
  <c r="C4" i="56"/>
  <c r="C3" i="56"/>
  <c r="C11" i="55"/>
  <c r="C10" i="55"/>
  <c r="C9" i="55"/>
  <c r="C8" i="55"/>
  <c r="C7" i="55"/>
  <c r="C6" i="55"/>
  <c r="C5" i="55"/>
  <c r="C4" i="55"/>
  <c r="C3" i="55"/>
  <c r="C11" i="54"/>
  <c r="C9" i="54"/>
  <c r="C8" i="54"/>
  <c r="C7" i="54"/>
  <c r="C6" i="54"/>
  <c r="F5" i="54"/>
  <c r="C5" i="54" s="1"/>
  <c r="C4" i="54"/>
  <c r="C3" i="54"/>
  <c r="T20" i="58" l="1"/>
  <c r="J6" i="58"/>
  <c r="C15" i="58"/>
  <c r="E15" i="58" s="1"/>
  <c r="C16" i="58"/>
  <c r="E16" i="58" s="1"/>
  <c r="F16" i="58" s="1"/>
  <c r="C14" i="58"/>
  <c r="C17" i="58" s="1"/>
  <c r="S7" i="58" s="1"/>
  <c r="H3" i="58"/>
  <c r="K3" i="58" s="1"/>
  <c r="J3" i="58"/>
  <c r="H17" i="58"/>
  <c r="K17" i="58"/>
  <c r="S5" i="58" s="1"/>
  <c r="K4" i="58"/>
  <c r="I4" i="58"/>
  <c r="D17" i="58"/>
  <c r="S6" i="58" s="1"/>
  <c r="I14" i="58"/>
  <c r="I5" i="58"/>
  <c r="C10" i="54"/>
  <c r="J71" i="1"/>
  <c r="T32" i="53"/>
  <c r="T33" i="53" s="1"/>
  <c r="T34" i="53" s="1"/>
  <c r="T35" i="53" s="1"/>
  <c r="T36" i="53" s="1"/>
  <c r="T37" i="53" s="1"/>
  <c r="T38" i="53" s="1"/>
  <c r="T39" i="53" s="1"/>
  <c r="T40" i="53" s="1"/>
  <c r="T41" i="53" s="1"/>
  <c r="T42" i="53" s="1"/>
  <c r="T43" i="53" s="1"/>
  <c r="T44" i="53" s="1"/>
  <c r="T45" i="53" s="1"/>
  <c r="T46" i="53" s="1"/>
  <c r="T47" i="53" s="1"/>
  <c r="W5" i="53"/>
  <c r="E5" i="53"/>
  <c r="E6" i="53" s="1"/>
  <c r="T5" i="53"/>
  <c r="T6" i="53" s="1"/>
  <c r="K5" i="53"/>
  <c r="K6" i="53" s="1"/>
  <c r="E14" i="58" l="1"/>
  <c r="F14" i="58" s="1"/>
  <c r="H6" i="58"/>
  <c r="K6" i="58" s="1"/>
  <c r="F15" i="58"/>
  <c r="E17" i="58"/>
  <c r="S8" i="58" s="1"/>
  <c r="I3" i="58"/>
  <c r="N3" i="58" s="1"/>
  <c r="I17" i="58"/>
  <c r="S3" i="58"/>
  <c r="O5" i="58"/>
  <c r="G16" i="58" s="1"/>
  <c r="M5" i="58"/>
  <c r="N5" i="58"/>
  <c r="L5" i="58"/>
  <c r="M4" i="58"/>
  <c r="L4" i="58"/>
  <c r="O4" i="58"/>
  <c r="G15" i="58" s="1"/>
  <c r="N4" i="58"/>
  <c r="F71" i="1"/>
  <c r="X5" i="53"/>
  <c r="U5" i="53"/>
  <c r="U6" i="53" s="1"/>
  <c r="W6" i="53"/>
  <c r="E7" i="53"/>
  <c r="T7" i="53"/>
  <c r="K7" i="53"/>
  <c r="L5" i="53"/>
  <c r="L6" i="53" s="1"/>
  <c r="F17" i="58" l="1"/>
  <c r="S9" i="58" s="1"/>
  <c r="S13" i="58" s="1"/>
  <c r="L3" i="58"/>
  <c r="O3" i="58"/>
  <c r="G14" i="58" s="1"/>
  <c r="G17" i="58" s="1"/>
  <c r="I6" i="58"/>
  <c r="N6" i="58" s="1"/>
  <c r="M3" i="58"/>
  <c r="U7" i="53"/>
  <c r="J69" i="1"/>
  <c r="W7" i="53"/>
  <c r="E8" i="53"/>
  <c r="T8" i="53"/>
  <c r="L7" i="53"/>
  <c r="K8" i="53"/>
  <c r="R49" i="53"/>
  <c r="O49" i="53"/>
  <c r="C49" i="53"/>
  <c r="I5" i="53"/>
  <c r="I6" i="53" s="1"/>
  <c r="H5" i="53"/>
  <c r="H6" i="53" s="1"/>
  <c r="H7" i="53" s="1"/>
  <c r="S11" i="58" l="1"/>
  <c r="S12" i="58"/>
  <c r="L6" i="58"/>
  <c r="O6" i="58"/>
  <c r="M6" i="58"/>
  <c r="U8" i="53"/>
  <c r="H8" i="53"/>
  <c r="H9" i="53" s="1"/>
  <c r="H10" i="53" s="1"/>
  <c r="I7" i="53"/>
  <c r="H56" i="1"/>
  <c r="B40" i="1" s="1"/>
  <c r="H40" i="1" s="1"/>
  <c r="B20" i="1"/>
  <c r="X7" i="53"/>
  <c r="W8" i="53"/>
  <c r="X8" i="53" s="1"/>
  <c r="E9" i="53"/>
  <c r="T9" i="53"/>
  <c r="L8" i="53"/>
  <c r="K9" i="53"/>
  <c r="U9" i="53" l="1"/>
  <c r="I8" i="53"/>
  <c r="I9" i="53" s="1"/>
  <c r="I10" i="53" s="1"/>
  <c r="B39" i="1"/>
  <c r="H39" i="1" s="1"/>
  <c r="H11" i="53"/>
  <c r="W9" i="53"/>
  <c r="X9" i="53" s="1"/>
  <c r="E10" i="53"/>
  <c r="F10" i="53" s="1"/>
  <c r="T10" i="53"/>
  <c r="K10" i="53"/>
  <c r="L9" i="53"/>
  <c r="U10" i="53" l="1"/>
  <c r="I11" i="53"/>
  <c r="H12" i="53"/>
  <c r="W10" i="53"/>
  <c r="X10" i="53" s="1"/>
  <c r="E11" i="53"/>
  <c r="F11" i="53" s="1"/>
  <c r="T11" i="53"/>
  <c r="L10" i="53"/>
  <c r="U11" i="53" l="1"/>
  <c r="I12" i="53"/>
  <c r="W11" i="53"/>
  <c r="X11" i="53" s="1"/>
  <c r="H13" i="53"/>
  <c r="I13" i="53" s="1"/>
  <c r="E12" i="53"/>
  <c r="T12" i="53"/>
  <c r="U12" i="53" l="1"/>
  <c r="H14" i="53"/>
  <c r="H15" i="53" s="1"/>
  <c r="W12" i="53"/>
  <c r="X12" i="53" s="1"/>
  <c r="E13" i="53"/>
  <c r="F13" i="53" s="1"/>
  <c r="T13" i="53"/>
  <c r="L13" i="53"/>
  <c r="C49" i="1"/>
  <c r="O4" i="37"/>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M4" i="37" a="1"/>
  <c r="M4" i="37" s="1"/>
  <c r="E26" i="35"/>
  <c r="E25" i="35"/>
  <c r="E23" i="35"/>
  <c r="E22" i="35"/>
  <c r="E34" i="20"/>
  <c r="E33" i="20"/>
  <c r="E32" i="20"/>
  <c r="E31" i="20"/>
  <c r="D18" i="16"/>
  <c r="E30" i="20"/>
  <c r="D17" i="16"/>
  <c r="D16" i="16"/>
  <c r="E29" i="20"/>
  <c r="E28" i="20"/>
  <c r="E27" i="20"/>
  <c r="E26" i="20"/>
  <c r="E20" i="22"/>
  <c r="F20" i="22" s="1"/>
  <c r="E19" i="22"/>
  <c r="F19" i="22" s="1"/>
  <c r="E18" i="22"/>
  <c r="F18" i="22" s="1"/>
  <c r="E17" i="22"/>
  <c r="F17" i="22" s="1"/>
  <c r="E16" i="22"/>
  <c r="F16" i="22" s="1"/>
  <c r="E15" i="22"/>
  <c r="F15" i="22" s="1"/>
  <c r="E14" i="22"/>
  <c r="F14" i="22" s="1"/>
  <c r="E13" i="22"/>
  <c r="F13" i="22" s="1"/>
  <c r="E12" i="22"/>
  <c r="F12" i="22" s="1"/>
  <c r="E11" i="22"/>
  <c r="F11" i="22" s="1"/>
  <c r="E10" i="22"/>
  <c r="F10" i="22" s="1"/>
  <c r="E9" i="22"/>
  <c r="G7" i="4"/>
  <c r="H7" i="4" s="1"/>
  <c r="G6" i="4"/>
  <c r="H6" i="4" s="1"/>
  <c r="A4" i="37"/>
  <c r="N2" i="52"/>
  <c r="D15" i="16"/>
  <c r="D14" i="16"/>
  <c r="D13" i="16"/>
  <c r="D12" i="16"/>
  <c r="D11" i="16"/>
  <c r="D10" i="16"/>
  <c r="D9" i="16"/>
  <c r="D8" i="16"/>
  <c r="D7" i="16"/>
  <c r="D6" i="16"/>
  <c r="D5" i="16"/>
  <c r="D4" i="16"/>
  <c r="F15" i="13"/>
  <c r="F14" i="13"/>
  <c r="F13" i="13"/>
  <c r="F12" i="13"/>
  <c r="F11" i="13"/>
  <c r="F10" i="13"/>
  <c r="F9" i="13"/>
  <c r="F8" i="13"/>
  <c r="F7" i="13"/>
  <c r="F6" i="13"/>
  <c r="C5" i="13"/>
  <c r="C17" i="13" s="1"/>
  <c r="F4" i="13"/>
  <c r="E24" i="35"/>
  <c r="E21" i="35"/>
  <c r="E20" i="35"/>
  <c r="E19" i="35"/>
  <c r="E18" i="35"/>
  <c r="E17" i="35"/>
  <c r="E16" i="35"/>
  <c r="E15" i="35"/>
  <c r="E14" i="35"/>
  <c r="E13" i="35"/>
  <c r="E12" i="35"/>
  <c r="E11" i="35"/>
  <c r="E10" i="35"/>
  <c r="E9" i="35"/>
  <c r="E8" i="35"/>
  <c r="E7" i="35"/>
  <c r="E6" i="35"/>
  <c r="E5" i="35"/>
  <c r="E4" i="35"/>
  <c r="E12" i="18"/>
  <c r="E11" i="18"/>
  <c r="E10" i="18"/>
  <c r="E9" i="18"/>
  <c r="E8" i="18"/>
  <c r="E7" i="18"/>
  <c r="E6" i="18"/>
  <c r="E5" i="18"/>
  <c r="E4" i="18"/>
  <c r="J10" i="3"/>
  <c r="F6" i="3"/>
  <c r="F5" i="3"/>
  <c r="F4" i="3"/>
  <c r="E4" i="3"/>
  <c r="B3" i="3"/>
  <c r="B4" i="3" s="1"/>
  <c r="G30" i="4"/>
  <c r="G29" i="4"/>
  <c r="G28" i="4"/>
  <c r="G23" i="4"/>
  <c r="H23" i="4" s="1"/>
  <c r="G22" i="4"/>
  <c r="H22" i="4" s="1"/>
  <c r="G21" i="4"/>
  <c r="H21" i="4" s="1"/>
  <c r="G20" i="4"/>
  <c r="H20" i="4" s="1"/>
  <c r="G19" i="4"/>
  <c r="H19" i="4" s="1"/>
  <c r="G14" i="4"/>
  <c r="H14" i="4" s="1"/>
  <c r="G13" i="4"/>
  <c r="H13" i="4" s="1"/>
  <c r="F12" i="4"/>
  <c r="G12" i="4" s="1"/>
  <c r="H12" i="4" s="1"/>
  <c r="D12" i="4"/>
  <c r="G11" i="4"/>
  <c r="H11" i="4" s="1"/>
  <c r="D11" i="4"/>
  <c r="G10" i="4"/>
  <c r="H10" i="4" s="1"/>
  <c r="G9" i="4"/>
  <c r="H9" i="4" s="1"/>
  <c r="F8" i="4"/>
  <c r="G8" i="4" s="1"/>
  <c r="H8" i="4" s="1"/>
  <c r="D8" i="4"/>
  <c r="G5" i="4"/>
  <c r="G4" i="4"/>
  <c r="H4" i="4" s="1"/>
  <c r="D4" i="4"/>
  <c r="H3" i="4"/>
  <c r="B3" i="4"/>
  <c r="B30" i="4" s="1"/>
  <c r="E41" i="6"/>
  <c r="F41" i="6" s="1"/>
  <c r="E40" i="6"/>
  <c r="F40" i="6" s="1"/>
  <c r="E39" i="6"/>
  <c r="F39" i="6" s="1"/>
  <c r="E38" i="6"/>
  <c r="F38" i="6" s="1"/>
  <c r="E37" i="6"/>
  <c r="E36" i="6"/>
  <c r="F36" i="6" s="1"/>
  <c r="E30" i="6"/>
  <c r="F30" i="6" s="1"/>
  <c r="E29" i="6"/>
  <c r="E28" i="6"/>
  <c r="F28" i="6" s="1"/>
  <c r="E27" i="6"/>
  <c r="F27" i="6" s="1"/>
  <c r="E26" i="6"/>
  <c r="F26" i="6" s="1"/>
  <c r="E22" i="6"/>
  <c r="F22" i="6" s="1"/>
  <c r="E21" i="6"/>
  <c r="F21" i="6" s="1"/>
  <c r="E20" i="6"/>
  <c r="F20" i="6" s="1"/>
  <c r="E19" i="6"/>
  <c r="F19" i="6" s="1"/>
  <c r="E18" i="6"/>
  <c r="F18" i="6" s="1"/>
  <c r="E17" i="6"/>
  <c r="F17" i="6" s="1"/>
  <c r="E16" i="6"/>
  <c r="F16" i="6" s="1"/>
  <c r="E15" i="6"/>
  <c r="F15" i="6" s="1"/>
  <c r="E14" i="6"/>
  <c r="F14" i="6" s="1"/>
  <c r="E13" i="6"/>
  <c r="F13" i="6" s="1"/>
  <c r="E12" i="6"/>
  <c r="F12" i="6" s="1"/>
  <c r="E11" i="6"/>
  <c r="F11" i="6" s="1"/>
  <c r="E10" i="6"/>
  <c r="F10" i="6" s="1"/>
  <c r="E9" i="6"/>
  <c r="F9" i="6" s="1"/>
  <c r="E8" i="6"/>
  <c r="F8" i="6" s="1"/>
  <c r="E7" i="6"/>
  <c r="F7" i="6" s="1"/>
  <c r="E6" i="6"/>
  <c r="F6" i="6" s="1"/>
  <c r="E5" i="6"/>
  <c r="E4" i="6"/>
  <c r="F4" i="6" s="1"/>
  <c r="F48" i="20"/>
  <c r="E25" i="20"/>
  <c r="E24" i="20"/>
  <c r="E23" i="20"/>
  <c r="E22" i="20"/>
  <c r="E21" i="20"/>
  <c r="E20" i="20"/>
  <c r="E19" i="20"/>
  <c r="E18" i="20"/>
  <c r="E17" i="20"/>
  <c r="E16" i="20"/>
  <c r="E15" i="20"/>
  <c r="E14" i="20"/>
  <c r="E13" i="20"/>
  <c r="E12" i="20"/>
  <c r="E11" i="20"/>
  <c r="E10" i="20"/>
  <c r="E9" i="20"/>
  <c r="E8" i="20"/>
  <c r="E7" i="20"/>
  <c r="E6" i="20"/>
  <c r="E5" i="20"/>
  <c r="E4" i="20"/>
  <c r="E21" i="22"/>
  <c r="F21" i="22" s="1"/>
  <c r="F8" i="22"/>
  <c r="E7" i="22"/>
  <c r="F7" i="22" s="1"/>
  <c r="E6" i="22"/>
  <c r="F6" i="22" s="1"/>
  <c r="E5" i="22"/>
  <c r="F5" i="22" s="1"/>
  <c r="E4" i="22"/>
  <c r="F4" i="22" s="1"/>
  <c r="E19" i="15"/>
  <c r="F19" i="15" s="1"/>
  <c r="E18" i="15"/>
  <c r="F18" i="15" s="1"/>
  <c r="E17" i="15"/>
  <c r="F17" i="15" s="1"/>
  <c r="E15" i="15"/>
  <c r="F15" i="15" s="1"/>
  <c r="E14" i="15"/>
  <c r="F14" i="15" s="1"/>
  <c r="E13" i="15"/>
  <c r="F13" i="15" s="1"/>
  <c r="E12" i="15"/>
  <c r="F12" i="15" s="1"/>
  <c r="E11" i="15"/>
  <c r="F11" i="15" s="1"/>
  <c r="F9" i="15"/>
  <c r="E6" i="15"/>
  <c r="F6" i="15" s="1"/>
  <c r="E5" i="15"/>
  <c r="F5" i="15" s="1"/>
  <c r="E4" i="15"/>
  <c r="F4" i="15" s="1"/>
  <c r="F14" i="21"/>
  <c r="F13" i="21"/>
  <c r="F12" i="21"/>
  <c r="F11" i="21"/>
  <c r="F10" i="21"/>
  <c r="E9" i="21"/>
  <c r="F9" i="21" s="1"/>
  <c r="F8" i="21"/>
  <c r="F7" i="21"/>
  <c r="E6" i="21"/>
  <c r="F6" i="21" s="1"/>
  <c r="F5" i="21"/>
  <c r="F4" i="21"/>
  <c r="F3" i="21"/>
  <c r="E61" i="50"/>
  <c r="E60" i="50"/>
  <c r="F60" i="50" s="1"/>
  <c r="E59" i="50"/>
  <c r="F59" i="50" s="1"/>
  <c r="E58" i="50"/>
  <c r="F58" i="50" s="1"/>
  <c r="E57" i="50"/>
  <c r="F57" i="50" s="1"/>
  <c r="E56" i="50"/>
  <c r="F56" i="50" s="1"/>
  <c r="E55" i="50"/>
  <c r="F55" i="50" s="1"/>
  <c r="E54" i="50"/>
  <c r="F54" i="50" s="1"/>
  <c r="E53" i="50"/>
  <c r="F53" i="50" s="1"/>
  <c r="E52" i="50"/>
  <c r="F52" i="50" s="1"/>
  <c r="E51" i="50"/>
  <c r="F51" i="50" s="1"/>
  <c r="E50" i="50"/>
  <c r="F50" i="50" s="1"/>
  <c r="E49" i="50"/>
  <c r="F49" i="50" s="1"/>
  <c r="E48" i="50"/>
  <c r="F48" i="50" s="1"/>
  <c r="E47" i="50"/>
  <c r="F47" i="50" s="1"/>
  <c r="E46" i="50"/>
  <c r="F46" i="50" s="1"/>
  <c r="E45" i="50"/>
  <c r="F45" i="50" s="1"/>
  <c r="E44" i="50"/>
  <c r="F44" i="50" s="1"/>
  <c r="E43" i="50"/>
  <c r="F43" i="50" s="1"/>
  <c r="E42" i="50"/>
  <c r="F42" i="50" s="1"/>
  <c r="E41" i="50"/>
  <c r="F41" i="50" s="1"/>
  <c r="E40" i="50"/>
  <c r="F40" i="50" s="1"/>
  <c r="E39" i="50"/>
  <c r="F39" i="50" s="1"/>
  <c r="E38" i="50"/>
  <c r="F38" i="50" s="1"/>
  <c r="E37" i="50"/>
  <c r="F37" i="50" s="1"/>
  <c r="E36" i="50"/>
  <c r="F36" i="50" s="1"/>
  <c r="E35" i="50"/>
  <c r="F35" i="50" s="1"/>
  <c r="E34" i="50"/>
  <c r="F34" i="50" s="1"/>
  <c r="E33" i="50"/>
  <c r="F33" i="50" s="1"/>
  <c r="E32" i="50"/>
  <c r="F32" i="50" s="1"/>
  <c r="E31" i="50"/>
  <c r="F31" i="50" s="1"/>
  <c r="E30" i="50"/>
  <c r="F30" i="50" s="1"/>
  <c r="E29" i="50"/>
  <c r="F29" i="50" s="1"/>
  <c r="E28" i="50"/>
  <c r="F28" i="50" s="1"/>
  <c r="E27" i="50"/>
  <c r="F27" i="50" s="1"/>
  <c r="E26" i="50"/>
  <c r="F26" i="50" s="1"/>
  <c r="E25" i="50"/>
  <c r="F25" i="50" s="1"/>
  <c r="E24" i="50"/>
  <c r="F24" i="50" s="1"/>
  <c r="E23" i="50"/>
  <c r="F23" i="50" s="1"/>
  <c r="E22" i="50"/>
  <c r="F22" i="50" s="1"/>
  <c r="E21" i="50"/>
  <c r="F21" i="50" s="1"/>
  <c r="E20" i="50"/>
  <c r="F20" i="50" s="1"/>
  <c r="E19" i="50"/>
  <c r="F19" i="50" s="1"/>
  <c r="E18" i="50"/>
  <c r="F18" i="50" s="1"/>
  <c r="E17" i="50"/>
  <c r="F17" i="50" s="1"/>
  <c r="E16" i="50"/>
  <c r="F16" i="50" s="1"/>
  <c r="E15" i="50"/>
  <c r="F15" i="50" s="1"/>
  <c r="E14" i="50"/>
  <c r="F14" i="50" s="1"/>
  <c r="E13" i="50"/>
  <c r="F13" i="50" s="1"/>
  <c r="E12" i="50"/>
  <c r="F12" i="50" s="1"/>
  <c r="E11" i="50"/>
  <c r="F11" i="50" s="1"/>
  <c r="E10" i="50"/>
  <c r="F10" i="50" s="1"/>
  <c r="E9" i="50"/>
  <c r="F9" i="50" s="1"/>
  <c r="E8" i="50"/>
  <c r="F8" i="50" s="1"/>
  <c r="E7" i="50"/>
  <c r="F7" i="50" s="1"/>
  <c r="E6" i="50"/>
  <c r="F6" i="50" s="1"/>
  <c r="E5" i="50"/>
  <c r="F5" i="50" s="1"/>
  <c r="E4" i="50"/>
  <c r="F4" i="50" s="1"/>
  <c r="E3" i="50"/>
  <c r="F3" i="50" s="1"/>
  <c r="C6" i="9"/>
  <c r="D7" i="9" s="1"/>
  <c r="E19" i="48"/>
  <c r="G9" i="37" s="1"/>
  <c r="H9" i="37" s="1"/>
  <c r="E28" i="37"/>
  <c r="N27" i="37"/>
  <c r="H27" i="37"/>
  <c r="N26"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N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N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E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N22" i="37"/>
  <c r="G22" i="37"/>
  <c r="H22" i="37" s="1"/>
  <c r="A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N21" i="37"/>
  <c r="H21" i="37"/>
  <c r="A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N20" i="37"/>
  <c r="G20" i="37"/>
  <c r="H20" i="37" s="1"/>
  <c r="A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N19" i="37"/>
  <c r="G19" i="37"/>
  <c r="H19" i="37" s="1"/>
  <c r="A19" i="37"/>
  <c r="N18" i="37"/>
  <c r="A18" i="37"/>
  <c r="A17" i="37"/>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A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N15" i="37"/>
  <c r="A15" i="37"/>
  <c r="A14" i="37"/>
  <c r="N13" i="37"/>
  <c r="A13" i="37"/>
  <c r="N12" i="37"/>
  <c r="A12" i="37"/>
  <c r="A11" i="37"/>
  <c r="N10" i="37"/>
  <c r="B10" i="37"/>
  <c r="B11" i="37" s="1"/>
  <c r="B12" i="37" s="1"/>
  <c r="B13" i="37" s="1"/>
  <c r="B14" i="37" s="1"/>
  <c r="B15" i="37" s="1"/>
  <c r="B16" i="37" s="1"/>
  <c r="B17" i="37" s="1"/>
  <c r="B18" i="37" s="1"/>
  <c r="B19" i="37" s="1"/>
  <c r="B20" i="37" s="1"/>
  <c r="B21" i="37" s="1"/>
  <c r="B22" i="37" s="1"/>
  <c r="B24" i="37" s="1"/>
  <c r="B25" i="37" s="1"/>
  <c r="B26" i="37" s="1"/>
  <c r="B27" i="37" s="1"/>
  <c r="A10" i="37"/>
  <c r="N9" i="37"/>
  <c r="B9" i="37"/>
  <c r="A9" i="37"/>
  <c r="A8" i="37"/>
  <c r="AO7" i="37"/>
  <c r="E6" i="37"/>
  <c r="J4" i="37"/>
  <c r="H4" i="37"/>
  <c r="B4" i="37"/>
  <c r="F2" i="37"/>
  <c r="P29" i="37" s="1"/>
  <c r="P39" i="37" s="1"/>
  <c r="C2" i="37"/>
  <c r="B2" i="36"/>
  <c r="I74" i="33"/>
  <c r="A57" i="33"/>
  <c r="I61" i="33" s="1"/>
  <c r="I52" i="33"/>
  <c r="C38" i="33"/>
  <c r="B37" i="33"/>
  <c r="I31" i="33"/>
  <c r="B24" i="33"/>
  <c r="F14" i="33" s="1"/>
  <c r="H19" i="33"/>
  <c r="H25" i="33" s="1"/>
  <c r="H32" i="33" s="1"/>
  <c r="H41" i="33" s="1"/>
  <c r="I16" i="33"/>
  <c r="C14" i="33"/>
  <c r="I1" i="33"/>
  <c r="D96" i="1"/>
  <c r="B52" i="1" s="1"/>
  <c r="F52" i="1" s="1"/>
  <c r="D85" i="1"/>
  <c r="B51" i="1" s="1"/>
  <c r="D51" i="1" s="1"/>
  <c r="F50" i="1"/>
  <c r="F46" i="1"/>
  <c r="D45" i="1"/>
  <c r="D19" i="1"/>
  <c r="D18" i="1"/>
  <c r="D16" i="1"/>
  <c r="F15" i="1"/>
  <c r="H14" i="1"/>
  <c r="F14" i="1"/>
  <c r="G12" i="1"/>
  <c r="D12" i="1"/>
  <c r="I8" i="1"/>
  <c r="H7" i="1"/>
  <c r="F7" i="1"/>
  <c r="D7" i="1"/>
  <c r="E9" i="1" s="1"/>
  <c r="B6" i="1"/>
  <c r="E43" i="1" s="1"/>
  <c r="U13" i="53" l="1"/>
  <c r="E11" i="9"/>
  <c r="F5" i="13"/>
  <c r="G17" i="13" s="1"/>
  <c r="G18" i="37" s="1"/>
  <c r="H18" i="37" s="1"/>
  <c r="F13" i="18"/>
  <c r="G26" i="37" s="1"/>
  <c r="H26" i="37" s="1"/>
  <c r="J3" i="37" s="1"/>
  <c r="M3" i="37" s="1"/>
  <c r="F5" i="6"/>
  <c r="G23" i="6" s="1"/>
  <c r="F37" i="6"/>
  <c r="G42" i="6" s="1"/>
  <c r="G8" i="15"/>
  <c r="H16" i="53"/>
  <c r="H17" i="53" s="1"/>
  <c r="H18" i="53" s="1"/>
  <c r="H19" i="53" s="1"/>
  <c r="H20" i="53" s="1"/>
  <c r="H21" i="53" s="1"/>
  <c r="H22" i="53" s="1"/>
  <c r="H23" i="53" s="1"/>
  <c r="H24" i="53" s="1"/>
  <c r="H25" i="53" s="1"/>
  <c r="H26" i="53" s="1"/>
  <c r="H27" i="53" s="1"/>
  <c r="H28" i="53" s="1"/>
  <c r="H29" i="53" s="1"/>
  <c r="H30" i="53" s="1"/>
  <c r="H31" i="53" s="1"/>
  <c r="H32" i="53" s="1"/>
  <c r="H33" i="53" s="1"/>
  <c r="H34" i="53" s="1"/>
  <c r="H35" i="53" s="1"/>
  <c r="H36" i="53" s="1"/>
  <c r="H37" i="53" s="1"/>
  <c r="H38" i="53" s="1"/>
  <c r="H39" i="53" s="1"/>
  <c r="I15" i="53"/>
  <c r="H19" i="16"/>
  <c r="G17" i="37" s="1"/>
  <c r="H17" i="37" s="1"/>
  <c r="N17" i="37" s="1"/>
  <c r="G20" i="15"/>
  <c r="G10" i="37" s="1"/>
  <c r="H10" i="37" s="1"/>
  <c r="F28" i="35"/>
  <c r="G16" i="37" s="1"/>
  <c r="H16" i="37" s="1"/>
  <c r="N16" i="37" s="1"/>
  <c r="F34" i="20"/>
  <c r="G53" i="20" s="1"/>
  <c r="G17" i="21"/>
  <c r="G8" i="37" s="1"/>
  <c r="H8" i="37" s="1"/>
  <c r="N8" i="37" s="1"/>
  <c r="H9" i="1"/>
  <c r="G7" i="1"/>
  <c r="B5" i="3"/>
  <c r="G10" i="3"/>
  <c r="G15" i="37" s="1"/>
  <c r="H15" i="37" s="1"/>
  <c r="B6" i="3"/>
  <c r="W13" i="53"/>
  <c r="X13" i="53" s="1"/>
  <c r="C37" i="33"/>
  <c r="D37" i="33" s="1"/>
  <c r="F24" i="33"/>
  <c r="I26" i="33" s="1"/>
  <c r="E14" i="53"/>
  <c r="F14" i="53" s="1"/>
  <c r="T14" i="53"/>
  <c r="U14" i="53" s="1"/>
  <c r="K14" i="53"/>
  <c r="L14" i="53" s="1"/>
  <c r="N43" i="1"/>
  <c r="G6" i="1"/>
  <c r="D14" i="33"/>
  <c r="B14" i="33" s="1"/>
  <c r="I20" i="33" s="1"/>
  <c r="F29" i="6"/>
  <c r="G32" i="6" s="1"/>
  <c r="F9" i="22"/>
  <c r="G22" i="22" s="1"/>
  <c r="G11" i="37" s="1"/>
  <c r="H11" i="37" s="1"/>
  <c r="N11" i="37" s="1"/>
  <c r="G62" i="50"/>
  <c r="B28" i="4"/>
  <c r="G16" i="4"/>
  <c r="H16" i="4" s="1"/>
  <c r="B29" i="4"/>
  <c r="B17" i="4"/>
  <c r="G24" i="4"/>
  <c r="H24" i="4" s="1"/>
  <c r="H5" i="4"/>
  <c r="P28" i="37"/>
  <c r="P58" i="37"/>
  <c r="P43" i="37"/>
  <c r="P45" i="37"/>
  <c r="P49" i="37"/>
  <c r="P51" i="37"/>
  <c r="P47" i="37"/>
  <c r="P52" i="37"/>
  <c r="P33" i="37"/>
  <c r="P54" i="37"/>
  <c r="P35" i="37"/>
  <c r="P57" i="37"/>
  <c r="Q29" i="37"/>
  <c r="P31" i="37"/>
  <c r="P84" i="37"/>
  <c r="P76" i="37"/>
  <c r="P74" i="37"/>
  <c r="P72" i="37"/>
  <c r="P77" i="37"/>
  <c r="P75" i="37"/>
  <c r="P71" i="37"/>
  <c r="P69" i="37"/>
  <c r="P67" i="37"/>
  <c r="P65" i="37"/>
  <c r="P63" i="37"/>
  <c r="P83" i="37"/>
  <c r="P73" i="37"/>
  <c r="P68" i="37"/>
  <c r="P81" i="37"/>
  <c r="P64" i="37"/>
  <c r="P82" i="37"/>
  <c r="P80" i="37"/>
  <c r="P70" i="37"/>
  <c r="P55" i="37"/>
  <c r="P53" i="37"/>
  <c r="P79" i="37"/>
  <c r="P50" i="37"/>
  <c r="P48" i="37"/>
  <c r="P46" i="37"/>
  <c r="P44" i="37"/>
  <c r="P42" i="37"/>
  <c r="P40" i="37"/>
  <c r="P38" i="37"/>
  <c r="P36" i="37"/>
  <c r="P34" i="37"/>
  <c r="P32" i="37"/>
  <c r="P30" i="37"/>
  <c r="P78" i="37"/>
  <c r="P61" i="37"/>
  <c r="P62" i="37"/>
  <c r="P66" i="37"/>
  <c r="P60" i="37"/>
  <c r="P59" i="37"/>
  <c r="P56" i="37"/>
  <c r="P37" i="37"/>
  <c r="P41" i="37"/>
  <c r="O3" i="37" l="1"/>
  <c r="H44" i="6"/>
  <c r="G13" i="37" s="1"/>
  <c r="H13" i="37" s="1"/>
  <c r="H40" i="53"/>
  <c r="I39" i="53"/>
  <c r="I16" i="53"/>
  <c r="F9" i="1"/>
  <c r="F48" i="1" s="1"/>
  <c r="F37" i="33"/>
  <c r="I33" i="33" s="1"/>
  <c r="W14" i="53"/>
  <c r="X14" i="53" s="1"/>
  <c r="E15" i="53"/>
  <c r="E16" i="53" s="1"/>
  <c r="E17" i="53" s="1"/>
  <c r="E18" i="53" s="1"/>
  <c r="E19" i="53" s="1"/>
  <c r="E20" i="53" s="1"/>
  <c r="E21" i="53" s="1"/>
  <c r="E22" i="53" s="1"/>
  <c r="E23" i="53" s="1"/>
  <c r="E24" i="53" s="1"/>
  <c r="E25" i="53" s="1"/>
  <c r="E26" i="53" s="1"/>
  <c r="E27" i="53" s="1"/>
  <c r="E28" i="53" s="1"/>
  <c r="E29" i="53" s="1"/>
  <c r="E30" i="53" s="1"/>
  <c r="E31" i="53" s="1"/>
  <c r="E32" i="53" s="1"/>
  <c r="E33" i="53" s="1"/>
  <c r="E34" i="53" s="1"/>
  <c r="E35" i="53" s="1"/>
  <c r="T15" i="53"/>
  <c r="U15" i="53" s="1"/>
  <c r="K15" i="53"/>
  <c r="L15" i="53" s="1"/>
  <c r="G12" i="37"/>
  <c r="H12" i="37" s="1"/>
  <c r="I26" i="4"/>
  <c r="I31" i="4" s="1"/>
  <c r="G14" i="37" s="1"/>
  <c r="H14" i="37" s="1"/>
  <c r="N14" i="37" s="1"/>
  <c r="M2" i="37" s="1"/>
  <c r="M5" i="37" s="1"/>
  <c r="P91" i="37"/>
  <c r="P96" i="37"/>
  <c r="P93" i="37"/>
  <c r="P88" i="37"/>
  <c r="Q84" i="37"/>
  <c r="Q80" i="37"/>
  <c r="Q78" i="37"/>
  <c r="P89" i="37"/>
  <c r="P95" i="37"/>
  <c r="P94" i="37"/>
  <c r="P90" i="37"/>
  <c r="P85" i="37"/>
  <c r="Q82" i="37"/>
  <c r="Q81" i="37"/>
  <c r="Q79" i="37"/>
  <c r="Q70" i="37"/>
  <c r="Q68" i="37"/>
  <c r="Q66" i="37"/>
  <c r="P92" i="37"/>
  <c r="P86" i="37"/>
  <c r="Q76" i="37"/>
  <c r="Q69" i="37"/>
  <c r="Q77" i="37"/>
  <c r="Q71" i="37"/>
  <c r="Q64" i="37"/>
  <c r="Q73" i="37"/>
  <c r="Q72" i="37"/>
  <c r="Q60" i="37"/>
  <c r="Q58" i="37"/>
  <c r="Q62" i="37"/>
  <c r="Q55" i="37"/>
  <c r="P87" i="37"/>
  <c r="Q75" i="37"/>
  <c r="Q63" i="37"/>
  <c r="Q67" i="37"/>
  <c r="Q61" i="37"/>
  <c r="Q65" i="37"/>
  <c r="Q59" i="37"/>
  <c r="Q56" i="37"/>
  <c r="Q57" i="37"/>
  <c r="Q51" i="37"/>
  <c r="Q50" i="37"/>
  <c r="Q39" i="37"/>
  <c r="Q31" i="37"/>
  <c r="R29" i="37"/>
  <c r="R28" i="37" s="1"/>
  <c r="Q46" i="37"/>
  <c r="Q30" i="37"/>
  <c r="Q74" i="37"/>
  <c r="Q53" i="37"/>
  <c r="Q48" i="37"/>
  <c r="Q83" i="37"/>
  <c r="Q42" i="37"/>
  <c r="Q37" i="37"/>
  <c r="Q36" i="37"/>
  <c r="Q28" i="37"/>
  <c r="Q54" i="37"/>
  <c r="Q52" i="37"/>
  <c r="Q44" i="37"/>
  <c r="Q35" i="37"/>
  <c r="Q49" i="37"/>
  <c r="Q41" i="37"/>
  <c r="Q40" i="37"/>
  <c r="Q38" i="37"/>
  <c r="Q45" i="37"/>
  <c r="Q32" i="37"/>
  <c r="Q33" i="37"/>
  <c r="Q43" i="37"/>
  <c r="Q47" i="37"/>
  <c r="Q34" i="37"/>
  <c r="E36" i="53" l="1"/>
  <c r="F35" i="53"/>
  <c r="I17" i="53"/>
  <c r="I18" i="53" s="1"/>
  <c r="I19" i="53" s="1"/>
  <c r="I20" i="53" s="1"/>
  <c r="I21" i="53" s="1"/>
  <c r="I22" i="53" s="1"/>
  <c r="I23" i="53" s="1"/>
  <c r="I24" i="53" s="1"/>
  <c r="I25" i="53" s="1"/>
  <c r="I26" i="53" s="1"/>
  <c r="I27" i="53" s="1"/>
  <c r="I28" i="53" s="1"/>
  <c r="I29" i="53" s="1"/>
  <c r="I30" i="53" s="1"/>
  <c r="I31" i="53" s="1"/>
  <c r="I32" i="53" s="1"/>
  <c r="I33" i="53" s="1"/>
  <c r="I34" i="53" s="1"/>
  <c r="I35" i="53" s="1"/>
  <c r="I36" i="53" s="1"/>
  <c r="I37" i="53" s="1"/>
  <c r="I38" i="53" s="1"/>
  <c r="H41" i="53"/>
  <c r="I40" i="53"/>
  <c r="F47" i="1"/>
  <c r="F53" i="1" s="1"/>
  <c r="W15" i="53"/>
  <c r="X15" i="53" s="1"/>
  <c r="F15" i="53"/>
  <c r="F17" i="53" s="1"/>
  <c r="F18" i="53" s="1"/>
  <c r="F19" i="53" s="1"/>
  <c r="F20" i="53" s="1"/>
  <c r="F21" i="53" s="1"/>
  <c r="F22" i="53" s="1"/>
  <c r="F23" i="53" s="1"/>
  <c r="F24" i="53" s="1"/>
  <c r="F25" i="53" s="1"/>
  <c r="F26" i="53" s="1"/>
  <c r="F27" i="53" s="1"/>
  <c r="F28" i="53" s="1"/>
  <c r="F29" i="53" s="1"/>
  <c r="F30" i="53" s="1"/>
  <c r="F31" i="53" s="1"/>
  <c r="F32" i="53" s="1"/>
  <c r="F33" i="53" s="1"/>
  <c r="F34" i="53" s="1"/>
  <c r="T16" i="53"/>
  <c r="T17" i="53" s="1"/>
  <c r="T18" i="53" s="1"/>
  <c r="T19" i="53" s="1"/>
  <c r="T20" i="53" s="1"/>
  <c r="T21" i="53" s="1"/>
  <c r="K16" i="53"/>
  <c r="K17" i="53" s="1"/>
  <c r="K18" i="53" s="1"/>
  <c r="K19" i="53" s="1"/>
  <c r="K20" i="53" s="1"/>
  <c r="K21" i="53" s="1"/>
  <c r="K22" i="53" s="1"/>
  <c r="K23" i="53" s="1"/>
  <c r="K24" i="53" s="1"/>
  <c r="K25" i="53" s="1"/>
  <c r="K26" i="53" s="1"/>
  <c r="K27" i="53" s="1"/>
  <c r="K28" i="53" s="1"/>
  <c r="K29" i="53" s="1"/>
  <c r="K30" i="53" s="1"/>
  <c r="K31" i="53" s="1"/>
  <c r="K32" i="53" s="1"/>
  <c r="K33" i="53" s="1"/>
  <c r="K34" i="53" s="1"/>
  <c r="K35" i="53" s="1"/>
  <c r="K36" i="53" s="1"/>
  <c r="K37" i="53" s="1"/>
  <c r="K38" i="53" s="1"/>
  <c r="K39" i="53" s="1"/>
  <c r="K40" i="53" s="1"/>
  <c r="K41" i="53" s="1"/>
  <c r="K42" i="53" s="1"/>
  <c r="J2" i="37"/>
  <c r="J5" i="37" s="1"/>
  <c r="B62" i="1" s="1"/>
  <c r="D62" i="1" s="1"/>
  <c r="O2" i="37"/>
  <c r="O5" i="37" s="1"/>
  <c r="Q96" i="37"/>
  <c r="Q93" i="37"/>
  <c r="Q95" i="37"/>
  <c r="Q90" i="37"/>
  <c r="Q92" i="37"/>
  <c r="Q86" i="37"/>
  <c r="R81" i="37"/>
  <c r="Q87" i="37"/>
  <c r="R80" i="37"/>
  <c r="R74" i="37"/>
  <c r="Q94" i="37"/>
  <c r="Q85" i="37"/>
  <c r="R72" i="37"/>
  <c r="Q89" i="37"/>
  <c r="R69" i="37"/>
  <c r="R70" i="37"/>
  <c r="Q91" i="37"/>
  <c r="R77" i="37"/>
  <c r="R73" i="37"/>
  <c r="R60" i="37"/>
  <c r="R63" i="37"/>
  <c r="Q88" i="37"/>
  <c r="R75" i="37"/>
  <c r="R67" i="37"/>
  <c r="R61" i="37"/>
  <c r="R71" i="37"/>
  <c r="R59" i="37"/>
  <c r="R78" i="37"/>
  <c r="R76" i="37"/>
  <c r="R65" i="37"/>
  <c r="R55" i="37"/>
  <c r="R62" i="37"/>
  <c r="R56" i="37"/>
  <c r="R68" i="37"/>
  <c r="R66" i="37"/>
  <c r="R57" i="37"/>
  <c r="R51" i="37"/>
  <c r="R49" i="37"/>
  <c r="R47" i="37"/>
  <c r="R45" i="37"/>
  <c r="R43" i="37"/>
  <c r="R41" i="37"/>
  <c r="R39" i="37"/>
  <c r="R37" i="37"/>
  <c r="R35" i="37"/>
  <c r="R54" i="37"/>
  <c r="R52" i="37"/>
  <c r="R53" i="37"/>
  <c r="R48" i="37"/>
  <c r="R44" i="37"/>
  <c r="R83" i="37"/>
  <c r="R46" i="37"/>
  <c r="R30" i="37"/>
  <c r="R64" i="37"/>
  <c r="R32" i="37"/>
  <c r="R84" i="37"/>
  <c r="R42" i="37"/>
  <c r="R82" i="37"/>
  <c r="R79" i="37"/>
  <c r="R40" i="37"/>
  <c r="S29" i="37"/>
  <c r="S28" i="37" s="1"/>
  <c r="R50" i="37"/>
  <c r="R31" i="37"/>
  <c r="R34" i="37"/>
  <c r="R33" i="37"/>
  <c r="R36" i="37"/>
  <c r="R58" i="37"/>
  <c r="R38" i="37"/>
  <c r="T22" i="53" l="1"/>
  <c r="E37" i="53"/>
  <c r="F36" i="53"/>
  <c r="H42" i="53"/>
  <c r="I41" i="53"/>
  <c r="U16" i="53"/>
  <c r="U17" i="53" s="1"/>
  <c r="U18" i="53" s="1"/>
  <c r="U19" i="53" s="1"/>
  <c r="U20" i="53" s="1"/>
  <c r="U21" i="53" s="1"/>
  <c r="K43" i="53"/>
  <c r="L42" i="53"/>
  <c r="L16" i="53"/>
  <c r="L17" i="53" s="1"/>
  <c r="W16" i="53"/>
  <c r="B64" i="1"/>
  <c r="D64" i="1" s="1"/>
  <c r="D65" i="1" s="1"/>
  <c r="R93" i="37"/>
  <c r="R90" i="37"/>
  <c r="R95" i="37"/>
  <c r="R94" i="37"/>
  <c r="R91" i="37"/>
  <c r="R88" i="37"/>
  <c r="R87" i="37"/>
  <c r="S81" i="37"/>
  <c r="R96" i="37"/>
  <c r="R89" i="37"/>
  <c r="R85" i="37"/>
  <c r="S84" i="37"/>
  <c r="S80" i="37"/>
  <c r="S83" i="37"/>
  <c r="S73" i="37"/>
  <c r="R92" i="37"/>
  <c r="R86" i="37"/>
  <c r="S70" i="37"/>
  <c r="S77" i="37"/>
  <c r="S71" i="37"/>
  <c r="S72" i="37"/>
  <c r="S63" i="37"/>
  <c r="S82" i="37"/>
  <c r="S76" i="37"/>
  <c r="S62" i="37"/>
  <c r="S79" i="37"/>
  <c r="S78" i="37"/>
  <c r="S75" i="37"/>
  <c r="S65" i="37"/>
  <c r="S61" i="37"/>
  <c r="S59" i="37"/>
  <c r="S57" i="37"/>
  <c r="S67" i="37"/>
  <c r="S68" i="37"/>
  <c r="S66" i="37"/>
  <c r="S64" i="37"/>
  <c r="S54" i="37"/>
  <c r="S52" i="37"/>
  <c r="S69" i="37"/>
  <c r="S56" i="37"/>
  <c r="S51" i="37"/>
  <c r="S49" i="37"/>
  <c r="S47" i="37"/>
  <c r="S45" i="37"/>
  <c r="S43" i="37"/>
  <c r="S41" i="37"/>
  <c r="S39" i="37"/>
  <c r="S60" i="37"/>
  <c r="S53" i="37"/>
  <c r="S74" i="37"/>
  <c r="S46" i="37"/>
  <c r="S30" i="37"/>
  <c r="S42" i="37"/>
  <c r="S44" i="37"/>
  <c r="S40" i="37"/>
  <c r="T29" i="37"/>
  <c r="S33" i="37"/>
  <c r="S37" i="37"/>
  <c r="S50" i="37"/>
  <c r="S31" i="37"/>
  <c r="S58" i="37"/>
  <c r="S38" i="37"/>
  <c r="S35" i="37"/>
  <c r="S36" i="37"/>
  <c r="S48" i="37"/>
  <c r="S32" i="37"/>
  <c r="S34" i="37"/>
  <c r="S55" i="37"/>
  <c r="B44" i="1" l="1"/>
  <c r="M47" i="1" s="1"/>
  <c r="H43" i="53"/>
  <c r="I42" i="53"/>
  <c r="T23" i="53"/>
  <c r="U22" i="53"/>
  <c r="E38" i="53"/>
  <c r="F37" i="53"/>
  <c r="K44" i="53"/>
  <c r="L43" i="53"/>
  <c r="W17" i="53"/>
  <c r="X16" i="53"/>
  <c r="S90" i="37"/>
  <c r="S95" i="37"/>
  <c r="S92" i="37"/>
  <c r="S87" i="37"/>
  <c r="S96" i="37"/>
  <c r="S94" i="37"/>
  <c r="S89" i="37"/>
  <c r="S86" i="37"/>
  <c r="S85" i="37"/>
  <c r="S91" i="37"/>
  <c r="T83" i="37"/>
  <c r="T82" i="37"/>
  <c r="T79" i="37"/>
  <c r="T75" i="37"/>
  <c r="T73" i="37"/>
  <c r="T70" i="37"/>
  <c r="T68" i="37"/>
  <c r="T66" i="37"/>
  <c r="T64" i="37"/>
  <c r="T62" i="37"/>
  <c r="T76" i="37"/>
  <c r="T84" i="37"/>
  <c r="T78" i="37"/>
  <c r="T81" i="37"/>
  <c r="T77" i="37"/>
  <c r="T71" i="37"/>
  <c r="S93" i="37"/>
  <c r="S88" i="37"/>
  <c r="T63" i="37"/>
  <c r="T61" i="37"/>
  <c r="T59" i="37"/>
  <c r="T54" i="37"/>
  <c r="T58" i="37"/>
  <c r="T57" i="37"/>
  <c r="T72" i="37"/>
  <c r="T51" i="37"/>
  <c r="T49" i="37"/>
  <c r="T47" i="37"/>
  <c r="T45" i="37"/>
  <c r="T43" i="37"/>
  <c r="T41" i="37"/>
  <c r="T39" i="37"/>
  <c r="T37" i="37"/>
  <c r="T35" i="37"/>
  <c r="T33" i="37"/>
  <c r="T31" i="37"/>
  <c r="T60" i="37"/>
  <c r="T53" i="37"/>
  <c r="T52" i="37"/>
  <c r="T74" i="37"/>
  <c r="T44" i="37"/>
  <c r="T55" i="37"/>
  <c r="T42" i="37"/>
  <c r="T40" i="37"/>
  <c r="T34" i="37"/>
  <c r="T80" i="37"/>
  <c r="T50" i="37"/>
  <c r="T36" i="37"/>
  <c r="T38" i="37"/>
  <c r="T67" i="37"/>
  <c r="T48" i="37"/>
  <c r="T32" i="37"/>
  <c r="T69" i="37"/>
  <c r="T56" i="37"/>
  <c r="U29" i="37"/>
  <c r="U28" i="37" s="1"/>
  <c r="T46" i="37"/>
  <c r="T65" i="37"/>
  <c r="T30" i="37"/>
  <c r="T28" i="37"/>
  <c r="D44" i="1" l="1"/>
  <c r="K49" i="1"/>
  <c r="E39" i="53"/>
  <c r="F38" i="53"/>
  <c r="T24" i="53"/>
  <c r="U23" i="53"/>
  <c r="H44" i="53"/>
  <c r="I43" i="53"/>
  <c r="K45" i="53"/>
  <c r="L44" i="53"/>
  <c r="W18" i="53"/>
  <c r="X17" i="53"/>
  <c r="E25" i="33"/>
  <c r="E15" i="33"/>
  <c r="E39" i="33"/>
  <c r="E52" i="33"/>
  <c r="T95" i="37"/>
  <c r="T92" i="37"/>
  <c r="T96" i="37"/>
  <c r="T94" i="37"/>
  <c r="U82" i="37"/>
  <c r="U79" i="37"/>
  <c r="U77" i="37"/>
  <c r="T91" i="37"/>
  <c r="T93" i="37"/>
  <c r="T87" i="37"/>
  <c r="U84" i="37"/>
  <c r="T88" i="37"/>
  <c r="U72" i="37"/>
  <c r="T89" i="37"/>
  <c r="U78" i="37"/>
  <c r="U71" i="37"/>
  <c r="U69" i="37"/>
  <c r="U67" i="37"/>
  <c r="U65" i="37"/>
  <c r="T90" i="37"/>
  <c r="U83" i="37"/>
  <c r="U80" i="37"/>
  <c r="U81" i="37"/>
  <c r="U76" i="37"/>
  <c r="U62" i="37"/>
  <c r="U61" i="37"/>
  <c r="U59" i="37"/>
  <c r="T86" i="37"/>
  <c r="T85" i="37"/>
  <c r="U66" i="37"/>
  <c r="U54" i="37"/>
  <c r="U68" i="37"/>
  <c r="U64" i="37"/>
  <c r="U58" i="37"/>
  <c r="U57" i="37"/>
  <c r="U56" i="37"/>
  <c r="U73" i="37"/>
  <c r="U60" i="37"/>
  <c r="U53" i="37"/>
  <c r="U52" i="37"/>
  <c r="U74" i="37"/>
  <c r="U42" i="37"/>
  <c r="U38" i="37"/>
  <c r="U33" i="37"/>
  <c r="U55" i="37"/>
  <c r="U40" i="37"/>
  <c r="U34" i="37"/>
  <c r="U75" i="37"/>
  <c r="U70" i="37"/>
  <c r="U49" i="37"/>
  <c r="U41" i="37"/>
  <c r="U31" i="37"/>
  <c r="U51" i="37"/>
  <c r="U44" i="37"/>
  <c r="U63" i="37"/>
  <c r="U48" i="37"/>
  <c r="U32" i="37"/>
  <c r="U47" i="37"/>
  <c r="U39" i="37"/>
  <c r="U35" i="37"/>
  <c r="U43" i="37"/>
  <c r="U37" i="37"/>
  <c r="U30" i="37"/>
  <c r="V29" i="37"/>
  <c r="V28" i="37" s="1"/>
  <c r="U46" i="37"/>
  <c r="U45" i="37"/>
  <c r="U36" i="37"/>
  <c r="U50" i="37"/>
  <c r="H45" i="53" l="1"/>
  <c r="I44" i="53"/>
  <c r="T25" i="53"/>
  <c r="U24" i="53"/>
  <c r="E40" i="53"/>
  <c r="F39" i="53"/>
  <c r="K46" i="53"/>
  <c r="L45" i="53"/>
  <c r="X18" i="53"/>
  <c r="W19" i="53"/>
  <c r="U92" i="37"/>
  <c r="U89" i="37"/>
  <c r="U94" i="37"/>
  <c r="U93" i="37"/>
  <c r="U90" i="37"/>
  <c r="U86" i="37"/>
  <c r="V84" i="37"/>
  <c r="U88" i="37"/>
  <c r="V83" i="37"/>
  <c r="U85" i="37"/>
  <c r="V80" i="37"/>
  <c r="U91" i="37"/>
  <c r="V78" i="37"/>
  <c r="U95" i="37"/>
  <c r="V77" i="37"/>
  <c r="V75" i="37"/>
  <c r="U96" i="37"/>
  <c r="V72" i="37"/>
  <c r="V74" i="37"/>
  <c r="V73" i="37"/>
  <c r="V82" i="37"/>
  <c r="V61" i="37"/>
  <c r="V59" i="37"/>
  <c r="V65" i="37"/>
  <c r="V68" i="37"/>
  <c r="V67" i="37"/>
  <c r="U87" i="37"/>
  <c r="V64" i="37"/>
  <c r="V58" i="37"/>
  <c r="V57" i="37"/>
  <c r="V71" i="37"/>
  <c r="V66" i="37"/>
  <c r="V56" i="37"/>
  <c r="V81" i="37"/>
  <c r="V76" i="37"/>
  <c r="V62" i="37"/>
  <c r="V53" i="37"/>
  <c r="V52" i="37"/>
  <c r="V54" i="37"/>
  <c r="V50" i="37"/>
  <c r="V48" i="37"/>
  <c r="V46" i="37"/>
  <c r="V44" i="37"/>
  <c r="V42" i="37"/>
  <c r="V40" i="37"/>
  <c r="V38" i="37"/>
  <c r="V36" i="37"/>
  <c r="V34" i="37"/>
  <c r="V63" i="37"/>
  <c r="V55" i="37"/>
  <c r="V79" i="37"/>
  <c r="V51" i="37"/>
  <c r="V70" i="37"/>
  <c r="V49" i="37"/>
  <c r="V33" i="37"/>
  <c r="V69" i="37"/>
  <c r="V47" i="37"/>
  <c r="V35" i="37"/>
  <c r="V32" i="37"/>
  <c r="V39" i="37"/>
  <c r="V60" i="37"/>
  <c r="V41" i="37"/>
  <c r="V31" i="37"/>
  <c r="V45" i="37"/>
  <c r="V43" i="37"/>
  <c r="V37" i="37"/>
  <c r="V30" i="37"/>
  <c r="W29" i="37"/>
  <c r="W28" i="37" s="1"/>
  <c r="E41" i="53" l="1"/>
  <c r="F40" i="53"/>
  <c r="T26" i="53"/>
  <c r="U25" i="53"/>
  <c r="H46" i="53"/>
  <c r="I45" i="53"/>
  <c r="K47" i="53"/>
  <c r="L47" i="53" s="1"/>
  <c r="L46" i="53"/>
  <c r="W20" i="53"/>
  <c r="X19" i="53"/>
  <c r="V94" i="37"/>
  <c r="V86" i="37"/>
  <c r="V90" i="37"/>
  <c r="W83" i="37"/>
  <c r="V95" i="37"/>
  <c r="V93" i="37"/>
  <c r="V96" i="37"/>
  <c r="V88" i="37"/>
  <c r="W76" i="37"/>
  <c r="W84" i="37"/>
  <c r="W74" i="37"/>
  <c r="W82" i="37"/>
  <c r="W81" i="37"/>
  <c r="W79" i="37"/>
  <c r="V89" i="37"/>
  <c r="W72" i="37"/>
  <c r="W65" i="37"/>
  <c r="V91" i="37"/>
  <c r="W80" i="37"/>
  <c r="W73" i="37"/>
  <c r="V92" i="37"/>
  <c r="W75" i="37"/>
  <c r="W66" i="37"/>
  <c r="W69" i="37"/>
  <c r="W64" i="37"/>
  <c r="W60" i="37"/>
  <c r="W58" i="37"/>
  <c r="W56" i="37"/>
  <c r="W71" i="37"/>
  <c r="W68" i="37"/>
  <c r="W59" i="37"/>
  <c r="V85" i="37"/>
  <c r="W55" i="37"/>
  <c r="W53" i="37"/>
  <c r="W61" i="37"/>
  <c r="W57" i="37"/>
  <c r="W54" i="37"/>
  <c r="W50" i="37"/>
  <c r="W48" i="37"/>
  <c r="W46" i="37"/>
  <c r="W44" i="37"/>
  <c r="W42" i="37"/>
  <c r="W40" i="37"/>
  <c r="W38" i="37"/>
  <c r="W63" i="37"/>
  <c r="W70" i="37"/>
  <c r="W49" i="37"/>
  <c r="W34" i="37"/>
  <c r="W33" i="37"/>
  <c r="W51" i="37"/>
  <c r="W47" i="37"/>
  <c r="W35" i="37"/>
  <c r="W32" i="37"/>
  <c r="W45" i="37"/>
  <c r="W36" i="37"/>
  <c r="X29" i="37"/>
  <c r="W62" i="37"/>
  <c r="W39" i="37"/>
  <c r="W37" i="37"/>
  <c r="W77" i="37"/>
  <c r="W67" i="37"/>
  <c r="W52" i="37"/>
  <c r="W43" i="37"/>
  <c r="W78" i="37"/>
  <c r="W30" i="37"/>
  <c r="W41" i="37"/>
  <c r="W31" i="37"/>
  <c r="V87" i="37"/>
  <c r="H47" i="53" l="1"/>
  <c r="I47" i="53" s="1"/>
  <c r="I46" i="53"/>
  <c r="T27" i="53"/>
  <c r="U26" i="53"/>
  <c r="E42" i="53"/>
  <c r="F41" i="53"/>
  <c r="L49" i="53"/>
  <c r="B23" i="1" s="1"/>
  <c r="H23" i="1" s="1"/>
  <c r="X20" i="53"/>
  <c r="W21" i="53"/>
  <c r="W94" i="37"/>
  <c r="W91" i="37"/>
  <c r="W96" i="37"/>
  <c r="W95" i="37"/>
  <c r="W93" i="37"/>
  <c r="W92" i="37"/>
  <c r="W88" i="37"/>
  <c r="W87" i="37"/>
  <c r="X82" i="37"/>
  <c r="X79" i="37"/>
  <c r="W89" i="37"/>
  <c r="W86" i="37"/>
  <c r="X81" i="37"/>
  <c r="X77" i="37"/>
  <c r="X76" i="37"/>
  <c r="X74" i="37"/>
  <c r="X72" i="37"/>
  <c r="W90" i="37"/>
  <c r="W85" i="37"/>
  <c r="X71" i="37"/>
  <c r="X69" i="37"/>
  <c r="X67" i="37"/>
  <c r="X65" i="37"/>
  <c r="X63" i="37"/>
  <c r="X80" i="37"/>
  <c r="X73" i="37"/>
  <c r="X66" i="37"/>
  <c r="X83" i="37"/>
  <c r="X78" i="37"/>
  <c r="X75" i="37"/>
  <c r="X68" i="37"/>
  <c r="X84" i="37"/>
  <c r="X70" i="37"/>
  <c r="X56" i="37"/>
  <c r="X55" i="37"/>
  <c r="X53" i="37"/>
  <c r="X60" i="37"/>
  <c r="X57" i="37"/>
  <c r="X54" i="37"/>
  <c r="X50" i="37"/>
  <c r="X48" i="37"/>
  <c r="X46" i="37"/>
  <c r="X44" i="37"/>
  <c r="X42" i="37"/>
  <c r="X40" i="37"/>
  <c r="X38" i="37"/>
  <c r="X36" i="37"/>
  <c r="X34" i="37"/>
  <c r="X32" i="37"/>
  <c r="X30" i="37"/>
  <c r="X59" i="37"/>
  <c r="X51" i="37"/>
  <c r="X47" i="37"/>
  <c r="X35" i="37"/>
  <c r="X31" i="37"/>
  <c r="X45" i="37"/>
  <c r="Y29" i="37"/>
  <c r="Y28" i="37" s="1"/>
  <c r="X62" i="37"/>
  <c r="X52" i="37"/>
  <c r="X43" i="37"/>
  <c r="X37" i="37"/>
  <c r="X49" i="37"/>
  <c r="X39" i="37"/>
  <c r="X58" i="37"/>
  <c r="X61" i="37"/>
  <c r="X64" i="37"/>
  <c r="X33" i="37"/>
  <c r="X41" i="37"/>
  <c r="X28" i="37"/>
  <c r="E43" i="53" l="1"/>
  <c r="F42" i="53"/>
  <c r="U27" i="53"/>
  <c r="T28" i="53"/>
  <c r="I49" i="53"/>
  <c r="B22" i="1" s="1"/>
  <c r="H22" i="1" s="1"/>
  <c r="AA9" i="53"/>
  <c r="W22" i="53"/>
  <c r="X21" i="53"/>
  <c r="X91" i="37"/>
  <c r="X96" i="37"/>
  <c r="X93" i="37"/>
  <c r="X89" i="37"/>
  <c r="X88" i="37"/>
  <c r="Y84" i="37"/>
  <c r="Y80" i="37"/>
  <c r="Y78" i="37"/>
  <c r="X87" i="37"/>
  <c r="X85" i="37"/>
  <c r="X90" i="37"/>
  <c r="Y83" i="37"/>
  <c r="X92" i="37"/>
  <c r="Y75" i="37"/>
  <c r="Y82" i="37"/>
  <c r="Y81" i="37"/>
  <c r="Y79" i="37"/>
  <c r="Y73" i="37"/>
  <c r="Y70" i="37"/>
  <c r="Y68" i="37"/>
  <c r="Y66" i="37"/>
  <c r="Y74" i="37"/>
  <c r="Y65" i="37"/>
  <c r="Y67" i="37"/>
  <c r="Y64" i="37"/>
  <c r="Y60" i="37"/>
  <c r="Y58" i="37"/>
  <c r="Y63" i="37"/>
  <c r="X94" i="37"/>
  <c r="Y55" i="37"/>
  <c r="Y76" i="37"/>
  <c r="Y69" i="37"/>
  <c r="Y62" i="37"/>
  <c r="Y59" i="37"/>
  <c r="X95" i="37"/>
  <c r="X86" i="37"/>
  <c r="Y71" i="37"/>
  <c r="Y77" i="37"/>
  <c r="Y51" i="37"/>
  <c r="Y45" i="37"/>
  <c r="Y40" i="37"/>
  <c r="Y32" i="37"/>
  <c r="Z29" i="37"/>
  <c r="Z28" i="37" s="1"/>
  <c r="Y56" i="37"/>
  <c r="Y52" i="37"/>
  <c r="Y43" i="37"/>
  <c r="Y38" i="37"/>
  <c r="Y37" i="37"/>
  <c r="Y36" i="37"/>
  <c r="Y31" i="37"/>
  <c r="Y61" i="37"/>
  <c r="Y41" i="37"/>
  <c r="Y48" i="37"/>
  <c r="Y72" i="37"/>
  <c r="Y42" i="37"/>
  <c r="Y39" i="37"/>
  <c r="Y53" i="37"/>
  <c r="Y49" i="37"/>
  <c r="Y47" i="37"/>
  <c r="Y46" i="37"/>
  <c r="Y33" i="37"/>
  <c r="Y54" i="37"/>
  <c r="Y35" i="37"/>
  <c r="Y34" i="37"/>
  <c r="Y30" i="37"/>
  <c r="Y44" i="37"/>
  <c r="Y50" i="37"/>
  <c r="Y57" i="37"/>
  <c r="T29" i="53" l="1"/>
  <c r="U28" i="53"/>
  <c r="E44" i="53"/>
  <c r="F43" i="53"/>
  <c r="W23" i="53"/>
  <c r="X22" i="53"/>
  <c r="Y96" i="37"/>
  <c r="Y93" i="37"/>
  <c r="Y90" i="37"/>
  <c r="Y91" i="37"/>
  <c r="Y95" i="37"/>
  <c r="Y94" i="37"/>
  <c r="Y87" i="37"/>
  <c r="Y86" i="37"/>
  <c r="Z78" i="37"/>
  <c r="Z77" i="37"/>
  <c r="Z80" i="37"/>
  <c r="Z83" i="37"/>
  <c r="Z74" i="37"/>
  <c r="Z67" i="37"/>
  <c r="Z75" i="37"/>
  <c r="Z68" i="37"/>
  <c r="Y92" i="37"/>
  <c r="Y88" i="37"/>
  <c r="Z82" i="37"/>
  <c r="Z76" i="37"/>
  <c r="Z66" i="37"/>
  <c r="Z64" i="37"/>
  <c r="Z60" i="37"/>
  <c r="Y85" i="37"/>
  <c r="Z79" i="37"/>
  <c r="Z69" i="37"/>
  <c r="Z71" i="37"/>
  <c r="Z62" i="37"/>
  <c r="Y89" i="37"/>
  <c r="Z81" i="37"/>
  <c r="Z73" i="37"/>
  <c r="Z72" i="37"/>
  <c r="Z63" i="37"/>
  <c r="Z51" i="37"/>
  <c r="Z49" i="37"/>
  <c r="Z47" i="37"/>
  <c r="Z45" i="37"/>
  <c r="Z43" i="37"/>
  <c r="Z41" i="37"/>
  <c r="Z39" i="37"/>
  <c r="Z37" i="37"/>
  <c r="Z35" i="37"/>
  <c r="Z70" i="37"/>
  <c r="Z58" i="37"/>
  <c r="Z55" i="37"/>
  <c r="Z52" i="37"/>
  <c r="Z38" i="37"/>
  <c r="Z36" i="37"/>
  <c r="Z31" i="37"/>
  <c r="Z57" i="37"/>
  <c r="Z50" i="37"/>
  <c r="Z61" i="37"/>
  <c r="Z56" i="37"/>
  <c r="Z65" i="37"/>
  <c r="Z54" i="37"/>
  <c r="Z30" i="37"/>
  <c r="Z32" i="37"/>
  <c r="AA29" i="37"/>
  <c r="AA28" i="37" s="1"/>
  <c r="Z59" i="37"/>
  <c r="Z53" i="37"/>
  <c r="Z46" i="37"/>
  <c r="Z33" i="37"/>
  <c r="Z34" i="37"/>
  <c r="Z42" i="37"/>
  <c r="Z48" i="37"/>
  <c r="Z44" i="37"/>
  <c r="Z84" i="37"/>
  <c r="Z40" i="37"/>
  <c r="E45" i="53" l="1"/>
  <c r="F44" i="53"/>
  <c r="T30" i="53"/>
  <c r="U29" i="53"/>
  <c r="W24" i="53"/>
  <c r="X23" i="53"/>
  <c r="Z93" i="37"/>
  <c r="Z90" i="37"/>
  <c r="Z95" i="37"/>
  <c r="Z94" i="37"/>
  <c r="Z92" i="37"/>
  <c r="AA81" i="37"/>
  <c r="Z89" i="37"/>
  <c r="Z88" i="37"/>
  <c r="Z86" i="37"/>
  <c r="Z91" i="37"/>
  <c r="AA84" i="37"/>
  <c r="AA74" i="37"/>
  <c r="Z96" i="37"/>
  <c r="AA72" i="37"/>
  <c r="AA83" i="37"/>
  <c r="AA80" i="37"/>
  <c r="AA75" i="37"/>
  <c r="AA68" i="37"/>
  <c r="AA82" i="37"/>
  <c r="AA78" i="37"/>
  <c r="AA76" i="37"/>
  <c r="AA69" i="37"/>
  <c r="Z85" i="37"/>
  <c r="AA79" i="37"/>
  <c r="AA67" i="37"/>
  <c r="AA70" i="37"/>
  <c r="AA63" i="37"/>
  <c r="AA61" i="37"/>
  <c r="AA59" i="37"/>
  <c r="AA57" i="37"/>
  <c r="AA55" i="37"/>
  <c r="AA66" i="37"/>
  <c r="AA73" i="37"/>
  <c r="AA62" i="37"/>
  <c r="AA60" i="37"/>
  <c r="AA65" i="37"/>
  <c r="AA54" i="37"/>
  <c r="AA52" i="37"/>
  <c r="AA71" i="37"/>
  <c r="AA51" i="37"/>
  <c r="AA49" i="37"/>
  <c r="AA47" i="37"/>
  <c r="AA45" i="37"/>
  <c r="AA43" i="37"/>
  <c r="AA41" i="37"/>
  <c r="AA39" i="37"/>
  <c r="AA77" i="37"/>
  <c r="AA58" i="37"/>
  <c r="AA56" i="37"/>
  <c r="AA37" i="37"/>
  <c r="AA48" i="37"/>
  <c r="AA50" i="37"/>
  <c r="AA30" i="37"/>
  <c r="AA46" i="37"/>
  <c r="AA38" i="37"/>
  <c r="AA33" i="37"/>
  <c r="AA64" i="37"/>
  <c r="AA34" i="37"/>
  <c r="AA44" i="37"/>
  <c r="AA35" i="37"/>
  <c r="AA53" i="37"/>
  <c r="Z87" i="37"/>
  <c r="AA32" i="37"/>
  <c r="AA36" i="37"/>
  <c r="AB29" i="37"/>
  <c r="AB28" i="37" s="1"/>
  <c r="AA42" i="37"/>
  <c r="AA31" i="37"/>
  <c r="AA40" i="37"/>
  <c r="U30" i="53" l="1"/>
  <c r="U31" i="53" s="1"/>
  <c r="U32" i="53" s="1"/>
  <c r="U33" i="53" s="1"/>
  <c r="U34" i="53" s="1"/>
  <c r="U35" i="53" s="1"/>
  <c r="U36" i="53" s="1"/>
  <c r="U37" i="53" s="1"/>
  <c r="U38" i="53" s="1"/>
  <c r="U39" i="53" s="1"/>
  <c r="U40" i="53" s="1"/>
  <c r="U41" i="53" s="1"/>
  <c r="U42" i="53" s="1"/>
  <c r="U43" i="53" s="1"/>
  <c r="U44" i="53" s="1"/>
  <c r="U45" i="53" s="1"/>
  <c r="U46" i="53" s="1"/>
  <c r="U47" i="53" s="1"/>
  <c r="U49" i="53" s="1"/>
  <c r="B38" i="1" s="1"/>
  <c r="H38" i="1" s="1"/>
  <c r="E46" i="53"/>
  <c r="F45" i="53"/>
  <c r="X24" i="53"/>
  <c r="W25" i="53"/>
  <c r="AA90" i="37"/>
  <c r="AA95" i="37"/>
  <c r="AA87" i="37"/>
  <c r="AA88" i="37"/>
  <c r="AA85" i="37"/>
  <c r="AA94" i="37"/>
  <c r="AA92" i="37"/>
  <c r="AA89" i="37"/>
  <c r="AA86" i="37"/>
  <c r="AB84" i="37"/>
  <c r="AA91" i="37"/>
  <c r="AB81" i="37"/>
  <c r="AB80" i="37"/>
  <c r="AB75" i="37"/>
  <c r="AB73" i="37"/>
  <c r="AB82" i="37"/>
  <c r="AB79" i="37"/>
  <c r="AB70" i="37"/>
  <c r="AB68" i="37"/>
  <c r="AB66" i="37"/>
  <c r="AB64" i="37"/>
  <c r="AB62" i="37"/>
  <c r="AB83" i="37"/>
  <c r="AA93" i="37"/>
  <c r="AB78" i="37"/>
  <c r="AB76" i="37"/>
  <c r="AB69" i="37"/>
  <c r="AB63" i="37"/>
  <c r="AA96" i="37"/>
  <c r="AB71" i="37"/>
  <c r="AB74" i="37"/>
  <c r="AB60" i="37"/>
  <c r="AB72" i="37"/>
  <c r="AB65" i="37"/>
  <c r="AB54" i="37"/>
  <c r="AB51" i="37"/>
  <c r="AB49" i="37"/>
  <c r="AB47" i="37"/>
  <c r="AB45" i="37"/>
  <c r="AB43" i="37"/>
  <c r="AB41" i="37"/>
  <c r="AB39" i="37"/>
  <c r="AB37" i="37"/>
  <c r="AB35" i="37"/>
  <c r="AB33" i="37"/>
  <c r="AB31" i="37"/>
  <c r="AB77" i="37"/>
  <c r="AB58" i="37"/>
  <c r="AB55" i="37"/>
  <c r="AB67" i="37"/>
  <c r="AB56" i="37"/>
  <c r="AB52" i="37"/>
  <c r="AB61" i="37"/>
  <c r="AB50" i="37"/>
  <c r="AB30" i="37"/>
  <c r="AB59" i="37"/>
  <c r="AB57" i="37"/>
  <c r="AB48" i="37"/>
  <c r="AB46" i="37"/>
  <c r="AB34" i="37"/>
  <c r="AB32" i="37"/>
  <c r="AB44" i="37"/>
  <c r="AB36" i="37"/>
  <c r="AC29" i="37"/>
  <c r="AC28" i="37" s="1"/>
  <c r="AB53" i="37"/>
  <c r="AB42" i="37"/>
  <c r="AB40" i="37"/>
  <c r="AB38" i="37"/>
  <c r="E47" i="53" l="1"/>
  <c r="F47" i="53" s="1"/>
  <c r="F46" i="53"/>
  <c r="W26" i="53"/>
  <c r="X25" i="53"/>
  <c r="AB95" i="37"/>
  <c r="AB92" i="37"/>
  <c r="AB96" i="37"/>
  <c r="AB91" i="37"/>
  <c r="AB87" i="37"/>
  <c r="AB86" i="37"/>
  <c r="AC82" i="37"/>
  <c r="AC79" i="37"/>
  <c r="AC77" i="37"/>
  <c r="AB85" i="37"/>
  <c r="AC84" i="37"/>
  <c r="AB93" i="37"/>
  <c r="AB89" i="37"/>
  <c r="AC73" i="37"/>
  <c r="AC76" i="37"/>
  <c r="AC71" i="37"/>
  <c r="AC69" i="37"/>
  <c r="AC67" i="37"/>
  <c r="AC65" i="37"/>
  <c r="AB88" i="37"/>
  <c r="AC70" i="37"/>
  <c r="AC75" i="37"/>
  <c r="AC68" i="37"/>
  <c r="AC78" i="37"/>
  <c r="AC62" i="37"/>
  <c r="AC61" i="37"/>
  <c r="AC59" i="37"/>
  <c r="AC83" i="37"/>
  <c r="AC72" i="37"/>
  <c r="AC81" i="37"/>
  <c r="AC54" i="37"/>
  <c r="AB90" i="37"/>
  <c r="AC57" i="37"/>
  <c r="AC63" i="37"/>
  <c r="AC58" i="37"/>
  <c r="AC74" i="37"/>
  <c r="AC66" i="37"/>
  <c r="AC55" i="37"/>
  <c r="AC56" i="37"/>
  <c r="AC52" i="37"/>
  <c r="AC53" i="37"/>
  <c r="AC50" i="37"/>
  <c r="AB94" i="37"/>
  <c r="AC48" i="37"/>
  <c r="AC43" i="37"/>
  <c r="AC44" i="37"/>
  <c r="AC46" i="37"/>
  <c r="AC41" i="37"/>
  <c r="AC60" i="37"/>
  <c r="AC39" i="37"/>
  <c r="AC47" i="37"/>
  <c r="AC36" i="37"/>
  <c r="AC35" i="37"/>
  <c r="AD29" i="37"/>
  <c r="AC45" i="37"/>
  <c r="AC42" i="37"/>
  <c r="AC30" i="37"/>
  <c r="AC51" i="37"/>
  <c r="AC64" i="37"/>
  <c r="AC38" i="37"/>
  <c r="AC80" i="37"/>
  <c r="AC34" i="37"/>
  <c r="AC37" i="37"/>
  <c r="AC40" i="37"/>
  <c r="AC31" i="37"/>
  <c r="AC32" i="37"/>
  <c r="AC49" i="37"/>
  <c r="AC33" i="37"/>
  <c r="F49" i="53" l="1"/>
  <c r="B21" i="1" s="1"/>
  <c r="H21" i="1" s="1"/>
  <c r="W27" i="53"/>
  <c r="X26" i="53"/>
  <c r="AC92" i="37"/>
  <c r="AC89" i="37"/>
  <c r="AC94" i="37"/>
  <c r="AC93" i="37"/>
  <c r="AC95" i="37"/>
  <c r="AC96" i="37"/>
  <c r="AC91" i="37"/>
  <c r="AC88" i="37"/>
  <c r="AC85" i="37"/>
  <c r="AD83" i="37"/>
  <c r="AD82" i="37"/>
  <c r="AD79" i="37"/>
  <c r="AD81" i="37"/>
  <c r="AD80" i="37"/>
  <c r="AD72" i="37"/>
  <c r="AC87" i="37"/>
  <c r="AD78" i="37"/>
  <c r="AD70" i="37"/>
  <c r="AD71" i="37"/>
  <c r="AC86" i="37"/>
  <c r="AD69" i="37"/>
  <c r="AD62" i="37"/>
  <c r="AD61" i="37"/>
  <c r="AD59" i="37"/>
  <c r="AD84" i="37"/>
  <c r="AD74" i="37"/>
  <c r="AC90" i="37"/>
  <c r="AD77" i="37"/>
  <c r="AD76" i="37"/>
  <c r="AD73" i="37"/>
  <c r="AD65" i="37"/>
  <c r="AD57" i="37"/>
  <c r="AD63" i="37"/>
  <c r="AD58" i="37"/>
  <c r="AD56" i="37"/>
  <c r="AD66" i="37"/>
  <c r="AD55" i="37"/>
  <c r="AD68" i="37"/>
  <c r="AD52" i="37"/>
  <c r="AD67" i="37"/>
  <c r="AD53" i="37"/>
  <c r="AD50" i="37"/>
  <c r="AD48" i="37"/>
  <c r="AD46" i="37"/>
  <c r="AD44" i="37"/>
  <c r="AD42" i="37"/>
  <c r="AD40" i="37"/>
  <c r="AD38" i="37"/>
  <c r="AD36" i="37"/>
  <c r="AD34" i="37"/>
  <c r="AD64" i="37"/>
  <c r="AD41" i="37"/>
  <c r="AD75" i="37"/>
  <c r="AD60" i="37"/>
  <c r="AD54" i="37"/>
  <c r="AD39" i="37"/>
  <c r="AD33" i="37"/>
  <c r="AD35" i="37"/>
  <c r="AE29" i="37"/>
  <c r="AE28" i="37" s="1"/>
  <c r="AD49" i="37"/>
  <c r="AD45" i="37"/>
  <c r="AD30" i="37"/>
  <c r="AD37" i="37"/>
  <c r="AD51" i="37"/>
  <c r="AD43" i="37"/>
  <c r="AD31" i="37"/>
  <c r="AD32" i="37"/>
  <c r="AD47" i="37"/>
  <c r="AD28" i="37"/>
  <c r="W28" i="53" l="1"/>
  <c r="X27" i="53"/>
  <c r="AD94" i="37"/>
  <c r="AD96" i="37"/>
  <c r="AD86" i="37"/>
  <c r="AD93" i="37"/>
  <c r="AD89" i="37"/>
  <c r="AE83" i="37"/>
  <c r="AD90" i="37"/>
  <c r="AE84" i="37"/>
  <c r="AD87" i="37"/>
  <c r="AE80" i="37"/>
  <c r="AD95" i="37"/>
  <c r="AE78" i="37"/>
  <c r="AD92" i="37"/>
  <c r="AE75" i="37"/>
  <c r="AD91" i="37"/>
  <c r="AD88" i="37"/>
  <c r="AE82" i="37"/>
  <c r="AE71" i="37"/>
  <c r="AD85" i="37"/>
  <c r="AE79" i="37"/>
  <c r="AE77" i="37"/>
  <c r="AE74" i="37"/>
  <c r="AE70" i="37"/>
  <c r="AE73" i="37"/>
  <c r="AE65" i="37"/>
  <c r="AE60" i="37"/>
  <c r="AE58" i="37"/>
  <c r="AE56" i="37"/>
  <c r="AE72" i="37"/>
  <c r="AE62" i="37"/>
  <c r="AE57" i="37"/>
  <c r="AE69" i="37"/>
  <c r="AE63" i="37"/>
  <c r="AE61" i="37"/>
  <c r="AE53" i="37"/>
  <c r="AE68" i="37"/>
  <c r="AE52" i="37"/>
  <c r="AE67" i="37"/>
  <c r="AE50" i="37"/>
  <c r="AE48" i="37"/>
  <c r="AE46" i="37"/>
  <c r="AE44" i="37"/>
  <c r="AE42" i="37"/>
  <c r="AE40" i="37"/>
  <c r="AE38" i="37"/>
  <c r="AE64" i="37"/>
  <c r="AE54" i="37"/>
  <c r="AE39" i="37"/>
  <c r="AE34" i="37"/>
  <c r="AE32" i="37"/>
  <c r="AF29" i="37"/>
  <c r="AE81" i="37"/>
  <c r="AE59" i="37"/>
  <c r="AE33" i="37"/>
  <c r="AE45" i="37"/>
  <c r="AE36" i="37"/>
  <c r="AE30" i="37"/>
  <c r="AE66" i="37"/>
  <c r="AE37" i="37"/>
  <c r="AE51" i="37"/>
  <c r="AE43" i="37"/>
  <c r="AE31" i="37"/>
  <c r="AE55" i="37"/>
  <c r="AE49" i="37"/>
  <c r="AE47" i="37"/>
  <c r="AE76" i="37"/>
  <c r="AE41" i="37"/>
  <c r="AE35" i="37"/>
  <c r="W29" i="53" l="1"/>
  <c r="X28" i="53"/>
  <c r="AE94" i="37"/>
  <c r="AE91" i="37"/>
  <c r="AE96" i="37"/>
  <c r="AE95" i="37"/>
  <c r="AE92" i="37"/>
  <c r="AE90" i="37"/>
  <c r="AE87" i="37"/>
  <c r="AF83" i="37"/>
  <c r="AE89" i="37"/>
  <c r="AE93" i="37"/>
  <c r="AF76" i="37"/>
  <c r="AF74" i="37"/>
  <c r="AF72" i="37"/>
  <c r="AF71" i="37"/>
  <c r="AF69" i="37"/>
  <c r="AF67" i="37"/>
  <c r="AF65" i="37"/>
  <c r="AF63" i="37"/>
  <c r="AF78" i="37"/>
  <c r="AF77" i="37"/>
  <c r="AE88" i="37"/>
  <c r="AE85" i="37"/>
  <c r="AF79" i="37"/>
  <c r="AE86" i="37"/>
  <c r="AF81" i="37"/>
  <c r="AF84" i="37"/>
  <c r="AF80" i="37"/>
  <c r="AF66" i="37"/>
  <c r="AF64" i="37"/>
  <c r="AF61" i="37"/>
  <c r="AF58" i="37"/>
  <c r="AF56" i="37"/>
  <c r="AF53" i="37"/>
  <c r="AF59" i="37"/>
  <c r="AF55" i="37"/>
  <c r="AF50" i="37"/>
  <c r="AF48" i="37"/>
  <c r="AF46" i="37"/>
  <c r="AF44" i="37"/>
  <c r="AF42" i="37"/>
  <c r="AF40" i="37"/>
  <c r="AF38" i="37"/>
  <c r="AF36" i="37"/>
  <c r="AF34" i="37"/>
  <c r="AF32" i="37"/>
  <c r="AF30" i="37"/>
  <c r="AF70" i="37"/>
  <c r="AF54" i="37"/>
  <c r="AF75" i="37"/>
  <c r="AF60" i="37"/>
  <c r="AF57" i="37"/>
  <c r="AF33" i="37"/>
  <c r="AF49" i="37"/>
  <c r="AF35" i="37"/>
  <c r="AF62" i="37"/>
  <c r="AG29" i="37"/>
  <c r="AF82" i="37"/>
  <c r="AF37" i="37"/>
  <c r="AF47" i="37"/>
  <c r="AF45" i="37"/>
  <c r="AF73" i="37"/>
  <c r="AF51" i="37"/>
  <c r="AF43" i="37"/>
  <c r="AF31" i="37"/>
  <c r="AF39" i="37"/>
  <c r="AF68" i="37"/>
  <c r="AF52" i="37"/>
  <c r="AF41" i="37"/>
  <c r="AF28" i="37"/>
  <c r="W30" i="53" l="1"/>
  <c r="X29" i="53"/>
  <c r="AF91" i="37"/>
  <c r="AF96" i="37"/>
  <c r="AF93" i="37"/>
  <c r="AF88" i="37"/>
  <c r="AG84" i="37"/>
  <c r="AG80" i="37"/>
  <c r="AG78" i="37"/>
  <c r="AF94" i="37"/>
  <c r="AF89" i="37"/>
  <c r="AF86" i="37"/>
  <c r="AF92" i="37"/>
  <c r="AF85" i="37"/>
  <c r="AG82" i="37"/>
  <c r="AG79" i="37"/>
  <c r="AG81" i="37"/>
  <c r="AG77" i="37"/>
  <c r="AG76" i="37"/>
  <c r="AF87" i="37"/>
  <c r="AG74" i="37"/>
  <c r="AG70" i="37"/>
  <c r="AG68" i="37"/>
  <c r="AG66" i="37"/>
  <c r="AG73" i="37"/>
  <c r="AG71" i="37"/>
  <c r="AG72" i="37"/>
  <c r="AG60" i="37"/>
  <c r="AG58" i="37"/>
  <c r="AG69" i="37"/>
  <c r="AG63" i="37"/>
  <c r="AG61" i="37"/>
  <c r="AG56" i="37"/>
  <c r="AF90" i="37"/>
  <c r="AG59" i="37"/>
  <c r="AG55" i="37"/>
  <c r="AG67" i="37"/>
  <c r="AG64" i="37"/>
  <c r="AF95" i="37"/>
  <c r="AG53" i="37"/>
  <c r="AG54" i="37"/>
  <c r="AG75" i="37"/>
  <c r="AG57" i="37"/>
  <c r="AG51" i="37"/>
  <c r="AG83" i="37"/>
  <c r="AG62" i="37"/>
  <c r="AG46" i="37"/>
  <c r="AH29" i="37"/>
  <c r="AH28" i="37" s="1"/>
  <c r="AG47" i="37"/>
  <c r="AG42" i="37"/>
  <c r="AG65" i="37"/>
  <c r="AG49" i="37"/>
  <c r="AG44" i="37"/>
  <c r="AG35" i="37"/>
  <c r="AG34" i="37"/>
  <c r="AG32" i="37"/>
  <c r="AG31" i="37"/>
  <c r="AG43" i="37"/>
  <c r="AG50" i="37"/>
  <c r="AG38" i="37"/>
  <c r="AG45" i="37"/>
  <c r="AG33" i="37"/>
  <c r="AG36" i="37"/>
  <c r="AG30" i="37"/>
  <c r="AG52" i="37"/>
  <c r="AG41" i="37"/>
  <c r="AG37" i="37"/>
  <c r="AG40" i="37"/>
  <c r="AG39" i="37"/>
  <c r="AG48" i="37"/>
  <c r="AG28" i="37"/>
  <c r="X30" i="53" l="1"/>
  <c r="W31" i="53"/>
  <c r="AG96" i="37"/>
  <c r="AG93" i="37"/>
  <c r="AG95" i="37"/>
  <c r="AG89" i="37"/>
  <c r="AG90" i="37"/>
  <c r="AG91" i="37"/>
  <c r="AG88" i="37"/>
  <c r="AG87" i="37"/>
  <c r="AG92" i="37"/>
  <c r="AG85" i="37"/>
  <c r="AH84" i="37"/>
  <c r="AG94" i="37"/>
  <c r="AH83" i="37"/>
  <c r="AH75" i="37"/>
  <c r="AH73" i="37"/>
  <c r="AG86" i="37"/>
  <c r="AH65" i="37"/>
  <c r="AH64" i="37"/>
  <c r="AH81" i="37"/>
  <c r="AH77" i="37"/>
  <c r="AH72" i="37"/>
  <c r="AH79" i="37"/>
  <c r="AH78" i="37"/>
  <c r="AH60" i="37"/>
  <c r="AH76" i="37"/>
  <c r="AH67" i="37"/>
  <c r="AH63" i="37"/>
  <c r="AH59" i="37"/>
  <c r="AH58" i="37"/>
  <c r="AH55" i="37"/>
  <c r="AH82" i="37"/>
  <c r="AH74" i="37"/>
  <c r="AH70" i="37"/>
  <c r="AH71" i="37"/>
  <c r="AH53" i="37"/>
  <c r="AH56" i="37"/>
  <c r="AH54" i="37"/>
  <c r="AH57" i="37"/>
  <c r="AH51" i="37"/>
  <c r="AH49" i="37"/>
  <c r="AH47" i="37"/>
  <c r="AH45" i="37"/>
  <c r="AH43" i="37"/>
  <c r="AH41" i="37"/>
  <c r="AH39" i="37"/>
  <c r="AH37" i="37"/>
  <c r="AH35" i="37"/>
  <c r="AH33" i="37"/>
  <c r="AH62" i="37"/>
  <c r="AH61" i="37"/>
  <c r="AH44" i="37"/>
  <c r="AH34" i="37"/>
  <c r="AH32" i="37"/>
  <c r="AH40" i="37"/>
  <c r="AH36" i="37"/>
  <c r="AH69" i="37"/>
  <c r="AH42" i="37"/>
  <c r="AH31" i="37"/>
  <c r="AH68" i="37"/>
  <c r="AH66" i="37"/>
  <c r="AH30" i="37"/>
  <c r="AH52" i="37"/>
  <c r="AH50" i="37"/>
  <c r="AH80" i="37"/>
  <c r="AH46" i="37"/>
  <c r="AH38" i="37"/>
  <c r="AH48" i="37"/>
  <c r="AI29" i="37"/>
  <c r="AI28" i="37" s="1"/>
  <c r="W32" i="53" l="1"/>
  <c r="X31" i="53"/>
  <c r="AH93" i="37"/>
  <c r="AH90" i="37"/>
  <c r="AH95" i="37"/>
  <c r="AH94" i="37"/>
  <c r="AI81" i="37"/>
  <c r="AH92" i="37"/>
  <c r="AH96" i="37"/>
  <c r="AH88" i="37"/>
  <c r="AI83" i="37"/>
  <c r="AH85" i="37"/>
  <c r="AH86" i="37"/>
  <c r="AI82" i="37"/>
  <c r="AI79" i="37"/>
  <c r="AI77" i="37"/>
  <c r="AI72" i="37"/>
  <c r="AI66" i="37"/>
  <c r="AI73" i="37"/>
  <c r="AI67" i="37"/>
  <c r="AI84" i="37"/>
  <c r="AI74" i="37"/>
  <c r="AI80" i="37"/>
  <c r="AI65" i="37"/>
  <c r="AI64" i="37"/>
  <c r="AH87" i="37"/>
  <c r="AI68" i="37"/>
  <c r="AI62" i="37"/>
  <c r="AI61" i="37"/>
  <c r="AI59" i="37"/>
  <c r="AI57" i="37"/>
  <c r="AI55" i="37"/>
  <c r="AH89" i="37"/>
  <c r="AI70" i="37"/>
  <c r="AI78" i="37"/>
  <c r="AI54" i="37"/>
  <c r="AI52" i="37"/>
  <c r="AI56" i="37"/>
  <c r="AI51" i="37"/>
  <c r="AI49" i="37"/>
  <c r="AI47" i="37"/>
  <c r="AI45" i="37"/>
  <c r="AI43" i="37"/>
  <c r="AI41" i="37"/>
  <c r="AI39" i="37"/>
  <c r="AI75" i="37"/>
  <c r="AH91" i="37"/>
  <c r="AI60" i="37"/>
  <c r="AI69" i="37"/>
  <c r="AI42" i="37"/>
  <c r="AI35" i="37"/>
  <c r="AI31" i="37"/>
  <c r="AI37" i="37"/>
  <c r="AI30" i="37"/>
  <c r="AI40" i="37"/>
  <c r="AI36" i="37"/>
  <c r="AI76" i="37"/>
  <c r="AI38" i="37"/>
  <c r="AI58" i="37"/>
  <c r="AI44" i="37"/>
  <c r="AI48" i="37"/>
  <c r="AJ29" i="37"/>
  <c r="AJ28" i="37" s="1"/>
  <c r="AI63" i="37"/>
  <c r="AI34" i="37"/>
  <c r="AI71" i="37"/>
  <c r="AI53" i="37"/>
  <c r="AI50" i="37"/>
  <c r="AI32" i="37"/>
  <c r="AI33" i="37"/>
  <c r="AI46" i="37"/>
  <c r="W33" i="53" l="1"/>
  <c r="X32" i="53"/>
  <c r="AI90" i="37"/>
  <c r="AI95" i="37"/>
  <c r="AI87" i="37"/>
  <c r="AI85" i="37"/>
  <c r="AI94" i="37"/>
  <c r="AI91" i="37"/>
  <c r="AI86" i="37"/>
  <c r="AJ75" i="37"/>
  <c r="AJ73" i="37"/>
  <c r="AJ78" i="37"/>
  <c r="AJ77" i="37"/>
  <c r="AJ74" i="37"/>
  <c r="AJ70" i="37"/>
  <c r="AJ68" i="37"/>
  <c r="AJ66" i="37"/>
  <c r="AJ64" i="37"/>
  <c r="AJ62" i="37"/>
  <c r="AI96" i="37"/>
  <c r="AI88" i="37"/>
  <c r="AJ82" i="37"/>
  <c r="AJ79" i="37"/>
  <c r="AJ72" i="37"/>
  <c r="AJ84" i="37"/>
  <c r="AJ81" i="37"/>
  <c r="AJ80" i="37"/>
  <c r="AJ67" i="37"/>
  <c r="AI92" i="37"/>
  <c r="AJ65" i="37"/>
  <c r="AJ83" i="37"/>
  <c r="AJ76" i="37"/>
  <c r="AJ63" i="37"/>
  <c r="AI93" i="37"/>
  <c r="AJ69" i="37"/>
  <c r="AJ54" i="37"/>
  <c r="AJ51" i="37"/>
  <c r="AJ49" i="37"/>
  <c r="AJ47" i="37"/>
  <c r="AJ45" i="37"/>
  <c r="AJ43" i="37"/>
  <c r="AJ41" i="37"/>
  <c r="AJ39" i="37"/>
  <c r="AJ37" i="37"/>
  <c r="AJ35" i="37"/>
  <c r="AJ33" i="37"/>
  <c r="AJ31" i="37"/>
  <c r="AJ57" i="37"/>
  <c r="AJ61" i="37"/>
  <c r="AJ60" i="37"/>
  <c r="AI89" i="37"/>
  <c r="AJ59" i="37"/>
  <c r="AJ40" i="37"/>
  <c r="AJ36" i="37"/>
  <c r="AJ58" i="37"/>
  <c r="AJ38" i="37"/>
  <c r="AJ30" i="37"/>
  <c r="AJ53" i="37"/>
  <c r="AJ52" i="37"/>
  <c r="AJ56" i="37"/>
  <c r="AJ34" i="37"/>
  <c r="AK29" i="37"/>
  <c r="AK28" i="37" s="1"/>
  <c r="AJ44" i="37"/>
  <c r="AJ42" i="37"/>
  <c r="AJ71" i="37"/>
  <c r="AJ50" i="37"/>
  <c r="AJ32" i="37"/>
  <c r="AJ46" i="37"/>
  <c r="AJ55" i="37"/>
  <c r="AJ48" i="37"/>
  <c r="W34" i="53" l="1"/>
  <c r="X33" i="53"/>
  <c r="AJ95" i="37"/>
  <c r="AJ92" i="37"/>
  <c r="AJ96" i="37"/>
  <c r="AJ94" i="37"/>
  <c r="AJ91" i="37"/>
  <c r="AJ88" i="37"/>
  <c r="AK82" i="37"/>
  <c r="AK79" i="37"/>
  <c r="AK77" i="37"/>
  <c r="AJ89" i="37"/>
  <c r="AJ87" i="37"/>
  <c r="AJ93" i="37"/>
  <c r="AK84" i="37"/>
  <c r="AK81" i="37"/>
  <c r="AK80" i="37"/>
  <c r="AJ86" i="37"/>
  <c r="AK71" i="37"/>
  <c r="AK69" i="37"/>
  <c r="AK67" i="37"/>
  <c r="AK65" i="37"/>
  <c r="AJ90" i="37"/>
  <c r="AJ85" i="37"/>
  <c r="AK73" i="37"/>
  <c r="AK74" i="37"/>
  <c r="AK68" i="37"/>
  <c r="AK76" i="37"/>
  <c r="AK75" i="37"/>
  <c r="AK83" i="37"/>
  <c r="AK72" i="37"/>
  <c r="AK64" i="37"/>
  <c r="AK63" i="37"/>
  <c r="AK66" i="37"/>
  <c r="AK61" i="37"/>
  <c r="AK59" i="37"/>
  <c r="AK70" i="37"/>
  <c r="AK54" i="37"/>
  <c r="AK78" i="37"/>
  <c r="AK60" i="37"/>
  <c r="AK57" i="37"/>
  <c r="AK62" i="37"/>
  <c r="AK52" i="37"/>
  <c r="AK50" i="37"/>
  <c r="AK49" i="37"/>
  <c r="AK38" i="37"/>
  <c r="AK30" i="37"/>
  <c r="AK45" i="37"/>
  <c r="AK58" i="37"/>
  <c r="AK53" i="37"/>
  <c r="AK47" i="37"/>
  <c r="AK37" i="37"/>
  <c r="AK51" i="37"/>
  <c r="AK42" i="37"/>
  <c r="AK31" i="37"/>
  <c r="AK34" i="37"/>
  <c r="AK36" i="37"/>
  <c r="AK41" i="37"/>
  <c r="AK32" i="37"/>
  <c r="AK55" i="37"/>
  <c r="AK48" i="37"/>
  <c r="AK40" i="37"/>
  <c r="AK56" i="37"/>
  <c r="AK33" i="37"/>
  <c r="AL29" i="37"/>
  <c r="AL28" i="37" s="1"/>
  <c r="AK39" i="37"/>
  <c r="AK46" i="37"/>
  <c r="AK44" i="37"/>
  <c r="AK35" i="37"/>
  <c r="AK43" i="37"/>
  <c r="W35" i="53" l="1"/>
  <c r="X34" i="53"/>
  <c r="AK92" i="37"/>
  <c r="AK89" i="37"/>
  <c r="AK94" i="37"/>
  <c r="AK93" i="37"/>
  <c r="AK90" i="37"/>
  <c r="AK96" i="37"/>
  <c r="AK87" i="37"/>
  <c r="AK86" i="37"/>
  <c r="AK85" i="37"/>
  <c r="AK95" i="37"/>
  <c r="AL73" i="37"/>
  <c r="AL84" i="37"/>
  <c r="AL81" i="37"/>
  <c r="AL80" i="37"/>
  <c r="AL76" i="37"/>
  <c r="AL74" i="37"/>
  <c r="AL68" i="37"/>
  <c r="AL75" i="37"/>
  <c r="AL69" i="37"/>
  <c r="AK88" i="37"/>
  <c r="AL66" i="37"/>
  <c r="AL61" i="37"/>
  <c r="AL59" i="37"/>
  <c r="AK91" i="37"/>
  <c r="AL62" i="37"/>
  <c r="AL70" i="37"/>
  <c r="AL78" i="37"/>
  <c r="AL82" i="37"/>
  <c r="AL67" i="37"/>
  <c r="AL64" i="37"/>
  <c r="AL60" i="37"/>
  <c r="AL77" i="37"/>
  <c r="AL71" i="37"/>
  <c r="AL57" i="37"/>
  <c r="AL54" i="37"/>
  <c r="AL52" i="37"/>
  <c r="AL50" i="37"/>
  <c r="AL48" i="37"/>
  <c r="AL46" i="37"/>
  <c r="AL44" i="37"/>
  <c r="AL42" i="37"/>
  <c r="AL40" i="37"/>
  <c r="AL38" i="37"/>
  <c r="AL36" i="37"/>
  <c r="AL34" i="37"/>
  <c r="AL83" i="37"/>
  <c r="AL65" i="37"/>
  <c r="AL58" i="37"/>
  <c r="AL53" i="37"/>
  <c r="AL47" i="37"/>
  <c r="AL37" i="37"/>
  <c r="AL63" i="37"/>
  <c r="AL51" i="37"/>
  <c r="AL43" i="37"/>
  <c r="AL79" i="37"/>
  <c r="AL45" i="37"/>
  <c r="AL41" i="37"/>
  <c r="AL32" i="37"/>
  <c r="AL72" i="37"/>
  <c r="AL35" i="37"/>
  <c r="AL55" i="37"/>
  <c r="AL39" i="37"/>
  <c r="AL30" i="37"/>
  <c r="AL31" i="37"/>
  <c r="AL56" i="37"/>
  <c r="AL49" i="37"/>
  <c r="AL33" i="37"/>
  <c r="AM29" i="37"/>
  <c r="W36" i="53" l="1"/>
  <c r="X35" i="53"/>
  <c r="AL94" i="37"/>
  <c r="AL91" i="37"/>
  <c r="AL86" i="37"/>
  <c r="AM83" i="37"/>
  <c r="AL90" i="37"/>
  <c r="AL88" i="37"/>
  <c r="AL95" i="37"/>
  <c r="AM82" i="37"/>
  <c r="AM79" i="37"/>
  <c r="AL96" i="37"/>
  <c r="AM72" i="37"/>
  <c r="AL92" i="37"/>
  <c r="AM81" i="37"/>
  <c r="AM75" i="37"/>
  <c r="AM69" i="37"/>
  <c r="AM84" i="37"/>
  <c r="AM76" i="37"/>
  <c r="AM70" i="37"/>
  <c r="AL87" i="37"/>
  <c r="AM78" i="37"/>
  <c r="AL85" i="37"/>
  <c r="AM80" i="37"/>
  <c r="AM62" i="37"/>
  <c r="AM77" i="37"/>
  <c r="AM73" i="37"/>
  <c r="AM67" i="37"/>
  <c r="AL89" i="37"/>
  <c r="AM71" i="37"/>
  <c r="AM60" i="37"/>
  <c r="AM58" i="37"/>
  <c r="AM56" i="37"/>
  <c r="AM64" i="37"/>
  <c r="AM74" i="37"/>
  <c r="AM57" i="37"/>
  <c r="AL93" i="37"/>
  <c r="AM53" i="37"/>
  <c r="AM61" i="37"/>
  <c r="AM52" i="37"/>
  <c r="AM50" i="37"/>
  <c r="AM48" i="37"/>
  <c r="AM46" i="37"/>
  <c r="AM44" i="37"/>
  <c r="AM42" i="37"/>
  <c r="AM40" i="37"/>
  <c r="AM38" i="37"/>
  <c r="AM65" i="37"/>
  <c r="AM59" i="37"/>
  <c r="AM55" i="37"/>
  <c r="AM45" i="37"/>
  <c r="AM41" i="37"/>
  <c r="AM68" i="37"/>
  <c r="AM63" i="37"/>
  <c r="AM51" i="37"/>
  <c r="AM43" i="37"/>
  <c r="AN29" i="37"/>
  <c r="AM30" i="37"/>
  <c r="AM31" i="37"/>
  <c r="AM66" i="37"/>
  <c r="AM39" i="37"/>
  <c r="AM49" i="37"/>
  <c r="AM33" i="37"/>
  <c r="AM47" i="37"/>
  <c r="AM36" i="37"/>
  <c r="AM54" i="37"/>
  <c r="AM34" i="37"/>
  <c r="AM35" i="37"/>
  <c r="AM37" i="37"/>
  <c r="AM32" i="37"/>
  <c r="AM28" i="37"/>
  <c r="W37" i="53" l="1"/>
  <c r="X36" i="53"/>
  <c r="AM94" i="37"/>
  <c r="AM91" i="37"/>
  <c r="AM96" i="37"/>
  <c r="AM95" i="37"/>
  <c r="AM93" i="37"/>
  <c r="AM92" i="37"/>
  <c r="AN84" i="37"/>
  <c r="AM86" i="37"/>
  <c r="AN80" i="37"/>
  <c r="AM90" i="37"/>
  <c r="AM88" i="37"/>
  <c r="AN78" i="37"/>
  <c r="AN76" i="37"/>
  <c r="AN74" i="37"/>
  <c r="AN72" i="37"/>
  <c r="AM87" i="37"/>
  <c r="AM85" i="37"/>
  <c r="AN71" i="37"/>
  <c r="AN69" i="37"/>
  <c r="AN67" i="37"/>
  <c r="AN65" i="37"/>
  <c r="AN63" i="37"/>
  <c r="AN75" i="37"/>
  <c r="AM89" i="37"/>
  <c r="AN83" i="37"/>
  <c r="AN70" i="37"/>
  <c r="AN77" i="37"/>
  <c r="AN73" i="37"/>
  <c r="AN68" i="37"/>
  <c r="AN81" i="37"/>
  <c r="AN82" i="37"/>
  <c r="AN60" i="37"/>
  <c r="AN57" i="37"/>
  <c r="AN53" i="37"/>
  <c r="AN79" i="37"/>
  <c r="AN66" i="37"/>
  <c r="AN56" i="37"/>
  <c r="AN61" i="37"/>
  <c r="AN52" i="37"/>
  <c r="AN50" i="37"/>
  <c r="AN48" i="37"/>
  <c r="AN46" i="37"/>
  <c r="AN44" i="37"/>
  <c r="AN42" i="37"/>
  <c r="AN40" i="37"/>
  <c r="AN38" i="37"/>
  <c r="AN36" i="37"/>
  <c r="AN34" i="37"/>
  <c r="AN32" i="37"/>
  <c r="AN30" i="37"/>
  <c r="AN64" i="37"/>
  <c r="AN62" i="37"/>
  <c r="AN59" i="37"/>
  <c r="AN55" i="37"/>
  <c r="AN58" i="37"/>
  <c r="AN51" i="37"/>
  <c r="AN43" i="37"/>
  <c r="AN39" i="37"/>
  <c r="AN41" i="37"/>
  <c r="AO29" i="37"/>
  <c r="AO28" i="37" s="1"/>
  <c r="AN33" i="37"/>
  <c r="AN31" i="37"/>
  <c r="AN49" i="37"/>
  <c r="AN54" i="37"/>
  <c r="AN37" i="37"/>
  <c r="AN47" i="37"/>
  <c r="AN35" i="37"/>
  <c r="AN45" i="37"/>
  <c r="AN28" i="37"/>
  <c r="W38" i="53" l="1"/>
  <c r="X37" i="53"/>
  <c r="AN91" i="37"/>
  <c r="AN96" i="37"/>
  <c r="AN93" i="37"/>
  <c r="AN92" i="37"/>
  <c r="AN88" i="37"/>
  <c r="AN94" i="37"/>
  <c r="AN89" i="37"/>
  <c r="AO84" i="37"/>
  <c r="AO80" i="37"/>
  <c r="AO78" i="37"/>
  <c r="AN95" i="37"/>
  <c r="AO83" i="37"/>
  <c r="AN87" i="37"/>
  <c r="AN85" i="37"/>
  <c r="AO82" i="37"/>
  <c r="AO81" i="37"/>
  <c r="AO79" i="37"/>
  <c r="AN90" i="37"/>
  <c r="AO70" i="37"/>
  <c r="AO68" i="37"/>
  <c r="AO66" i="37"/>
  <c r="AO76" i="37"/>
  <c r="AO71" i="37"/>
  <c r="AO67" i="37"/>
  <c r="AN86" i="37"/>
  <c r="AO60" i="37"/>
  <c r="AO58" i="37"/>
  <c r="AO75" i="37"/>
  <c r="AO74" i="37"/>
  <c r="AO77" i="37"/>
  <c r="AO56" i="37"/>
  <c r="AO62" i="37"/>
  <c r="AO55" i="37"/>
  <c r="AO64" i="37"/>
  <c r="AO59" i="37"/>
  <c r="AO65" i="37"/>
  <c r="AO69" i="37"/>
  <c r="AO53" i="37"/>
  <c r="AO51" i="37"/>
  <c r="AO63" i="37"/>
  <c r="AO41" i="37"/>
  <c r="AP29" i="37"/>
  <c r="AP28" i="37" s="1"/>
  <c r="AO39" i="37"/>
  <c r="AO33" i="37"/>
  <c r="AO48" i="37"/>
  <c r="AO32" i="37"/>
  <c r="AO73" i="37"/>
  <c r="AO49" i="37"/>
  <c r="AO31" i="37"/>
  <c r="AO43" i="37"/>
  <c r="AO52" i="37"/>
  <c r="AO61" i="37"/>
  <c r="AO54" i="37"/>
  <c r="AO50" i="37"/>
  <c r="AO40" i="37"/>
  <c r="AO47" i="37"/>
  <c r="AO35" i="37"/>
  <c r="AO34" i="37"/>
  <c r="AO72" i="37"/>
  <c r="AO37" i="37"/>
  <c r="AO36" i="37"/>
  <c r="AO44" i="37"/>
  <c r="AO57" i="37"/>
  <c r="AO42" i="37"/>
  <c r="AO46" i="37"/>
  <c r="AO38" i="37"/>
  <c r="AO30" i="37"/>
  <c r="AO45" i="37"/>
  <c r="W39" i="53" l="1"/>
  <c r="X38" i="53"/>
  <c r="AO96" i="37"/>
  <c r="AO93" i="37"/>
  <c r="AO90" i="37"/>
  <c r="AO95" i="37"/>
  <c r="AO89" i="37"/>
  <c r="AO86" i="37"/>
  <c r="AP82" i="37"/>
  <c r="AP79" i="37"/>
  <c r="AP84" i="37"/>
  <c r="AP83" i="37"/>
  <c r="AP81" i="37"/>
  <c r="AP77" i="37"/>
  <c r="AP76" i="37"/>
  <c r="AP74" i="37"/>
  <c r="AO91" i="37"/>
  <c r="AP78" i="37"/>
  <c r="AP71" i="37"/>
  <c r="AO87" i="37"/>
  <c r="AP80" i="37"/>
  <c r="AO92" i="37"/>
  <c r="AP68" i="37"/>
  <c r="AP60" i="37"/>
  <c r="AP69" i="37"/>
  <c r="AP64" i="37"/>
  <c r="AO85" i="37"/>
  <c r="AP67" i="37"/>
  <c r="AP56" i="37"/>
  <c r="AP66" i="37"/>
  <c r="AP62" i="37"/>
  <c r="AP55" i="37"/>
  <c r="AP75" i="37"/>
  <c r="AP61" i="37"/>
  <c r="AP58" i="37"/>
  <c r="AO88" i="37"/>
  <c r="AP59" i="37"/>
  <c r="AP70" i="37"/>
  <c r="AP65" i="37"/>
  <c r="AP53" i="37"/>
  <c r="AP51" i="37"/>
  <c r="AP49" i="37"/>
  <c r="AP47" i="37"/>
  <c r="AP45" i="37"/>
  <c r="AP43" i="37"/>
  <c r="AP41" i="37"/>
  <c r="AP39" i="37"/>
  <c r="AP37" i="37"/>
  <c r="AP35" i="37"/>
  <c r="AP33" i="37"/>
  <c r="AO94" i="37"/>
  <c r="AP63" i="37"/>
  <c r="AP52" i="37"/>
  <c r="AP46" i="37"/>
  <c r="AP31" i="37"/>
  <c r="AP48" i="37"/>
  <c r="AP32" i="37"/>
  <c r="AP50" i="37"/>
  <c r="AP34" i="37"/>
  <c r="AP54" i="37"/>
  <c r="AP40" i="37"/>
  <c r="AP73" i="37"/>
  <c r="AP38" i="37"/>
  <c r="AP30" i="37"/>
  <c r="AQ29" i="37"/>
  <c r="AP57" i="37"/>
  <c r="AP72" i="37"/>
  <c r="AP36" i="37"/>
  <c r="AP44" i="37"/>
  <c r="AP42" i="37"/>
  <c r="W40" i="53" l="1"/>
  <c r="X39" i="53"/>
  <c r="AP93" i="37"/>
  <c r="AP90" i="37"/>
  <c r="AP95" i="37"/>
  <c r="AP94" i="37"/>
  <c r="AP92" i="37"/>
  <c r="AP89" i="37"/>
  <c r="AQ81" i="37"/>
  <c r="AP88" i="37"/>
  <c r="AP87" i="37"/>
  <c r="AP96" i="37"/>
  <c r="AP86" i="37"/>
  <c r="AP85" i="37"/>
  <c r="AP91" i="37"/>
  <c r="AQ80" i="37"/>
  <c r="AQ75" i="37"/>
  <c r="AQ83" i="37"/>
  <c r="AQ78" i="37"/>
  <c r="AQ77" i="37"/>
  <c r="AQ73" i="37"/>
  <c r="AQ84" i="37"/>
  <c r="AQ64" i="37"/>
  <c r="AQ76" i="37"/>
  <c r="AQ69" i="37"/>
  <c r="AQ70" i="37"/>
  <c r="AQ82" i="37"/>
  <c r="AQ65" i="37"/>
  <c r="AQ63" i="37"/>
  <c r="AQ61" i="37"/>
  <c r="AQ59" i="37"/>
  <c r="AQ57" i="37"/>
  <c r="AQ55" i="37"/>
  <c r="AQ66" i="37"/>
  <c r="AQ62" i="37"/>
  <c r="AQ79" i="37"/>
  <c r="AQ71" i="37"/>
  <c r="AQ58" i="37"/>
  <c r="AQ68" i="37"/>
  <c r="AQ54" i="37"/>
  <c r="AQ52" i="37"/>
  <c r="AQ74" i="37"/>
  <c r="AQ67" i="37"/>
  <c r="AQ60" i="37"/>
  <c r="AQ53" i="37"/>
  <c r="AQ51" i="37"/>
  <c r="AQ49" i="37"/>
  <c r="AQ47" i="37"/>
  <c r="AQ45" i="37"/>
  <c r="AQ43" i="37"/>
  <c r="AQ41" i="37"/>
  <c r="AQ39" i="37"/>
  <c r="AQ72" i="37"/>
  <c r="AQ48" i="37"/>
  <c r="AQ33" i="37"/>
  <c r="AQ32" i="37"/>
  <c r="AQ50" i="37"/>
  <c r="AQ46" i="37"/>
  <c r="AQ34" i="37"/>
  <c r="AQ31" i="37"/>
  <c r="AQ44" i="37"/>
  <c r="AQ35" i="37"/>
  <c r="AQ36" i="37"/>
  <c r="AQ42" i="37"/>
  <c r="AQ38" i="37"/>
  <c r="AQ30" i="37"/>
  <c r="AR29" i="37"/>
  <c r="AR28" i="37" s="1"/>
  <c r="AQ56" i="37"/>
  <c r="AQ40" i="37"/>
  <c r="AQ37" i="37"/>
  <c r="AQ28" i="37"/>
  <c r="W41" i="53" l="1"/>
  <c r="X40" i="53"/>
  <c r="AQ90" i="37"/>
  <c r="AQ95" i="37"/>
  <c r="AQ92" i="37"/>
  <c r="AQ87" i="37"/>
  <c r="AQ85" i="37"/>
  <c r="AQ93" i="37"/>
  <c r="AR83" i="37"/>
  <c r="AQ96" i="37"/>
  <c r="AQ89" i="37"/>
  <c r="AR75" i="37"/>
  <c r="AR73" i="37"/>
  <c r="AQ88" i="37"/>
  <c r="AR84" i="37"/>
  <c r="AR70" i="37"/>
  <c r="AR68" i="37"/>
  <c r="AR66" i="37"/>
  <c r="AR64" i="37"/>
  <c r="AR62" i="37"/>
  <c r="AQ91" i="37"/>
  <c r="AR65" i="37"/>
  <c r="AR80" i="37"/>
  <c r="AR78" i="37"/>
  <c r="AR82" i="37"/>
  <c r="AQ86" i="37"/>
  <c r="AR71" i="37"/>
  <c r="AQ94" i="37"/>
  <c r="AR74" i="37"/>
  <c r="AR72" i="37"/>
  <c r="AR79" i="37"/>
  <c r="AR77" i="37"/>
  <c r="AR58" i="37"/>
  <c r="AR55" i="37"/>
  <c r="AR61" i="37"/>
  <c r="AR54" i="37"/>
  <c r="AR63" i="37"/>
  <c r="AR59" i="37"/>
  <c r="AR60" i="37"/>
  <c r="AR53" i="37"/>
  <c r="AR51" i="37"/>
  <c r="AR49" i="37"/>
  <c r="AR47" i="37"/>
  <c r="AR45" i="37"/>
  <c r="AR43" i="37"/>
  <c r="AR41" i="37"/>
  <c r="AR39" i="37"/>
  <c r="AR37" i="37"/>
  <c r="AR35" i="37"/>
  <c r="AR33" i="37"/>
  <c r="AR31" i="37"/>
  <c r="AR69" i="37"/>
  <c r="AR56" i="37"/>
  <c r="AR81" i="37"/>
  <c r="AR50" i="37"/>
  <c r="AR46" i="37"/>
  <c r="AR34" i="37"/>
  <c r="AR76" i="37"/>
  <c r="AR52" i="37"/>
  <c r="AR44" i="37"/>
  <c r="AR42" i="37"/>
  <c r="AR36" i="37"/>
  <c r="AR30" i="37"/>
  <c r="AR67" i="37"/>
  <c r="AR38" i="37"/>
  <c r="AS29" i="37"/>
  <c r="AS28" i="37" s="1"/>
  <c r="AR48" i="37"/>
  <c r="AR57" i="37"/>
  <c r="AR40" i="37"/>
  <c r="AR32" i="37"/>
  <c r="W42" i="53" l="1"/>
  <c r="X41" i="53"/>
  <c r="AR95" i="37"/>
  <c r="AR92" i="37"/>
  <c r="AR96" i="37"/>
  <c r="AS82" i="37"/>
  <c r="AS79" i="37"/>
  <c r="AS77" i="37"/>
  <c r="AR91" i="37"/>
  <c r="AR87" i="37"/>
  <c r="AR93" i="37"/>
  <c r="AR88" i="37"/>
  <c r="AS84" i="37"/>
  <c r="AR94" i="37"/>
  <c r="AR86" i="37"/>
  <c r="AS74" i="37"/>
  <c r="AR89" i="37"/>
  <c r="AS72" i="37"/>
  <c r="AS71" i="37"/>
  <c r="AS69" i="37"/>
  <c r="AS67" i="37"/>
  <c r="AS65" i="37"/>
  <c r="AS80" i="37"/>
  <c r="AS78" i="37"/>
  <c r="AS83" i="37"/>
  <c r="AS70" i="37"/>
  <c r="AR90" i="37"/>
  <c r="AS81" i="37"/>
  <c r="AS75" i="37"/>
  <c r="AS63" i="37"/>
  <c r="AS61" i="37"/>
  <c r="AS59" i="37"/>
  <c r="AS66" i="37"/>
  <c r="AS62" i="37"/>
  <c r="AS54" i="37"/>
  <c r="AS68" i="37"/>
  <c r="AS55" i="37"/>
  <c r="AS58" i="37"/>
  <c r="AS56" i="37"/>
  <c r="AS50" i="37"/>
  <c r="AS76" i="37"/>
  <c r="AS52" i="37"/>
  <c r="AS44" i="37"/>
  <c r="AS39" i="37"/>
  <c r="AS31" i="37"/>
  <c r="AS42" i="37"/>
  <c r="AS36" i="37"/>
  <c r="AS35" i="37"/>
  <c r="AS30" i="37"/>
  <c r="AS40" i="37"/>
  <c r="AS48" i="37"/>
  <c r="AS32" i="37"/>
  <c r="AS41" i="37"/>
  <c r="AS38" i="37"/>
  <c r="AT29" i="37"/>
  <c r="AS47" i="37"/>
  <c r="AS34" i="37"/>
  <c r="AS33" i="37"/>
  <c r="AR85" i="37"/>
  <c r="AS53" i="37"/>
  <c r="AS46" i="37"/>
  <c r="AS37" i="37"/>
  <c r="AS64" i="37"/>
  <c r="AS43" i="37"/>
  <c r="AS60" i="37"/>
  <c r="AS57" i="37"/>
  <c r="AS45" i="37"/>
  <c r="AS73" i="37"/>
  <c r="AS51" i="37"/>
  <c r="AS49" i="37"/>
  <c r="W43" i="53" l="1"/>
  <c r="X42" i="53"/>
  <c r="AS92" i="37"/>
  <c r="AS89" i="37"/>
  <c r="AS94" i="37"/>
  <c r="AS93" i="37"/>
  <c r="AS88" i="37"/>
  <c r="AS91" i="37"/>
  <c r="AT84" i="37"/>
  <c r="AS90" i="37"/>
  <c r="AS85" i="37"/>
  <c r="AT83" i="37"/>
  <c r="AT81" i="37"/>
  <c r="AT80" i="37"/>
  <c r="AT78" i="37"/>
  <c r="AS87" i="37"/>
  <c r="AT66" i="37"/>
  <c r="AT82" i="37"/>
  <c r="AT72" i="37"/>
  <c r="AT67" i="37"/>
  <c r="AT79" i="37"/>
  <c r="AT77" i="37"/>
  <c r="AT73" i="37"/>
  <c r="AS96" i="37"/>
  <c r="AT75" i="37"/>
  <c r="AT71" i="37"/>
  <c r="AT63" i="37"/>
  <c r="AT61" i="37"/>
  <c r="AT59" i="37"/>
  <c r="AT64" i="37"/>
  <c r="AT68" i="37"/>
  <c r="AS95" i="37"/>
  <c r="AT65" i="37"/>
  <c r="AT70" i="37"/>
  <c r="AT62" i="37"/>
  <c r="AT55" i="37"/>
  <c r="AS86" i="37"/>
  <c r="AT69" i="37"/>
  <c r="AT58" i="37"/>
  <c r="AT56" i="37"/>
  <c r="AT50" i="37"/>
  <c r="AT48" i="37"/>
  <c r="AT46" i="37"/>
  <c r="AT44" i="37"/>
  <c r="AT42" i="37"/>
  <c r="AT40" i="37"/>
  <c r="AT38" i="37"/>
  <c r="AT36" i="37"/>
  <c r="AT34" i="37"/>
  <c r="AT76" i="37"/>
  <c r="AT57" i="37"/>
  <c r="AT54" i="37"/>
  <c r="AT52" i="37"/>
  <c r="AT35" i="37"/>
  <c r="AT30" i="37"/>
  <c r="AT49" i="37"/>
  <c r="AT37" i="37"/>
  <c r="AT47" i="37"/>
  <c r="AT39" i="37"/>
  <c r="AT33" i="37"/>
  <c r="AT51" i="37"/>
  <c r="AT53" i="37"/>
  <c r="AT60" i="37"/>
  <c r="AT45" i="37"/>
  <c r="AT32" i="37"/>
  <c r="AT41" i="37"/>
  <c r="AT31" i="37"/>
  <c r="AT74" i="37"/>
  <c r="AT43" i="37"/>
  <c r="AU29" i="37"/>
  <c r="AT28" i="37"/>
  <c r="W44" i="53" l="1"/>
  <c r="X43" i="53"/>
  <c r="AT94" i="37"/>
  <c r="AT96" i="37"/>
  <c r="AT86" i="37"/>
  <c r="AT95" i="37"/>
  <c r="AT90" i="37"/>
  <c r="AT87" i="37"/>
  <c r="AU83" i="37"/>
  <c r="AT93" i="37"/>
  <c r="AT89" i="37"/>
  <c r="AT85" i="37"/>
  <c r="AT88" i="37"/>
  <c r="AU77" i="37"/>
  <c r="AU73" i="37"/>
  <c r="AU76" i="37"/>
  <c r="AT92" i="37"/>
  <c r="AU82" i="37"/>
  <c r="AU79" i="37"/>
  <c r="AU72" i="37"/>
  <c r="AU67" i="37"/>
  <c r="AU68" i="37"/>
  <c r="AU74" i="37"/>
  <c r="AT91" i="37"/>
  <c r="AU81" i="37"/>
  <c r="AU64" i="37"/>
  <c r="AU65" i="37"/>
  <c r="AU62" i="37"/>
  <c r="AU60" i="37"/>
  <c r="AU58" i="37"/>
  <c r="AU56" i="37"/>
  <c r="AU71" i="37"/>
  <c r="AU61" i="37"/>
  <c r="AU75" i="37"/>
  <c r="AU63" i="37"/>
  <c r="AU59" i="37"/>
  <c r="AU84" i="37"/>
  <c r="AU69" i="37"/>
  <c r="AU57" i="37"/>
  <c r="AU53" i="37"/>
  <c r="AU50" i="37"/>
  <c r="AU48" i="37"/>
  <c r="AU46" i="37"/>
  <c r="AU44" i="37"/>
  <c r="AU42" i="37"/>
  <c r="AU40" i="37"/>
  <c r="AU38" i="37"/>
  <c r="AU54" i="37"/>
  <c r="AU52" i="37"/>
  <c r="AU36" i="37"/>
  <c r="AV29" i="37"/>
  <c r="AV28" i="37" s="1"/>
  <c r="AU49" i="37"/>
  <c r="AU37" i="37"/>
  <c r="AU47" i="37"/>
  <c r="AU70" i="37"/>
  <c r="AU55" i="37"/>
  <c r="AU34" i="37"/>
  <c r="AU30" i="37"/>
  <c r="AU45" i="37"/>
  <c r="AU35" i="37"/>
  <c r="AU31" i="37"/>
  <c r="AU51" i="37"/>
  <c r="AU41" i="37"/>
  <c r="AU66" i="37"/>
  <c r="AU33" i="37"/>
  <c r="AU43" i="37"/>
  <c r="AU32" i="37"/>
  <c r="AU78" i="37"/>
  <c r="AU80" i="37"/>
  <c r="AU39" i="37"/>
  <c r="AU28" i="37"/>
  <c r="W45" i="53" l="1"/>
  <c r="X44" i="53"/>
  <c r="AU94" i="37"/>
  <c r="AU91" i="37"/>
  <c r="AU96" i="37"/>
  <c r="AU95" i="37"/>
  <c r="AU90" i="37"/>
  <c r="AU93" i="37"/>
  <c r="AU86" i="37"/>
  <c r="AU89" i="37"/>
  <c r="AU92" i="37"/>
  <c r="AU87" i="37"/>
  <c r="AV82" i="37"/>
  <c r="AV79" i="37"/>
  <c r="AV76" i="37"/>
  <c r="AV74" i="37"/>
  <c r="AV72" i="37"/>
  <c r="AV71" i="37"/>
  <c r="AV69" i="37"/>
  <c r="AV67" i="37"/>
  <c r="AV65" i="37"/>
  <c r="AV63" i="37"/>
  <c r="AV81" i="37"/>
  <c r="AV80" i="37"/>
  <c r="AV68" i="37"/>
  <c r="AV83" i="37"/>
  <c r="AV77" i="37"/>
  <c r="AV73" i="37"/>
  <c r="AV75" i="37"/>
  <c r="AV62" i="37"/>
  <c r="AV66" i="37"/>
  <c r="AV78" i="37"/>
  <c r="AV59" i="37"/>
  <c r="AV84" i="37"/>
  <c r="AV57" i="37"/>
  <c r="AV53" i="37"/>
  <c r="AV58" i="37"/>
  <c r="AV56" i="37"/>
  <c r="AV50" i="37"/>
  <c r="AV48" i="37"/>
  <c r="AV46" i="37"/>
  <c r="AV44" i="37"/>
  <c r="AV42" i="37"/>
  <c r="AV40" i="37"/>
  <c r="AV38" i="37"/>
  <c r="AV36" i="37"/>
  <c r="AV34" i="37"/>
  <c r="AV32" i="37"/>
  <c r="AV30" i="37"/>
  <c r="AV54" i="37"/>
  <c r="AV52" i="37"/>
  <c r="AV49" i="37"/>
  <c r="AV37" i="37"/>
  <c r="AV64" i="37"/>
  <c r="AV55" i="37"/>
  <c r="AV47" i="37"/>
  <c r="AW29" i="37"/>
  <c r="AU85" i="37"/>
  <c r="AV45" i="37"/>
  <c r="AV61" i="37"/>
  <c r="AV35" i="37"/>
  <c r="AV41" i="37"/>
  <c r="AV70" i="37"/>
  <c r="AV60" i="37"/>
  <c r="AV31" i="37"/>
  <c r="AV43" i="37"/>
  <c r="AV51" i="37"/>
  <c r="AU88" i="37"/>
  <c r="AV39" i="37"/>
  <c r="AV33" i="37"/>
  <c r="W46" i="53" l="1"/>
  <c r="X45" i="53"/>
  <c r="AV91" i="37"/>
  <c r="AV96" i="37"/>
  <c r="AV93" i="37"/>
  <c r="AV92" i="37"/>
  <c r="AV88" i="37"/>
  <c r="AW84" i="37"/>
  <c r="AW80" i="37"/>
  <c r="AW78" i="37"/>
  <c r="AV87" i="37"/>
  <c r="AV90" i="37"/>
  <c r="AW83" i="37"/>
  <c r="AW72" i="37"/>
  <c r="AW82" i="37"/>
  <c r="AW81" i="37"/>
  <c r="AW79" i="37"/>
  <c r="AW75" i="37"/>
  <c r="AW70" i="37"/>
  <c r="AW68" i="37"/>
  <c r="AW66" i="37"/>
  <c r="AW64" i="37"/>
  <c r="AV85" i="37"/>
  <c r="AW77" i="37"/>
  <c r="AW73" i="37"/>
  <c r="AW74" i="37"/>
  <c r="AW69" i="37"/>
  <c r="AV95" i="37"/>
  <c r="AW65" i="37"/>
  <c r="AW60" i="37"/>
  <c r="AW58" i="37"/>
  <c r="AW63" i="37"/>
  <c r="AW57" i="37"/>
  <c r="AW53" i="37"/>
  <c r="AW76" i="37"/>
  <c r="AW56" i="37"/>
  <c r="AV86" i="37"/>
  <c r="AW54" i="37"/>
  <c r="AW52" i="37"/>
  <c r="AV94" i="37"/>
  <c r="AV89" i="37"/>
  <c r="AW51" i="37"/>
  <c r="AW47" i="37"/>
  <c r="AW42" i="37"/>
  <c r="AX29" i="37"/>
  <c r="AX28" i="37" s="1"/>
  <c r="AW67" i="37"/>
  <c r="AW38" i="37"/>
  <c r="AW55" i="37"/>
  <c r="AW45" i="37"/>
  <c r="AW40" i="37"/>
  <c r="AW43" i="37"/>
  <c r="AW50" i="37"/>
  <c r="AW31" i="37"/>
  <c r="AW61" i="37"/>
  <c r="AW48" i="37"/>
  <c r="AW71" i="37"/>
  <c r="AW46" i="37"/>
  <c r="AW37" i="37"/>
  <c r="AW36" i="37"/>
  <c r="AW32" i="37"/>
  <c r="AW59" i="37"/>
  <c r="AW33" i="37"/>
  <c r="AW49" i="37"/>
  <c r="AW35" i="37"/>
  <c r="AW30" i="37"/>
  <c r="AW44" i="37"/>
  <c r="AW41" i="37"/>
  <c r="AW39" i="37"/>
  <c r="AW62" i="37"/>
  <c r="AW34" i="37"/>
  <c r="AW28" i="37"/>
  <c r="W47" i="53" l="1"/>
  <c r="X47" i="53" s="1"/>
  <c r="X46" i="53"/>
  <c r="AW96" i="37"/>
  <c r="AW93" i="37"/>
  <c r="AW95" i="37"/>
  <c r="AW91" i="37"/>
  <c r="AW94" i="37"/>
  <c r="AX84" i="37"/>
  <c r="AW86" i="37"/>
  <c r="AX83" i="37"/>
  <c r="AW89" i="37"/>
  <c r="AX80" i="37"/>
  <c r="AW92" i="37"/>
  <c r="AX78" i="37"/>
  <c r="AW85" i="37"/>
  <c r="AX82" i="37"/>
  <c r="AX74" i="37"/>
  <c r="AX69" i="37"/>
  <c r="AX79" i="37"/>
  <c r="AX75" i="37"/>
  <c r="AX70" i="37"/>
  <c r="AX76" i="37"/>
  <c r="AW90" i="37"/>
  <c r="AX66" i="37"/>
  <c r="AX60" i="37"/>
  <c r="AX67" i="37"/>
  <c r="AX65" i="37"/>
  <c r="AX56" i="37"/>
  <c r="AX55" i="37"/>
  <c r="AX77" i="37"/>
  <c r="AX72" i="37"/>
  <c r="AX63" i="37"/>
  <c r="AX57" i="37"/>
  <c r="AX51" i="37"/>
  <c r="AX49" i="37"/>
  <c r="AX47" i="37"/>
  <c r="AX45" i="37"/>
  <c r="AX43" i="37"/>
  <c r="AX41" i="37"/>
  <c r="AX39" i="37"/>
  <c r="AX37" i="37"/>
  <c r="AX35" i="37"/>
  <c r="AX33" i="37"/>
  <c r="AW87" i="37"/>
  <c r="AX81" i="37"/>
  <c r="AX73" i="37"/>
  <c r="AX68" i="37"/>
  <c r="AX40" i="37"/>
  <c r="AX32" i="37"/>
  <c r="AX64" i="37"/>
  <c r="AX38" i="37"/>
  <c r="AW88" i="37"/>
  <c r="AX71" i="37"/>
  <c r="AX53" i="37"/>
  <c r="AX46" i="37"/>
  <c r="AX36" i="37"/>
  <c r="AX52" i="37"/>
  <c r="AX34" i="37"/>
  <c r="AX54" i="37"/>
  <c r="AX44" i="37"/>
  <c r="AX42" i="37"/>
  <c r="AY29" i="37"/>
  <c r="AX62" i="37"/>
  <c r="AX48" i="37"/>
  <c r="AX30" i="37"/>
  <c r="AX58" i="37"/>
  <c r="AX50" i="37"/>
  <c r="AX59" i="37"/>
  <c r="AX61" i="37"/>
  <c r="AX31" i="37"/>
  <c r="X49" i="53" l="1"/>
  <c r="B37" i="1" s="1"/>
  <c r="B41" i="1" s="1"/>
  <c r="K41" i="1" s="1"/>
  <c r="AX93" i="37"/>
  <c r="AX90" i="37"/>
  <c r="AX95" i="37"/>
  <c r="AX94" i="37"/>
  <c r="AX91" i="37"/>
  <c r="AX89" i="37"/>
  <c r="AY81" i="37"/>
  <c r="AX96" i="37"/>
  <c r="AX92" i="37"/>
  <c r="AX88" i="37"/>
  <c r="AY82" i="37"/>
  <c r="AY79" i="37"/>
  <c r="AX86" i="37"/>
  <c r="AY77" i="37"/>
  <c r="AY76" i="37"/>
  <c r="AY80" i="37"/>
  <c r="AY74" i="37"/>
  <c r="AX87" i="37"/>
  <c r="AY83" i="37"/>
  <c r="AY75" i="37"/>
  <c r="AY70" i="37"/>
  <c r="AY71" i="37"/>
  <c r="AY72" i="37"/>
  <c r="AY73" i="37"/>
  <c r="AY68" i="37"/>
  <c r="AY61" i="37"/>
  <c r="AY59" i="37"/>
  <c r="AY57" i="37"/>
  <c r="AY55" i="37"/>
  <c r="AY84" i="37"/>
  <c r="AY65" i="37"/>
  <c r="AY56" i="37"/>
  <c r="AY69" i="37"/>
  <c r="AY64" i="37"/>
  <c r="AY60" i="37"/>
  <c r="AY54" i="37"/>
  <c r="AY52" i="37"/>
  <c r="AY63" i="37"/>
  <c r="AY51" i="37"/>
  <c r="AY49" i="37"/>
  <c r="AY47" i="37"/>
  <c r="AY45" i="37"/>
  <c r="AY43" i="37"/>
  <c r="AY41" i="37"/>
  <c r="AY39" i="37"/>
  <c r="AY66" i="37"/>
  <c r="AY38" i="37"/>
  <c r="AY33" i="37"/>
  <c r="AX85" i="37"/>
  <c r="AY67" i="37"/>
  <c r="AY32" i="37"/>
  <c r="AY31" i="37"/>
  <c r="AY37" i="37"/>
  <c r="AY48" i="37"/>
  <c r="AY40" i="37"/>
  <c r="AY30" i="37"/>
  <c r="AY44" i="37"/>
  <c r="AY62" i="37"/>
  <c r="AY58" i="37"/>
  <c r="AY50" i="37"/>
  <c r="AY35" i="37"/>
  <c r="AY53" i="37"/>
  <c r="AY78" i="37"/>
  <c r="AY42" i="37"/>
  <c r="AZ29" i="37"/>
  <c r="AZ28" i="37" s="1"/>
  <c r="AY34" i="37"/>
  <c r="AY46" i="37"/>
  <c r="AY36" i="37"/>
  <c r="AY28" i="37"/>
  <c r="F54" i="1" l="1"/>
  <c r="H37" i="1"/>
  <c r="AY90" i="37"/>
  <c r="AY95" i="37"/>
  <c r="AY92" i="37"/>
  <c r="AY89" i="37"/>
  <c r="AY87" i="37"/>
  <c r="AY85" i="37"/>
  <c r="AY88" i="37"/>
  <c r="AY94" i="37"/>
  <c r="AY91" i="37"/>
  <c r="AZ81" i="37"/>
  <c r="AZ75" i="37"/>
  <c r="AZ73" i="37"/>
  <c r="AZ70" i="37"/>
  <c r="AZ68" i="37"/>
  <c r="AZ66" i="37"/>
  <c r="AZ64" i="37"/>
  <c r="AZ62" i="37"/>
  <c r="AZ84" i="37"/>
  <c r="AZ78" i="37"/>
  <c r="AZ79" i="37"/>
  <c r="AZ71" i="37"/>
  <c r="AZ76" i="37"/>
  <c r="AY96" i="37"/>
  <c r="AZ72" i="37"/>
  <c r="AY93" i="37"/>
  <c r="AZ74" i="37"/>
  <c r="AZ67" i="37"/>
  <c r="AZ69" i="37"/>
  <c r="AZ63" i="37"/>
  <c r="AZ60" i="37"/>
  <c r="AZ55" i="37"/>
  <c r="AZ54" i="37"/>
  <c r="AZ58" i="37"/>
  <c r="AZ65" i="37"/>
  <c r="AZ51" i="37"/>
  <c r="AZ49" i="37"/>
  <c r="AZ47" i="37"/>
  <c r="AZ45" i="37"/>
  <c r="AZ43" i="37"/>
  <c r="AZ41" i="37"/>
  <c r="AZ39" i="37"/>
  <c r="AZ37" i="37"/>
  <c r="AZ35" i="37"/>
  <c r="AZ33" i="37"/>
  <c r="AZ31" i="37"/>
  <c r="AZ57" i="37"/>
  <c r="AZ83" i="37"/>
  <c r="AZ82" i="37"/>
  <c r="AZ80" i="37"/>
  <c r="AZ61" i="37"/>
  <c r="AZ53" i="37"/>
  <c r="AZ32" i="37"/>
  <c r="AZ48" i="37"/>
  <c r="AZ34" i="37"/>
  <c r="AZ44" i="37"/>
  <c r="AZ77" i="37"/>
  <c r="AZ46" i="37"/>
  <c r="AZ38" i="37"/>
  <c r="AY86" i="37"/>
  <c r="AZ56" i="37"/>
  <c r="AZ42" i="37"/>
  <c r="AZ40" i="37"/>
  <c r="AZ30" i="37"/>
  <c r="AZ52" i="37"/>
  <c r="AZ50" i="37"/>
  <c r="AZ36" i="37"/>
  <c r="AZ59" i="37"/>
  <c r="BA29" i="37"/>
  <c r="BA28" i="37" s="1"/>
  <c r="H53" i="1" l="1"/>
  <c r="I56" i="1" s="1"/>
  <c r="E53" i="1"/>
  <c r="E54" i="1" s="1"/>
  <c r="G55" i="1" s="1"/>
  <c r="AZ95" i="37"/>
  <c r="AZ92" i="37"/>
  <c r="AZ96" i="37"/>
  <c r="AZ94" i="37"/>
  <c r="BA82" i="37"/>
  <c r="BA79" i="37"/>
  <c r="BA77" i="37"/>
  <c r="AZ87" i="37"/>
  <c r="AZ91" i="37"/>
  <c r="AZ86" i="37"/>
  <c r="BA83" i="37"/>
  <c r="AZ85" i="37"/>
  <c r="BA84" i="37"/>
  <c r="AZ90" i="37"/>
  <c r="BA75" i="37"/>
  <c r="BA78" i="37"/>
  <c r="BA73" i="37"/>
  <c r="BA71" i="37"/>
  <c r="BA69" i="37"/>
  <c r="BA67" i="37"/>
  <c r="BA65" i="37"/>
  <c r="AZ93" i="37"/>
  <c r="BA76" i="37"/>
  <c r="AZ89" i="37"/>
  <c r="BA81" i="37"/>
  <c r="BA74" i="37"/>
  <c r="BA61" i="37"/>
  <c r="BA59" i="37"/>
  <c r="BA60" i="37"/>
  <c r="BA55" i="37"/>
  <c r="BA54" i="37"/>
  <c r="BA64" i="37"/>
  <c r="BA58" i="37"/>
  <c r="BA80" i="37"/>
  <c r="BA72" i="37"/>
  <c r="BA63" i="37"/>
  <c r="BA57" i="37"/>
  <c r="BA66" i="37"/>
  <c r="BA53" i="37"/>
  <c r="BA68" i="37"/>
  <c r="BA50" i="37"/>
  <c r="BA45" i="37"/>
  <c r="BA56" i="37"/>
  <c r="BA46" i="37"/>
  <c r="BA30" i="37"/>
  <c r="AZ88" i="37"/>
  <c r="BA48" i="37"/>
  <c r="BA43" i="37"/>
  <c r="BA34" i="37"/>
  <c r="BA33" i="37"/>
  <c r="BA31" i="37"/>
  <c r="BA41" i="37"/>
  <c r="BB29" i="37"/>
  <c r="BA39" i="37"/>
  <c r="BA47" i="37"/>
  <c r="BA42" i="37"/>
  <c r="BA32" i="37"/>
  <c r="BA62" i="37"/>
  <c r="BA52" i="37"/>
  <c r="BA49" i="37"/>
  <c r="BA38" i="37"/>
  <c r="BA70" i="37"/>
  <c r="BA44" i="37"/>
  <c r="BA51" i="37"/>
  <c r="BA40" i="37"/>
  <c r="BA36" i="37"/>
  <c r="BA35" i="37"/>
  <c r="BA37" i="37"/>
  <c r="G14" i="33" l="1"/>
  <c r="E16" i="33" s="1"/>
  <c r="I57" i="1"/>
  <c r="J57" i="1" s="1"/>
  <c r="K57" i="1" s="1"/>
  <c r="K58" i="1" s="1"/>
  <c r="K59" i="1" s="1"/>
  <c r="BA92" i="37"/>
  <c r="BA89" i="37"/>
  <c r="BA94" i="37"/>
  <c r="BA93" i="37"/>
  <c r="BA95" i="37"/>
  <c r="BA90" i="37"/>
  <c r="BA96" i="37"/>
  <c r="BA85" i="37"/>
  <c r="BB83" i="37"/>
  <c r="BB82" i="37"/>
  <c r="BB81" i="37"/>
  <c r="BB80" i="37"/>
  <c r="BB79" i="37"/>
  <c r="BB74" i="37"/>
  <c r="BA87" i="37"/>
  <c r="BB84" i="37"/>
  <c r="BB77" i="37"/>
  <c r="BB72" i="37"/>
  <c r="BA88" i="37"/>
  <c r="BA86" i="37"/>
  <c r="BB64" i="37"/>
  <c r="BB67" i="37"/>
  <c r="BB61" i="37"/>
  <c r="BB59" i="37"/>
  <c r="BB78" i="37"/>
  <c r="BB68" i="37"/>
  <c r="BB63" i="37"/>
  <c r="BB76" i="37"/>
  <c r="BB70" i="37"/>
  <c r="BB62" i="37"/>
  <c r="BB75" i="37"/>
  <c r="BB69" i="37"/>
  <c r="BB58" i="37"/>
  <c r="BB73" i="37"/>
  <c r="BB66" i="37"/>
  <c r="BB53" i="37"/>
  <c r="BA91" i="37"/>
  <c r="BB50" i="37"/>
  <c r="BB48" i="37"/>
  <c r="BB46" i="37"/>
  <c r="BB44" i="37"/>
  <c r="BB42" i="37"/>
  <c r="BB40" i="37"/>
  <c r="BB38" i="37"/>
  <c r="BB36" i="37"/>
  <c r="BB34" i="37"/>
  <c r="BB71" i="37"/>
  <c r="BB55" i="37"/>
  <c r="BB43" i="37"/>
  <c r="BB33" i="37"/>
  <c r="BB31" i="37"/>
  <c r="BB54" i="37"/>
  <c r="BB35" i="37"/>
  <c r="BB56" i="37"/>
  <c r="BB41" i="37"/>
  <c r="BB30" i="37"/>
  <c r="BB51" i="37"/>
  <c r="BB39" i="37"/>
  <c r="BB60" i="37"/>
  <c r="BB45" i="37"/>
  <c r="BB32" i="37"/>
  <c r="BB37" i="37"/>
  <c r="BC29" i="37"/>
  <c r="BC28" i="37" s="1"/>
  <c r="BB57" i="37"/>
  <c r="BB49" i="37"/>
  <c r="BB65" i="37"/>
  <c r="BB52" i="37"/>
  <c r="BB47" i="37"/>
  <c r="BB28" i="37"/>
  <c r="J58" i="1" l="1"/>
  <c r="J59" i="1" s="1"/>
  <c r="E17" i="33"/>
  <c r="G37" i="33"/>
  <c r="C50" i="33"/>
  <c r="D59" i="1"/>
  <c r="G24" i="33"/>
  <c r="BB94" i="37"/>
  <c r="BB86" i="37"/>
  <c r="BB96" i="37"/>
  <c r="BB88" i="37"/>
  <c r="BC83" i="37"/>
  <c r="BB90" i="37"/>
  <c r="BC84" i="37"/>
  <c r="BC81" i="37"/>
  <c r="BC80" i="37"/>
  <c r="BB91" i="37"/>
  <c r="BB89" i="37"/>
  <c r="BB93" i="37"/>
  <c r="BB92" i="37"/>
  <c r="BC65" i="37"/>
  <c r="BB95" i="37"/>
  <c r="BB85" i="37"/>
  <c r="BC78" i="37"/>
  <c r="BC68" i="37"/>
  <c r="BC63" i="37"/>
  <c r="BB87" i="37"/>
  <c r="BC82" i="37"/>
  <c r="BC73" i="37"/>
  <c r="BC69" i="37"/>
  <c r="BC79" i="37"/>
  <c r="BC77" i="37"/>
  <c r="BC71" i="37"/>
  <c r="BC64" i="37"/>
  <c r="BC60" i="37"/>
  <c r="BC58" i="37"/>
  <c r="BC56" i="37"/>
  <c r="BC76" i="37"/>
  <c r="BC72" i="37"/>
  <c r="BC70" i="37"/>
  <c r="BC62" i="37"/>
  <c r="BC53" i="37"/>
  <c r="BC66" i="37"/>
  <c r="BC75" i="37"/>
  <c r="BC50" i="37"/>
  <c r="BC48" i="37"/>
  <c r="BC46" i="37"/>
  <c r="BC44" i="37"/>
  <c r="BC42" i="37"/>
  <c r="BC40" i="37"/>
  <c r="BC38" i="37"/>
  <c r="BC61" i="37"/>
  <c r="BC55" i="37"/>
  <c r="BC52" i="37"/>
  <c r="BC67" i="37"/>
  <c r="BC41" i="37"/>
  <c r="BC34" i="37"/>
  <c r="BC30" i="37"/>
  <c r="BC57" i="37"/>
  <c r="BC36" i="37"/>
  <c r="BC54" i="37"/>
  <c r="BC51" i="37"/>
  <c r="BC39" i="37"/>
  <c r="BC35" i="37"/>
  <c r="BD29" i="37"/>
  <c r="BD28" i="37" s="1"/>
  <c r="BC37" i="37"/>
  <c r="BC43" i="37"/>
  <c r="BC59" i="37"/>
  <c r="BC31" i="37"/>
  <c r="BC45" i="37"/>
  <c r="BC32" i="37"/>
  <c r="BC74" i="37"/>
  <c r="BC49" i="37"/>
  <c r="BC33" i="37"/>
  <c r="BC47" i="37"/>
  <c r="E26" i="33" l="1"/>
  <c r="E27" i="33"/>
  <c r="E50" i="33"/>
  <c r="F50" i="33" s="1"/>
  <c r="I42" i="33" s="1"/>
  <c r="K1" i="33" s="1"/>
  <c r="G50" i="33"/>
  <c r="E41" i="33"/>
  <c r="E40" i="33"/>
  <c r="BC94" i="37"/>
  <c r="BC91" i="37"/>
  <c r="BC96" i="37"/>
  <c r="BC95" i="37"/>
  <c r="BC93" i="37"/>
  <c r="BC87" i="37"/>
  <c r="BC92" i="37"/>
  <c r="BC85" i="37"/>
  <c r="BC89" i="37"/>
  <c r="BC86" i="37"/>
  <c r="BC88" i="37"/>
  <c r="BD76" i="37"/>
  <c r="BD74" i="37"/>
  <c r="BD72" i="37"/>
  <c r="BD78" i="37"/>
  <c r="BD73" i="37"/>
  <c r="BD71" i="37"/>
  <c r="BD69" i="37"/>
  <c r="BD67" i="37"/>
  <c r="BD65" i="37"/>
  <c r="BD63" i="37"/>
  <c r="BD66" i="37"/>
  <c r="BD81" i="37"/>
  <c r="BC90" i="37"/>
  <c r="BD82" i="37"/>
  <c r="BD70" i="37"/>
  <c r="BD62" i="37"/>
  <c r="BD64" i="37"/>
  <c r="BD80" i="37"/>
  <c r="BD53" i="37"/>
  <c r="BD83" i="37"/>
  <c r="BD61" i="37"/>
  <c r="BD57" i="37"/>
  <c r="BD75" i="37"/>
  <c r="BD50" i="37"/>
  <c r="BD48" i="37"/>
  <c r="BD46" i="37"/>
  <c r="BD44" i="37"/>
  <c r="BD42" i="37"/>
  <c r="BD40" i="37"/>
  <c r="BD38" i="37"/>
  <c r="BD36" i="37"/>
  <c r="BD34" i="37"/>
  <c r="BD32" i="37"/>
  <c r="BD30" i="37"/>
  <c r="BD68" i="37"/>
  <c r="BD55" i="37"/>
  <c r="BD52" i="37"/>
  <c r="BD60" i="37"/>
  <c r="BD59" i="37"/>
  <c r="BD79" i="37"/>
  <c r="BD56" i="37"/>
  <c r="BD54" i="37"/>
  <c r="BD51" i="37"/>
  <c r="BD39" i="37"/>
  <c r="BD35" i="37"/>
  <c r="BD37" i="37"/>
  <c r="BE29" i="37"/>
  <c r="BE28" i="37" s="1"/>
  <c r="BD77" i="37"/>
  <c r="BD43" i="37"/>
  <c r="BD49" i="37"/>
  <c r="BD41" i="37"/>
  <c r="BD47" i="37"/>
  <c r="BD31" i="37"/>
  <c r="BD45" i="37"/>
  <c r="BD84" i="37"/>
  <c r="BD33" i="37"/>
  <c r="BD58" i="37"/>
  <c r="E53" i="33" l="1"/>
  <c r="E54" i="33"/>
  <c r="BD91" i="37"/>
  <c r="BD96" i="37"/>
  <c r="BD93" i="37"/>
  <c r="BD92" i="37"/>
  <c r="BD88" i="37"/>
  <c r="BD86" i="37"/>
  <c r="BE84" i="37"/>
  <c r="BE80" i="37"/>
  <c r="BE78" i="37"/>
  <c r="BD87" i="37"/>
  <c r="BE82" i="37"/>
  <c r="BE79" i="37"/>
  <c r="BD85" i="37"/>
  <c r="BE77" i="37"/>
  <c r="BE76" i="37"/>
  <c r="BE70" i="37"/>
  <c r="BE68" i="37"/>
  <c r="BE66" i="37"/>
  <c r="BE64" i="37"/>
  <c r="BD95" i="37"/>
  <c r="BD94" i="37"/>
  <c r="BE83" i="37"/>
  <c r="BE81" i="37"/>
  <c r="BD90" i="37"/>
  <c r="BD89" i="37"/>
  <c r="BE67" i="37"/>
  <c r="BE73" i="37"/>
  <c r="BE69" i="37"/>
  <c r="BE62" i="37"/>
  <c r="BE60" i="37"/>
  <c r="BE58" i="37"/>
  <c r="BE75" i="37"/>
  <c r="BE65" i="37"/>
  <c r="BE72" i="37"/>
  <c r="BE53" i="37"/>
  <c r="BE61" i="37"/>
  <c r="BE57" i="37"/>
  <c r="BE59" i="37"/>
  <c r="BE55" i="37"/>
  <c r="BE52" i="37"/>
  <c r="BE71" i="37"/>
  <c r="BE56" i="37"/>
  <c r="BE54" i="37"/>
  <c r="BE51" i="37"/>
  <c r="BE48" i="37"/>
  <c r="BF29" i="37"/>
  <c r="BF28" i="37" s="1"/>
  <c r="BE44" i="37"/>
  <c r="BE46" i="37"/>
  <c r="BE37" i="37"/>
  <c r="BE36" i="37"/>
  <c r="BE49" i="37"/>
  <c r="BE42" i="37"/>
  <c r="BE38" i="37"/>
  <c r="BE35" i="37"/>
  <c r="BE31" i="37"/>
  <c r="BE63" i="37"/>
  <c r="BE32" i="37"/>
  <c r="BE43" i="37"/>
  <c r="BE41" i="37"/>
  <c r="BE74" i="37"/>
  <c r="BE40" i="37"/>
  <c r="BE33" i="37"/>
  <c r="BE50" i="37"/>
  <c r="BE34" i="37"/>
  <c r="BE45" i="37"/>
  <c r="BE47" i="37"/>
  <c r="BE39" i="37"/>
  <c r="BE30" i="37"/>
  <c r="BE96" i="37" l="1"/>
  <c r="BE93" i="37"/>
  <c r="BE90" i="37"/>
  <c r="BE94" i="37"/>
  <c r="BE92" i="37"/>
  <c r="BE95" i="37"/>
  <c r="BE91" i="37"/>
  <c r="BE89" i="37"/>
  <c r="BE85" i="37"/>
  <c r="BF84" i="37"/>
  <c r="BF83" i="37"/>
  <c r="BE87" i="37"/>
  <c r="BF72" i="37"/>
  <c r="BE88" i="37"/>
  <c r="BE86" i="37"/>
  <c r="BF75" i="37"/>
  <c r="BF67" i="37"/>
  <c r="BF68" i="37"/>
  <c r="BF78" i="37"/>
  <c r="BF73" i="37"/>
  <c r="BF70" i="37"/>
  <c r="BF60" i="37"/>
  <c r="BF58" i="37"/>
  <c r="BF79" i="37"/>
  <c r="BF77" i="37"/>
  <c r="BF76" i="37"/>
  <c r="BF71" i="37"/>
  <c r="BF64" i="37"/>
  <c r="BF80" i="37"/>
  <c r="BF66" i="37"/>
  <c r="BF61" i="37"/>
  <c r="BF57" i="37"/>
  <c r="BF62" i="37"/>
  <c r="BF59" i="37"/>
  <c r="BF56" i="37"/>
  <c r="BF69" i="37"/>
  <c r="BF55" i="37"/>
  <c r="BF53" i="37"/>
  <c r="BF52" i="37"/>
  <c r="BF82" i="37"/>
  <c r="BF81" i="37"/>
  <c r="BF54" i="37"/>
  <c r="BF51" i="37"/>
  <c r="BF49" i="37"/>
  <c r="BF47" i="37"/>
  <c r="BF45" i="37"/>
  <c r="BF43" i="37"/>
  <c r="BF41" i="37"/>
  <c r="BF39" i="37"/>
  <c r="BF37" i="37"/>
  <c r="BF35" i="37"/>
  <c r="BF33" i="37"/>
  <c r="BF46" i="37"/>
  <c r="BF36" i="37"/>
  <c r="BF50" i="37"/>
  <c r="BF42" i="37"/>
  <c r="BF44" i="37"/>
  <c r="BG29" i="37"/>
  <c r="BG28" i="37" s="1"/>
  <c r="BF65" i="37"/>
  <c r="BF74" i="37"/>
  <c r="BF40" i="37"/>
  <c r="BF30" i="37"/>
  <c r="BF48" i="37"/>
  <c r="BF32" i="37"/>
  <c r="BF38" i="37"/>
  <c r="BF34" i="37"/>
  <c r="BF31" i="37"/>
  <c r="BF63" i="37"/>
  <c r="BF93" i="37" l="1"/>
  <c r="BF90" i="37"/>
  <c r="BF95" i="37"/>
  <c r="BF94" i="37"/>
  <c r="BF92" i="37"/>
  <c r="BG81" i="37"/>
  <c r="BG84" i="37"/>
  <c r="BF96" i="37"/>
  <c r="BF88" i="37"/>
  <c r="BG83" i="37"/>
  <c r="BG80" i="37"/>
  <c r="BG78" i="37"/>
  <c r="BG82" i="37"/>
  <c r="BG79" i="37"/>
  <c r="BF89" i="37"/>
  <c r="BG68" i="37"/>
  <c r="BF85" i="37"/>
  <c r="BG73" i="37"/>
  <c r="BG72" i="37"/>
  <c r="BG69" i="37"/>
  <c r="BF86" i="37"/>
  <c r="BG77" i="37"/>
  <c r="BG74" i="37"/>
  <c r="BF87" i="37"/>
  <c r="BG76" i="37"/>
  <c r="BG71" i="37"/>
  <c r="BG64" i="37"/>
  <c r="BG65" i="37"/>
  <c r="BG61" i="37"/>
  <c r="BG59" i="37"/>
  <c r="BG57" i="37"/>
  <c r="BG55" i="37"/>
  <c r="BG62" i="37"/>
  <c r="BG70" i="37"/>
  <c r="BG56" i="37"/>
  <c r="BF91" i="37"/>
  <c r="BG67" i="37"/>
  <c r="BG66" i="37"/>
  <c r="BG63" i="37"/>
  <c r="BG54" i="37"/>
  <c r="BG52" i="37"/>
  <c r="BG51" i="37"/>
  <c r="BG49" i="37"/>
  <c r="BG47" i="37"/>
  <c r="BG45" i="37"/>
  <c r="BG43" i="37"/>
  <c r="BG41" i="37"/>
  <c r="BG39" i="37"/>
  <c r="BG60" i="37"/>
  <c r="BG44" i="37"/>
  <c r="BG37" i="37"/>
  <c r="BG40" i="37"/>
  <c r="BG50" i="37"/>
  <c r="BG42" i="37"/>
  <c r="BG32" i="37"/>
  <c r="BG36" i="37"/>
  <c r="BG46" i="37"/>
  <c r="BG33" i="37"/>
  <c r="BG30" i="37"/>
  <c r="BG38" i="37"/>
  <c r="BG34" i="37"/>
  <c r="BG31" i="37"/>
  <c r="BG58" i="37"/>
  <c r="BG53" i="37"/>
  <c r="BG75" i="37"/>
  <c r="BH29" i="37"/>
  <c r="BH28" i="37" s="1"/>
  <c r="BG48" i="37"/>
  <c r="BG35" i="37"/>
  <c r="BG90" i="37" l="1"/>
  <c r="BG95" i="37"/>
  <c r="BG92" i="37"/>
  <c r="BG87" i="37"/>
  <c r="BG85" i="37"/>
  <c r="BG89" i="37"/>
  <c r="BG86" i="37"/>
  <c r="BG94" i="37"/>
  <c r="BH82" i="37"/>
  <c r="BH79" i="37"/>
  <c r="BH77" i="37"/>
  <c r="BH75" i="37"/>
  <c r="BH73" i="37"/>
  <c r="BH76" i="37"/>
  <c r="BH70" i="37"/>
  <c r="BH68" i="37"/>
  <c r="BH66" i="37"/>
  <c r="BH64" i="37"/>
  <c r="BH62" i="37"/>
  <c r="BH83" i="37"/>
  <c r="BH74" i="37"/>
  <c r="BH81" i="37"/>
  <c r="BH72" i="37"/>
  <c r="BH69" i="37"/>
  <c r="BG96" i="37"/>
  <c r="BH78" i="37"/>
  <c r="BG91" i="37"/>
  <c r="BG88" i="37"/>
  <c r="BH80" i="37"/>
  <c r="BG93" i="37"/>
  <c r="BH65" i="37"/>
  <c r="BH84" i="37"/>
  <c r="BH59" i="37"/>
  <c r="BH56" i="37"/>
  <c r="BH67" i="37"/>
  <c r="BH63" i="37"/>
  <c r="BH54" i="37"/>
  <c r="BH55" i="37"/>
  <c r="BH51" i="37"/>
  <c r="BH49" i="37"/>
  <c r="BH47" i="37"/>
  <c r="BH45" i="37"/>
  <c r="BH43" i="37"/>
  <c r="BH41" i="37"/>
  <c r="BH39" i="37"/>
  <c r="BH37" i="37"/>
  <c r="BH35" i="37"/>
  <c r="BH33" i="37"/>
  <c r="BH31" i="37"/>
  <c r="BH71" i="37"/>
  <c r="BH61" i="37"/>
  <c r="BH60" i="37"/>
  <c r="BH58" i="37"/>
  <c r="BH50" i="37"/>
  <c r="BH42" i="37"/>
  <c r="BH53" i="37"/>
  <c r="BH57" i="37"/>
  <c r="BH40" i="37"/>
  <c r="BH32" i="37"/>
  <c r="BH38" i="37"/>
  <c r="BH30" i="37"/>
  <c r="BH44" i="37"/>
  <c r="BH34" i="37"/>
  <c r="BH52" i="37"/>
  <c r="BH48" i="37"/>
  <c r="BI29" i="37"/>
  <c r="BI28" i="37" s="1"/>
  <c r="BH36" i="37"/>
  <c r="BH46" i="37"/>
  <c r="BH95" i="37" l="1"/>
  <c r="BH92" i="37"/>
  <c r="BH96" i="37"/>
  <c r="BH91" i="37"/>
  <c r="BH89" i="37"/>
  <c r="BH90" i="37"/>
  <c r="BI82" i="37"/>
  <c r="BI79" i="37"/>
  <c r="BI77" i="37"/>
  <c r="BH93" i="37"/>
  <c r="BH88" i="37"/>
  <c r="BH94" i="37"/>
  <c r="BH87" i="37"/>
  <c r="BI81" i="37"/>
  <c r="BI84" i="37"/>
  <c r="BI71" i="37"/>
  <c r="BI69" i="37"/>
  <c r="BI67" i="37"/>
  <c r="BI65" i="37"/>
  <c r="BI80" i="37"/>
  <c r="BH85" i="37"/>
  <c r="BI78" i="37"/>
  <c r="BI73" i="37"/>
  <c r="BH86" i="37"/>
  <c r="BI74" i="37"/>
  <c r="BI70" i="37"/>
  <c r="BI75" i="37"/>
  <c r="BI66" i="37"/>
  <c r="BI61" i="37"/>
  <c r="BI59" i="37"/>
  <c r="BI63" i="37"/>
  <c r="BI76" i="37"/>
  <c r="BI54" i="37"/>
  <c r="BI83" i="37"/>
  <c r="BI55" i="37"/>
  <c r="BI60" i="37"/>
  <c r="BI72" i="37"/>
  <c r="BI68" i="37"/>
  <c r="BI58" i="37"/>
  <c r="BI56" i="37"/>
  <c r="BI62" i="37"/>
  <c r="BI50" i="37"/>
  <c r="BI64" i="37"/>
  <c r="BI57" i="37"/>
  <c r="BI40" i="37"/>
  <c r="BI32" i="37"/>
  <c r="BI47" i="37"/>
  <c r="BI31" i="37"/>
  <c r="BI53" i="37"/>
  <c r="BI49" i="37"/>
  <c r="BI38" i="37"/>
  <c r="BI52" i="37"/>
  <c r="BI41" i="37"/>
  <c r="BI34" i="37"/>
  <c r="BI33" i="37"/>
  <c r="BI48" i="37"/>
  <c r="BI51" i="37"/>
  <c r="BI39" i="37"/>
  <c r="BI36" i="37"/>
  <c r="BI35" i="37"/>
  <c r="BI45" i="37"/>
  <c r="BI46" i="37"/>
  <c r="BI37" i="37"/>
  <c r="BI44" i="37"/>
  <c r="BJ29" i="37"/>
  <c r="BJ28" i="37" s="1"/>
  <c r="BI43" i="37"/>
  <c r="BI42" i="37"/>
  <c r="BI30" i="37"/>
  <c r="BI92" i="37" l="1"/>
  <c r="BI89" i="37"/>
  <c r="BI94" i="37"/>
  <c r="BI93" i="37"/>
  <c r="BI91" i="37"/>
  <c r="BI87" i="37"/>
  <c r="BJ83" i="37"/>
  <c r="BI85" i="37"/>
  <c r="BI88" i="37"/>
  <c r="BI95" i="37"/>
  <c r="BI90" i="37"/>
  <c r="BI86" i="37"/>
  <c r="BJ75" i="37"/>
  <c r="BJ82" i="37"/>
  <c r="BJ81" i="37"/>
  <c r="BJ80" i="37"/>
  <c r="BJ79" i="37"/>
  <c r="BJ73" i="37"/>
  <c r="BI96" i="37"/>
  <c r="BJ78" i="37"/>
  <c r="BJ74" i="37"/>
  <c r="BJ70" i="37"/>
  <c r="BJ77" i="37"/>
  <c r="BJ71" i="37"/>
  <c r="BJ84" i="37"/>
  <c r="BJ76" i="37"/>
  <c r="BJ66" i="37"/>
  <c r="BJ61" i="37"/>
  <c r="BJ59" i="37"/>
  <c r="BJ72" i="37"/>
  <c r="BJ67" i="37"/>
  <c r="BJ63" i="37"/>
  <c r="BJ55" i="37"/>
  <c r="BJ60" i="37"/>
  <c r="BJ68" i="37"/>
  <c r="BJ58" i="37"/>
  <c r="BJ56" i="37"/>
  <c r="BJ54" i="37"/>
  <c r="BJ62" i="37"/>
  <c r="BJ50" i="37"/>
  <c r="BJ48" i="37"/>
  <c r="BJ46" i="37"/>
  <c r="BJ44" i="37"/>
  <c r="BJ42" i="37"/>
  <c r="BJ40" i="37"/>
  <c r="BJ38" i="37"/>
  <c r="BJ36" i="37"/>
  <c r="BJ34" i="37"/>
  <c r="BJ64" i="37"/>
  <c r="BJ57" i="37"/>
  <c r="BJ53" i="37"/>
  <c r="BJ49" i="37"/>
  <c r="BJ45" i="37"/>
  <c r="BJ52" i="37"/>
  <c r="BJ47" i="37"/>
  <c r="BJ31" i="37"/>
  <c r="BJ33" i="37"/>
  <c r="BJ30" i="37"/>
  <c r="BJ32" i="37"/>
  <c r="BK29" i="37"/>
  <c r="BK28" i="37" s="1"/>
  <c r="BJ69" i="37"/>
  <c r="BJ43" i="37"/>
  <c r="BJ51" i="37"/>
  <c r="BJ39" i="37"/>
  <c r="BJ35" i="37"/>
  <c r="BJ37" i="37"/>
  <c r="BJ65" i="37"/>
  <c r="BJ41" i="37"/>
  <c r="BJ94" i="37" l="1"/>
  <c r="BJ96" i="37"/>
  <c r="BJ86" i="37"/>
  <c r="BJ89" i="37"/>
  <c r="BK83" i="37"/>
  <c r="BJ88" i="37"/>
  <c r="BJ93" i="37"/>
  <c r="BJ91" i="37"/>
  <c r="BJ87" i="37"/>
  <c r="BK74" i="37"/>
  <c r="BJ95" i="37"/>
  <c r="BK78" i="37"/>
  <c r="BK72" i="37"/>
  <c r="BJ90" i="37"/>
  <c r="BK77" i="37"/>
  <c r="BK71" i="37"/>
  <c r="BK84" i="37"/>
  <c r="BK80" i="37"/>
  <c r="BK76" i="37"/>
  <c r="BK75" i="37"/>
  <c r="BK79" i="37"/>
  <c r="BK63" i="37"/>
  <c r="BJ85" i="37"/>
  <c r="BK67" i="37"/>
  <c r="BK62" i="37"/>
  <c r="BK60" i="37"/>
  <c r="BK58" i="37"/>
  <c r="BK56" i="37"/>
  <c r="BK70" i="37"/>
  <c r="BK73" i="37"/>
  <c r="BK66" i="37"/>
  <c r="BK68" i="37"/>
  <c r="BK53" i="37"/>
  <c r="BK51" i="37"/>
  <c r="BJ92" i="37"/>
  <c r="BK61" i="37"/>
  <c r="BK54" i="37"/>
  <c r="BK82" i="37"/>
  <c r="BK81" i="37"/>
  <c r="BK50" i="37"/>
  <c r="BK48" i="37"/>
  <c r="BK46" i="37"/>
  <c r="BK44" i="37"/>
  <c r="BK42" i="37"/>
  <c r="BK40" i="37"/>
  <c r="BK38" i="37"/>
  <c r="BK64" i="37"/>
  <c r="BK59" i="37"/>
  <c r="BK57" i="37"/>
  <c r="BK52" i="37"/>
  <c r="BK47" i="37"/>
  <c r="BK31" i="37"/>
  <c r="BK43" i="37"/>
  <c r="BL29" i="37"/>
  <c r="BL28" i="37" s="1"/>
  <c r="BK45" i="37"/>
  <c r="BK33" i="37"/>
  <c r="BK30" i="37"/>
  <c r="BK34" i="37"/>
  <c r="BK39" i="37"/>
  <c r="BK35" i="37"/>
  <c r="BK41" i="37"/>
  <c r="BK49" i="37"/>
  <c r="BK36" i="37"/>
  <c r="BK37" i="37"/>
  <c r="BK69" i="37"/>
  <c r="BK65" i="37"/>
  <c r="BK32" i="37"/>
  <c r="BK55" i="37"/>
  <c r="BK94" i="37" l="1"/>
  <c r="BK91" i="37"/>
  <c r="BK96" i="37"/>
  <c r="BK95" i="37"/>
  <c r="BK88" i="37"/>
  <c r="BK86" i="37"/>
  <c r="BK90" i="37"/>
  <c r="BL84" i="37"/>
  <c r="BK92" i="37"/>
  <c r="BK87" i="37"/>
  <c r="BL81" i="37"/>
  <c r="BK93" i="37"/>
  <c r="BK89" i="37"/>
  <c r="BL80" i="37"/>
  <c r="BL76" i="37"/>
  <c r="BL74" i="37"/>
  <c r="BL72" i="37"/>
  <c r="BL71" i="37"/>
  <c r="BL69" i="37"/>
  <c r="BL67" i="37"/>
  <c r="BL65" i="37"/>
  <c r="BL63" i="37"/>
  <c r="BL77" i="37"/>
  <c r="BK85" i="37"/>
  <c r="BL75" i="37"/>
  <c r="BL64" i="37"/>
  <c r="BL82" i="37"/>
  <c r="BL83" i="37"/>
  <c r="BL68" i="37"/>
  <c r="BL73" i="37"/>
  <c r="BL66" i="37"/>
  <c r="BL60" i="37"/>
  <c r="BL53" i="37"/>
  <c r="BL58" i="37"/>
  <c r="BL56" i="37"/>
  <c r="BL50" i="37"/>
  <c r="BL48" i="37"/>
  <c r="BL46" i="37"/>
  <c r="BL44" i="37"/>
  <c r="BL42" i="37"/>
  <c r="BL40" i="37"/>
  <c r="BL38" i="37"/>
  <c r="BL36" i="37"/>
  <c r="BL34" i="37"/>
  <c r="BL32" i="37"/>
  <c r="BL30" i="37"/>
  <c r="BL62" i="37"/>
  <c r="BL59" i="37"/>
  <c r="BL57" i="37"/>
  <c r="BL79" i="37"/>
  <c r="BL52" i="37"/>
  <c r="BL45" i="37"/>
  <c r="BL33" i="37"/>
  <c r="BL41" i="37"/>
  <c r="BL43" i="37"/>
  <c r="BM29" i="37"/>
  <c r="BM28" i="37" s="1"/>
  <c r="BL35" i="37"/>
  <c r="BL51" i="37"/>
  <c r="BL49" i="37"/>
  <c r="BL37" i="37"/>
  <c r="BL31" i="37"/>
  <c r="BL78" i="37"/>
  <c r="BL47" i="37"/>
  <c r="BL70" i="37"/>
  <c r="BL54" i="37"/>
  <c r="BL39" i="37"/>
  <c r="BL61" i="37"/>
  <c r="BL55" i="37"/>
  <c r="BL91" i="37" l="1"/>
  <c r="BL96" i="37"/>
  <c r="BL93" i="37"/>
  <c r="BL92" i="37"/>
  <c r="BL88" i="37"/>
  <c r="BL95" i="37"/>
  <c r="BL87" i="37"/>
  <c r="BM84" i="37"/>
  <c r="BM80" i="37"/>
  <c r="BM78" i="37"/>
  <c r="BL85" i="37"/>
  <c r="BL86" i="37"/>
  <c r="BM83" i="37"/>
  <c r="BM82" i="37"/>
  <c r="BM79" i="37"/>
  <c r="BM73" i="37"/>
  <c r="BL94" i="37"/>
  <c r="BM70" i="37"/>
  <c r="BM68" i="37"/>
  <c r="BM66" i="37"/>
  <c r="BM64" i="37"/>
  <c r="BL90" i="37"/>
  <c r="BM76" i="37"/>
  <c r="BM77" i="37"/>
  <c r="BM63" i="37"/>
  <c r="BL89" i="37"/>
  <c r="BM75" i="37"/>
  <c r="BM62" i="37"/>
  <c r="BM60" i="37"/>
  <c r="BM58" i="37"/>
  <c r="BM53" i="37"/>
  <c r="BM81" i="37"/>
  <c r="BM74" i="37"/>
  <c r="BM71" i="37"/>
  <c r="BM65" i="37"/>
  <c r="BM57" i="37"/>
  <c r="BM72" i="37"/>
  <c r="BM59" i="37"/>
  <c r="BM52" i="37"/>
  <c r="BM67" i="37"/>
  <c r="BM43" i="37"/>
  <c r="BM38" i="37"/>
  <c r="BM30" i="37"/>
  <c r="BN29" i="37"/>
  <c r="BN28" i="37" s="1"/>
  <c r="BM61" i="37"/>
  <c r="BM39" i="37"/>
  <c r="BM41" i="37"/>
  <c r="BM35" i="37"/>
  <c r="BM34" i="37"/>
  <c r="BM56" i="37"/>
  <c r="BM48" i="37"/>
  <c r="BM40" i="37"/>
  <c r="BM37" i="37"/>
  <c r="BM36" i="37"/>
  <c r="BM31" i="37"/>
  <c r="BM42" i="37"/>
  <c r="BM51" i="37"/>
  <c r="BM47" i="37"/>
  <c r="BM46" i="37"/>
  <c r="BM32" i="37"/>
  <c r="BM44" i="37"/>
  <c r="BM55" i="37"/>
  <c r="BM54" i="37"/>
  <c r="BM49" i="37"/>
  <c r="BM69" i="37"/>
  <c r="BM50" i="37"/>
  <c r="BM45" i="37"/>
  <c r="BM33" i="37"/>
  <c r="BM96" i="37" l="1"/>
  <c r="BM93" i="37"/>
  <c r="BM95" i="37"/>
  <c r="BM86" i="37"/>
  <c r="BM90" i="37"/>
  <c r="BM91" i="37"/>
  <c r="BM85" i="37"/>
  <c r="BN84" i="37"/>
  <c r="BN83" i="37"/>
  <c r="BN82" i="37"/>
  <c r="BN79" i="37"/>
  <c r="BN81" i="37"/>
  <c r="BN76" i="37"/>
  <c r="BM89" i="37"/>
  <c r="BN80" i="37"/>
  <c r="BN65" i="37"/>
  <c r="BM88" i="37"/>
  <c r="BM94" i="37"/>
  <c r="BN75" i="37"/>
  <c r="BN62" i="37"/>
  <c r="BN60" i="37"/>
  <c r="BN58" i="37"/>
  <c r="BN72" i="37"/>
  <c r="BN67" i="37"/>
  <c r="BN74" i="37"/>
  <c r="BN69" i="37"/>
  <c r="BN71" i="37"/>
  <c r="BN68" i="37"/>
  <c r="BN57" i="37"/>
  <c r="BN64" i="37"/>
  <c r="BN52" i="37"/>
  <c r="BM87" i="37"/>
  <c r="BN73" i="37"/>
  <c r="BN49" i="37"/>
  <c r="BN47" i="37"/>
  <c r="BN45" i="37"/>
  <c r="BN43" i="37"/>
  <c r="BN41" i="37"/>
  <c r="BN39" i="37"/>
  <c r="BN37" i="37"/>
  <c r="BN35" i="37"/>
  <c r="BN33" i="37"/>
  <c r="BN78" i="37"/>
  <c r="BN70" i="37"/>
  <c r="BN53" i="37"/>
  <c r="BN51" i="37"/>
  <c r="BN34" i="37"/>
  <c r="BN77" i="37"/>
  <c r="BN61" i="37"/>
  <c r="BN48" i="37"/>
  <c r="BN36" i="37"/>
  <c r="BM92" i="37"/>
  <c r="BN40" i="37"/>
  <c r="BN31" i="37"/>
  <c r="BN59" i="37"/>
  <c r="BN46" i="37"/>
  <c r="BN38" i="37"/>
  <c r="BN32" i="37"/>
  <c r="BN50" i="37"/>
  <c r="BN55" i="37"/>
  <c r="BN54" i="37"/>
  <c r="BN42" i="37"/>
  <c r="BN56" i="37"/>
  <c r="BN63" i="37"/>
  <c r="BN44" i="37"/>
  <c r="BO29" i="37"/>
  <c r="BO28" i="37" s="1"/>
  <c r="BN66" i="37"/>
  <c r="BN30" i="37"/>
  <c r="BN93" i="37" l="1"/>
  <c r="BN90" i="37"/>
  <c r="BN95" i="37"/>
  <c r="BN94" i="37"/>
  <c r="BO81" i="37"/>
  <c r="BN96" i="37"/>
  <c r="BN89" i="37"/>
  <c r="BN92" i="37"/>
  <c r="BN88" i="37"/>
  <c r="BO80" i="37"/>
  <c r="BO78" i="37"/>
  <c r="BO77" i="37"/>
  <c r="BO72" i="37"/>
  <c r="BN85" i="37"/>
  <c r="BO75" i="37"/>
  <c r="BN86" i="37"/>
  <c r="BO84" i="37"/>
  <c r="BO66" i="37"/>
  <c r="BN91" i="37"/>
  <c r="BO82" i="37"/>
  <c r="BO67" i="37"/>
  <c r="BO79" i="37"/>
  <c r="BO68" i="37"/>
  <c r="BO70" i="37"/>
  <c r="BO64" i="37"/>
  <c r="BO61" i="37"/>
  <c r="BO59" i="37"/>
  <c r="BO57" i="37"/>
  <c r="BO55" i="37"/>
  <c r="BO83" i="37"/>
  <c r="BO71" i="37"/>
  <c r="BO60" i="37"/>
  <c r="BO74" i="37"/>
  <c r="BO65" i="37"/>
  <c r="BO58" i="37"/>
  <c r="BO56" i="37"/>
  <c r="BO54" i="37"/>
  <c r="BO52" i="37"/>
  <c r="BO62" i="37"/>
  <c r="BP29" i="37"/>
  <c r="BN87" i="37"/>
  <c r="BO73" i="37"/>
  <c r="BO49" i="37"/>
  <c r="BO47" i="37"/>
  <c r="BO45" i="37"/>
  <c r="BO43" i="37"/>
  <c r="BO41" i="37"/>
  <c r="BO39" i="37"/>
  <c r="BO37" i="37"/>
  <c r="BO76" i="37"/>
  <c r="BO53" i="37"/>
  <c r="BO51" i="37"/>
  <c r="BO35" i="37"/>
  <c r="BO48" i="37"/>
  <c r="BO36" i="37"/>
  <c r="BO46" i="37"/>
  <c r="BO38" i="37"/>
  <c r="BO32" i="37"/>
  <c r="BO42" i="37"/>
  <c r="BO31" i="37"/>
  <c r="BO50" i="37"/>
  <c r="BO69" i="37"/>
  <c r="BO63" i="37"/>
  <c r="BO44" i="37"/>
  <c r="BO33" i="37"/>
  <c r="BO30" i="37"/>
  <c r="BO40" i="37"/>
  <c r="BO34" i="37"/>
  <c r="BO90" i="37" l="1"/>
  <c r="BO95" i="37"/>
  <c r="BO92" i="37"/>
  <c r="BO87" i="37"/>
  <c r="BO93" i="37"/>
  <c r="BO85" i="37"/>
  <c r="BO96" i="37"/>
  <c r="BO94" i="37"/>
  <c r="BO89" i="37"/>
  <c r="BO91" i="37"/>
  <c r="BP84" i="37"/>
  <c r="BP83" i="37"/>
  <c r="BP80" i="37"/>
  <c r="BP78" i="37"/>
  <c r="BP75" i="37"/>
  <c r="BP73" i="37"/>
  <c r="BP70" i="37"/>
  <c r="BP68" i="37"/>
  <c r="BP66" i="37"/>
  <c r="BP64" i="37"/>
  <c r="BP62" i="37"/>
  <c r="BO88" i="37"/>
  <c r="BP82" i="37"/>
  <c r="BP67" i="37"/>
  <c r="BP79" i="37"/>
  <c r="BP72" i="37"/>
  <c r="BP74" i="37"/>
  <c r="BP69" i="37"/>
  <c r="BP81" i="37"/>
  <c r="BP71" i="37"/>
  <c r="BP65" i="37"/>
  <c r="BP58" i="37"/>
  <c r="BP57" i="37"/>
  <c r="BP56" i="37"/>
  <c r="BP54" i="37"/>
  <c r="BP61" i="37"/>
  <c r="BP52" i="37"/>
  <c r="BP49" i="37"/>
  <c r="BP47" i="37"/>
  <c r="BP45" i="37"/>
  <c r="BP43" i="37"/>
  <c r="BP41" i="37"/>
  <c r="BP39" i="37"/>
  <c r="BP37" i="37"/>
  <c r="BP35" i="37"/>
  <c r="BP33" i="37"/>
  <c r="BP31" i="37"/>
  <c r="BP76" i="37"/>
  <c r="BP53" i="37"/>
  <c r="BP51" i="37"/>
  <c r="BP63" i="37"/>
  <c r="BP55" i="37"/>
  <c r="BP77" i="37"/>
  <c r="BP48" i="37"/>
  <c r="BP36" i="37"/>
  <c r="BP32" i="37"/>
  <c r="BP46" i="37"/>
  <c r="BP59" i="37"/>
  <c r="BP44" i="37"/>
  <c r="BO86" i="37"/>
  <c r="BP50" i="37"/>
  <c r="BQ29" i="37"/>
  <c r="BQ28" i="37" s="1"/>
  <c r="BP40" i="37"/>
  <c r="BP60" i="37"/>
  <c r="BP42" i="37"/>
  <c r="BP30" i="37"/>
  <c r="BP34" i="37"/>
  <c r="BP38" i="37"/>
  <c r="BP28" i="37"/>
  <c r="BP95" i="37" l="1"/>
  <c r="BP92" i="37"/>
  <c r="BP96" i="37"/>
  <c r="BP94" i="37"/>
  <c r="BQ82" i="37"/>
  <c r="BQ79" i="37"/>
  <c r="BQ77" i="37"/>
  <c r="BP91" i="37"/>
  <c r="BP89" i="37"/>
  <c r="BP87" i="37"/>
  <c r="BP90" i="37"/>
  <c r="BP86" i="37"/>
  <c r="BQ76" i="37"/>
  <c r="BQ74" i="37"/>
  <c r="BQ71" i="37"/>
  <c r="BQ69" i="37"/>
  <c r="BQ67" i="37"/>
  <c r="BQ65" i="37"/>
  <c r="BQ84" i="37"/>
  <c r="BQ68" i="37"/>
  <c r="BQ83" i="37"/>
  <c r="BQ61" i="37"/>
  <c r="BQ59" i="37"/>
  <c r="BP88" i="37"/>
  <c r="BQ73" i="37"/>
  <c r="BQ80" i="37"/>
  <c r="BQ56" i="37"/>
  <c r="BQ54" i="37"/>
  <c r="BP93" i="37"/>
  <c r="BQ81" i="37"/>
  <c r="BQ55" i="37"/>
  <c r="BQ64" i="37"/>
  <c r="BQ58" i="37"/>
  <c r="BQ57" i="37"/>
  <c r="BQ53" i="37"/>
  <c r="BQ51" i="37"/>
  <c r="BQ78" i="37"/>
  <c r="BQ70" i="37"/>
  <c r="BQ63" i="37"/>
  <c r="BQ50" i="37"/>
  <c r="BP85" i="37"/>
  <c r="BQ46" i="37"/>
  <c r="BQ41" i="37"/>
  <c r="BQ60" i="37"/>
  <c r="BQ44" i="37"/>
  <c r="BQ39" i="37"/>
  <c r="BQ32" i="37"/>
  <c r="BQ66" i="37"/>
  <c r="BQ42" i="37"/>
  <c r="BQ37" i="37"/>
  <c r="BQ47" i="37"/>
  <c r="BQ43" i="37"/>
  <c r="BQ40" i="37"/>
  <c r="BQ33" i="37"/>
  <c r="BQ35" i="37"/>
  <c r="BQ52" i="37"/>
  <c r="BR29" i="37"/>
  <c r="BR28" i="37" s="1"/>
  <c r="BQ72" i="37"/>
  <c r="BQ45" i="37"/>
  <c r="BQ34" i="37"/>
  <c r="BQ75" i="37"/>
  <c r="BQ62" i="37"/>
  <c r="BQ30" i="37"/>
  <c r="BQ31" i="37"/>
  <c r="BQ49" i="37"/>
  <c r="BQ38" i="37"/>
  <c r="BQ48" i="37"/>
  <c r="BQ36" i="37"/>
  <c r="BQ92" i="37" l="1"/>
  <c r="BQ89" i="37"/>
  <c r="BQ94" i="37"/>
  <c r="BQ93" i="37"/>
  <c r="BQ90" i="37"/>
  <c r="BQ88" i="37"/>
  <c r="BQ95" i="37"/>
  <c r="BQ86" i="37"/>
  <c r="BQ85" i="37"/>
  <c r="BR84" i="37"/>
  <c r="BR83" i="37"/>
  <c r="BR82" i="37"/>
  <c r="BR79" i="37"/>
  <c r="BR81" i="37"/>
  <c r="BR77" i="37"/>
  <c r="BQ96" i="37"/>
  <c r="BQ91" i="37"/>
  <c r="BR68" i="37"/>
  <c r="BR72" i="37"/>
  <c r="BR69" i="37"/>
  <c r="BQ87" i="37"/>
  <c r="BR73" i="37"/>
  <c r="BR74" i="37"/>
  <c r="BR67" i="37"/>
  <c r="BR61" i="37"/>
  <c r="BR59" i="37"/>
  <c r="BR80" i="37"/>
  <c r="BR70" i="37"/>
  <c r="BR64" i="37"/>
  <c r="BR66" i="37"/>
  <c r="BR63" i="37"/>
  <c r="BR65" i="37"/>
  <c r="BR55" i="37"/>
  <c r="BR78" i="37"/>
  <c r="BR62" i="37"/>
  <c r="BR76" i="37"/>
  <c r="BR71" i="37"/>
  <c r="BR50" i="37"/>
  <c r="BR48" i="37"/>
  <c r="BR46" i="37"/>
  <c r="BR44" i="37"/>
  <c r="BR42" i="37"/>
  <c r="BR40" i="37"/>
  <c r="BR38" i="37"/>
  <c r="BR36" i="37"/>
  <c r="BR34" i="37"/>
  <c r="BR39" i="37"/>
  <c r="BR32" i="37"/>
  <c r="BR60" i="37"/>
  <c r="BR37" i="37"/>
  <c r="BR31" i="37"/>
  <c r="BR52" i="37"/>
  <c r="BS29" i="37"/>
  <c r="BS28" i="37" s="1"/>
  <c r="BR30" i="37"/>
  <c r="BR33" i="37"/>
  <c r="BR75" i="37"/>
  <c r="BR49" i="37"/>
  <c r="BR41" i="37"/>
  <c r="BR56" i="37"/>
  <c r="BR35" i="37"/>
  <c r="BR57" i="37"/>
  <c r="BR45" i="37"/>
  <c r="BR47" i="37"/>
  <c r="BR51" i="37"/>
  <c r="BR58" i="37"/>
  <c r="BR54" i="37"/>
  <c r="BR43" i="37"/>
  <c r="BR53" i="37"/>
  <c r="BR94" i="37" l="1"/>
  <c r="BR91" i="37"/>
  <c r="BR89" i="37"/>
  <c r="BR86" i="37"/>
  <c r="BS83" i="37"/>
  <c r="BR92" i="37"/>
  <c r="BR87" i="37"/>
  <c r="BR93" i="37"/>
  <c r="BR90" i="37"/>
  <c r="BR88" i="37"/>
  <c r="BR85" i="37"/>
  <c r="BS75" i="37"/>
  <c r="BS84" i="37"/>
  <c r="BS73" i="37"/>
  <c r="BR96" i="37"/>
  <c r="BR95" i="37"/>
  <c r="BS79" i="37"/>
  <c r="BS72" i="37"/>
  <c r="BS69" i="37"/>
  <c r="BS70" i="37"/>
  <c r="BS81" i="37"/>
  <c r="BS74" i="37"/>
  <c r="BS80" i="37"/>
  <c r="BS68" i="37"/>
  <c r="BS64" i="37"/>
  <c r="BS71" i="37"/>
  <c r="BS65" i="37"/>
  <c r="BS78" i="37"/>
  <c r="BS76" i="37"/>
  <c r="BS60" i="37"/>
  <c r="BS58" i="37"/>
  <c r="BS56" i="37"/>
  <c r="BS55" i="37"/>
  <c r="BS62" i="37"/>
  <c r="BS61" i="37"/>
  <c r="BS77" i="37"/>
  <c r="BS59" i="37"/>
  <c r="BS53" i="37"/>
  <c r="BS51" i="37"/>
  <c r="BS82" i="37"/>
  <c r="BS63" i="37"/>
  <c r="BS50" i="37"/>
  <c r="BS48" i="37"/>
  <c r="BS46" i="37"/>
  <c r="BS44" i="37"/>
  <c r="BS42" i="37"/>
  <c r="BS40" i="37"/>
  <c r="BS38" i="37"/>
  <c r="BS67" i="37"/>
  <c r="BS54" i="37"/>
  <c r="BS37" i="37"/>
  <c r="BS49" i="37"/>
  <c r="BS30" i="37"/>
  <c r="BS66" i="37"/>
  <c r="BS31" i="37"/>
  <c r="BS57" i="37"/>
  <c r="BS45" i="37"/>
  <c r="BS43" i="37"/>
  <c r="BS41" i="37"/>
  <c r="BS35" i="37"/>
  <c r="BS47" i="37"/>
  <c r="BS39" i="37"/>
  <c r="BS33" i="37"/>
  <c r="BS34" i="37"/>
  <c r="BS36" i="37"/>
  <c r="BS52" i="37"/>
  <c r="BS32" i="37"/>
  <c r="BT29" i="37"/>
  <c r="BS94" i="37" l="1"/>
  <c r="BS91" i="37"/>
  <c r="BS96" i="37"/>
  <c r="BS95" i="37"/>
  <c r="BS93" i="37"/>
  <c r="BS90" i="37"/>
  <c r="BT83" i="37"/>
  <c r="BS92" i="37"/>
  <c r="BS88" i="37"/>
  <c r="BT76" i="37"/>
  <c r="BT74" i="37"/>
  <c r="BT72" i="37"/>
  <c r="BT71" i="37"/>
  <c r="BT69" i="37"/>
  <c r="BT67" i="37"/>
  <c r="BT65" i="37"/>
  <c r="BT63" i="37"/>
  <c r="BS89" i="37"/>
  <c r="BS87" i="37"/>
  <c r="BT82" i="37"/>
  <c r="BT81" i="37"/>
  <c r="BT80" i="37"/>
  <c r="BT79" i="37"/>
  <c r="BT78" i="37"/>
  <c r="BT70" i="37"/>
  <c r="BT73" i="37"/>
  <c r="BS85" i="37"/>
  <c r="BT66" i="37"/>
  <c r="BS86" i="37"/>
  <c r="BT62" i="37"/>
  <c r="BT68" i="37"/>
  <c r="BT61" i="37"/>
  <c r="BT77" i="37"/>
  <c r="BT59" i="37"/>
  <c r="BT53" i="37"/>
  <c r="BT75" i="37"/>
  <c r="BT64" i="37"/>
  <c r="BT50" i="37"/>
  <c r="BT48" i="37"/>
  <c r="BT46" i="37"/>
  <c r="BT44" i="37"/>
  <c r="BT42" i="37"/>
  <c r="BT40" i="37"/>
  <c r="BT38" i="37"/>
  <c r="BT36" i="37"/>
  <c r="BT34" i="37"/>
  <c r="BT32" i="37"/>
  <c r="BT30" i="37"/>
  <c r="BT55" i="37"/>
  <c r="BT54" i="37"/>
  <c r="BT84" i="37"/>
  <c r="BT60" i="37"/>
  <c r="BT31" i="37"/>
  <c r="BT51" i="37"/>
  <c r="BT47" i="37"/>
  <c r="BT33" i="37"/>
  <c r="BT49" i="37"/>
  <c r="BT58" i="37"/>
  <c r="BU29" i="37"/>
  <c r="BT39" i="37"/>
  <c r="BT57" i="37"/>
  <c r="BT37" i="37"/>
  <c r="BT43" i="37"/>
  <c r="BT35" i="37"/>
  <c r="BT52" i="37"/>
  <c r="BT41" i="37"/>
  <c r="BT56" i="37"/>
  <c r="BT45" i="37"/>
  <c r="BT28" i="37"/>
  <c r="BT91" i="37" l="1"/>
  <c r="BT96" i="37"/>
  <c r="BT93" i="37"/>
  <c r="BT92" i="37"/>
  <c r="BT88" i="37"/>
  <c r="BT89" i="37"/>
  <c r="BU84" i="37"/>
  <c r="BU80" i="37"/>
  <c r="BU78" i="37"/>
  <c r="BT87" i="37"/>
  <c r="BT95" i="37"/>
  <c r="BU81" i="37"/>
  <c r="BT85" i="37"/>
  <c r="BU74" i="37"/>
  <c r="BT90" i="37"/>
  <c r="BU82" i="37"/>
  <c r="BU79" i="37"/>
  <c r="BU72" i="37"/>
  <c r="BU70" i="37"/>
  <c r="BU68" i="37"/>
  <c r="BU66" i="37"/>
  <c r="BU64" i="37"/>
  <c r="BT86" i="37"/>
  <c r="BU77" i="37"/>
  <c r="BU73" i="37"/>
  <c r="BT94" i="37"/>
  <c r="BU83" i="37"/>
  <c r="BU71" i="37"/>
  <c r="BU75" i="37"/>
  <c r="BU69" i="37"/>
  <c r="BU65" i="37"/>
  <c r="BU63" i="37"/>
  <c r="BU60" i="37"/>
  <c r="BU58" i="37"/>
  <c r="BU62" i="37"/>
  <c r="BU59" i="37"/>
  <c r="BU53" i="37"/>
  <c r="BU67" i="37"/>
  <c r="BU55" i="37"/>
  <c r="BU54" i="37"/>
  <c r="BU56" i="37"/>
  <c r="BU52" i="37"/>
  <c r="BU61" i="37"/>
  <c r="BU49" i="37"/>
  <c r="BU44" i="37"/>
  <c r="BU51" i="37"/>
  <c r="BU47" i="37"/>
  <c r="BU42" i="37"/>
  <c r="BU33" i="37"/>
  <c r="BU30" i="37"/>
  <c r="BV29" i="37"/>
  <c r="BU45" i="37"/>
  <c r="BU40" i="37"/>
  <c r="BU46" i="37"/>
  <c r="BU43" i="37"/>
  <c r="BU50" i="37"/>
  <c r="BU76" i="37"/>
  <c r="BU41" i="37"/>
  <c r="BU39" i="37"/>
  <c r="BU36" i="37"/>
  <c r="BU37" i="37"/>
  <c r="BU32" i="37"/>
  <c r="BU35" i="37"/>
  <c r="BU34" i="37"/>
  <c r="BU31" i="37"/>
  <c r="BU38" i="37"/>
  <c r="BU57" i="37"/>
  <c r="BU48" i="37"/>
  <c r="BU28" i="37"/>
  <c r="BU96" i="37" l="1"/>
  <c r="BU93" i="37"/>
  <c r="BU88" i="37"/>
  <c r="BU87" i="37"/>
  <c r="BU95" i="37"/>
  <c r="BU86" i="37"/>
  <c r="BU85" i="37"/>
  <c r="BV84" i="37"/>
  <c r="BU91" i="37"/>
  <c r="BV80" i="37"/>
  <c r="BU94" i="37"/>
  <c r="BV73" i="37"/>
  <c r="BV81" i="37"/>
  <c r="BV78" i="37"/>
  <c r="BV77" i="37"/>
  <c r="BV83" i="37"/>
  <c r="BV71" i="37"/>
  <c r="BV75" i="37"/>
  <c r="BV74" i="37"/>
  <c r="BV76" i="37"/>
  <c r="BU89" i="37"/>
  <c r="BV70" i="37"/>
  <c r="BV66" i="37"/>
  <c r="BV63" i="37"/>
  <c r="BV60" i="37"/>
  <c r="BV58" i="37"/>
  <c r="BV62" i="37"/>
  <c r="BU90" i="37"/>
  <c r="BV64" i="37"/>
  <c r="BV69" i="37"/>
  <c r="BV57" i="37"/>
  <c r="BV67" i="37"/>
  <c r="BV55" i="37"/>
  <c r="BV54" i="37"/>
  <c r="BV79" i="37"/>
  <c r="BV56" i="37"/>
  <c r="BV52" i="37"/>
  <c r="BV49" i="37"/>
  <c r="BV47" i="37"/>
  <c r="BV45" i="37"/>
  <c r="BV43" i="37"/>
  <c r="BV41" i="37"/>
  <c r="BV39" i="37"/>
  <c r="BV37" i="37"/>
  <c r="BV35" i="37"/>
  <c r="BV33" i="37"/>
  <c r="BV65" i="37"/>
  <c r="BV61" i="37"/>
  <c r="BV51" i="37"/>
  <c r="BV42" i="37"/>
  <c r="BV30" i="37"/>
  <c r="BW29" i="37"/>
  <c r="BW28" i="37" s="1"/>
  <c r="BV50" i="37"/>
  <c r="BV38" i="37"/>
  <c r="BV34" i="37"/>
  <c r="BV59" i="37"/>
  <c r="BV40" i="37"/>
  <c r="BU92" i="37"/>
  <c r="BV72" i="37"/>
  <c r="BV82" i="37"/>
  <c r="BV46" i="37"/>
  <c r="BV44" i="37"/>
  <c r="BV68" i="37"/>
  <c r="BV53" i="37"/>
  <c r="BV36" i="37"/>
  <c r="BV48" i="37"/>
  <c r="BV31" i="37"/>
  <c r="BV32" i="37"/>
  <c r="BV28" i="37"/>
  <c r="BV93" i="37" l="1"/>
  <c r="BV90" i="37"/>
  <c r="BV95" i="37"/>
  <c r="BV94" i="37"/>
  <c r="BV92" i="37"/>
  <c r="BV96" i="37"/>
  <c r="BV91" i="37"/>
  <c r="BV86" i="37"/>
  <c r="BW81" i="37"/>
  <c r="BV89" i="37"/>
  <c r="BV87" i="37"/>
  <c r="BW82" i="37"/>
  <c r="BW79" i="37"/>
  <c r="BW83" i="37"/>
  <c r="BW80" i="37"/>
  <c r="BW76" i="37"/>
  <c r="BW75" i="37"/>
  <c r="BW74" i="37"/>
  <c r="BW64" i="37"/>
  <c r="BW78" i="37"/>
  <c r="BW77" i="37"/>
  <c r="BV85" i="37"/>
  <c r="BW71" i="37"/>
  <c r="BW62" i="37"/>
  <c r="BW84" i="37"/>
  <c r="BW61" i="37"/>
  <c r="BW59" i="37"/>
  <c r="BW57" i="37"/>
  <c r="BW55" i="37"/>
  <c r="BW69" i="37"/>
  <c r="BW63" i="37"/>
  <c r="BW54" i="37"/>
  <c r="BW52" i="37"/>
  <c r="BW73" i="37"/>
  <c r="BX29" i="37"/>
  <c r="BX28" i="37" s="1"/>
  <c r="BW70" i="37"/>
  <c r="BW56" i="37"/>
  <c r="BW49" i="37"/>
  <c r="BW47" i="37"/>
  <c r="BW45" i="37"/>
  <c r="BW43" i="37"/>
  <c r="BW41" i="37"/>
  <c r="BW39" i="37"/>
  <c r="BW37" i="37"/>
  <c r="BW65" i="37"/>
  <c r="BW60" i="37"/>
  <c r="BW51" i="37"/>
  <c r="BV88" i="37"/>
  <c r="BW66" i="37"/>
  <c r="BW40" i="37"/>
  <c r="BW33" i="37"/>
  <c r="BW35" i="37"/>
  <c r="BW72" i="37"/>
  <c r="BW58" i="37"/>
  <c r="BW50" i="37"/>
  <c r="BW38" i="37"/>
  <c r="BW34" i="37"/>
  <c r="BW44" i="37"/>
  <c r="BW68" i="37"/>
  <c r="BW30" i="37"/>
  <c r="BW42" i="37"/>
  <c r="BW31" i="37"/>
  <c r="BW48" i="37"/>
  <c r="BW46" i="37"/>
  <c r="BW67" i="37"/>
  <c r="BW53" i="37"/>
  <c r="BW36" i="37"/>
  <c r="BW32" i="37"/>
  <c r="BW90" i="37" l="1"/>
  <c r="BW95" i="37"/>
  <c r="BW92" i="37"/>
  <c r="BW87" i="37"/>
  <c r="BW94" i="37"/>
  <c r="BW85" i="37"/>
  <c r="BW88" i="37"/>
  <c r="BW96" i="37"/>
  <c r="BX75" i="37"/>
  <c r="BX73" i="37"/>
  <c r="BW93" i="37"/>
  <c r="BX84" i="37"/>
  <c r="BX72" i="37"/>
  <c r="BX70" i="37"/>
  <c r="BX68" i="37"/>
  <c r="BX66" i="37"/>
  <c r="BX64" i="37"/>
  <c r="BX62" i="37"/>
  <c r="BW91" i="37"/>
  <c r="BW86" i="37"/>
  <c r="BX83" i="37"/>
  <c r="BX65" i="37"/>
  <c r="BX81" i="37"/>
  <c r="BX78" i="37"/>
  <c r="BX77" i="37"/>
  <c r="BX76" i="37"/>
  <c r="BX82" i="37"/>
  <c r="BX67" i="37"/>
  <c r="BX74" i="37"/>
  <c r="BX69" i="37"/>
  <c r="BX63" i="37"/>
  <c r="BX57" i="37"/>
  <c r="BX54" i="37"/>
  <c r="BX60" i="37"/>
  <c r="BX56" i="37"/>
  <c r="BX49" i="37"/>
  <c r="BX47" i="37"/>
  <c r="BX45" i="37"/>
  <c r="BX43" i="37"/>
  <c r="BX41" i="37"/>
  <c r="BX39" i="37"/>
  <c r="BX37" i="37"/>
  <c r="BX35" i="37"/>
  <c r="BX33" i="37"/>
  <c r="BX31" i="37"/>
  <c r="BW89" i="37"/>
  <c r="BX79" i="37"/>
  <c r="BX52" i="37"/>
  <c r="BX80" i="37"/>
  <c r="BX61" i="37"/>
  <c r="BX51" i="37"/>
  <c r="BX59" i="37"/>
  <c r="BX58" i="37"/>
  <c r="BX50" i="37"/>
  <c r="BX38" i="37"/>
  <c r="BX34" i="37"/>
  <c r="BX36" i="37"/>
  <c r="BX30" i="37"/>
  <c r="BY29" i="37"/>
  <c r="BX42" i="37"/>
  <c r="BX53" i="37"/>
  <c r="BX71" i="37"/>
  <c r="BX55" i="37"/>
  <c r="BX48" i="37"/>
  <c r="BX40" i="37"/>
  <c r="BX32" i="37"/>
  <c r="BX46" i="37"/>
  <c r="BX44" i="37"/>
  <c r="BX95" i="37" l="1"/>
  <c r="BX92" i="37"/>
  <c r="BX96" i="37"/>
  <c r="BY82" i="37"/>
  <c r="BY79" i="37"/>
  <c r="BY77" i="37"/>
  <c r="BY84" i="37"/>
  <c r="BX94" i="37"/>
  <c r="BY83" i="37"/>
  <c r="BX93" i="37"/>
  <c r="BY80" i="37"/>
  <c r="BY78" i="37"/>
  <c r="BX89" i="37"/>
  <c r="BX87" i="37"/>
  <c r="BY75" i="37"/>
  <c r="BY71" i="37"/>
  <c r="BY69" i="37"/>
  <c r="BY67" i="37"/>
  <c r="BY65" i="37"/>
  <c r="BX88" i="37"/>
  <c r="BX91" i="37"/>
  <c r="BY81" i="37"/>
  <c r="BY76" i="37"/>
  <c r="BY73" i="37"/>
  <c r="BY61" i="37"/>
  <c r="BY59" i="37"/>
  <c r="BY64" i="37"/>
  <c r="BY63" i="37"/>
  <c r="BY57" i="37"/>
  <c r="BY54" i="37"/>
  <c r="BY60" i="37"/>
  <c r="BY56" i="37"/>
  <c r="BX86" i="37"/>
  <c r="BY72" i="37"/>
  <c r="BY58" i="37"/>
  <c r="BY70" i="37"/>
  <c r="BY52" i="37"/>
  <c r="BY51" i="37"/>
  <c r="BX85" i="37"/>
  <c r="BY74" i="37"/>
  <c r="BY66" i="37"/>
  <c r="BY53" i="37"/>
  <c r="BY50" i="37"/>
  <c r="BY47" i="37"/>
  <c r="BY48" i="37"/>
  <c r="BY43" i="37"/>
  <c r="BY45" i="37"/>
  <c r="BY36" i="37"/>
  <c r="BY35" i="37"/>
  <c r="BY62" i="37"/>
  <c r="BY55" i="37"/>
  <c r="BY32" i="37"/>
  <c r="BY68" i="37"/>
  <c r="BY42" i="37"/>
  <c r="BY38" i="37"/>
  <c r="BZ29" i="37"/>
  <c r="BZ28" i="37" s="1"/>
  <c r="BY44" i="37"/>
  <c r="BY41" i="37"/>
  <c r="BY31" i="37"/>
  <c r="BY40" i="37"/>
  <c r="BY34" i="37"/>
  <c r="BY33" i="37"/>
  <c r="BY49" i="37"/>
  <c r="BY30" i="37"/>
  <c r="BX90" i="37"/>
  <c r="BY39" i="37"/>
  <c r="BY46" i="37"/>
  <c r="BY37" i="37"/>
  <c r="BY28" i="37"/>
  <c r="BY92" i="37" l="1"/>
  <c r="BY89" i="37"/>
  <c r="BY94" i="37"/>
  <c r="BY93" i="37"/>
  <c r="BY95" i="37"/>
  <c r="BY91" i="37"/>
  <c r="BY88" i="37"/>
  <c r="BY86" i="37"/>
  <c r="BY85" i="37"/>
  <c r="BZ84" i="37"/>
  <c r="BZ83" i="37"/>
  <c r="BY90" i="37"/>
  <c r="BZ82" i="37"/>
  <c r="BZ81" i="37"/>
  <c r="BZ79" i="37"/>
  <c r="BZ78" i="37"/>
  <c r="BZ77" i="37"/>
  <c r="BZ76" i="37"/>
  <c r="BY96" i="37"/>
  <c r="BZ74" i="37"/>
  <c r="BZ66" i="37"/>
  <c r="BY87" i="37"/>
  <c r="BZ67" i="37"/>
  <c r="BZ73" i="37"/>
  <c r="BZ61" i="37"/>
  <c r="BZ59" i="37"/>
  <c r="BZ72" i="37"/>
  <c r="BZ68" i="37"/>
  <c r="BZ60" i="37"/>
  <c r="BZ56" i="37"/>
  <c r="BZ75" i="37"/>
  <c r="BZ58" i="37"/>
  <c r="BZ70" i="37"/>
  <c r="BZ55" i="37"/>
  <c r="BZ63" i="37"/>
  <c r="BZ51" i="37"/>
  <c r="BZ80" i="37"/>
  <c r="BZ65" i="37"/>
  <c r="BZ53" i="37"/>
  <c r="BZ50" i="37"/>
  <c r="BZ48" i="37"/>
  <c r="BZ46" i="37"/>
  <c r="BZ44" i="37"/>
  <c r="BZ42" i="37"/>
  <c r="BZ40" i="37"/>
  <c r="BZ38" i="37"/>
  <c r="BZ36" i="37"/>
  <c r="BZ34" i="37"/>
  <c r="BZ69" i="37"/>
  <c r="BZ57" i="37"/>
  <c r="BZ45" i="37"/>
  <c r="BZ35" i="37"/>
  <c r="BZ41" i="37"/>
  <c r="BZ62" i="37"/>
  <c r="BZ43" i="37"/>
  <c r="BZ32" i="37"/>
  <c r="BZ71" i="37"/>
  <c r="BZ31" i="37"/>
  <c r="BZ37" i="37"/>
  <c r="BZ30" i="37"/>
  <c r="BZ33" i="37"/>
  <c r="BZ54" i="37"/>
  <c r="BZ39" i="37"/>
  <c r="CA29" i="37"/>
  <c r="CA28" i="37" s="1"/>
  <c r="BZ47" i="37"/>
  <c r="BZ64" i="37"/>
  <c r="BZ49" i="37"/>
  <c r="BZ52" i="37"/>
  <c r="BZ94" i="37" l="1"/>
  <c r="BZ96" i="37"/>
  <c r="BZ86" i="37"/>
  <c r="BZ92" i="37"/>
  <c r="CA83" i="37"/>
  <c r="BZ93" i="37"/>
  <c r="BZ90" i="37"/>
  <c r="BZ89" i="37"/>
  <c r="BZ88" i="37"/>
  <c r="BZ87" i="37"/>
  <c r="CA82" i="37"/>
  <c r="CA79" i="37"/>
  <c r="CA81" i="37"/>
  <c r="CA77" i="37"/>
  <c r="CA80" i="37"/>
  <c r="BZ95" i="37"/>
  <c r="CA78" i="37"/>
  <c r="CA67" i="37"/>
  <c r="CA68" i="37"/>
  <c r="BZ85" i="37"/>
  <c r="CA84" i="37"/>
  <c r="CA76" i="37"/>
  <c r="CA75" i="37"/>
  <c r="CA69" i="37"/>
  <c r="CA64" i="37"/>
  <c r="CA63" i="37"/>
  <c r="CA60" i="37"/>
  <c r="CA58" i="37"/>
  <c r="CA56" i="37"/>
  <c r="BZ91" i="37"/>
  <c r="CA72" i="37"/>
  <c r="CA70" i="37"/>
  <c r="CA55" i="37"/>
  <c r="CA66" i="37"/>
  <c r="CA53" i="37"/>
  <c r="CA51" i="37"/>
  <c r="CA65" i="37"/>
  <c r="CA61" i="37"/>
  <c r="CA50" i="37"/>
  <c r="CA48" i="37"/>
  <c r="CA46" i="37"/>
  <c r="CA44" i="37"/>
  <c r="CA42" i="37"/>
  <c r="CA40" i="37"/>
  <c r="CA38" i="37"/>
  <c r="CA74" i="37"/>
  <c r="CA57" i="37"/>
  <c r="CA59" i="37"/>
  <c r="CA62" i="37"/>
  <c r="CA43" i="37"/>
  <c r="CA36" i="37"/>
  <c r="CA32" i="37"/>
  <c r="CA52" i="37"/>
  <c r="CA31" i="37"/>
  <c r="CA71" i="37"/>
  <c r="CA41" i="37"/>
  <c r="CA54" i="37"/>
  <c r="CA39" i="37"/>
  <c r="CA33" i="37"/>
  <c r="CA45" i="37"/>
  <c r="CA34" i="37"/>
  <c r="CA49" i="37"/>
  <c r="CA35" i="37"/>
  <c r="CA47" i="37"/>
  <c r="CA73" i="37"/>
  <c r="CA30" i="37"/>
  <c r="CA37" i="37"/>
  <c r="CB29" i="37"/>
  <c r="CB28" i="37" s="1"/>
  <c r="CA94" i="37" l="1"/>
  <c r="CA91" i="37"/>
  <c r="CA96" i="37"/>
  <c r="CA95" i="37"/>
  <c r="CA90" i="37"/>
  <c r="CA89" i="37"/>
  <c r="CA87" i="37"/>
  <c r="CA85" i="37"/>
  <c r="CB76" i="37"/>
  <c r="CB74" i="37"/>
  <c r="CB72" i="37"/>
  <c r="CB75" i="37"/>
  <c r="CB71" i="37"/>
  <c r="CB69" i="37"/>
  <c r="CB67" i="37"/>
  <c r="CB65" i="37"/>
  <c r="CB63" i="37"/>
  <c r="CA88" i="37"/>
  <c r="CB73" i="37"/>
  <c r="CB77" i="37"/>
  <c r="CB68" i="37"/>
  <c r="CA93" i="37"/>
  <c r="CB80" i="37"/>
  <c r="CA86" i="37"/>
  <c r="CB83" i="37"/>
  <c r="CB81" i="37"/>
  <c r="CB70" i="37"/>
  <c r="CB58" i="37"/>
  <c r="CB55" i="37"/>
  <c r="CB78" i="37"/>
  <c r="CB66" i="37"/>
  <c r="CB53" i="37"/>
  <c r="CB82" i="37"/>
  <c r="CB79" i="37"/>
  <c r="CB61" i="37"/>
  <c r="CB56" i="37"/>
  <c r="CB50" i="37"/>
  <c r="CB48" i="37"/>
  <c r="CB46" i="37"/>
  <c r="CB44" i="37"/>
  <c r="CB42" i="37"/>
  <c r="CB40" i="37"/>
  <c r="CB38" i="37"/>
  <c r="CB36" i="37"/>
  <c r="CB34" i="37"/>
  <c r="CB32" i="37"/>
  <c r="CB30" i="37"/>
  <c r="CB57" i="37"/>
  <c r="CB84" i="37"/>
  <c r="CB60" i="37"/>
  <c r="CB59" i="37"/>
  <c r="CB62" i="37"/>
  <c r="CB41" i="37"/>
  <c r="CB37" i="37"/>
  <c r="CA92" i="37"/>
  <c r="CB54" i="37"/>
  <c r="CB52" i="37"/>
  <c r="CB39" i="37"/>
  <c r="CB31" i="37"/>
  <c r="CB45" i="37"/>
  <c r="CB49" i="37"/>
  <c r="CB35" i="37"/>
  <c r="CB64" i="37"/>
  <c r="CC29" i="37"/>
  <c r="CC28" i="37" s="1"/>
  <c r="CB43" i="37"/>
  <c r="CB33" i="37"/>
  <c r="CB47" i="37"/>
  <c r="CB51" i="37"/>
  <c r="CB91" i="37" l="1"/>
  <c r="CB96" i="37"/>
  <c r="CB93" i="37"/>
  <c r="CB92" i="37"/>
  <c r="CB88" i="37"/>
  <c r="CC84" i="37"/>
  <c r="CC80" i="37"/>
  <c r="CC78" i="37"/>
  <c r="CC76" i="37"/>
  <c r="CC83" i="37"/>
  <c r="CB90" i="37"/>
  <c r="CB87" i="37"/>
  <c r="CB86" i="37"/>
  <c r="CC82" i="37"/>
  <c r="CB94" i="37"/>
  <c r="CB89" i="37"/>
  <c r="CB95" i="37"/>
  <c r="CC70" i="37"/>
  <c r="CC68" i="37"/>
  <c r="CC66" i="37"/>
  <c r="CC64" i="37"/>
  <c r="CB85" i="37"/>
  <c r="CC69" i="37"/>
  <c r="CC81" i="37"/>
  <c r="CC72" i="37"/>
  <c r="CC60" i="37"/>
  <c r="CC58" i="37"/>
  <c r="CC79" i="37"/>
  <c r="CC77" i="37"/>
  <c r="CC65" i="37"/>
  <c r="CC62" i="37"/>
  <c r="CC75" i="37"/>
  <c r="CC53" i="37"/>
  <c r="CC67" i="37"/>
  <c r="CC61" i="37"/>
  <c r="CC57" i="37"/>
  <c r="CC74" i="37"/>
  <c r="CC59" i="37"/>
  <c r="CC71" i="37"/>
  <c r="CC54" i="37"/>
  <c r="CC52" i="37"/>
  <c r="CC39" i="37"/>
  <c r="CC31" i="37"/>
  <c r="CC46" i="37"/>
  <c r="CD29" i="37"/>
  <c r="CC55" i="37"/>
  <c r="CC48" i="37"/>
  <c r="CC37" i="37"/>
  <c r="CC73" i="37"/>
  <c r="CC30" i="37"/>
  <c r="CC49" i="37"/>
  <c r="CC41" i="37"/>
  <c r="CC35" i="37"/>
  <c r="CC34" i="37"/>
  <c r="CC44" i="37"/>
  <c r="CC43" i="37"/>
  <c r="CC33" i="37"/>
  <c r="CC42" i="37"/>
  <c r="CC63" i="37"/>
  <c r="CC40" i="37"/>
  <c r="CC47" i="37"/>
  <c r="CC36" i="37"/>
  <c r="CC32" i="37"/>
  <c r="CC56" i="37"/>
  <c r="CC51" i="37"/>
  <c r="CC38" i="37"/>
  <c r="CC45" i="37"/>
  <c r="CC50" i="37"/>
  <c r="CC96" i="37" l="1"/>
  <c r="CC93" i="37"/>
  <c r="CC95" i="37"/>
  <c r="CC85" i="37"/>
  <c r="CC91" i="37"/>
  <c r="CC92" i="37"/>
  <c r="CD84" i="37"/>
  <c r="CD81" i="37"/>
  <c r="CC90" i="37"/>
  <c r="CC86" i="37"/>
  <c r="CD83" i="37"/>
  <c r="CD74" i="37"/>
  <c r="CD72" i="37"/>
  <c r="CC94" i="37"/>
  <c r="CC87" i="37"/>
  <c r="CD69" i="37"/>
  <c r="CD80" i="37"/>
  <c r="CD70" i="37"/>
  <c r="CD73" i="37"/>
  <c r="CD76" i="37"/>
  <c r="CD60" i="37"/>
  <c r="CD58" i="37"/>
  <c r="CC88" i="37"/>
  <c r="CD82" i="37"/>
  <c r="CD78" i="37"/>
  <c r="CD75" i="37"/>
  <c r="CD67" i="37"/>
  <c r="CD64" i="37"/>
  <c r="CD63" i="37"/>
  <c r="CD71" i="37"/>
  <c r="CD66" i="37"/>
  <c r="CD77" i="37"/>
  <c r="CD61" i="37"/>
  <c r="CD79" i="37"/>
  <c r="CD59" i="37"/>
  <c r="CC89" i="37"/>
  <c r="CD53" i="37"/>
  <c r="CD62" i="37"/>
  <c r="CD49" i="37"/>
  <c r="CD47" i="37"/>
  <c r="CD45" i="37"/>
  <c r="CD43" i="37"/>
  <c r="CD41" i="37"/>
  <c r="CD39" i="37"/>
  <c r="CD37" i="37"/>
  <c r="CD35" i="37"/>
  <c r="CD33" i="37"/>
  <c r="CD54" i="37"/>
  <c r="CD52" i="37"/>
  <c r="CD55" i="37"/>
  <c r="CD48" i="37"/>
  <c r="CD44" i="37"/>
  <c r="CD46" i="37"/>
  <c r="CD30" i="37"/>
  <c r="CE29" i="37"/>
  <c r="CD56" i="37"/>
  <c r="CD40" i="37"/>
  <c r="CD57" i="37"/>
  <c r="CD36" i="37"/>
  <c r="CD32" i="37"/>
  <c r="CD65" i="37"/>
  <c r="CD38" i="37"/>
  <c r="CD34" i="37"/>
  <c r="CD31" i="37"/>
  <c r="CD51" i="37"/>
  <c r="CD50" i="37"/>
  <c r="CD42" i="37"/>
  <c r="CD68" i="37"/>
  <c r="CD28" i="37"/>
  <c r="CD93" i="37" l="1"/>
  <c r="CD90" i="37"/>
  <c r="CD95" i="37"/>
  <c r="CD94" i="37"/>
  <c r="CD91" i="37"/>
  <c r="CD89" i="37"/>
  <c r="CD88" i="37"/>
  <c r="CD87" i="37"/>
  <c r="CE81" i="37"/>
  <c r="CD96" i="37"/>
  <c r="CE84" i="37"/>
  <c r="CD86" i="37"/>
  <c r="CD85" i="37"/>
  <c r="CE83" i="37"/>
  <c r="CD92" i="37"/>
  <c r="CE80" i="37"/>
  <c r="CE73" i="37"/>
  <c r="CE79" i="37"/>
  <c r="CE78" i="37"/>
  <c r="CE77" i="37"/>
  <c r="CE70" i="37"/>
  <c r="CE72" i="37"/>
  <c r="CE71" i="37"/>
  <c r="CE82" i="37"/>
  <c r="CE75" i="37"/>
  <c r="CE67" i="37"/>
  <c r="CE64" i="37"/>
  <c r="CE63" i="37"/>
  <c r="CE68" i="37"/>
  <c r="CE65" i="37"/>
  <c r="CE62" i="37"/>
  <c r="CE74" i="37"/>
  <c r="CE61" i="37"/>
  <c r="CE59" i="37"/>
  <c r="CE57" i="37"/>
  <c r="CE55" i="37"/>
  <c r="CE66" i="37"/>
  <c r="CE54" i="37"/>
  <c r="CE52" i="37"/>
  <c r="CE53" i="37"/>
  <c r="CF29" i="37"/>
  <c r="CF28" i="37" s="1"/>
  <c r="CE60" i="37"/>
  <c r="CE49" i="37"/>
  <c r="CE47" i="37"/>
  <c r="CE45" i="37"/>
  <c r="CE43" i="37"/>
  <c r="CE41" i="37"/>
  <c r="CE39" i="37"/>
  <c r="CE37" i="37"/>
  <c r="CE69" i="37"/>
  <c r="CE58" i="37"/>
  <c r="CE46" i="37"/>
  <c r="CE30" i="37"/>
  <c r="CE42" i="37"/>
  <c r="CE56" i="37"/>
  <c r="CE44" i="37"/>
  <c r="CE33" i="37"/>
  <c r="CE36" i="37"/>
  <c r="CE32" i="37"/>
  <c r="CE76" i="37"/>
  <c r="CE38" i="37"/>
  <c r="CE51" i="37"/>
  <c r="CE48" i="37"/>
  <c r="CE50" i="37"/>
  <c r="CE34" i="37"/>
  <c r="CE31" i="37"/>
  <c r="CE40" i="37"/>
  <c r="CE35" i="37"/>
  <c r="CE28" i="37"/>
  <c r="CE90" i="37" l="1"/>
  <c r="CE95" i="37"/>
  <c r="CE92" i="37"/>
  <c r="CE87" i="37"/>
  <c r="CE86" i="37"/>
  <c r="CE94" i="37"/>
  <c r="CE85" i="37"/>
  <c r="CE89" i="37"/>
  <c r="CE88" i="37"/>
  <c r="CF79" i="37"/>
  <c r="CF75" i="37"/>
  <c r="CF73" i="37"/>
  <c r="CE96" i="37"/>
  <c r="CE91" i="37"/>
  <c r="CF70" i="37"/>
  <c r="CF68" i="37"/>
  <c r="CF66" i="37"/>
  <c r="CF64" i="37"/>
  <c r="CF62" i="37"/>
  <c r="CF78" i="37"/>
  <c r="CF77" i="37"/>
  <c r="CF82" i="37"/>
  <c r="CF80" i="37"/>
  <c r="CF72" i="37"/>
  <c r="CF71" i="37"/>
  <c r="CE93" i="37"/>
  <c r="CF74" i="37"/>
  <c r="CF83" i="37"/>
  <c r="CF65" i="37"/>
  <c r="CF69" i="37"/>
  <c r="CF81" i="37"/>
  <c r="CF61" i="37"/>
  <c r="CF67" i="37"/>
  <c r="CF59" i="37"/>
  <c r="CF54" i="37"/>
  <c r="CF76" i="37"/>
  <c r="CF57" i="37"/>
  <c r="CF60" i="37"/>
  <c r="CF49" i="37"/>
  <c r="CF47" i="37"/>
  <c r="CF45" i="37"/>
  <c r="CF43" i="37"/>
  <c r="CF41" i="37"/>
  <c r="CF39" i="37"/>
  <c r="CF37" i="37"/>
  <c r="CF35" i="37"/>
  <c r="CF33" i="37"/>
  <c r="CF31" i="37"/>
  <c r="CF84" i="37"/>
  <c r="CF58" i="37"/>
  <c r="CF52" i="37"/>
  <c r="CF55" i="37"/>
  <c r="CF51" i="37"/>
  <c r="CF56" i="37"/>
  <c r="CF44" i="37"/>
  <c r="CG29" i="37"/>
  <c r="CF40" i="37"/>
  <c r="CF42" i="37"/>
  <c r="CF63" i="37"/>
  <c r="CF34" i="37"/>
  <c r="CF38" i="37"/>
  <c r="CF30" i="37"/>
  <c r="CF53" i="37"/>
  <c r="CF48" i="37"/>
  <c r="CF36" i="37"/>
  <c r="CF32" i="37"/>
  <c r="CF50" i="37"/>
  <c r="CF46" i="37"/>
  <c r="CF95" i="37" l="1"/>
  <c r="CF92" i="37"/>
  <c r="CF96" i="37"/>
  <c r="CF94" i="37"/>
  <c r="CF93" i="37"/>
  <c r="CF90" i="37"/>
  <c r="CF85" i="37"/>
  <c r="CG82" i="37"/>
  <c r="CG79" i="37"/>
  <c r="CG77" i="37"/>
  <c r="CF91" i="37"/>
  <c r="CF86" i="37"/>
  <c r="CF87" i="37"/>
  <c r="CG72" i="37"/>
  <c r="CG76" i="37"/>
  <c r="CG71" i="37"/>
  <c r="CG69" i="37"/>
  <c r="CG67" i="37"/>
  <c r="CG65" i="37"/>
  <c r="CG84" i="37"/>
  <c r="CG81" i="37"/>
  <c r="CG80" i="37"/>
  <c r="CG74" i="37"/>
  <c r="CG73" i="37"/>
  <c r="CG75" i="37"/>
  <c r="CF88" i="37"/>
  <c r="CG78" i="37"/>
  <c r="CG68" i="37"/>
  <c r="CG62" i="37"/>
  <c r="CG66" i="37"/>
  <c r="CG61" i="37"/>
  <c r="CG59" i="37"/>
  <c r="CG70" i="37"/>
  <c r="CG54" i="37"/>
  <c r="CG57" i="37"/>
  <c r="CG56" i="37"/>
  <c r="CG83" i="37"/>
  <c r="CG58" i="37"/>
  <c r="CG52" i="37"/>
  <c r="CG55" i="37"/>
  <c r="CG51" i="37"/>
  <c r="CG50" i="37"/>
  <c r="CG42" i="37"/>
  <c r="CG37" i="37"/>
  <c r="CG53" i="37"/>
  <c r="CG63" i="37"/>
  <c r="CG40" i="37"/>
  <c r="CG34" i="37"/>
  <c r="CG33" i="37"/>
  <c r="CG49" i="37"/>
  <c r="CG38" i="37"/>
  <c r="CG48" i="37"/>
  <c r="CG44" i="37"/>
  <c r="CG31" i="37"/>
  <c r="CG60" i="37"/>
  <c r="CG36" i="37"/>
  <c r="CG64" i="37"/>
  <c r="CG47" i="37"/>
  <c r="CG39" i="37"/>
  <c r="CH29" i="37"/>
  <c r="CG46" i="37"/>
  <c r="CF89" i="37"/>
  <c r="CG41" i="37"/>
  <c r="CG45" i="37"/>
  <c r="CG30" i="37"/>
  <c r="CG43" i="37"/>
  <c r="CG35" i="37"/>
  <c r="CG32" i="37"/>
  <c r="CG28" i="37"/>
  <c r="CG92" i="37" l="1"/>
  <c r="CG89" i="37"/>
  <c r="CG94" i="37"/>
  <c r="CG93" i="37"/>
  <c r="CG95" i="37"/>
  <c r="CG91" i="37"/>
  <c r="CG96" i="37"/>
  <c r="CG87" i="37"/>
  <c r="CH84" i="37"/>
  <c r="CH83" i="37"/>
  <c r="CH80" i="37"/>
  <c r="CH82" i="37"/>
  <c r="CH78" i="37"/>
  <c r="CG88" i="37"/>
  <c r="CG85" i="37"/>
  <c r="CH81" i="37"/>
  <c r="CH79" i="37"/>
  <c r="CH75" i="37"/>
  <c r="CH74" i="37"/>
  <c r="CH73" i="37"/>
  <c r="CH64" i="37"/>
  <c r="CG86" i="37"/>
  <c r="CH72" i="37"/>
  <c r="CH69" i="37"/>
  <c r="CH66" i="37"/>
  <c r="CH61" i="37"/>
  <c r="CH59" i="37"/>
  <c r="CH77" i="37"/>
  <c r="CH70" i="37"/>
  <c r="CH67" i="37"/>
  <c r="CH57" i="37"/>
  <c r="CH76" i="37"/>
  <c r="CH56" i="37"/>
  <c r="CH71" i="37"/>
  <c r="CH65" i="37"/>
  <c r="CH62" i="37"/>
  <c r="CH58" i="37"/>
  <c r="CH52" i="37"/>
  <c r="CH55" i="37"/>
  <c r="CH51" i="37"/>
  <c r="CH54" i="37"/>
  <c r="CH50" i="37"/>
  <c r="CH48" i="37"/>
  <c r="CH46" i="37"/>
  <c r="CH44" i="37"/>
  <c r="CH42" i="37"/>
  <c r="CH40" i="37"/>
  <c r="CH38" i="37"/>
  <c r="CH36" i="37"/>
  <c r="CH34" i="37"/>
  <c r="CH68" i="37"/>
  <c r="CH63" i="37"/>
  <c r="CH33" i="37"/>
  <c r="CH32" i="37"/>
  <c r="CH53" i="37"/>
  <c r="CH49" i="37"/>
  <c r="CH47" i="37"/>
  <c r="CH35" i="37"/>
  <c r="CH39" i="37"/>
  <c r="CI29" i="37"/>
  <c r="CI28" i="37" s="1"/>
  <c r="CG90" i="37"/>
  <c r="CH45" i="37"/>
  <c r="CH37" i="37"/>
  <c r="CH30" i="37"/>
  <c r="CH43" i="37"/>
  <c r="CH31" i="37"/>
  <c r="CH60" i="37"/>
  <c r="CH41" i="37"/>
  <c r="CH28" i="37"/>
  <c r="CH94" i="37" l="1"/>
  <c r="CH86" i="37"/>
  <c r="CI83" i="37"/>
  <c r="CH90" i="37"/>
  <c r="CH88" i="37"/>
  <c r="CH93" i="37"/>
  <c r="CH96" i="37"/>
  <c r="CH89" i="37"/>
  <c r="CH91" i="37"/>
  <c r="CI84" i="37"/>
  <c r="CI82" i="37"/>
  <c r="CI80" i="37"/>
  <c r="CI74" i="37"/>
  <c r="CI65" i="37"/>
  <c r="CH85" i="37"/>
  <c r="CI75" i="37"/>
  <c r="CH92" i="37"/>
  <c r="CI79" i="37"/>
  <c r="CI76" i="37"/>
  <c r="CI77" i="37"/>
  <c r="CI70" i="37"/>
  <c r="CI71" i="37"/>
  <c r="CI60" i="37"/>
  <c r="CI58" i="37"/>
  <c r="CI56" i="37"/>
  <c r="CI78" i="37"/>
  <c r="CI72" i="37"/>
  <c r="CI59" i="37"/>
  <c r="CH95" i="37"/>
  <c r="CI62" i="37"/>
  <c r="CH87" i="37"/>
  <c r="CI73" i="37"/>
  <c r="CI68" i="37"/>
  <c r="CI63" i="37"/>
  <c r="CI55" i="37"/>
  <c r="CI53" i="37"/>
  <c r="CI51" i="37"/>
  <c r="CI81" i="37"/>
  <c r="CI69" i="37"/>
  <c r="CI54" i="37"/>
  <c r="CI50" i="37"/>
  <c r="CI48" i="37"/>
  <c r="CI46" i="37"/>
  <c r="CI44" i="37"/>
  <c r="CI42" i="37"/>
  <c r="CI40" i="37"/>
  <c r="CI38" i="37"/>
  <c r="CI66" i="37"/>
  <c r="CI49" i="37"/>
  <c r="CI34" i="37"/>
  <c r="CI45" i="37"/>
  <c r="CI47" i="37"/>
  <c r="CI35" i="37"/>
  <c r="CI32" i="37"/>
  <c r="CI57" i="37"/>
  <c r="CI36" i="37"/>
  <c r="CI64" i="37"/>
  <c r="CI67" i="37"/>
  <c r="CI39" i="37"/>
  <c r="CI37" i="37"/>
  <c r="CI30" i="37"/>
  <c r="CI52" i="37"/>
  <c r="CJ29" i="37"/>
  <c r="CJ28" i="37" s="1"/>
  <c r="CI43" i="37"/>
  <c r="CI31" i="37"/>
  <c r="CI61" i="37"/>
  <c r="CI41" i="37"/>
  <c r="CI33" i="37"/>
  <c r="CI94" i="37" l="1"/>
  <c r="CI91" i="37"/>
  <c r="CI96" i="37"/>
  <c r="CI95" i="37"/>
  <c r="CI93" i="37"/>
  <c r="CI92" i="37"/>
  <c r="CI88" i="37"/>
  <c r="CI89" i="37"/>
  <c r="CJ79" i="37"/>
  <c r="CJ81" i="37"/>
  <c r="CJ77" i="37"/>
  <c r="CJ74" i="37"/>
  <c r="CJ72" i="37"/>
  <c r="CJ78" i="37"/>
  <c r="CJ76" i="37"/>
  <c r="CJ71" i="37"/>
  <c r="CJ69" i="37"/>
  <c r="CJ67" i="37"/>
  <c r="CJ65" i="37"/>
  <c r="CJ63" i="37"/>
  <c r="CJ61" i="37"/>
  <c r="CI85" i="37"/>
  <c r="CJ75" i="37"/>
  <c r="CJ66" i="37"/>
  <c r="CJ82" i="37"/>
  <c r="CI86" i="37"/>
  <c r="CJ84" i="37"/>
  <c r="CJ62" i="37"/>
  <c r="CJ56" i="37"/>
  <c r="CI87" i="37"/>
  <c r="CJ73" i="37"/>
  <c r="CJ68" i="37"/>
  <c r="CJ55" i="37"/>
  <c r="CJ53" i="37"/>
  <c r="CJ60" i="37"/>
  <c r="CJ83" i="37"/>
  <c r="CJ80" i="37"/>
  <c r="CJ59" i="37"/>
  <c r="CJ54" i="37"/>
  <c r="CJ51" i="37"/>
  <c r="CJ50" i="37"/>
  <c r="CJ48" i="37"/>
  <c r="CJ46" i="37"/>
  <c r="CJ44" i="37"/>
  <c r="CJ42" i="37"/>
  <c r="CJ40" i="37"/>
  <c r="CJ38" i="37"/>
  <c r="CJ36" i="37"/>
  <c r="CJ34" i="37"/>
  <c r="CJ32" i="37"/>
  <c r="CJ30" i="37"/>
  <c r="CJ64" i="37"/>
  <c r="CJ47" i="37"/>
  <c r="CJ35" i="37"/>
  <c r="CJ57" i="37"/>
  <c r="CJ45" i="37"/>
  <c r="CJ43" i="37"/>
  <c r="CJ31" i="37"/>
  <c r="CJ37" i="37"/>
  <c r="CJ41" i="37"/>
  <c r="CJ39" i="37"/>
  <c r="CJ49" i="37"/>
  <c r="CI90" i="37"/>
  <c r="CJ58" i="37"/>
  <c r="CJ33" i="37"/>
  <c r="CJ52" i="37"/>
  <c r="CJ70" i="37"/>
  <c r="CK29" i="37"/>
  <c r="CK28" i="37" s="1"/>
  <c r="CJ91" i="37" l="1"/>
  <c r="CJ96" i="37"/>
  <c r="CJ88" i="37"/>
  <c r="CJ93" i="37"/>
  <c r="CJ92" i="37"/>
  <c r="CJ89" i="37"/>
  <c r="CK84" i="37"/>
  <c r="CK80" i="37"/>
  <c r="CK78" i="37"/>
  <c r="CK76" i="37"/>
  <c r="CJ94" i="37"/>
  <c r="CJ87" i="37"/>
  <c r="CJ90" i="37"/>
  <c r="CK82" i="37"/>
  <c r="CJ85" i="37"/>
  <c r="CK77" i="37"/>
  <c r="CK75" i="37"/>
  <c r="CK73" i="37"/>
  <c r="CK70" i="37"/>
  <c r="CK68" i="37"/>
  <c r="CK66" i="37"/>
  <c r="CK64" i="37"/>
  <c r="CK83" i="37"/>
  <c r="CJ86" i="37"/>
  <c r="CK79" i="37"/>
  <c r="CK67" i="37"/>
  <c r="CK71" i="37"/>
  <c r="CK60" i="37"/>
  <c r="CK58" i="37"/>
  <c r="CJ95" i="37"/>
  <c r="CK63" i="37"/>
  <c r="CK55" i="37"/>
  <c r="CK53" i="37"/>
  <c r="CK65" i="37"/>
  <c r="CK74" i="37"/>
  <c r="CK69" i="37"/>
  <c r="CK62" i="37"/>
  <c r="CK56" i="37"/>
  <c r="CK72" i="37"/>
  <c r="CK57" i="37"/>
  <c r="CK45" i="37"/>
  <c r="CK40" i="37"/>
  <c r="CK32" i="37"/>
  <c r="CK43" i="37"/>
  <c r="CK38" i="37"/>
  <c r="CK36" i="37"/>
  <c r="CK31" i="37"/>
  <c r="CK41" i="37"/>
  <c r="CK59" i="37"/>
  <c r="CK47" i="37"/>
  <c r="CK30" i="37"/>
  <c r="CK42" i="37"/>
  <c r="CK34" i="37"/>
  <c r="CK54" i="37"/>
  <c r="CK51" i="37"/>
  <c r="CK46" i="37"/>
  <c r="CK52" i="37"/>
  <c r="CK50" i="37"/>
  <c r="CK39" i="37"/>
  <c r="CL29" i="37"/>
  <c r="CK49" i="37"/>
  <c r="CK48" i="37"/>
  <c r="CK37" i="37"/>
  <c r="CK81" i="37"/>
  <c r="CK61" i="37"/>
  <c r="CK44" i="37"/>
  <c r="CK33" i="37"/>
  <c r="CK35" i="37"/>
  <c r="CK96" i="37" l="1"/>
  <c r="CK93" i="37"/>
  <c r="CK90" i="37"/>
  <c r="CK88" i="37"/>
  <c r="CK85" i="37"/>
  <c r="CK89" i="37"/>
  <c r="CL83" i="37"/>
  <c r="CK95" i="37"/>
  <c r="CL82" i="37"/>
  <c r="CL78" i="37"/>
  <c r="CK87" i="37"/>
  <c r="CL84" i="37"/>
  <c r="CL76" i="37"/>
  <c r="CL81" i="37"/>
  <c r="CL79" i="37"/>
  <c r="CK92" i="37"/>
  <c r="CK86" i="37"/>
  <c r="CL67" i="37"/>
  <c r="CL68" i="37"/>
  <c r="CL60" i="37"/>
  <c r="CL58" i="37"/>
  <c r="CK94" i="37"/>
  <c r="CL74" i="37"/>
  <c r="CL73" i="37"/>
  <c r="CL62" i="37"/>
  <c r="CK91" i="37"/>
  <c r="CL65" i="37"/>
  <c r="CL71" i="37"/>
  <c r="CL63" i="37"/>
  <c r="CL64" i="37"/>
  <c r="CL55" i="37"/>
  <c r="CL66" i="37"/>
  <c r="CL56" i="37"/>
  <c r="CL49" i="37"/>
  <c r="CL47" i="37"/>
  <c r="CL45" i="37"/>
  <c r="CL43" i="37"/>
  <c r="CL41" i="37"/>
  <c r="CL39" i="37"/>
  <c r="CL37" i="37"/>
  <c r="CL35" i="37"/>
  <c r="CL33" i="37"/>
  <c r="CL77" i="37"/>
  <c r="CL72" i="37"/>
  <c r="CL57" i="37"/>
  <c r="CL53" i="37"/>
  <c r="CL38" i="37"/>
  <c r="CL36" i="37"/>
  <c r="CL31" i="37"/>
  <c r="CL70" i="37"/>
  <c r="CL51" i="37"/>
  <c r="CL30" i="37"/>
  <c r="CL50" i="37"/>
  <c r="CM29" i="37"/>
  <c r="CL54" i="37"/>
  <c r="CL46" i="37"/>
  <c r="CL34" i="37"/>
  <c r="CL32" i="37"/>
  <c r="CL40" i="37"/>
  <c r="CL69" i="37"/>
  <c r="CL52" i="37"/>
  <c r="CL61" i="37"/>
  <c r="CL44" i="37"/>
  <c r="CL80" i="37"/>
  <c r="CL75" i="37"/>
  <c r="CL48" i="37"/>
  <c r="CL42" i="37"/>
  <c r="CL59" i="37"/>
  <c r="CL28" i="37"/>
  <c r="CL93" i="37" l="1"/>
  <c r="CL90" i="37"/>
  <c r="CL95" i="37"/>
  <c r="CL94" i="37"/>
  <c r="CL92" i="37"/>
  <c r="CM81" i="37"/>
  <c r="CL96" i="37"/>
  <c r="CL86" i="37"/>
  <c r="CL85" i="37"/>
  <c r="CL88" i="37"/>
  <c r="CM83" i="37"/>
  <c r="CM80" i="37"/>
  <c r="CM74" i="37"/>
  <c r="CM72" i="37"/>
  <c r="CM82" i="37"/>
  <c r="CM79" i="37"/>
  <c r="CM68" i="37"/>
  <c r="CM84" i="37"/>
  <c r="CM76" i="37"/>
  <c r="CM69" i="37"/>
  <c r="CL89" i="37"/>
  <c r="CM77" i="37"/>
  <c r="CM63" i="37"/>
  <c r="CL91" i="37"/>
  <c r="CL87" i="37"/>
  <c r="CM64" i="37"/>
  <c r="CM59" i="37"/>
  <c r="CM57" i="37"/>
  <c r="CM55" i="37"/>
  <c r="CM73" i="37"/>
  <c r="CM71" i="37"/>
  <c r="CM60" i="37"/>
  <c r="CM58" i="37"/>
  <c r="CM54" i="37"/>
  <c r="CM52" i="37"/>
  <c r="CM66" i="37"/>
  <c r="CM62" i="37"/>
  <c r="CN29" i="37"/>
  <c r="CN28" i="37" s="1"/>
  <c r="CM78" i="37"/>
  <c r="CM56" i="37"/>
  <c r="CM49" i="37"/>
  <c r="CM47" i="37"/>
  <c r="CM45" i="37"/>
  <c r="CM43" i="37"/>
  <c r="CM41" i="37"/>
  <c r="CM39" i="37"/>
  <c r="CM37" i="37"/>
  <c r="CM75" i="37"/>
  <c r="CM53" i="37"/>
  <c r="CM65" i="37"/>
  <c r="CM48" i="37"/>
  <c r="CM70" i="37"/>
  <c r="CM51" i="37"/>
  <c r="CM50" i="37"/>
  <c r="CM30" i="37"/>
  <c r="CM35" i="37"/>
  <c r="CM40" i="37"/>
  <c r="CM36" i="37"/>
  <c r="CM61" i="37"/>
  <c r="CM44" i="37"/>
  <c r="CM33" i="37"/>
  <c r="CM31" i="37"/>
  <c r="CM32" i="37"/>
  <c r="CM67" i="37"/>
  <c r="CM46" i="37"/>
  <c r="CM38" i="37"/>
  <c r="CM42" i="37"/>
  <c r="CM34" i="37"/>
  <c r="CM28" i="37"/>
  <c r="CM90" i="37" l="1"/>
  <c r="CM95" i="37"/>
  <c r="CM92" i="37"/>
  <c r="CM87" i="37"/>
  <c r="CM96" i="37"/>
  <c r="CN84" i="37"/>
  <c r="CM94" i="37"/>
  <c r="CM91" i="37"/>
  <c r="CN81" i="37"/>
  <c r="CM86" i="37"/>
  <c r="CM85" i="37"/>
  <c r="CN80" i="37"/>
  <c r="CN75" i="37"/>
  <c r="CN73" i="37"/>
  <c r="CN82" i="37"/>
  <c r="CN70" i="37"/>
  <c r="CN68" i="37"/>
  <c r="CN66" i="37"/>
  <c r="CN64" i="37"/>
  <c r="CN62" i="37"/>
  <c r="CN83" i="37"/>
  <c r="CM89" i="37"/>
  <c r="CM93" i="37"/>
  <c r="CN76" i="37"/>
  <c r="CN69" i="37"/>
  <c r="CN77" i="37"/>
  <c r="CN78" i="37"/>
  <c r="CN74" i="37"/>
  <c r="CN63" i="37"/>
  <c r="CN79" i="37"/>
  <c r="CN67" i="37"/>
  <c r="CN65" i="37"/>
  <c r="CN61" i="37"/>
  <c r="CN60" i="37"/>
  <c r="CN58" i="37"/>
  <c r="CN54" i="37"/>
  <c r="CN52" i="37"/>
  <c r="CM88" i="37"/>
  <c r="CN56" i="37"/>
  <c r="CN49" i="37"/>
  <c r="CN47" i="37"/>
  <c r="CN45" i="37"/>
  <c r="CN43" i="37"/>
  <c r="CN41" i="37"/>
  <c r="CN39" i="37"/>
  <c r="CN37" i="37"/>
  <c r="CN35" i="37"/>
  <c r="CN33" i="37"/>
  <c r="CN31" i="37"/>
  <c r="CN72" i="37"/>
  <c r="CN57" i="37"/>
  <c r="CN53" i="37"/>
  <c r="CN71" i="37"/>
  <c r="CN51" i="37"/>
  <c r="CN50" i="37"/>
  <c r="CN30" i="37"/>
  <c r="CN46" i="37"/>
  <c r="CN48" i="37"/>
  <c r="CO29" i="37"/>
  <c r="CO28" i="37" s="1"/>
  <c r="CN44" i="37"/>
  <c r="CN55" i="37"/>
  <c r="CN42" i="37"/>
  <c r="CN34" i="37"/>
  <c r="CN40" i="37"/>
  <c r="CN59" i="37"/>
  <c r="CN38" i="37"/>
  <c r="CN32" i="37"/>
  <c r="CN36" i="37"/>
  <c r="CN95" i="37" l="1"/>
  <c r="CN92" i="37"/>
  <c r="CN96" i="37"/>
  <c r="CN91" i="37"/>
  <c r="CN94" i="37"/>
  <c r="CN89" i="37"/>
  <c r="CN88" i="37"/>
  <c r="CN87" i="37"/>
  <c r="CN86" i="37"/>
  <c r="CO82" i="37"/>
  <c r="CO79" i="37"/>
  <c r="CO77" i="37"/>
  <c r="CN90" i="37"/>
  <c r="CO84" i="37"/>
  <c r="CO73" i="37"/>
  <c r="CO71" i="37"/>
  <c r="CO69" i="37"/>
  <c r="CO67" i="37"/>
  <c r="CO65" i="37"/>
  <c r="CN93" i="37"/>
  <c r="CO78" i="37"/>
  <c r="CO70" i="37"/>
  <c r="CO81" i="37"/>
  <c r="CO72" i="37"/>
  <c r="CO62" i="37"/>
  <c r="CO59" i="37"/>
  <c r="CO57" i="37"/>
  <c r="CO80" i="37"/>
  <c r="CO76" i="37"/>
  <c r="CO68" i="37"/>
  <c r="CO63" i="37"/>
  <c r="CO58" i="37"/>
  <c r="CO54" i="37"/>
  <c r="CO64" i="37"/>
  <c r="CN85" i="37"/>
  <c r="CO53" i="37"/>
  <c r="CO75" i="37"/>
  <c r="CO61" i="37"/>
  <c r="CO52" i="37"/>
  <c r="CO51" i="37"/>
  <c r="CO50" i="37"/>
  <c r="CO48" i="37"/>
  <c r="CO43" i="37"/>
  <c r="CP29" i="37"/>
  <c r="CP28" i="37" s="1"/>
  <c r="CO44" i="37"/>
  <c r="CO39" i="37"/>
  <c r="CO46" i="37"/>
  <c r="CO41" i="37"/>
  <c r="CO74" i="37"/>
  <c r="CO38" i="37"/>
  <c r="CO83" i="37"/>
  <c r="CO55" i="37"/>
  <c r="CO45" i="37"/>
  <c r="CO42" i="37"/>
  <c r="CO34" i="37"/>
  <c r="CO33" i="37"/>
  <c r="CO31" i="37"/>
  <c r="CO32" i="37"/>
  <c r="CO66" i="37"/>
  <c r="CO60" i="37"/>
  <c r="CO56" i="37"/>
  <c r="CO40" i="37"/>
  <c r="CO36" i="37"/>
  <c r="CO35" i="37"/>
  <c r="CO49" i="37"/>
  <c r="CO37" i="37"/>
  <c r="CO47" i="37"/>
  <c r="CO30" i="37"/>
  <c r="CO92" i="37" l="1"/>
  <c r="CO89" i="37"/>
  <c r="CO94" i="37"/>
  <c r="CO93" i="37"/>
  <c r="CO96" i="37"/>
  <c r="CO85" i="37"/>
  <c r="CO91" i="37"/>
  <c r="CO87" i="37"/>
  <c r="CP84" i="37"/>
  <c r="CP83" i="37"/>
  <c r="CO95" i="37"/>
  <c r="CP79" i="37"/>
  <c r="CP72" i="37"/>
  <c r="CO86" i="37"/>
  <c r="CP78" i="37"/>
  <c r="CP77" i="37"/>
  <c r="CP70" i="37"/>
  <c r="CP81" i="37"/>
  <c r="CP71" i="37"/>
  <c r="CO88" i="37"/>
  <c r="CP82" i="37"/>
  <c r="CP62" i="37"/>
  <c r="CP59" i="37"/>
  <c r="CP73" i="37"/>
  <c r="CP64" i="37"/>
  <c r="CP61" i="37"/>
  <c r="CO90" i="37"/>
  <c r="CP76" i="37"/>
  <c r="CP68" i="37"/>
  <c r="CP66" i="37"/>
  <c r="CP74" i="37"/>
  <c r="CP69" i="37"/>
  <c r="CP57" i="37"/>
  <c r="CP56" i="37"/>
  <c r="CP53" i="37"/>
  <c r="CP75" i="37"/>
  <c r="CP52" i="37"/>
  <c r="CP51" i="37"/>
  <c r="CP50" i="37"/>
  <c r="CP48" i="37"/>
  <c r="CP46" i="37"/>
  <c r="CP44" i="37"/>
  <c r="CP42" i="37"/>
  <c r="CP40" i="37"/>
  <c r="CP38" i="37"/>
  <c r="CP36" i="37"/>
  <c r="CP34" i="37"/>
  <c r="CP63" i="37"/>
  <c r="CP41" i="37"/>
  <c r="CP33" i="37"/>
  <c r="CP65" i="37"/>
  <c r="CP39" i="37"/>
  <c r="CP80" i="37"/>
  <c r="CP37" i="37"/>
  <c r="CP55" i="37"/>
  <c r="CP45" i="37"/>
  <c r="CP31" i="37"/>
  <c r="CQ29" i="37"/>
  <c r="CQ28" i="37" s="1"/>
  <c r="CP47" i="37"/>
  <c r="CP58" i="37"/>
  <c r="CP32" i="37"/>
  <c r="CP43" i="37"/>
  <c r="CP35" i="37"/>
  <c r="CP49" i="37"/>
  <c r="CP30" i="37"/>
  <c r="CP54" i="37"/>
  <c r="CP60" i="37"/>
  <c r="CP67" i="37"/>
  <c r="CP89" i="37" l="1"/>
  <c r="CP94" i="37"/>
  <c r="CP96" i="37"/>
  <c r="CP86" i="37"/>
  <c r="CQ83" i="37"/>
  <c r="CP95" i="37"/>
  <c r="CP93" i="37"/>
  <c r="CP85" i="37"/>
  <c r="CQ84" i="37"/>
  <c r="CP91" i="37"/>
  <c r="CP92" i="37"/>
  <c r="CP88" i="37"/>
  <c r="CQ80" i="37"/>
  <c r="CQ78" i="37"/>
  <c r="CQ77" i="37"/>
  <c r="CQ76" i="37"/>
  <c r="CQ75" i="37"/>
  <c r="CP90" i="37"/>
  <c r="CP87" i="37"/>
  <c r="CQ81" i="37"/>
  <c r="CQ71" i="37"/>
  <c r="CQ72" i="37"/>
  <c r="CQ74" i="37"/>
  <c r="CQ73" i="37"/>
  <c r="CQ79" i="37"/>
  <c r="CQ64" i="37"/>
  <c r="CQ61" i="37"/>
  <c r="CQ67" i="37"/>
  <c r="CQ65" i="37"/>
  <c r="CQ69" i="37"/>
  <c r="CQ60" i="37"/>
  <c r="CQ58" i="37"/>
  <c r="CQ56" i="37"/>
  <c r="CQ82" i="37"/>
  <c r="CQ57" i="37"/>
  <c r="CQ53" i="37"/>
  <c r="CQ51" i="37"/>
  <c r="CQ52" i="37"/>
  <c r="CQ50" i="37"/>
  <c r="CQ48" i="37"/>
  <c r="CQ46" i="37"/>
  <c r="CQ44" i="37"/>
  <c r="CQ42" i="37"/>
  <c r="CQ40" i="37"/>
  <c r="CQ38" i="37"/>
  <c r="CQ68" i="37"/>
  <c r="CQ63" i="37"/>
  <c r="CQ70" i="37"/>
  <c r="CQ39" i="37"/>
  <c r="CQ34" i="37"/>
  <c r="CQ37" i="37"/>
  <c r="CQ33" i="37"/>
  <c r="CQ32" i="37"/>
  <c r="CQ59" i="37"/>
  <c r="CQ47" i="37"/>
  <c r="CQ30" i="37"/>
  <c r="CQ54" i="37"/>
  <c r="CQ55" i="37"/>
  <c r="CQ45" i="37"/>
  <c r="CQ43" i="37"/>
  <c r="CQ35" i="37"/>
  <c r="CQ62" i="37"/>
  <c r="CQ36" i="37"/>
  <c r="CQ66" i="37"/>
  <c r="CQ49" i="37"/>
  <c r="CQ41" i="37"/>
  <c r="CR29" i="37"/>
  <c r="CR28" i="37" s="1"/>
  <c r="CQ31" i="37"/>
  <c r="CQ94" i="37" l="1"/>
  <c r="CQ91" i="37"/>
  <c r="CQ96" i="37"/>
  <c r="CQ95" i="37"/>
  <c r="CQ92" i="37"/>
  <c r="CQ90" i="37"/>
  <c r="CQ93" i="37"/>
  <c r="CQ86" i="37"/>
  <c r="CQ88" i="37"/>
  <c r="CR83" i="37"/>
  <c r="CQ87" i="37"/>
  <c r="CR82" i="37"/>
  <c r="CR74" i="37"/>
  <c r="CR72" i="37"/>
  <c r="CR71" i="37"/>
  <c r="CR69" i="37"/>
  <c r="CR67" i="37"/>
  <c r="CR65" i="37"/>
  <c r="CR63" i="37"/>
  <c r="CR61" i="37"/>
  <c r="CQ89" i="37"/>
  <c r="CR78" i="37"/>
  <c r="CR81" i="37"/>
  <c r="CR79" i="37"/>
  <c r="CR84" i="37"/>
  <c r="CR77" i="37"/>
  <c r="CR64" i="37"/>
  <c r="CR73" i="37"/>
  <c r="CR80" i="37"/>
  <c r="CR68" i="37"/>
  <c r="CR66" i="37"/>
  <c r="CR75" i="37"/>
  <c r="CR70" i="37"/>
  <c r="CR57" i="37"/>
  <c r="CQ85" i="37"/>
  <c r="CR56" i="37"/>
  <c r="CR53" i="37"/>
  <c r="CR59" i="37"/>
  <c r="CR55" i="37"/>
  <c r="CR52" i="37"/>
  <c r="CR50" i="37"/>
  <c r="CR48" i="37"/>
  <c r="CR46" i="37"/>
  <c r="CR44" i="37"/>
  <c r="CR42" i="37"/>
  <c r="CR40" i="37"/>
  <c r="CR38" i="37"/>
  <c r="CR36" i="37"/>
  <c r="CR34" i="37"/>
  <c r="CR32" i="37"/>
  <c r="CR30" i="37"/>
  <c r="CR51" i="37"/>
  <c r="CR60" i="37"/>
  <c r="CR54" i="37"/>
  <c r="CR37" i="37"/>
  <c r="CR33" i="37"/>
  <c r="CR49" i="37"/>
  <c r="CR35" i="37"/>
  <c r="CR76" i="37"/>
  <c r="CR58" i="37"/>
  <c r="CR43" i="37"/>
  <c r="CR39" i="37"/>
  <c r="CR62" i="37"/>
  <c r="CR41" i="37"/>
  <c r="CS29" i="37"/>
  <c r="CS28" i="37" s="1"/>
  <c r="CR47" i="37"/>
  <c r="CR45" i="37"/>
  <c r="CR31" i="37"/>
  <c r="CR91" i="37" l="1"/>
  <c r="CR96" i="37"/>
  <c r="CR88" i="37"/>
  <c r="CR93" i="37"/>
  <c r="CR92" i="37"/>
  <c r="CS84" i="37"/>
  <c r="CS80" i="37"/>
  <c r="CS78" i="37"/>
  <c r="CS76" i="37"/>
  <c r="CR87" i="37"/>
  <c r="CR90" i="37"/>
  <c r="CR85" i="37"/>
  <c r="CS79" i="37"/>
  <c r="CS81" i="37"/>
  <c r="CS77" i="37"/>
  <c r="CS74" i="37"/>
  <c r="CS70" i="37"/>
  <c r="CS68" i="37"/>
  <c r="CS66" i="37"/>
  <c r="CS64" i="37"/>
  <c r="CR86" i="37"/>
  <c r="CS73" i="37"/>
  <c r="CS72" i="37"/>
  <c r="CR89" i="37"/>
  <c r="CS83" i="37"/>
  <c r="CS75" i="37"/>
  <c r="CR94" i="37"/>
  <c r="CS67" i="37"/>
  <c r="CS65" i="37"/>
  <c r="CS60" i="37"/>
  <c r="CS58" i="37"/>
  <c r="CR95" i="37"/>
  <c r="CS82" i="37"/>
  <c r="CS56" i="37"/>
  <c r="CS53" i="37"/>
  <c r="CS69" i="37"/>
  <c r="CS59" i="37"/>
  <c r="CS55" i="37"/>
  <c r="CS61" i="37"/>
  <c r="CS51" i="37"/>
  <c r="CS63" i="37"/>
  <c r="CS57" i="37"/>
  <c r="CS71" i="37"/>
  <c r="CS54" i="37"/>
  <c r="CS46" i="37"/>
  <c r="CS47" i="37"/>
  <c r="CS42" i="37"/>
  <c r="CS31" i="37"/>
  <c r="CS49" i="37"/>
  <c r="CS44" i="37"/>
  <c r="CS35" i="37"/>
  <c r="CS34" i="37"/>
  <c r="CS32" i="37"/>
  <c r="CS62" i="37"/>
  <c r="CS52" i="37"/>
  <c r="CS33" i="37"/>
  <c r="CS50" i="37"/>
  <c r="CS41" i="37"/>
  <c r="CS36" i="37"/>
  <c r="CT29" i="37"/>
  <c r="CT28" i="37" s="1"/>
  <c r="CS40" i="37"/>
  <c r="CS38" i="37"/>
  <c r="CS30" i="37"/>
  <c r="CS37" i="37"/>
  <c r="CS39" i="37"/>
  <c r="CS48" i="37"/>
  <c r="CS45" i="37"/>
  <c r="CS43" i="37"/>
  <c r="CS96" i="37" l="1"/>
  <c r="CS93" i="37"/>
  <c r="CS95" i="37"/>
  <c r="CS85" i="37"/>
  <c r="CS87" i="37"/>
  <c r="CS92" i="37"/>
  <c r="CS89" i="37"/>
  <c r="CS86" i="37"/>
  <c r="CV82" i="37"/>
  <c r="CT83" i="37"/>
  <c r="CT75" i="37"/>
  <c r="CS90" i="37"/>
  <c r="CT81" i="37"/>
  <c r="CT79" i="37"/>
  <c r="CT73" i="37"/>
  <c r="CS94" i="37"/>
  <c r="CV84" i="37"/>
  <c r="CT82" i="37"/>
  <c r="CT80" i="37"/>
  <c r="CT78" i="37"/>
  <c r="CT65" i="37"/>
  <c r="CS88" i="37"/>
  <c r="CV83" i="37"/>
  <c r="CT74" i="37"/>
  <c r="CV80" i="37"/>
  <c r="CT68" i="37"/>
  <c r="CT66" i="37"/>
  <c r="CT60" i="37"/>
  <c r="CT58" i="37"/>
  <c r="CT76" i="37"/>
  <c r="CT69" i="37"/>
  <c r="CT72" i="37"/>
  <c r="CT71" i="37"/>
  <c r="CT63" i="37"/>
  <c r="CT64" i="37"/>
  <c r="CT59" i="37"/>
  <c r="CT55" i="37"/>
  <c r="CT61" i="37"/>
  <c r="CT62" i="37"/>
  <c r="CT84" i="37"/>
  <c r="CT57" i="37"/>
  <c r="CS91" i="37"/>
  <c r="CT54" i="37"/>
  <c r="CT77" i="37"/>
  <c r="CT49" i="37"/>
  <c r="CT47" i="37"/>
  <c r="CT45" i="37"/>
  <c r="CT43" i="37"/>
  <c r="CT41" i="37"/>
  <c r="CT39" i="37"/>
  <c r="CT37" i="37"/>
  <c r="CT35" i="37"/>
  <c r="CT33" i="37"/>
  <c r="CT70" i="37"/>
  <c r="CT67" i="37"/>
  <c r="CT44" i="37"/>
  <c r="CT34" i="37"/>
  <c r="CT32" i="37"/>
  <c r="CT52" i="37"/>
  <c r="CT40" i="37"/>
  <c r="CT36" i="37"/>
  <c r="CT42" i="37"/>
  <c r="CT31" i="37"/>
  <c r="CT53" i="37"/>
  <c r="CT51" i="37"/>
  <c r="CT50" i="37"/>
  <c r="CU29" i="37"/>
  <c r="CU28" i="37" s="1"/>
  <c r="CV81" i="37"/>
  <c r="CT56" i="37"/>
  <c r="CT38" i="37"/>
  <c r="CT30" i="37"/>
  <c r="CT48" i="37"/>
  <c r="CT46" i="37"/>
  <c r="CT93" i="37" l="1"/>
  <c r="CT90" i="37"/>
  <c r="CT95" i="37"/>
  <c r="CT94" i="37"/>
  <c r="CT89" i="37"/>
  <c r="CT88" i="37"/>
  <c r="CT91" i="37"/>
  <c r="CW82" i="37"/>
  <c r="CU81" i="37"/>
  <c r="CT86" i="37"/>
  <c r="CU83" i="37"/>
  <c r="CW84" i="37"/>
  <c r="CU82" i="37"/>
  <c r="CW81" i="37"/>
  <c r="CU78" i="37"/>
  <c r="CW80" i="37"/>
  <c r="CU76" i="37"/>
  <c r="CU77" i="37"/>
  <c r="CT92" i="37"/>
  <c r="CT87" i="37"/>
  <c r="CU80" i="37"/>
  <c r="CW83" i="37"/>
  <c r="CU74" i="37"/>
  <c r="CU66" i="37"/>
  <c r="CU75" i="37"/>
  <c r="CU67" i="37"/>
  <c r="CU73" i="37"/>
  <c r="CU69" i="37"/>
  <c r="CU70" i="37"/>
  <c r="CU62" i="37"/>
  <c r="CU59" i="37"/>
  <c r="CU57" i="37"/>
  <c r="CU55" i="37"/>
  <c r="CT85" i="37"/>
  <c r="CU61" i="37"/>
  <c r="CU79" i="37"/>
  <c r="CU84" i="37"/>
  <c r="CU54" i="37"/>
  <c r="CU52" i="37"/>
  <c r="CU63" i="37"/>
  <c r="CU72" i="37"/>
  <c r="CU71" i="37"/>
  <c r="CU68" i="37"/>
  <c r="CU49" i="37"/>
  <c r="CU47" i="37"/>
  <c r="CU45" i="37"/>
  <c r="CU43" i="37"/>
  <c r="CU41" i="37"/>
  <c r="CU39" i="37"/>
  <c r="CU37" i="37"/>
  <c r="CU64" i="37"/>
  <c r="CU60" i="37"/>
  <c r="CU65" i="37"/>
  <c r="CU42" i="37"/>
  <c r="CU35" i="37"/>
  <c r="CU31" i="37"/>
  <c r="CU38" i="37"/>
  <c r="CU40" i="37"/>
  <c r="CU36" i="37"/>
  <c r="CU30" i="37"/>
  <c r="CU34" i="37"/>
  <c r="CU32" i="37"/>
  <c r="CU58" i="37"/>
  <c r="CU56" i="37"/>
  <c r="CU46" i="37"/>
  <c r="CT96" i="37"/>
  <c r="CU51" i="37"/>
  <c r="CU50" i="37"/>
  <c r="CU48" i="37"/>
  <c r="CU53" i="37"/>
  <c r="CU44" i="37"/>
  <c r="CU33" i="3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A0654-634D-4496-8C8E-E3ADA2F5A820}" keepAlive="1" name="ModelConnection_ProposalToGnatt  2" description="Data Model" type="5" refreshedVersion="8" minRefreshableVersion="5" saveData="1">
    <dbPr connection="Data Model Connection" command="Recap" commandType="3"/>
    <extLst>
      <ext xmlns:x15="http://schemas.microsoft.com/office/spreadsheetml/2010/11/main" uri="{DE250136-89BD-433C-8126-D09CA5730AF9}">
        <x15:connection id="" model="1"/>
      </ext>
    </extLst>
  </connection>
  <connection id="2" xr16:uid="{9CE3BD07-4204-4A89-B980-781728C03F60}" keepAlive="1" name="Query - AddRecapItems" description="Connection to the 'AddRecapItems' query in the workbook." type="5" refreshedVersion="8" saveData="1">
    <dbPr connection="Provider=Microsoft.Mashup.OleDb.1;Data Source=$Workbook$;Location=AddRecapItems;Extended Properties=&quot;&quot;" command="SELECT * FROM [AddRecapItems]"/>
  </connection>
  <connection id="3" xr16:uid="{16F7B74B-0DBB-4BF1-A7DE-5698B13845F2}" keepAlive="1" name="Query - FromProposal" description="Connection to the 'FromProposal' query in the workbook." type="5" refreshedVersion="8" saveData="1">
    <dbPr connection="Provider=Microsoft.Mashup.OleDb.1;Data Source=$Workbook$;Location=FromProposal;Extended Properties=&quot;&quot;" command="SELECT * FROM [FromProposal]"/>
  </connection>
  <connection id="4" xr16:uid="{8DE257EE-DAEB-4596-BC1E-28526168BD2E}" keepAlive="1" name="Query - Proposal" description="Connection to the 'Proposal' query in the workbook." type="5" refreshedVersion="7" saveData="1">
    <dbPr connection="Provider=Microsoft.Mashup.OleDb.1;Data Source=$Workbook$;Location=Proposal;Extended Properties=&quot;&quot;" command="SELECT * FROM [Proposal]"/>
  </connection>
  <connection id="5" xr16:uid="{99B8A5AE-B634-4F62-9A3D-26C4E9127160}" keepAlive="1" name="Query - ProposalToGnatt" description="Connection to the 'ProposalToGnatt' query in the workbook." type="5" refreshedVersion="8" saveData="1">
    <dbPr connection="Provider=Microsoft.Mashup.OleDb.1;Data Source=$Workbook$;Location=ProposalToGnatt;Extended Properties=&quot;&quot;" command="SELECT * FROM [ProposalToGnatt]"/>
  </connection>
  <connection id="6" xr16:uid="{FC3CC159-A41D-4D47-845A-02051125B9BD}" name="Query - Recap" description="Connection to the 'Recap' query in the workbook." type="100" refreshedVersion="8" minRefreshableVersion="5" saveData="1">
    <extLst>
      <ext xmlns:x15="http://schemas.microsoft.com/office/spreadsheetml/2010/11/main" uri="{DE250136-89BD-433C-8126-D09CA5730AF9}">
        <x15:connection id="8f48fbee-059d-4cfe-afbc-2c3538e6ad8c"/>
      </ext>
    </extLst>
  </connection>
  <connection id="7" xr16:uid="{EBD6D1CA-4DB2-439C-B567-C7BEB25F0F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<sst xmlns="http://schemas.openxmlformats.org/spreadsheetml/2006/main" count="1757" uniqueCount="806">
  <si>
    <t>Flip, Hold or Wholetale:</t>
  </si>
  <si>
    <t>hold</t>
  </si>
  <si>
    <t>Buy</t>
  </si>
  <si>
    <t>Your Home LLC</t>
  </si>
  <si>
    <t>115 Rosebrooks Dr, Cary, NC 27513</t>
  </si>
  <si>
    <t>Monthly Cash Flow</t>
  </si>
  <si>
    <t>Hearing Date:</t>
  </si>
  <si>
    <t>Use Template Estimate</t>
  </si>
  <si>
    <t>Yes</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</si>
  <si>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</si>
  <si>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</si>
  <si>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</si>
  <si>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</si>
  <si>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</si>
  <si>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</si>
  <si>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</si>
  <si>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</si>
  <si>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</si>
  <si>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</si>
  <si>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</si>
  <si>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</si>
  <si>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</si>
  <si>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</si>
  <si>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</si>
  <si>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</si>
  <si>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</si>
  <si>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</si>
  <si>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</si>
  <si>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</si>
  <si>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Liens - IRS &amp; HOA</t>
  </si>
  <si>
    <t>Partners Share %</t>
  </si>
  <si>
    <t>or Seller Payout:</t>
  </si>
  <si>
    <t>Yellow cells can be edited</t>
  </si>
  <si>
    <t>HOA Fees(Catch Up)</t>
  </si>
  <si>
    <t>Months Carried</t>
  </si>
  <si>
    <t>Do not edit Green cells. They are highlighted only to show profit</t>
  </si>
  <si>
    <t>Mortgage Payment:</t>
  </si>
  <si>
    <t>Property Insurance</t>
  </si>
  <si>
    <t>Property Tax:</t>
  </si>
  <si>
    <t>HOA Fees (monthly)</t>
  </si>
  <si>
    <t>Electric</t>
  </si>
  <si>
    <t>water</t>
  </si>
  <si>
    <t>Carrying Cost</t>
  </si>
  <si>
    <t>Purchase  Cost</t>
  </si>
  <si>
    <t>Private Lender  Rate:</t>
  </si>
  <si>
    <t>yes</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</si>
  <si>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</si>
  <si>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</si>
  <si>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</si>
  <si>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</si>
  <si>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</si>
  <si>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</si>
  <si>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</si>
  <si>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</si>
  <si>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</si>
  <si>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</si>
  <si>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</si>
  <si>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</si>
  <si>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</si>
  <si>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</si>
  <si>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</si>
  <si>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</si>
  <si>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</si>
  <si>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</si>
  <si>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</si>
  <si>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</si>
  <si>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</si>
  <si>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</si>
  <si>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</si>
  <si>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</si>
  <si>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</si>
  <si>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</si>
  <si>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</si>
  <si>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</si>
  <si>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</si>
  <si>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</si>
  <si>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</si>
  <si>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</si>
  <si>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Projected End Date</t>
  </si>
  <si>
    <t>Months</t>
  </si>
  <si>
    <t>Seller Doc Prep</t>
  </si>
  <si>
    <t>Days Invested</t>
  </si>
  <si>
    <t>Start Date</t>
  </si>
  <si>
    <t>End Date</t>
  </si>
  <si>
    <t>Wire Fee</t>
  </si>
  <si>
    <t>Deed Package:</t>
  </si>
  <si>
    <t>Indemnety:</t>
  </si>
  <si>
    <t>Ttitle Search:</t>
  </si>
  <si>
    <t>Cancelation Fee:</t>
  </si>
  <si>
    <t>Overnight Express Fees:</t>
  </si>
  <si>
    <t>Title Insurance:</t>
  </si>
  <si>
    <t>Affadavits:</t>
  </si>
  <si>
    <t>Notice to Creditors Ad</t>
  </si>
  <si>
    <t>Recording Fee Deed:</t>
  </si>
  <si>
    <t>Erecording Fee</t>
  </si>
  <si>
    <t>Excise Tax</t>
  </si>
  <si>
    <t xml:space="preserve">LLC Manager Fee </t>
  </si>
  <si>
    <t>This value is carried up to cell C36,                        Labeled Buying Closing Cost</t>
  </si>
  <si>
    <t>Selling Closing Cost</t>
  </si>
  <si>
    <t>Seller concesson:</t>
  </si>
  <si>
    <t>Home Warrenty:</t>
  </si>
  <si>
    <t>Transfer Taxes - Wake County</t>
  </si>
  <si>
    <t>Revenue Stamps</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</si>
  <si>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</si>
  <si>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</si>
  <si>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</si>
  <si>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</si>
  <si>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</si>
  <si>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</si>
  <si>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</si>
  <si>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</si>
  <si>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</si>
  <si>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</si>
  <si>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</si>
  <si>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</si>
  <si>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</si>
  <si>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</si>
  <si>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</si>
  <si>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</si>
  <si>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</si>
  <si>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</si>
  <si>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</si>
  <si>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</si>
  <si>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</si>
  <si>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</si>
  <si>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</si>
  <si>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</si>
  <si>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</si>
  <si>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</si>
  <si>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</si>
  <si>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</si>
  <si>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</si>
  <si>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</si>
  <si>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</si>
  <si>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</si>
  <si>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</si>
  <si>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</si>
  <si>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</si>
  <si>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</si>
  <si>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</si>
  <si>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</si>
  <si>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</si>
  <si>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</si>
  <si>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</si>
  <si>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</si>
  <si>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</si>
  <si>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</si>
  <si>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</si>
  <si>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</si>
  <si>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</si>
  <si>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</si>
  <si>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</si>
  <si>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</si>
  <si>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</si>
  <si>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</si>
  <si>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</si>
  <si>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</si>
  <si>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</si>
  <si>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</si>
  <si>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</si>
  <si>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</si>
  <si>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</si>
  <si>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 xml:space="preserve"> </t>
  </si>
  <si>
    <t>Total CMA:</t>
  </si>
  <si>
    <t>Total Purchase Cost:</t>
  </si>
  <si>
    <t>Total Rehab Expense:</t>
  </si>
  <si>
    <t>Total Expected Profit:</t>
  </si>
  <si>
    <t>Total Chartable Contribution:</t>
  </si>
  <si>
    <t>Average CMA:</t>
  </si>
  <si>
    <t>Average Purchase Cost:</t>
  </si>
  <si>
    <t>Average Rehab Expense:</t>
  </si>
  <si>
    <t>Average Profit:</t>
  </si>
  <si>
    <t>Vendor</t>
  </si>
  <si>
    <t>Phone Number</t>
  </si>
  <si>
    <t>Contact</t>
  </si>
  <si>
    <t>Acct/Policy</t>
  </si>
  <si>
    <t>Email</t>
  </si>
  <si>
    <t>Purpose</t>
  </si>
  <si>
    <t>Sellers</t>
  </si>
  <si>
    <t>Brenda Griffith</t>
  </si>
  <si>
    <t>910 808 9147</t>
  </si>
  <si>
    <t>SS#:244 66 8962</t>
  </si>
  <si>
    <t>Birth: 11/16/1940</t>
  </si>
  <si>
    <t>Cheryl D Powell</t>
  </si>
  <si>
    <t>SS#: 246 84 4592</t>
  </si>
  <si>
    <t>936 52 3090</t>
  </si>
  <si>
    <t>Mortgage</t>
  </si>
  <si>
    <t>800 274 7025</t>
  </si>
  <si>
    <t>Bank of America</t>
  </si>
  <si>
    <t>800 669 0102</t>
  </si>
  <si>
    <t>800 669 6607</t>
  </si>
  <si>
    <t>0401704000</t>
  </si>
  <si>
    <t>sent on 09/27/2023</t>
  </si>
  <si>
    <t>Hutchens La w Firm: Liza Norris</t>
  </si>
  <si>
    <t>910 864 3068</t>
  </si>
  <si>
    <t>Liza.Norris@HutchensLawfirm.com</t>
  </si>
  <si>
    <t>emailed on 11/1/23</t>
  </si>
  <si>
    <t>Brock &amp; Scott</t>
  </si>
  <si>
    <t>910 392 4988</t>
  </si>
  <si>
    <t>emaild on 6/17/24</t>
  </si>
  <si>
    <t>Taylors Pond HOA</t>
  </si>
  <si>
    <t>919 362 1460</t>
  </si>
  <si>
    <t>Tammy Finance</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</si>
  <si>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</si>
  <si>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</si>
  <si>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</si>
  <si>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</si>
  <si>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</si>
  <si>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</si>
  <si>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</si>
  <si>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</si>
  <si>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</si>
  <si>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</si>
  <si>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</si>
  <si>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</si>
  <si>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</si>
  <si>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</si>
  <si>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</si>
  <si>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</si>
  <si>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</si>
  <si>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</si>
  <si>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</si>
  <si>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</si>
  <si>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</si>
  <si>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</si>
  <si>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Duke Electric</t>
  </si>
  <si>
    <t>Mortgage Payments</t>
  </si>
  <si>
    <t>Neal Issac</t>
  </si>
  <si>
    <t>Insurance Payments</t>
  </si>
  <si>
    <t>City of Raleigh(Water)</t>
  </si>
  <si>
    <t>Dominion Energy (gas)</t>
  </si>
  <si>
    <t>HOA</t>
  </si>
  <si>
    <t>Taxes</t>
  </si>
  <si>
    <t>Date</t>
  </si>
  <si>
    <t>payment</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</si>
  <si>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</si>
  <si>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</si>
  <si>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</si>
  <si>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</si>
  <si>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</si>
  <si>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</si>
  <si>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</si>
  <si>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</si>
  <si>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</si>
  <si>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</si>
  <si>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</si>
  <si>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</si>
  <si>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</si>
  <si>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</si>
  <si>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</si>
  <si>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</si>
  <si>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</si>
  <si>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</si>
  <si>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</si>
  <si>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</si>
  <si>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</si>
  <si>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</si>
  <si>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</si>
  <si>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</si>
  <si>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</si>
  <si>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</si>
  <si>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Demo</t>
  </si>
  <si>
    <t>r</t>
  </si>
  <si>
    <t xml:space="preserve">Kitchen countertops </t>
  </si>
  <si>
    <t xml:space="preserve">Rug </t>
  </si>
  <si>
    <t>Vinyl flooring</t>
  </si>
  <si>
    <t>Paint</t>
  </si>
  <si>
    <t>Paint Interior of houseCeiling, walls, doors, trim. Exterior2 Doors, 4 Shutters</t>
  </si>
  <si>
    <t>Power Wash</t>
  </si>
  <si>
    <t>Power wash exterior, House only</t>
  </si>
  <si>
    <t>LVP</t>
  </si>
  <si>
    <t>Install LVP</t>
  </si>
  <si>
    <t xml:space="preserve">All of first floor including baths and laundry room in 2nd floor. Labor and shoe mold included. </t>
  </si>
  <si>
    <t>Note- Client will purchase flooring materials. Estimated- 850 sqft, Please include 10% for waste</t>
  </si>
  <si>
    <t>Carpet</t>
  </si>
  <si>
    <t xml:space="preserve">Install Carpet Estimated-884 sqft General Use Carpet and padding Labor </t>
  </si>
  <si>
    <t>Quartz</t>
  </si>
  <si>
    <t xml:space="preserve">Level 1 Quartz $3,190 </t>
  </si>
  <si>
    <t xml:space="preserve">Level 2 Quartz $3,850 </t>
  </si>
  <si>
    <t>change order #9</t>
  </si>
  <si>
    <t>Level 3 Granet $4,620</t>
  </si>
  <si>
    <t>Installations</t>
  </si>
  <si>
    <t>Labor and supplies</t>
  </si>
  <si>
    <t xml:space="preserve">3-Toilets </t>
  </si>
  <si>
    <t xml:space="preserve">1-Kitchen Sink </t>
  </si>
  <si>
    <t xml:space="preserve">1-Shower doors </t>
  </si>
  <si>
    <t xml:space="preserve">2- Mirrors </t>
  </si>
  <si>
    <t xml:space="preserve">1- Stove, </t>
  </si>
  <si>
    <t xml:space="preserve">DW, </t>
  </si>
  <si>
    <t xml:space="preserve">Microwave </t>
  </si>
  <si>
    <t xml:space="preserve">2- TP Holders </t>
  </si>
  <si>
    <t xml:space="preserve">2- Ceiling Fans </t>
  </si>
  <si>
    <t xml:space="preserve">2- Kitchen light fixtures </t>
  </si>
  <si>
    <t xml:space="preserve">1- Pantry Light </t>
  </si>
  <si>
    <t xml:space="preserve">2- Shower heads </t>
  </si>
  <si>
    <t>Drywall Repair in garage Labor and supplies included</t>
  </si>
  <si>
    <t>change order #1</t>
  </si>
  <si>
    <t>Fix Screens</t>
  </si>
  <si>
    <t>change order #2</t>
  </si>
  <si>
    <t>Carpet Purchase</t>
  </si>
  <si>
    <t>change order #3</t>
  </si>
  <si>
    <t>program remote for LR fan</t>
  </si>
  <si>
    <t>change order #4</t>
  </si>
  <si>
    <t>replace half bath mirror</t>
  </si>
  <si>
    <t>change order #5</t>
  </si>
  <si>
    <t>repair vinyl corner piece on back of house</t>
  </si>
  <si>
    <t>change order #6</t>
  </si>
  <si>
    <t>Purchase LVP</t>
  </si>
  <si>
    <t>change order #7</t>
  </si>
  <si>
    <t>2 gal primer, 10 ceiling Paint</t>
  </si>
  <si>
    <t>change order #8</t>
  </si>
  <si>
    <t>credit cost for pantry light installation</t>
  </si>
  <si>
    <t>credit Level 1 Quartz $3,190</t>
  </si>
  <si>
    <t>change order #10</t>
  </si>
  <si>
    <t>credit one ceiling fan installation</t>
  </si>
  <si>
    <t>change order #11</t>
  </si>
  <si>
    <t>credit one kitchen light fixture installation</t>
  </si>
  <si>
    <t>change order #12</t>
  </si>
  <si>
    <t>credit 2 TP holders installation</t>
  </si>
  <si>
    <t>change order #13</t>
  </si>
  <si>
    <t>Install hall bath accessories</t>
  </si>
  <si>
    <t>change order #14</t>
  </si>
  <si>
    <t>Install doorbell</t>
  </si>
  <si>
    <t>change order #15</t>
  </si>
  <si>
    <t>Install mailbox</t>
  </si>
  <si>
    <t>change order #16</t>
  </si>
  <si>
    <t>Install can light front porch</t>
  </si>
  <si>
    <t>change order #17</t>
  </si>
  <si>
    <t>Install outlet cover front porch</t>
  </si>
  <si>
    <t>change order #18</t>
  </si>
  <si>
    <t>Hall bath vanity hinge and hardware</t>
  </si>
  <si>
    <t>change order #19</t>
  </si>
  <si>
    <t xml:space="preserve"> Replace one fence board</t>
  </si>
  <si>
    <t>Exterior</t>
  </si>
  <si>
    <t>change order #20</t>
  </si>
  <si>
    <t>Power wash exterior patio, front walk, driveway</t>
  </si>
  <si>
    <t>change order #21</t>
  </si>
  <si>
    <t>Install 3 door stops</t>
  </si>
  <si>
    <t>change order #22</t>
  </si>
  <si>
    <t>Repair door rot front and back</t>
  </si>
  <si>
    <t>Painting</t>
  </si>
  <si>
    <t>change order #23</t>
  </si>
  <si>
    <t>Paint mailbox post white</t>
  </si>
  <si>
    <t>change order #24</t>
  </si>
  <si>
    <t>Replace mailbox</t>
  </si>
  <si>
    <t>change order #25</t>
  </si>
  <si>
    <t xml:space="preserve">Final cleaning </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</si>
  <si>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</si>
  <si>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</si>
  <si>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</si>
  <si>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</si>
  <si>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</si>
  <si>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</si>
  <si>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</si>
  <si>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</si>
  <si>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</si>
  <si>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</si>
  <si>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</si>
  <si>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</si>
  <si>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</si>
  <si>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</si>
  <si>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</si>
  <si>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</si>
  <si>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Days</t>
  </si>
  <si>
    <t>Paid</t>
  </si>
  <si>
    <t>10/13</t>
  </si>
  <si>
    <t>credit via CO#9</t>
  </si>
  <si>
    <t>Expense</t>
  </si>
  <si>
    <t>Due</t>
  </si>
  <si>
    <t>ToDo</t>
  </si>
  <si>
    <t xml:space="preserve">AvilaCRI </t>
  </si>
  <si>
    <t>Project Start Date:</t>
  </si>
  <si>
    <t>Company  Paid  Materials Total:</t>
  </si>
  <si>
    <t>Contractors Total:</t>
  </si>
  <si>
    <t>Milestone Marker:</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</si>
  <si>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</si>
  <si>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</si>
  <si>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</si>
  <si>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</si>
  <si>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</si>
  <si>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</si>
  <si>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</si>
  <si>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</si>
  <si>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</si>
  <si>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</si>
  <si>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</si>
  <si>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</si>
  <si>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</si>
  <si>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</si>
  <si>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</si>
  <si>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</si>
  <si>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</si>
  <si>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</si>
  <si>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</si>
  <si>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</si>
  <si>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</si>
  <si>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</si>
  <si>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</si>
  <si>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</si>
  <si>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</si>
  <si>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</si>
  <si>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
  </si>
  <si>
    <t>Only undone Gnatt Chart Items are in this list</t>
  </si>
  <si>
    <t xml:space="preserve">Edit these Entries. Must manually add a matching Item # </t>
  </si>
  <si>
    <t>Do not edit contents here - Edit in Orange, Recap Table</t>
  </si>
  <si>
    <t>Do not edit contents here - Edit on Proposal Update Tab</t>
  </si>
  <si>
    <t>Recap Table - Add Recap Items here</t>
  </si>
  <si>
    <t>Order</t>
  </si>
  <si>
    <t>Comment</t>
  </si>
  <si>
    <t>Pick floor sample</t>
  </si>
  <si>
    <t>CO #8 needed, credit pantry light</t>
  </si>
  <si>
    <t>Left Remote for LR fan</t>
  </si>
  <si>
    <t>CO #10 needed, credit one ceiling fan install</t>
  </si>
  <si>
    <t>We will get toilets by 10/25</t>
  </si>
  <si>
    <t>CO #11 needed, credit one kitchen light fixture install</t>
  </si>
  <si>
    <t>Approve 4,345 countertop price</t>
  </si>
  <si>
    <t>CO #12 needed, credit 2 TP Holders</t>
  </si>
  <si>
    <t>Pick carpet sample</t>
  </si>
  <si>
    <t>Purchase appliances</t>
  </si>
  <si>
    <t>All of first floor including baths and laundry room in 2nd floor. Labor and shoe mold included.</t>
  </si>
  <si>
    <t>CO needed for Screens</t>
  </si>
  <si>
    <t>Purchase half bath mirror</t>
  </si>
  <si>
    <t>CO needed for Carpet Upgrade</t>
  </si>
  <si>
    <t>CO #13 needed, install bath accessories hall bath</t>
  </si>
  <si>
    <t>Level 2 Quartz $3,850</t>
  </si>
  <si>
    <t>CO needed install mirror half bath</t>
  </si>
  <si>
    <t>Purchase hall bath vanity hinges and hardware: sample</t>
  </si>
  <si>
    <t>CO needed for exterior vinyl repair</t>
  </si>
  <si>
    <t>Price CO test</t>
  </si>
  <si>
    <t>3-Toilets</t>
  </si>
  <si>
    <t>HO Buys fan LR</t>
  </si>
  <si>
    <t>Price CO</t>
  </si>
  <si>
    <t>1-Kitchen Sink</t>
  </si>
  <si>
    <t>Measure can light front porch</t>
  </si>
  <si>
    <t>1-Shower doors</t>
  </si>
  <si>
    <t>2- Mirrors</t>
  </si>
  <si>
    <t>1- Stove,</t>
  </si>
  <si>
    <t>DW,</t>
  </si>
  <si>
    <t>Microwave</t>
  </si>
  <si>
    <t>2- TP Holders</t>
  </si>
  <si>
    <t>2- Ceiling Fans</t>
  </si>
  <si>
    <t>2- Kitchen light fixtures</t>
  </si>
  <si>
    <t>1- Pantry Light</t>
  </si>
  <si>
    <t>2- Shower heads</t>
  </si>
  <si>
    <t>Final cleaning</t>
  </si>
  <si>
    <t>This is for taxes paid, outside of closing process</t>
  </si>
  <si>
    <t>Gov't Entity</t>
  </si>
  <si>
    <t>Tax Event</t>
  </si>
  <si>
    <t>Tax</t>
  </si>
  <si>
    <t>Wake County</t>
  </si>
  <si>
    <t>Property Transfer Tax</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</si>
  <si>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</si>
  <si>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</si>
  <si>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</si>
  <si>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</si>
  <si>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</si>
  <si>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</si>
  <si>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</si>
  <si>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</si>
  <si>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</si>
  <si>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</si>
  <si>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</si>
  <si>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</si>
  <si>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</si>
  <si>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</si>
  <si>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</si>
  <si>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</si>
  <si>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</si>
  <si>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</si>
  <si>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</si>
  <si>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</si>
  <si>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</si>
  <si>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</si>
  <si>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</si>
  <si>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</si>
  <si>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</si>
  <si>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</si>
  <si>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</si>
  <si>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</si>
  <si>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</si>
  <si>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</si>
  <si>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</si>
  <si>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</si>
  <si>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</si>
  <si>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</si>
  <si>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</si>
  <si>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</si>
  <si>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</si>
  <si>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</si>
  <si>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</si>
  <si>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</si>
  <si>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</si>
  <si>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</si>
  <si>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</si>
  <si>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</si>
  <si>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</si>
  <si>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Mirror</t>
  </si>
  <si>
    <t>Shower door</t>
  </si>
  <si>
    <t xml:space="preserve">Beveled Edge Rectangle Mirror </t>
  </si>
  <si>
    <t>Amazon Oval Bathroom Mirror</t>
  </si>
  <si>
    <t>Hall Bath Mirror</t>
  </si>
  <si>
    <t>Vender</t>
  </si>
  <si>
    <t>Per Event</t>
  </si>
  <si>
    <t>Iterations</t>
  </si>
  <si>
    <t>Charge</t>
  </si>
  <si>
    <t>Sub Total</t>
  </si>
  <si>
    <t>Meridian</t>
  </si>
  <si>
    <t>15 Yrd Delivery</t>
  </si>
  <si>
    <t>15 yard Haul swap</t>
  </si>
  <si>
    <t>C&amp;D Disp</t>
  </si>
  <si>
    <t>Fuel Surcharge</t>
  </si>
  <si>
    <t>Dest Fee</t>
  </si>
  <si>
    <t>Admin Fee</t>
  </si>
  <si>
    <t>Environmental Fee</t>
  </si>
  <si>
    <t>Inv 1</t>
  </si>
  <si>
    <t>inv 2</t>
  </si>
  <si>
    <t>Gigi'sBuld Removal</t>
  </si>
  <si>
    <t>AvilaCRI</t>
  </si>
  <si>
    <t>Appliances</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</si>
  <si>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</si>
  <si>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</si>
  <si>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</si>
  <si>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</si>
  <si>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</si>
  <si>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</si>
  <si>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</si>
  <si>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</si>
  <si>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</si>
  <si>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</si>
  <si>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</si>
  <si>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</si>
  <si>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FB Ref</t>
  </si>
  <si>
    <t>Total for Appliances:</t>
  </si>
  <si>
    <t>Plumbing</t>
  </si>
  <si>
    <t>Lowes Kitchen Faucet</t>
  </si>
  <si>
    <t>Lowes Bath Accessory Kit</t>
  </si>
  <si>
    <t>Lowes Shower Head</t>
  </si>
  <si>
    <t>Lowes Bath Faucets</t>
  </si>
  <si>
    <t>Amazon TP holders</t>
  </si>
  <si>
    <t>Amazon accessory kit</t>
  </si>
  <si>
    <t>toilets</t>
  </si>
  <si>
    <t xml:space="preserve">Garbage Disposal </t>
  </si>
  <si>
    <t>Resurface tubs</t>
  </si>
  <si>
    <t>Kitchen Faucet</t>
  </si>
  <si>
    <t>Instant Savings on Toilets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</si>
  <si>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</si>
  <si>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</si>
  <si>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</si>
  <si>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</si>
  <si>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</si>
  <si>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</si>
  <si>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</si>
  <si>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</si>
  <si>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</si>
  <si>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</si>
  <si>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</si>
  <si>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</si>
  <si>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</si>
  <si>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</si>
  <si>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</si>
  <si>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</si>
  <si>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</si>
  <si>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Int Dummy knobs</t>
  </si>
  <si>
    <t>HD</t>
  </si>
  <si>
    <t>L399125</t>
  </si>
  <si>
    <t>Bed/bath knob</t>
  </si>
  <si>
    <t>HD883624</t>
  </si>
  <si>
    <t>Lowes Front door kw powerbolt</t>
  </si>
  <si>
    <t>Lowes Front door kw door handle</t>
  </si>
  <si>
    <t>HD Ext Deadbolt combo</t>
  </si>
  <si>
    <t>Laundry room Fr Doors</t>
  </si>
  <si>
    <t>HD154372</t>
  </si>
  <si>
    <t>Closet door knob</t>
  </si>
  <si>
    <t>HD883767</t>
  </si>
  <si>
    <t>Accumulating tax</t>
  </si>
  <si>
    <t>Door Stop 5 pack</t>
  </si>
  <si>
    <t>Untry Door Handle</t>
  </si>
  <si>
    <t>Keypad Deadbolt</t>
  </si>
  <si>
    <t>Exterior Door Handle and lock kit</t>
  </si>
  <si>
    <t>Cabinets</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</si>
  <si>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</si>
  <si>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</si>
  <si>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</si>
  <si>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</si>
  <si>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</si>
  <si>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</si>
  <si>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</si>
  <si>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</si>
  <si>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</si>
  <si>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</si>
  <si>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</si>
  <si>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</si>
  <si>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</si>
  <si>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</si>
  <si>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</si>
  <si>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</si>
  <si>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</si>
  <si>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</si>
  <si>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</si>
  <si>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</si>
  <si>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</si>
  <si>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</si>
  <si>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</si>
  <si>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</si>
  <si>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</si>
  <si>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</si>
  <si>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</si>
  <si>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</si>
  <si>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Avila Vendor</t>
  </si>
  <si>
    <t>Cabinet Hardware</t>
  </si>
  <si>
    <t>Vanities - Sun HS Warehouse</t>
  </si>
  <si>
    <t>Satin Nick cabinet knob</t>
  </si>
  <si>
    <t>Arched 3" Drawer pull</t>
  </si>
  <si>
    <t>Lowes 10 pk Matte Black Knob</t>
  </si>
  <si>
    <t>HD Satin Nickel Knobs</t>
  </si>
  <si>
    <t>Calc Qty</t>
  </si>
  <si>
    <t>Sq Ft</t>
  </si>
  <si>
    <t>Interior Wall Paint</t>
  </si>
  <si>
    <t>SW</t>
  </si>
  <si>
    <t>6509-48698</t>
  </si>
  <si>
    <t>6510-78628</t>
  </si>
  <si>
    <t>SW 5 gal PM 400 0 FL Extra</t>
  </si>
  <si>
    <t>6503-62817</t>
  </si>
  <si>
    <t>SW 5 gal B31W2151 Procl LTX SG Extra</t>
  </si>
  <si>
    <t>6510-16875</t>
  </si>
  <si>
    <t>5 gal Lowes Kilz</t>
  </si>
  <si>
    <t>SW 5 gal A27W5050 Promar ceiling white</t>
  </si>
  <si>
    <t>6508-68102</t>
  </si>
  <si>
    <t>HD Behr Int/ext black paint</t>
  </si>
  <si>
    <t>HD White Int/ext white paint</t>
  </si>
  <si>
    <t>HD 5 gal Wh Flat Int ceiling</t>
  </si>
  <si>
    <t>Valspar</t>
  </si>
  <si>
    <t>L1028086</t>
  </si>
  <si>
    <t>SW 5 gal D17W151 Cashmere LL Extra</t>
  </si>
  <si>
    <t>6504-06788</t>
  </si>
  <si>
    <t>Kitchen Cabinets</t>
  </si>
  <si>
    <t>SW 5galover White</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</si>
  <si>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</si>
  <si>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</si>
  <si>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</si>
  <si>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</si>
  <si>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</si>
  <si>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</si>
  <si>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</si>
  <si>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</si>
  <si>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Lowes Sub Total for Paint</t>
  </si>
  <si>
    <t>Painter</t>
  </si>
  <si>
    <t>Painter is in contract</t>
  </si>
  <si>
    <t>Inside</t>
  </si>
  <si>
    <t>Front Porch</t>
  </si>
  <si>
    <t>Back Porch</t>
  </si>
  <si>
    <t>Floor</t>
  </si>
  <si>
    <t>LVP Floor Installation</t>
  </si>
  <si>
    <t>in contract</t>
  </si>
  <si>
    <t>LVP Floor Availa Vender</t>
  </si>
  <si>
    <t>LVP Floor RediCarpet #1</t>
  </si>
  <si>
    <t>LVP Floor</t>
  </si>
  <si>
    <t>carpet</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</si>
  <si>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</si>
  <si>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</si>
  <si>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</si>
  <si>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</si>
  <si>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</si>
  <si>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</si>
  <si>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</si>
  <si>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</si>
  <si>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</si>
  <si>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</si>
  <si>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</si>
  <si>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</si>
  <si>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</si>
  <si>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</si>
  <si>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</si>
  <si>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</si>
  <si>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</si>
  <si>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</si>
  <si>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</si>
  <si>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</si>
  <si>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</si>
  <si>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</si>
  <si>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</si>
  <si>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</si>
  <si>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LED Bulbs</t>
  </si>
  <si>
    <t>HD1006211602</t>
  </si>
  <si>
    <t>Outdoor flood light fixture</t>
  </si>
  <si>
    <t>HD233840</t>
  </si>
  <si>
    <t>Hall Light</t>
  </si>
  <si>
    <t>HD385544</t>
  </si>
  <si>
    <t>Flood Light Bulbs</t>
  </si>
  <si>
    <t>HD1006248217</t>
  </si>
  <si>
    <t>Wall protectors</t>
  </si>
  <si>
    <t>HD316307</t>
  </si>
  <si>
    <t>3 speed Remote ceiling fan</t>
  </si>
  <si>
    <t>L745359</t>
  </si>
  <si>
    <t>GE LED 32W 4'</t>
  </si>
  <si>
    <t>L2565452</t>
  </si>
  <si>
    <t>GE LED 17W 2'</t>
  </si>
  <si>
    <t>L2565467</t>
  </si>
  <si>
    <t>9 volt batteries for smoke detectors 6 pack</t>
  </si>
  <si>
    <t>Flush Kitchen Light</t>
  </si>
  <si>
    <t>CeilingFan</t>
  </si>
  <si>
    <t>Ceiling Fan</t>
  </si>
  <si>
    <t xml:space="preserve">Lowes Tube light bulbs (2pack) </t>
  </si>
  <si>
    <t>Tube light return refund</t>
  </si>
  <si>
    <t>Cost/sf</t>
  </si>
  <si>
    <t>Square Feet</t>
  </si>
  <si>
    <t>cost/unit</t>
  </si>
  <si>
    <t>SubTotal</t>
  </si>
  <si>
    <t>Liesure Time Zoysia-pallet</t>
  </si>
  <si>
    <t>Liesure Time Zoysia-roll</t>
  </si>
  <si>
    <t>Delivery Fee</t>
  </si>
  <si>
    <t>Fence</t>
  </si>
  <si>
    <t>organic humis</t>
  </si>
  <si>
    <t>mulch</t>
  </si>
  <si>
    <t>Mulch Labor:</t>
  </si>
  <si>
    <t>Straighten landscape stones</t>
  </si>
  <si>
    <t>lay sod</t>
  </si>
  <si>
    <t>Tree pruning</t>
  </si>
  <si>
    <t>Mow Grass</t>
  </si>
  <si>
    <t>remove debries</t>
  </si>
  <si>
    <t>Roof</t>
  </si>
  <si>
    <t>Cost/item</t>
  </si>
  <si>
    <t>Hourly Rate:</t>
  </si>
  <si>
    <t>Lowes Mailbox</t>
  </si>
  <si>
    <t>Mailbox post HD106052</t>
  </si>
  <si>
    <t>Mailbox HD 046462011291</t>
  </si>
  <si>
    <t>Crawl Plumbing</t>
  </si>
  <si>
    <t>Siding Repair</t>
  </si>
  <si>
    <t>Drainage repair</t>
  </si>
  <si>
    <t>Deck rebuild</t>
  </si>
  <si>
    <t>Masking tape</t>
  </si>
  <si>
    <t>Drop cloths</t>
  </si>
  <si>
    <t>Power wash</t>
  </si>
  <si>
    <t>Weatherproof flat cover 852944007702</t>
  </si>
  <si>
    <t>Doorbell 058219105177</t>
  </si>
  <si>
    <t>Fence Picket 090489133771</t>
  </si>
  <si>
    <t>Properties Completed in 2020</t>
  </si>
  <si>
    <t>164 Churchill Dr</t>
  </si>
  <si>
    <t>2608 Alton</t>
  </si>
  <si>
    <t>Completed for Sell Your Home</t>
  </si>
  <si>
    <t>Completed for Buy Your Home</t>
  </si>
  <si>
    <t>202 Avery</t>
  </si>
  <si>
    <t>1900 Red Quartz</t>
  </si>
  <si>
    <t>120 Keith</t>
  </si>
  <si>
    <t>3007 Eric</t>
  </si>
  <si>
    <t>2153 Haig Point</t>
  </si>
  <si>
    <t>178 Patricia</t>
  </si>
  <si>
    <t>1201 Hazelnut</t>
  </si>
  <si>
    <t>1223 Roffler</t>
  </si>
  <si>
    <t>2025 Metacomet</t>
  </si>
  <si>
    <t xml:space="preserve">5619 Marthonna </t>
  </si>
  <si>
    <t>Shellpoint</t>
  </si>
  <si>
    <t>Jenny@BuyYourHomeLLC.com</t>
  </si>
  <si>
    <t>w3638B0#</t>
  </si>
  <si>
    <t>Loan #</t>
  </si>
  <si>
    <t>https://signin.shellpointmtg.com/signin/myaccount</t>
  </si>
  <si>
    <t>Refinance</t>
  </si>
  <si>
    <t>Private Money Interest:</t>
  </si>
  <si>
    <t>Total Debt:</t>
  </si>
  <si>
    <t>Property</t>
  </si>
  <si>
    <t>Home Type</t>
  </si>
  <si>
    <t>Est. Property Value</t>
  </si>
  <si>
    <t>Lot Rent / Mo</t>
  </si>
  <si>
    <t>Tenant Payment / Mo</t>
  </si>
  <si>
    <t>Property Tax / Mo</t>
  </si>
  <si>
    <t>Insurance / Mo</t>
  </si>
  <si>
    <t>Monthly Net Spread</t>
  </si>
  <si>
    <t>Annual Net Spread</t>
  </si>
  <si>
    <t>Expense % of Payment</t>
  </si>
  <si>
    <t>Net Spread Margin</t>
  </si>
  <si>
    <t>Net Yield on Value</t>
  </si>
  <si>
    <t>Max Value @ 10%</t>
  </si>
  <si>
    <t>Max Value @ 12%</t>
  </si>
  <si>
    <t>Max Value @ 15%</t>
  </si>
  <si>
    <t>Summary / Document Outputs</t>
  </si>
  <si>
    <t>Total Trade Property Value Proposed</t>
  </si>
  <si>
    <t>Total Liens or Deductions</t>
  </si>
  <si>
    <t>Total Net Trade Credit Included</t>
  </si>
  <si>
    <t>Total Tenant Rent</t>
  </si>
  <si>
    <t>Total Monthly Expenses</t>
  </si>
  <si>
    <t>Trade Properties - Manufactured Home Credit Analysis</t>
  </si>
  <si>
    <t>Total Monthly Net Spread:</t>
  </si>
  <si>
    <t>Use this tab for valuation and support detail only. Contract generators should read only the final document fields exposed on Replacement Docs. Proposed values are analysis inputs until titles/bills of sale, lien releases, possession/keys, tenant/rent information, and park/lot approvals are delivered and accepted.</t>
  </si>
  <si>
    <t>Total Annual Net Spread:</t>
  </si>
  <si>
    <t>Implied Value at 10% Yield</t>
  </si>
  <si>
    <t>Expected monthly net spread from future Contract for Deed/resale payments after lot rent, property tax, and insurance</t>
  </si>
  <si>
    <t>Implied Value at 12% Yield</t>
  </si>
  <si>
    <t>Property Address</t>
  </si>
  <si>
    <t>Monthly Expenses</t>
  </si>
  <si>
    <t>Tenant Rent</t>
  </si>
  <si>
    <t>Cap Based Value</t>
  </si>
  <si>
    <t>CMA Based Value</t>
  </si>
  <si>
    <t>Proposed Value / Agreed Credit</t>
  </si>
  <si>
    <t>Liens or Deductions</t>
  </si>
  <si>
    <t>Net Trade Credit</t>
  </si>
  <si>
    <t>Include in Contract?</t>
  </si>
  <si>
    <t>Title/Bill-of-Sale Status</t>
  </si>
  <si>
    <t>Park/Lot Approval Status</t>
  </si>
  <si>
    <t>Tenant/Lease Verification Status</t>
  </si>
  <si>
    <t>Implied Value at 15% Yield</t>
  </si>
  <si>
    <t>Trade Property List for Docs</t>
  </si>
  <si>
    <t>Trade Property Conditions for Docs</t>
  </si>
  <si>
    <t>Trade credit is not final until titles/bills of sale, lien releases or payoff documentation, possession/keys, tenant and rent information, and park/lot approvals are delivered and accepted.</t>
  </si>
  <si>
    <t>Totals / Included Credit</t>
  </si>
  <si>
    <t>Addendum Requirement</t>
  </si>
  <si>
    <t>A trade-property addendum should control title, possession, park approval, liens, tenant rents, verification, condition, and remedies if conditions are not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</si>
</sst>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m/d/yy;@"/>
    <numFmt numFmtId="168" formatCode="d"/>
    <numFmt numFmtId="169" formatCode="m/d;@"/>
    <numFmt numFmtId="170" formatCode="mm/dd/yy;@"/>
    <numFmt numFmtId="171" formatCode="0.000%"/>
    <numFmt numFmtId="172" formatCode="yyyy\-mm\-dd;@"/>
    <numFmt numFmtId="173" formatCode="\$#,##0"/>
    <numFmt numFmtId="174" formatCode="&quot;$&quot;#,##0;[Red]\(&quot;$&quot;#,##0\);\-"/>
    <numFmt numFmtId="175" formatCode=";;;"/>
  </numFmts>
  <fonts count="5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1"/>
      <color theme="10"/>
      <name val="Calibri"/>
      <family val="2"/>
      <scheme val="minor"/>
    </font>
    <font>
      <sz val="11"/>
      <color rgb="FFFF0000"/>
      <name val="Calibri"/>
      <family val="2"/>
      <scheme val="minor"/>
    </font>
    <font>
      <b/>
      <sz val="9"/>
      <color rgb="FF333333"/>
      <name val="Segoe UI"/>
      <family val="2"/>
    </font>
    <font>
      <sz val="8"/>
      <color rgb="FF000000"/>
      <name val="Segoe UI"/>
      <family val="2"/>
    </font>
    <font>
      <b/>
      <sz val="10"/>
      <color rgb="FFFFFFFF"/>
      <name val="Carlito"/>
      <family val="2"/>
    </font>
    <font>
      <b/>
      <sz val="11"/>
      <color rgb="FFFFFFFF"/>
      <name val="Calibri"/>
      <family val="2"/>
      <scheme val="minor"/>
    </font>
    <font>
      <sz val="10"/>
      <color rgb="FF1F2933"/>
      <name val="Carlito"/>
      <family val="2"/>
    </font>
    <font>
      <b/>
      <sz val="10"/>
      <color rgb="FF17324D"/>
      <name val="Carlito"/>
      <family val="2"/>
    </font>
    <font>
      <b/>
      <sz val="14"/>
      <color rgb="FFFFFFFF"/>
      <name val="Calibri"/>
      <family val="2"/>
      <scheme val="minor"/>
    </font>
    <font>
      <sz val="11"/>
      <color rgb="FFFFFFFF"/>
      <name val="Calibri"/>
      <family val="2"/>
      <scheme val="minor"/>
    </font>
  </fonts>
  <fills count="3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C000"/>
        <bgColor rgb="FF000000"/>
      </patternFill>
    </fill>
    <fill>
      <patternFill patternType="solid">
        <fgColor rgb="FF254F7A"/>
      </patternFill>
    </fill>
    <fill>
      <patternFill patternType="solid">
        <fgColor rgb="FF1B2F4F"/>
        <bgColor indexed="64"/>
      </patternFill>
    </fill>
    <fill>
      <patternFill patternType="solid">
        <fgColor rgb="FFFFFFFF"/>
      </patternFill>
    </fill>
    <fill>
      <patternFill patternType="solid">
        <fgColor rgb="FFE8F2F7"/>
        <bgColor indexed="64"/>
      </patternFill>
    </fill>
    <fill>
      <patternFill patternType="solid">
        <fgColor rgb="FFFFCC99"/>
        <bgColor indexed="64"/>
      </patternFill>
    </fill>
    <fill>
      <patternFill patternType="solid">
        <fgColor rgb="FFEAF1F8"/>
      </patternFill>
    </fill>
    <fill>
      <patternFill patternType="solid">
        <fgColor rgb="FFD8E7C4"/>
        <bgColor indexed="64"/>
      </patternFill>
    </fill>
    <fill>
      <patternFill patternType="solid">
        <fgColor rgb="FFFFFF99"/>
        <bgColor indexed="64"/>
      </patternFill>
    </fill>
    <fill>
      <patternFill patternType="solid">
        <fgColor rgb="FFD9F0E2"/>
        <bgColor indexed="64"/>
      </patternFill>
    </fill>
  </fills>
  <borders count="72">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dashed">
        <color auto="1"/>
      </left>
      <right/>
      <top/>
      <bottom/>
      <diagonal/>
    </border>
    <border>
      <left style="thick">
        <color auto="1"/>
      </left>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rgb="FFB8C5D3"/>
      </left>
      <right style="thin">
        <color rgb="FFB8C5D3"/>
      </right>
      <top style="thin">
        <color rgb="FFB8C5D3"/>
      </top>
      <bottom style="thin">
        <color rgb="FFB8C5D3"/>
      </bottom>
      <diagonal/>
    </border>
    <border>
      <left style="thin">
        <color rgb="FFD9D9D9"/>
      </left>
      <right style="thin">
        <color rgb="FFD9D9D9"/>
      </right>
      <top style="thin">
        <color rgb="FFD9D9D9"/>
      </top>
      <bottom style="thin">
        <color rgb="FFD9D9D9"/>
      </bottom>
      <diagonal/>
    </border>
    <border>
      <left style="thin">
        <color rgb="FFD8DEE6"/>
      </left>
      <right style="thin">
        <color rgb="FFD8DEE6"/>
      </right>
      <top style="thin">
        <color rgb="FFD8DEE6"/>
      </top>
      <bottom style="thin">
        <color rgb="FFD8DEE6"/>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43" fillId="0" borderId="0"/>
  </cellStyleXfs>
  <cellXfs count="645">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2" fontId="19" fillId="0" borderId="0" xfId="12" applyNumberFormat="1" applyFont="1" applyFill="1" applyAlignment="1">
      <alignment horizontal="center" vertical="center"/>
    </xf>
    <xf numFmtId="43" fontId="9" fillId="11" borderId="0" xfId="13" applyFont="1" applyFill="1" applyAlignment="1">
      <alignment horizontal="right" vertical="center"/>
    </xf>
    <xf numFmtId="0" fontId="21" fillId="0" borderId="0" xfId="0" applyFont="1" applyAlignment="1">
      <alignment horizontal="right"/>
    </xf>
    <xf numFmtId="0" fontId="22" fillId="0" borderId="0" xfId="0" applyFont="1" applyAlignment="1">
      <alignment horizontal="right"/>
    </xf>
    <xf numFmtId="0" fontId="5" fillId="0" borderId="0" xfId="0" applyFont="1" applyAlignment="1">
      <alignment horizontal="right"/>
    </xf>
    <xf numFmtId="49" fontId="23" fillId="0" borderId="0" xfId="0" applyNumberFormat="1" applyFont="1" applyAlignment="1">
      <alignment horizontal="right"/>
    </xf>
    <xf numFmtId="0" fontId="24" fillId="0" borderId="22"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24" fillId="3" borderId="0" xfId="0" applyNumberFormat="1" applyFont="1" applyFill="1" applyAlignment="1">
      <alignment vertical="top"/>
    </xf>
    <xf numFmtId="49" fontId="24" fillId="11" borderId="0" xfId="0" applyNumberFormat="1" applyFont="1" applyFill="1" applyAlignment="1">
      <alignment vertical="top"/>
    </xf>
    <xf numFmtId="1" fontId="24" fillId="11" borderId="0" xfId="0" applyNumberFormat="1" applyFont="1" applyFill="1" applyAlignment="1">
      <alignment vertical="top"/>
    </xf>
    <xf numFmtId="4" fontId="24" fillId="11"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0" fontId="25"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168" fontId="8" fillId="0" borderId="20" xfId="4" applyNumberFormat="1" applyBorder="1" applyAlignment="1">
      <alignment horizontal="center" vertical="top"/>
    </xf>
    <xf numFmtId="0" fontId="1" fillId="0" borderId="0" xfId="0" applyFont="1" applyAlignment="1">
      <alignment horizontal="center" wrapText="1"/>
    </xf>
    <xf numFmtId="1" fontId="24" fillId="14" borderId="0" xfId="0" applyNumberFormat="1" applyFont="1" applyFill="1" applyAlignment="1">
      <alignment vertical="top"/>
    </xf>
    <xf numFmtId="4" fontId="24" fillId="3" borderId="0" xfId="0" applyNumberFormat="1" applyFont="1" applyFill="1" applyAlignment="1">
      <alignment vertical="top"/>
    </xf>
    <xf numFmtId="1" fontId="24" fillId="0" borderId="0" xfId="0" applyNumberFormat="1" applyFont="1" applyAlignment="1">
      <alignment horizontal="center" vertical="top"/>
    </xf>
    <xf numFmtId="4" fontId="24" fillId="0" borderId="0" xfId="0" applyNumberFormat="1" applyFont="1" applyAlignment="1">
      <alignment horizontal="center" vertical="top"/>
    </xf>
    <xf numFmtId="0" fontId="32"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69"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27" fillId="5" borderId="0" xfId="0" applyFont="1" applyFill="1" applyAlignment="1">
      <alignment horizontal="center" wrapText="1"/>
    </xf>
    <xf numFmtId="2" fontId="9" fillId="5" borderId="0" xfId="0" applyNumberFormat="1" applyFont="1" applyFill="1" applyAlignment="1">
      <alignment horizontal="center" wrapText="1"/>
    </xf>
    <xf numFmtId="169"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69" fontId="4" fillId="3" borderId="0" xfId="0" applyNumberFormat="1" applyFont="1" applyFill="1" applyAlignment="1">
      <alignment horizontal="right" vertical="center"/>
    </xf>
    <xf numFmtId="2" fontId="19" fillId="0" borderId="0" xfId="12" applyNumberFormat="1" applyFont="1" applyFill="1" applyAlignment="1" applyProtection="1">
      <alignment horizontal="left" vertical="center"/>
    </xf>
    <xf numFmtId="2" fontId="19" fillId="0" borderId="0" xfId="12" applyNumberFormat="1" applyFont="1" applyFill="1" applyAlignment="1" applyProtection="1">
      <alignment horizontal="right" vertical="center"/>
    </xf>
    <xf numFmtId="2" fontId="19" fillId="0" borderId="0" xfId="12" applyNumberFormat="1" applyFont="1" applyFill="1" applyAlignment="1" applyProtection="1">
      <alignment horizontal="center" vertical="center"/>
    </xf>
    <xf numFmtId="2" fontId="20" fillId="0" borderId="0" xfId="0" applyNumberFormat="1" applyFont="1" applyAlignment="1">
      <alignment horizontal="center" vertical="center"/>
    </xf>
    <xf numFmtId="1" fontId="19" fillId="0" borderId="0" xfId="12" applyNumberFormat="1" applyFont="1" applyFill="1" applyAlignment="1" applyProtection="1">
      <alignment horizontal="center" vertical="center"/>
    </xf>
    <xf numFmtId="169" fontId="19" fillId="0" borderId="0" xfId="12" applyNumberFormat="1" applyFont="1" applyFill="1" applyAlignment="1" applyProtection="1">
      <alignment horizontal="center" vertical="center"/>
    </xf>
    <xf numFmtId="2" fontId="9" fillId="11" borderId="0" xfId="12" applyNumberFormat="1" applyFont="1" applyFill="1" applyBorder="1" applyAlignment="1" applyProtection="1">
      <alignment horizontal="left" vertical="center"/>
    </xf>
    <xf numFmtId="1" fontId="9" fillId="11" borderId="0" xfId="12" applyNumberFormat="1" applyFont="1" applyFill="1" applyAlignment="1" applyProtection="1">
      <alignment horizontal="right" vertical="center"/>
    </xf>
    <xf numFmtId="2" fontId="18" fillId="11" borderId="0" xfId="12" applyNumberFormat="1" applyFont="1" applyFill="1" applyBorder="1" applyAlignment="1" applyProtection="1">
      <alignment horizontal="center" vertical="center"/>
    </xf>
    <xf numFmtId="2" fontId="9" fillId="11" borderId="0" xfId="12" applyNumberFormat="1" applyFont="1" applyFill="1" applyAlignment="1" applyProtection="1">
      <alignment horizontal="left" vertical="center"/>
    </xf>
    <xf numFmtId="2" fontId="18" fillId="11" borderId="0" xfId="12" applyNumberFormat="1" applyFont="1" applyFill="1" applyAlignment="1" applyProtection="1">
      <alignment horizontal="left" vertical="center"/>
    </xf>
    <xf numFmtId="1" fontId="18" fillId="11" borderId="0" xfId="12" applyNumberFormat="1" applyFont="1" applyFill="1" applyAlignment="1" applyProtection="1">
      <alignment horizontal="right" vertical="center"/>
    </xf>
    <xf numFmtId="2" fontId="9" fillId="11" borderId="0" xfId="13" applyNumberFormat="1" applyFont="1" applyFill="1" applyAlignment="1" applyProtection="1">
      <alignment horizontal="right" vertical="center"/>
    </xf>
    <xf numFmtId="43" fontId="9" fillId="11" borderId="0" xfId="13" applyFont="1" applyFill="1" applyAlignment="1" applyProtection="1">
      <alignment horizontal="right" vertical="center"/>
    </xf>
    <xf numFmtId="169" fontId="9" fillId="11"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35" fillId="4" borderId="2" xfId="0" applyFont="1" applyFill="1" applyBorder="1" applyAlignment="1">
      <alignment horizontal="right"/>
    </xf>
    <xf numFmtId="6" fontId="35"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32" xfId="0" applyNumberFormat="1" applyFont="1" applyFill="1" applyBorder="1"/>
    <xf numFmtId="164" fontId="16" fillId="3" borderId="33"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31"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165" fontId="34" fillId="2" borderId="33" xfId="0" applyNumberFormat="1" applyFont="1" applyFill="1" applyBorder="1" applyAlignment="1">
      <alignment horizontal="center"/>
    </xf>
    <xf numFmtId="0" fontId="15" fillId="9" borderId="0" xfId="0" applyFont="1" applyFill="1" applyAlignment="1">
      <alignment horizontal="right"/>
    </xf>
    <xf numFmtId="0" fontId="15" fillId="2" borderId="40" xfId="0" applyFont="1" applyFill="1" applyBorder="1"/>
    <xf numFmtId="164" fontId="15" fillId="2" borderId="36" xfId="0" applyNumberFormat="1" applyFont="1" applyFill="1" applyBorder="1"/>
    <xf numFmtId="0" fontId="35" fillId="0" borderId="0" xfId="0" applyFont="1" applyAlignment="1">
      <alignment horizontal="right"/>
    </xf>
    <xf numFmtId="9" fontId="34" fillId="2" borderId="42" xfId="0" applyNumberFormat="1" applyFont="1" applyFill="1" applyBorder="1" applyAlignment="1">
      <alignment horizontal="center"/>
    </xf>
    <xf numFmtId="1" fontId="35" fillId="4" borderId="4" xfId="0" applyNumberFormat="1" applyFont="1" applyFill="1" applyBorder="1" applyAlignment="1">
      <alignment horizontal="right"/>
    </xf>
    <xf numFmtId="165" fontId="35"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45" xfId="0" applyFont="1" applyBorder="1"/>
    <xf numFmtId="164" fontId="15" fillId="3" borderId="5" xfId="0" applyNumberFormat="1" applyFont="1" applyFill="1" applyBorder="1"/>
    <xf numFmtId="0" fontId="15" fillId="0" borderId="46" xfId="0" applyFont="1" applyBorder="1"/>
    <xf numFmtId="3" fontId="15" fillId="0" borderId="47" xfId="0" applyNumberFormat="1" applyFont="1" applyBorder="1"/>
    <xf numFmtId="3" fontId="15" fillId="0" borderId="48" xfId="0" applyNumberFormat="1" applyFont="1" applyBorder="1"/>
    <xf numFmtId="0" fontId="15" fillId="0" borderId="47" xfId="0" applyFont="1" applyBorder="1"/>
    <xf numFmtId="0" fontId="15" fillId="0" borderId="48" xfId="0" applyFont="1" applyBorder="1"/>
    <xf numFmtId="164" fontId="15" fillId="0" borderId="46" xfId="0" applyNumberFormat="1" applyFont="1" applyBorder="1"/>
    <xf numFmtId="164" fontId="15" fillId="0" borderId="47" xfId="0" applyNumberFormat="1" applyFont="1" applyBorder="1"/>
    <xf numFmtId="164" fontId="15" fillId="0" borderId="48" xfId="0" applyNumberFormat="1" applyFont="1" applyBorder="1"/>
    <xf numFmtId="0" fontId="30" fillId="0" borderId="0" xfId="0" applyFont="1" applyAlignment="1">
      <alignment horizontal="right"/>
    </xf>
    <xf numFmtId="0" fontId="30" fillId="0" borderId="0" xfId="0" applyFont="1"/>
    <xf numFmtId="3" fontId="15" fillId="0" borderId="4" xfId="0" applyNumberFormat="1" applyFont="1" applyBorder="1" applyAlignment="1">
      <alignment horizontal="center"/>
    </xf>
    <xf numFmtId="3" fontId="15" fillId="18" borderId="31" xfId="0" applyNumberFormat="1" applyFont="1" applyFill="1" applyBorder="1"/>
    <xf numFmtId="0" fontId="0" fillId="2" borderId="0" xfId="0" applyFill="1" applyAlignment="1">
      <alignment horizontal="right"/>
    </xf>
    <xf numFmtId="0" fontId="1" fillId="2" borderId="49" xfId="0" applyFont="1" applyFill="1" applyBorder="1" applyAlignment="1">
      <alignment horizontal="right"/>
    </xf>
    <xf numFmtId="164" fontId="1" fillId="18" borderId="1" xfId="0" applyNumberFormat="1" applyFont="1" applyFill="1" applyBorder="1"/>
    <xf numFmtId="0" fontId="15" fillId="2" borderId="40" xfId="0" applyFont="1" applyFill="1" applyBorder="1" applyAlignment="1">
      <alignment horizontal="center" vertical="center"/>
    </xf>
    <xf numFmtId="0" fontId="1" fillId="0" borderId="0" xfId="0" quotePrefix="1" applyFont="1" applyAlignment="1">
      <alignment horizontal="center" wrapText="1"/>
    </xf>
    <xf numFmtId="3" fontId="1" fillId="18" borderId="5" xfId="0" applyNumberFormat="1" applyFont="1" applyFill="1" applyBorder="1"/>
    <xf numFmtId="0" fontId="1" fillId="18" borderId="6" xfId="0" applyFont="1" applyFill="1" applyBorder="1" applyAlignment="1">
      <alignment horizontal="right"/>
    </xf>
    <xf numFmtId="49" fontId="1" fillId="18" borderId="38" xfId="0" quotePrefix="1" applyNumberFormat="1" applyFont="1" applyFill="1" applyBorder="1" applyAlignment="1">
      <alignment horizontal="center" wrapText="1"/>
    </xf>
    <xf numFmtId="0" fontId="1" fillId="0" borderId="41" xfId="0" applyFont="1" applyBorder="1" applyAlignment="1">
      <alignment horizontal="right" wrapText="1"/>
    </xf>
    <xf numFmtId="0" fontId="0" fillId="0" borderId="40" xfId="0" applyBorder="1"/>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0" fillId="3" borderId="0" xfId="0" applyFill="1" applyAlignment="1">
      <alignment horizontal="right"/>
    </xf>
    <xf numFmtId="0" fontId="0" fillId="11" borderId="0" xfId="0" applyFill="1" applyAlignment="1">
      <alignment horizontal="right"/>
    </xf>
    <xf numFmtId="0" fontId="0" fillId="12" borderId="0" xfId="0" applyFill="1" applyAlignment="1">
      <alignment horizontal="right"/>
    </xf>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1" fillId="18" borderId="37"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9" fontId="15" fillId="2" borderId="40" xfId="0" applyNumberFormat="1" applyFont="1" applyFill="1" applyBorder="1"/>
    <xf numFmtId="0" fontId="15" fillId="9" borderId="31" xfId="0" applyFont="1" applyFill="1" applyBorder="1"/>
    <xf numFmtId="16" fontId="0" fillId="0" borderId="0" xfId="0" applyNumberFormat="1"/>
    <xf numFmtId="9" fontId="15" fillId="2" borderId="31" xfId="0" applyNumberFormat="1" applyFont="1" applyFill="1" applyBorder="1" applyAlignment="1">
      <alignment horizontal="right"/>
    </xf>
    <xf numFmtId="164" fontId="16" fillId="3" borderId="11" xfId="0" applyNumberFormat="1" applyFont="1" applyFill="1" applyBorder="1"/>
    <xf numFmtId="164" fontId="16" fillId="3" borderId="50" xfId="0" applyNumberFormat="1" applyFont="1" applyFill="1" applyBorder="1"/>
    <xf numFmtId="49" fontId="1" fillId="3" borderId="38" xfId="0" quotePrefix="1" applyNumberFormat="1" applyFont="1" applyFill="1" applyBorder="1" applyAlignment="1">
      <alignment horizontal="center" wrapText="1"/>
    </xf>
    <xf numFmtId="0" fontId="1" fillId="18" borderId="51" xfId="0" applyFont="1" applyFill="1" applyBorder="1" applyAlignment="1">
      <alignment horizontal="right"/>
    </xf>
    <xf numFmtId="164" fontId="1" fillId="18" borderId="32" xfId="0" applyNumberFormat="1" applyFont="1" applyFill="1" applyBorder="1"/>
    <xf numFmtId="0" fontId="1" fillId="18" borderId="52" xfId="0" applyFont="1" applyFill="1" applyBorder="1" applyAlignment="1">
      <alignment horizontal="right"/>
    </xf>
    <xf numFmtId="164" fontId="1" fillId="18" borderId="53" xfId="0" applyNumberFormat="1" applyFont="1" applyFill="1" applyBorder="1"/>
    <xf numFmtId="49" fontId="18" fillId="11" borderId="38" xfId="0" quotePrefix="1" applyNumberFormat="1" applyFont="1" applyFill="1" applyBorder="1" applyAlignment="1">
      <alignment horizontal="center" wrapText="1"/>
    </xf>
    <xf numFmtId="0" fontId="4" fillId="2" borderId="54" xfId="0" applyFont="1" applyFill="1" applyBorder="1" applyAlignment="1">
      <alignment horizontal="right"/>
    </xf>
    <xf numFmtId="0" fontId="4" fillId="2" borderId="53" xfId="0" applyFont="1" applyFill="1" applyBorder="1" applyAlignment="1">
      <alignment horizontal="right"/>
    </xf>
    <xf numFmtId="0" fontId="4" fillId="2" borderId="53" xfId="0" applyFont="1" applyFill="1" applyBorder="1"/>
    <xf numFmtId="0" fontId="4" fillId="2" borderId="55" xfId="0" applyFont="1" applyFill="1" applyBorder="1"/>
    <xf numFmtId="3" fontId="15" fillId="2" borderId="4" xfId="0" applyNumberFormat="1" applyFont="1" applyFill="1" applyBorder="1"/>
    <xf numFmtId="3" fontId="15" fillId="2" borderId="5" xfId="0" applyNumberFormat="1" applyFont="1" applyFill="1" applyBorder="1"/>
    <xf numFmtId="3" fontId="1" fillId="9" borderId="49" xfId="0" applyNumberFormat="1" applyFont="1" applyFill="1" applyBorder="1" applyAlignment="1">
      <alignment horizontal="right"/>
    </xf>
    <xf numFmtId="0" fontId="39" fillId="0" borderId="0" xfId="0" applyFont="1" applyAlignment="1">
      <alignment horizontal="right"/>
    </xf>
    <xf numFmtId="1" fontId="35" fillId="19" borderId="36" xfId="0" applyNumberFormat="1" applyFont="1" applyFill="1" applyBorder="1" applyAlignment="1">
      <alignment horizontal="right"/>
    </xf>
    <xf numFmtId="1" fontId="35" fillId="4" borderId="6" xfId="0" applyNumberFormat="1" applyFont="1" applyFill="1" applyBorder="1" applyAlignment="1">
      <alignment horizontal="right"/>
    </xf>
    <xf numFmtId="165" fontId="35" fillId="4" borderId="7" xfId="0" applyNumberFormat="1" applyFont="1" applyFill="1" applyBorder="1" applyAlignment="1">
      <alignment horizontal="right"/>
    </xf>
    <xf numFmtId="0" fontId="40" fillId="0" borderId="0" xfId="0" applyFont="1" applyAlignment="1">
      <alignment horizontal="right"/>
    </xf>
    <xf numFmtId="9" fontId="1" fillId="2" borderId="58" xfId="0" applyNumberFormat="1" applyFont="1" applyFill="1" applyBorder="1"/>
    <xf numFmtId="1" fontId="1" fillId="2" borderId="58"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58" xfId="0" applyNumberFormat="1" applyFont="1" applyFill="1" applyBorder="1"/>
    <xf numFmtId="3" fontId="1" fillId="2" borderId="49" xfId="0" applyNumberFormat="1" applyFont="1" applyFill="1" applyBorder="1" applyAlignment="1">
      <alignment horizontal="right"/>
    </xf>
    <xf numFmtId="165" fontId="1" fillId="2" borderId="58"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59" xfId="0" applyNumberFormat="1" applyFont="1" applyBorder="1"/>
    <xf numFmtId="166" fontId="16" fillId="9" borderId="0" xfId="0" applyNumberFormat="1" applyFont="1" applyFill="1"/>
    <xf numFmtId="9" fontId="34" fillId="2" borderId="4" xfId="0" applyNumberFormat="1" applyFont="1" applyFill="1" applyBorder="1"/>
    <xf numFmtId="164" fontId="34" fillId="2" borderId="5" xfId="0" applyNumberFormat="1" applyFont="1" applyFill="1" applyBorder="1"/>
    <xf numFmtId="18" fontId="0" fillId="0" borderId="0" xfId="0" applyNumberFormat="1"/>
    <xf numFmtId="0" fontId="36" fillId="0" borderId="0" xfId="0" applyFont="1" applyAlignment="1">
      <alignment horizontal="right" vertical="center"/>
    </xf>
    <xf numFmtId="0" fontId="38" fillId="0" borderId="0" xfId="0" applyFont="1" applyAlignment="1">
      <alignment horizontal="right" vertical="center"/>
    </xf>
    <xf numFmtId="0" fontId="37" fillId="0" borderId="0" xfId="0" applyFont="1" applyAlignment="1">
      <alignment horizontal="right" vertical="center"/>
    </xf>
    <xf numFmtId="0" fontId="2" fillId="0" borderId="0" xfId="1" applyAlignment="1">
      <alignment horizontal="right"/>
    </xf>
    <xf numFmtId="0" fontId="36" fillId="0" borderId="0" xfId="0" applyFont="1" applyAlignment="1">
      <alignment horizontal="right" vertical="center" wrapText="1"/>
    </xf>
    <xf numFmtId="0" fontId="38" fillId="0" borderId="0" xfId="0" applyFont="1" applyAlignment="1">
      <alignment horizontal="right" vertical="center" wrapText="1"/>
    </xf>
    <xf numFmtId="0" fontId="37" fillId="0" borderId="0" xfId="0" applyFont="1" applyAlignment="1">
      <alignment horizontal="right" vertical="center" wrapText="1"/>
    </xf>
    <xf numFmtId="0" fontId="2" fillId="0" borderId="0" xfId="1" applyAlignment="1">
      <alignment horizontal="right" vertical="center" wrapText="1"/>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58"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18" borderId="58" xfId="0" applyNumberFormat="1" applyFont="1" applyFill="1" applyBorder="1"/>
    <xf numFmtId="9" fontId="0" fillId="2" borderId="0" xfId="0" applyNumberFormat="1" applyFill="1"/>
    <xf numFmtId="166" fontId="1" fillId="18" borderId="0" xfId="0" applyNumberFormat="1" applyFont="1" applyFill="1"/>
    <xf numFmtId="164" fontId="1" fillId="18" borderId="58" xfId="0" applyNumberFormat="1" applyFont="1" applyFill="1" applyBorder="1"/>
    <xf numFmtId="0" fontId="42" fillId="2" borderId="4" xfId="0" applyFont="1" applyFill="1" applyBorder="1"/>
    <xf numFmtId="0" fontId="1" fillId="2" borderId="3" xfId="0" applyFont="1" applyFill="1" applyBorder="1" applyAlignment="1">
      <alignment horizontal="left"/>
    </xf>
    <xf numFmtId="0" fontId="42" fillId="2" borderId="2" xfId="0" applyFont="1" applyFill="1" applyBorder="1"/>
    <xf numFmtId="0" fontId="1" fillId="2" borderId="5" xfId="0" applyFont="1" applyFill="1" applyBorder="1" applyAlignment="1">
      <alignment horizontal="left"/>
    </xf>
    <xf numFmtId="49" fontId="24" fillId="0" borderId="0" xfId="14" applyNumberFormat="1" applyFont="1" applyAlignment="1">
      <alignment vertical="top"/>
    </xf>
    <xf numFmtId="169" fontId="13" fillId="3" borderId="0" xfId="0" applyNumberFormat="1" applyFont="1" applyFill="1" applyAlignment="1" applyProtection="1">
      <alignment horizontal="center" vertical="center" wrapText="1"/>
      <protection locked="0"/>
    </xf>
    <xf numFmtId="169"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24" fillId="0" borderId="0" xfId="0" applyNumberFormat="1" applyFont="1" applyAlignment="1">
      <alignment vertical="top"/>
    </xf>
    <xf numFmtId="170" fontId="0" fillId="0" borderId="0" xfId="0" applyNumberFormat="1"/>
    <xf numFmtId="1" fontId="24" fillId="16" borderId="0" xfId="0" applyNumberFormat="1" applyFont="1" applyFill="1" applyAlignment="1">
      <alignment vertical="top"/>
    </xf>
    <xf numFmtId="4" fontId="24" fillId="16" borderId="0" xfId="0" applyNumberFormat="1" applyFont="1" applyFill="1" applyAlignment="1">
      <alignment vertical="top"/>
    </xf>
    <xf numFmtId="171" fontId="34" fillId="2" borderId="4" xfId="0" applyNumberFormat="1" applyFont="1" applyFill="1" applyBorder="1"/>
    <xf numFmtId="0" fontId="44" fillId="0" borderId="0" xfId="1" applyFont="1"/>
    <xf numFmtId="166" fontId="0" fillId="2" borderId="0" xfId="0" applyNumberFormat="1" applyFill="1"/>
    <xf numFmtId="49" fontId="1" fillId="18" borderId="5" xfId="0" applyNumberFormat="1" applyFont="1" applyFill="1" applyBorder="1" applyAlignment="1">
      <alignment horizontal="center" vertical="center" wrapText="1"/>
    </xf>
    <xf numFmtId="3" fontId="18" fillId="11" borderId="49" xfId="0" applyNumberFormat="1" applyFont="1" applyFill="1" applyBorder="1"/>
    <xf numFmtId="3" fontId="1" fillId="3" borderId="49" xfId="0" applyNumberFormat="1" applyFont="1" applyFill="1" applyBorder="1"/>
    <xf numFmtId="0" fontId="45" fillId="0" borderId="0" xfId="0" applyFont="1"/>
    <xf numFmtId="167" fontId="0" fillId="0" borderId="0" xfId="0" applyNumberFormat="1"/>
    <xf numFmtId="170" fontId="13" fillId="3" borderId="0" xfId="0" applyNumberFormat="1" applyFont="1" applyFill="1" applyAlignment="1" applyProtection="1">
      <alignment horizontal="center" wrapText="1"/>
      <protection locked="0"/>
    </xf>
    <xf numFmtId="170" fontId="0" fillId="0" borderId="0" xfId="0" applyNumberFormat="1" applyProtection="1">
      <protection locked="0"/>
    </xf>
    <xf numFmtId="0" fontId="0" fillId="0" borderId="0" xfId="0" applyAlignment="1">
      <alignment horizontal="center" wrapText="1"/>
    </xf>
    <xf numFmtId="4" fontId="0" fillId="2" borderId="0" xfId="0" applyNumberFormat="1" applyFill="1" applyProtection="1">
      <protection locked="0"/>
    </xf>
    <xf numFmtId="170" fontId="0" fillId="2" borderId="0" xfId="0" applyNumberFormat="1" applyFill="1" applyAlignment="1" applyProtection="1">
      <alignment horizontal="right"/>
      <protection locked="0"/>
    </xf>
    <xf numFmtId="1" fontId="24" fillId="16" borderId="0" xfId="14" applyNumberFormat="1" applyFont="1" applyFill="1" applyAlignment="1">
      <alignment vertical="top"/>
    </xf>
    <xf numFmtId="4" fontId="24" fillId="16" borderId="0" xfId="14" applyNumberFormat="1" applyFont="1" applyFill="1" applyAlignment="1">
      <alignment vertical="top"/>
    </xf>
    <xf numFmtId="16" fontId="0" fillId="0" borderId="0" xfId="0" applyNumberFormat="1" applyAlignment="1">
      <alignment horizontal="left"/>
    </xf>
    <xf numFmtId="0" fontId="0" fillId="2" borderId="0" xfId="0" applyFill="1"/>
    <xf numFmtId="166" fontId="1" fillId="2" borderId="0" xfId="0" applyNumberFormat="1" applyFont="1" applyFill="1"/>
    <xf numFmtId="0" fontId="1" fillId="2" borderId="0" xfId="0" applyFont="1" applyFill="1" applyAlignment="1">
      <alignment horizontal="right"/>
    </xf>
    <xf numFmtId="3" fontId="0" fillId="2" borderId="0" xfId="0" applyNumberFormat="1" applyFill="1"/>
    <xf numFmtId="2" fontId="0" fillId="0" borderId="1" xfId="0" applyNumberFormat="1" applyBorder="1"/>
    <xf numFmtId="0" fontId="1" fillId="2" borderId="0" xfId="0" applyFont="1" applyFill="1" applyAlignment="1">
      <alignment horizontal="center"/>
    </xf>
    <xf numFmtId="166" fontId="1" fillId="2" borderId="0" xfId="0" applyNumberFormat="1" applyFont="1" applyFill="1" applyAlignment="1">
      <alignment horizontal="center"/>
    </xf>
    <xf numFmtId="166" fontId="1" fillId="0" borderId="1" xfId="0" applyNumberFormat="1" applyFont="1" applyBorder="1" applyAlignment="1">
      <alignment horizontal="center"/>
    </xf>
    <xf numFmtId="4" fontId="1" fillId="0" borderId="1" xfId="0" applyNumberFormat="1" applyFont="1" applyBorder="1" applyAlignment="1">
      <alignment horizontal="center"/>
    </xf>
    <xf numFmtId="172" fontId="15" fillId="0" borderId="0" xfId="0" applyNumberFormat="1" applyFont="1"/>
    <xf numFmtId="0" fontId="0" fillId="9" borderId="0" xfId="0" applyFill="1" applyProtection="1">
      <protection locked="0"/>
    </xf>
    <xf numFmtId="0" fontId="31" fillId="0" borderId="0" xfId="0" applyFont="1" applyAlignment="1">
      <alignment horizontal="center" vertical="center"/>
    </xf>
    <xf numFmtId="4" fontId="0" fillId="3" borderId="5" xfId="0" applyNumberFormat="1" applyFill="1" applyBorder="1" applyAlignment="1">
      <alignment horizontal="right"/>
    </xf>
    <xf numFmtId="4" fontId="0" fillId="11" borderId="5" xfId="0" applyNumberFormat="1" applyFill="1" applyBorder="1" applyAlignment="1">
      <alignment horizontal="right"/>
    </xf>
    <xf numFmtId="4" fontId="0" fillId="12" borderId="5" xfId="0" applyNumberFormat="1" applyFill="1" applyBorder="1"/>
    <xf numFmtId="2" fontId="0" fillId="0" borderId="0" xfId="0" applyNumberFormat="1" applyAlignment="1">
      <alignment horizontal="center" wrapText="1"/>
    </xf>
    <xf numFmtId="170" fontId="0" fillId="0" borderId="0" xfId="0" applyNumberFormat="1" applyAlignment="1">
      <alignment horizontal="center" wrapText="1"/>
    </xf>
    <xf numFmtId="8" fontId="0" fillId="9" borderId="7" xfId="0" applyNumberFormat="1" applyFill="1" applyBorder="1" applyAlignment="1">
      <alignment horizontal="right"/>
    </xf>
    <xf numFmtId="2" fontId="0" fillId="0" borderId="0" xfId="0" applyNumberFormat="1" applyAlignment="1">
      <alignment vertical="center"/>
    </xf>
    <xf numFmtId="167" fontId="1" fillId="0" borderId="0" xfId="0" applyNumberFormat="1" applyFont="1" applyAlignment="1">
      <alignment horizontal="center" wrapText="1"/>
    </xf>
    <xf numFmtId="170" fontId="1" fillId="0" borderId="0" xfId="0" applyNumberFormat="1" applyFont="1" applyAlignment="1">
      <alignment horizontal="center" wrapText="1"/>
    </xf>
    <xf numFmtId="3" fontId="0" fillId="0" borderId="0" xfId="0" applyNumberFormat="1"/>
    <xf numFmtId="0" fontId="46" fillId="2" borderId="0" xfId="0" applyFont="1" applyFill="1"/>
    <xf numFmtId="0" fontId="46" fillId="0" borderId="0" xfId="0" applyFont="1"/>
    <xf numFmtId="166" fontId="0" fillId="9" borderId="0" xfId="0" applyNumberFormat="1" applyFill="1"/>
    <xf numFmtId="0" fontId="0" fillId="9" borderId="0" xfId="0" applyFill="1"/>
    <xf numFmtId="4" fontId="0" fillId="20" borderId="0" xfId="0" applyNumberFormat="1" applyFill="1" applyProtection="1">
      <protection locked="0"/>
    </xf>
    <xf numFmtId="4" fontId="0" fillId="0" borderId="0" xfId="0" applyNumberFormat="1" applyProtection="1">
      <protection locked="0"/>
    </xf>
    <xf numFmtId="4" fontId="0" fillId="9" borderId="0" xfId="0" applyNumberFormat="1" applyFill="1" applyProtection="1">
      <protection locked="0"/>
    </xf>
    <xf numFmtId="4" fontId="0" fillId="0" borderId="0" xfId="0" applyNumberFormat="1" applyAlignment="1">
      <alignment horizontal="right" vertical="center"/>
    </xf>
    <xf numFmtId="4" fontId="0" fillId="0" borderId="0" xfId="0" applyNumberFormat="1" applyAlignment="1">
      <alignment vertical="center"/>
    </xf>
    <xf numFmtId="9" fontId="15" fillId="0" borderId="0" xfId="0" applyNumberFormat="1" applyFont="1"/>
    <xf numFmtId="1" fontId="40" fillId="22" borderId="31" xfId="0" applyNumberFormat="1" applyFont="1" applyFill="1" applyBorder="1" applyAlignment="1">
      <alignment horizontal="right"/>
    </xf>
    <xf numFmtId="49" fontId="1" fillId="18" borderId="37" xfId="0" applyNumberFormat="1" applyFont="1" applyFill="1" applyBorder="1" applyAlignment="1">
      <alignment horizontal="center" wrapText="1"/>
    </xf>
    <xf numFmtId="0" fontId="16" fillId="0" borderId="3" xfId="0" applyFont="1" applyBorder="1" applyAlignment="1">
      <alignment horizontal="center"/>
    </xf>
    <xf numFmtId="14" fontId="16" fillId="0" borderId="7" xfId="0" applyNumberFormat="1" applyFont="1" applyBorder="1" applyAlignment="1">
      <alignment horizontal="center"/>
    </xf>
    <xf numFmtId="1" fontId="15" fillId="2" borderId="40" xfId="0" applyNumberFormat="1" applyFont="1" applyFill="1" applyBorder="1"/>
    <xf numFmtId="49" fontId="18" fillId="3" borderId="38" xfId="0" quotePrefix="1" applyNumberFormat="1" applyFont="1" applyFill="1" applyBorder="1" applyAlignment="1">
      <alignment horizontal="center" wrapText="1"/>
    </xf>
    <xf numFmtId="3" fontId="18" fillId="11" borderId="61" xfId="0" applyNumberFormat="1" applyFont="1" applyFill="1" applyBorder="1"/>
    <xf numFmtId="3" fontId="18" fillId="11" borderId="62" xfId="0" applyNumberFormat="1" applyFont="1" applyFill="1" applyBorder="1"/>
    <xf numFmtId="3" fontId="18" fillId="11" borderId="7" xfId="0" applyNumberFormat="1" applyFont="1" applyFill="1" applyBorder="1"/>
    <xf numFmtId="3" fontId="1" fillId="3" borderId="63" xfId="0" applyNumberFormat="1" applyFont="1" applyFill="1" applyBorder="1"/>
    <xf numFmtId="3" fontId="1" fillId="3" borderId="15" xfId="0" applyNumberFormat="1" applyFont="1" applyFill="1" applyBorder="1"/>
    <xf numFmtId="3" fontId="18" fillId="11" borderId="63" xfId="0" applyNumberFormat="1" applyFont="1" applyFill="1" applyBorder="1"/>
    <xf numFmtId="3" fontId="1" fillId="3" borderId="64" xfId="0" applyNumberFormat="1" applyFont="1" applyFill="1" applyBorder="1"/>
    <xf numFmtId="3" fontId="1" fillId="3" borderId="54" xfId="0" applyNumberFormat="1" applyFont="1" applyFill="1" applyBorder="1"/>
    <xf numFmtId="3" fontId="18" fillId="11" borderId="44" xfId="0" applyNumberFormat="1" applyFont="1" applyFill="1" applyBorder="1"/>
    <xf numFmtId="1" fontId="15" fillId="0" borderId="7" xfId="0" applyNumberFormat="1" applyFont="1" applyBorder="1"/>
    <xf numFmtId="3" fontId="15" fillId="18" borderId="40" xfId="0" applyNumberFormat="1" applyFont="1" applyFill="1" applyBorder="1"/>
    <xf numFmtId="0" fontId="16" fillId="17" borderId="2" xfId="0" applyFont="1" applyFill="1" applyBorder="1" applyAlignment="1">
      <alignment horizontal="center" vertical="center" wrapText="1"/>
    </xf>
    <xf numFmtId="0" fontId="1" fillId="17" borderId="10"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164" fontId="15" fillId="17" borderId="37" xfId="0" applyNumberFormat="1" applyFont="1" applyFill="1" applyBorder="1"/>
    <xf numFmtId="164" fontId="15" fillId="17" borderId="38" xfId="0" applyNumberFormat="1" applyFont="1" applyFill="1" applyBorder="1"/>
    <xf numFmtId="3" fontId="15" fillId="0" borderId="0" xfId="0" applyNumberFormat="1" applyFont="1"/>
    <xf numFmtId="3" fontId="15" fillId="2" borderId="2" xfId="0" applyNumberFormat="1" applyFont="1" applyFill="1" applyBorder="1"/>
    <xf numFmtId="3" fontId="15" fillId="2" borderId="3" xfId="0" applyNumberFormat="1" applyFont="1" applyFill="1" applyBorder="1"/>
    <xf numFmtId="3" fontId="15" fillId="2" borderId="4" xfId="0" applyNumberFormat="1" applyFont="1" applyFill="1" applyBorder="1"/>
    <xf numFmtId="3" fontId="15" fillId="2" borderId="5" xfId="0" applyNumberFormat="1" applyFont="1" applyFill="1" applyBorder="1"/>
    <xf numFmtId="3" fontId="15" fillId="2" borderId="6" xfId="0" applyNumberFormat="1" applyFont="1" applyFill="1" applyBorder="1"/>
    <xf numFmtId="3" fontId="15" fillId="2" borderId="7" xfId="0" applyNumberFormat="1" applyFont="1" applyFill="1" applyBorder="1"/>
    <xf numFmtId="164" fontId="15" fillId="0" borderId="1" xfId="0" applyNumberFormat="1" applyFont="1" applyBorder="1"/>
    <xf numFmtId="0" fontId="15" fillId="0" borderId="1" xfId="0" applyFont="1" applyBorder="1"/>
    <xf numFmtId="0" fontId="16" fillId="2" borderId="37" xfId="0" applyFont="1" applyFill="1" applyBorder="1" applyAlignment="1">
      <alignment horizontal="center" wrapText="1"/>
    </xf>
    <xf numFmtId="0" fontId="0" fillId="0" borderId="38" xfId="0" applyBorder="1"/>
    <xf numFmtId="3" fontId="15" fillId="2" borderId="34" xfId="0" applyNumberFormat="1" applyFont="1" applyFill="1" applyBorder="1"/>
    <xf numFmtId="3" fontId="15" fillId="2" borderId="35" xfId="0" applyNumberFormat="1" applyFont="1" applyFill="1"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0" fontId="16" fillId="17" borderId="4" xfId="0" applyFont="1" applyFill="1" applyBorder="1" applyAlignment="1">
      <alignment horizontal="center" vertical="center" wrapText="1"/>
    </xf>
    <xf numFmtId="0" fontId="1" fillId="17" borderId="0" xfId="0" applyFont="1" applyFill="1" applyAlignment="1">
      <alignment horizontal="center" vertical="center" wrapText="1"/>
    </xf>
    <xf numFmtId="0" fontId="1" fillId="17"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0" fontId="16" fillId="3" borderId="6" xfId="0" applyFont="1" applyFill="1" applyBorder="1" applyAlignment="1">
      <alignment horizontal="right"/>
    </xf>
    <xf numFmtId="0" fontId="15" fillId="3" borderId="1" xfId="0" applyFont="1" applyFill="1" applyBorder="1"/>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0" borderId="0" xfId="0" applyFont="1"/>
    <xf numFmtId="0" fontId="16" fillId="3" borderId="4" xfId="0" applyFont="1" applyFill="1" applyBorder="1" applyAlignment="1">
      <alignment horizontal="right"/>
    </xf>
    <xf numFmtId="0" fontId="16" fillId="3" borderId="0" xfId="0" applyFont="1" applyFill="1" applyAlignment="1">
      <alignment horizontal="right"/>
    </xf>
    <xf numFmtId="0" fontId="16" fillId="18"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16" fillId="0" borderId="2" xfId="0" applyFont="1" applyBorder="1" applyAlignment="1">
      <alignment horizontal="center"/>
    </xf>
    <xf numFmtId="0" fontId="16" fillId="0" borderId="10" xfId="0" applyFont="1" applyBorder="1" applyAlignment="1">
      <alignment horizontal="center"/>
    </xf>
    <xf numFmtId="0" fontId="16" fillId="0" borderId="6" xfId="0" applyFont="1" applyBorder="1" applyAlignment="1">
      <alignment horizontal="center"/>
    </xf>
    <xf numFmtId="0" fontId="1" fillId="0" borderId="1" xfId="0" applyFont="1" applyBorder="1" applyAlignment="1">
      <alignment horizontal="center"/>
    </xf>
    <xf numFmtId="14" fontId="16" fillId="0" borderId="1" xfId="0" applyNumberFormat="1" applyFont="1" applyBorder="1" applyAlignment="1">
      <alignment horizontal="center"/>
    </xf>
    <xf numFmtId="0" fontId="0" fillId="0" borderId="1" xfId="0" applyBorder="1"/>
    <xf numFmtId="0" fontId="0" fillId="0" borderId="10" xfId="0" applyBorder="1"/>
    <xf numFmtId="14" fontId="16" fillId="0" borderId="6" xfId="0" applyNumberFormat="1" applyFont="1" applyBorder="1" applyAlignment="1">
      <alignment horizontal="center"/>
    </xf>
    <xf numFmtId="3" fontId="15" fillId="0" borderId="1" xfId="0" applyNumberFormat="1" applyFont="1" applyBorder="1"/>
    <xf numFmtId="3" fontId="35" fillId="4" borderId="43" xfId="0" applyNumberFormat="1" applyFont="1" applyFill="1" applyBorder="1" applyAlignment="1">
      <alignment horizontal="right"/>
    </xf>
    <xf numFmtId="3" fontId="15" fillId="0" borderId="44" xfId="0" applyNumberFormat="1" applyFont="1" applyBorder="1" applyAlignment="1">
      <alignment horizontal="right"/>
    </xf>
    <xf numFmtId="3" fontId="15" fillId="18" borderId="2" xfId="0" applyNumberFormat="1" applyFont="1" applyFill="1" applyBorder="1"/>
    <xf numFmtId="0" fontId="15" fillId="18" borderId="3" xfId="0" applyFont="1" applyFill="1" applyBorder="1"/>
    <xf numFmtId="0" fontId="16" fillId="0" borderId="0" xfId="0" applyFont="1" applyAlignment="1">
      <alignment horizontal="right"/>
    </xf>
    <xf numFmtId="0" fontId="15" fillId="0" borderId="0" xfId="0" applyFont="1"/>
    <xf numFmtId="9" fontId="15" fillId="2" borderId="37" xfId="0" applyNumberFormat="1" applyFont="1" applyFill="1" applyBorder="1" applyAlignment="1">
      <alignment horizontal="right"/>
    </xf>
    <xf numFmtId="9" fontId="0" fillId="0" borderId="39" xfId="0" applyNumberFormat="1" applyBorder="1" applyAlignment="1">
      <alignment horizontal="right"/>
    </xf>
    <xf numFmtId="164" fontId="16" fillId="3" borderId="56" xfId="0" applyNumberFormat="1" applyFont="1" applyFill="1" applyBorder="1"/>
    <xf numFmtId="0" fontId="0" fillId="0" borderId="57" xfId="0" applyBorder="1"/>
    <xf numFmtId="9" fontId="0" fillId="0" borderId="38" xfId="0" applyNumberFormat="1" applyBorder="1" applyAlignment="1">
      <alignment horizontal="right"/>
    </xf>
    <xf numFmtId="164" fontId="15" fillId="0" borderId="6" xfId="0" applyNumberFormat="1" applyFont="1" applyBorder="1"/>
    <xf numFmtId="0" fontId="15" fillId="0" borderId="7" xfId="0" applyFont="1" applyBorder="1"/>
    <xf numFmtId="164" fontId="15" fillId="2" borderId="6" xfId="0" applyNumberFormat="1" applyFont="1" applyFill="1" applyBorder="1"/>
    <xf numFmtId="0" fontId="0" fillId="2" borderId="7" xfId="0" applyFill="1" applyBorder="1"/>
    <xf numFmtId="164" fontId="16" fillId="0" borderId="10" xfId="0" applyNumberFormat="1" applyFont="1" applyBorder="1" applyAlignment="1">
      <alignment horizontal="right"/>
    </xf>
    <xf numFmtId="0" fontId="16" fillId="0" borderId="10" xfId="0" applyFont="1" applyBorder="1" applyAlignment="1">
      <alignment horizontal="right"/>
    </xf>
    <xf numFmtId="164" fontId="15" fillId="18" borderId="6" xfId="0" applyNumberFormat="1" applyFont="1" applyFill="1" applyBorder="1"/>
    <xf numFmtId="0" fontId="15" fillId="18" borderId="7" xfId="0" applyFont="1" applyFill="1" applyBorder="1"/>
    <xf numFmtId="0" fontId="16" fillId="2" borderId="41" xfId="0" applyFont="1" applyFill="1" applyBorder="1" applyAlignment="1">
      <alignment horizontal="center" vertical="center" wrapText="1"/>
    </xf>
    <xf numFmtId="0" fontId="1" fillId="0" borderId="36" xfId="0" applyFont="1" applyBorder="1" applyAlignment="1">
      <alignment horizontal="center" vertical="center" wrapText="1"/>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0" fontId="15" fillId="2" borderId="41" xfId="0" applyFont="1" applyFill="1" applyBorder="1" applyAlignment="1">
      <alignment horizontal="center" vertical="center"/>
    </xf>
    <xf numFmtId="0" fontId="0" fillId="0" borderId="36" xfId="0" applyBorder="1" applyAlignment="1">
      <alignment horizontal="center" vertical="center"/>
    </xf>
    <xf numFmtId="0" fontId="16" fillId="0" borderId="10" xfId="0" applyFont="1" applyBorder="1" applyAlignment="1">
      <alignment horizontal="center" wrapText="1"/>
    </xf>
    <xf numFmtId="0" fontId="15" fillId="0" borderId="3" xfId="0" applyFont="1" applyBorder="1"/>
    <xf numFmtId="0" fontId="1" fillId="2" borderId="37" xfId="0" applyFont="1" applyFill="1" applyBorder="1" applyAlignment="1">
      <alignment horizontal="center"/>
    </xf>
    <xf numFmtId="0" fontId="1" fillId="2" borderId="39" xfId="0" applyFont="1" applyFill="1" applyBorder="1" applyAlignment="1">
      <alignment horizontal="center"/>
    </xf>
    <xf numFmtId="0" fontId="1" fillId="2" borderId="38" xfId="0" applyFont="1" applyFill="1" applyBorder="1" applyAlignment="1">
      <alignment horizontal="center"/>
    </xf>
    <xf numFmtId="0" fontId="16" fillId="0" borderId="1" xfId="0" applyFont="1" applyBorder="1" applyAlignment="1">
      <alignment horizontal="center"/>
    </xf>
    <xf numFmtId="164" fontId="15" fillId="18" borderId="41" xfId="0" applyNumberFormat="1" applyFont="1" applyFill="1" applyBorder="1" applyAlignment="1">
      <alignment horizontal="center" vertical="center" wrapText="1"/>
    </xf>
    <xf numFmtId="164" fontId="0" fillId="18" borderId="36" xfId="0" applyNumberFormat="1" applyFill="1" applyBorder="1" applyAlignment="1">
      <alignment horizontal="center" vertical="center" wrapText="1"/>
    </xf>
    <xf numFmtId="9" fontId="15" fillId="2" borderId="41" xfId="0" applyNumberFormat="1" applyFont="1" applyFill="1" applyBorder="1" applyAlignment="1">
      <alignment horizontal="center"/>
    </xf>
    <xf numFmtId="9" fontId="0" fillId="0" borderId="36" xfId="0" applyNumberFormat="1" applyBorder="1" applyAlignment="1">
      <alignment horizontal="center"/>
    </xf>
    <xf numFmtId="0" fontId="16" fillId="2"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164" fontId="15" fillId="0" borderId="37" xfId="0" applyNumberFormat="1" applyFont="1" applyBorder="1"/>
    <xf numFmtId="0" fontId="15" fillId="0" borderId="38" xfId="0" applyFont="1" applyBorder="1"/>
    <xf numFmtId="164" fontId="34" fillId="2" borderId="2" xfId="0" applyNumberFormat="1" applyFont="1" applyFill="1" applyBorder="1"/>
    <xf numFmtId="0" fontId="34" fillId="2" borderId="3" xfId="0" applyFont="1" applyFill="1" applyBorder="1"/>
    <xf numFmtId="0" fontId="15" fillId="18" borderId="41" xfId="0" applyFont="1" applyFill="1" applyBorder="1" applyAlignment="1">
      <alignment horizontal="center" vertical="center" wrapText="1"/>
    </xf>
    <xf numFmtId="0" fontId="0" fillId="18" borderId="36" xfId="0" applyFill="1" applyBorder="1" applyAlignment="1">
      <alignment horizontal="center" vertical="center" wrapText="1"/>
    </xf>
    <xf numFmtId="14" fontId="15" fillId="2" borderId="41" xfId="0" applyNumberFormat="1" applyFont="1" applyFill="1" applyBorder="1" applyAlignment="1">
      <alignment horizontal="center" vertical="center"/>
    </xf>
    <xf numFmtId="3" fontId="15" fillId="2" borderId="41" xfId="0" applyNumberFormat="1" applyFont="1" applyFill="1" applyBorder="1" applyAlignment="1">
      <alignment horizontal="center" vertical="center"/>
    </xf>
    <xf numFmtId="3" fontId="0" fillId="0" borderId="36" xfId="0" applyNumberFormat="1" applyBorder="1" applyAlignment="1">
      <alignment horizontal="center" vertical="center"/>
    </xf>
    <xf numFmtId="164" fontId="16" fillId="0" borderId="0" xfId="0" applyNumberFormat="1" applyFont="1" applyAlignment="1">
      <alignment horizontal="right"/>
    </xf>
    <xf numFmtId="164" fontId="15" fillId="18" borderId="2" xfId="0" applyNumberFormat="1" applyFont="1" applyFill="1" applyBorder="1"/>
    <xf numFmtId="164" fontId="15" fillId="0" borderId="12" xfId="0" applyNumberFormat="1" applyFont="1" applyBorder="1"/>
    <xf numFmtId="0" fontId="15" fillId="0" borderId="13" xfId="0" applyFont="1" applyBorder="1"/>
    <xf numFmtId="0" fontId="15" fillId="18" borderId="37" xfId="0" applyFont="1" applyFill="1" applyBorder="1" applyAlignment="1">
      <alignment horizontal="left"/>
    </xf>
    <xf numFmtId="0" fontId="0" fillId="0" borderId="38" xfId="0" applyBorder="1" applyAlignment="1">
      <alignment horizontal="left"/>
    </xf>
    <xf numFmtId="3" fontId="15" fillId="3" borderId="10" xfId="0" applyNumberFormat="1" applyFont="1" applyFill="1" applyBorder="1"/>
    <xf numFmtId="0" fontId="15" fillId="2" borderId="7" xfId="0" applyFont="1" applyFill="1" applyBorder="1"/>
    <xf numFmtId="164" fontId="15" fillId="3" borderId="10" xfId="0" applyNumberFormat="1" applyFont="1" applyFill="1" applyBorder="1"/>
    <xf numFmtId="0" fontId="15" fillId="3" borderId="3" xfId="0" applyFont="1" applyFill="1" applyBorder="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164" fontId="15" fillId="2" borderId="4" xfId="0" applyNumberFormat="1" applyFont="1" applyFill="1" applyBorder="1"/>
    <xf numFmtId="0" fontId="15" fillId="18" borderId="65" xfId="0" applyFont="1" applyFill="1" applyBorder="1" applyAlignment="1">
      <alignment horizontal="center" vertical="center" wrapText="1"/>
    </xf>
    <xf numFmtId="0" fontId="0" fillId="0" borderId="66" xfId="0" applyBorder="1"/>
    <xf numFmtId="1" fontId="15" fillId="18" borderId="65" xfId="0" applyNumberFormat="1" applyFont="1" applyFill="1" applyBorder="1" applyAlignment="1">
      <alignment horizontal="center" vertical="center" wrapText="1"/>
    </xf>
    <xf numFmtId="1" fontId="0" fillId="0" borderId="66" xfId="0" applyNumberFormat="1" applyBorder="1"/>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1" fillId="0" borderId="0" xfId="0" applyFont="1" applyAlignment="1">
      <alignment horizontal="center" wrapText="1"/>
    </xf>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vertical="top" wrapText="1"/>
    </xf>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60"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49" fontId="28"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28" fillId="12" borderId="2" xfId="0" applyNumberFormat="1" applyFont="1" applyFill="1" applyBorder="1" applyAlignment="1">
      <alignment horizontal="center" vertical="center"/>
    </xf>
    <xf numFmtId="0" fontId="1" fillId="12" borderId="3" xfId="0" applyFont="1" applyFill="1" applyBorder="1" applyAlignment="1">
      <alignment horizontal="center" vertical="center"/>
    </xf>
    <xf numFmtId="0" fontId="1" fillId="12" borderId="6" xfId="0" applyFont="1" applyFill="1" applyBorder="1" applyAlignment="1">
      <alignment vertical="center"/>
    </xf>
    <xf numFmtId="0" fontId="1" fillId="12" borderId="7" xfId="0" applyFont="1" applyFill="1" applyBorder="1" applyAlignment="1">
      <alignment vertical="center"/>
    </xf>
    <xf numFmtId="49" fontId="28" fillId="11"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28"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30" fillId="15" borderId="23" xfId="0" applyFont="1" applyFill="1" applyBorder="1" applyAlignment="1" applyProtection="1">
      <alignment horizontal="center" vertical="center" wrapText="1"/>
      <protection locked="0"/>
    </xf>
    <xf numFmtId="0" fontId="33" fillId="0" borderId="24" xfId="0" applyFont="1" applyBorder="1" applyAlignment="1" applyProtection="1">
      <alignment vertical="center" wrapText="1"/>
      <protection locked="0"/>
    </xf>
    <xf numFmtId="0" fontId="33" fillId="0" borderId="25" xfId="0" applyFont="1" applyBorder="1" applyAlignment="1" applyProtection="1">
      <alignment vertical="center" wrapText="1"/>
      <protection locked="0"/>
    </xf>
    <xf numFmtId="0" fontId="30" fillId="15" borderId="29" xfId="0" applyFont="1" applyFill="1" applyBorder="1" applyAlignment="1" applyProtection="1">
      <alignment horizontal="center" vertical="center" wrapText="1"/>
      <protection locked="0"/>
    </xf>
    <xf numFmtId="0" fontId="33" fillId="0" borderId="0" xfId="0" applyFont="1" applyAlignment="1" applyProtection="1">
      <alignment vertical="center" wrapText="1"/>
      <protection locked="0"/>
    </xf>
    <xf numFmtId="0" fontId="33" fillId="0" borderId="30" xfId="0" applyFont="1" applyBorder="1" applyAlignment="1" applyProtection="1">
      <alignment vertical="center" wrapText="1"/>
      <protection locked="0"/>
    </xf>
    <xf numFmtId="0" fontId="33" fillId="0" borderId="26" xfId="0" applyFont="1" applyBorder="1" applyAlignment="1" applyProtection="1">
      <alignment vertical="center" wrapText="1"/>
      <protection locked="0"/>
    </xf>
    <xf numFmtId="0" fontId="33" fillId="0" borderId="27" xfId="0" applyFont="1" applyBorder="1" applyAlignment="1" applyProtection="1">
      <alignment vertical="center" wrapText="1"/>
      <protection locked="0"/>
    </xf>
    <xf numFmtId="0" fontId="33" fillId="0" borderId="28" xfId="0" applyFont="1" applyBorder="1" applyAlignment="1" applyProtection="1">
      <alignment vertical="center" wrapText="1"/>
      <protection locked="0"/>
    </xf>
    <xf numFmtId="0" fontId="30" fillId="13" borderId="23" xfId="0" applyFont="1" applyFill="1" applyBorder="1" applyAlignment="1" applyProtection="1">
      <alignment horizontal="center" vertical="center"/>
      <protection locked="0"/>
    </xf>
    <xf numFmtId="0" fontId="0" fillId="0" borderId="24" xfId="0" applyBorder="1"/>
    <xf numFmtId="0" fontId="0" fillId="0" borderId="25" xfId="0" applyBorder="1"/>
    <xf numFmtId="0" fontId="0" fillId="0" borderId="29" xfId="0" applyBorder="1"/>
    <xf numFmtId="0" fontId="0" fillId="0" borderId="30" xfId="0" applyBorder="1"/>
    <xf numFmtId="0" fontId="0" fillId="0" borderId="26" xfId="0" applyBorder="1"/>
    <xf numFmtId="0" fontId="0" fillId="0" borderId="27" xfId="0" applyBorder="1"/>
    <xf numFmtId="0" fontId="0" fillId="0" borderId="28" xfId="0" applyBorder="1"/>
    <xf numFmtId="0" fontId="31" fillId="0" borderId="0" xfId="0" applyFont="1" applyAlignment="1">
      <alignment horizontal="center" vertical="center"/>
    </xf>
    <xf numFmtId="0" fontId="0" fillId="0" borderId="0" xfId="0" applyAlignment="1">
      <alignment vertical="center"/>
    </xf>
    <xf numFmtId="0" fontId="30" fillId="0" borderId="19" xfId="3" applyFont="1" applyAlignment="1">
      <alignment horizontal="left" vertical="center"/>
    </xf>
    <xf numFmtId="0" fontId="30" fillId="0" borderId="0" xfId="0" applyFont="1" applyAlignment="1">
      <alignment vertical="center"/>
    </xf>
    <xf numFmtId="0" fontId="31"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1" borderId="0" xfId="0" applyFont="1" applyFill="1" applyAlignment="1">
      <alignment horizontal="right" vertical="center" wrapText="1"/>
    </xf>
    <xf numFmtId="0" fontId="0" fillId="11" borderId="0" xfId="0" applyFill="1" applyAlignment="1">
      <alignment horizontal="right" vertical="center" wrapText="1"/>
    </xf>
    <xf numFmtId="0" fontId="1" fillId="12" borderId="0" xfId="0" applyFont="1" applyFill="1" applyAlignment="1">
      <alignment horizontal="right" vertical="center" wrapText="1"/>
    </xf>
    <xf numFmtId="0" fontId="0" fillId="12" borderId="0" xfId="0" applyFill="1" applyAlignment="1">
      <alignment horizontal="right" vertical="center" wrapText="1"/>
    </xf>
    <xf numFmtId="8" fontId="0" fillId="12" borderId="0" xfId="0" applyNumberFormat="1" applyFill="1" applyAlignment="1">
      <alignment horizontal="right"/>
    </xf>
    <xf numFmtId="0" fontId="0" fillId="0" borderId="0" xfId="0" applyAlignment="1">
      <alignment horizontal="right"/>
    </xf>
    <xf numFmtId="8" fontId="0" fillId="9" borderId="1" xfId="0" applyNumberFormat="1" applyFill="1" applyBorder="1" applyAlignment="1">
      <alignment horizontal="right"/>
    </xf>
    <xf numFmtId="0" fontId="0" fillId="0" borderId="1" xfId="0" applyBorder="1" applyAlignment="1">
      <alignment horizontal="right"/>
    </xf>
    <xf numFmtId="8" fontId="0" fillId="11" borderId="0" xfId="0" applyNumberFormat="1" applyFill="1" applyAlignment="1">
      <alignment horizontal="right"/>
    </xf>
    <xf numFmtId="8" fontId="0" fillId="3" borderId="0" xfId="0" applyNumberFormat="1" applyFill="1" applyAlignment="1">
      <alignment horizontal="right"/>
    </xf>
    <xf numFmtId="0" fontId="29" fillId="0" borderId="4" xfId="5" applyFont="1" applyBorder="1" applyAlignment="1">
      <alignment horizontal="center" wrapText="1"/>
    </xf>
    <xf numFmtId="0" fontId="30" fillId="0" borderId="0" xfId="0" applyFont="1" applyAlignment="1">
      <alignment horizontal="center"/>
    </xf>
    <xf numFmtId="0" fontId="1" fillId="0" borderId="1" xfId="0" applyFont="1" applyBorder="1" applyAlignment="1">
      <alignment horizontal="right" vertical="center" wrapText="1"/>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0" fontId="0" fillId="11" borderId="0" xfId="0" applyFill="1"/>
    <xf numFmtId="0" fontId="0" fillId="12" borderId="0" xfId="0" applyFill="1"/>
    <xf numFmtId="8" fontId="1" fillId="9" borderId="1" xfId="0" applyNumberFormat="1" applyFont="1" applyFill="1" applyBorder="1" applyAlignment="1">
      <alignment horizontal="right"/>
    </xf>
    <xf numFmtId="0" fontId="1" fillId="0" borderId="1" xfId="0" applyFont="1" applyBorder="1"/>
    <xf numFmtId="170" fontId="0" fillId="18" borderId="39" xfId="0" applyNumberFormat="1" applyFill="1" applyBorder="1" applyAlignment="1">
      <alignment horizontal="right" vertical="center"/>
    </xf>
    <xf numFmtId="170" fontId="0" fillId="18" borderId="38" xfId="0" applyNumberFormat="1" applyFill="1" applyBorder="1" applyAlignment="1">
      <alignment horizontal="right" vertical="center"/>
    </xf>
    <xf numFmtId="0" fontId="29" fillId="0" borderId="4" xfId="5" applyFont="1" applyBorder="1" applyAlignment="1">
      <alignment horizontal="left" wrapText="1"/>
    </xf>
    <xf numFmtId="0" fontId="0" fillId="0" borderId="5" xfId="0" applyBorder="1" applyAlignment="1">
      <alignment horizontal="left"/>
    </xf>
    <xf numFmtId="0" fontId="30" fillId="0" borderId="0" xfId="0" applyFont="1" applyAlignment="1">
      <alignment horizontal="right"/>
    </xf>
    <xf numFmtId="0" fontId="0" fillId="0" borderId="5" xfId="0" applyBorder="1" applyAlignment="1">
      <alignment horizontal="right"/>
    </xf>
    <xf numFmtId="0" fontId="1" fillId="21" borderId="2" xfId="0" applyFont="1" applyFill="1" applyBorder="1" applyAlignment="1">
      <alignment horizontal="center"/>
    </xf>
    <xf numFmtId="0" fontId="0" fillId="21" borderId="10" xfId="0" applyFill="1" applyBorder="1"/>
    <xf numFmtId="0" fontId="0" fillId="21" borderId="3" xfId="0" applyFill="1" applyBorder="1"/>
    <xf numFmtId="0" fontId="1" fillId="21" borderId="6" xfId="0" applyFont="1" applyFill="1" applyBorder="1" applyAlignment="1">
      <alignment horizontal="center"/>
    </xf>
    <xf numFmtId="0" fontId="0" fillId="21" borderId="1" xfId="0" applyFill="1" applyBorder="1" applyAlignment="1">
      <alignment horizontal="center"/>
    </xf>
    <xf numFmtId="0" fontId="0" fillId="21" borderId="7" xfId="0" applyFill="1" applyBorder="1" applyAlignment="1">
      <alignment horizontal="center"/>
    </xf>
    <xf numFmtId="0" fontId="1" fillId="18" borderId="6" xfId="0" applyFont="1" applyFill="1" applyBorder="1" applyAlignment="1">
      <alignment horizontal="center"/>
    </xf>
    <xf numFmtId="0" fontId="1" fillId="18" borderId="1" xfId="0" applyFont="1" applyFill="1" applyBorder="1" applyAlignment="1">
      <alignment horizontal="center"/>
    </xf>
    <xf numFmtId="0" fontId="0" fillId="18" borderId="1" xfId="0" applyFill="1" applyBorder="1"/>
    <xf numFmtId="0" fontId="0" fillId="18" borderId="7" xfId="0" applyFill="1" applyBorder="1"/>
    <xf numFmtId="0" fontId="1" fillId="18" borderId="2" xfId="0" applyFont="1" applyFill="1" applyBorder="1" applyAlignment="1">
      <alignment horizontal="center"/>
    </xf>
    <xf numFmtId="0" fontId="1" fillId="18" borderId="10" xfId="0" applyFont="1" applyFill="1" applyBorder="1" applyAlignment="1">
      <alignment horizontal="center"/>
    </xf>
    <xf numFmtId="0" fontId="0" fillId="18" borderId="10" xfId="0" applyFill="1" applyBorder="1"/>
    <xf numFmtId="0" fontId="0" fillId="18" borderId="3" xfId="0" applyFill="1" applyBorder="1"/>
    <xf numFmtId="0" fontId="1" fillId="3" borderId="4" xfId="0" applyFont="1" applyFill="1" applyBorder="1" applyAlignment="1">
      <alignment horizontal="center"/>
    </xf>
    <xf numFmtId="0" fontId="1" fillId="3" borderId="0" xfId="0" applyFont="1" applyFill="1" applyAlignment="1">
      <alignment horizontal="center"/>
    </xf>
    <xf numFmtId="0" fontId="1" fillId="0" borderId="0" xfId="0" applyFont="1" applyAlignment="1">
      <alignment horizontal="right"/>
    </xf>
    <xf numFmtId="166" fontId="1" fillId="0" borderId="0" xfId="0" applyNumberFormat="1" applyFont="1" applyAlignment="1">
      <alignment horizontal="right"/>
    </xf>
    <xf numFmtId="164" fontId="1" fillId="18" borderId="39" xfId="0" applyNumberFormat="1" applyFont="1" applyFill="1" applyBorder="1"/>
    <xf numFmtId="3" fontId="13" fillId="3" borderId="37" xfId="0" applyNumberFormat="1" applyFont="1" applyFill="1" applyBorder="1" applyAlignment="1">
      <alignment horizontal="center"/>
    </xf>
    <xf numFmtId="0" fontId="4" fillId="3" borderId="39" xfId="0" applyFont="1" applyFill="1" applyBorder="1" applyAlignment="1">
      <alignment horizontal="center"/>
    </xf>
    <xf numFmtId="0" fontId="4" fillId="3" borderId="38" xfId="0" applyFont="1" applyFill="1" applyBorder="1" applyAlignment="1">
      <alignment horizontal="center"/>
    </xf>
    <xf numFmtId="0" fontId="1" fillId="18" borderId="37" xfId="0" applyFont="1" applyFill="1" applyBorder="1" applyAlignment="1">
      <alignment horizontal="center" vertical="center" wrapText="1"/>
    </xf>
    <xf numFmtId="0" fontId="0" fillId="0" borderId="38" xfId="0" applyBorder="1" applyAlignment="1">
      <alignment horizontal="center" wrapText="1"/>
    </xf>
    <xf numFmtId="3" fontId="1" fillId="18" borderId="4" xfId="0" applyNumberFormat="1" applyFont="1" applyFill="1" applyBorder="1"/>
    <xf numFmtId="3" fontId="18" fillId="11" borderId="37" xfId="0" applyNumberFormat="1" applyFont="1" applyFill="1" applyBorder="1" applyAlignment="1">
      <alignment horizontal="center"/>
    </xf>
    <xf numFmtId="0" fontId="0" fillId="0" borderId="39" xfId="0" applyBorder="1" applyAlignment="1">
      <alignment horizontal="center"/>
    </xf>
    <xf numFmtId="0" fontId="0" fillId="0" borderId="38" xfId="0" applyBorder="1" applyAlignment="1">
      <alignment horizontal="center"/>
    </xf>
    <xf numFmtId="164" fontId="1" fillId="18" borderId="38" xfId="0" applyNumberFormat="1" applyFont="1" applyFill="1" applyBorder="1"/>
    <xf numFmtId="3" fontId="13" fillId="3" borderId="39" xfId="0" applyNumberFormat="1" applyFont="1" applyFill="1" applyBorder="1" applyAlignment="1">
      <alignment horizontal="center"/>
    </xf>
    <xf numFmtId="3" fontId="13" fillId="3" borderId="38" xfId="0" applyNumberFormat="1" applyFont="1" applyFill="1" applyBorder="1" applyAlignment="1">
      <alignment horizontal="center"/>
    </xf>
    <xf numFmtId="0" fontId="1" fillId="18" borderId="38" xfId="0" applyFont="1" applyFill="1" applyBorder="1" applyAlignment="1">
      <alignment horizontal="center" vertical="center" wrapText="1"/>
    </xf>
    <xf numFmtId="3" fontId="18" fillId="11" borderId="39" xfId="0" applyNumberFormat="1" applyFont="1" applyFill="1" applyBorder="1" applyAlignment="1">
      <alignment horizontal="center"/>
    </xf>
    <xf numFmtId="3" fontId="18" fillId="11" borderId="38" xfId="0" applyNumberFormat="1" applyFont="1" applyFill="1" applyBorder="1" applyAlignment="1">
      <alignment horizontal="center"/>
    </xf>
    <xf numFmtId="3" fontId="1" fillId="18" borderId="0" xfId="0" applyNumberFormat="1" applyFont="1" applyFill="1"/>
    <xf numFmtId="0" fontId="48" fillId="23" borderId="67" xfId="0" applyFont="1" applyFill="1" applyBorder="1" applyAlignment="1">
      <alignment horizontal="center" vertical="center" wrapText="1"/>
    </xf>
    <xf numFmtId="0" fontId="49" fillId="24" borderId="68" xfId="0" applyFont="1" applyFill="1" applyBorder="1" applyAlignment="1">
      <alignment horizontal="center"/>
    </xf>
    <xf numFmtId="0" fontId="50" fillId="25" borderId="69" xfId="0" applyFont="1" applyFill="1" applyBorder="1" applyAlignment="1">
      <alignment horizontal="left" vertical="center"/>
    </xf>
    <xf numFmtId="173" fontId="50" fillId="25" borderId="69" xfId="0" applyNumberFormat="1" applyFont="1" applyFill="1" applyBorder="1" applyAlignment="1">
      <alignment vertical="center"/>
    </xf>
    <xf numFmtId="165" fontId="50" fillId="25" borderId="69" xfId="0" applyNumberFormat="1" applyFont="1" applyFill="1" applyBorder="1" applyAlignment="1">
      <alignment vertical="center"/>
    </xf>
    <xf numFmtId="0" fontId="50" fillId="25" borderId="69" xfId="0" applyFont="1" applyFill="1" applyBorder="1" applyAlignment="1">
      <alignment horizontal="left" vertical="center" wrapText="1"/>
    </xf>
    <xf numFmtId="0" fontId="40" fillId="26" borderId="68" xfId="0" applyFont="1" applyFill="1" applyBorder="1" applyAlignment="1">
      <alignment horizontal="right" vertical="top"/>
    </xf>
    <xf numFmtId="174" fontId="0" fillId="27" borderId="68" xfId="0" applyNumberFormat="1" applyFill="1" applyBorder="1" applyAlignment="1">
      <alignment vertical="top"/>
    </xf>
    <xf numFmtId="0" fontId="51" fillId="28" borderId="67" xfId="0" applyFont="1" applyFill="1" applyBorder="1" applyAlignment="1">
      <alignment horizontal="left" vertical="center"/>
    </xf>
    <xf numFmtId="173" fontId="51" fillId="28" borderId="67" xfId="0" applyNumberFormat="1" applyFont="1" applyFill="1" applyBorder="1" applyAlignment="1">
      <alignment vertical="center"/>
    </xf>
    <xf numFmtId="165" fontId="51" fillId="28" borderId="67" xfId="0" applyNumberFormat="1" applyFont="1" applyFill="1" applyBorder="1" applyAlignment="1">
      <alignment vertical="center"/>
    </xf>
    <xf numFmtId="0" fontId="51" fillId="28" borderId="67" xfId="0" applyFont="1" applyFill="1" applyBorder="1" applyAlignment="1">
      <alignment horizontal="left" vertical="center" wrapText="1"/>
    </xf>
    <xf numFmtId="0" fontId="52" fillId="24" borderId="0" xfId="0" applyFont="1" applyFill="1" applyAlignment="1">
      <alignment horizontal="center"/>
    </xf>
    <xf numFmtId="0" fontId="35" fillId="26" borderId="0" xfId="0" applyFont="1" applyFill="1" applyAlignment="1">
      <alignment horizontal="center" vertical="top" wrapText="1"/>
    </xf>
    <xf numFmtId="0" fontId="40" fillId="26" borderId="0" xfId="0" applyFont="1" applyFill="1" applyAlignment="1">
      <alignment horizontal="center" vertical="top" wrapText="1"/>
    </xf>
    <xf numFmtId="0" fontId="0" fillId="26" borderId="70" xfId="0" applyFill="1" applyBorder="1"/>
    <xf numFmtId="165" fontId="0" fillId="26" borderId="70" xfId="0" applyNumberFormat="1" applyFill="1" applyBorder="1" applyAlignment="1">
      <alignment horizontal="right"/>
    </xf>
    <xf numFmtId="0" fontId="53" fillId="16" borderId="0" xfId="0" applyFont="1" applyFill="1"/>
    <xf numFmtId="0" fontId="1" fillId="18" borderId="4" xfId="0" applyFont="1" applyFill="1" applyBorder="1" applyAlignment="1">
      <alignment horizontal="center"/>
    </xf>
    <xf numFmtId="0" fontId="1" fillId="18" borderId="0" xfId="0" applyFont="1" applyFill="1" applyAlignment="1">
      <alignment horizontal="center"/>
    </xf>
    <xf numFmtId="0" fontId="40" fillId="29" borderId="68" xfId="0" applyFont="1" applyFill="1" applyBorder="1" applyAlignment="1">
      <alignment horizontal="center" wrapText="1"/>
    </xf>
    <xf numFmtId="0" fontId="35" fillId="29" borderId="71" xfId="0" applyFont="1" applyFill="1" applyBorder="1" applyAlignment="1">
      <alignment horizontal="center" wrapText="1"/>
    </xf>
    <xf numFmtId="0" fontId="40" fillId="29" borderId="71" xfId="0" applyFont="1" applyFill="1" applyBorder="1" applyAlignment="1">
      <alignment horizontal="center" wrapText="1"/>
    </xf>
    <xf numFmtId="0" fontId="0" fillId="0" borderId="68" xfId="0" applyBorder="1" applyAlignment="1">
      <alignment vertical="top" wrapText="1"/>
    </xf>
    <xf numFmtId="174" fontId="0" fillId="30" borderId="68" xfId="0" applyNumberFormat="1" applyFill="1" applyBorder="1" applyAlignment="1">
      <alignment horizontal="right" vertical="top" wrapText="1"/>
    </xf>
    <xf numFmtId="174" fontId="0" fillId="27" borderId="68" xfId="0" applyNumberFormat="1" applyFill="1" applyBorder="1" applyAlignment="1">
      <alignment horizontal="right" vertical="top" wrapText="1"/>
    </xf>
    <xf numFmtId="175" fontId="0" fillId="30" borderId="68" xfId="0" applyNumberFormat="1" applyFill="1" applyBorder="1" applyAlignment="1">
      <alignment horizontal="center"/>
    </xf>
    <xf numFmtId="0" fontId="0" fillId="30" borderId="68" xfId="0" applyFill="1" applyBorder="1" applyAlignment="1">
      <alignment vertical="top" wrapText="1"/>
    </xf>
    <xf numFmtId="0" fontId="0" fillId="26" borderId="68" xfId="0" applyFill="1" applyBorder="1" applyAlignment="1">
      <alignment vertical="top"/>
    </xf>
    <xf numFmtId="0" fontId="40" fillId="26" borderId="68" xfId="0" applyFont="1" applyFill="1" applyBorder="1" applyAlignment="1">
      <alignment horizontal="right" vertical="top" wrapText="1"/>
    </xf>
    <xf numFmtId="0" fontId="0" fillId="27" borderId="68" xfId="0" applyFill="1" applyBorder="1" applyAlignment="1">
      <alignment vertical="top" wrapText="1"/>
    </xf>
    <xf numFmtId="0" fontId="40" fillId="31" borderId="68" xfId="0" applyFont="1" applyFill="1" applyBorder="1" applyAlignment="1">
      <alignment vertical="top" wrapText="1"/>
    </xf>
    <xf numFmtId="174" fontId="40" fillId="31" borderId="68" xfId="0" applyNumberFormat="1" applyFont="1" applyFill="1" applyBorder="1" applyAlignment="1">
      <alignment horizontal="right" vertical="top" wrapText="1"/>
    </xf>
    <xf numFmtId="0" fontId="0" fillId="26" borderId="68" xfId="0" applyFill="1" applyBorder="1" applyAlignment="1">
      <alignment vertical="top" wrapText="1"/>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66">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dxf>
    <dxf>
      <numFmt numFmtId="170" formatCode="mm/dd/yy;@"/>
    </dxf>
    <dxf>
      <numFmt numFmtId="0" formatCode="General"/>
    </dxf>
    <dxf>
      <numFmt numFmtId="0" formatCode="General"/>
    </dxf>
    <dxf>
      <numFmt numFmtId="0" formatCode="General"/>
    </dxf>
    <dxf>
      <font>
        <b/>
      </font>
      <alignment horizontal="center" vertical="bottom" textRotation="0" indent="0" justifyLastLine="0" shrinkToFit="0" readingOrder="0"/>
    </dxf>
    <dxf>
      <numFmt numFmtId="170" formatCode="mm/dd/yy;@"/>
    </dxf>
    <dxf>
      <font>
        <b/>
      </font>
      <alignment horizontal="center" vertical="bottom" textRotation="0" wrapText="1" indent="0" justifyLastLine="0" shrinkToFit="0" readingOrder="0"/>
    </dxf>
    <dxf>
      <numFmt numFmtId="0" formatCode="General"/>
    </dxf>
    <dxf>
      <numFmt numFmtId="3" formatCode="#,##0"/>
    </dxf>
    <dxf>
      <numFmt numFmtId="167" formatCode="m/d/yy;@"/>
    </dxf>
    <dxf>
      <numFmt numFmtId="0" formatCode="General"/>
    </dxf>
    <dxf>
      <numFmt numFmtId="0" formatCode="General"/>
    </dxf>
    <dxf>
      <font>
        <b/>
      </font>
      <alignment horizontal="center" vertical="bottom" textRotation="0" wrapText="1" indent="0" justifyLastLine="0" shrinkToFit="0" readingOrder="0"/>
    </dxf>
    <dxf>
      <numFmt numFmtId="2" formatCode="0.0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4" formatCode="#,##0.00"/>
      <protection locked="1" hidden="0"/>
    </dxf>
    <dxf>
      <protection locked="1" hidden="0"/>
    </dxf>
    <dxf>
      <numFmt numFmtId="170" formatCode="mm/dd/yy;@"/>
      <protection locked="1" hidden="0"/>
    </dxf>
    <dxf>
      <protection locked="1" hidden="0"/>
    </dxf>
    <dxf>
      <protection locked="1" hidden="0"/>
    </dxf>
    <dxf>
      <numFmt numFmtId="4" formatCode="#,##0.00"/>
      <protection locked="1" hidden="0"/>
    </dxf>
    <dxf>
      <numFmt numFmtId="4" formatCode="#,##0.0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bottom" textRotation="0" wrapText="1" indent="0" justifyLastLine="0" shrinkToFit="0" readingOrder="0"/>
      <protection locked="1" hidden="0"/>
    </dxf>
    <dxf>
      <fill>
        <patternFill patternType="solid">
          <fgColor indexed="64"/>
          <bgColor rgb="FFFFFF00"/>
        </patternFill>
      </fill>
      <protection locked="0" hidden="0"/>
    </dxf>
    <dxf>
      <numFmt numFmtId="4" formatCode="#,##0.00"/>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m/dd/yy;@"/>
      <fill>
        <patternFill patternType="solid">
          <fgColor indexed="64"/>
          <bgColor rgb="FFFFFF00"/>
        </patternFill>
      </fill>
      <alignment horizontal="right" vertical="bottom" textRotation="0" wrapText="0" indent="0" justifyLastLine="0" shrinkToFit="0" readingOrder="0"/>
      <protection locked="0" hidden="0"/>
    </dxf>
    <dxf>
      <numFmt numFmtId="1" formatCode="0"/>
      <fill>
        <patternFill patternType="solid">
          <fgColor indexed="64"/>
          <bgColor rgb="FFFFFF00"/>
        </patternFill>
      </fill>
      <protection locked="0" hidden="0"/>
    </dxf>
    <dxf>
      <numFmt numFmtId="169" formatCode="m/d;@"/>
      <fill>
        <patternFill patternType="solid">
          <fgColor indexed="64"/>
          <bgColor rgb="FFFFFF00"/>
        </patternFill>
      </fill>
      <alignment horizontal="center" vertical="center" textRotation="0" wrapText="0" indent="0" justifyLastLine="0" shrinkToFit="0" readingOrder="0"/>
      <protection locked="0" hidden="0"/>
    </dxf>
    <dxf>
      <numFmt numFmtId="4" formatCode="#,##0.00"/>
      <protection locked="0" hidden="0"/>
    </dxf>
    <dxf>
      <numFmt numFmtId="4"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65"/>
      <tableStyleElement type="headerRow" dxfId="64"/>
      <tableStyleElement type="firstRowStripe" dxfId="63"/>
    </tableStyle>
    <tableStyle name="Gantt Table Style 2" pivot="0" count="3" xr9:uid="{188EAD57-0217-4B5E-8A07-C858B28862F4}">
      <tableStyleElement type="wholeTable" dxfId="62"/>
      <tableStyleElement type="headerRow" dxfId="61"/>
      <tableStyleElement type="firstRowStrip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openxmlformats.org/officeDocument/2006/relationships/powerPivotData" Target="model/item.data"/><Relationship Id="rId42" Type="http://schemas.openxmlformats.org/officeDocument/2006/relationships/customXml" Target="../customXml/item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ustomXml" Target="../customXml/item3.xml"/></Relationships>
</file>

<file path=xl/ctrlProps/ctrlProp1.xml><?xml version="1.0" encoding="utf-8"?>
<formControlPr xmlns="http://schemas.microsoft.com/office/spreadsheetml/2009/9/main" objectType="Radio" firstButton="1" fmlaLink="$J$1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CheckBox" fmlaLink="$L$14" lockText="1" noThreeD="1"/>
</file>

<file path=xl/ctrlProps/ctrlProp4.xml><?xml version="1.0" encoding="utf-8"?>
<formControlPr xmlns="http://schemas.microsoft.com/office/spreadsheetml/2009/9/main" objectType="CheckBox" fmlaLink="$L$15" lockText="1" noThreeD="1"/>
</file>

<file path=xl/ctrlProps/ctrlProp5.xml><?xml version="1.0" encoding="utf-8"?>
<formControlPr xmlns="http://schemas.microsoft.com/office/spreadsheetml/2009/9/main" objectType="CheckBox" fmlaLink="$L$16" lockText="1" noThreeD="1"/>
</file>

<file path=xl/ctrlProps/ctrlProp6.xml><?xml version="1.0" encoding="utf-8"?>
<formControlPr xmlns="http://schemas.microsoft.com/office/spreadsheetml/2009/9/main" objectType="Scroll" dx="39" fmlaLink="$AB$26" horiz="1" max="365" page="0" val="0"/>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2.xml"/></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3.xml"/></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28575</xdr:colOff>
          <xdr:row>10</xdr:row>
          <xdr:rowOff>28575</xdr:rowOff>
        </xdr:from>
        <xdr:to>
          <xdr:col>7</xdr:col>
          <xdr:colOff>352425</xdr:colOff>
          <xdr:row>11</xdr:row>
          <xdr:rowOff>47625</xdr:rowOff>
        </xdr:to>
        <xdr:sp macro="" textlink="">
          <xdr:nvSpPr>
            <xdr:cNvPr id="34817" name="optCapBasedValue" hidden="1">
              <a:extLst>
                <a:ext uri="{63B3BB69-23CF-44E3-9099-C40C66FF867C}">
                  <a14:compatExt spid="_x0000_s34817"/>
                </a:ext>
                <a:ext uri="{FF2B5EF4-FFF2-40B4-BE49-F238E27FC236}">
                  <a16:creationId xmlns:a16="http://schemas.microsoft.com/office/drawing/2014/main" id="{0EF70B60-DD83-42D7-B764-0A413770B58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Cap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10</xdr:row>
          <xdr:rowOff>28575</xdr:rowOff>
        </xdr:from>
        <xdr:to>
          <xdr:col>8</xdr:col>
          <xdr:colOff>295275</xdr:colOff>
          <xdr:row>11</xdr:row>
          <xdr:rowOff>47625</xdr:rowOff>
        </xdr:to>
        <xdr:sp macro="" textlink="">
          <xdr:nvSpPr>
            <xdr:cNvPr id="34818" name="optCMABasedValue" hidden="1">
              <a:extLst>
                <a:ext uri="{63B3BB69-23CF-44E3-9099-C40C66FF867C}">
                  <a14:compatExt spid="_x0000_s34818"/>
                </a:ext>
                <a:ext uri="{FF2B5EF4-FFF2-40B4-BE49-F238E27FC236}">
                  <a16:creationId xmlns:a16="http://schemas.microsoft.com/office/drawing/2014/main" id="{77EF1E31-DCE5-4D2E-9E83-1D2CF84E592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CMA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13</xdr:row>
          <xdr:rowOff>28575</xdr:rowOff>
        </xdr:from>
        <xdr:to>
          <xdr:col>12</xdr:col>
          <xdr:colOff>676275</xdr:colOff>
          <xdr:row>15</xdr:row>
          <xdr:rowOff>28575</xdr:rowOff>
        </xdr:to>
        <xdr:sp macro="" textlink="">
          <xdr:nvSpPr>
            <xdr:cNvPr id="34819" name="chkIncludeContract6" hidden="1">
              <a:extLst>
                <a:ext uri="{63B3BB69-23CF-44E3-9099-C40C66FF867C}">
                  <a14:compatExt spid="_x0000_s34819"/>
                </a:ext>
                <a:ext uri="{FF2B5EF4-FFF2-40B4-BE49-F238E27FC236}">
                  <a16:creationId xmlns:a16="http://schemas.microsoft.com/office/drawing/2014/main" id="{0A44BBA1-F589-477E-B943-0AD2EC94CDAE}"/>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14</xdr:row>
          <xdr:rowOff>28575</xdr:rowOff>
        </xdr:from>
        <xdr:to>
          <xdr:col>12</xdr:col>
          <xdr:colOff>676275</xdr:colOff>
          <xdr:row>15</xdr:row>
          <xdr:rowOff>219075</xdr:rowOff>
        </xdr:to>
        <xdr:sp macro="" textlink="">
          <xdr:nvSpPr>
            <xdr:cNvPr id="34820" name="chkIncludeContract7" hidden="1">
              <a:extLst>
                <a:ext uri="{63B3BB69-23CF-44E3-9099-C40C66FF867C}">
                  <a14:compatExt spid="_x0000_s34820"/>
                </a:ext>
                <a:ext uri="{FF2B5EF4-FFF2-40B4-BE49-F238E27FC236}">
                  <a16:creationId xmlns:a16="http://schemas.microsoft.com/office/drawing/2014/main" id="{668A6CA9-D5F3-4137-8E9C-5F5555B5F19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15</xdr:row>
          <xdr:rowOff>28575</xdr:rowOff>
        </xdr:from>
        <xdr:to>
          <xdr:col>12</xdr:col>
          <xdr:colOff>676275</xdr:colOff>
          <xdr:row>15</xdr:row>
          <xdr:rowOff>409575</xdr:rowOff>
        </xdr:to>
        <xdr:sp macro="" textlink="">
          <xdr:nvSpPr>
            <xdr:cNvPr id="34821" name="chkIncludeContract8" hidden="1">
              <a:extLst>
                <a:ext uri="{63B3BB69-23CF-44E3-9099-C40C66FF867C}">
                  <a14:compatExt spid="_x0000_s34821"/>
                </a:ext>
                <a:ext uri="{FF2B5EF4-FFF2-40B4-BE49-F238E27FC236}">
                  <a16:creationId xmlns:a16="http://schemas.microsoft.com/office/drawing/2014/main" id="{C732411B-2ADD-46BF-8AD6-771D727A81D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6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7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8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9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A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24_Project%20Management%20-%204121%20Tensity%20Dr%202.xlsm" TargetMode="External"/><Relationship Id="rId1" Type="http://schemas.openxmlformats.org/officeDocument/2006/relationships/externalLinkPath" Target="https://lifeisanadventure.sharepoint.com/sites/SellYourHome/Shared%20Documents/Property/24_Project%20Management%20-%204121%20Tensity%20Dr%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sheetName val="Amortization"/>
      <sheetName val="Docs"/>
      <sheetName val="Trade Properties"/>
      <sheetName val="MOG"/>
      <sheetName val="Contact"/>
      <sheetName val="Carrying"/>
      <sheetName val="Contract"/>
      <sheetName val="UpdateContract"/>
      <sheetName val="Gnatt Chart"/>
      <sheetName val="Invoice"/>
      <sheetName val="Recap"/>
      <sheetName val="Legal"/>
      <sheetName val="Seller Advance"/>
      <sheetName val="MISC"/>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 val="STR"/>
      <sheetName val="2024"/>
      <sheetName val="2023"/>
      <sheetName val="2022"/>
      <sheetName val="2021"/>
      <sheetName val="2020"/>
      <sheetName val="Furnishing"/>
    </sheetNames>
    <sheetDataSet>
      <sheetData sheetId="0"/>
      <sheetData sheetId="1">
        <row r="3">
          <cell r="D3">
            <v>0</v>
          </cell>
        </row>
        <row r="4">
          <cell r="D4">
            <v>0</v>
          </cell>
        </row>
        <row r="5">
          <cell r="E5">
            <v>0</v>
          </cell>
          <cell r="AH5" t="b">
            <v>0</v>
          </cell>
        </row>
        <row r="6">
          <cell r="D6">
            <v>0</v>
          </cell>
        </row>
        <row r="7">
          <cell r="D7">
            <v>45839</v>
          </cell>
        </row>
        <row r="8">
          <cell r="D8">
            <v>52322</v>
          </cell>
          <cell r="O8">
            <v>0.1</v>
          </cell>
          <cell r="V8">
            <v>1717.96</v>
          </cell>
        </row>
        <row r="11">
          <cell r="O11">
            <v>0.03</v>
          </cell>
          <cell r="V11">
            <v>0</v>
          </cell>
        </row>
        <row r="13">
          <cell r="J13">
            <v>46204</v>
          </cell>
          <cell r="P13">
            <v>120</v>
          </cell>
          <cell r="S13">
            <v>49857</v>
          </cell>
        </row>
        <row r="14">
          <cell r="P14">
            <v>120</v>
          </cell>
          <cell r="S14">
            <v>49827</v>
          </cell>
        </row>
      </sheetData>
      <sheetData sheetId="2"/>
      <sheetData sheetId="3"/>
      <sheetData sheetId="4"/>
      <sheetData sheetId="5"/>
      <sheetData sheetId="6"/>
      <sheetData sheetId="7"/>
      <sheetData sheetId="8"/>
      <sheetData sheetId="9">
        <row r="2">
          <cell r="F2">
            <v>45363</v>
          </cell>
        </row>
        <row r="4">
          <cell r="G4">
            <v>1</v>
          </cell>
        </row>
        <row r="24">
          <cell r="AB24">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1:33.69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1:55.59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2:15.88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2:32.868"/>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growShrinkType="insertClear" adjustColumnWidth="0" connectionId="5" xr16:uid="{AF163B3A-4144-4DA6-B14A-D446DCD77367}" autoFormatId="16" applyNumberFormats="0" applyBorderFormats="0" applyFontFormats="0" applyPatternFormats="0" applyAlignmentFormats="0" applyWidthHeightFormats="0">
  <queryTableRefresh nextId="25">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23" name="Due" tableColumnId="3"/>
      <queryTableField id="24" name="Notes" tableColumnId="1"/>
    </queryTableFields>
    <queryTableDeletedFields count="3">
      <deletedField name="Notes"/>
      <deletedField name="Notes"/>
      <deletedField name="D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roposalToGnatt  2" backgroundRefresh="0" connectionId="1" xr16:uid="{4080BA5F-CF8D-4060-BBCD-CB90CF91CE5B}" autoFormatId="16" applyNumberFormats="0" applyBorderFormats="0" applyFontFormats="0" applyPatternFormats="0" applyAlignmentFormats="0" applyWidthHeightFormats="0">
  <queryTableRefresh nextId="28">
    <queryTableFields count="7">
      <queryTableField id="2" name="Item" tableColumnId="2"/>
      <queryTableField id="26" name="Title" tableColumnId="1"/>
      <queryTableField id="16" name="Description" tableColumnId="16"/>
      <queryTableField id="24" name="Order" tableColumnId="4"/>
      <queryTableField id="11" name="Start Date" tableColumnId="11"/>
      <queryTableField id="22" name="Price" tableColumnId="3"/>
      <queryTableField id="9" name="Done" tableColumnId="9"/>
    </queryTableFields>
  </queryTableRefresh>
  <extLst>
    <ext xmlns:x15="http://schemas.microsoft.com/office/spreadsheetml/2010/11/main" uri="{883FBD77-0823-4a55-B5E3-86C4891E6966}">
      <x15:queryTable sourceDataName="Query - Recap"/>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8BEC618-3E83-49BB-89A2-43DC3CE0DBC5}" autoFormatId="16" applyNumberFormats="0" applyBorderFormats="0" applyFontFormats="0" applyPatternFormats="0" applyAlignmentFormats="0" applyWidthHeightFormats="0">
  <queryTableRefresh nextId="13">
    <queryTableFields count="6">
      <queryTableField id="1" name="Item" tableColumnId="1"/>
      <queryTableField id="11" name="Title" tableColumnId="3"/>
      <queryTableField id="6" name="Description" tableColumnId="6"/>
      <queryTableField id="2" name="Comment" tableColumnId="2"/>
      <queryTableField id="8" name="Date" tableColumnId="7"/>
      <queryTableField id="10" name="Done" tableColumnId="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71" totalsRowShown="0" headerRowDxfId="59" headerRowBorderDxfId="58">
  <autoFilter ref="A11:E71" xr:uid="{E8A9C9B7-BAF7-4CAB-9067-DC10D354858C}"/>
  <tableColumns count="5">
    <tableColumn id="1" xr3:uid="{9A4F1599-587C-4C12-AC23-D5B3879D1321}" name="Cost Code" dataDxfId="57"/>
    <tableColumn id="2" xr3:uid="{3ACCA719-70D2-4F0D-A8A3-69AE3272D3C1}" name="Title" dataDxfId="56"/>
    <tableColumn id="3" xr3:uid="{661FF8D2-2D43-4F8B-B73F-EC14A34B7050}" name="Description" dataDxfId="55"/>
    <tableColumn id="5" xr3:uid="{96319F4C-C120-4B14-BEB7-1D271C147258}" name="Qty" dataDxfId="54"/>
    <tableColumn id="6" xr3:uid="{CAFF8447-B9F2-4425-B2CD-C62CE1EB051F}" name="Unit Price" dataDxfId="5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64" tableType="queryTable" totalsRowShown="0" headerRowDxfId="52" dataDxfId="51">
  <autoFilter ref="A4:N64" xr:uid="{4A34AA4E-C13A-41A2-95E8-83E7E9409806}"/>
  <sortState xmlns:xlrd2="http://schemas.microsoft.com/office/spreadsheetml/2017/richdata2" ref="A5:N64">
    <sortCondition ref="B5:B14"/>
  </sortState>
  <tableColumns count="14">
    <tableColumn id="8" xr3:uid="{96E49A5C-5367-4ACB-B14D-E01CC163A0F1}" uniqueName="8" name="Party" queryTableFieldId="8" dataDxfId="50">
      <calculatedColumnFormula>+IF(FromProposal[[#This Row],[Cost Code]]&lt;&gt;0,+'Gnatt Chart'!$A$2,"")</calculatedColumnFormula>
    </tableColumn>
    <tableColumn id="1" xr3:uid="{6ADBCE42-4844-4052-8DB6-AB34AD671DD5}" uniqueName="1" name="Item" queryTableFieldId="15" dataDxfId="49"/>
    <tableColumn id="2" xr3:uid="{33F8A9BB-342C-4F7D-B125-F381BCB77C64}" uniqueName="2" name="Cost Code" queryTableFieldId="2" dataDxfId="48"/>
    <tableColumn id="3" xr3:uid="{EAE8FFCB-2C04-49B6-85CD-78C67097E902}" uniqueName="3" name="Title" queryTableFieldId="3" dataDxfId="47"/>
    <tableColumn id="4" xr3:uid="{439B82DD-03F8-428D-9245-8543A46F29DC}" uniqueName="4" name="Description" queryTableFieldId="4" dataDxfId="46"/>
    <tableColumn id="5" xr3:uid="{1E080297-D531-4180-92D4-1B19AACF49C1}" uniqueName="5" name="Qty" queryTableFieldId="5" dataDxfId="45"/>
    <tableColumn id="6" xr3:uid="{575B5FBE-3F82-40CD-8A54-810E146EF82F}" uniqueName="6" name="Unit Price" queryTableFieldId="6" dataDxfId="44"/>
    <tableColumn id="7" xr3:uid="{766B7F26-7C49-427A-A617-067C40444D87}" uniqueName="7" name="Price" queryTableFieldId="7" dataDxfId="43"/>
    <tableColumn id="9" xr3:uid="{A5701DF5-B99B-45EC-8FC5-7061E5C93440}" uniqueName="9" name="Done" queryTableFieldId="17" dataDxfId="42"/>
    <tableColumn id="14" xr3:uid="{1C4B67EF-B985-4B9A-9327-556AFBB5C4A1}" uniqueName="14" name="Group Order" queryTableFieldId="20" dataDxfId="41"/>
    <tableColumn id="12" xr3:uid="{A3E3248C-A9FB-45EA-9F9E-83897992215A}" uniqueName="12" name="Start Date" queryTableFieldId="12" dataDxfId="40"/>
    <tableColumn id="15" xr3:uid="{E31CECDC-7A24-4472-8474-4283CEDBD8FC}" uniqueName="15" name="Days" queryTableFieldId="14" dataDxfId="39"/>
    <tableColumn id="10" xr3:uid="{3EA3D46A-2606-48C3-B90D-0603A94FFB2E}" uniqueName="10" name="Paid" queryTableFieldId="18" dataDxfId="38"/>
    <tableColumn id="13" xr3:uid="{7268DDA6-B96D-499B-92E4-F124E0D116A3}" uniqueName="13" name="Notes" queryTableFieldId="19" dataDxfId="3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89" tableType="queryTable" totalsRowShown="0" headerRowDxfId="36" dataDxfId="35">
  <sortState xmlns:xlrd2="http://schemas.microsoft.com/office/spreadsheetml/2017/richdata2" ref="A30:O89">
    <sortCondition ref="J30:J83"/>
    <sortCondition ref="K30:K83"/>
  </sortState>
  <tableColumns count="15">
    <tableColumn id="106" xr3:uid="{88C796C4-2105-4C93-8E7A-CCEA28B0DF71}" uniqueName="106" name="Party" queryTableFieldId="1" dataDxfId="34"/>
    <tableColumn id="107" xr3:uid="{541F33A4-C6A3-44C5-81DB-FAA61B7F72AB}" uniqueName="107" name="Item" queryTableFieldId="2" dataDxfId="33"/>
    <tableColumn id="108" xr3:uid="{3AE45ADE-D247-428D-BB07-058C3457BF76}" uniqueName="108" name="Cost Code" queryTableFieldId="3" dataDxfId="32"/>
    <tableColumn id="109" xr3:uid="{B0D5185D-6AD1-4E8D-B845-F1898A9538BA}" uniqueName="109" name="Title" queryTableFieldId="4" dataDxfId="31"/>
    <tableColumn id="110" xr3:uid="{BF5C7BBF-561F-458E-BF23-5B7C697DF8C9}" uniqueName="110" name="Description" queryTableFieldId="5" dataDxfId="30"/>
    <tableColumn id="111" xr3:uid="{F21AE756-8924-4878-8615-262AB0D00519}" uniqueName="111" name="Qty" queryTableFieldId="6" dataDxfId="29"/>
    <tableColumn id="112" xr3:uid="{0CD8A8A4-BACC-44F4-93A1-F713A821F322}" uniqueName="112" name="Unit Price" queryTableFieldId="7" dataDxfId="28"/>
    <tableColumn id="113" xr3:uid="{26C57DEB-9347-43DE-B22B-A524ED52F9F1}" uniqueName="113" name="Price" queryTableFieldId="8" dataDxfId="27"/>
    <tableColumn id="114" xr3:uid="{EBDB1F65-628C-4940-9612-1C3FD8569DC1}" uniqueName="114" name="Done" queryTableFieldId="9" dataDxfId="26"/>
    <tableColumn id="115" xr3:uid="{12EEE598-AD5C-449D-9592-F3BFFA8A06FB}" uniqueName="115" name="Group Order" queryTableFieldId="10" dataDxfId="25"/>
    <tableColumn id="116" xr3:uid="{C6321B43-2488-4F52-A140-04EF16631EAF}" uniqueName="116" name="Start Date" queryTableFieldId="11" dataDxfId="24"/>
    <tableColumn id="117" xr3:uid="{E22A3266-2A40-492B-9764-940B22EBAEF6}" uniqueName="117" name="Days" queryTableFieldId="12" dataDxfId="23"/>
    <tableColumn id="118" xr3:uid="{DA6448B5-75FA-40C7-BF8D-CB99AC089926}" uniqueName="118" name="Paid" queryTableFieldId="13" dataDxfId="22"/>
    <tableColumn id="3" xr3:uid="{0EAEDA6D-3B4A-4D63-BCE1-6489307C3CA2}" uniqueName="3" name="Due" queryTableFieldId="23" dataDxfId="21"/>
    <tableColumn id="1" xr3:uid="{67811F05-1AA8-4D00-9800-87B33F8463CE}" uniqueName="1" name="Notes" queryTableFieldId="24" dataDxfId="20"/>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73191-CA76-4BB7-A991-FBCCC52C2E75}" name="Recap" displayName="Recap" ref="A4:G47" tableType="queryTable" totalsRowShown="0" headerRowDxfId="19">
  <autoFilter ref="A4:G47" xr:uid="{A9173191-CA76-4BB7-A991-FBCCC52C2E75}"/>
  <tableColumns count="7">
    <tableColumn id="2" xr3:uid="{5315D4CD-9089-41CE-8EE5-55BE99227BDD}" uniqueName="2" name="Item" queryTableFieldId="2"/>
    <tableColumn id="1" xr3:uid="{F94FA115-4496-4EA8-AD0C-0E7350822860}" uniqueName="1" name="Title" queryTableFieldId="26" dataDxfId="18"/>
    <tableColumn id="16" xr3:uid="{2E21600F-1D2E-4263-85CB-0D780BA42B26}" uniqueName="16" name="Description" queryTableFieldId="16" dataDxfId="17"/>
    <tableColumn id="4" xr3:uid="{089042D1-0A79-42D2-9FB4-550A2F42688C}" uniqueName="4" name="Order" queryTableFieldId="24"/>
    <tableColumn id="11" xr3:uid="{6FD6A57A-45C8-406C-9809-1268DBB2B9B0}" uniqueName="11" name="Start Date" queryTableFieldId="11" dataDxfId="16"/>
    <tableColumn id="3" xr3:uid="{5EC4595E-174D-4F70-976B-3F65280A553E}" uniqueName="3" name="Price" queryTableFieldId="22" dataDxfId="15"/>
    <tableColumn id="9" xr3:uid="{AF672E56-69B2-45E3-9B51-49B71E4850F5}" uniqueName="9" name="Done" queryTableFieldId="9"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E18073-5D4F-460C-896E-63518DBAB661}" name="Table4" displayName="Table4" ref="I4:L36" totalsRowShown="0" headerRowDxfId="13">
  <autoFilter ref="I4:L36" xr:uid="{AFE18073-5D4F-460C-896E-63518DBAB661}"/>
  <tableColumns count="4">
    <tableColumn id="1" xr3:uid="{D2F6F89B-1339-44BD-B3B6-A0FE4A662111}" name="Item"/>
    <tableColumn id="2" xr3:uid="{6ADF6489-F006-4F7A-ADDC-AC8ADCE4324D}" name="Comment"/>
    <tableColumn id="4" xr3:uid="{B71CFF71-6B28-4E15-A04B-70E2BCF66326}" name="Date" dataDxfId="12"/>
    <tableColumn id="3" xr3:uid="{7F217056-0A60-4E0A-98C9-77B54AED492A}" name="Done"/>
  </tableColumns>
  <tableStyleInfo name="TableStyleLight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6E1B5C-5187-4240-9021-5074DDE6412F}" name="AddRecapItems" displayName="AddRecapItems" ref="N4:S25" tableType="queryTable" totalsRowShown="0" headerRowDxfId="11">
  <autoFilter ref="N4:S25" xr:uid="{146E1B5C-5187-4240-9021-5074DDE6412F}">
    <filterColumn colId="5">
      <filters blank="1"/>
    </filterColumn>
  </autoFilter>
  <tableColumns count="6">
    <tableColumn id="1" xr3:uid="{713260E8-52E2-49AD-A7DB-30841C46A0C4}" uniqueName="1" name="Item" queryTableFieldId="1"/>
    <tableColumn id="3" xr3:uid="{B147708A-4898-4C2F-A869-57FB71143A69}" uniqueName="3" name="Title" queryTableFieldId="11" dataDxfId="10"/>
    <tableColumn id="6" xr3:uid="{370A03C6-6371-4586-89B8-B8E60670D39E}" uniqueName="6" name="Description" queryTableFieldId="6" dataDxfId="9"/>
    <tableColumn id="2" xr3:uid="{661F9F72-4AF8-4F51-BC8B-9C4CDE20BCFD}" uniqueName="2" name="Comment" queryTableFieldId="2" dataDxfId="8"/>
    <tableColumn id="7" xr3:uid="{0EEF4AC9-085C-46F3-B2F3-6205245C67C0}" uniqueName="7" name="Date" queryTableFieldId="8" dataDxfId="7"/>
    <tableColumn id="8" xr3:uid="{73C830EA-9470-4B48-8156-5EFC3F63E699}" uniqueName="8" name="Done" queryTableFieldId="10"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nsurancehub.com/" TargetMode="External"/><Relationship Id="rId7" Type="http://schemas.openxmlformats.org/officeDocument/2006/relationships/hyperlink" Target="https://signin.shellpointmtg.com/signin/myaccount" TargetMode="External"/><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mailto:Jenny@BuyYourHomeLLC.com" TargetMode="External"/><Relationship Id="rId5" Type="http://schemas.openxmlformats.org/officeDocument/2006/relationships/hyperlink" Target="mailto:Liza.Norris@HutchensLawfirm.com" TargetMode="External"/><Relationship Id="rId4" Type="http://schemas.openxmlformats.org/officeDocument/2006/relationships/hyperlink" Target="mailto:BMiron@insurancehub.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3.xml"/><Relationship Id="rId4" Type="http://schemas.openxmlformats.org/officeDocument/2006/relationships/ctrlProp" Target="../ctrlProps/ctrlProp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P122"/>
  <sheetViews>
    <sheetView zoomScaleNormal="100" workbookViewId="0">
      <pane xSplit="1" ySplit="3" topLeftCell="B4" activePane="bottomRight" state="frozen"/>
      <selection pane="topRight" activeCell="C1" sqref="C1:E1"/>
      <selection pane="bottomLeft" activeCell="C1" sqref="C1:E1"/>
      <selection pane="bottomRight" activeCell="K49" sqref="K49:K50"/>
    </sheetView>
  </sheetViews>
  <sheetFormatPr defaultColWidth="9.140625" defaultRowHeight="15" customHeight="1" x14ac:dyDescent="0.2"/>
  <cols>
    <col min="1" max="1" width="24.7109375" style="40" customWidth="1"/>
    <col min="2" max="2" width="6.42578125" style="40" customWidth="1"/>
    <col min="3" max="3" width="8.28515625" style="114" customWidth="1"/>
    <col min="4" max="4" width="9" style="39" customWidth="1"/>
    <col min="5" max="5" width="12.85546875" style="39" bestFit="1" customWidth="1"/>
    <col min="6" max="7" width="9.28515625" style="39" bestFit="1" customWidth="1"/>
    <col min="8" max="8" width="8.7109375" style="40" customWidth="1"/>
    <col min="9" max="9" width="8.5703125" style="114" bestFit="1" customWidth="1"/>
    <col min="10" max="10" width="11.5703125" style="39" customWidth="1"/>
    <col min="11" max="11" width="9.28515625" style="39" customWidth="1"/>
    <col min="12" max="12" width="5.28515625" style="39" customWidth="1"/>
    <col min="13" max="13" width="7.42578125" style="39" bestFit="1" customWidth="1"/>
    <col min="14" max="14" width="13.5703125" style="39" customWidth="1"/>
    <col min="15" max="15" width="10.42578125" style="39" bestFit="1" customWidth="1"/>
    <col min="16" max="16" width="7.42578125" style="39" bestFit="1"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16" ht="21" customHeight="1" thickBot="1" x14ac:dyDescent="0.35">
      <c r="A1" s="40" t="s">
        <v>0</v>
      </c>
      <c r="B1" s="372" t="s">
        <v>1</v>
      </c>
      <c r="C1" s="373"/>
      <c r="E1" s="180" t="s">
        <v>2</v>
      </c>
      <c r="F1" s="181" t="s">
        <v>3</v>
      </c>
    </row>
    <row r="2" spans="1:16" ht="16.5" customHeight="1" thickBot="1" x14ac:dyDescent="0.3">
      <c r="A2" s="115"/>
      <c r="B2" s="432" t="s">
        <v>4</v>
      </c>
      <c r="C2" s="433"/>
      <c r="D2" s="433"/>
      <c r="E2" s="433"/>
      <c r="F2" s="434"/>
      <c r="G2" s="116"/>
      <c r="H2" s="430" t="s">
        <v>5</v>
      </c>
      <c r="I2" s="431"/>
      <c r="J2" s="426" t="s">
        <v>6</v>
      </c>
      <c r="K2" s="454"/>
      <c r="N2" s="424" t="s">
        <v>7</v>
      </c>
      <c r="O2" s="424" t="s">
        <v>8</v>
      </c>
    </row>
    <row r="3" spans="1:16" ht="12" customHeight="1" thickBot="1" x14ac:dyDescent="0.25">
      <c r="A3" s="117" t="s">
        <v>9</v>
      </c>
      <c r="B3" s="118"/>
      <c r="D3" s="435" t="s">
        <v>10</v>
      </c>
      <c r="E3" s="435"/>
      <c r="F3" s="435" t="s">
        <v>11</v>
      </c>
      <c r="G3" s="371"/>
      <c r="H3" s="371"/>
      <c r="I3" s="417"/>
      <c r="J3" s="427"/>
      <c r="K3" s="429"/>
      <c r="N3" s="425"/>
      <c r="O3" s="425"/>
    </row>
    <row r="4" spans="1:16" ht="12" customHeight="1" thickBot="1" x14ac:dyDescent="0.25">
      <c r="A4" s="40" t="s">
        <v>12</v>
      </c>
      <c r="B4" s="476">
        <v>289000</v>
      </c>
      <c r="C4" s="477"/>
      <c r="E4" s="119"/>
      <c r="G4" s="119"/>
      <c r="I4" s="132"/>
      <c r="J4" s="426" t="s">
        <v>13</v>
      </c>
      <c r="K4" s="428" t="s">
        <v>14</v>
      </c>
    </row>
    <row r="5" spans="1:16" ht="12" customHeight="1" thickBot="1" x14ac:dyDescent="0.25">
      <c r="A5" s="40" t="s">
        <v>15</v>
      </c>
      <c r="B5" s="213">
        <v>-0.15</v>
      </c>
      <c r="C5" s="213">
        <v>0.1</v>
      </c>
      <c r="E5" s="119"/>
      <c r="G5" s="119"/>
      <c r="I5" s="137"/>
      <c r="J5" s="427"/>
      <c r="K5" s="429"/>
      <c r="N5" s="41" t="s">
        <v>16</v>
      </c>
      <c r="O5" s="315">
        <v>45194</v>
      </c>
      <c r="P5" s="163">
        <v>344600</v>
      </c>
    </row>
    <row r="6" spans="1:16" ht="12" customHeight="1" thickBot="1" x14ac:dyDescent="0.25">
      <c r="A6" s="40" t="s">
        <v>17</v>
      </c>
      <c r="B6" s="478">
        <f>+B4 + IF(B1="Hold",B4*C5,0) + IF(B1="wholetale",B4*B5,0)</f>
        <v>317900</v>
      </c>
      <c r="C6" s="479"/>
      <c r="E6" s="119"/>
      <c r="G6" s="164">
        <f>IF($B$1="hold",$B$4,$B$6)</f>
        <v>289000</v>
      </c>
      <c r="I6" s="137"/>
      <c r="J6" s="426" t="s">
        <v>18</v>
      </c>
      <c r="K6" s="438">
        <v>0.03</v>
      </c>
      <c r="N6" s="114"/>
      <c r="O6" s="315">
        <v>45217</v>
      </c>
      <c r="P6" s="163">
        <v>342200</v>
      </c>
    </row>
    <row r="7" spans="1:16" ht="12" customHeight="1" thickBot="1" x14ac:dyDescent="0.25">
      <c r="A7" s="40" t="s">
        <v>19</v>
      </c>
      <c r="B7" s="476"/>
      <c r="C7" s="477"/>
      <c r="D7" s="114">
        <f>+B7</f>
        <v>0</v>
      </c>
      <c r="E7" s="119"/>
      <c r="F7" s="114">
        <f>-B7</f>
        <v>0</v>
      </c>
      <c r="G7" s="164">
        <f ca="1">+IF($B$1="hold",$K$6,0)*$C$49/12*B4</f>
        <v>23409</v>
      </c>
      <c r="H7" s="247" t="str">
        <f>+IF($B$1="hold","&lt;-- Apprication -----------","")</f>
        <v>&lt;-- Apprication -----------</v>
      </c>
      <c r="I7" s="137"/>
      <c r="J7" s="427"/>
      <c r="K7" s="439"/>
      <c r="O7" s="315">
        <v>45820</v>
      </c>
      <c r="P7" s="163">
        <v>279400</v>
      </c>
    </row>
    <row r="8" spans="1:16" ht="12" customHeight="1" thickBot="1" x14ac:dyDescent="0.25">
      <c r="A8" s="40" t="s">
        <v>20</v>
      </c>
      <c r="B8" s="418">
        <v>0</v>
      </c>
      <c r="C8" s="464"/>
      <c r="D8" s="120"/>
      <c r="E8" s="121"/>
      <c r="F8" s="120"/>
      <c r="G8" s="122"/>
      <c r="I8" s="165">
        <f>IF(B1="Hold",+B8,"")</f>
        <v>0</v>
      </c>
      <c r="J8" s="426" t="s">
        <v>21</v>
      </c>
      <c r="K8" s="455">
        <v>1200</v>
      </c>
      <c r="O8" s="315">
        <v>46174</v>
      </c>
      <c r="P8" s="163">
        <v>280600</v>
      </c>
    </row>
    <row r="9" spans="1:16" ht="12" customHeight="1" thickBot="1" x14ac:dyDescent="0.25">
      <c r="C9" s="457" t="s">
        <v>22</v>
      </c>
      <c r="D9" s="421" t="s">
        <v>22</v>
      </c>
      <c r="E9" s="123">
        <f>SUM(D4:D8)</f>
        <v>0</v>
      </c>
      <c r="F9" s="459">
        <f ca="1">+SUM(F4:G8)</f>
        <v>312409</v>
      </c>
      <c r="G9" s="460"/>
      <c r="H9" s="459">
        <f>SUM(H4:I8)</f>
        <v>0</v>
      </c>
      <c r="I9" s="460"/>
      <c r="J9" s="427"/>
      <c r="K9" s="456"/>
      <c r="O9" s="315"/>
      <c r="P9" s="163"/>
    </row>
    <row r="10" spans="1:16" ht="12" customHeight="1" thickBot="1" x14ac:dyDescent="0.25">
      <c r="C10" s="124"/>
      <c r="D10" s="125"/>
      <c r="E10" s="123"/>
      <c r="F10" s="114"/>
      <c r="G10" s="119"/>
      <c r="H10" s="114"/>
      <c r="I10" s="126"/>
      <c r="O10" s="315"/>
      <c r="P10" s="163"/>
    </row>
    <row r="11" spans="1:16" ht="12" customHeight="1" thickTop="1" thickBot="1" x14ac:dyDescent="0.25">
      <c r="A11" s="127" t="s">
        <v>23</v>
      </c>
      <c r="B11" s="127"/>
      <c r="C11" s="128"/>
      <c r="D11" s="129"/>
      <c r="E11" s="172"/>
      <c r="F11" s="130"/>
      <c r="G11" s="172"/>
      <c r="H11" s="131"/>
      <c r="I11" s="177"/>
      <c r="O11" s="315"/>
      <c r="P11" s="163"/>
    </row>
    <row r="12" spans="1:16" ht="11.25" customHeight="1" thickBot="1" x14ac:dyDescent="0.3">
      <c r="A12" s="40" t="s">
        <v>24</v>
      </c>
      <c r="B12" s="450">
        <v>6266.78</v>
      </c>
      <c r="C12" s="451"/>
      <c r="D12" s="135">
        <f>-B12</f>
        <v>-6266.78</v>
      </c>
      <c r="E12" s="173"/>
      <c r="F12" s="182"/>
      <c r="G12" s="183" t="str">
        <f>IF(K4="Yes",0.3*B12,"")</f>
        <v/>
      </c>
      <c r="H12" s="461" t="s">
        <v>25</v>
      </c>
      <c r="I12" s="462"/>
      <c r="J12" s="390" t="s">
        <v>26</v>
      </c>
      <c r="K12" s="443"/>
      <c r="O12" s="315"/>
      <c r="P12" s="163"/>
    </row>
    <row r="13" spans="1:16" ht="12" customHeight="1" x14ac:dyDescent="0.2">
      <c r="A13" s="40" t="s">
        <v>27</v>
      </c>
      <c r="B13" s="290">
        <v>3.3750000000000002E-2</v>
      </c>
      <c r="C13" s="252">
        <v>22000</v>
      </c>
      <c r="D13" s="135">
        <f>-C13</f>
        <v>-22000</v>
      </c>
      <c r="E13" s="173"/>
      <c r="F13" s="135"/>
      <c r="G13" s="175"/>
      <c r="H13" s="135"/>
      <c r="I13" s="178"/>
      <c r="J13" s="444"/>
      <c r="K13" s="445"/>
      <c r="M13" s="138"/>
      <c r="O13" s="315"/>
      <c r="P13" s="163"/>
    </row>
    <row r="14" spans="1:16" ht="12" customHeight="1" x14ac:dyDescent="0.2">
      <c r="A14" s="40" t="s">
        <v>28</v>
      </c>
      <c r="B14" s="251"/>
      <c r="C14" s="252"/>
      <c r="D14" s="135"/>
      <c r="E14" s="173"/>
      <c r="F14" s="135">
        <f>-+(120-C48)*(C14/120)</f>
        <v>0</v>
      </c>
      <c r="G14" s="175"/>
      <c r="H14" s="135">
        <f>-(C14*B14/12)</f>
        <v>0</v>
      </c>
      <c r="I14" s="178"/>
      <c r="J14" s="444"/>
      <c r="K14" s="445"/>
      <c r="O14" s="315"/>
      <c r="P14" s="163"/>
    </row>
    <row r="15" spans="1:16" ht="12" customHeight="1" thickBot="1" x14ac:dyDescent="0.25">
      <c r="A15" s="40" t="s">
        <v>756</v>
      </c>
      <c r="B15" s="290">
        <v>7.0749999999999993E-2</v>
      </c>
      <c r="C15" s="252">
        <v>181057.16</v>
      </c>
      <c r="D15" s="133"/>
      <c r="E15" s="173">
        <f>+C15</f>
        <v>181057.16</v>
      </c>
      <c r="F15" s="135">
        <f>-C15</f>
        <v>-181057.16</v>
      </c>
      <c r="G15" s="175"/>
      <c r="H15" s="135"/>
      <c r="I15" s="178"/>
      <c r="J15" s="446"/>
      <c r="K15" s="447"/>
      <c r="O15" s="315"/>
      <c r="P15" s="163"/>
    </row>
    <row r="16" spans="1:16" ht="12" customHeight="1" thickBot="1" x14ac:dyDescent="0.25">
      <c r="A16" s="40" t="s">
        <v>29</v>
      </c>
      <c r="B16" s="226"/>
      <c r="C16" s="227"/>
      <c r="D16" s="135">
        <f>-C16</f>
        <v>0</v>
      </c>
      <c r="E16" s="173"/>
      <c r="F16" s="135"/>
      <c r="G16" s="175"/>
      <c r="H16" s="136"/>
      <c r="I16" s="178"/>
      <c r="J16" s="42"/>
      <c r="K16" s="42"/>
      <c r="O16" s="315"/>
      <c r="P16" s="163"/>
    </row>
    <row r="17" spans="1:16" ht="12" customHeight="1" thickBot="1" x14ac:dyDescent="0.25">
      <c r="A17" s="156" t="s">
        <v>30</v>
      </c>
      <c r="B17" s="210">
        <v>0</v>
      </c>
      <c r="C17" s="211"/>
      <c r="D17" s="135"/>
      <c r="E17" s="173"/>
      <c r="F17" s="135"/>
      <c r="G17" s="175"/>
      <c r="H17" s="139"/>
      <c r="I17" s="178"/>
      <c r="O17" s="315"/>
      <c r="P17" s="163"/>
    </row>
    <row r="18" spans="1:16" ht="12" customHeight="1" thickBot="1" x14ac:dyDescent="0.25">
      <c r="A18" s="156" t="s">
        <v>31</v>
      </c>
      <c r="B18" s="480">
        <v>0</v>
      </c>
      <c r="C18" s="464"/>
      <c r="D18" s="135">
        <f>-B18</f>
        <v>0</v>
      </c>
      <c r="E18" s="173"/>
      <c r="F18" s="135"/>
      <c r="G18" s="175"/>
      <c r="H18" s="136"/>
      <c r="I18" s="178"/>
      <c r="J18" s="440" t="s">
        <v>32</v>
      </c>
      <c r="K18" s="392"/>
      <c r="O18" s="315"/>
      <c r="P18" s="163"/>
    </row>
    <row r="19" spans="1:16" ht="12" customHeight="1" thickBot="1" x14ac:dyDescent="0.25">
      <c r="A19" s="156" t="s">
        <v>33</v>
      </c>
      <c r="B19" s="187"/>
      <c r="C19" s="152">
        <v>0</v>
      </c>
      <c r="D19" s="135">
        <f>-B19</f>
        <v>0</v>
      </c>
      <c r="E19" s="173"/>
      <c r="F19" s="135"/>
      <c r="G19" s="175"/>
      <c r="H19" s="136"/>
      <c r="I19" s="178"/>
      <c r="J19" s="441"/>
      <c r="K19" s="442"/>
      <c r="O19" s="315"/>
      <c r="P19" s="163"/>
    </row>
    <row r="20" spans="1:16" ht="12" customHeight="1" x14ac:dyDescent="0.2">
      <c r="A20" s="156" t="s">
        <v>34</v>
      </c>
      <c r="B20" s="354">
        <f ca="1">+J69</f>
        <v>32.4</v>
      </c>
      <c r="C20" s="134"/>
      <c r="D20" s="135"/>
      <c r="E20" s="173"/>
      <c r="F20" s="135"/>
      <c r="G20" s="175"/>
      <c r="H20" s="139"/>
      <c r="I20" s="178"/>
      <c r="J20" s="470" t="s">
        <v>35</v>
      </c>
      <c r="K20" s="471"/>
      <c r="O20" s="315"/>
      <c r="P20" s="163"/>
    </row>
    <row r="21" spans="1:16" ht="12" customHeight="1" x14ac:dyDescent="0.2">
      <c r="A21" s="156" t="s">
        <v>36</v>
      </c>
      <c r="B21" s="342">
        <f ca="1">+Carrying!F$49/$H$56</f>
        <v>942.76388888888914</v>
      </c>
      <c r="C21" s="134"/>
      <c r="D21" s="135"/>
      <c r="E21" s="173"/>
      <c r="F21" s="135"/>
      <c r="G21" s="175"/>
      <c r="H21" s="139">
        <f t="shared" ref="H21:H22" ca="1" si="0">IF($B$1="Hold",-B21,"")</f>
        <v>-942.76388888888914</v>
      </c>
      <c r="I21" s="178"/>
      <c r="J21" s="472"/>
      <c r="K21" s="473"/>
      <c r="P21" s="163"/>
    </row>
    <row r="22" spans="1:16" ht="12" customHeight="1" x14ac:dyDescent="0.2">
      <c r="A22" s="156" t="s">
        <v>757</v>
      </c>
      <c r="B22" s="342">
        <f ca="1">+Carrying!I$49/$H$56</f>
        <v>192.90123456790124</v>
      </c>
      <c r="C22" s="134"/>
      <c r="D22" s="135"/>
      <c r="E22" s="173"/>
      <c r="F22" s="135"/>
      <c r="G22" s="175"/>
      <c r="H22" s="139">
        <f t="shared" ca="1" si="0"/>
        <v>-192.90123456790124</v>
      </c>
      <c r="I22" s="178"/>
      <c r="J22" s="472"/>
      <c r="K22" s="473"/>
      <c r="P22" s="163"/>
    </row>
    <row r="23" spans="1:16" ht="12" customHeight="1" thickBot="1" x14ac:dyDescent="0.25">
      <c r="A23" s="156" t="s">
        <v>37</v>
      </c>
      <c r="B23" s="342">
        <f ca="1">+Carrying!L$49/$H$56</f>
        <v>55.917901234567921</v>
      </c>
      <c r="C23" s="134"/>
      <c r="D23" s="135"/>
      <c r="E23" s="173"/>
      <c r="F23" s="135"/>
      <c r="G23" s="175"/>
      <c r="H23" s="139">
        <f ca="1">IF($B$1="Hold",-B23,"")</f>
        <v>-55.917901234567921</v>
      </c>
      <c r="I23" s="178"/>
      <c r="J23" s="474"/>
      <c r="K23" s="475"/>
    </row>
    <row r="24" spans="1:16" ht="12" customHeight="1" x14ac:dyDescent="0.25">
      <c r="A24" s="156"/>
      <c r="B24" s="342"/>
      <c r="C24" s="134"/>
      <c r="D24" s="135"/>
      <c r="E24" s="173"/>
      <c r="F24" s="135"/>
      <c r="G24" s="175"/>
      <c r="H24" s="139"/>
      <c r="I24" s="178"/>
      <c r="J24"/>
      <c r="K24"/>
    </row>
    <row r="25" spans="1:16" ht="12.75" customHeight="1" x14ac:dyDescent="0.25">
      <c r="A25" s="156"/>
      <c r="B25" s="342"/>
      <c r="C25" s="134"/>
      <c r="D25" s="135"/>
      <c r="E25" s="173"/>
      <c r="F25" s="135"/>
      <c r="G25" s="175"/>
      <c r="H25" s="139"/>
      <c r="I25" s="178"/>
      <c r="J25"/>
      <c r="K25"/>
    </row>
    <row r="26" spans="1:16" ht="12" customHeight="1" x14ac:dyDescent="0.25">
      <c r="A26" s="156"/>
      <c r="B26" s="342"/>
      <c r="C26" s="134"/>
      <c r="D26" s="135"/>
      <c r="E26" s="173"/>
      <c r="F26" s="135"/>
      <c r="G26" s="175"/>
      <c r="H26" s="139"/>
      <c r="I26" s="178"/>
      <c r="J26"/>
      <c r="K26"/>
    </row>
    <row r="27" spans="1:16" ht="12" customHeight="1" x14ac:dyDescent="0.25">
      <c r="A27" s="156"/>
      <c r="B27" s="342"/>
      <c r="C27" s="134"/>
      <c r="D27" s="135"/>
      <c r="E27" s="173"/>
      <c r="F27" s="135"/>
      <c r="G27" s="175"/>
      <c r="H27" s="139"/>
      <c r="I27" s="178"/>
      <c r="J27"/>
      <c r="K27"/>
    </row>
    <row r="28" spans="1:16" ht="12" customHeight="1" x14ac:dyDescent="0.25">
      <c r="A28" s="156"/>
      <c r="B28" s="342"/>
      <c r="C28" s="134"/>
      <c r="D28" s="135"/>
      <c r="E28" s="173"/>
      <c r="F28" s="135"/>
      <c r="G28" s="175"/>
      <c r="H28" s="139"/>
      <c r="I28" s="178"/>
      <c r="J28"/>
      <c r="K28"/>
    </row>
    <row r="29" spans="1:16" ht="12" customHeight="1" x14ac:dyDescent="0.25">
      <c r="A29" s="156"/>
      <c r="B29" s="342"/>
      <c r="C29" s="134"/>
      <c r="D29" s="135"/>
      <c r="E29" s="173"/>
      <c r="F29" s="135"/>
      <c r="G29" s="175"/>
      <c r="H29" s="139"/>
      <c r="I29" s="178"/>
      <c r="J29"/>
      <c r="K29"/>
    </row>
    <row r="30" spans="1:16" ht="12" customHeight="1" x14ac:dyDescent="0.25">
      <c r="A30" s="156"/>
      <c r="B30" s="342"/>
      <c r="C30" s="134"/>
      <c r="D30" s="135"/>
      <c r="E30" s="173"/>
      <c r="F30" s="135"/>
      <c r="G30" s="175"/>
      <c r="H30" s="139"/>
      <c r="I30" s="178"/>
      <c r="J30"/>
      <c r="K30"/>
    </row>
    <row r="31" spans="1:16" ht="12" customHeight="1" x14ac:dyDescent="0.25">
      <c r="A31" s="156"/>
      <c r="B31" s="342"/>
      <c r="C31" s="134"/>
      <c r="D31" s="135"/>
      <c r="E31" s="173"/>
      <c r="F31" s="135"/>
      <c r="G31" s="175"/>
      <c r="H31" s="139"/>
      <c r="I31" s="178"/>
      <c r="J31"/>
      <c r="K31"/>
    </row>
    <row r="32" spans="1:16" ht="12" customHeight="1" x14ac:dyDescent="0.25">
      <c r="A32" s="156"/>
      <c r="B32" s="342"/>
      <c r="C32" s="134"/>
      <c r="D32" s="135"/>
      <c r="E32" s="173"/>
      <c r="F32" s="135"/>
      <c r="G32" s="175"/>
      <c r="H32" s="139"/>
      <c r="I32" s="178"/>
      <c r="J32"/>
      <c r="K32"/>
    </row>
    <row r="33" spans="1:14" ht="12" customHeight="1" x14ac:dyDescent="0.25">
      <c r="A33" s="156"/>
      <c r="B33" s="342"/>
      <c r="C33" s="134"/>
      <c r="D33" s="135"/>
      <c r="E33" s="173"/>
      <c r="F33" s="135"/>
      <c r="G33" s="175"/>
      <c r="H33" s="139"/>
      <c r="I33" s="178"/>
      <c r="J33"/>
      <c r="K33"/>
    </row>
    <row r="34" spans="1:14" ht="12" customHeight="1" x14ac:dyDescent="0.25">
      <c r="A34" s="156"/>
      <c r="B34" s="342"/>
      <c r="C34" s="134"/>
      <c r="D34" s="135"/>
      <c r="E34" s="173"/>
      <c r="F34" s="135"/>
      <c r="G34" s="175"/>
      <c r="H34" s="139"/>
      <c r="I34" s="178"/>
      <c r="J34"/>
      <c r="K34"/>
    </row>
    <row r="35" spans="1:14" ht="12" customHeight="1" x14ac:dyDescent="0.25">
      <c r="A35" s="156"/>
      <c r="B35" s="342"/>
      <c r="C35" s="134"/>
      <c r="D35" s="135"/>
      <c r="E35" s="173"/>
      <c r="F35" s="135"/>
      <c r="G35" s="175"/>
      <c r="H35" s="139"/>
      <c r="I35" s="178"/>
      <c r="J35"/>
      <c r="K35"/>
    </row>
    <row r="36" spans="1:14" ht="12" customHeight="1" x14ac:dyDescent="0.25">
      <c r="A36" s="156"/>
      <c r="B36" s="342"/>
      <c r="C36" s="134"/>
      <c r="D36" s="135"/>
      <c r="E36" s="173"/>
      <c r="F36" s="135"/>
      <c r="G36" s="175"/>
      <c r="H36" s="139"/>
      <c r="I36" s="178"/>
      <c r="J36"/>
      <c r="K36"/>
    </row>
    <row r="37" spans="1:14" ht="12" customHeight="1" x14ac:dyDescent="0.25">
      <c r="A37" s="156" t="s">
        <v>38</v>
      </c>
      <c r="B37" s="342">
        <f ca="1">+Carrying!X$49/$H$56</f>
        <v>126.30833333333334</v>
      </c>
      <c r="C37" s="134"/>
      <c r="D37" s="135"/>
      <c r="E37" s="173"/>
      <c r="F37" s="135"/>
      <c r="G37" s="175"/>
      <c r="H37" s="139">
        <f t="shared" ref="H37:H40" ca="1" si="1">IF($B$1="Hold",-B37,"")</f>
        <v>-126.30833333333334</v>
      </c>
      <c r="I37" s="178"/>
      <c r="J37"/>
      <c r="K37"/>
    </row>
    <row r="38" spans="1:14" ht="12" customHeight="1" x14ac:dyDescent="0.2">
      <c r="A38" s="156" t="s">
        <v>39</v>
      </c>
      <c r="B38" s="342">
        <f ca="1">+Carrying!U$49/$H$56</f>
        <v>162.96296296296296</v>
      </c>
      <c r="C38" s="134"/>
      <c r="D38" s="135"/>
      <c r="E38" s="173"/>
      <c r="F38" s="135"/>
      <c r="G38" s="175"/>
      <c r="H38" s="139">
        <f t="shared" ca="1" si="1"/>
        <v>-162.96296296296296</v>
      </c>
      <c r="I38" s="178"/>
    </row>
    <row r="39" spans="1:14" ht="12" customHeight="1" x14ac:dyDescent="0.2">
      <c r="A39" s="156" t="s">
        <v>40</v>
      </c>
      <c r="B39" s="157">
        <f ca="1">+Carrying!C$49/$H$56</f>
        <v>0</v>
      </c>
      <c r="C39" s="134"/>
      <c r="D39" s="135"/>
      <c r="E39" s="173"/>
      <c r="F39" s="135"/>
      <c r="G39" s="175"/>
      <c r="H39" s="139">
        <f t="shared" ca="1" si="1"/>
        <v>0</v>
      </c>
      <c r="I39" s="178"/>
    </row>
    <row r="40" spans="1:14" ht="12" customHeight="1" thickBot="1" x14ac:dyDescent="0.25">
      <c r="A40" s="156" t="s">
        <v>41</v>
      </c>
      <c r="B40" s="158">
        <f ca="1">+Carrying!O$49/$H$56</f>
        <v>0</v>
      </c>
      <c r="C40" s="143"/>
      <c r="D40" s="135"/>
      <c r="E40" s="173"/>
      <c r="F40" s="135"/>
      <c r="G40" s="175"/>
      <c r="H40" s="139">
        <f t="shared" ca="1" si="1"/>
        <v>0</v>
      </c>
      <c r="I40" s="178"/>
    </row>
    <row r="41" spans="1:14" ht="12" customHeight="1" thickBot="1" x14ac:dyDescent="0.25">
      <c r="A41" s="40" t="s">
        <v>42</v>
      </c>
      <c r="B41" s="448">
        <f ca="1">+B20*SUM(B21:B40)</f>
        <v>47979.680000000015</v>
      </c>
      <c r="C41" s="449"/>
      <c r="D41" s="135"/>
      <c r="E41" s="173"/>
      <c r="F41" s="135"/>
      <c r="G41" s="175"/>
      <c r="H41" s="139"/>
      <c r="I41" s="178"/>
      <c r="J41" s="481" t="s">
        <v>42</v>
      </c>
      <c r="K41" s="483">
        <f ca="1">+B41/B20</f>
        <v>1480.8543209876548</v>
      </c>
      <c r="M41" s="39">
        <v>15</v>
      </c>
      <c r="N41" s="163">
        <v>100732.5</v>
      </c>
    </row>
    <row r="42" spans="1:14" ht="12" customHeight="1" thickBot="1" x14ac:dyDescent="0.25">
      <c r="A42" s="229" t="s">
        <v>44</v>
      </c>
      <c r="B42" s="160">
        <v>0.1</v>
      </c>
      <c r="C42" s="155" t="s">
        <v>45</v>
      </c>
      <c r="D42" s="135"/>
      <c r="E42" s="173"/>
      <c r="F42" s="135"/>
      <c r="G42" s="175"/>
      <c r="H42" s="139"/>
      <c r="I42" s="178"/>
      <c r="J42" s="482"/>
      <c r="K42" s="484"/>
      <c r="M42" s="337">
        <v>0.1</v>
      </c>
      <c r="N42" s="163">
        <v>67155</v>
      </c>
    </row>
    <row r="43" spans="1:14" ht="12" customHeight="1" thickBot="1" x14ac:dyDescent="0.25">
      <c r="A43" s="159" t="s">
        <v>46</v>
      </c>
      <c r="B43" s="405">
        <v>75000</v>
      </c>
      <c r="C43" s="406"/>
      <c r="D43" s="135">
        <f>-B43</f>
        <v>-75000</v>
      </c>
      <c r="E43" s="173">
        <f>B43</f>
        <v>75000</v>
      </c>
      <c r="F43" s="135"/>
      <c r="G43" s="175"/>
      <c r="H43" s="139"/>
      <c r="I43" s="249"/>
      <c r="N43" s="163">
        <f>SUM(E43:F43)</f>
        <v>75000</v>
      </c>
    </row>
    <row r="44" spans="1:14" ht="12" customHeight="1" x14ac:dyDescent="0.2">
      <c r="A44" s="40" t="s">
        <v>48</v>
      </c>
      <c r="B44" s="458">
        <f>-D65</f>
        <v>37573.025187499996</v>
      </c>
      <c r="C44" s="408"/>
      <c r="D44" s="135">
        <f>-B44</f>
        <v>-37573.025187499996</v>
      </c>
      <c r="E44" s="173"/>
      <c r="F44" s="135"/>
      <c r="G44" s="175"/>
      <c r="H44" s="136"/>
      <c r="I44" s="249"/>
      <c r="J44" s="481" t="s">
        <v>758</v>
      </c>
      <c r="K44" s="483">
        <f>+SUM(C15:C19)</f>
        <v>181057.16</v>
      </c>
    </row>
    <row r="45" spans="1:14" ht="12" customHeight="1" thickBot="1" x14ac:dyDescent="0.25">
      <c r="A45" s="40" t="s">
        <v>49</v>
      </c>
      <c r="B45" s="416">
        <v>600</v>
      </c>
      <c r="C45" s="417"/>
      <c r="D45" s="135">
        <f>-B45</f>
        <v>-600</v>
      </c>
      <c r="E45" s="173"/>
      <c r="F45" s="135"/>
      <c r="G45" s="175"/>
      <c r="H45" s="136"/>
      <c r="I45" s="178"/>
      <c r="J45" s="482"/>
      <c r="K45" s="484"/>
    </row>
    <row r="46" spans="1:14" ht="12" customHeight="1" thickBot="1" x14ac:dyDescent="0.25">
      <c r="A46" s="159" t="s">
        <v>51</v>
      </c>
      <c r="B46" s="140">
        <v>1</v>
      </c>
      <c r="C46" s="141">
        <v>500</v>
      </c>
      <c r="D46" s="135"/>
      <c r="E46" s="173"/>
      <c r="F46" s="135">
        <f>-C46</f>
        <v>-500</v>
      </c>
      <c r="G46" s="175"/>
      <c r="H46" s="136"/>
      <c r="I46" s="178"/>
    </row>
    <row r="47" spans="1:14" ht="12" customHeight="1" x14ac:dyDescent="0.2">
      <c r="A47" s="159" t="s">
        <v>52</v>
      </c>
      <c r="B47" s="161">
        <v>0</v>
      </c>
      <c r="C47" s="162">
        <v>2.5999999999999999E-2</v>
      </c>
      <c r="D47" s="135"/>
      <c r="E47" s="173"/>
      <c r="F47" s="135">
        <f ca="1">-B47*C47*$F$9</f>
        <v>0</v>
      </c>
      <c r="G47" s="175"/>
      <c r="H47" s="136"/>
      <c r="I47" s="178"/>
      <c r="J47" s="452" t="s">
        <v>43</v>
      </c>
      <c r="K47" s="436">
        <f>+B12+C15</f>
        <v>187323.94</v>
      </c>
      <c r="M47" s="114">
        <f>+K47+B44</f>
        <v>224896.9651875</v>
      </c>
    </row>
    <row r="48" spans="1:14" ht="12" customHeight="1" thickBot="1" x14ac:dyDescent="0.25">
      <c r="A48" s="159" t="s">
        <v>53</v>
      </c>
      <c r="B48" s="231">
        <v>1</v>
      </c>
      <c r="C48" s="232">
        <v>2.4E-2</v>
      </c>
      <c r="D48" s="135"/>
      <c r="E48" s="173"/>
      <c r="F48" s="135">
        <f ca="1">-B48*C48*$F$9</f>
        <v>-7497.8159999999998</v>
      </c>
      <c r="G48" s="175"/>
      <c r="H48" s="136"/>
      <c r="I48" s="178"/>
      <c r="J48" s="453"/>
      <c r="K48" s="437"/>
    </row>
    <row r="49" spans="1:15" ht="12" customHeight="1" thickBot="1" x14ac:dyDescent="0.25">
      <c r="A49" s="233" t="s">
        <v>54</v>
      </c>
      <c r="B49" s="230"/>
      <c r="C49" s="338">
        <f ca="1">+B20</f>
        <v>32.4</v>
      </c>
      <c r="D49" s="135"/>
      <c r="E49" s="173"/>
      <c r="F49" s="135"/>
      <c r="G49" s="175"/>
      <c r="H49" s="136"/>
      <c r="I49" s="178"/>
      <c r="J49" s="452" t="s">
        <v>47</v>
      </c>
      <c r="K49" s="436">
        <f>+B12+C14+C16+B18+B44</f>
        <v>43839.805187499995</v>
      </c>
    </row>
    <row r="50" spans="1:15" ht="12" customHeight="1" thickBot="1" x14ac:dyDescent="0.3">
      <c r="A50" s="40" t="s">
        <v>55</v>
      </c>
      <c r="B50" s="418"/>
      <c r="C50" s="419"/>
      <c r="D50" s="163"/>
      <c r="E50" s="173"/>
      <c r="F50" s="135">
        <f>-C50</f>
        <v>0</v>
      </c>
      <c r="G50" s="175"/>
      <c r="H50" s="133"/>
      <c r="I50" s="178"/>
      <c r="J50" s="453"/>
      <c r="K50" s="437"/>
    </row>
    <row r="51" spans="1:15" ht="12" customHeight="1" x14ac:dyDescent="0.2">
      <c r="A51" s="40" t="s">
        <v>56</v>
      </c>
      <c r="B51" s="407">
        <f>+D85</f>
        <v>940</v>
      </c>
      <c r="C51" s="408"/>
      <c r="D51" s="135">
        <f>-B51</f>
        <v>-940</v>
      </c>
      <c r="E51" s="173"/>
      <c r="F51" s="135"/>
      <c r="G51" s="175"/>
      <c r="H51" s="133"/>
      <c r="I51" s="178"/>
      <c r="J51" s="355" t="s">
        <v>50</v>
      </c>
      <c r="K51" s="467"/>
    </row>
    <row r="52" spans="1:15" ht="12" customHeight="1" thickBot="1" x14ac:dyDescent="0.25">
      <c r="A52" s="40" t="s">
        <v>57</v>
      </c>
      <c r="B52" s="422">
        <f>+D96</f>
        <v>290</v>
      </c>
      <c r="C52" s="423"/>
      <c r="D52" s="144"/>
      <c r="E52" s="174"/>
      <c r="F52" s="144">
        <f>-B52</f>
        <v>-290</v>
      </c>
      <c r="G52" s="176"/>
      <c r="H52" s="142"/>
      <c r="I52" s="179"/>
      <c r="J52" s="468"/>
      <c r="K52" s="469"/>
    </row>
    <row r="53" spans="1:15" ht="12" customHeight="1" thickBot="1" x14ac:dyDescent="0.25">
      <c r="C53" s="420" t="s">
        <v>58</v>
      </c>
      <c r="D53" s="421"/>
      <c r="E53" s="242">
        <f>+SUM(D12:D52)</f>
        <v>-142379.80518749999</v>
      </c>
      <c r="F53" s="463">
        <f ca="1">+SUM(F12:F52)</f>
        <v>-189344.976</v>
      </c>
      <c r="G53" s="463"/>
      <c r="H53" s="465">
        <f ca="1">+SUM(H9:I52)</f>
        <v>-1480.8543209876548</v>
      </c>
      <c r="I53" s="466"/>
    </row>
    <row r="54" spans="1:15" ht="12" customHeight="1" thickBot="1" x14ac:dyDescent="0.25">
      <c r="A54" s="41"/>
      <c r="B54" s="409" t="s">
        <v>59</v>
      </c>
      <c r="C54" s="410"/>
      <c r="D54" s="410"/>
      <c r="E54" s="169">
        <f>+SUM(E9:E53)</f>
        <v>113677.35481250001</v>
      </c>
      <c r="F54" s="463">
        <f ca="1">+SUM(F9:G52)</f>
        <v>123064.02399999999</v>
      </c>
      <c r="G54" s="463"/>
      <c r="H54" s="167"/>
      <c r="I54" s="171"/>
      <c r="O54" s="114"/>
    </row>
    <row r="55" spans="1:15" ht="12" customHeight="1" x14ac:dyDescent="0.2">
      <c r="A55" s="41"/>
      <c r="B55" s="41"/>
      <c r="D55" s="41"/>
      <c r="E55" s="376" t="s">
        <v>60</v>
      </c>
      <c r="F55" s="377"/>
      <c r="G55" s="166">
        <f ca="1">+E54+F54</f>
        <v>236741.37881249998</v>
      </c>
      <c r="H55" s="167"/>
      <c r="I55" s="168"/>
      <c r="J55" s="381" t="s">
        <v>61</v>
      </c>
      <c r="K55" s="385" t="s">
        <v>62</v>
      </c>
      <c r="O55" s="114"/>
    </row>
    <row r="56" spans="1:15" ht="12" customHeight="1" thickBot="1" x14ac:dyDescent="0.25">
      <c r="A56" s="41"/>
      <c r="B56" s="41"/>
      <c r="E56" s="376" t="s">
        <v>63</v>
      </c>
      <c r="F56" s="377"/>
      <c r="G56" s="377"/>
      <c r="H56" s="154">
        <f ca="1">J69</f>
        <v>32.4</v>
      </c>
      <c r="I56" s="243">
        <f ca="1">+H56*H53</f>
        <v>-47979.680000000015</v>
      </c>
      <c r="J56" s="382"/>
      <c r="K56" s="386"/>
      <c r="M56" s="40"/>
      <c r="N56" s="114"/>
    </row>
    <row r="57" spans="1:15" ht="12" customHeight="1" thickBot="1" x14ac:dyDescent="0.25">
      <c r="A57" s="41"/>
      <c r="B57" s="41"/>
      <c r="E57" s="170"/>
      <c r="F57" s="383" t="s">
        <v>64</v>
      </c>
      <c r="G57" s="384"/>
      <c r="H57" s="145"/>
      <c r="I57" s="145">
        <f ca="1">+I56+G55</f>
        <v>188761.69881249996</v>
      </c>
      <c r="J57" s="146">
        <f ca="1">$B$17*$I$57</f>
        <v>0</v>
      </c>
      <c r="K57" s="147">
        <f ca="1">+$I$57-J57</f>
        <v>188761.69881249996</v>
      </c>
    </row>
    <row r="58" spans="1:15" ht="12" customHeight="1" thickTop="1" thickBot="1" x14ac:dyDescent="0.3">
      <c r="A58" s="148" t="s">
        <v>65</v>
      </c>
      <c r="B58" s="411">
        <v>0</v>
      </c>
      <c r="C58" s="415"/>
      <c r="D58" s="148"/>
      <c r="E58" s="148"/>
      <c r="H58" s="388" t="s">
        <v>66</v>
      </c>
      <c r="I58" s="389"/>
      <c r="J58" s="214">
        <f ca="1">IF(B58="",0,-$B$58*J57)</f>
        <v>0</v>
      </c>
      <c r="K58" s="215">
        <f ca="1">IF(B58="",0,-$B$58*K57)</f>
        <v>0</v>
      </c>
    </row>
    <row r="59" spans="1:15" ht="12" customHeight="1" thickTop="1" thickBot="1" x14ac:dyDescent="0.3">
      <c r="A59" s="40" t="s">
        <v>67</v>
      </c>
      <c r="B59" s="411">
        <v>0.1</v>
      </c>
      <c r="C59" s="412">
        <v>0.15</v>
      </c>
      <c r="D59" s="413">
        <f ca="1">+K59*B59</f>
        <v>18876.169881249996</v>
      </c>
      <c r="E59" s="414"/>
      <c r="G59" s="41"/>
      <c r="H59" s="383" t="s">
        <v>64</v>
      </c>
      <c r="I59" s="384"/>
      <c r="J59" s="153">
        <f ca="1">+J57+J58</f>
        <v>0</v>
      </c>
      <c r="K59" s="149">
        <f ca="1">+K57+K58</f>
        <v>188761.69881249996</v>
      </c>
    </row>
    <row r="60" spans="1:15" ht="12" customHeight="1" thickBot="1" x14ac:dyDescent="0.25">
      <c r="A60" s="118"/>
      <c r="C60" s="40"/>
      <c r="D60" s="40"/>
      <c r="E60" s="40"/>
    </row>
    <row r="61" spans="1:15" ht="12" customHeight="1" thickTop="1" x14ac:dyDescent="0.2">
      <c r="A61" s="127" t="s">
        <v>68</v>
      </c>
    </row>
    <row r="62" spans="1:15" ht="12" customHeight="1" thickBot="1" x14ac:dyDescent="0.25">
      <c r="A62" s="40" t="s">
        <v>69</v>
      </c>
      <c r="B62" s="363">
        <f>+'Gnatt Chart'!J5</f>
        <v>34157.295624999999</v>
      </c>
      <c r="C62" s="363"/>
      <c r="D62" s="363">
        <f>-B62</f>
        <v>-34157.295624999999</v>
      </c>
      <c r="E62" s="363"/>
      <c r="G62" s="387"/>
      <c r="H62" s="387"/>
      <c r="I62" s="387"/>
    </row>
    <row r="63" spans="1:15" ht="12" customHeight="1" thickBot="1" x14ac:dyDescent="0.25">
      <c r="A63" s="40" t="s">
        <v>70</v>
      </c>
      <c r="B63" s="150">
        <v>0.1</v>
      </c>
      <c r="D63" s="363"/>
      <c r="E63" s="363"/>
      <c r="G63" s="390" t="s">
        <v>71</v>
      </c>
      <c r="H63" s="391"/>
      <c r="I63" s="391"/>
      <c r="J63" s="392"/>
    </row>
    <row r="64" spans="1:15" ht="12" customHeight="1" thickBot="1" x14ac:dyDescent="0.25">
      <c r="A64" s="40" t="s">
        <v>72</v>
      </c>
      <c r="B64" s="404">
        <f>IF(K4&lt;&gt;"Yes",+B63*SUM(B62:C62),0)</f>
        <v>3415.7295625000002</v>
      </c>
      <c r="C64" s="404"/>
      <c r="D64" s="404">
        <f>-B64</f>
        <v>-3415.7295625000002</v>
      </c>
      <c r="E64" s="404"/>
      <c r="G64" s="393"/>
      <c r="H64" s="394"/>
      <c r="I64" s="394"/>
      <c r="J64" s="395"/>
    </row>
    <row r="65" spans="1:10" ht="12" customHeight="1" thickBot="1" x14ac:dyDescent="0.25">
      <c r="A65" s="40" t="s">
        <v>73</v>
      </c>
      <c r="D65" s="361">
        <f>+SUM(D62:E64)</f>
        <v>-37573.025187499996</v>
      </c>
      <c r="E65" s="362"/>
      <c r="G65" s="378" t="s">
        <v>74</v>
      </c>
      <c r="H65" s="379"/>
      <c r="I65" s="379"/>
      <c r="J65" s="380"/>
    </row>
    <row r="66" spans="1:10" ht="12" customHeight="1" thickTop="1" thickBot="1" x14ac:dyDescent="0.25">
      <c r="A66" s="151" t="s">
        <v>75</v>
      </c>
      <c r="B66" s="148"/>
      <c r="C66" s="148"/>
      <c r="D66" s="40"/>
      <c r="E66" s="40"/>
      <c r="G66" s="358"/>
      <c r="H66" s="359"/>
      <c r="I66" s="359"/>
      <c r="J66" s="360"/>
    </row>
    <row r="67" spans="1:10" ht="12" customHeight="1" thickBot="1" x14ac:dyDescent="0.25">
      <c r="A67" s="40" t="s">
        <v>76</v>
      </c>
      <c r="B67" s="364">
        <v>350</v>
      </c>
      <c r="C67" s="365"/>
      <c r="D67" s="363"/>
      <c r="E67" s="363"/>
    </row>
    <row r="68" spans="1:10" ht="12" customHeight="1" x14ac:dyDescent="0.25">
      <c r="A68" s="40" t="s">
        <v>77</v>
      </c>
      <c r="B68" s="366"/>
      <c r="C68" s="367"/>
      <c r="D68" s="363"/>
      <c r="E68" s="363"/>
      <c r="H68" s="396" t="s">
        <v>78</v>
      </c>
      <c r="I68" s="402"/>
      <c r="J68" s="340" t="s">
        <v>79</v>
      </c>
    </row>
    <row r="69" spans="1:10" ht="12" customHeight="1" thickBot="1" x14ac:dyDescent="0.3">
      <c r="A69" s="40" t="s">
        <v>80</v>
      </c>
      <c r="B69" s="366">
        <v>250</v>
      </c>
      <c r="C69" s="367"/>
      <c r="D69" s="363"/>
      <c r="E69" s="363"/>
      <c r="H69" s="403">
        <f ca="1">NOW()</f>
        <v>46203.546262847223</v>
      </c>
      <c r="I69" s="401"/>
      <c r="J69" s="353">
        <f ca="1">+F71/30</f>
        <v>32.4</v>
      </c>
    </row>
    <row r="70" spans="1:10" ht="12" customHeight="1" x14ac:dyDescent="0.2">
      <c r="A70" s="40" t="s">
        <v>80</v>
      </c>
      <c r="B70" s="366"/>
      <c r="C70" s="367"/>
      <c r="D70" s="363"/>
      <c r="E70" s="363"/>
      <c r="F70" s="396" t="s">
        <v>81</v>
      </c>
      <c r="G70" s="397"/>
      <c r="H70" s="397" t="s">
        <v>82</v>
      </c>
      <c r="I70" s="397"/>
      <c r="J70" s="340" t="s">
        <v>83</v>
      </c>
    </row>
    <row r="71" spans="1:10" ht="12" customHeight="1" thickBot="1" x14ac:dyDescent="0.3">
      <c r="A71" s="40" t="s">
        <v>84</v>
      </c>
      <c r="B71" s="366"/>
      <c r="C71" s="367"/>
      <c r="D71" s="363"/>
      <c r="E71" s="363"/>
      <c r="F71" s="398">
        <f ca="1">_xlfn.DAYS(J71,H71)</f>
        <v>972</v>
      </c>
      <c r="G71" s="399"/>
      <c r="H71" s="400">
        <v>45231</v>
      </c>
      <c r="I71" s="401"/>
      <c r="J71" s="341">
        <f ca="1">IF(H69&lt;&gt;"",IF(B1="flip",NOW(),H69),NOW())</f>
        <v>46203.546262847223</v>
      </c>
    </row>
    <row r="72" spans="1:10" ht="12" customHeight="1" x14ac:dyDescent="0.2">
      <c r="A72" s="40" t="s">
        <v>84</v>
      </c>
      <c r="B72" s="366"/>
      <c r="C72" s="367"/>
      <c r="D72" s="363"/>
      <c r="E72" s="363"/>
    </row>
    <row r="73" spans="1:10" ht="12" customHeight="1" x14ac:dyDescent="0.2">
      <c r="A73" s="40" t="s">
        <v>85</v>
      </c>
      <c r="B73" s="366"/>
      <c r="C73" s="367"/>
      <c r="D73" s="363"/>
      <c r="E73" s="363"/>
    </row>
    <row r="74" spans="1:10" ht="12" customHeight="1" x14ac:dyDescent="0.2">
      <c r="A74" s="40" t="s">
        <v>86</v>
      </c>
      <c r="B74" s="366"/>
      <c r="C74" s="367"/>
      <c r="D74" s="363"/>
      <c r="E74" s="363"/>
    </row>
    <row r="75" spans="1:10" ht="12" customHeight="1" x14ac:dyDescent="0.2">
      <c r="A75" s="40" t="s">
        <v>87</v>
      </c>
      <c r="B75" s="366"/>
      <c r="C75" s="367"/>
      <c r="D75" s="363"/>
      <c r="E75" s="363"/>
    </row>
    <row r="76" spans="1:10" ht="12" customHeight="1" x14ac:dyDescent="0.2">
      <c r="A76" s="40" t="s">
        <v>88</v>
      </c>
      <c r="B76" s="366"/>
      <c r="C76" s="367"/>
      <c r="D76" s="363"/>
      <c r="E76" s="363"/>
    </row>
    <row r="77" spans="1:10" ht="12" customHeight="1" x14ac:dyDescent="0.2">
      <c r="A77" s="40" t="s">
        <v>89</v>
      </c>
      <c r="B77" s="366"/>
      <c r="C77" s="367"/>
      <c r="D77" s="363"/>
      <c r="E77" s="363"/>
    </row>
    <row r="78" spans="1:10" ht="12" customHeight="1" x14ac:dyDescent="0.2">
      <c r="A78" s="40" t="s">
        <v>90</v>
      </c>
      <c r="B78" s="366">
        <v>200</v>
      </c>
      <c r="C78" s="367"/>
      <c r="D78" s="363"/>
      <c r="E78" s="363"/>
    </row>
    <row r="79" spans="1:10" ht="12" customHeight="1" x14ac:dyDescent="0.2">
      <c r="A79" s="40" t="s">
        <v>91</v>
      </c>
      <c r="B79" s="366"/>
      <c r="C79" s="367"/>
      <c r="D79" s="363"/>
      <c r="E79" s="363"/>
    </row>
    <row r="80" spans="1:10" ht="12" customHeight="1" x14ac:dyDescent="0.2">
      <c r="A80" s="40" t="s">
        <v>92</v>
      </c>
      <c r="B80" s="366"/>
      <c r="C80" s="367"/>
      <c r="D80" s="363"/>
      <c r="E80" s="363"/>
    </row>
    <row r="81" spans="1:10" ht="12" customHeight="1" x14ac:dyDescent="0.2">
      <c r="A81" s="40" t="s">
        <v>93</v>
      </c>
      <c r="B81" s="366">
        <v>90</v>
      </c>
      <c r="C81" s="367"/>
      <c r="D81" s="363"/>
      <c r="E81" s="363"/>
    </row>
    <row r="82" spans="1:10" ht="12" customHeight="1" x14ac:dyDescent="0.2">
      <c r="A82" s="40" t="s">
        <v>94</v>
      </c>
      <c r="B82" s="366">
        <v>20</v>
      </c>
      <c r="C82" s="367"/>
      <c r="D82" s="363"/>
      <c r="E82" s="363"/>
    </row>
    <row r="83" spans="1:10" ht="12" customHeight="1" x14ac:dyDescent="0.2">
      <c r="A83" s="40" t="s">
        <v>95</v>
      </c>
      <c r="B83" s="366">
        <v>30</v>
      </c>
      <c r="C83" s="367"/>
      <c r="D83" s="363"/>
      <c r="E83" s="363"/>
    </row>
    <row r="84" spans="1:10" ht="12" customHeight="1" thickBot="1" x14ac:dyDescent="0.25">
      <c r="A84" s="40" t="s">
        <v>96</v>
      </c>
      <c r="B84" s="368"/>
      <c r="C84" s="369"/>
      <c r="D84" s="370"/>
      <c r="E84" s="371"/>
    </row>
    <row r="85" spans="1:10" ht="12" customHeight="1" thickBot="1" x14ac:dyDescent="0.25">
      <c r="D85" s="361">
        <f>+SUM(B67:C84)</f>
        <v>940</v>
      </c>
      <c r="E85" s="362"/>
      <c r="G85" s="355" t="s">
        <v>97</v>
      </c>
      <c r="H85" s="356"/>
      <c r="I85" s="356"/>
      <c r="J85" s="357"/>
    </row>
    <row r="86" spans="1:10" ht="12" customHeight="1" thickBot="1" x14ac:dyDescent="0.25">
      <c r="G86" s="358"/>
      <c r="H86" s="359"/>
      <c r="I86" s="359"/>
      <c r="J86" s="360"/>
    </row>
    <row r="87" spans="1:10" ht="12" customHeight="1" thickTop="1" thickBot="1" x14ac:dyDescent="0.25">
      <c r="A87" s="151" t="s">
        <v>98</v>
      </c>
      <c r="B87" s="148"/>
      <c r="C87" s="148"/>
      <c r="D87" s="148"/>
      <c r="E87" s="148"/>
    </row>
    <row r="88" spans="1:10" ht="12" customHeight="1" x14ac:dyDescent="0.2">
      <c r="A88" s="40" t="s">
        <v>76</v>
      </c>
      <c r="B88" s="364"/>
      <c r="C88" s="365"/>
      <c r="D88" s="363"/>
      <c r="E88" s="363"/>
    </row>
    <row r="89" spans="1:10" ht="12" customHeight="1" x14ac:dyDescent="0.2">
      <c r="A89" s="40" t="s">
        <v>80</v>
      </c>
      <c r="B89" s="366">
        <v>250</v>
      </c>
      <c r="C89" s="367"/>
      <c r="D89" s="363"/>
      <c r="E89" s="363"/>
    </row>
    <row r="90" spans="1:10" ht="12" customHeight="1" x14ac:dyDescent="0.2">
      <c r="A90" s="40" t="s">
        <v>99</v>
      </c>
      <c r="B90" s="366">
        <v>0</v>
      </c>
      <c r="C90" s="367"/>
      <c r="D90" s="363"/>
      <c r="E90" s="363"/>
    </row>
    <row r="91" spans="1:10" ht="12" customHeight="1" x14ac:dyDescent="0.2">
      <c r="A91" s="40" t="s">
        <v>100</v>
      </c>
      <c r="B91" s="366"/>
      <c r="C91" s="367"/>
      <c r="D91" s="363"/>
      <c r="E91" s="363"/>
    </row>
    <row r="92" spans="1:10" ht="12" customHeight="1" x14ac:dyDescent="0.2">
      <c r="A92" s="40" t="s">
        <v>93</v>
      </c>
      <c r="B92" s="366"/>
      <c r="C92" s="367"/>
      <c r="D92" s="363"/>
      <c r="E92" s="363"/>
    </row>
    <row r="93" spans="1:10" ht="12" customHeight="1" x14ac:dyDescent="0.2">
      <c r="A93" s="40" t="s">
        <v>101</v>
      </c>
      <c r="B93" s="366">
        <v>40</v>
      </c>
      <c r="C93" s="367"/>
      <c r="D93" s="363"/>
      <c r="E93" s="363"/>
    </row>
    <row r="94" spans="1:10" ht="12" customHeight="1" x14ac:dyDescent="0.2">
      <c r="A94" s="40" t="s">
        <v>102</v>
      </c>
      <c r="B94" s="366"/>
      <c r="C94" s="367"/>
      <c r="D94" s="363"/>
      <c r="E94" s="363"/>
    </row>
    <row r="95" spans="1:10" ht="12" customHeight="1" thickBot="1" x14ac:dyDescent="0.25">
      <c r="A95" s="40" t="s">
        <v>96</v>
      </c>
      <c r="B95" s="374"/>
      <c r="C95" s="375"/>
      <c r="D95" s="370"/>
      <c r="E95" s="371"/>
    </row>
    <row r="96" spans="1:10" ht="12" customHeight="1" thickTop="1" thickBot="1" x14ac:dyDescent="0.25">
      <c r="D96" s="361">
        <f>+SUM(B88:C95)</f>
        <v>290</v>
      </c>
      <c r="E96" s="362"/>
      <c r="G96" s="355" t="s">
        <v>103</v>
      </c>
      <c r="H96" s="356"/>
      <c r="I96" s="356"/>
      <c r="J96" s="357"/>
    </row>
    <row r="97" spans="7:10" ht="12" customHeight="1" thickBot="1" x14ac:dyDescent="0.25">
      <c r="G97" s="358"/>
      <c r="H97" s="359"/>
      <c r="I97" s="359"/>
      <c r="J97" s="360"/>
    </row>
    <row r="98" spans="7:10" ht="12" customHeight="1" x14ac:dyDescent="0.2"/>
    <row r="99" spans="7:10" ht="12" customHeight="1" x14ac:dyDescent="0.2"/>
    <row r="100" spans="7:10" ht="12" customHeight="1" x14ac:dyDescent="0.2"/>
    <row r="101" spans="7:10" ht="12" customHeight="1" x14ac:dyDescent="0.2"/>
    <row r="102" spans="7:10" ht="12" customHeight="1" x14ac:dyDescent="0.2"/>
    <row r="103" spans="7:10" ht="12" customHeight="1" x14ac:dyDescent="0.2"/>
    <row r="104" spans="7:10" ht="12" customHeight="1" x14ac:dyDescent="0.2"/>
    <row r="105" spans="7:10" ht="12" customHeight="1" x14ac:dyDescent="0.2"/>
    <row r="106" spans="7:10" ht="12" customHeight="1" x14ac:dyDescent="0.2"/>
    <row r="107" spans="7:10" ht="12" customHeight="1" x14ac:dyDescent="0.2"/>
    <row r="108" spans="7:10" ht="12" customHeight="1" x14ac:dyDescent="0.2"/>
    <row r="109" spans="7:10" ht="12" customHeight="1" x14ac:dyDescent="0.2"/>
    <row r="110" spans="7:10" ht="12" customHeight="1" x14ac:dyDescent="0.2"/>
    <row r="111" spans="7:10" ht="12" customHeight="1" x14ac:dyDescent="0.2"/>
    <row r="112" spans="7:10"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sheetData>
  <mergeCells count="130">
    <mergeCell ref="F54:G54"/>
    <mergeCell ref="B8:C8"/>
    <mergeCell ref="F53:G53"/>
    <mergeCell ref="H53:I53"/>
    <mergeCell ref="J51:K52"/>
    <mergeCell ref="J20:K23"/>
    <mergeCell ref="B4:C4"/>
    <mergeCell ref="B6:C6"/>
    <mergeCell ref="B7:C7"/>
    <mergeCell ref="B18:C18"/>
    <mergeCell ref="J49:J50"/>
    <mergeCell ref="J41:J42"/>
    <mergeCell ref="K41:K42"/>
    <mergeCell ref="J44:J45"/>
    <mergeCell ref="K44:K45"/>
    <mergeCell ref="K2:K3"/>
    <mergeCell ref="K8:K9"/>
    <mergeCell ref="N2:N3"/>
    <mergeCell ref="C9:D9"/>
    <mergeCell ref="K47:K48"/>
    <mergeCell ref="B44:C44"/>
    <mergeCell ref="F9:G9"/>
    <mergeCell ref="H9:I9"/>
    <mergeCell ref="H12:I12"/>
    <mergeCell ref="B75:C75"/>
    <mergeCell ref="C53:D53"/>
    <mergeCell ref="B52:C52"/>
    <mergeCell ref="B70:C70"/>
    <mergeCell ref="B73:C73"/>
    <mergeCell ref="B71:C71"/>
    <mergeCell ref="E55:F55"/>
    <mergeCell ref="O2:O3"/>
    <mergeCell ref="J2:J3"/>
    <mergeCell ref="J4:J5"/>
    <mergeCell ref="K4:K5"/>
    <mergeCell ref="H2:I3"/>
    <mergeCell ref="B2:F2"/>
    <mergeCell ref="D3:E3"/>
    <mergeCell ref="F3:G3"/>
    <mergeCell ref="K49:K50"/>
    <mergeCell ref="K6:K7"/>
    <mergeCell ref="J18:K19"/>
    <mergeCell ref="J12:K15"/>
    <mergeCell ref="J6:J7"/>
    <mergeCell ref="J8:J9"/>
    <mergeCell ref="B41:C41"/>
    <mergeCell ref="B12:C12"/>
    <mergeCell ref="J47:J48"/>
    <mergeCell ref="D67:E67"/>
    <mergeCell ref="D65:E65"/>
    <mergeCell ref="D64:E64"/>
    <mergeCell ref="B64:C64"/>
    <mergeCell ref="B43:C43"/>
    <mergeCell ref="B51:C51"/>
    <mergeCell ref="B54:D54"/>
    <mergeCell ref="B59:C59"/>
    <mergeCell ref="D59:E59"/>
    <mergeCell ref="B58:C58"/>
    <mergeCell ref="B45:C45"/>
    <mergeCell ref="B50:C50"/>
    <mergeCell ref="B62:C62"/>
    <mergeCell ref="K55:K56"/>
    <mergeCell ref="B76:C76"/>
    <mergeCell ref="B77:C77"/>
    <mergeCell ref="G62:I62"/>
    <mergeCell ref="H59:I59"/>
    <mergeCell ref="H58:I58"/>
    <mergeCell ref="G63:J64"/>
    <mergeCell ref="B67:C67"/>
    <mergeCell ref="D63:E63"/>
    <mergeCell ref="D62:E62"/>
    <mergeCell ref="F70:G70"/>
    <mergeCell ref="H70:I70"/>
    <mergeCell ref="F71:G71"/>
    <mergeCell ref="H71:I71"/>
    <mergeCell ref="H68:I68"/>
    <mergeCell ref="H69:I69"/>
    <mergeCell ref="D71:E71"/>
    <mergeCell ref="B68:C68"/>
    <mergeCell ref="D69:E69"/>
    <mergeCell ref="D74:E74"/>
    <mergeCell ref="B72:C72"/>
    <mergeCell ref="D70:E70"/>
    <mergeCell ref="B69:C69"/>
    <mergeCell ref="D75:E75"/>
    <mergeCell ref="B1:C1"/>
    <mergeCell ref="D96:E96"/>
    <mergeCell ref="B90:C90"/>
    <mergeCell ref="D90:E90"/>
    <mergeCell ref="B92:C92"/>
    <mergeCell ref="D92:E92"/>
    <mergeCell ref="B93:C93"/>
    <mergeCell ref="D93:E93"/>
    <mergeCell ref="B91:C91"/>
    <mergeCell ref="D91:E91"/>
    <mergeCell ref="B94:C94"/>
    <mergeCell ref="D94:E94"/>
    <mergeCell ref="B95:C95"/>
    <mergeCell ref="D95:E95"/>
    <mergeCell ref="D72:E72"/>
    <mergeCell ref="D73:E73"/>
    <mergeCell ref="D68:E68"/>
    <mergeCell ref="B74:C74"/>
    <mergeCell ref="E56:G56"/>
    <mergeCell ref="G96:J97"/>
    <mergeCell ref="G65:J66"/>
    <mergeCell ref="J55:J56"/>
    <mergeCell ref="F57:G57"/>
    <mergeCell ref="B78:C78"/>
    <mergeCell ref="G85:J86"/>
    <mergeCell ref="D85:E85"/>
    <mergeCell ref="D76:E76"/>
    <mergeCell ref="D78:E78"/>
    <mergeCell ref="D77:E77"/>
    <mergeCell ref="B88:C88"/>
    <mergeCell ref="D88:E88"/>
    <mergeCell ref="B89:C89"/>
    <mergeCell ref="D89:E89"/>
    <mergeCell ref="B84:C84"/>
    <mergeCell ref="D84:E84"/>
    <mergeCell ref="B80:C80"/>
    <mergeCell ref="B81:C81"/>
    <mergeCell ref="B79:C79"/>
    <mergeCell ref="B83:C83"/>
    <mergeCell ref="D83:E83"/>
    <mergeCell ref="B82:C82"/>
    <mergeCell ref="D82:E82"/>
    <mergeCell ref="D81:E81"/>
    <mergeCell ref="D79:E79"/>
    <mergeCell ref="D80:E80"/>
  </mergeCells>
  <pageMargins left="0.25" right="0.25" top="0.75" bottom="0.75" header="0.3" footer="0.3"/>
  <pageSetup orientation="portrait" r:id="rId1"/>
  <rowBreaks count="1" manualBreakCount="1">
    <brk id="60"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029C-CC4C-4D11-8AE7-4A2CB3B18A08}">
  <dimension ref="A2:T23"/>
  <sheetViews>
    <sheetView showGridLines="0" tabSelected="1" topLeftCell="B1" workbookViewId="0">
      <pane ySplit="7" topLeftCell="A8" activePane="bottomLeft" state="frozenSplit"/>
      <selection pane="bottomLeft" activeCell="S8" sqref="S8"/>
    </sheetView>
  </sheetViews>
  <sheetFormatPr defaultRowHeight="15" x14ac:dyDescent="0.25"/>
  <cols>
    <col min="1" max="1" width="21.85546875" customWidth="1"/>
    <col min="2" max="3" width="12.7109375" customWidth="1"/>
    <col min="4" max="4" width="11.140625" customWidth="1"/>
    <col min="5" max="7" width="10.42578125" customWidth="1"/>
    <col min="8" max="10" width="11.140625" customWidth="1"/>
    <col min="11" max="11" width="12.140625" customWidth="1"/>
    <col min="12" max="12" width="9.85546875" customWidth="1"/>
    <col min="13" max="13" width="11.140625" customWidth="1"/>
    <col min="14" max="14" width="12" customWidth="1"/>
    <col min="15" max="15" width="13.42578125" customWidth="1"/>
    <col min="16" max="16" width="22.7109375" customWidth="1"/>
    <col min="17" max="17" width="14.7109375" customWidth="1"/>
    <col min="18" max="18" width="30.7109375" customWidth="1"/>
    <col min="19" max="19" width="86.42578125" customWidth="1"/>
  </cols>
  <sheetData>
    <row r="2" spans="1:19" ht="24" customHeight="1" x14ac:dyDescent="0.25">
      <c r="A2" s="611" t="s">
        <v>759</v>
      </c>
      <c r="B2" s="611" t="s">
        <v>760</v>
      </c>
      <c r="C2" s="611" t="s">
        <v>761</v>
      </c>
      <c r="D2" s="611" t="s">
        <v>762</v>
      </c>
      <c r="E2" s="611" t="s">
        <v>763</v>
      </c>
      <c r="F2" s="611" t="s">
        <v>764</v>
      </c>
      <c r="G2" s="611" t="s">
        <v>765</v>
      </c>
      <c r="H2" s="611" t="s">
        <v>766</v>
      </c>
      <c r="I2" s="611" t="s">
        <v>767</v>
      </c>
      <c r="J2" s="611" t="s">
        <v>768</v>
      </c>
      <c r="K2" s="611" t="s">
        <v>769</v>
      </c>
      <c r="L2" s="611" t="s">
        <v>770</v>
      </c>
      <c r="M2" s="611" t="s">
        <v>771</v>
      </c>
      <c r="N2" s="611" t="s">
        <v>772</v>
      </c>
      <c r="O2" s="611" t="s">
        <v>773</v>
      </c>
      <c r="P2" s="611" t="s">
        <v>161</v>
      </c>
      <c r="R2" s="612" t="s">
        <v>774</v>
      </c>
      <c r="S2" s="612"/>
    </row>
    <row r="3" spans="1:19" ht="33.950000000000003" customHeight="1" x14ac:dyDescent="0.25">
      <c r="A3" s="613"/>
      <c r="B3" s="613"/>
      <c r="C3" s="614"/>
      <c r="D3" s="614"/>
      <c r="E3" s="614"/>
      <c r="F3" s="614"/>
      <c r="G3" s="614"/>
      <c r="H3" s="614" t="str">
        <f>IF(OR(D3="",E3=""),"",E3-SUM(D3,F3:G3))</f>
        <v/>
      </c>
      <c r="I3" s="614" t="str">
        <f>IF(H3="","",H3*12)</f>
        <v/>
      </c>
      <c r="J3" s="615" t="str">
        <f>IFERROR(SUM(D3,F3:G3)/E3,"")</f>
        <v/>
      </c>
      <c r="K3" s="615" t="str">
        <f>IFERROR(H3/E3,"")</f>
        <v/>
      </c>
      <c r="L3" s="615" t="str">
        <f>IFERROR(I3/C3,"")</f>
        <v/>
      </c>
      <c r="M3" s="614" t="str">
        <f>IF(I3="","",I3/10%)</f>
        <v/>
      </c>
      <c r="N3" s="614" t="str">
        <f>IF(I3="","",I3/12%)</f>
        <v/>
      </c>
      <c r="O3" s="614" t="str">
        <f>IF(I3="","",I3/15%)</f>
        <v/>
      </c>
      <c r="P3" s="616"/>
      <c r="R3" s="617" t="s">
        <v>775</v>
      </c>
      <c r="S3" s="618">
        <f>SUM(I14:I16)</f>
        <v>0</v>
      </c>
    </row>
    <row r="4" spans="1:19" ht="33.950000000000003" customHeight="1" x14ac:dyDescent="0.25">
      <c r="A4" s="613"/>
      <c r="B4" s="613"/>
      <c r="C4" s="614"/>
      <c r="D4" s="614"/>
      <c r="E4" s="614"/>
      <c r="F4" s="614"/>
      <c r="G4" s="614"/>
      <c r="H4" s="614" t="str">
        <f>IF(OR(D4="",E4=""),"",E4-SUM(D4,F4:G4))</f>
        <v/>
      </c>
      <c r="I4" s="614" t="str">
        <f>IF(H4="","",H4*12)</f>
        <v/>
      </c>
      <c r="J4" s="615" t="str">
        <f>IFERROR(SUM(D4,F4:G4)/E4,"")</f>
        <v/>
      </c>
      <c r="K4" s="615" t="str">
        <f>IFERROR(H4/E4,"")</f>
        <v/>
      </c>
      <c r="L4" s="615" t="str">
        <f>IFERROR(I4/C4,"")</f>
        <v/>
      </c>
      <c r="M4" s="614" t="str">
        <f>IF(I4="","",I4/10%)</f>
        <v/>
      </c>
      <c r="N4" s="614" t="str">
        <f>IF(I4="","",I4/12%)</f>
        <v/>
      </c>
      <c r="O4" s="614" t="str">
        <f>IF(I4="","",I4/15%)</f>
        <v/>
      </c>
      <c r="P4" s="616"/>
      <c r="R4" s="617" t="s">
        <v>776</v>
      </c>
      <c r="S4" s="618">
        <f>SUM(J14:J16)</f>
        <v>0</v>
      </c>
    </row>
    <row r="5" spans="1:19" x14ac:dyDescent="0.25">
      <c r="A5" s="613"/>
      <c r="B5" s="613"/>
      <c r="C5" s="614"/>
      <c r="D5" s="614"/>
      <c r="E5" s="614"/>
      <c r="F5" s="614"/>
      <c r="G5" s="614"/>
      <c r="H5" s="614" t="str">
        <f>IF(OR(D5="",E5=""),"",E5-SUM(D5,F5:G5))</f>
        <v/>
      </c>
      <c r="I5" s="614" t="str">
        <f>IF(H5="","",H5*12)</f>
        <v/>
      </c>
      <c r="J5" s="615" t="str">
        <f>IFERROR(SUM(D5,F5:G5)/E5,"")</f>
        <v/>
      </c>
      <c r="K5" s="615" t="str">
        <f>IFERROR(H5/E5,"")</f>
        <v/>
      </c>
      <c r="L5" s="615" t="str">
        <f>IFERROR(I5/C5,"")</f>
        <v/>
      </c>
      <c r="M5" s="614" t="str">
        <f>IF(I5="","",I5/10%)</f>
        <v/>
      </c>
      <c r="N5" s="614" t="str">
        <f>IF(I5="","",I5/12%)</f>
        <v/>
      </c>
      <c r="O5" s="614" t="str">
        <f>IF(I5="","",I5/15%)</f>
        <v/>
      </c>
      <c r="P5" s="616"/>
      <c r="R5" s="617" t="s">
        <v>777</v>
      </c>
      <c r="S5" s="618">
        <f>K17</f>
        <v>0</v>
      </c>
    </row>
    <row r="6" spans="1:19" x14ac:dyDescent="0.25">
      <c r="A6" s="619" t="s">
        <v>464</v>
      </c>
      <c r="B6" s="619"/>
      <c r="C6" s="620">
        <f t="shared" ref="C6:I6" si="0">SUM(C3:C5)</f>
        <v>0</v>
      </c>
      <c r="D6" s="620">
        <f t="shared" si="0"/>
        <v>0</v>
      </c>
      <c r="E6" s="620">
        <f t="shared" si="0"/>
        <v>0</v>
      </c>
      <c r="F6" s="620">
        <f t="shared" si="0"/>
        <v>0</v>
      </c>
      <c r="G6" s="620">
        <f t="shared" si="0"/>
        <v>0</v>
      </c>
      <c r="H6" s="620">
        <f t="shared" si="0"/>
        <v>0</v>
      </c>
      <c r="I6" s="620">
        <f t="shared" si="0"/>
        <v>0</v>
      </c>
      <c r="J6" s="621" t="str">
        <f>IFERROR(SUM(D6,F6:G6)/E6,"")</f>
        <v/>
      </c>
      <c r="K6" s="621" t="str">
        <f>IFERROR(H6/E6,"")</f>
        <v/>
      </c>
      <c r="L6" s="621" t="str">
        <f>IFERROR(I6/C6,"")</f>
        <v/>
      </c>
      <c r="M6" s="620">
        <f>IF(I6="","",I6/10%)</f>
        <v>0</v>
      </c>
      <c r="N6" s="620">
        <f>IF(I6="","",I6/12%)</f>
        <v>0</v>
      </c>
      <c r="O6" s="620">
        <f>IF(I6="","",I6/15%)</f>
        <v>0</v>
      </c>
      <c r="P6" s="622"/>
      <c r="R6" s="617" t="s">
        <v>778</v>
      </c>
      <c r="S6" s="618">
        <f>D17</f>
        <v>0</v>
      </c>
    </row>
    <row r="7" spans="1:19" s="22" customFormat="1" x14ac:dyDescent="0.25">
      <c r="R7" s="617" t="s">
        <v>779</v>
      </c>
      <c r="S7" s="618">
        <f>C17</f>
        <v>0</v>
      </c>
    </row>
    <row r="8" spans="1:19" ht="36" customHeight="1" x14ac:dyDescent="0.3">
      <c r="A8" s="623" t="s">
        <v>780</v>
      </c>
      <c r="B8" s="623"/>
      <c r="C8" s="623"/>
      <c r="D8" s="623"/>
      <c r="E8" s="623"/>
      <c r="F8" s="623"/>
      <c r="G8" s="623"/>
      <c r="H8" s="623"/>
      <c r="I8" s="623"/>
      <c r="J8" s="623"/>
      <c r="K8" s="623"/>
      <c r="L8" s="623"/>
      <c r="M8" s="623"/>
      <c r="N8" s="623"/>
      <c r="O8" s="623"/>
      <c r="R8" s="617" t="s">
        <v>781</v>
      </c>
      <c r="S8" s="618">
        <f>E17</f>
        <v>0</v>
      </c>
    </row>
    <row r="9" spans="1:19" ht="36" customHeight="1" x14ac:dyDescent="0.25">
      <c r="A9" s="624" t="s">
        <v>782</v>
      </c>
      <c r="B9" s="624"/>
      <c r="C9" s="624"/>
      <c r="D9" s="624"/>
      <c r="E9" s="624"/>
      <c r="F9" s="624"/>
      <c r="G9" s="624"/>
      <c r="H9" s="624"/>
      <c r="I9" s="624"/>
      <c r="J9" s="624"/>
      <c r="K9" s="624"/>
      <c r="L9" s="624"/>
      <c r="M9" s="624"/>
      <c r="N9" s="624"/>
      <c r="O9" s="624"/>
      <c r="R9" s="617" t="s">
        <v>783</v>
      </c>
      <c r="S9" s="618">
        <f>F17</f>
        <v>0</v>
      </c>
    </row>
    <row r="10" spans="1:19" x14ac:dyDescent="0.25">
      <c r="A10" s="624"/>
      <c r="B10" s="624"/>
      <c r="C10" s="624"/>
      <c r="D10" s="624"/>
      <c r="E10" s="624"/>
      <c r="F10" s="624"/>
      <c r="G10" s="624"/>
      <c r="H10" s="624"/>
      <c r="I10" s="625"/>
      <c r="J10" s="624"/>
      <c r="K10" s="624"/>
      <c r="L10" s="624"/>
      <c r="M10" s="624"/>
      <c r="N10" s="624"/>
      <c r="O10" s="624"/>
      <c r="R10" s="617"/>
      <c r="S10" s="618"/>
    </row>
    <row r="11" spans="1:19" x14ac:dyDescent="0.25">
      <c r="G11" s="626"/>
      <c r="H11" s="626"/>
      <c r="I11" s="627">
        <v>0.1</v>
      </c>
      <c r="J11" s="628">
        <v>2</v>
      </c>
      <c r="R11" s="617" t="s">
        <v>784</v>
      </c>
      <c r="S11" s="618">
        <f>S9/10%</f>
        <v>0</v>
      </c>
    </row>
    <row r="12" spans="1:19" x14ac:dyDescent="0.25">
      <c r="C12" s="629" t="s">
        <v>785</v>
      </c>
      <c r="D12" s="630"/>
      <c r="E12" s="630"/>
      <c r="F12" s="630"/>
      <c r="G12" s="630"/>
      <c r="H12" s="630"/>
      <c r="I12" s="630"/>
      <c r="J12" s="630"/>
      <c r="K12" s="630"/>
      <c r="L12" s="498"/>
      <c r="M12" s="498"/>
      <c r="R12" s="617" t="s">
        <v>786</v>
      </c>
      <c r="S12" s="618">
        <f>S9/12%</f>
        <v>0</v>
      </c>
    </row>
    <row r="13" spans="1:19" ht="51.75" x14ac:dyDescent="0.25">
      <c r="A13" s="631" t="s">
        <v>787</v>
      </c>
      <c r="B13" s="631" t="s">
        <v>760</v>
      </c>
      <c r="C13" s="632" t="s">
        <v>788</v>
      </c>
      <c r="D13" s="633" t="s">
        <v>789</v>
      </c>
      <c r="E13" s="633" t="s">
        <v>766</v>
      </c>
      <c r="F13" s="633" t="s">
        <v>767</v>
      </c>
      <c r="G13" s="633" t="s">
        <v>790</v>
      </c>
      <c r="H13" s="633" t="s">
        <v>791</v>
      </c>
      <c r="I13" s="633" t="s">
        <v>792</v>
      </c>
      <c r="J13" s="633" t="s">
        <v>793</v>
      </c>
      <c r="K13" s="633" t="s">
        <v>794</v>
      </c>
      <c r="L13" s="631" t="s">
        <v>795</v>
      </c>
      <c r="M13" s="631" t="s">
        <v>796</v>
      </c>
      <c r="N13" s="631" t="s">
        <v>797</v>
      </c>
      <c r="O13" s="631" t="s">
        <v>798</v>
      </c>
      <c r="R13" s="617" t="s">
        <v>799</v>
      </c>
      <c r="S13" s="618">
        <f>S9/15%</f>
        <v>0</v>
      </c>
    </row>
    <row r="14" spans="1:19" x14ac:dyDescent="0.25">
      <c r="A14" s="634">
        <f>+A3</f>
        <v>0</v>
      </c>
      <c r="B14" s="634">
        <f t="shared" ref="B14:B16" si="1">+B3</f>
        <v>0</v>
      </c>
      <c r="C14" s="635">
        <f>SUM(D3,F3:G3)</f>
        <v>0</v>
      </c>
      <c r="D14" s="635">
        <f>E3</f>
        <v>0</v>
      </c>
      <c r="E14" s="636">
        <f>D14-C14</f>
        <v>0</v>
      </c>
      <c r="F14" s="636">
        <f>E14*12</f>
        <v>0</v>
      </c>
      <c r="G14" s="636" t="str">
        <f>+O3</f>
        <v/>
      </c>
      <c r="H14" s="636">
        <f>C3</f>
        <v>0</v>
      </c>
      <c r="I14" s="636">
        <f>IF($J$11=2,H14,G14)*(1-$I$11)</f>
        <v>0</v>
      </c>
      <c r="J14" s="635">
        <v>0</v>
      </c>
      <c r="K14" s="636">
        <f>IF($L14,MAX(0,I14-J14),0)</f>
        <v>0</v>
      </c>
      <c r="L14" s="637" t="b">
        <v>0</v>
      </c>
      <c r="M14" s="638"/>
      <c r="N14" s="638"/>
      <c r="O14" s="638"/>
      <c r="R14" s="617"/>
      <c r="S14" s="639"/>
    </row>
    <row r="15" spans="1:19" x14ac:dyDescent="0.25">
      <c r="A15" s="634">
        <f t="shared" ref="A15:A16" si="2">+A4</f>
        <v>0</v>
      </c>
      <c r="B15" s="634">
        <f t="shared" si="1"/>
        <v>0</v>
      </c>
      <c r="C15" s="635">
        <f>SUM(D4,F4:G4)</f>
        <v>0</v>
      </c>
      <c r="D15" s="635">
        <f>E4</f>
        <v>0</v>
      </c>
      <c r="E15" s="636">
        <f>D15-C15</f>
        <v>0</v>
      </c>
      <c r="F15" s="636">
        <f>E15*12</f>
        <v>0</v>
      </c>
      <c r="G15" s="636" t="str">
        <f>+O4</f>
        <v/>
      </c>
      <c r="H15" s="636">
        <f>C4</f>
        <v>0</v>
      </c>
      <c r="I15" s="636">
        <f>IF($J$11=2,H15,G15)*(1-$I$11)</f>
        <v>0</v>
      </c>
      <c r="J15" s="635">
        <v>0</v>
      </c>
      <c r="K15" s="636">
        <f>IF($L15,MAX(0,I15-J15),0)</f>
        <v>0</v>
      </c>
      <c r="L15" s="637" t="b">
        <v>0</v>
      </c>
      <c r="M15" s="638"/>
      <c r="N15" s="638"/>
      <c r="O15" s="638"/>
      <c r="R15" s="640" t="s">
        <v>800</v>
      </c>
      <c r="S15" s="641" t="str">
        <f>_xlfn.TEXTJOIN("; ",TRUE,IF($L$14,$A$14&amp;" - "&amp;$B$14,""),IF($L$15,$A$15&amp;" - "&amp;$B$15,""),IF($L$16,$A$16&amp;" - "&amp;$B$16,""))</f>
        <v/>
      </c>
    </row>
    <row r="16" spans="1:19" ht="45" x14ac:dyDescent="0.25">
      <c r="A16" s="634">
        <f t="shared" si="2"/>
        <v>0</v>
      </c>
      <c r="B16" s="634">
        <f t="shared" si="1"/>
        <v>0</v>
      </c>
      <c r="C16" s="635">
        <f>SUM(D5,F5:G5)</f>
        <v>0</v>
      </c>
      <c r="D16" s="635">
        <f>E5</f>
        <v>0</v>
      </c>
      <c r="E16" s="636">
        <f>D16-C16</f>
        <v>0</v>
      </c>
      <c r="F16" s="636">
        <f>E16*12</f>
        <v>0</v>
      </c>
      <c r="G16" s="636" t="str">
        <f>+O5</f>
        <v/>
      </c>
      <c r="H16" s="636">
        <f>C5</f>
        <v>0</v>
      </c>
      <c r="I16" s="636">
        <f>IF($J$11=2,H16,G16)*(1-$I$11)</f>
        <v>0</v>
      </c>
      <c r="J16" s="635">
        <v>0</v>
      </c>
      <c r="K16" s="636">
        <f>IF($L16,MAX(0,I16-J16),0)</f>
        <v>0</v>
      </c>
      <c r="L16" s="637" t="b">
        <v>0</v>
      </c>
      <c r="M16" s="638"/>
      <c r="N16" s="638"/>
      <c r="O16" s="638"/>
      <c r="R16" s="640" t="s">
        <v>801</v>
      </c>
      <c r="S16" s="641" t="s">
        <v>802</v>
      </c>
    </row>
    <row r="17" spans="1:20" x14ac:dyDescent="0.25">
      <c r="A17" s="642" t="s">
        <v>803</v>
      </c>
      <c r="B17" s="642"/>
      <c r="C17" s="643">
        <f t="shared" ref="C17:I17" si="3">SUMPRODUCT(--($L$14:$L$16=TRUE),C14:C16)</f>
        <v>0</v>
      </c>
      <c r="D17" s="643">
        <f t="shared" si="3"/>
        <v>0</v>
      </c>
      <c r="E17" s="643">
        <f t="shared" si="3"/>
        <v>0</v>
      </c>
      <c r="F17" s="643">
        <f t="shared" si="3"/>
        <v>0</v>
      </c>
      <c r="G17" s="643">
        <f t="shared" si="3"/>
        <v>0</v>
      </c>
      <c r="H17" s="643">
        <f t="shared" si="3"/>
        <v>0</v>
      </c>
      <c r="I17" s="643">
        <f t="shared" si="3"/>
        <v>0</v>
      </c>
      <c r="J17" s="643">
        <f t="shared" ref="J17" si="4">SUM(J14:J16)</f>
        <v>0</v>
      </c>
      <c r="K17" s="643">
        <f>SUM(K14:K16)</f>
        <v>0</v>
      </c>
      <c r="L17" s="642"/>
      <c r="M17" s="642"/>
      <c r="N17" s="642"/>
      <c r="O17" s="642"/>
      <c r="R17" s="640"/>
      <c r="S17" s="641"/>
    </row>
    <row r="18" spans="1:20" ht="30" x14ac:dyDescent="0.25">
      <c r="R18" s="640" t="s">
        <v>804</v>
      </c>
      <c r="S18" s="644" t="s">
        <v>805</v>
      </c>
    </row>
    <row r="19" spans="1:20" x14ac:dyDescent="0.25">
      <c r="R19" s="640"/>
      <c r="S19" s="641"/>
    </row>
    <row r="20" spans="1:20" x14ac:dyDescent="0.25">
      <c r="T20" t="str">
        <f>_xlfn.TEXTJOIN("; ",TRUE,IF(AND($L$14,$A$14&lt;&gt;""),$A$14&amp;" - "&amp;$B$14,""),IF(AND($L$15,$A$15&lt;&gt;""),$A$15&amp;" - "&amp;$B$15,""),IF(AND($L$16,$A$16&lt;&gt;""),$A$16&amp;" - "&amp;$B$16,""))</f>
        <v/>
      </c>
    </row>
    <row r="23" spans="1:20" ht="48" customHeight="1" x14ac:dyDescent="0.25"/>
  </sheetData>
  <mergeCells count="4">
    <mergeCell ref="R2:S2"/>
    <mergeCell ref="A8:O8"/>
    <mergeCell ref="A9:O10"/>
    <mergeCell ref="C12:M12"/>
  </mergeCells>
  <dataValidations count="2">
    <dataValidation type="decimal" allowBlank="1" showInputMessage="1" showErrorMessage="1" promptTitle="Discount" prompt="Enter a discount percentage from 0% to 100%." sqref="I11" xr:uid="{FA049EF0-172C-4B50-BF85-4B8C07B51464}">
      <formula1>0</formula1>
      <formula2>1</formula2>
    </dataValidation>
    <dataValidation type="list" allowBlank="1" showInputMessage="1" showErrorMessage="1" sqref="M14:O16" xr:uid="{37706C7C-EDB2-45CC-AF96-45DD837230D1}">
      <formula1>"Needs review,Pending,Received,Accepted,Rejected,N/A"</formula1>
    </dataValidation>
  </dataValidations>
  <pageMargins left="0.7" right="0.7" top="0.75" bottom="0.75" header="0.3" footer="0.3"/>
  <pageSetup orientation="portrait" horizontalDpi="4800" verticalDpi="4800" r:id="rId1"/>
  <drawing r:id="rId2"/>
  <legacyDrawing r:id="rId3"/>
  <mc:AlternateContent xmlns:mc="http://schemas.openxmlformats.org/markup-compatibility/2006">
    <mc:Choice Requires="x14">
      <controls>
        <mc:AlternateContent xmlns:mc="http://schemas.openxmlformats.org/markup-compatibility/2006">
          <mc:Choice Requires="x14">
            <control shapeId="34817" r:id="rId4" name="optCapBasedValue">
              <controlPr defaultSize="0" autoFill="0" autoLine="0" autoPict="0">
                <anchor moveWithCells="1">
                  <from>
                    <xdr:col>6</xdr:col>
                    <xdr:colOff>28575</xdr:colOff>
                    <xdr:row>10</xdr:row>
                    <xdr:rowOff>28575</xdr:rowOff>
                  </from>
                  <to>
                    <xdr:col>7</xdr:col>
                    <xdr:colOff>352425</xdr:colOff>
                    <xdr:row>11</xdr:row>
                    <xdr:rowOff>47625</xdr:rowOff>
                  </to>
                </anchor>
              </controlPr>
            </control>
          </mc:Choice>
        </mc:AlternateContent>
        <mc:AlternateContent xmlns:mc="http://schemas.openxmlformats.org/markup-compatibility/2006">
          <mc:Choice Requires="x14">
            <control shapeId="34818" r:id="rId5" name="optCMABasedValue">
              <controlPr defaultSize="0" autoFill="0" autoLine="0" autoPict="0">
                <anchor moveWithCells="1">
                  <from>
                    <xdr:col>7</xdr:col>
                    <xdr:colOff>19050</xdr:colOff>
                    <xdr:row>10</xdr:row>
                    <xdr:rowOff>28575</xdr:rowOff>
                  </from>
                  <to>
                    <xdr:col>8</xdr:col>
                    <xdr:colOff>295275</xdr:colOff>
                    <xdr:row>11</xdr:row>
                    <xdr:rowOff>47625</xdr:rowOff>
                  </to>
                </anchor>
              </controlPr>
            </control>
          </mc:Choice>
        </mc:AlternateContent>
        <mc:AlternateContent xmlns:mc="http://schemas.openxmlformats.org/markup-compatibility/2006">
          <mc:Choice Requires="x14">
            <control shapeId="34819" r:id="rId6" name="chkIncludeContract6">
              <controlPr defaultSize="0" autoFill="0" autoLine="0" autoPict="0">
                <anchor moveWithCells="1">
                  <from>
                    <xdr:col>11</xdr:col>
                    <xdr:colOff>47625</xdr:colOff>
                    <xdr:row>13</xdr:row>
                    <xdr:rowOff>28575</xdr:rowOff>
                  </from>
                  <to>
                    <xdr:col>12</xdr:col>
                    <xdr:colOff>676275</xdr:colOff>
                    <xdr:row>15</xdr:row>
                    <xdr:rowOff>28575</xdr:rowOff>
                  </to>
                </anchor>
              </controlPr>
            </control>
          </mc:Choice>
        </mc:AlternateContent>
        <mc:AlternateContent xmlns:mc="http://schemas.openxmlformats.org/markup-compatibility/2006">
          <mc:Choice Requires="x14">
            <control shapeId="34820" r:id="rId7" name="chkIncludeContract7">
              <controlPr defaultSize="0" autoFill="0" autoLine="0" autoPict="0">
                <anchor moveWithCells="1">
                  <from>
                    <xdr:col>11</xdr:col>
                    <xdr:colOff>47625</xdr:colOff>
                    <xdr:row>14</xdr:row>
                    <xdr:rowOff>28575</xdr:rowOff>
                  </from>
                  <to>
                    <xdr:col>12</xdr:col>
                    <xdr:colOff>676275</xdr:colOff>
                    <xdr:row>15</xdr:row>
                    <xdr:rowOff>219075</xdr:rowOff>
                  </to>
                </anchor>
              </controlPr>
            </control>
          </mc:Choice>
        </mc:AlternateContent>
        <mc:AlternateContent xmlns:mc="http://schemas.openxmlformats.org/markup-compatibility/2006">
          <mc:Choice Requires="x14">
            <control shapeId="34821" r:id="rId8" name="chkIncludeContract8">
              <controlPr defaultSize="0" autoFill="0" autoLine="0" autoPict="0">
                <anchor moveWithCells="1">
                  <from>
                    <xdr:col>11</xdr:col>
                    <xdr:colOff>47625</xdr:colOff>
                    <xdr:row>15</xdr:row>
                    <xdr:rowOff>28575</xdr:rowOff>
                  </from>
                  <to>
                    <xdr:col>12</xdr:col>
                    <xdr:colOff>676275</xdr:colOff>
                    <xdr:row>15</xdr:row>
                    <xdr:rowOff>409575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C1" sqref="C1:E1"/>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503" t="s">
        <v>104</v>
      </c>
      <c r="D1" s="504"/>
      <c r="E1" s="498"/>
      <c r="I1" s="496"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115 Rosebrooks Dr, Cary, NC 27513.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05" t="s">
        <v>105</v>
      </c>
      <c r="K1" s="496"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115 Rosebrooks Dr, Cary, NC 27513.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$0.00
                                Total Value:                      $0.00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$0.00
                        12 Month Note:                        $20,000.00
                         Interest Earned:                         $1,600.00            $66.67 per month
                                Total Value:                    $21,600.00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$141,519.49   *    Expected 3% appreciation per year
                          Expected Value:                    $151,519.49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498"/>
      <c r="J2" s="505"/>
      <c r="K2" s="496"/>
    </row>
    <row r="3" spans="1:11" ht="16.5" customHeight="1" x14ac:dyDescent="0.25">
      <c r="A3" t="s">
        <v>106</v>
      </c>
      <c r="B3" s="280" t="s">
        <v>107</v>
      </c>
      <c r="C3" s="279" t="s">
        <v>108</v>
      </c>
      <c r="D3" s="22"/>
      <c r="I3" s="498"/>
      <c r="J3" s="273" t="s">
        <v>109</v>
      </c>
      <c r="K3" s="496"/>
    </row>
    <row r="4" spans="1:11" x14ac:dyDescent="0.25">
      <c r="A4" t="s">
        <v>110</v>
      </c>
      <c r="B4" s="278"/>
      <c r="C4" s="281"/>
      <c r="D4" s="22"/>
      <c r="I4" s="498"/>
      <c r="K4" s="496"/>
    </row>
    <row r="5" spans="1:11" ht="16.5" x14ac:dyDescent="0.3">
      <c r="A5" t="s">
        <v>111</v>
      </c>
      <c r="B5" s="268"/>
      <c r="C5" s="269"/>
      <c r="D5" s="22"/>
      <c r="I5" s="498"/>
      <c r="K5" s="496"/>
    </row>
    <row r="6" spans="1:11" ht="15" customHeight="1" thickBot="1" x14ac:dyDescent="0.3">
      <c r="A6" t="s">
        <v>112</v>
      </c>
      <c r="B6" s="270"/>
      <c r="C6" s="271"/>
      <c r="D6" s="22"/>
      <c r="I6" s="498"/>
      <c r="K6" s="496"/>
    </row>
    <row r="7" spans="1:11" x14ac:dyDescent="0.25">
      <c r="I7" s="498"/>
      <c r="K7" s="496"/>
    </row>
    <row r="8" spans="1:11" x14ac:dyDescent="0.25">
      <c r="I8" s="498"/>
      <c r="K8" s="496"/>
    </row>
    <row r="9" spans="1:11" x14ac:dyDescent="0.25">
      <c r="A9" s="15" t="s">
        <v>113</v>
      </c>
      <c r="B9" s="15" t="s">
        <v>114</v>
      </c>
      <c r="C9" s="15"/>
      <c r="I9" s="498"/>
      <c r="K9" s="496"/>
    </row>
    <row r="10" spans="1:11" x14ac:dyDescent="0.25">
      <c r="B10" s="506" t="s">
        <v>115</v>
      </c>
      <c r="C10" s="507"/>
      <c r="D10" s="507"/>
      <c r="E10" s="507"/>
      <c r="F10" s="507"/>
      <c r="G10" s="507"/>
      <c r="I10" s="498"/>
      <c r="K10" s="496"/>
    </row>
    <row r="11" spans="1:11" x14ac:dyDescent="0.25">
      <c r="B11" s="498"/>
      <c r="C11" s="498"/>
      <c r="D11" s="498"/>
      <c r="E11" s="498"/>
      <c r="F11" s="498"/>
      <c r="G11" s="498"/>
      <c r="I11" s="498"/>
      <c r="K11" s="496"/>
    </row>
    <row r="12" spans="1:11" x14ac:dyDescent="0.25">
      <c r="F12" s="494" t="s">
        <v>116</v>
      </c>
      <c r="I12" s="498"/>
      <c r="K12" s="496"/>
    </row>
    <row r="13" spans="1:11" ht="15.75" thickBot="1" x14ac:dyDescent="0.3">
      <c r="B13" s="32" t="s">
        <v>117</v>
      </c>
      <c r="C13" s="266" t="s">
        <v>118</v>
      </c>
      <c r="D13" s="32" t="s">
        <v>119</v>
      </c>
      <c r="E13" s="32"/>
      <c r="F13" s="495"/>
      <c r="G13" s="32" t="s">
        <v>120</v>
      </c>
      <c r="I13" s="498"/>
      <c r="K13" s="496"/>
    </row>
    <row r="14" spans="1:11" ht="16.5" thickTop="1" thickBot="1" x14ac:dyDescent="0.3">
      <c r="B14" s="277">
        <f>+D14+F14</f>
        <v>187323.94</v>
      </c>
      <c r="C14" s="1">
        <f>+Profit!B4</f>
        <v>289000</v>
      </c>
      <c r="D14" s="1">
        <f>+Profit!K47-Profit!B18</f>
        <v>187323.94</v>
      </c>
      <c r="F14" s="276">
        <f>+B24-(B24*F16)</f>
        <v>0</v>
      </c>
      <c r="G14" s="241">
        <f>+C14-D14-F14+Profit!E53+Profit!B18</f>
        <v>-40703.745187499997</v>
      </c>
      <c r="I14" s="498"/>
      <c r="K14" s="496"/>
    </row>
    <row r="15" spans="1:11" ht="16.5" thickTop="1" thickBot="1" x14ac:dyDescent="0.3">
      <c r="C15" s="236"/>
      <c r="D15" s="237" t="s">
        <v>121</v>
      </c>
      <c r="E15" s="238">
        <f>+Profit!$K$49</f>
        <v>43839.805187499995</v>
      </c>
      <c r="H15" s="267"/>
      <c r="K15" s="496"/>
    </row>
    <row r="16" spans="1:11" ht="16.5" thickTop="1" thickBot="1" x14ac:dyDescent="0.3">
      <c r="C16" s="236"/>
      <c r="D16" s="239" t="s">
        <v>122</v>
      </c>
      <c r="E16" s="240">
        <f>+G14/E15</f>
        <v>-0.9284654667923985</v>
      </c>
      <c r="F16" s="275">
        <v>0.1</v>
      </c>
      <c r="H16" s="267" t="s">
        <v>123</v>
      </c>
      <c r="I16" s="496"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496"/>
    </row>
    <row r="17" spans="1:13" ht="15.75" thickTop="1" x14ac:dyDescent="0.25">
      <c r="C17" s="236"/>
      <c r="D17" s="239" t="s">
        <v>124</v>
      </c>
      <c r="E17" s="240">
        <f>+G14/(F14+G14)</f>
        <v>1</v>
      </c>
      <c r="F17" t="s">
        <v>125</v>
      </c>
      <c r="I17" s="496"/>
      <c r="K17" s="496"/>
    </row>
    <row r="18" spans="1:13" x14ac:dyDescent="0.25">
      <c r="I18" s="496"/>
      <c r="K18" s="496"/>
    </row>
    <row r="19" spans="1:13" ht="15.75" thickBot="1" x14ac:dyDescent="0.3">
      <c r="A19" s="15" t="s">
        <v>126</v>
      </c>
      <c r="B19" s="15" t="s">
        <v>127</v>
      </c>
      <c r="D19" s="15" t="s">
        <v>128</v>
      </c>
      <c r="H19">
        <f>IF(H20="X",1,0)</f>
        <v>0</v>
      </c>
      <c r="K19" s="496"/>
    </row>
    <row r="20" spans="1:13" ht="15" customHeight="1" thickTop="1" thickBot="1" x14ac:dyDescent="0.3">
      <c r="B20" t="s">
        <v>129</v>
      </c>
      <c r="H20" s="267"/>
      <c r="I20" s="496"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$187,323.94
                                Total Value:                     $0.00</v>
      </c>
      <c r="K20" s="496"/>
    </row>
    <row r="21" spans="1:13" ht="15.75" thickTop="1" x14ac:dyDescent="0.25">
      <c r="B21" t="s">
        <v>130</v>
      </c>
      <c r="I21" s="496"/>
      <c r="J21" s="264"/>
      <c r="K21" s="496"/>
      <c r="L21" s="263"/>
      <c r="M21" s="263"/>
    </row>
    <row r="22" spans="1:13" ht="30" x14ac:dyDescent="0.25">
      <c r="F22" s="63" t="s">
        <v>131</v>
      </c>
      <c r="I22" s="496"/>
      <c r="J22" s="263"/>
      <c r="K22" s="496"/>
      <c r="L22" s="263"/>
      <c r="M22" s="263"/>
    </row>
    <row r="23" spans="1:13" ht="15.75" thickBot="1" x14ac:dyDescent="0.3">
      <c r="B23" s="32" t="s">
        <v>132</v>
      </c>
      <c r="C23" s="499"/>
      <c r="D23" s="500"/>
      <c r="E23" s="500"/>
      <c r="F23" s="500"/>
      <c r="G23" s="32" t="s">
        <v>120</v>
      </c>
      <c r="I23" s="497"/>
      <c r="J23" s="263"/>
      <c r="K23" s="496"/>
      <c r="L23" s="263"/>
      <c r="M23" s="263"/>
    </row>
    <row r="24" spans="1:13" ht="16.5" thickTop="1" thickBot="1" x14ac:dyDescent="0.3">
      <c r="B24" s="274">
        <f>+Profit!B18</f>
        <v>0</v>
      </c>
      <c r="C24" s="501" t="s">
        <v>133</v>
      </c>
      <c r="D24" s="502"/>
      <c r="E24" s="502"/>
      <c r="F24" s="10">
        <f>+B24</f>
        <v>0</v>
      </c>
      <c r="G24" s="241">
        <f ca="1">+Profit!K59+Profit!B18-B24</f>
        <v>188761.69881249996</v>
      </c>
      <c r="I24" s="498"/>
      <c r="K24" s="496"/>
    </row>
    <row r="25" spans="1:13" ht="15.4" customHeight="1" thickTop="1" thickBot="1" x14ac:dyDescent="0.3">
      <c r="C25" s="236"/>
      <c r="D25" s="237" t="s">
        <v>121</v>
      </c>
      <c r="E25" s="238">
        <f>+Profit!$K$49</f>
        <v>43839.805187499995</v>
      </c>
      <c r="H25">
        <f>IF(H26="X",1+H19,H19)</f>
        <v>1</v>
      </c>
      <c r="K25" s="496"/>
    </row>
    <row r="26" spans="1:13" ht="15" customHeight="1" thickTop="1" thickBot="1" x14ac:dyDescent="0.3">
      <c r="C26" s="236"/>
      <c r="D26" s="239" t="s">
        <v>122</v>
      </c>
      <c r="E26" s="240">
        <f ca="1">+G24/E25</f>
        <v>4.3057148179645974</v>
      </c>
      <c r="H26" s="267" t="s">
        <v>134</v>
      </c>
      <c r="I26" s="496"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$0.00
                                Total Value:                      $0.00</v>
      </c>
      <c r="K26" s="496"/>
    </row>
    <row r="27" spans="1:13" ht="15" customHeight="1" thickTop="1" x14ac:dyDescent="0.25">
      <c r="C27" s="236"/>
      <c r="D27" s="239" t="s">
        <v>124</v>
      </c>
      <c r="E27" s="240">
        <f ca="1">+G24/(F24+G24)</f>
        <v>1</v>
      </c>
      <c r="I27" s="496"/>
      <c r="K27" s="496"/>
    </row>
    <row r="28" spans="1:13" ht="15" customHeight="1" x14ac:dyDescent="0.25">
      <c r="I28" s="496"/>
      <c r="K28" s="496"/>
    </row>
    <row r="29" spans="1:13" x14ac:dyDescent="0.25">
      <c r="A29" s="15"/>
      <c r="B29" s="15"/>
      <c r="I29" s="497"/>
      <c r="K29" s="496"/>
    </row>
    <row r="30" spans="1:13" x14ac:dyDescent="0.25">
      <c r="A30" s="15" t="s">
        <v>135</v>
      </c>
      <c r="B30" s="15" t="s">
        <v>136</v>
      </c>
      <c r="D30" t="s">
        <v>137</v>
      </c>
      <c r="I30" s="498"/>
      <c r="K30" s="496"/>
    </row>
    <row r="31" spans="1:13" ht="25.5" x14ac:dyDescent="0.25">
      <c r="B31" t="s">
        <v>129</v>
      </c>
      <c r="I31" s="264"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496"/>
    </row>
    <row r="32" spans="1:13" ht="15.75" thickBot="1" x14ac:dyDescent="0.3">
      <c r="B32" t="s">
        <v>130</v>
      </c>
      <c r="H32">
        <f>IF(H33="X",H25+1,H25)</f>
        <v>2</v>
      </c>
      <c r="K32" s="496"/>
    </row>
    <row r="33" spans="1:13" ht="15" customHeight="1" thickTop="1" thickBot="1" x14ac:dyDescent="0.3">
      <c r="H33" s="267" t="s">
        <v>134</v>
      </c>
      <c r="I33" s="496"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$0.00
                        12 Month Note:                        $20,000.00
                         Interest Earned:                         $1,600.00            $66.67 per month
                                Total Value:                    $21,600.00</v>
      </c>
      <c r="K33" s="496"/>
    </row>
    <row r="34" spans="1:13" ht="16.5" thickTop="1" thickBot="1" x14ac:dyDescent="0.3">
      <c r="C34" s="2" t="s">
        <v>138</v>
      </c>
      <c r="D34" s="3" t="s">
        <v>79</v>
      </c>
      <c r="F34" s="3" t="s">
        <v>139</v>
      </c>
      <c r="I34" s="496"/>
      <c r="K34" s="496"/>
    </row>
    <row r="35" spans="1:13" ht="16.5" thickTop="1" thickBot="1" x14ac:dyDescent="0.3">
      <c r="B35" s="272" t="s">
        <v>140</v>
      </c>
      <c r="C35" s="244">
        <v>20000</v>
      </c>
      <c r="D35" s="235">
        <v>24</v>
      </c>
      <c r="F35" s="494" t="s">
        <v>131</v>
      </c>
      <c r="I35" s="496"/>
      <c r="K35" s="496"/>
    </row>
    <row r="36" spans="1:13" ht="16.5" thickTop="1" thickBot="1" x14ac:dyDescent="0.3">
      <c r="B36" s="32" t="s">
        <v>141</v>
      </c>
      <c r="C36" s="32" t="s">
        <v>142</v>
      </c>
      <c r="D36" s="32" t="s">
        <v>143</v>
      </c>
      <c r="E36" s="32" t="s">
        <v>144</v>
      </c>
      <c r="F36" s="495"/>
      <c r="G36" s="32" t="s">
        <v>120</v>
      </c>
      <c r="I36" s="496"/>
      <c r="K36" s="496"/>
    </row>
    <row r="37" spans="1:13" ht="16.5" thickTop="1" thickBot="1" x14ac:dyDescent="0.3">
      <c r="B37" s="10">
        <f>+(Profit!$B$18)*B38</f>
        <v>0</v>
      </c>
      <c r="C37" s="10">
        <f>+(Profit!$B$18)-B37+C35</f>
        <v>20000</v>
      </c>
      <c r="D37" s="10">
        <f>+C37*D35/12*E37</f>
        <v>1600</v>
      </c>
      <c r="E37" s="246">
        <v>0.04</v>
      </c>
      <c r="F37" s="10">
        <f>+SUM(B37:D37)</f>
        <v>21600</v>
      </c>
      <c r="G37" s="241">
        <f ca="1">+Profit!$K$59-D37-C35</f>
        <v>167161.69881249996</v>
      </c>
      <c r="I37" s="496"/>
      <c r="K37" s="496"/>
    </row>
    <row r="38" spans="1:13" ht="16.5" thickTop="1" thickBot="1" x14ac:dyDescent="0.3">
      <c r="B38" s="246">
        <v>0.2</v>
      </c>
      <c r="C38" s="262">
        <f>1-B38</f>
        <v>0.8</v>
      </c>
      <c r="D38" s="10"/>
      <c r="E38" s="38"/>
      <c r="F38" s="10"/>
      <c r="G38" s="10"/>
      <c r="I38" s="496"/>
      <c r="K38" s="496"/>
    </row>
    <row r="39" spans="1:13" ht="15.4" customHeight="1" thickTop="1" x14ac:dyDescent="0.25">
      <c r="B39" s="10"/>
      <c r="C39" s="241"/>
      <c r="D39" s="237" t="s">
        <v>121</v>
      </c>
      <c r="E39" s="238">
        <f>+Profit!$K$49-C37+C35</f>
        <v>43839.805187499995</v>
      </c>
      <c r="F39" s="10"/>
      <c r="G39" s="10"/>
      <c r="I39" s="496"/>
      <c r="K39" s="496"/>
    </row>
    <row r="40" spans="1:13" x14ac:dyDescent="0.25">
      <c r="C40" s="236"/>
      <c r="D40" s="239" t="s">
        <v>122</v>
      </c>
      <c r="E40" s="240">
        <f ca="1">+G37/E39</f>
        <v>3.8130118986058505</v>
      </c>
      <c r="I40" s="496"/>
      <c r="K40" s="496"/>
    </row>
    <row r="41" spans="1:13" ht="15" customHeight="1" thickBot="1" x14ac:dyDescent="0.3">
      <c r="C41" s="236"/>
      <c r="D41" s="239" t="s">
        <v>124</v>
      </c>
      <c r="E41" s="240">
        <f ca="1">+G37/(F37+G37)</f>
        <v>0.88557000633133931</v>
      </c>
      <c r="H41">
        <f>IF(H42="X",H32+1,H32)</f>
        <v>3</v>
      </c>
      <c r="K41" s="496"/>
    </row>
    <row r="42" spans="1:13" ht="16.5" thickTop="1" thickBot="1" x14ac:dyDescent="0.3">
      <c r="A42" s="15" t="s">
        <v>145</v>
      </c>
      <c r="B42" s="15" t="s">
        <v>146</v>
      </c>
      <c r="H42" s="267" t="s">
        <v>134</v>
      </c>
      <c r="I42" s="496"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$141,519.49   *    Expected 3% appreciation per year
                          Expected Value:                    $151,519.49    ** After 24 months.</v>
      </c>
      <c r="K42" s="496"/>
    </row>
    <row r="43" spans="1:13" ht="15.75" thickTop="1" x14ac:dyDescent="0.25">
      <c r="B43" t="s">
        <v>129</v>
      </c>
      <c r="I43" s="496"/>
      <c r="K43" s="498"/>
      <c r="M43" s="250"/>
    </row>
    <row r="44" spans="1:13" x14ac:dyDescent="0.25">
      <c r="B44" t="s">
        <v>130</v>
      </c>
      <c r="I44" s="496"/>
      <c r="K44" s="498"/>
    </row>
    <row r="45" spans="1:13" ht="15" customHeight="1" x14ac:dyDescent="0.25">
      <c r="B45" t="s">
        <v>147</v>
      </c>
      <c r="I45" s="496"/>
      <c r="K45" s="498"/>
    </row>
    <row r="46" spans="1:13" x14ac:dyDescent="0.25">
      <c r="B46" t="s">
        <v>148</v>
      </c>
      <c r="I46" s="496"/>
      <c r="K46" s="498"/>
    </row>
    <row r="47" spans="1:13" x14ac:dyDescent="0.25">
      <c r="F47" s="3" t="s">
        <v>149</v>
      </c>
      <c r="I47" s="496"/>
      <c r="K47" s="498"/>
    </row>
    <row r="48" spans="1:13" x14ac:dyDescent="0.25">
      <c r="C48" s="494" t="s">
        <v>150</v>
      </c>
      <c r="D48" s="494" t="s">
        <v>151</v>
      </c>
      <c r="E48" s="494" t="s">
        <v>152</v>
      </c>
      <c r="F48" s="494" t="s">
        <v>131</v>
      </c>
      <c r="I48" s="496"/>
      <c r="K48" s="498"/>
    </row>
    <row r="49" spans="1:11" ht="15.75" thickBot="1" x14ac:dyDescent="0.3">
      <c r="B49" s="3" t="s">
        <v>141</v>
      </c>
      <c r="C49" s="495" t="s">
        <v>150</v>
      </c>
      <c r="D49" s="495" t="s">
        <v>151</v>
      </c>
      <c r="E49" s="495" t="s">
        <v>153</v>
      </c>
      <c r="F49" s="495"/>
      <c r="G49" s="32" t="s">
        <v>120</v>
      </c>
      <c r="I49" s="496"/>
      <c r="K49" s="498"/>
    </row>
    <row r="50" spans="1:11" ht="16.5" thickTop="1" thickBot="1" x14ac:dyDescent="0.3">
      <c r="B50" s="244">
        <v>10000</v>
      </c>
      <c r="C50" s="8">
        <f ca="1">+Profit!$K$59+Profit!B18-B50+(Profit!K6*Profit!C49/12*Profit!B4)</f>
        <v>202170.69881249996</v>
      </c>
      <c r="D50" s="234">
        <v>0.7</v>
      </c>
      <c r="E50" s="10">
        <f ca="1">+D50*C50</f>
        <v>141519.48916874998</v>
      </c>
      <c r="F50" s="10">
        <f ca="1">+B50+E50</f>
        <v>151519.48916874998</v>
      </c>
      <c r="G50" s="241">
        <f ca="1">(1-D50)*C50</f>
        <v>60651.20964375</v>
      </c>
      <c r="I50" s="496"/>
      <c r="K50" s="498"/>
    </row>
    <row r="51" spans="1:11" ht="15.75" thickTop="1" x14ac:dyDescent="0.25">
      <c r="D51" s="15" t="s">
        <v>154</v>
      </c>
      <c r="I51" s="265"/>
      <c r="K51" s="498"/>
    </row>
    <row r="52" spans="1:11" x14ac:dyDescent="0.25">
      <c r="C52" s="236"/>
      <c r="D52" s="237" t="s">
        <v>121</v>
      </c>
      <c r="E52" s="238">
        <f>+Profit!$K$49-B24+B50</f>
        <v>53839.805187499995</v>
      </c>
      <c r="H52" t="s">
        <v>123</v>
      </c>
      <c r="I52" s="496"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498"/>
    </row>
    <row r="53" spans="1:11" ht="15" customHeight="1" x14ac:dyDescent="0.25">
      <c r="C53" s="236"/>
      <c r="D53" s="239" t="s">
        <v>122</v>
      </c>
      <c r="E53" s="240">
        <f ca="1">+G50/E52</f>
        <v>1.1265124276086982</v>
      </c>
      <c r="I53" s="498"/>
      <c r="K53" s="498"/>
    </row>
    <row r="54" spans="1:11" x14ac:dyDescent="0.25">
      <c r="C54" s="236"/>
      <c r="D54" s="239" t="s">
        <v>124</v>
      </c>
      <c r="E54" s="240">
        <f ca="1">+G50/(F50+G50)</f>
        <v>0.28586044153697604</v>
      </c>
      <c r="I54" s="498"/>
      <c r="K54" s="498"/>
    </row>
    <row r="55" spans="1:11" ht="15" customHeight="1" x14ac:dyDescent="0.25">
      <c r="I55" s="498"/>
      <c r="K55" s="498"/>
    </row>
    <row r="56" spans="1:11" ht="15.75" thickBot="1" x14ac:dyDescent="0.3">
      <c r="B56" s="15" t="s">
        <v>155</v>
      </c>
      <c r="D56" t="s">
        <v>156</v>
      </c>
      <c r="I56" s="498"/>
      <c r="K56" s="498"/>
    </row>
    <row r="57" spans="1:11" x14ac:dyDescent="0.25">
      <c r="A57" s="485"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486"/>
      <c r="C57" s="486"/>
      <c r="D57" s="486"/>
      <c r="E57" s="486"/>
      <c r="F57" s="486"/>
      <c r="G57" s="487"/>
      <c r="I57" s="498"/>
      <c r="K57" s="498"/>
    </row>
    <row r="58" spans="1:11" x14ac:dyDescent="0.25">
      <c r="A58" s="488"/>
      <c r="B58" s="489"/>
      <c r="C58" s="489"/>
      <c r="D58" s="489"/>
      <c r="E58" s="489"/>
      <c r="F58" s="489"/>
      <c r="G58" s="490"/>
      <c r="I58" s="498"/>
      <c r="K58" s="498"/>
    </row>
    <row r="59" spans="1:11" x14ac:dyDescent="0.25">
      <c r="A59" s="488"/>
      <c r="B59" s="489"/>
      <c r="C59" s="489"/>
      <c r="D59" s="489"/>
      <c r="E59" s="489"/>
      <c r="F59" s="489"/>
      <c r="G59" s="490"/>
      <c r="K59" s="498"/>
    </row>
    <row r="60" spans="1:11" x14ac:dyDescent="0.25">
      <c r="A60" s="488"/>
      <c r="B60" s="489"/>
      <c r="C60" s="489"/>
      <c r="D60" s="489"/>
      <c r="E60" s="489"/>
      <c r="F60" s="489"/>
      <c r="G60" s="490"/>
      <c r="K60" s="498"/>
    </row>
    <row r="61" spans="1:11" x14ac:dyDescent="0.25">
      <c r="A61" s="488"/>
      <c r="B61" s="489"/>
      <c r="C61" s="489"/>
      <c r="D61" s="489"/>
      <c r="E61" s="489"/>
      <c r="F61" s="489"/>
      <c r="G61" s="490"/>
      <c r="H61" t="s">
        <v>123</v>
      </c>
      <c r="I61" s="496" t="str">
        <f>A57</f>
        <v xml:space="preserve">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498"/>
    </row>
    <row r="62" spans="1:11" x14ac:dyDescent="0.25">
      <c r="A62" s="488"/>
      <c r="B62" s="489"/>
      <c r="C62" s="489"/>
      <c r="D62" s="489"/>
      <c r="E62" s="489"/>
      <c r="F62" s="489"/>
      <c r="G62" s="490"/>
      <c r="I62" s="498"/>
      <c r="K62" s="498"/>
    </row>
    <row r="63" spans="1:11" x14ac:dyDescent="0.25">
      <c r="A63" s="488"/>
      <c r="B63" s="489"/>
      <c r="C63" s="489"/>
      <c r="D63" s="489"/>
      <c r="E63" s="489"/>
      <c r="F63" s="489"/>
      <c r="G63" s="490"/>
      <c r="I63" s="498"/>
      <c r="K63" s="498"/>
    </row>
    <row r="64" spans="1:11" x14ac:dyDescent="0.25">
      <c r="A64" s="488"/>
      <c r="B64" s="489"/>
      <c r="C64" s="489"/>
      <c r="D64" s="489"/>
      <c r="E64" s="489"/>
      <c r="F64" s="489"/>
      <c r="G64" s="490"/>
      <c r="I64" s="498"/>
      <c r="K64" s="498"/>
    </row>
    <row r="65" spans="1:11" x14ac:dyDescent="0.25">
      <c r="A65" s="488"/>
      <c r="B65" s="489"/>
      <c r="C65" s="489"/>
      <c r="D65" s="489"/>
      <c r="E65" s="489"/>
      <c r="F65" s="489"/>
      <c r="G65" s="490"/>
      <c r="I65" s="498"/>
      <c r="K65" s="498"/>
    </row>
    <row r="66" spans="1:11" x14ac:dyDescent="0.25">
      <c r="A66" s="488"/>
      <c r="B66" s="489"/>
      <c r="C66" s="489"/>
      <c r="D66" s="489"/>
      <c r="E66" s="489"/>
      <c r="F66" s="489"/>
      <c r="G66" s="490"/>
      <c r="I66" s="498"/>
      <c r="K66" s="498"/>
    </row>
    <row r="67" spans="1:11" x14ac:dyDescent="0.25">
      <c r="A67" s="488"/>
      <c r="B67" s="489"/>
      <c r="C67" s="489"/>
      <c r="D67" s="489"/>
      <c r="E67" s="489"/>
      <c r="F67" s="489"/>
      <c r="G67" s="490"/>
      <c r="I67" s="498"/>
      <c r="K67" s="498"/>
    </row>
    <row r="68" spans="1:11" x14ac:dyDescent="0.25">
      <c r="A68" s="488"/>
      <c r="B68" s="489"/>
      <c r="C68" s="489"/>
      <c r="D68" s="489"/>
      <c r="E68" s="489"/>
      <c r="F68" s="489"/>
      <c r="G68" s="490"/>
      <c r="I68" s="498"/>
    </row>
    <row r="69" spans="1:11" x14ac:dyDescent="0.25">
      <c r="A69" s="488"/>
      <c r="B69" s="489"/>
      <c r="C69" s="489"/>
      <c r="D69" s="489"/>
      <c r="E69" s="489"/>
      <c r="F69" s="489"/>
      <c r="G69" s="490"/>
      <c r="I69" s="498"/>
    </row>
    <row r="70" spans="1:11" x14ac:dyDescent="0.25">
      <c r="A70" s="488"/>
      <c r="B70" s="489"/>
      <c r="C70" s="489"/>
      <c r="D70" s="489"/>
      <c r="E70" s="489"/>
      <c r="F70" s="489"/>
      <c r="G70" s="490"/>
      <c r="I70" s="498"/>
    </row>
    <row r="71" spans="1:11" x14ac:dyDescent="0.25">
      <c r="A71" s="488"/>
      <c r="B71" s="489"/>
      <c r="C71" s="489"/>
      <c r="D71" s="489"/>
      <c r="E71" s="489"/>
      <c r="F71" s="489"/>
      <c r="G71" s="490"/>
      <c r="I71" s="498"/>
    </row>
    <row r="72" spans="1:11" x14ac:dyDescent="0.25">
      <c r="A72" s="488"/>
      <c r="B72" s="489"/>
      <c r="C72" s="489"/>
      <c r="D72" s="489"/>
      <c r="E72" s="489"/>
      <c r="F72" s="489"/>
      <c r="G72" s="490"/>
      <c r="I72" s="498"/>
    </row>
    <row r="73" spans="1:11" x14ac:dyDescent="0.25">
      <c r="A73" s="488"/>
      <c r="B73" s="489"/>
      <c r="C73" s="489"/>
      <c r="D73" s="489"/>
      <c r="E73" s="489"/>
      <c r="F73" s="489"/>
      <c r="G73" s="490"/>
    </row>
    <row r="74" spans="1:11" x14ac:dyDescent="0.25">
      <c r="A74" s="488"/>
      <c r="B74" s="489"/>
      <c r="C74" s="489"/>
      <c r="D74" s="489"/>
      <c r="E74" s="489"/>
      <c r="F74" s="489"/>
      <c r="G74" s="490"/>
      <c r="H74" t="s">
        <v>123</v>
      </c>
      <c r="I74" s="248" t="str">
        <f>"Sincerely,
Wes Browning"</f>
        <v>Sincerely,
Wes Browning</v>
      </c>
    </row>
    <row r="75" spans="1:11" ht="15" customHeight="1" x14ac:dyDescent="0.25">
      <c r="A75" s="488"/>
      <c r="B75" s="489"/>
      <c r="C75" s="489"/>
      <c r="D75" s="489"/>
      <c r="E75" s="489"/>
      <c r="F75" s="489"/>
      <c r="G75" s="490"/>
      <c r="I75" s="248"/>
    </row>
    <row r="76" spans="1:11" x14ac:dyDescent="0.25">
      <c r="A76" s="488"/>
      <c r="B76" s="489"/>
      <c r="C76" s="489"/>
      <c r="D76" s="489"/>
      <c r="E76" s="489"/>
      <c r="F76" s="489"/>
      <c r="G76" s="490"/>
      <c r="I76" s="248"/>
    </row>
    <row r="77" spans="1:11" x14ac:dyDescent="0.25">
      <c r="A77" s="488"/>
      <c r="B77" s="489"/>
      <c r="C77" s="489"/>
      <c r="D77" s="489"/>
      <c r="E77" s="489"/>
      <c r="F77" s="489"/>
      <c r="G77" s="490"/>
    </row>
    <row r="78" spans="1:11" x14ac:dyDescent="0.25">
      <c r="A78" s="488"/>
      <c r="B78" s="489"/>
      <c r="C78" s="489"/>
      <c r="D78" s="489"/>
      <c r="E78" s="489"/>
      <c r="F78" s="489"/>
      <c r="G78" s="490"/>
    </row>
    <row r="79" spans="1:11" ht="15.75" thickBot="1" x14ac:dyDescent="0.3">
      <c r="A79" s="491"/>
      <c r="B79" s="492"/>
      <c r="C79" s="492"/>
      <c r="D79" s="492"/>
      <c r="E79" s="492"/>
      <c r="F79" s="492"/>
      <c r="G79" s="493"/>
    </row>
    <row r="80" spans="1:11" x14ac:dyDescent="0.25">
      <c r="A80" s="248"/>
      <c r="B80" s="248"/>
      <c r="C80" s="248"/>
      <c r="D80" s="248"/>
      <c r="E80" s="248"/>
      <c r="F80" s="248"/>
      <c r="G80" s="248"/>
    </row>
    <row r="81" spans="1:9" x14ac:dyDescent="0.25">
      <c r="A81" s="248"/>
      <c r="B81" s="248"/>
      <c r="C81" s="248"/>
      <c r="D81" s="248"/>
      <c r="E81" s="248"/>
      <c r="F81" s="248"/>
      <c r="G81" s="2" t="s">
        <v>157</v>
      </c>
      <c r="I81" s="248" t="s">
        <v>158</v>
      </c>
    </row>
    <row r="82" spans="1:9" x14ac:dyDescent="0.25">
      <c r="G82" s="2" t="s">
        <v>159</v>
      </c>
      <c r="H82" t="s">
        <v>123</v>
      </c>
      <c r="I82" s="248" t="s">
        <v>160</v>
      </c>
    </row>
  </sheetData>
  <mergeCells count="21">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 ref="A57:G79"/>
    <mergeCell ref="D48:D49"/>
    <mergeCell ref="C48:C49"/>
    <mergeCell ref="I26:I30"/>
    <mergeCell ref="I20:I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workbookViewId="0">
      <pane ySplit="1" topLeftCell="A2" activePane="bottomLeft" state="frozen"/>
      <selection activeCell="C1" sqref="C1:E1"/>
      <selection pane="bottomLeft" activeCell="D13" sqref="D13"/>
    </sheetView>
  </sheetViews>
  <sheetFormatPr defaultRowHeight="15" x14ac:dyDescent="0.25"/>
  <cols>
    <col min="1" max="1" width="47.140625" style="2" bestFit="1" customWidth="1"/>
    <col min="2" max="2" width="31.28515625" style="2" bestFit="1" customWidth="1"/>
    <col min="3" max="3" width="16.28515625" style="25" bestFit="1" customWidth="1"/>
    <col min="4" max="4" width="20.28515625" style="2" bestFit="1" customWidth="1"/>
    <col min="5" max="5" width="36" style="25" customWidth="1"/>
    <col min="6" max="6" width="12.14062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x14ac:dyDescent="0.25">
      <c r="A1" s="3" t="s">
        <v>172</v>
      </c>
      <c r="B1" s="3" t="s">
        <v>173</v>
      </c>
      <c r="C1" s="33" t="s">
        <v>174</v>
      </c>
      <c r="D1" s="31" t="s">
        <v>175</v>
      </c>
      <c r="E1" s="33" t="s">
        <v>176</v>
      </c>
      <c r="F1" s="3" t="s">
        <v>177</v>
      </c>
    </row>
    <row r="2" spans="1:25" x14ac:dyDescent="0.25">
      <c r="A2" s="25" t="s">
        <v>178</v>
      </c>
      <c r="E2" s="28"/>
    </row>
    <row r="3" spans="1:25" x14ac:dyDescent="0.25">
      <c r="A3" s="184" t="s">
        <v>179</v>
      </c>
      <c r="B3" s="184"/>
      <c r="C3" s="29" t="s">
        <v>180</v>
      </c>
      <c r="D3" s="29" t="s">
        <v>181</v>
      </c>
      <c r="E3" s="29" t="s">
        <v>182</v>
      </c>
    </row>
    <row r="4" spans="1:25" x14ac:dyDescent="0.25">
      <c r="A4" s="2" t="s">
        <v>183</v>
      </c>
      <c r="D4" s="25" t="s">
        <v>184</v>
      </c>
      <c r="E4" s="12"/>
    </row>
    <row r="5" spans="1:25" x14ac:dyDescent="0.25">
      <c r="B5" s="45"/>
      <c r="D5" s="2" t="s">
        <v>185</v>
      </c>
      <c r="E5" s="28"/>
    </row>
    <row r="6" spans="1:25" x14ac:dyDescent="0.25">
      <c r="A6" s="25" t="s">
        <v>186</v>
      </c>
      <c r="B6" s="45" t="s">
        <v>187</v>
      </c>
      <c r="E6" s="291"/>
    </row>
    <row r="7" spans="1:25" x14ac:dyDescent="0.25">
      <c r="A7" s="46" t="s">
        <v>188</v>
      </c>
      <c r="B7" s="47" t="s">
        <v>189</v>
      </c>
      <c r="C7" s="33" t="s">
        <v>190</v>
      </c>
      <c r="D7" s="48" t="s">
        <v>191</v>
      </c>
      <c r="E7" s="28"/>
      <c r="F7" s="19" t="s">
        <v>192</v>
      </c>
    </row>
    <row r="8" spans="1:25" x14ac:dyDescent="0.25">
      <c r="A8" s="2" t="s">
        <v>193</v>
      </c>
      <c r="B8" s="2" t="s">
        <v>194</v>
      </c>
      <c r="E8" s="28" t="s">
        <v>195</v>
      </c>
      <c r="F8" s="25" t="s">
        <v>196</v>
      </c>
    </row>
    <row r="9" spans="1:25" x14ac:dyDescent="0.25">
      <c r="A9" s="2" t="s">
        <v>197</v>
      </c>
      <c r="B9" s="2" t="s">
        <v>198</v>
      </c>
      <c r="E9" s="28"/>
      <c r="F9" t="s">
        <v>199</v>
      </c>
    </row>
    <row r="10" spans="1:25" x14ac:dyDescent="0.25">
      <c r="A10" s="2" t="s">
        <v>200</v>
      </c>
      <c r="B10" s="2" t="s">
        <v>201</v>
      </c>
      <c r="C10" s="25" t="s">
        <v>202</v>
      </c>
      <c r="E10" s="28"/>
    </row>
    <row r="11" spans="1:25" x14ac:dyDescent="0.25">
      <c r="F11" s="28"/>
    </row>
    <row r="12" spans="1:25" x14ac:dyDescent="0.25">
      <c r="A12" s="2" t="s">
        <v>751</v>
      </c>
      <c r="B12" s="257" t="s">
        <v>752</v>
      </c>
      <c r="C12" s="25" t="s">
        <v>753</v>
      </c>
      <c r="D12" s="28" t="s">
        <v>755</v>
      </c>
      <c r="E12" s="305"/>
    </row>
    <row r="13" spans="1:25" x14ac:dyDescent="0.25">
      <c r="A13" s="2" t="s">
        <v>754</v>
      </c>
      <c r="D13" s="2">
        <v>691805311</v>
      </c>
    </row>
    <row r="14" spans="1:25" x14ac:dyDescent="0.25">
      <c r="A14" s="2" t="s">
        <v>203</v>
      </c>
      <c r="B14" s="34" t="s">
        <v>204</v>
      </c>
      <c r="E14" s="19"/>
    </row>
    <row r="16" spans="1:25" x14ac:dyDescent="0.25">
      <c r="U16" t="s">
        <v>205</v>
      </c>
      <c r="V16" t="s">
        <v>206</v>
      </c>
      <c r="W16" t="s">
        <v>207</v>
      </c>
      <c r="X16" t="s">
        <v>208</v>
      </c>
      <c r="Y16" t="s">
        <v>209</v>
      </c>
    </row>
    <row r="17" spans="1:24" x14ac:dyDescent="0.25">
      <c r="E17" s="28"/>
      <c r="F17" s="19"/>
      <c r="U17" t="s">
        <v>210</v>
      </c>
      <c r="V17" t="s">
        <v>211</v>
      </c>
      <c r="W17" s="253">
        <v>0.4458333333333333</v>
      </c>
      <c r="X17" t="s">
        <v>212</v>
      </c>
    </row>
    <row r="20" spans="1:24" x14ac:dyDescent="0.25">
      <c r="A20" s="2" t="s">
        <v>213</v>
      </c>
    </row>
    <row r="21" spans="1:24" x14ac:dyDescent="0.25">
      <c r="A21" s="254" t="s">
        <v>214</v>
      </c>
      <c r="B21" s="2" t="s">
        <v>215</v>
      </c>
      <c r="C21" s="28" t="s">
        <v>216</v>
      </c>
    </row>
    <row r="22" spans="1:24" x14ac:dyDescent="0.25">
      <c r="A22" s="255" t="s">
        <v>217</v>
      </c>
    </row>
    <row r="23" spans="1:24" x14ac:dyDescent="0.25">
      <c r="A23" s="256" t="s">
        <v>218</v>
      </c>
    </row>
    <row r="24" spans="1:24" x14ac:dyDescent="0.25">
      <c r="A24" s="257" t="s">
        <v>219</v>
      </c>
    </row>
    <row r="25" spans="1:24" x14ac:dyDescent="0.25">
      <c r="A25" s="258" t="s">
        <v>220</v>
      </c>
      <c r="B25" s="2" t="s">
        <v>221</v>
      </c>
      <c r="C25" s="28" t="s">
        <v>222</v>
      </c>
    </row>
    <row r="26" spans="1:24" x14ac:dyDescent="0.25">
      <c r="A26" s="259" t="s">
        <v>223</v>
      </c>
    </row>
    <row r="27" spans="1:24" x14ac:dyDescent="0.25">
      <c r="A27" s="260" t="s">
        <v>218</v>
      </c>
    </row>
    <row r="28" spans="1:24" x14ac:dyDescent="0.25">
      <c r="A28" s="261" t="s">
        <v>224</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E8" r:id="rId5" xr:uid="{49FBE1C8-3B99-4D04-8B72-310E5C9C11D1}"/>
    <hyperlink ref="B12" r:id="rId6" xr:uid="{2FE1E748-9BA1-4E14-9A6A-71ECD9849A42}"/>
    <hyperlink ref="D12" r:id="rId7" xr:uid="{E0DC18F6-C5E4-4373-A29A-EF0FB1C80772}"/>
  </hyperlinks>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123C-2413-4492-95E7-A42DA77FC709}">
  <sheetPr>
    <tabColor rgb="FFFF0000"/>
  </sheetPr>
  <dimension ref="A1:AA49"/>
  <sheetViews>
    <sheetView workbookViewId="0">
      <pane ySplit="2" topLeftCell="A15" activePane="bottomLeft" state="frozen"/>
      <selection pane="bottomLeft" activeCell="Y6" sqref="Y6"/>
    </sheetView>
  </sheetViews>
  <sheetFormatPr defaultRowHeight="15" x14ac:dyDescent="0.25"/>
  <cols>
    <col min="2" max="2" width="9.7109375" bestFit="1" customWidth="1"/>
    <col min="4" max="4" width="4.7109375" customWidth="1"/>
    <col min="5" max="5" width="10.7109375" customWidth="1"/>
    <col min="6" max="6" width="10.140625" bestFit="1" customWidth="1"/>
    <col min="7" max="7" width="3.85546875" customWidth="1"/>
    <col min="8" max="8" width="14" bestFit="1" customWidth="1"/>
    <col min="9" max="9" width="10.140625" bestFit="1" customWidth="1"/>
    <col min="10" max="10" width="3.42578125" customWidth="1"/>
    <col min="11" max="11" width="10.7109375" bestFit="1" customWidth="1"/>
    <col min="13" max="13" width="3.7109375" customWidth="1"/>
    <col min="14" max="14" width="12" customWidth="1"/>
    <col min="16" max="16" width="3" customWidth="1"/>
    <col min="17" max="17" width="10.42578125" customWidth="1"/>
    <col min="19" max="19" width="3.42578125" customWidth="1"/>
    <col min="20" max="20" width="10.7109375" bestFit="1" customWidth="1"/>
    <col min="22" max="22" width="3.28515625" customWidth="1"/>
    <col min="23" max="23" width="12.42578125" customWidth="1"/>
  </cols>
  <sheetData>
    <row r="1" spans="1:27" s="3" customFormat="1" x14ac:dyDescent="0.25">
      <c r="A1" s="503" t="s">
        <v>225</v>
      </c>
      <c r="B1" s="503"/>
      <c r="C1" s="503"/>
      <c r="D1" s="503"/>
      <c r="E1" s="503" t="s">
        <v>226</v>
      </c>
      <c r="F1" s="504"/>
      <c r="H1" s="3" t="s">
        <v>227</v>
      </c>
      <c r="K1" s="503" t="s">
        <v>228</v>
      </c>
      <c r="L1" s="503"/>
      <c r="M1" s="503"/>
      <c r="N1" s="503" t="s">
        <v>229</v>
      </c>
      <c r="O1" s="503"/>
      <c r="P1" s="503"/>
      <c r="Q1" s="503" t="s">
        <v>230</v>
      </c>
      <c r="R1" s="503"/>
      <c r="S1" s="503"/>
      <c r="T1" s="503" t="s">
        <v>231</v>
      </c>
      <c r="U1" s="503"/>
      <c r="V1" s="503"/>
      <c r="W1" s="503" t="s">
        <v>232</v>
      </c>
      <c r="X1" s="503"/>
      <c r="Y1" s="503"/>
    </row>
    <row r="2" spans="1:27" x14ac:dyDescent="0.25">
      <c r="A2" s="3"/>
      <c r="B2" s="3" t="s">
        <v>233</v>
      </c>
      <c r="C2" s="13" t="s">
        <v>234</v>
      </c>
      <c r="D2" s="3"/>
      <c r="E2" s="3" t="s">
        <v>233</v>
      </c>
      <c r="F2" s="13" t="s">
        <v>234</v>
      </c>
      <c r="G2" s="3"/>
      <c r="H2" s="3" t="s">
        <v>233</v>
      </c>
      <c r="I2" s="13" t="s">
        <v>234</v>
      </c>
      <c r="J2" s="3"/>
      <c r="K2" s="3" t="s">
        <v>233</v>
      </c>
      <c r="L2" s="13" t="s">
        <v>234</v>
      </c>
      <c r="M2" s="3"/>
      <c r="N2" s="3" t="s">
        <v>233</v>
      </c>
      <c r="O2" s="13" t="s">
        <v>234</v>
      </c>
      <c r="P2" s="3"/>
      <c r="Q2" s="3" t="s">
        <v>233</v>
      </c>
      <c r="R2" s="13" t="s">
        <v>234</v>
      </c>
      <c r="S2" s="3"/>
      <c r="T2" s="3" t="s">
        <v>233</v>
      </c>
      <c r="U2" s="13" t="s">
        <v>234</v>
      </c>
      <c r="V2" s="3"/>
      <c r="W2" s="3" t="s">
        <v>233</v>
      </c>
      <c r="X2" s="13" t="s">
        <v>234</v>
      </c>
      <c r="Y2" s="3"/>
    </row>
    <row r="3" spans="1:27" x14ac:dyDescent="0.25">
      <c r="A3" s="2"/>
      <c r="C3" s="14"/>
      <c r="D3" s="14"/>
      <c r="F3" s="14"/>
      <c r="G3" s="14"/>
      <c r="I3" s="14"/>
      <c r="J3" s="14"/>
      <c r="M3" s="14"/>
      <c r="O3" s="14"/>
      <c r="P3" s="14"/>
      <c r="R3" s="14"/>
      <c r="S3" s="14"/>
      <c r="U3" s="14"/>
      <c r="V3" s="14"/>
      <c r="X3" s="14"/>
      <c r="Y3" s="14"/>
    </row>
    <row r="4" spans="1:27" x14ac:dyDescent="0.25">
      <c r="A4" s="2"/>
      <c r="B4" s="12" t="s">
        <v>162</v>
      </c>
      <c r="C4" s="14"/>
      <c r="D4" s="14"/>
      <c r="E4" s="12">
        <v>45444</v>
      </c>
      <c r="F4" s="14"/>
      <c r="G4" s="14"/>
      <c r="H4" s="12">
        <v>45307</v>
      </c>
      <c r="I4" s="14">
        <v>625</v>
      </c>
      <c r="J4" s="14"/>
      <c r="K4" s="12">
        <v>45231</v>
      </c>
      <c r="L4" s="14">
        <v>166.58</v>
      </c>
      <c r="M4" s="14"/>
      <c r="N4" s="12"/>
      <c r="O4" s="14"/>
      <c r="P4" s="14"/>
      <c r="Q4" s="12"/>
      <c r="R4" s="14"/>
      <c r="S4" s="14"/>
      <c r="T4" s="12">
        <v>45231</v>
      </c>
      <c r="U4" s="14">
        <v>120</v>
      </c>
      <c r="V4" s="14"/>
      <c r="W4" s="12">
        <v>45170</v>
      </c>
      <c r="X4" s="14">
        <v>853.79</v>
      </c>
      <c r="Y4" s="14"/>
    </row>
    <row r="5" spans="1:27" x14ac:dyDescent="0.25">
      <c r="A5" s="2"/>
      <c r="B5" s="12"/>
      <c r="C5" s="14"/>
      <c r="D5" s="14"/>
      <c r="E5" s="12">
        <f t="shared" ref="E5:E47" si="0">+E4+30</f>
        <v>45474</v>
      </c>
      <c r="F5" s="14"/>
      <c r="G5" s="14"/>
      <c r="H5" s="12">
        <f>+H4+30</f>
        <v>45337</v>
      </c>
      <c r="I5" s="14">
        <f>+I4</f>
        <v>625</v>
      </c>
      <c r="J5" s="14"/>
      <c r="K5" s="12">
        <f t="shared" ref="K5:K47" si="1">+K4+30</f>
        <v>45261</v>
      </c>
      <c r="L5" s="14">
        <f t="shared" ref="L5:L10" ca="1" si="2">IF(NOW()&gt;K5,L4,0)</f>
        <v>166.58</v>
      </c>
      <c r="M5" s="14"/>
      <c r="N5" s="12"/>
      <c r="O5" s="14"/>
      <c r="P5" s="14"/>
      <c r="Q5" s="12"/>
      <c r="R5" s="14"/>
      <c r="S5" s="14"/>
      <c r="T5" s="12">
        <f t="shared" ref="T5:T47" si="3">+T4+30</f>
        <v>45261</v>
      </c>
      <c r="U5" s="14">
        <f ca="1">IF(Profit!$J$71&gt;T5,U4,0)</f>
        <v>120</v>
      </c>
      <c r="V5" s="14"/>
      <c r="W5" s="12">
        <f>365+W4</f>
        <v>45535</v>
      </c>
      <c r="X5" s="14">
        <f ca="1">IF(Profit!$J$71&gt;W5,X4,0)</f>
        <v>853.79</v>
      </c>
      <c r="Y5" s="14"/>
    </row>
    <row r="6" spans="1:27" x14ac:dyDescent="0.25">
      <c r="A6" s="2"/>
      <c r="B6" s="12"/>
      <c r="C6" s="14"/>
      <c r="D6" s="14"/>
      <c r="E6" s="12">
        <f t="shared" si="0"/>
        <v>45504</v>
      </c>
      <c r="F6" s="14"/>
      <c r="G6" s="14"/>
      <c r="H6" s="12">
        <f t="shared" ref="H6:H47" si="4">+H5+30</f>
        <v>45367</v>
      </c>
      <c r="I6" s="14">
        <f t="shared" ref="I6" si="5">+I5</f>
        <v>625</v>
      </c>
      <c r="J6" s="14"/>
      <c r="K6" s="12">
        <f t="shared" si="1"/>
        <v>45291</v>
      </c>
      <c r="L6" s="14">
        <f t="shared" ca="1" si="2"/>
        <v>166.58</v>
      </c>
      <c r="M6" s="14"/>
      <c r="N6" s="12"/>
      <c r="O6" s="14"/>
      <c r="P6" s="14"/>
      <c r="Q6" s="12"/>
      <c r="R6" s="14"/>
      <c r="S6" s="14"/>
      <c r="T6" s="12">
        <f t="shared" si="3"/>
        <v>45291</v>
      </c>
      <c r="U6" s="14">
        <f ca="1">IF(Profit!$J$71&gt;T6,U5,0)</f>
        <v>120</v>
      </c>
      <c r="V6" s="14"/>
      <c r="W6" s="12">
        <f t="shared" ref="W6:W16" si="6">365+W5</f>
        <v>45900</v>
      </c>
      <c r="X6" s="14">
        <v>2384.81</v>
      </c>
      <c r="Y6" s="14"/>
    </row>
    <row r="7" spans="1:27" x14ac:dyDescent="0.25">
      <c r="A7" s="2"/>
      <c r="B7" s="12"/>
      <c r="C7" s="14"/>
      <c r="D7" s="14"/>
      <c r="E7" s="12">
        <f t="shared" si="0"/>
        <v>45534</v>
      </c>
      <c r="F7" s="14"/>
      <c r="G7" s="14"/>
      <c r="H7" s="12">
        <f t="shared" si="4"/>
        <v>45397</v>
      </c>
      <c r="I7" s="14">
        <f ca="1">IF(Profit!$J$71&gt;H7,I6,0)</f>
        <v>625</v>
      </c>
      <c r="J7" s="14"/>
      <c r="K7" s="12">
        <f t="shared" si="1"/>
        <v>45321</v>
      </c>
      <c r="L7" s="14">
        <f t="shared" ca="1" si="2"/>
        <v>166.58</v>
      </c>
      <c r="M7" s="14"/>
      <c r="N7" s="12"/>
      <c r="O7" s="14"/>
      <c r="P7" s="14"/>
      <c r="Q7" s="12"/>
      <c r="R7" s="14"/>
      <c r="S7" s="14"/>
      <c r="T7" s="12">
        <f t="shared" si="3"/>
        <v>45321</v>
      </c>
      <c r="U7" s="14">
        <f ca="1">IF(Profit!$J$71&gt;T7,U6,0)</f>
        <v>120</v>
      </c>
      <c r="V7" s="14"/>
      <c r="W7" s="12">
        <f t="shared" si="6"/>
        <v>46265</v>
      </c>
      <c r="X7" s="14">
        <f ca="1">IF(Profit!$J$71&gt;W7,X6,0)</f>
        <v>0</v>
      </c>
      <c r="Y7" s="14"/>
    </row>
    <row r="8" spans="1:27" x14ac:dyDescent="0.25">
      <c r="A8" s="2"/>
      <c r="B8" s="12"/>
      <c r="C8" s="14"/>
      <c r="D8" s="14"/>
      <c r="E8" s="12">
        <f t="shared" si="0"/>
        <v>45564</v>
      </c>
      <c r="F8" s="14"/>
      <c r="G8" s="14"/>
      <c r="H8" s="12">
        <f t="shared" si="4"/>
        <v>45427</v>
      </c>
      <c r="I8" s="14">
        <f ca="1">IF(Profit!$J$71&gt;H8,I7,0)</f>
        <v>625</v>
      </c>
      <c r="J8" s="14"/>
      <c r="K8" s="12">
        <f t="shared" si="1"/>
        <v>45351</v>
      </c>
      <c r="L8" s="14">
        <f t="shared" ca="1" si="2"/>
        <v>166.58</v>
      </c>
      <c r="M8" s="14"/>
      <c r="N8" s="12"/>
      <c r="O8" s="14"/>
      <c r="P8" s="14"/>
      <c r="Q8" s="12"/>
      <c r="R8" s="14"/>
      <c r="S8" s="14"/>
      <c r="T8" s="12">
        <f t="shared" si="3"/>
        <v>45351</v>
      </c>
      <c r="U8" s="14">
        <f ca="1">IF(Profit!$J$71&gt;T8,U7,0)</f>
        <v>120</v>
      </c>
      <c r="V8" s="14"/>
      <c r="W8" s="12">
        <f t="shared" si="6"/>
        <v>46630</v>
      </c>
      <c r="X8" s="14">
        <f ca="1">IF(Profit!$J$71&gt;W8,X7,0)</f>
        <v>0</v>
      </c>
      <c r="Y8" s="14"/>
    </row>
    <row r="9" spans="1:27" x14ac:dyDescent="0.25">
      <c r="A9" s="2"/>
      <c r="B9" s="12"/>
      <c r="C9" s="14"/>
      <c r="D9" s="14"/>
      <c r="E9" s="12">
        <f t="shared" si="0"/>
        <v>45594</v>
      </c>
      <c r="F9" s="14">
        <v>1218.69</v>
      </c>
      <c r="G9" s="14"/>
      <c r="H9" s="12">
        <f t="shared" si="4"/>
        <v>45457</v>
      </c>
      <c r="I9" s="14">
        <f ca="1">IF(Profit!$J$71&gt;H9,I8,0)</f>
        <v>625</v>
      </c>
      <c r="J9" s="14"/>
      <c r="K9" s="12">
        <f t="shared" si="1"/>
        <v>45381</v>
      </c>
      <c r="L9" s="14">
        <f t="shared" ca="1" si="2"/>
        <v>166.58</v>
      </c>
      <c r="M9" s="14"/>
      <c r="N9" s="12"/>
      <c r="O9" s="14"/>
      <c r="P9" s="14"/>
      <c r="Q9" s="12"/>
      <c r="R9" s="14"/>
      <c r="S9" s="14"/>
      <c r="T9" s="12">
        <f t="shared" si="3"/>
        <v>45381</v>
      </c>
      <c r="U9" s="14">
        <f ca="1">IF(Profit!$J$71&gt;T9,U8,0)</f>
        <v>120</v>
      </c>
      <c r="V9" s="14"/>
      <c r="W9" s="12">
        <f t="shared" si="6"/>
        <v>46995</v>
      </c>
      <c r="X9" s="14">
        <f ca="1">IF(Profit!$J$71&gt;W9,X8,0)</f>
        <v>0</v>
      </c>
      <c r="Y9" s="14"/>
      <c r="AA9" s="14">
        <f ca="1">+L8+U9+Profit!B23</f>
        <v>342.49790123456796</v>
      </c>
    </row>
    <row r="10" spans="1:27" x14ac:dyDescent="0.25">
      <c r="A10" s="2"/>
      <c r="B10" s="12"/>
      <c r="C10" s="14"/>
      <c r="D10" s="14"/>
      <c r="E10" s="12">
        <f t="shared" si="0"/>
        <v>45624</v>
      </c>
      <c r="F10" s="14">
        <f ca="1">IF(Profit!$J$71&gt;E10,F9,0)</f>
        <v>1218.69</v>
      </c>
      <c r="H10" s="12">
        <f t="shared" si="4"/>
        <v>45487</v>
      </c>
      <c r="I10" s="14">
        <f ca="1">IF(Profit!$J$71&gt;H10,I9,0)</f>
        <v>625</v>
      </c>
      <c r="K10" s="12">
        <f t="shared" si="1"/>
        <v>45411</v>
      </c>
      <c r="L10" s="14">
        <f t="shared" ca="1" si="2"/>
        <v>166.58</v>
      </c>
      <c r="N10" s="12"/>
      <c r="O10" s="14"/>
      <c r="Q10" s="12"/>
      <c r="R10" s="14"/>
      <c r="T10" s="12">
        <f t="shared" si="3"/>
        <v>45411</v>
      </c>
      <c r="U10" s="14">
        <f ca="1">IF(Profit!$J$71&gt;T10,U9,0)</f>
        <v>120</v>
      </c>
      <c r="W10" s="12">
        <f t="shared" si="6"/>
        <v>47360</v>
      </c>
      <c r="X10" s="14">
        <f ca="1">IF(Profit!$J$71&gt;W10,X9,0)</f>
        <v>0</v>
      </c>
    </row>
    <row r="11" spans="1:27" x14ac:dyDescent="0.25">
      <c r="A11" s="2"/>
      <c r="B11" s="12"/>
      <c r="C11" s="14"/>
      <c r="D11" s="14"/>
      <c r="E11" s="12">
        <f t="shared" si="0"/>
        <v>45654</v>
      </c>
      <c r="F11" s="14">
        <f ca="1">IF(Profit!$J$71&gt;E11,F10,0)</f>
        <v>1218.69</v>
      </c>
      <c r="H11" s="12">
        <f t="shared" si="4"/>
        <v>45517</v>
      </c>
      <c r="I11" s="14">
        <f ca="1">IF(Profit!$J$71&gt;H11,I10,0)</f>
        <v>625</v>
      </c>
      <c r="K11" s="12">
        <v>45456</v>
      </c>
      <c r="L11" s="14">
        <v>161.41999999999999</v>
      </c>
      <c r="N11" s="12"/>
      <c r="O11" s="14"/>
      <c r="Q11" s="12"/>
      <c r="R11" s="14"/>
      <c r="T11" s="12">
        <f t="shared" si="3"/>
        <v>45441</v>
      </c>
      <c r="U11" s="14">
        <f ca="1">IF(Profit!$J$71&gt;T11,U10,0)</f>
        <v>120</v>
      </c>
      <c r="W11" s="12">
        <f t="shared" si="6"/>
        <v>47725</v>
      </c>
      <c r="X11" s="14">
        <f ca="1">IF(Profit!$J$71&gt;W11,X10,0)</f>
        <v>0</v>
      </c>
    </row>
    <row r="12" spans="1:27" x14ac:dyDescent="0.25">
      <c r="A12" s="2"/>
      <c r="B12" s="12"/>
      <c r="C12" s="14"/>
      <c r="D12" s="14"/>
      <c r="E12" s="12">
        <f t="shared" ref="E12" si="7">+E11+30</f>
        <v>45684</v>
      </c>
      <c r="F12" s="14">
        <v>1493.86</v>
      </c>
      <c r="H12" s="12">
        <f t="shared" si="4"/>
        <v>45547</v>
      </c>
      <c r="I12" s="14">
        <f ca="1">IF(Profit!$J$71&gt;H12,I11,0)</f>
        <v>625</v>
      </c>
      <c r="K12" s="12">
        <v>45486</v>
      </c>
      <c r="L12" s="14">
        <v>80.709999999999994</v>
      </c>
      <c r="N12" s="12"/>
      <c r="O12" s="14"/>
      <c r="Q12" s="12"/>
      <c r="R12" s="14"/>
      <c r="T12" s="12">
        <f t="shared" si="3"/>
        <v>45471</v>
      </c>
      <c r="U12" s="14">
        <f ca="1">IF(Profit!$J$71&gt;T12,U11,0)</f>
        <v>120</v>
      </c>
      <c r="W12" s="12">
        <f t="shared" si="6"/>
        <v>48090</v>
      </c>
      <c r="X12" s="14">
        <f ca="1">IF(Profit!$J$71&gt;W12,X11,0)</f>
        <v>0</v>
      </c>
    </row>
    <row r="13" spans="1:27" x14ac:dyDescent="0.25">
      <c r="A13" s="2"/>
      <c r="B13" s="12"/>
      <c r="C13" s="14"/>
      <c r="D13" s="14"/>
      <c r="E13" s="12">
        <f t="shared" si="0"/>
        <v>45714</v>
      </c>
      <c r="F13" s="14">
        <f ca="1">IF(Profit!$J$71&gt;E13,F12,0)</f>
        <v>1493.86</v>
      </c>
      <c r="H13" s="12">
        <f t="shared" si="4"/>
        <v>45577</v>
      </c>
      <c r="I13" s="14">
        <f ca="1">IF(Profit!$J$71&gt;H13,I12,0)</f>
        <v>625</v>
      </c>
      <c r="K13" s="12">
        <v>45517</v>
      </c>
      <c r="L13" s="14">
        <f ca="1">IF(Profit!$J$71&gt;K13,L12,0)</f>
        <v>80.709999999999994</v>
      </c>
      <c r="O13" s="14"/>
      <c r="R13" s="14"/>
      <c r="T13" s="12">
        <f t="shared" si="3"/>
        <v>45501</v>
      </c>
      <c r="U13" s="14">
        <f ca="1">IF(Profit!$J$71&gt;T13,U12,0)</f>
        <v>120</v>
      </c>
      <c r="W13" s="12">
        <f t="shared" si="6"/>
        <v>48455</v>
      </c>
      <c r="X13" s="14">
        <f ca="1">IF(Profit!$J$71&gt;W13,X12,0)</f>
        <v>0</v>
      </c>
    </row>
    <row r="14" spans="1:27" x14ac:dyDescent="0.25">
      <c r="A14" s="2"/>
      <c r="C14" s="14"/>
      <c r="E14" s="12">
        <f t="shared" si="0"/>
        <v>45744</v>
      </c>
      <c r="F14" s="14">
        <f ca="1">IF(Profit!$J$71&gt;E14,F13,0)</f>
        <v>1493.86</v>
      </c>
      <c r="H14" s="12">
        <f t="shared" si="4"/>
        <v>45607</v>
      </c>
      <c r="I14" s="14"/>
      <c r="K14" s="12">
        <f t="shared" si="1"/>
        <v>45547</v>
      </c>
      <c r="L14" s="14">
        <f ca="1">IF(Profit!$J$71&gt;K14,L13,0)</f>
        <v>80.709999999999994</v>
      </c>
      <c r="O14" s="14"/>
      <c r="R14" s="14"/>
      <c r="T14" s="12">
        <f t="shared" si="3"/>
        <v>45531</v>
      </c>
      <c r="U14" s="14">
        <f ca="1">IF(Profit!$J$71&gt;T14,U13,0)</f>
        <v>120</v>
      </c>
      <c r="W14" s="12">
        <f t="shared" si="6"/>
        <v>48820</v>
      </c>
      <c r="X14" s="14">
        <f ca="1">IF(Profit!$J$71&gt;W14,X13,0)</f>
        <v>0</v>
      </c>
    </row>
    <row r="15" spans="1:27" x14ac:dyDescent="0.25">
      <c r="A15" s="2"/>
      <c r="C15" s="14"/>
      <c r="E15" s="12">
        <f t="shared" si="0"/>
        <v>45774</v>
      </c>
      <c r="F15" s="14">
        <f ca="1">IF(Profit!$J$71&gt;E15,F14,0)</f>
        <v>1493.86</v>
      </c>
      <c r="H15" s="12">
        <f t="shared" si="4"/>
        <v>45637</v>
      </c>
      <c r="I15" s="14">
        <f ca="1">IF(Profit!$J$71&gt;H15,I14,0)</f>
        <v>0</v>
      </c>
      <c r="K15" s="12">
        <f t="shared" si="1"/>
        <v>45577</v>
      </c>
      <c r="L15" s="14">
        <f ca="1">IF(Profit!$J$71&gt;K15,L14,0)</f>
        <v>80.709999999999994</v>
      </c>
      <c r="O15" s="14"/>
      <c r="R15" s="14"/>
      <c r="T15" s="12">
        <f t="shared" si="3"/>
        <v>45561</v>
      </c>
      <c r="U15" s="14">
        <f ca="1">IF(Profit!$J$71&gt;T15,U14,0)</f>
        <v>120</v>
      </c>
      <c r="W15" s="12">
        <f t="shared" si="6"/>
        <v>49185</v>
      </c>
      <c r="X15" s="14">
        <f ca="1">IF(Profit!$J$71&gt;W15,X14,0)</f>
        <v>0</v>
      </c>
    </row>
    <row r="16" spans="1:27" x14ac:dyDescent="0.25">
      <c r="A16" s="2"/>
      <c r="C16" s="14"/>
      <c r="E16" s="12">
        <f t="shared" si="0"/>
        <v>45804</v>
      </c>
      <c r="F16" s="14">
        <v>1493.86</v>
      </c>
      <c r="H16" s="12">
        <f t="shared" si="4"/>
        <v>45667</v>
      </c>
      <c r="I16" s="14">
        <f ca="1">IF(Profit!$J$71&gt;H16,I15,0)</f>
        <v>0</v>
      </c>
      <c r="K16" s="12">
        <f t="shared" si="1"/>
        <v>45607</v>
      </c>
      <c r="L16" s="14">
        <f ca="1">IF(Profit!$J$71&gt;K16,L15,0)</f>
        <v>80.709999999999994</v>
      </c>
      <c r="O16" s="14"/>
      <c r="R16" s="14"/>
      <c r="T16" s="12">
        <f t="shared" si="3"/>
        <v>45591</v>
      </c>
      <c r="U16" s="14">
        <f ca="1">IF(Profit!$J$71&gt;T16,U15,0)</f>
        <v>120</v>
      </c>
      <c r="W16" s="12">
        <f t="shared" si="6"/>
        <v>49550</v>
      </c>
      <c r="X16" s="14">
        <f ca="1">IF(Profit!$J$71&gt;W16,X15,0)</f>
        <v>0</v>
      </c>
    </row>
    <row r="17" spans="1:24" x14ac:dyDescent="0.25">
      <c r="A17" s="2"/>
      <c r="C17" s="14"/>
      <c r="E17" s="12">
        <f t="shared" si="0"/>
        <v>45834</v>
      </c>
      <c r="F17" s="14">
        <f ca="1">IF(Profit!$J$71&gt;E17,F16,0)</f>
        <v>1493.86</v>
      </c>
      <c r="H17" s="12">
        <f t="shared" si="4"/>
        <v>45697</v>
      </c>
      <c r="I17" s="14">
        <f ca="1">IF(Profit!$J$71&gt;H17,I16,0)</f>
        <v>0</v>
      </c>
      <c r="K17" s="12">
        <f t="shared" si="1"/>
        <v>45637</v>
      </c>
      <c r="L17" s="14">
        <f ca="1">IF(Profit!$J$71&gt;K17,L16,0)</f>
        <v>80.709999999999994</v>
      </c>
      <c r="O17" s="14"/>
      <c r="R17" s="14"/>
      <c r="T17" s="12">
        <f t="shared" si="3"/>
        <v>45621</v>
      </c>
      <c r="U17" s="14">
        <f ca="1">IF(Profit!$J$71&gt;T17,U16,0)</f>
        <v>120</v>
      </c>
      <c r="W17" s="12">
        <f t="shared" ref="W17:W30" si="8">365+W16</f>
        <v>49915</v>
      </c>
      <c r="X17" s="14">
        <f ca="1">IF(Profit!$J$71&gt;W17,X16,0)</f>
        <v>0</v>
      </c>
    </row>
    <row r="18" spans="1:24" x14ac:dyDescent="0.25">
      <c r="A18" s="2"/>
      <c r="C18" s="14"/>
      <c r="E18" s="12">
        <f t="shared" si="0"/>
        <v>45864</v>
      </c>
      <c r="F18" s="14">
        <f ca="1">IF(Profit!$J$71&gt;E18,F17,0)</f>
        <v>1493.86</v>
      </c>
      <c r="H18" s="12">
        <f t="shared" si="4"/>
        <v>45727</v>
      </c>
      <c r="I18" s="14">
        <f ca="1">IF(Profit!$J$71&gt;H18,I17,0)</f>
        <v>0</v>
      </c>
      <c r="K18" s="12">
        <f t="shared" si="1"/>
        <v>45667</v>
      </c>
      <c r="L18" s="14">
        <v>0</v>
      </c>
      <c r="O18" s="14"/>
      <c r="R18" s="14"/>
      <c r="T18" s="12">
        <f t="shared" si="3"/>
        <v>45651</v>
      </c>
      <c r="U18" s="14">
        <f ca="1">IF(Profit!$J$71&gt;T18,U17,0)</f>
        <v>120</v>
      </c>
      <c r="W18" s="12">
        <f t="shared" si="8"/>
        <v>50280</v>
      </c>
      <c r="X18" s="14">
        <f ca="1">IF(Profit!$J$71&gt;W18,X17,0)</f>
        <v>0</v>
      </c>
    </row>
    <row r="19" spans="1:24" x14ac:dyDescent="0.25">
      <c r="A19" s="2"/>
      <c r="C19" s="14"/>
      <c r="E19" s="12">
        <f t="shared" si="0"/>
        <v>45894</v>
      </c>
      <c r="F19" s="14">
        <f ca="1">IF(Profit!$J$71&gt;E19,F18,0)</f>
        <v>1493.86</v>
      </c>
      <c r="H19" s="12">
        <f t="shared" si="4"/>
        <v>45757</v>
      </c>
      <c r="I19" s="14">
        <f ca="1">IF(Profit!$J$71&gt;H19,I18,0)</f>
        <v>0</v>
      </c>
      <c r="K19" s="12">
        <f t="shared" si="1"/>
        <v>45697</v>
      </c>
      <c r="L19" s="14">
        <v>0</v>
      </c>
      <c r="O19" s="14"/>
      <c r="R19" s="14"/>
      <c r="T19" s="12">
        <f t="shared" si="3"/>
        <v>45681</v>
      </c>
      <c r="U19" s="14">
        <f ca="1">IF(Profit!$J$71&gt;T19,U18,0)</f>
        <v>120</v>
      </c>
      <c r="W19" s="12">
        <f t="shared" si="8"/>
        <v>50645</v>
      </c>
      <c r="X19" s="14">
        <f ca="1">IF(Profit!$J$71&gt;W19,X18,0)</f>
        <v>0</v>
      </c>
    </row>
    <row r="20" spans="1:24" x14ac:dyDescent="0.25">
      <c r="A20" s="2"/>
      <c r="C20" s="14"/>
      <c r="E20" s="12">
        <f t="shared" si="0"/>
        <v>45924</v>
      </c>
      <c r="F20" s="14">
        <f ca="1">IF(Profit!$J$71&gt;E20,F19,0)</f>
        <v>1493.86</v>
      </c>
      <c r="H20" s="12">
        <f t="shared" si="4"/>
        <v>45787</v>
      </c>
      <c r="I20" s="14">
        <f ca="1">IF(Profit!$J$71&gt;H20,I19,0)</f>
        <v>0</v>
      </c>
      <c r="K20" s="12">
        <f t="shared" si="1"/>
        <v>45727</v>
      </c>
      <c r="L20" s="14">
        <v>0</v>
      </c>
      <c r="O20" s="14"/>
      <c r="R20" s="14"/>
      <c r="T20" s="12">
        <f t="shared" si="3"/>
        <v>45711</v>
      </c>
      <c r="U20" s="14">
        <f ca="1">IF(Profit!$J$71&gt;T20,U19,0)</f>
        <v>120</v>
      </c>
      <c r="W20" s="12">
        <f t="shared" si="8"/>
        <v>51010</v>
      </c>
      <c r="X20" s="14">
        <f ca="1">IF(Profit!$J$71&gt;W20,X19,0)</f>
        <v>0</v>
      </c>
    </row>
    <row r="21" spans="1:24" x14ac:dyDescent="0.25">
      <c r="A21" s="2"/>
      <c r="C21" s="14"/>
      <c r="E21" s="12">
        <f t="shared" si="0"/>
        <v>45954</v>
      </c>
      <c r="F21" s="14">
        <f ca="1">IF(Profit!$J$71&gt;E21,F20,0)</f>
        <v>1493.86</v>
      </c>
      <c r="H21" s="12">
        <f t="shared" si="4"/>
        <v>45817</v>
      </c>
      <c r="I21" s="14">
        <f ca="1">IF(Profit!$J$71&gt;H21,I20,0)</f>
        <v>0</v>
      </c>
      <c r="K21" s="12">
        <f t="shared" si="1"/>
        <v>45757</v>
      </c>
      <c r="L21" s="14">
        <v>0</v>
      </c>
      <c r="O21" s="14"/>
      <c r="R21" s="14"/>
      <c r="T21" s="12">
        <f t="shared" si="3"/>
        <v>45741</v>
      </c>
      <c r="U21" s="14">
        <f ca="1">IF(Profit!$J$71&gt;T21,U20,0)</f>
        <v>120</v>
      </c>
      <c r="W21" s="12">
        <f t="shared" si="8"/>
        <v>51375</v>
      </c>
      <c r="X21" s="14">
        <f ca="1">IF(Profit!$J$71&gt;W21,X20,0)</f>
        <v>0</v>
      </c>
    </row>
    <row r="22" spans="1:24" x14ac:dyDescent="0.25">
      <c r="A22" s="2"/>
      <c r="C22" s="14"/>
      <c r="E22" s="12">
        <f t="shared" si="0"/>
        <v>45984</v>
      </c>
      <c r="F22" s="14">
        <f ca="1">IF(Profit!$J$71&gt;E22,F21,0)</f>
        <v>1493.86</v>
      </c>
      <c r="H22" s="12">
        <f t="shared" si="4"/>
        <v>45847</v>
      </c>
      <c r="I22" s="14">
        <f ca="1">IF(Profit!$J$71&gt;H22,I21,0)</f>
        <v>0</v>
      </c>
      <c r="K22" s="12">
        <f t="shared" si="1"/>
        <v>45787</v>
      </c>
      <c r="L22" s="14">
        <v>0</v>
      </c>
      <c r="O22" s="14"/>
      <c r="R22" s="14"/>
      <c r="T22" s="12">
        <f t="shared" si="3"/>
        <v>45771</v>
      </c>
      <c r="U22" s="14">
        <f ca="1">IF(Profit!$J$71&gt;T22,U21,0)</f>
        <v>120</v>
      </c>
      <c r="W22" s="12">
        <f t="shared" si="8"/>
        <v>51740</v>
      </c>
      <c r="X22" s="14">
        <f ca="1">IF(Profit!$J$71&gt;W22,X21,0)</f>
        <v>0</v>
      </c>
    </row>
    <row r="23" spans="1:24" x14ac:dyDescent="0.25">
      <c r="A23" s="2"/>
      <c r="C23" s="14"/>
      <c r="E23" s="12">
        <f t="shared" si="0"/>
        <v>46014</v>
      </c>
      <c r="F23" s="14">
        <f ca="1">IF(Profit!$J$71&gt;E23,F22,0)</f>
        <v>1493.86</v>
      </c>
      <c r="H23" s="12">
        <f t="shared" si="4"/>
        <v>45877</v>
      </c>
      <c r="I23" s="14">
        <f ca="1">IF(Profit!$J$71&gt;H23,I22,0)</f>
        <v>0</v>
      </c>
      <c r="K23" s="12">
        <f t="shared" si="1"/>
        <v>45817</v>
      </c>
      <c r="L23" s="14">
        <v>0</v>
      </c>
      <c r="O23" s="14"/>
      <c r="R23" s="14"/>
      <c r="T23" s="12">
        <f t="shared" si="3"/>
        <v>45801</v>
      </c>
      <c r="U23" s="14">
        <f ca="1">IF(Profit!$J$71&gt;T23,U22,0)</f>
        <v>120</v>
      </c>
      <c r="W23" s="12">
        <f t="shared" si="8"/>
        <v>52105</v>
      </c>
      <c r="X23" s="14">
        <f ca="1">IF(Profit!$J$71&gt;W23,X22,0)</f>
        <v>0</v>
      </c>
    </row>
    <row r="24" spans="1:24" x14ac:dyDescent="0.25">
      <c r="A24" s="2"/>
      <c r="C24" s="14"/>
      <c r="E24" s="12">
        <f t="shared" si="0"/>
        <v>46044</v>
      </c>
      <c r="F24" s="14">
        <f ca="1">IF(Profit!$J$71&gt;E24,F23,0)</f>
        <v>1493.86</v>
      </c>
      <c r="H24" s="12">
        <f t="shared" si="4"/>
        <v>45907</v>
      </c>
      <c r="I24" s="14">
        <f ca="1">IF(Profit!$J$71&gt;H24,I23,0)</f>
        <v>0</v>
      </c>
      <c r="K24" s="12">
        <f t="shared" si="1"/>
        <v>45847</v>
      </c>
      <c r="L24" s="14">
        <v>0</v>
      </c>
      <c r="O24" s="14"/>
      <c r="R24" s="14"/>
      <c r="T24" s="12">
        <f t="shared" si="3"/>
        <v>45831</v>
      </c>
      <c r="U24" s="14">
        <f ca="1">IF(Profit!$J$71&gt;T24,U23,0)</f>
        <v>120</v>
      </c>
      <c r="W24" s="12">
        <f t="shared" si="8"/>
        <v>52470</v>
      </c>
      <c r="X24" s="14">
        <f ca="1">IF(Profit!$J$71&gt;W24,X23,0)</f>
        <v>0</v>
      </c>
    </row>
    <row r="25" spans="1:24" x14ac:dyDescent="0.25">
      <c r="A25" s="2"/>
      <c r="C25" s="14"/>
      <c r="E25" s="12">
        <f t="shared" si="0"/>
        <v>46074</v>
      </c>
      <c r="F25" s="14">
        <f ca="1">IF(Profit!$J$71&gt;E25,F24,0)</f>
        <v>1493.86</v>
      </c>
      <c r="H25" s="12">
        <f t="shared" si="4"/>
        <v>45937</v>
      </c>
      <c r="I25" s="14">
        <f ca="1">IF(Profit!$J$71&gt;H25,I24,0)</f>
        <v>0</v>
      </c>
      <c r="K25" s="12">
        <f t="shared" si="1"/>
        <v>45877</v>
      </c>
      <c r="L25" s="14">
        <v>0</v>
      </c>
      <c r="O25" s="14"/>
      <c r="R25" s="14"/>
      <c r="T25" s="12">
        <f t="shared" si="3"/>
        <v>45861</v>
      </c>
      <c r="U25" s="14">
        <f ca="1">IF(Profit!$J$71&gt;T25,U24,0)</f>
        <v>120</v>
      </c>
      <c r="W25" s="12">
        <f t="shared" si="8"/>
        <v>52835</v>
      </c>
      <c r="X25" s="14">
        <f ca="1">IF(Profit!$J$71&gt;W25,X24,0)</f>
        <v>0</v>
      </c>
    </row>
    <row r="26" spans="1:24" x14ac:dyDescent="0.25">
      <c r="A26" s="2"/>
      <c r="C26" s="14"/>
      <c r="E26" s="12">
        <f t="shared" si="0"/>
        <v>46104</v>
      </c>
      <c r="F26" s="14">
        <f ca="1">IF(Profit!$J$71&gt;E26,F25,0)</f>
        <v>1493.86</v>
      </c>
      <c r="H26" s="12">
        <f t="shared" si="4"/>
        <v>45967</v>
      </c>
      <c r="I26" s="14">
        <f ca="1">IF(Profit!$J$71&gt;H26,I25,0)</f>
        <v>0</v>
      </c>
      <c r="K26" s="12">
        <f t="shared" si="1"/>
        <v>45907</v>
      </c>
      <c r="L26" s="14">
        <v>0</v>
      </c>
      <c r="O26" s="14"/>
      <c r="R26" s="14"/>
      <c r="T26" s="12">
        <f t="shared" si="3"/>
        <v>45891</v>
      </c>
      <c r="U26" s="14">
        <f ca="1">IF(Profit!$J$71&gt;T26,U25,0)</f>
        <v>120</v>
      </c>
      <c r="W26" s="12">
        <f t="shared" si="8"/>
        <v>53200</v>
      </c>
      <c r="X26" s="14">
        <f ca="1">IF(Profit!$J$71&gt;W26,X25,0)</f>
        <v>0</v>
      </c>
    </row>
    <row r="27" spans="1:24" x14ac:dyDescent="0.25">
      <c r="A27" s="2"/>
      <c r="C27" s="14"/>
      <c r="E27" s="12">
        <f t="shared" si="0"/>
        <v>46134</v>
      </c>
      <c r="F27" s="14">
        <f ca="1">IF(Profit!$J$71&gt;E27,F26,0)</f>
        <v>1493.86</v>
      </c>
      <c r="H27" s="12">
        <f t="shared" si="4"/>
        <v>45997</v>
      </c>
      <c r="I27" s="14">
        <f ca="1">IF(Profit!$J$71&gt;H27,I26,0)</f>
        <v>0</v>
      </c>
      <c r="K27" s="12">
        <f t="shared" si="1"/>
        <v>45937</v>
      </c>
      <c r="L27" s="14">
        <v>0</v>
      </c>
      <c r="O27" s="14"/>
      <c r="R27" s="14"/>
      <c r="T27" s="12">
        <f t="shared" si="3"/>
        <v>45921</v>
      </c>
      <c r="U27" s="14">
        <f ca="1">IF(Profit!$J$71&gt;T27,U26,0)</f>
        <v>120</v>
      </c>
      <c r="W27" s="12">
        <f t="shared" si="8"/>
        <v>53565</v>
      </c>
      <c r="X27" s="14">
        <f ca="1">IF(Profit!$J$71&gt;W27,X26,0)</f>
        <v>0</v>
      </c>
    </row>
    <row r="28" spans="1:24" x14ac:dyDescent="0.25">
      <c r="A28" s="2"/>
      <c r="C28" s="14"/>
      <c r="E28" s="12">
        <f t="shared" si="0"/>
        <v>46164</v>
      </c>
      <c r="F28" s="14">
        <f ca="1">IF(Profit!$J$71&gt;E28,F27,0)</f>
        <v>1493.86</v>
      </c>
      <c r="H28" s="12">
        <f t="shared" si="4"/>
        <v>46027</v>
      </c>
      <c r="I28" s="14">
        <f ca="1">IF(Profit!$J$71&gt;H28,I27,0)</f>
        <v>0</v>
      </c>
      <c r="K28" s="12">
        <f t="shared" si="1"/>
        <v>45967</v>
      </c>
      <c r="L28" s="14">
        <v>0</v>
      </c>
      <c r="O28" s="14"/>
      <c r="R28" s="14"/>
      <c r="T28" s="12">
        <f t="shared" si="3"/>
        <v>45951</v>
      </c>
      <c r="U28" s="14">
        <f ca="1">IF(Profit!$J$71&gt;T28,U27,0)</f>
        <v>120</v>
      </c>
      <c r="W28" s="12">
        <f t="shared" si="8"/>
        <v>53930</v>
      </c>
      <c r="X28" s="14">
        <f ca="1">IF(Profit!$J$71&gt;W28,X27,0)</f>
        <v>0</v>
      </c>
    </row>
    <row r="29" spans="1:24" x14ac:dyDescent="0.25">
      <c r="A29" s="2"/>
      <c r="C29" s="14"/>
      <c r="E29" s="12">
        <f t="shared" si="0"/>
        <v>46194</v>
      </c>
      <c r="F29" s="14">
        <f ca="1">IF(Profit!$J$71&gt;E29,F28,0)</f>
        <v>1493.86</v>
      </c>
      <c r="H29" s="12">
        <f t="shared" si="4"/>
        <v>46057</v>
      </c>
      <c r="I29" s="14">
        <f ca="1">IF(Profit!$J$71&gt;H29,I28,0)</f>
        <v>0</v>
      </c>
      <c r="K29" s="12">
        <f t="shared" si="1"/>
        <v>45997</v>
      </c>
      <c r="L29" s="14">
        <v>0</v>
      </c>
      <c r="O29" s="14"/>
      <c r="R29" s="14"/>
      <c r="T29" s="12">
        <f t="shared" si="3"/>
        <v>45981</v>
      </c>
      <c r="U29" s="14">
        <f ca="1">IF(Profit!$J$71&gt;T29,U28,0)</f>
        <v>120</v>
      </c>
      <c r="W29" s="12">
        <f t="shared" si="8"/>
        <v>54295</v>
      </c>
      <c r="X29" s="14">
        <f ca="1">IF(Profit!$J$71&gt;W29,X28,0)</f>
        <v>0</v>
      </c>
    </row>
    <row r="30" spans="1:24" x14ac:dyDescent="0.25">
      <c r="A30" s="2"/>
      <c r="C30" s="14"/>
      <c r="E30" s="12">
        <f t="shared" si="0"/>
        <v>46224</v>
      </c>
      <c r="F30" s="14">
        <f ca="1">IF(Profit!$J$71&gt;E30,F29,0)</f>
        <v>0</v>
      </c>
      <c r="H30" s="12">
        <f t="shared" si="4"/>
        <v>46087</v>
      </c>
      <c r="I30" s="14">
        <f ca="1">IF(Profit!$J$71&gt;H30,I29,0)</f>
        <v>0</v>
      </c>
      <c r="K30" s="12">
        <f t="shared" si="1"/>
        <v>46027</v>
      </c>
      <c r="L30" s="14">
        <v>0</v>
      </c>
      <c r="O30" s="14"/>
      <c r="R30" s="14"/>
      <c r="T30" s="12">
        <f t="shared" si="3"/>
        <v>46011</v>
      </c>
      <c r="U30" s="14">
        <f ca="1">IF(Profit!$J$71&gt;T30,U29,0)</f>
        <v>120</v>
      </c>
      <c r="W30" s="12">
        <f t="shared" si="8"/>
        <v>54660</v>
      </c>
      <c r="X30" s="14">
        <f ca="1">IF(Profit!$J$71&gt;W30,X29,0)</f>
        <v>0</v>
      </c>
    </row>
    <row r="31" spans="1:24" x14ac:dyDescent="0.25">
      <c r="A31" s="2"/>
      <c r="C31" s="14"/>
      <c r="E31" s="12">
        <f t="shared" si="0"/>
        <v>46254</v>
      </c>
      <c r="F31" s="14">
        <f ca="1">IF(Profit!$J$71&gt;E31,F30,0)</f>
        <v>0</v>
      </c>
      <c r="H31" s="12">
        <f t="shared" si="4"/>
        <v>46117</v>
      </c>
      <c r="I31" s="14">
        <f ca="1">IF(Profit!$J$71&gt;H31,I30,0)</f>
        <v>0</v>
      </c>
      <c r="K31" s="12">
        <f t="shared" si="1"/>
        <v>46057</v>
      </c>
      <c r="L31" s="14">
        <v>0</v>
      </c>
      <c r="O31" s="14"/>
      <c r="R31" s="14"/>
      <c r="T31" s="12">
        <v>45662</v>
      </c>
      <c r="U31" s="14">
        <f ca="1">IF(Profit!$J$71&gt;T31,U30,0)</f>
        <v>120</v>
      </c>
      <c r="W31" s="12">
        <f t="shared" ref="W31:W47" si="9">365+W30</f>
        <v>55025</v>
      </c>
      <c r="X31" s="14">
        <f ca="1">IF(Profit!$J$71&gt;W31,X30,0)</f>
        <v>0</v>
      </c>
    </row>
    <row r="32" spans="1:24" x14ac:dyDescent="0.25">
      <c r="A32" s="2"/>
      <c r="C32" s="14"/>
      <c r="E32" s="12">
        <f t="shared" si="0"/>
        <v>46284</v>
      </c>
      <c r="F32" s="14">
        <f ca="1">IF(Profit!$J$71&gt;E32,F31,0)</f>
        <v>0</v>
      </c>
      <c r="H32" s="12">
        <f t="shared" si="4"/>
        <v>46147</v>
      </c>
      <c r="I32" s="14">
        <f ca="1">IF(Profit!$J$71&gt;H32,I31,0)</f>
        <v>0</v>
      </c>
      <c r="K32" s="12">
        <f t="shared" si="1"/>
        <v>46087</v>
      </c>
      <c r="L32" s="14">
        <v>0</v>
      </c>
      <c r="O32" s="14"/>
      <c r="R32" s="14"/>
      <c r="T32" s="12">
        <f t="shared" si="3"/>
        <v>45692</v>
      </c>
      <c r="U32" s="14">
        <f ca="1">IF(Profit!$J$71&gt;T32,U31,0)</f>
        <v>120</v>
      </c>
      <c r="W32" s="12">
        <f t="shared" si="9"/>
        <v>55390</v>
      </c>
      <c r="X32" s="14">
        <f ca="1">IF(Profit!$J$71&gt;W32,X31,0)</f>
        <v>0</v>
      </c>
    </row>
    <row r="33" spans="1:24" x14ac:dyDescent="0.25">
      <c r="A33" s="2"/>
      <c r="C33" s="14"/>
      <c r="E33" s="12">
        <f t="shared" si="0"/>
        <v>46314</v>
      </c>
      <c r="F33" s="14">
        <f ca="1">IF(Profit!$J$71&gt;E33,F32,0)</f>
        <v>0</v>
      </c>
      <c r="H33" s="12">
        <f t="shared" si="4"/>
        <v>46177</v>
      </c>
      <c r="I33" s="14">
        <f ca="1">IF(Profit!$J$71&gt;H33,I32,0)</f>
        <v>0</v>
      </c>
      <c r="K33" s="12">
        <f t="shared" si="1"/>
        <v>46117</v>
      </c>
      <c r="L33" s="14">
        <v>0</v>
      </c>
      <c r="O33" s="14"/>
      <c r="R33" s="14"/>
      <c r="T33" s="12">
        <f t="shared" si="3"/>
        <v>45722</v>
      </c>
      <c r="U33" s="14">
        <f ca="1">IF(Profit!$J$71&gt;T33,U32,0)</f>
        <v>120</v>
      </c>
      <c r="W33" s="12">
        <f t="shared" si="9"/>
        <v>55755</v>
      </c>
      <c r="X33" s="14">
        <f ca="1">IF(Profit!$J$71&gt;W33,X32,0)</f>
        <v>0</v>
      </c>
    </row>
    <row r="34" spans="1:24" x14ac:dyDescent="0.25">
      <c r="A34" s="2"/>
      <c r="C34" s="14"/>
      <c r="E34" s="12">
        <f t="shared" si="0"/>
        <v>46344</v>
      </c>
      <c r="F34" s="14">
        <f ca="1">IF(Profit!$J$71&gt;E34,F33,0)</f>
        <v>0</v>
      </c>
      <c r="H34" s="12">
        <f t="shared" si="4"/>
        <v>46207</v>
      </c>
      <c r="I34" s="14">
        <f ca="1">IF(Profit!$J$71&gt;H34,I33,0)</f>
        <v>0</v>
      </c>
      <c r="K34" s="12">
        <f t="shared" si="1"/>
        <v>46147</v>
      </c>
      <c r="L34" s="14">
        <v>0</v>
      </c>
      <c r="O34" s="14"/>
      <c r="R34" s="14"/>
      <c r="T34" s="12">
        <f t="shared" si="3"/>
        <v>45752</v>
      </c>
      <c r="U34" s="14">
        <f ca="1">IF(Profit!$J$71&gt;T34,U33,0)</f>
        <v>120</v>
      </c>
      <c r="W34" s="12">
        <f t="shared" si="9"/>
        <v>56120</v>
      </c>
      <c r="X34" s="14">
        <f ca="1">IF(Profit!$J$71&gt;W34,X33,0)</f>
        <v>0</v>
      </c>
    </row>
    <row r="35" spans="1:24" x14ac:dyDescent="0.25">
      <c r="A35" s="2"/>
      <c r="C35" s="14"/>
      <c r="E35" s="12">
        <f t="shared" si="0"/>
        <v>46374</v>
      </c>
      <c r="F35" s="14">
        <f ca="1">IF(Profit!$J$71&gt;E35,F34,0)</f>
        <v>0</v>
      </c>
      <c r="H35" s="12">
        <f t="shared" si="4"/>
        <v>46237</v>
      </c>
      <c r="I35" s="14">
        <f ca="1">IF(Profit!$J$71&gt;H35,I34,0)</f>
        <v>0</v>
      </c>
      <c r="K35" s="12">
        <f t="shared" si="1"/>
        <v>46177</v>
      </c>
      <c r="L35" s="14">
        <v>0</v>
      </c>
      <c r="O35" s="14"/>
      <c r="R35" s="14"/>
      <c r="T35" s="12">
        <f t="shared" si="3"/>
        <v>45782</v>
      </c>
      <c r="U35" s="14">
        <f ca="1">IF(Profit!$J$71&gt;T35,U34,0)</f>
        <v>120</v>
      </c>
      <c r="W35" s="12">
        <f t="shared" si="9"/>
        <v>56485</v>
      </c>
      <c r="X35" s="14">
        <f ca="1">IF(Profit!$J$71&gt;W35,X34,0)</f>
        <v>0</v>
      </c>
    </row>
    <row r="36" spans="1:24" x14ac:dyDescent="0.25">
      <c r="A36" s="2"/>
      <c r="C36" s="14"/>
      <c r="E36" s="12">
        <f t="shared" si="0"/>
        <v>46404</v>
      </c>
      <c r="F36" s="14">
        <f ca="1">IF(Profit!$J$71&gt;E36,F35,0)</f>
        <v>0</v>
      </c>
      <c r="H36" s="12">
        <f t="shared" si="4"/>
        <v>46267</v>
      </c>
      <c r="I36" s="14">
        <f ca="1">IF(Profit!$J$71&gt;H36,I35,0)</f>
        <v>0</v>
      </c>
      <c r="K36" s="12">
        <f t="shared" si="1"/>
        <v>46207</v>
      </c>
      <c r="L36" s="14">
        <v>0</v>
      </c>
      <c r="O36" s="14"/>
      <c r="R36" s="14"/>
      <c r="T36" s="12">
        <f t="shared" si="3"/>
        <v>45812</v>
      </c>
      <c r="U36" s="14">
        <f ca="1">IF(Profit!$J$71&gt;T36,U35,0)</f>
        <v>120</v>
      </c>
      <c r="W36" s="12">
        <f t="shared" si="9"/>
        <v>56850</v>
      </c>
      <c r="X36" s="14">
        <f ca="1">IF(Profit!$J$71&gt;W36,X35,0)</f>
        <v>0</v>
      </c>
    </row>
    <row r="37" spans="1:24" x14ac:dyDescent="0.25">
      <c r="A37" s="2"/>
      <c r="C37" s="14"/>
      <c r="E37" s="12">
        <f t="shared" si="0"/>
        <v>46434</v>
      </c>
      <c r="F37" s="14">
        <f ca="1">IF(Profit!$J$71&gt;E37,F36,0)</f>
        <v>0</v>
      </c>
      <c r="H37" s="12">
        <f t="shared" si="4"/>
        <v>46297</v>
      </c>
      <c r="I37" s="14">
        <f ca="1">IF(Profit!$J$71&gt;H37,I36,0)</f>
        <v>0</v>
      </c>
      <c r="K37" s="12">
        <f t="shared" si="1"/>
        <v>46237</v>
      </c>
      <c r="L37" s="14">
        <v>0</v>
      </c>
      <c r="O37" s="14"/>
      <c r="R37" s="14"/>
      <c r="T37" s="12">
        <f t="shared" si="3"/>
        <v>45842</v>
      </c>
      <c r="U37" s="14">
        <f ca="1">IF(Profit!$J$71&gt;T37,U36,0)</f>
        <v>120</v>
      </c>
      <c r="W37" s="12">
        <f t="shared" si="9"/>
        <v>57215</v>
      </c>
      <c r="X37" s="14">
        <f ca="1">IF(Profit!$J$71&gt;W37,X36,0)</f>
        <v>0</v>
      </c>
    </row>
    <row r="38" spans="1:24" x14ac:dyDescent="0.25">
      <c r="A38" s="2"/>
      <c r="C38" s="14"/>
      <c r="E38" s="12">
        <f t="shared" si="0"/>
        <v>46464</v>
      </c>
      <c r="F38" s="14">
        <f ca="1">IF(Profit!$J$71&gt;E38,F37,0)</f>
        <v>0</v>
      </c>
      <c r="H38" s="12">
        <f t="shared" si="4"/>
        <v>46327</v>
      </c>
      <c r="I38" s="14">
        <f ca="1">IF(Profit!$J$71&gt;H38,I37,0)</f>
        <v>0</v>
      </c>
      <c r="K38" s="12">
        <f t="shared" si="1"/>
        <v>46267</v>
      </c>
      <c r="L38" s="14">
        <v>0</v>
      </c>
      <c r="O38" s="14"/>
      <c r="R38" s="14"/>
      <c r="T38" s="12">
        <f t="shared" si="3"/>
        <v>45872</v>
      </c>
      <c r="U38" s="14">
        <f ca="1">IF(Profit!$J$71&gt;T38,U37,0)</f>
        <v>120</v>
      </c>
      <c r="W38" s="12">
        <f t="shared" si="9"/>
        <v>57580</v>
      </c>
      <c r="X38" s="14">
        <f ca="1">IF(Profit!$J$71&gt;W38,X37,0)</f>
        <v>0</v>
      </c>
    </row>
    <row r="39" spans="1:24" x14ac:dyDescent="0.25">
      <c r="A39" s="2"/>
      <c r="C39" s="14"/>
      <c r="E39" s="12">
        <f t="shared" si="0"/>
        <v>46494</v>
      </c>
      <c r="F39" s="14">
        <f ca="1">IF(Profit!$J$71&gt;E39,F38,0)</f>
        <v>0</v>
      </c>
      <c r="H39" s="12">
        <f t="shared" si="4"/>
        <v>46357</v>
      </c>
      <c r="I39" s="14">
        <f ca="1">IF(Profit!$J$71&gt;H39,I38,0)</f>
        <v>0</v>
      </c>
      <c r="K39" s="12">
        <f t="shared" si="1"/>
        <v>46297</v>
      </c>
      <c r="L39" s="14">
        <v>0</v>
      </c>
      <c r="O39" s="14"/>
      <c r="R39" s="14"/>
      <c r="T39" s="12">
        <f t="shared" si="3"/>
        <v>45902</v>
      </c>
      <c r="U39" s="14">
        <f ca="1">IF(Profit!$J$71&gt;T39,U38,0)</f>
        <v>120</v>
      </c>
      <c r="W39" s="12">
        <f t="shared" si="9"/>
        <v>57945</v>
      </c>
      <c r="X39" s="14">
        <f ca="1">IF(Profit!$J$71&gt;W39,X38,0)</f>
        <v>0</v>
      </c>
    </row>
    <row r="40" spans="1:24" x14ac:dyDescent="0.25">
      <c r="A40" s="2"/>
      <c r="C40" s="14"/>
      <c r="E40" s="12">
        <f t="shared" si="0"/>
        <v>46524</v>
      </c>
      <c r="F40" s="14">
        <f ca="1">IF(Profit!$J$71&gt;E40,F39,0)</f>
        <v>0</v>
      </c>
      <c r="H40" s="12">
        <f t="shared" si="4"/>
        <v>46387</v>
      </c>
      <c r="I40" s="14">
        <f ca="1">IF(Profit!$J$71&gt;H40,I39,0)</f>
        <v>0</v>
      </c>
      <c r="K40" s="12">
        <f t="shared" si="1"/>
        <v>46327</v>
      </c>
      <c r="L40" s="14">
        <v>0</v>
      </c>
      <c r="O40" s="14"/>
      <c r="R40" s="14"/>
      <c r="T40" s="12">
        <f t="shared" si="3"/>
        <v>45932</v>
      </c>
      <c r="U40" s="14">
        <f ca="1">IF(Profit!$J$71&gt;T40,U39,0)</f>
        <v>120</v>
      </c>
      <c r="W40" s="12">
        <f t="shared" si="9"/>
        <v>58310</v>
      </c>
      <c r="X40" s="14">
        <f ca="1">IF(Profit!$J$71&gt;W40,X39,0)</f>
        <v>0</v>
      </c>
    </row>
    <row r="41" spans="1:24" x14ac:dyDescent="0.25">
      <c r="A41" s="2"/>
      <c r="C41" s="14"/>
      <c r="E41" s="12">
        <f t="shared" si="0"/>
        <v>46554</v>
      </c>
      <c r="F41" s="14">
        <f ca="1">IF(Profit!$J$71&gt;E41,F40,0)</f>
        <v>0</v>
      </c>
      <c r="H41" s="12">
        <f t="shared" si="4"/>
        <v>46417</v>
      </c>
      <c r="I41" s="14">
        <f ca="1">IF(Profit!$J$71&gt;H41,I40,0)</f>
        <v>0</v>
      </c>
      <c r="K41" s="12">
        <f t="shared" si="1"/>
        <v>46357</v>
      </c>
      <c r="L41" s="14">
        <v>0</v>
      </c>
      <c r="O41" s="14"/>
      <c r="R41" s="14"/>
      <c r="T41" s="12">
        <f t="shared" si="3"/>
        <v>45962</v>
      </c>
      <c r="U41" s="14">
        <f ca="1">IF(Profit!$J$71&gt;T41,U40,0)</f>
        <v>120</v>
      </c>
      <c r="W41" s="12">
        <f t="shared" si="9"/>
        <v>58675</v>
      </c>
      <c r="X41" s="14">
        <f ca="1">IF(Profit!$J$71&gt;W41,X40,0)</f>
        <v>0</v>
      </c>
    </row>
    <row r="42" spans="1:24" x14ac:dyDescent="0.25">
      <c r="A42" s="2"/>
      <c r="C42" s="14"/>
      <c r="E42" s="12">
        <f t="shared" si="0"/>
        <v>46584</v>
      </c>
      <c r="F42" s="14">
        <f ca="1">IF(Profit!$J$71&gt;E42,F41,0)</f>
        <v>0</v>
      </c>
      <c r="H42" s="12">
        <f t="shared" si="4"/>
        <v>46447</v>
      </c>
      <c r="I42" s="14">
        <f ca="1">IF(Profit!$J$71&gt;H42,I41,0)</f>
        <v>0</v>
      </c>
      <c r="K42" s="12">
        <f t="shared" si="1"/>
        <v>46387</v>
      </c>
      <c r="L42" s="14">
        <f ca="1">IF(Profit!$J$71&gt;K42,L41,0)</f>
        <v>0</v>
      </c>
      <c r="O42" s="14"/>
      <c r="R42" s="14"/>
      <c r="T42" s="12">
        <f t="shared" si="3"/>
        <v>45992</v>
      </c>
      <c r="U42" s="14">
        <f ca="1">IF(Profit!$J$71&gt;T42,U41,0)</f>
        <v>120</v>
      </c>
      <c r="W42" s="12">
        <f t="shared" si="9"/>
        <v>59040</v>
      </c>
      <c r="X42" s="14">
        <f ca="1">IF(Profit!$J$71&gt;W42,X41,0)</f>
        <v>0</v>
      </c>
    </row>
    <row r="43" spans="1:24" x14ac:dyDescent="0.25">
      <c r="A43" s="2"/>
      <c r="C43" s="14"/>
      <c r="E43" s="12">
        <f t="shared" si="0"/>
        <v>46614</v>
      </c>
      <c r="F43" s="14">
        <f ca="1">IF(Profit!$J$71&gt;E43,F42,0)</f>
        <v>0</v>
      </c>
      <c r="H43" s="12">
        <f t="shared" si="4"/>
        <v>46477</v>
      </c>
      <c r="I43" s="14">
        <f ca="1">IF(Profit!$J$71&gt;H43,I42,0)</f>
        <v>0</v>
      </c>
      <c r="K43" s="12">
        <f t="shared" si="1"/>
        <v>46417</v>
      </c>
      <c r="L43" s="14">
        <f ca="1">IF(Profit!$J$71&gt;K43,L42,0)</f>
        <v>0</v>
      </c>
      <c r="O43" s="14"/>
      <c r="R43" s="14"/>
      <c r="T43" s="12">
        <f t="shared" si="3"/>
        <v>46022</v>
      </c>
      <c r="U43" s="14">
        <f ca="1">IF(Profit!$J$71&gt;T43,U42,0)</f>
        <v>120</v>
      </c>
      <c r="W43" s="12">
        <f t="shared" si="9"/>
        <v>59405</v>
      </c>
      <c r="X43" s="14">
        <f ca="1">IF(Profit!$J$71&gt;W43,X42,0)</f>
        <v>0</v>
      </c>
    </row>
    <row r="44" spans="1:24" x14ac:dyDescent="0.25">
      <c r="A44" s="2"/>
      <c r="C44" s="14"/>
      <c r="E44" s="12">
        <f t="shared" si="0"/>
        <v>46644</v>
      </c>
      <c r="F44" s="14">
        <f ca="1">IF(Profit!$J$71&gt;E44,F43,0)</f>
        <v>0</v>
      </c>
      <c r="H44" s="12">
        <f t="shared" si="4"/>
        <v>46507</v>
      </c>
      <c r="I44" s="14">
        <f ca="1">IF(Profit!$J$71&gt;H44,I43,0)</f>
        <v>0</v>
      </c>
      <c r="K44" s="12">
        <f t="shared" si="1"/>
        <v>46447</v>
      </c>
      <c r="L44" s="14">
        <f ca="1">IF(Profit!$J$71&gt;K44,L43,0)</f>
        <v>0</v>
      </c>
      <c r="O44" s="14"/>
      <c r="R44" s="14"/>
      <c r="T44" s="12">
        <f t="shared" si="3"/>
        <v>46052</v>
      </c>
      <c r="U44" s="14">
        <f ca="1">IF(Profit!$J$71&gt;T44,U43,0)</f>
        <v>120</v>
      </c>
      <c r="W44" s="12">
        <f t="shared" si="9"/>
        <v>59770</v>
      </c>
      <c r="X44" s="14">
        <f ca="1">IF(Profit!$J$71&gt;W44,X43,0)</f>
        <v>0</v>
      </c>
    </row>
    <row r="45" spans="1:24" x14ac:dyDescent="0.25">
      <c r="A45" s="2"/>
      <c r="C45" s="14"/>
      <c r="E45" s="12">
        <f t="shared" si="0"/>
        <v>46674</v>
      </c>
      <c r="F45" s="14">
        <f ca="1">IF(Profit!$J$71&gt;E45,F44,0)</f>
        <v>0</v>
      </c>
      <c r="H45" s="12">
        <f t="shared" si="4"/>
        <v>46537</v>
      </c>
      <c r="I45" s="14">
        <f ca="1">IF(Profit!$J$71&gt;H45,I44,0)</f>
        <v>0</v>
      </c>
      <c r="K45" s="12">
        <f t="shared" si="1"/>
        <v>46477</v>
      </c>
      <c r="L45" s="14">
        <f ca="1">IF(Profit!$J$71&gt;K45,L44,0)</f>
        <v>0</v>
      </c>
      <c r="O45" s="14"/>
      <c r="R45" s="14"/>
      <c r="T45" s="12">
        <f t="shared" si="3"/>
        <v>46082</v>
      </c>
      <c r="U45" s="14">
        <f ca="1">IF(Profit!$J$71&gt;T45,U44,0)</f>
        <v>120</v>
      </c>
      <c r="W45" s="12">
        <f t="shared" si="9"/>
        <v>60135</v>
      </c>
      <c r="X45" s="14">
        <f ca="1">IF(Profit!$J$71&gt;W45,X44,0)</f>
        <v>0</v>
      </c>
    </row>
    <row r="46" spans="1:24" x14ac:dyDescent="0.25">
      <c r="A46" s="2"/>
      <c r="C46" s="14"/>
      <c r="E46" s="12">
        <f t="shared" si="0"/>
        <v>46704</v>
      </c>
      <c r="F46" s="14">
        <f ca="1">IF(Profit!$J$71&gt;E46,F45,0)</f>
        <v>0</v>
      </c>
      <c r="H46" s="12">
        <f t="shared" si="4"/>
        <v>46567</v>
      </c>
      <c r="I46" s="14">
        <f ca="1">IF(Profit!$J$71&gt;H46,I45,0)</f>
        <v>0</v>
      </c>
      <c r="K46" s="12">
        <f t="shared" si="1"/>
        <v>46507</v>
      </c>
      <c r="L46" s="14">
        <f ca="1">IF(Profit!$J$71&gt;K46,L45,0)</f>
        <v>0</v>
      </c>
      <c r="O46" s="14"/>
      <c r="R46" s="14"/>
      <c r="T46" s="12">
        <f t="shared" si="3"/>
        <v>46112</v>
      </c>
      <c r="U46" s="14">
        <f ca="1">IF(Profit!$J$71&gt;T46,U45,0)</f>
        <v>120</v>
      </c>
      <c r="W46" s="12">
        <f t="shared" si="9"/>
        <v>60500</v>
      </c>
      <c r="X46" s="14">
        <f ca="1">IF(Profit!$J$71&gt;W46,X45,0)</f>
        <v>0</v>
      </c>
    </row>
    <row r="47" spans="1:24" x14ac:dyDescent="0.25">
      <c r="A47" s="2"/>
      <c r="C47" s="14"/>
      <c r="E47" s="12">
        <f t="shared" si="0"/>
        <v>46734</v>
      </c>
      <c r="F47" s="14">
        <f ca="1">IF(Profit!$J$71&gt;E47,F46,0)</f>
        <v>0</v>
      </c>
      <c r="H47" s="12">
        <f t="shared" si="4"/>
        <v>46597</v>
      </c>
      <c r="I47" s="14">
        <f ca="1">IF(Profit!$J$71&gt;H47,I46,0)</f>
        <v>0</v>
      </c>
      <c r="K47" s="12">
        <f t="shared" si="1"/>
        <v>46537</v>
      </c>
      <c r="L47" s="14">
        <f ca="1">IF(Profit!$J$71&gt;K47,L46,0)</f>
        <v>0</v>
      </c>
      <c r="O47" s="14"/>
      <c r="R47" s="14"/>
      <c r="T47" s="12">
        <f t="shared" si="3"/>
        <v>46142</v>
      </c>
      <c r="U47" s="14">
        <f ca="1">IF(Profit!$J$71&gt;T47,U46,0)</f>
        <v>120</v>
      </c>
      <c r="W47" s="12">
        <f t="shared" si="9"/>
        <v>60865</v>
      </c>
      <c r="X47" s="14">
        <f ca="1">IF(Profit!$J$71&gt;W47,X46,0)</f>
        <v>0</v>
      </c>
    </row>
    <row r="48" spans="1:24" ht="15.75" thickBot="1" x14ac:dyDescent="0.3">
      <c r="A48" s="2"/>
      <c r="C48" s="23"/>
      <c r="D48" s="23"/>
      <c r="F48" s="23"/>
      <c r="G48" s="23"/>
      <c r="I48" s="23"/>
      <c r="J48" s="23"/>
      <c r="L48" s="23"/>
      <c r="M48" s="23"/>
      <c r="O48" s="23"/>
      <c r="P48" s="23"/>
      <c r="R48" s="23"/>
      <c r="S48" s="23"/>
      <c r="U48" s="23"/>
      <c r="V48" s="23"/>
      <c r="X48" s="23"/>
    </row>
    <row r="49" spans="1:24" x14ac:dyDescent="0.25">
      <c r="A49" s="2"/>
      <c r="C49" s="5">
        <f>SUM(C3:C48)</f>
        <v>0</v>
      </c>
      <c r="F49" s="5">
        <f ca="1">SUM(F3:F48)</f>
        <v>30545.550000000007</v>
      </c>
      <c r="I49" s="5">
        <f ca="1">SUM(I3:I48)</f>
        <v>6250</v>
      </c>
      <c r="L49" s="5">
        <f ca="1">SUM(L3:L48)</f>
        <v>1811.7400000000005</v>
      </c>
      <c r="O49" s="5">
        <f>SUM(O3:O48)</f>
        <v>0</v>
      </c>
      <c r="R49" s="5">
        <f>SUM(R3:R48)</f>
        <v>0</v>
      </c>
      <c r="U49" s="5">
        <f ca="1">SUM(U3:U48)</f>
        <v>5280</v>
      </c>
      <c r="X49" s="5">
        <f ca="1">SUM(X3:X48)</f>
        <v>4092.39</v>
      </c>
    </row>
  </sheetData>
  <mergeCells count="7">
    <mergeCell ref="W1:Y1"/>
    <mergeCell ref="A1:D1"/>
    <mergeCell ref="K1:M1"/>
    <mergeCell ref="N1:P1"/>
    <mergeCell ref="Q1:S1"/>
    <mergeCell ref="T1:V1"/>
    <mergeCell ref="E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5" tint="0.59999389629810485"/>
  </sheetPr>
  <dimension ref="A1:M71"/>
  <sheetViews>
    <sheetView zoomScaleNormal="100" workbookViewId="0">
      <pane ySplit="11" topLeftCell="A44" activePane="bottomLeft" state="frozen"/>
      <selection activeCell="H28" sqref="H28"/>
      <selection pane="bottomLeft" activeCell="E14" sqref="E14"/>
    </sheetView>
  </sheetViews>
  <sheetFormatPr defaultRowHeight="15" x14ac:dyDescent="0.25"/>
  <cols>
    <col min="1" max="1" width="21.42578125" style="56" bestFit="1" customWidth="1"/>
    <col min="2" max="2" width="20.5703125" style="56" bestFit="1" customWidth="1"/>
    <col min="3" max="3" width="97.85546875" style="56" bestFit="1" customWidth="1"/>
    <col min="4" max="4" width="7.5703125" style="57" customWidth="1"/>
    <col min="5" max="5" width="14.140625" style="58" customWidth="1"/>
    <col min="6" max="6" width="9.140625" style="56"/>
    <col min="7" max="7" width="18.7109375" style="56" bestFit="1" customWidth="1"/>
    <col min="8" max="8" width="27.7109375" style="56" bestFit="1" customWidth="1"/>
    <col min="9" max="9" width="81.140625" style="56" bestFit="1" customWidth="1"/>
    <col min="10" max="10" width="6.28515625" style="56" bestFit="1" customWidth="1"/>
    <col min="11" max="12" width="12" style="56" bestFit="1" customWidth="1"/>
    <col min="13" max="254" width="9.140625" style="56"/>
    <col min="255" max="255" width="21.85546875" style="56" customWidth="1"/>
    <col min="256" max="256" width="35.85546875" style="56" customWidth="1"/>
    <col min="257" max="257" width="97.7109375" style="56" customWidth="1"/>
    <col min="258" max="258" width="31.7109375" style="56" customWidth="1"/>
    <col min="259" max="259" width="13.7109375" style="56" bestFit="1" customWidth="1"/>
    <col min="260" max="510" width="9.140625" style="56"/>
    <col min="511" max="511" width="21.85546875" style="56" customWidth="1"/>
    <col min="512" max="512" width="35.85546875" style="56" customWidth="1"/>
    <col min="513" max="513" width="97.7109375" style="56" customWidth="1"/>
    <col min="514" max="514" width="31.7109375" style="56" customWidth="1"/>
    <col min="515" max="515" width="13.7109375" style="56" bestFit="1" customWidth="1"/>
    <col min="516" max="766" width="9.140625" style="56"/>
    <col min="767" max="767" width="21.85546875" style="56" customWidth="1"/>
    <col min="768" max="768" width="35.85546875" style="56" customWidth="1"/>
    <col min="769" max="769" width="97.7109375" style="56" customWidth="1"/>
    <col min="770" max="770" width="31.7109375" style="56" customWidth="1"/>
    <col min="771" max="771" width="13.7109375" style="56" bestFit="1" customWidth="1"/>
    <col min="772" max="1022" width="9.140625" style="56"/>
    <col min="1023" max="1023" width="21.85546875" style="56" customWidth="1"/>
    <col min="1024" max="1024" width="35.85546875" style="56" customWidth="1"/>
    <col min="1025" max="1025" width="97.7109375" style="56" customWidth="1"/>
    <col min="1026" max="1026" width="31.7109375" style="56" customWidth="1"/>
    <col min="1027" max="1027" width="13.7109375" style="56" bestFit="1" customWidth="1"/>
    <col min="1028" max="1278" width="9.140625" style="56"/>
    <col min="1279" max="1279" width="21.85546875" style="56" customWidth="1"/>
    <col min="1280" max="1280" width="35.85546875" style="56" customWidth="1"/>
    <col min="1281" max="1281" width="97.7109375" style="56" customWidth="1"/>
    <col min="1282" max="1282" width="31.7109375" style="56" customWidth="1"/>
    <col min="1283" max="1283" width="13.7109375" style="56" bestFit="1" customWidth="1"/>
    <col min="1284" max="1534" width="9.140625" style="56"/>
    <col min="1535" max="1535" width="21.85546875" style="56" customWidth="1"/>
    <col min="1536" max="1536" width="35.85546875" style="56" customWidth="1"/>
    <col min="1537" max="1537" width="97.7109375" style="56" customWidth="1"/>
    <col min="1538" max="1538" width="31.7109375" style="56" customWidth="1"/>
    <col min="1539" max="1539" width="13.7109375" style="56" bestFit="1" customWidth="1"/>
    <col min="1540" max="1790" width="9.140625" style="56"/>
    <col min="1791" max="1791" width="21.85546875" style="56" customWidth="1"/>
    <col min="1792" max="1792" width="35.85546875" style="56" customWidth="1"/>
    <col min="1793" max="1793" width="97.7109375" style="56" customWidth="1"/>
    <col min="1794" max="1794" width="31.7109375" style="56" customWidth="1"/>
    <col min="1795" max="1795" width="13.7109375" style="56" bestFit="1" customWidth="1"/>
    <col min="1796" max="2046" width="9.140625" style="56"/>
    <col min="2047" max="2047" width="21.85546875" style="56" customWidth="1"/>
    <col min="2048" max="2048" width="35.85546875" style="56" customWidth="1"/>
    <col min="2049" max="2049" width="97.7109375" style="56" customWidth="1"/>
    <col min="2050" max="2050" width="31.7109375" style="56" customWidth="1"/>
    <col min="2051" max="2051" width="13.7109375" style="56" bestFit="1" customWidth="1"/>
    <col min="2052" max="2302" width="9.140625" style="56"/>
    <col min="2303" max="2303" width="21.85546875" style="56" customWidth="1"/>
    <col min="2304" max="2304" width="35.85546875" style="56" customWidth="1"/>
    <col min="2305" max="2305" width="97.7109375" style="56" customWidth="1"/>
    <col min="2306" max="2306" width="31.7109375" style="56" customWidth="1"/>
    <col min="2307" max="2307" width="13.7109375" style="56" bestFit="1" customWidth="1"/>
    <col min="2308" max="2558" width="9.140625" style="56"/>
    <col min="2559" max="2559" width="21.85546875" style="56" customWidth="1"/>
    <col min="2560" max="2560" width="35.85546875" style="56" customWidth="1"/>
    <col min="2561" max="2561" width="97.7109375" style="56" customWidth="1"/>
    <col min="2562" max="2562" width="31.7109375" style="56" customWidth="1"/>
    <col min="2563" max="2563" width="13.7109375" style="56" bestFit="1" customWidth="1"/>
    <col min="2564" max="2814" width="9.140625" style="56"/>
    <col min="2815" max="2815" width="21.85546875" style="56" customWidth="1"/>
    <col min="2816" max="2816" width="35.85546875" style="56" customWidth="1"/>
    <col min="2817" max="2817" width="97.7109375" style="56" customWidth="1"/>
    <col min="2818" max="2818" width="31.7109375" style="56" customWidth="1"/>
    <col min="2819" max="2819" width="13.7109375" style="56" bestFit="1" customWidth="1"/>
    <col min="2820" max="3070" width="9.140625" style="56"/>
    <col min="3071" max="3071" width="21.85546875" style="56" customWidth="1"/>
    <col min="3072" max="3072" width="35.85546875" style="56" customWidth="1"/>
    <col min="3073" max="3073" width="97.7109375" style="56" customWidth="1"/>
    <col min="3074" max="3074" width="31.7109375" style="56" customWidth="1"/>
    <col min="3075" max="3075" width="13.7109375" style="56" bestFit="1" customWidth="1"/>
    <col min="3076" max="3326" width="9.140625" style="56"/>
    <col min="3327" max="3327" width="21.85546875" style="56" customWidth="1"/>
    <col min="3328" max="3328" width="35.85546875" style="56" customWidth="1"/>
    <col min="3329" max="3329" width="97.7109375" style="56" customWidth="1"/>
    <col min="3330" max="3330" width="31.7109375" style="56" customWidth="1"/>
    <col min="3331" max="3331" width="13.7109375" style="56" bestFit="1" customWidth="1"/>
    <col min="3332" max="3582" width="9.140625" style="56"/>
    <col min="3583" max="3583" width="21.85546875" style="56" customWidth="1"/>
    <col min="3584" max="3584" width="35.85546875" style="56" customWidth="1"/>
    <col min="3585" max="3585" width="97.7109375" style="56" customWidth="1"/>
    <col min="3586" max="3586" width="31.7109375" style="56" customWidth="1"/>
    <col min="3587" max="3587" width="13.7109375" style="56" bestFit="1" customWidth="1"/>
    <col min="3588" max="3838" width="9.140625" style="56"/>
    <col min="3839" max="3839" width="21.85546875" style="56" customWidth="1"/>
    <col min="3840" max="3840" width="35.85546875" style="56" customWidth="1"/>
    <col min="3841" max="3841" width="97.7109375" style="56" customWidth="1"/>
    <col min="3842" max="3842" width="31.7109375" style="56" customWidth="1"/>
    <col min="3843" max="3843" width="13.7109375" style="56" bestFit="1" customWidth="1"/>
    <col min="3844" max="4094" width="9.140625" style="56"/>
    <col min="4095" max="4095" width="21.85546875" style="56" customWidth="1"/>
    <col min="4096" max="4096" width="35.85546875" style="56" customWidth="1"/>
    <col min="4097" max="4097" width="97.7109375" style="56" customWidth="1"/>
    <col min="4098" max="4098" width="31.7109375" style="56" customWidth="1"/>
    <col min="4099" max="4099" width="13.7109375" style="56" bestFit="1" customWidth="1"/>
    <col min="4100" max="4350" width="9.140625" style="56"/>
    <col min="4351" max="4351" width="21.85546875" style="56" customWidth="1"/>
    <col min="4352" max="4352" width="35.85546875" style="56" customWidth="1"/>
    <col min="4353" max="4353" width="97.7109375" style="56" customWidth="1"/>
    <col min="4354" max="4354" width="31.7109375" style="56" customWidth="1"/>
    <col min="4355" max="4355" width="13.7109375" style="56" bestFit="1" customWidth="1"/>
    <col min="4356" max="4606" width="9.140625" style="56"/>
    <col min="4607" max="4607" width="21.85546875" style="56" customWidth="1"/>
    <col min="4608" max="4608" width="35.85546875" style="56" customWidth="1"/>
    <col min="4609" max="4609" width="97.7109375" style="56" customWidth="1"/>
    <col min="4610" max="4610" width="31.7109375" style="56" customWidth="1"/>
    <col min="4611" max="4611" width="13.7109375" style="56" bestFit="1" customWidth="1"/>
    <col min="4612" max="4862" width="9.140625" style="56"/>
    <col min="4863" max="4863" width="21.85546875" style="56" customWidth="1"/>
    <col min="4864" max="4864" width="35.85546875" style="56" customWidth="1"/>
    <col min="4865" max="4865" width="97.7109375" style="56" customWidth="1"/>
    <col min="4866" max="4866" width="31.7109375" style="56" customWidth="1"/>
    <col min="4867" max="4867" width="13.7109375" style="56" bestFit="1" customWidth="1"/>
    <col min="4868" max="5118" width="9.140625" style="56"/>
    <col min="5119" max="5119" width="21.85546875" style="56" customWidth="1"/>
    <col min="5120" max="5120" width="35.85546875" style="56" customWidth="1"/>
    <col min="5121" max="5121" width="97.7109375" style="56" customWidth="1"/>
    <col min="5122" max="5122" width="31.7109375" style="56" customWidth="1"/>
    <col min="5123" max="5123" width="13.7109375" style="56" bestFit="1" customWidth="1"/>
    <col min="5124" max="5374" width="9.140625" style="56"/>
    <col min="5375" max="5375" width="21.85546875" style="56" customWidth="1"/>
    <col min="5376" max="5376" width="35.85546875" style="56" customWidth="1"/>
    <col min="5377" max="5377" width="97.7109375" style="56" customWidth="1"/>
    <col min="5378" max="5378" width="31.7109375" style="56" customWidth="1"/>
    <col min="5379" max="5379" width="13.7109375" style="56" bestFit="1" customWidth="1"/>
    <col min="5380" max="5630" width="9.140625" style="56"/>
    <col min="5631" max="5631" width="21.85546875" style="56" customWidth="1"/>
    <col min="5632" max="5632" width="35.85546875" style="56" customWidth="1"/>
    <col min="5633" max="5633" width="97.7109375" style="56" customWidth="1"/>
    <col min="5634" max="5634" width="31.7109375" style="56" customWidth="1"/>
    <col min="5635" max="5635" width="13.7109375" style="56" bestFit="1" customWidth="1"/>
    <col min="5636" max="5886" width="9.140625" style="56"/>
    <col min="5887" max="5887" width="21.85546875" style="56" customWidth="1"/>
    <col min="5888" max="5888" width="35.85546875" style="56" customWidth="1"/>
    <col min="5889" max="5889" width="97.7109375" style="56" customWidth="1"/>
    <col min="5890" max="5890" width="31.7109375" style="56" customWidth="1"/>
    <col min="5891" max="5891" width="13.7109375" style="56" bestFit="1" customWidth="1"/>
    <col min="5892" max="6142" width="9.140625" style="56"/>
    <col min="6143" max="6143" width="21.85546875" style="56" customWidth="1"/>
    <col min="6144" max="6144" width="35.85546875" style="56" customWidth="1"/>
    <col min="6145" max="6145" width="97.7109375" style="56" customWidth="1"/>
    <col min="6146" max="6146" width="31.7109375" style="56" customWidth="1"/>
    <col min="6147" max="6147" width="13.7109375" style="56" bestFit="1" customWidth="1"/>
    <col min="6148" max="6398" width="9.140625" style="56"/>
    <col min="6399" max="6399" width="21.85546875" style="56" customWidth="1"/>
    <col min="6400" max="6400" width="35.85546875" style="56" customWidth="1"/>
    <col min="6401" max="6401" width="97.7109375" style="56" customWidth="1"/>
    <col min="6402" max="6402" width="31.7109375" style="56" customWidth="1"/>
    <col min="6403" max="6403" width="13.7109375" style="56" bestFit="1" customWidth="1"/>
    <col min="6404" max="6654" width="9.140625" style="56"/>
    <col min="6655" max="6655" width="21.85546875" style="56" customWidth="1"/>
    <col min="6656" max="6656" width="35.85546875" style="56" customWidth="1"/>
    <col min="6657" max="6657" width="97.7109375" style="56" customWidth="1"/>
    <col min="6658" max="6658" width="31.7109375" style="56" customWidth="1"/>
    <col min="6659" max="6659" width="13.7109375" style="56" bestFit="1" customWidth="1"/>
    <col min="6660" max="6910" width="9.140625" style="56"/>
    <col min="6911" max="6911" width="21.85546875" style="56" customWidth="1"/>
    <col min="6912" max="6912" width="35.85546875" style="56" customWidth="1"/>
    <col min="6913" max="6913" width="97.7109375" style="56" customWidth="1"/>
    <col min="6914" max="6914" width="31.7109375" style="56" customWidth="1"/>
    <col min="6915" max="6915" width="13.7109375" style="56" bestFit="1" customWidth="1"/>
    <col min="6916" max="7166" width="9.140625" style="56"/>
    <col min="7167" max="7167" width="21.85546875" style="56" customWidth="1"/>
    <col min="7168" max="7168" width="35.85546875" style="56" customWidth="1"/>
    <col min="7169" max="7169" width="97.7109375" style="56" customWidth="1"/>
    <col min="7170" max="7170" width="31.7109375" style="56" customWidth="1"/>
    <col min="7171" max="7171" width="13.7109375" style="56" bestFit="1" customWidth="1"/>
    <col min="7172" max="7422" width="9.140625" style="56"/>
    <col min="7423" max="7423" width="21.85546875" style="56" customWidth="1"/>
    <col min="7424" max="7424" width="35.85546875" style="56" customWidth="1"/>
    <col min="7425" max="7425" width="97.7109375" style="56" customWidth="1"/>
    <col min="7426" max="7426" width="31.7109375" style="56" customWidth="1"/>
    <col min="7427" max="7427" width="13.7109375" style="56" bestFit="1" customWidth="1"/>
    <col min="7428" max="7678" width="9.140625" style="56"/>
    <col min="7679" max="7679" width="21.85546875" style="56" customWidth="1"/>
    <col min="7680" max="7680" width="35.85546875" style="56" customWidth="1"/>
    <col min="7681" max="7681" width="97.7109375" style="56" customWidth="1"/>
    <col min="7682" max="7682" width="31.7109375" style="56" customWidth="1"/>
    <col min="7683" max="7683" width="13.7109375" style="56" bestFit="1" customWidth="1"/>
    <col min="7684" max="7934" width="9.140625" style="56"/>
    <col min="7935" max="7935" width="21.85546875" style="56" customWidth="1"/>
    <col min="7936" max="7936" width="35.85546875" style="56" customWidth="1"/>
    <col min="7937" max="7937" width="97.7109375" style="56" customWidth="1"/>
    <col min="7938" max="7938" width="31.7109375" style="56" customWidth="1"/>
    <col min="7939" max="7939" width="13.7109375" style="56" bestFit="1" customWidth="1"/>
    <col min="7940" max="8190" width="9.140625" style="56"/>
    <col min="8191" max="8191" width="21.85546875" style="56" customWidth="1"/>
    <col min="8192" max="8192" width="35.85546875" style="56" customWidth="1"/>
    <col min="8193" max="8193" width="97.7109375" style="56" customWidth="1"/>
    <col min="8194" max="8194" width="31.7109375" style="56" customWidth="1"/>
    <col min="8195" max="8195" width="13.7109375" style="56" bestFit="1" customWidth="1"/>
    <col min="8196" max="8446" width="9.140625" style="56"/>
    <col min="8447" max="8447" width="21.85546875" style="56" customWidth="1"/>
    <col min="8448" max="8448" width="35.85546875" style="56" customWidth="1"/>
    <col min="8449" max="8449" width="97.7109375" style="56" customWidth="1"/>
    <col min="8450" max="8450" width="31.7109375" style="56" customWidth="1"/>
    <col min="8451" max="8451" width="13.7109375" style="56" bestFit="1" customWidth="1"/>
    <col min="8452" max="8702" width="9.140625" style="56"/>
    <col min="8703" max="8703" width="21.85546875" style="56" customWidth="1"/>
    <col min="8704" max="8704" width="35.85546875" style="56" customWidth="1"/>
    <col min="8705" max="8705" width="97.7109375" style="56" customWidth="1"/>
    <col min="8706" max="8706" width="31.7109375" style="56" customWidth="1"/>
    <col min="8707" max="8707" width="13.7109375" style="56" bestFit="1" customWidth="1"/>
    <col min="8708" max="8958" width="9.140625" style="56"/>
    <col min="8959" max="8959" width="21.85546875" style="56" customWidth="1"/>
    <col min="8960" max="8960" width="35.85546875" style="56" customWidth="1"/>
    <col min="8961" max="8961" width="97.7109375" style="56" customWidth="1"/>
    <col min="8962" max="8962" width="31.7109375" style="56" customWidth="1"/>
    <col min="8963" max="8963" width="13.7109375" style="56" bestFit="1" customWidth="1"/>
    <col min="8964" max="9214" width="9.140625" style="56"/>
    <col min="9215" max="9215" width="21.85546875" style="56" customWidth="1"/>
    <col min="9216" max="9216" width="35.85546875" style="56" customWidth="1"/>
    <col min="9217" max="9217" width="97.7109375" style="56" customWidth="1"/>
    <col min="9218" max="9218" width="31.7109375" style="56" customWidth="1"/>
    <col min="9219" max="9219" width="13.7109375" style="56" bestFit="1" customWidth="1"/>
    <col min="9220" max="9470" width="9.140625" style="56"/>
    <col min="9471" max="9471" width="21.85546875" style="56" customWidth="1"/>
    <col min="9472" max="9472" width="35.85546875" style="56" customWidth="1"/>
    <col min="9473" max="9473" width="97.7109375" style="56" customWidth="1"/>
    <col min="9474" max="9474" width="31.7109375" style="56" customWidth="1"/>
    <col min="9475" max="9475" width="13.7109375" style="56" bestFit="1" customWidth="1"/>
    <col min="9476" max="9726" width="9.140625" style="56"/>
    <col min="9727" max="9727" width="21.85546875" style="56" customWidth="1"/>
    <col min="9728" max="9728" width="35.85546875" style="56" customWidth="1"/>
    <col min="9729" max="9729" width="97.7109375" style="56" customWidth="1"/>
    <col min="9730" max="9730" width="31.7109375" style="56" customWidth="1"/>
    <col min="9731" max="9731" width="13.7109375" style="56" bestFit="1" customWidth="1"/>
    <col min="9732" max="9982" width="9.140625" style="56"/>
    <col min="9983" max="9983" width="21.85546875" style="56" customWidth="1"/>
    <col min="9984" max="9984" width="35.85546875" style="56" customWidth="1"/>
    <col min="9985" max="9985" width="97.7109375" style="56" customWidth="1"/>
    <col min="9986" max="9986" width="31.7109375" style="56" customWidth="1"/>
    <col min="9987" max="9987" width="13.7109375" style="56" bestFit="1" customWidth="1"/>
    <col min="9988" max="10238" width="9.140625" style="56"/>
    <col min="10239" max="10239" width="21.85546875" style="56" customWidth="1"/>
    <col min="10240" max="10240" width="35.85546875" style="56" customWidth="1"/>
    <col min="10241" max="10241" width="97.7109375" style="56" customWidth="1"/>
    <col min="10242" max="10242" width="31.7109375" style="56" customWidth="1"/>
    <col min="10243" max="10243" width="13.7109375" style="56" bestFit="1" customWidth="1"/>
    <col min="10244" max="10494" width="9.140625" style="56"/>
    <col min="10495" max="10495" width="21.85546875" style="56" customWidth="1"/>
    <col min="10496" max="10496" width="35.85546875" style="56" customWidth="1"/>
    <col min="10497" max="10497" width="97.7109375" style="56" customWidth="1"/>
    <col min="10498" max="10498" width="31.7109375" style="56" customWidth="1"/>
    <col min="10499" max="10499" width="13.7109375" style="56" bestFit="1" customWidth="1"/>
    <col min="10500" max="10750" width="9.140625" style="56"/>
    <col min="10751" max="10751" width="21.85546875" style="56" customWidth="1"/>
    <col min="10752" max="10752" width="35.85546875" style="56" customWidth="1"/>
    <col min="10753" max="10753" width="97.7109375" style="56" customWidth="1"/>
    <col min="10754" max="10754" width="31.7109375" style="56" customWidth="1"/>
    <col min="10755" max="10755" width="13.7109375" style="56" bestFit="1" customWidth="1"/>
    <col min="10756" max="11006" width="9.140625" style="56"/>
    <col min="11007" max="11007" width="21.85546875" style="56" customWidth="1"/>
    <col min="11008" max="11008" width="35.85546875" style="56" customWidth="1"/>
    <col min="11009" max="11009" width="97.7109375" style="56" customWidth="1"/>
    <col min="11010" max="11010" width="31.7109375" style="56" customWidth="1"/>
    <col min="11011" max="11011" width="13.7109375" style="56" bestFit="1" customWidth="1"/>
    <col min="11012" max="11262" width="9.140625" style="56"/>
    <col min="11263" max="11263" width="21.85546875" style="56" customWidth="1"/>
    <col min="11264" max="11264" width="35.85546875" style="56" customWidth="1"/>
    <col min="11265" max="11265" width="97.7109375" style="56" customWidth="1"/>
    <col min="11266" max="11266" width="31.7109375" style="56" customWidth="1"/>
    <col min="11267" max="11267" width="13.7109375" style="56" bestFit="1" customWidth="1"/>
    <col min="11268" max="11518" width="9.140625" style="56"/>
    <col min="11519" max="11519" width="21.85546875" style="56" customWidth="1"/>
    <col min="11520" max="11520" width="35.85546875" style="56" customWidth="1"/>
    <col min="11521" max="11521" width="97.7109375" style="56" customWidth="1"/>
    <col min="11522" max="11522" width="31.7109375" style="56" customWidth="1"/>
    <col min="11523" max="11523" width="13.7109375" style="56" bestFit="1" customWidth="1"/>
    <col min="11524" max="11774" width="9.140625" style="56"/>
    <col min="11775" max="11775" width="21.85546875" style="56" customWidth="1"/>
    <col min="11776" max="11776" width="35.85546875" style="56" customWidth="1"/>
    <col min="11777" max="11777" width="97.7109375" style="56" customWidth="1"/>
    <col min="11778" max="11778" width="31.7109375" style="56" customWidth="1"/>
    <col min="11779" max="11779" width="13.7109375" style="56" bestFit="1" customWidth="1"/>
    <col min="11780" max="12030" width="9.140625" style="56"/>
    <col min="12031" max="12031" width="21.85546875" style="56" customWidth="1"/>
    <col min="12032" max="12032" width="35.85546875" style="56" customWidth="1"/>
    <col min="12033" max="12033" width="97.7109375" style="56" customWidth="1"/>
    <col min="12034" max="12034" width="31.7109375" style="56" customWidth="1"/>
    <col min="12035" max="12035" width="13.7109375" style="56" bestFit="1" customWidth="1"/>
    <col min="12036" max="12286" width="9.140625" style="56"/>
    <col min="12287" max="12287" width="21.85546875" style="56" customWidth="1"/>
    <col min="12288" max="12288" width="35.85546875" style="56" customWidth="1"/>
    <col min="12289" max="12289" width="97.7109375" style="56" customWidth="1"/>
    <col min="12290" max="12290" width="31.7109375" style="56" customWidth="1"/>
    <col min="12291" max="12291" width="13.7109375" style="56" bestFit="1" customWidth="1"/>
    <col min="12292" max="12542" width="9.140625" style="56"/>
    <col min="12543" max="12543" width="21.85546875" style="56" customWidth="1"/>
    <col min="12544" max="12544" width="35.85546875" style="56" customWidth="1"/>
    <col min="12545" max="12545" width="97.7109375" style="56" customWidth="1"/>
    <col min="12546" max="12546" width="31.7109375" style="56" customWidth="1"/>
    <col min="12547" max="12547" width="13.7109375" style="56" bestFit="1" customWidth="1"/>
    <col min="12548" max="12798" width="9.140625" style="56"/>
    <col min="12799" max="12799" width="21.85546875" style="56" customWidth="1"/>
    <col min="12800" max="12800" width="35.85546875" style="56" customWidth="1"/>
    <col min="12801" max="12801" width="97.7109375" style="56" customWidth="1"/>
    <col min="12802" max="12802" width="31.7109375" style="56" customWidth="1"/>
    <col min="12803" max="12803" width="13.7109375" style="56" bestFit="1" customWidth="1"/>
    <col min="12804" max="13054" width="9.140625" style="56"/>
    <col min="13055" max="13055" width="21.85546875" style="56" customWidth="1"/>
    <col min="13056" max="13056" width="35.85546875" style="56" customWidth="1"/>
    <col min="13057" max="13057" width="97.7109375" style="56" customWidth="1"/>
    <col min="13058" max="13058" width="31.7109375" style="56" customWidth="1"/>
    <col min="13059" max="13059" width="13.7109375" style="56" bestFit="1" customWidth="1"/>
    <col min="13060" max="13310" width="9.140625" style="56"/>
    <col min="13311" max="13311" width="21.85546875" style="56" customWidth="1"/>
    <col min="13312" max="13312" width="35.85546875" style="56" customWidth="1"/>
    <col min="13313" max="13313" width="97.7109375" style="56" customWidth="1"/>
    <col min="13314" max="13314" width="31.7109375" style="56" customWidth="1"/>
    <col min="13315" max="13315" width="13.7109375" style="56" bestFit="1" customWidth="1"/>
    <col min="13316" max="13566" width="9.140625" style="56"/>
    <col min="13567" max="13567" width="21.85546875" style="56" customWidth="1"/>
    <col min="13568" max="13568" width="35.85546875" style="56" customWidth="1"/>
    <col min="13569" max="13569" width="97.7109375" style="56" customWidth="1"/>
    <col min="13570" max="13570" width="31.7109375" style="56" customWidth="1"/>
    <col min="13571" max="13571" width="13.7109375" style="56" bestFit="1" customWidth="1"/>
    <col min="13572" max="13822" width="9.140625" style="56"/>
    <col min="13823" max="13823" width="21.85546875" style="56" customWidth="1"/>
    <col min="13824" max="13824" width="35.85546875" style="56" customWidth="1"/>
    <col min="13825" max="13825" width="97.7109375" style="56" customWidth="1"/>
    <col min="13826" max="13826" width="31.7109375" style="56" customWidth="1"/>
    <col min="13827" max="13827" width="13.7109375" style="56" bestFit="1" customWidth="1"/>
    <col min="13828" max="14078" width="9.140625" style="56"/>
    <col min="14079" max="14079" width="21.85546875" style="56" customWidth="1"/>
    <col min="14080" max="14080" width="35.85546875" style="56" customWidth="1"/>
    <col min="14081" max="14081" width="97.7109375" style="56" customWidth="1"/>
    <col min="14082" max="14082" width="31.7109375" style="56" customWidth="1"/>
    <col min="14083" max="14083" width="13.7109375" style="56" bestFit="1" customWidth="1"/>
    <col min="14084" max="14334" width="9.140625" style="56"/>
    <col min="14335" max="14335" width="21.85546875" style="56" customWidth="1"/>
    <col min="14336" max="14336" width="35.85546875" style="56" customWidth="1"/>
    <col min="14337" max="14337" width="97.7109375" style="56" customWidth="1"/>
    <col min="14338" max="14338" width="31.7109375" style="56" customWidth="1"/>
    <col min="14339" max="14339" width="13.7109375" style="56" bestFit="1" customWidth="1"/>
    <col min="14340" max="14590" width="9.140625" style="56"/>
    <col min="14591" max="14591" width="21.85546875" style="56" customWidth="1"/>
    <col min="14592" max="14592" width="35.85546875" style="56" customWidth="1"/>
    <col min="14593" max="14593" width="97.7109375" style="56" customWidth="1"/>
    <col min="14594" max="14594" width="31.7109375" style="56" customWidth="1"/>
    <col min="14595" max="14595" width="13.7109375" style="56" bestFit="1" customWidth="1"/>
    <col min="14596" max="14846" width="9.140625" style="56"/>
    <col min="14847" max="14847" width="21.85546875" style="56" customWidth="1"/>
    <col min="14848" max="14848" width="35.85546875" style="56" customWidth="1"/>
    <col min="14849" max="14849" width="97.7109375" style="56" customWidth="1"/>
    <col min="14850" max="14850" width="31.7109375" style="56" customWidth="1"/>
    <col min="14851" max="14851" width="13.7109375" style="56" bestFit="1" customWidth="1"/>
    <col min="14852" max="15102" width="9.140625" style="56"/>
    <col min="15103" max="15103" width="21.85546875" style="56" customWidth="1"/>
    <col min="15104" max="15104" width="35.85546875" style="56" customWidth="1"/>
    <col min="15105" max="15105" width="97.7109375" style="56" customWidth="1"/>
    <col min="15106" max="15106" width="31.7109375" style="56" customWidth="1"/>
    <col min="15107" max="15107" width="13.7109375" style="56" bestFit="1" customWidth="1"/>
    <col min="15108" max="15358" width="9.140625" style="56"/>
    <col min="15359" max="15359" width="21.85546875" style="56" customWidth="1"/>
    <col min="15360" max="15360" width="35.85546875" style="56" customWidth="1"/>
    <col min="15361" max="15361" width="97.7109375" style="56" customWidth="1"/>
    <col min="15362" max="15362" width="31.7109375" style="56" customWidth="1"/>
    <col min="15363" max="15363" width="13.7109375" style="56" bestFit="1" customWidth="1"/>
    <col min="15364" max="15614" width="9.140625" style="56"/>
    <col min="15615" max="15615" width="21.85546875" style="56" customWidth="1"/>
    <col min="15616" max="15616" width="35.85546875" style="56" customWidth="1"/>
    <col min="15617" max="15617" width="97.7109375" style="56" customWidth="1"/>
    <col min="15618" max="15618" width="31.7109375" style="56" customWidth="1"/>
    <col min="15619" max="15619" width="13.7109375" style="56" bestFit="1" customWidth="1"/>
    <col min="15620" max="15870" width="9.140625" style="56"/>
    <col min="15871" max="15871" width="21.85546875" style="56" customWidth="1"/>
    <col min="15872" max="15872" width="35.85546875" style="56" customWidth="1"/>
    <col min="15873" max="15873" width="97.7109375" style="56" customWidth="1"/>
    <col min="15874" max="15874" width="31.7109375" style="56" customWidth="1"/>
    <col min="15875" max="15875" width="13.7109375" style="56" bestFit="1" customWidth="1"/>
    <col min="15876" max="16126" width="9.140625" style="56"/>
    <col min="16127" max="16127" width="21.85546875" style="56" customWidth="1"/>
    <col min="16128" max="16128" width="35.85546875" style="56" customWidth="1"/>
    <col min="16129" max="16129" width="97.7109375" style="56" customWidth="1"/>
    <col min="16130" max="16130" width="31.7109375" style="56" customWidth="1"/>
    <col min="16131" max="16131" width="13.7109375" style="56" bestFit="1" customWidth="1"/>
    <col min="16132" max="16384" width="9.140625" style="56"/>
  </cols>
  <sheetData>
    <row r="1" spans="1:13" ht="15.75" hidden="1" thickBot="1" x14ac:dyDescent="0.3"/>
    <row r="2" spans="1:13" hidden="1" x14ac:dyDescent="0.25">
      <c r="B2" s="508" t="str">
        <f>"Preassigned Rows Indicating Payment or Scheduling by " &amp;Profit!E1&amp;" Your Home"</f>
        <v>Preassigned Rows Indicating Payment or Scheduling by Buy Your Home</v>
      </c>
      <c r="C2" s="509"/>
      <c r="E2" s="56"/>
    </row>
    <row r="3" spans="1:13" ht="15.75" hidden="1" thickBot="1" x14ac:dyDescent="0.3">
      <c r="B3" s="510"/>
      <c r="C3" s="511"/>
      <c r="E3" s="56"/>
    </row>
    <row r="4" spans="1:13" hidden="1" x14ac:dyDescent="0.25">
      <c r="B4" s="516" t="s">
        <v>235</v>
      </c>
      <c r="C4" s="517"/>
      <c r="E4" s="56"/>
    </row>
    <row r="5" spans="1:13" ht="15.75" hidden="1" thickBot="1" x14ac:dyDescent="0.3">
      <c r="B5" s="518"/>
      <c r="C5" s="519"/>
      <c r="E5" s="56"/>
    </row>
    <row r="6" spans="1:13" hidden="1" x14ac:dyDescent="0.25">
      <c r="B6" s="512" t="s">
        <v>236</v>
      </c>
      <c r="C6" s="513"/>
      <c r="E6" s="56"/>
    </row>
    <row r="7" spans="1:13" ht="15.75" hidden="1" thickBot="1" x14ac:dyDescent="0.3">
      <c r="B7" s="514"/>
      <c r="C7" s="515"/>
    </row>
    <row r="8" spans="1:13" hidden="1" x14ac:dyDescent="0.25">
      <c r="B8" s="520" t="s">
        <v>237</v>
      </c>
      <c r="C8" s="521"/>
    </row>
    <row r="9" spans="1:13" ht="15.75" hidden="1" thickBot="1" x14ac:dyDescent="0.3">
      <c r="B9" s="522"/>
      <c r="C9" s="523"/>
    </row>
    <row r="10" spans="1:13" hidden="1" x14ac:dyDescent="0.25"/>
    <row r="11" spans="1:13" s="50" customFormat="1" ht="15.75" thickBot="1" x14ac:dyDescent="0.3">
      <c r="A11" s="49" t="s">
        <v>238</v>
      </c>
      <c r="B11" s="49" t="s">
        <v>239</v>
      </c>
      <c r="C11" s="49" t="s">
        <v>240</v>
      </c>
      <c r="D11" s="66" t="s">
        <v>241</v>
      </c>
      <c r="E11" s="67" t="s">
        <v>242</v>
      </c>
      <c r="G11" s="56"/>
      <c r="H11" s="56"/>
      <c r="I11" s="56"/>
      <c r="J11" s="56"/>
      <c r="K11" s="56"/>
      <c r="L11" s="56"/>
      <c r="M11" s="56"/>
    </row>
    <row r="12" spans="1:13" s="50" customFormat="1" ht="15.75" thickTop="1" x14ac:dyDescent="0.25">
      <c r="A12" s="52" t="s">
        <v>243</v>
      </c>
      <c r="B12" s="52" t="s">
        <v>243</v>
      </c>
      <c r="C12" s="52" t="s">
        <v>244</v>
      </c>
      <c r="D12" s="64">
        <v>0</v>
      </c>
      <c r="E12" s="65">
        <v>7016</v>
      </c>
      <c r="G12" s="56"/>
      <c r="H12" s="56"/>
      <c r="I12" s="56"/>
      <c r="J12" s="56"/>
      <c r="K12" s="56"/>
      <c r="L12" s="56"/>
      <c r="M12" s="56"/>
    </row>
    <row r="13" spans="1:13" s="50" customFormat="1" x14ac:dyDescent="0.25">
      <c r="A13" s="52" t="s">
        <v>245</v>
      </c>
      <c r="B13" s="52" t="s">
        <v>246</v>
      </c>
      <c r="C13" s="52" t="s">
        <v>247</v>
      </c>
      <c r="D13" s="64">
        <v>0</v>
      </c>
      <c r="E13" s="65">
        <v>10505.74</v>
      </c>
      <c r="G13" s="56"/>
      <c r="H13" s="56"/>
      <c r="I13" s="56"/>
      <c r="J13" s="56"/>
      <c r="K13" s="56"/>
      <c r="L13" s="56"/>
      <c r="M13" s="56"/>
    </row>
    <row r="14" spans="1:13" s="50" customFormat="1" x14ac:dyDescent="0.25">
      <c r="A14" s="52" t="s">
        <v>245</v>
      </c>
      <c r="B14" s="52" t="s">
        <v>248</v>
      </c>
      <c r="C14" s="52" t="s">
        <v>248</v>
      </c>
      <c r="D14" s="64">
        <v>0</v>
      </c>
      <c r="E14" s="65">
        <v>9940</v>
      </c>
      <c r="G14" s="56"/>
      <c r="H14" s="56"/>
      <c r="I14" s="56"/>
      <c r="J14" s="56"/>
      <c r="K14" s="56"/>
      <c r="L14" s="56"/>
      <c r="M14" s="56"/>
    </row>
    <row r="15" spans="1:13" s="50" customFormat="1" x14ac:dyDescent="0.25">
      <c r="A15" s="52"/>
      <c r="B15" s="52" t="s">
        <v>249</v>
      </c>
      <c r="C15" s="52" t="s">
        <v>250</v>
      </c>
      <c r="D15" s="64">
        <v>6</v>
      </c>
      <c r="E15" s="65"/>
      <c r="G15" s="56"/>
      <c r="H15" s="56"/>
      <c r="I15" s="56"/>
      <c r="J15" s="56"/>
      <c r="K15" s="56"/>
      <c r="L15" s="56"/>
      <c r="M15" s="56"/>
    </row>
    <row r="16" spans="1:13" s="50" customFormat="1" x14ac:dyDescent="0.25">
      <c r="A16" s="53" t="s">
        <v>251</v>
      </c>
      <c r="B16" s="53" t="s">
        <v>252</v>
      </c>
      <c r="C16" s="53" t="s">
        <v>251</v>
      </c>
      <c r="D16" s="54">
        <v>0</v>
      </c>
      <c r="E16" s="55">
        <v>0</v>
      </c>
      <c r="G16" s="56"/>
      <c r="H16" s="56"/>
      <c r="I16" s="56"/>
      <c r="J16" s="56"/>
      <c r="K16" s="56"/>
      <c r="L16" s="56"/>
      <c r="M16" s="56"/>
    </row>
    <row r="17" spans="1:13" s="50" customFormat="1" x14ac:dyDescent="0.25">
      <c r="A17" s="53" t="s">
        <v>253</v>
      </c>
      <c r="B17" s="53" t="s">
        <v>252</v>
      </c>
      <c r="C17" s="53" t="s">
        <v>254</v>
      </c>
      <c r="D17" s="54">
        <v>0</v>
      </c>
      <c r="E17" s="55">
        <v>0</v>
      </c>
      <c r="G17" s="56"/>
      <c r="H17" s="56"/>
      <c r="I17" s="56"/>
      <c r="J17" s="56"/>
      <c r="K17" s="56"/>
      <c r="L17" s="56"/>
      <c r="M17" s="56"/>
    </row>
    <row r="18" spans="1:13" s="50" customFormat="1" x14ac:dyDescent="0.25">
      <c r="A18" s="53" t="s">
        <v>255</v>
      </c>
      <c r="B18" s="53" t="s">
        <v>252</v>
      </c>
      <c r="C18" s="53" t="s">
        <v>256</v>
      </c>
      <c r="D18" s="54">
        <v>0</v>
      </c>
      <c r="E18" s="55">
        <v>0</v>
      </c>
      <c r="G18" s="56"/>
      <c r="H18" s="56"/>
      <c r="I18" s="56"/>
      <c r="J18" s="56"/>
      <c r="K18" s="56"/>
      <c r="L18" s="56"/>
      <c r="M18" s="56"/>
    </row>
    <row r="19" spans="1:13" s="50" customFormat="1" x14ac:dyDescent="0.25">
      <c r="A19" s="53" t="s">
        <v>257</v>
      </c>
      <c r="B19" s="53" t="s">
        <v>252</v>
      </c>
      <c r="C19" s="53" t="s">
        <v>258</v>
      </c>
      <c r="D19" s="54">
        <v>0</v>
      </c>
      <c r="E19" s="55">
        <v>0</v>
      </c>
      <c r="G19" s="56"/>
      <c r="H19" s="56"/>
      <c r="I19" s="56"/>
      <c r="J19" s="56"/>
      <c r="K19" s="56"/>
      <c r="L19" s="56"/>
      <c r="M19" s="56"/>
    </row>
    <row r="20" spans="1:13" s="50" customFormat="1" x14ac:dyDescent="0.25">
      <c r="A20" s="53" t="s">
        <v>259</v>
      </c>
      <c r="B20" s="53" t="s">
        <v>252</v>
      </c>
      <c r="C20" s="53" t="s">
        <v>260</v>
      </c>
      <c r="D20" s="54">
        <v>0</v>
      </c>
      <c r="E20" s="55">
        <v>0</v>
      </c>
      <c r="G20" s="51"/>
    </row>
    <row r="21" spans="1:13" x14ac:dyDescent="0.25">
      <c r="A21" s="282" t="s">
        <v>261</v>
      </c>
      <c r="B21" s="282" t="s">
        <v>262</v>
      </c>
      <c r="C21" s="282" t="s">
        <v>263</v>
      </c>
      <c r="D21" s="303">
        <v>1</v>
      </c>
      <c r="E21" s="304">
        <v>3800</v>
      </c>
    </row>
    <row r="22" spans="1:13" x14ac:dyDescent="0.25">
      <c r="A22" s="286" t="s">
        <v>261</v>
      </c>
      <c r="B22" s="286"/>
      <c r="C22" s="286" t="s">
        <v>264</v>
      </c>
      <c r="D22" s="288">
        <v>0</v>
      </c>
      <c r="E22" s="289"/>
    </row>
    <row r="23" spans="1:13" x14ac:dyDescent="0.25">
      <c r="A23" s="282" t="s">
        <v>261</v>
      </c>
      <c r="B23" s="282"/>
      <c r="C23" s="282" t="s">
        <v>265</v>
      </c>
      <c r="D23" s="303">
        <v>0</v>
      </c>
      <c r="E23" s="304"/>
    </row>
    <row r="24" spans="1:13" x14ac:dyDescent="0.25">
      <c r="A24" s="282" t="s">
        <v>266</v>
      </c>
      <c r="B24" s="282"/>
      <c r="C24" s="282" t="s">
        <v>267</v>
      </c>
      <c r="D24" s="303">
        <v>1</v>
      </c>
      <c r="E24" s="304">
        <v>4950</v>
      </c>
    </row>
    <row r="25" spans="1:13" x14ac:dyDescent="0.25">
      <c r="A25" s="282" t="s">
        <v>268</v>
      </c>
      <c r="B25" s="282"/>
      <c r="C25" s="282" t="s">
        <v>269</v>
      </c>
      <c r="D25" s="303">
        <v>1</v>
      </c>
      <c r="E25" s="304">
        <v>590</v>
      </c>
    </row>
    <row r="26" spans="1:13" x14ac:dyDescent="0.25">
      <c r="A26" s="282" t="s">
        <v>253</v>
      </c>
      <c r="B26" s="282" t="s">
        <v>270</v>
      </c>
      <c r="C26" s="282" t="s">
        <v>271</v>
      </c>
      <c r="D26" s="303">
        <v>1</v>
      </c>
      <c r="E26" s="304">
        <v>3790</v>
      </c>
    </row>
    <row r="27" spans="1:13" x14ac:dyDescent="0.25">
      <c r="A27" s="282" t="s">
        <v>253</v>
      </c>
      <c r="B27" s="282"/>
      <c r="C27" s="282" t="s">
        <v>272</v>
      </c>
      <c r="D27" s="303"/>
      <c r="E27" s="304"/>
    </row>
    <row r="28" spans="1:13" x14ac:dyDescent="0.25">
      <c r="A28" s="282" t="s">
        <v>253</v>
      </c>
      <c r="B28" s="282"/>
      <c r="C28" s="282" t="s">
        <v>273</v>
      </c>
      <c r="D28" s="303"/>
      <c r="E28" s="304"/>
    </row>
    <row r="29" spans="1:13" x14ac:dyDescent="0.25">
      <c r="A29" s="282" t="s">
        <v>253</v>
      </c>
      <c r="B29" s="282" t="s">
        <v>274</v>
      </c>
      <c r="C29" s="282" t="s">
        <v>275</v>
      </c>
      <c r="D29" s="303">
        <v>1</v>
      </c>
      <c r="E29" s="304">
        <v>1200</v>
      </c>
    </row>
    <row r="30" spans="1:13" x14ac:dyDescent="0.25">
      <c r="A30" s="282" t="s">
        <v>259</v>
      </c>
      <c r="B30" s="282" t="s">
        <v>276</v>
      </c>
      <c r="C30" s="282" t="s">
        <v>277</v>
      </c>
      <c r="D30" s="303">
        <v>1</v>
      </c>
      <c r="E30" s="304">
        <v>3190</v>
      </c>
    </row>
    <row r="31" spans="1:13" x14ac:dyDescent="0.25">
      <c r="A31" s="282" t="s">
        <v>259</v>
      </c>
      <c r="B31" s="282" t="s">
        <v>276</v>
      </c>
      <c r="C31" s="282" t="s">
        <v>278</v>
      </c>
      <c r="D31" s="303">
        <v>0</v>
      </c>
      <c r="E31" s="304"/>
    </row>
    <row r="32" spans="1:13" x14ac:dyDescent="0.25">
      <c r="A32" s="282" t="s">
        <v>259</v>
      </c>
      <c r="B32" s="282" t="s">
        <v>279</v>
      </c>
      <c r="C32" s="282" t="s">
        <v>280</v>
      </c>
      <c r="D32" s="303">
        <v>1</v>
      </c>
      <c r="E32" s="304">
        <v>4345</v>
      </c>
    </row>
    <row r="33" spans="1:5" x14ac:dyDescent="0.25">
      <c r="A33" s="282" t="s">
        <v>281</v>
      </c>
      <c r="B33" s="282" t="s">
        <v>282</v>
      </c>
      <c r="C33" s="282" t="s">
        <v>281</v>
      </c>
      <c r="D33" s="303">
        <v>1</v>
      </c>
      <c r="E33" s="304">
        <v>4252.5</v>
      </c>
    </row>
    <row r="34" spans="1:5" x14ac:dyDescent="0.25">
      <c r="A34" s="282" t="s">
        <v>281</v>
      </c>
      <c r="B34" s="282" t="s">
        <v>282</v>
      </c>
      <c r="C34" s="286" t="s">
        <v>283</v>
      </c>
      <c r="D34" s="303">
        <v>1</v>
      </c>
      <c r="E34" s="304"/>
    </row>
    <row r="35" spans="1:5" x14ac:dyDescent="0.25">
      <c r="A35" s="282" t="s">
        <v>281</v>
      </c>
      <c r="B35" s="282" t="s">
        <v>282</v>
      </c>
      <c r="C35" s="282" t="s">
        <v>284</v>
      </c>
      <c r="D35" s="303">
        <v>1</v>
      </c>
      <c r="E35" s="304"/>
    </row>
    <row r="36" spans="1:5" x14ac:dyDescent="0.25">
      <c r="A36" s="282" t="s">
        <v>281</v>
      </c>
      <c r="B36" s="282" t="s">
        <v>282</v>
      </c>
      <c r="C36" s="282" t="s">
        <v>285</v>
      </c>
      <c r="D36" s="303">
        <v>1</v>
      </c>
      <c r="E36" s="304"/>
    </row>
    <row r="37" spans="1:5" x14ac:dyDescent="0.25">
      <c r="A37" s="282" t="s">
        <v>281</v>
      </c>
      <c r="B37" s="282" t="s">
        <v>282</v>
      </c>
      <c r="C37" s="282" t="s">
        <v>286</v>
      </c>
      <c r="D37" s="303">
        <v>1</v>
      </c>
      <c r="E37" s="304"/>
    </row>
    <row r="38" spans="1:5" x14ac:dyDescent="0.25">
      <c r="A38" s="282" t="s">
        <v>281</v>
      </c>
      <c r="B38" s="282" t="s">
        <v>282</v>
      </c>
      <c r="C38" s="282" t="s">
        <v>287</v>
      </c>
      <c r="D38" s="303">
        <v>1</v>
      </c>
      <c r="E38" s="304"/>
    </row>
    <row r="39" spans="1:5" x14ac:dyDescent="0.25">
      <c r="A39" s="282" t="s">
        <v>281</v>
      </c>
      <c r="B39" s="282" t="s">
        <v>282</v>
      </c>
      <c r="C39" s="282" t="s">
        <v>288</v>
      </c>
      <c r="D39" s="303">
        <v>1</v>
      </c>
      <c r="E39" s="304"/>
    </row>
    <row r="40" spans="1:5" x14ac:dyDescent="0.25">
      <c r="A40" s="282" t="s">
        <v>281</v>
      </c>
      <c r="B40" s="282" t="s">
        <v>282</v>
      </c>
      <c r="C40" s="282" t="s">
        <v>289</v>
      </c>
      <c r="D40" s="303">
        <v>1</v>
      </c>
      <c r="E40" s="304"/>
    </row>
    <row r="41" spans="1:5" x14ac:dyDescent="0.25">
      <c r="A41" s="282" t="s">
        <v>281</v>
      </c>
      <c r="B41" s="282" t="s">
        <v>282</v>
      </c>
      <c r="C41" s="282" t="s">
        <v>290</v>
      </c>
      <c r="D41" s="303">
        <v>1</v>
      </c>
      <c r="E41" s="304"/>
    </row>
    <row r="42" spans="1:5" x14ac:dyDescent="0.25">
      <c r="A42" s="282" t="s">
        <v>281</v>
      </c>
      <c r="B42" s="282" t="s">
        <v>282</v>
      </c>
      <c r="C42" s="282" t="s">
        <v>291</v>
      </c>
      <c r="D42" s="303">
        <v>1</v>
      </c>
      <c r="E42" s="304"/>
    </row>
    <row r="43" spans="1:5" x14ac:dyDescent="0.25">
      <c r="A43" s="282" t="s">
        <v>281</v>
      </c>
      <c r="B43" s="282" t="s">
        <v>282</v>
      </c>
      <c r="C43" s="282" t="s">
        <v>292</v>
      </c>
      <c r="D43" s="303">
        <v>1</v>
      </c>
      <c r="E43" s="304"/>
    </row>
    <row r="44" spans="1:5" x14ac:dyDescent="0.25">
      <c r="A44" s="282" t="s">
        <v>281</v>
      </c>
      <c r="B44" s="282" t="s">
        <v>282</v>
      </c>
      <c r="C44" s="282" t="s">
        <v>293</v>
      </c>
      <c r="D44" s="303">
        <v>1</v>
      </c>
      <c r="E44" s="304"/>
    </row>
    <row r="45" spans="1:5" x14ac:dyDescent="0.25">
      <c r="A45" s="282" t="s">
        <v>281</v>
      </c>
      <c r="B45" s="282" t="s">
        <v>282</v>
      </c>
      <c r="C45" s="282" t="s">
        <v>294</v>
      </c>
      <c r="D45" s="303">
        <v>1</v>
      </c>
      <c r="E45" s="304"/>
    </row>
    <row r="46" spans="1:5" x14ac:dyDescent="0.25">
      <c r="A46" s="282" t="s">
        <v>281</v>
      </c>
      <c r="B46" s="282" t="s">
        <v>282</v>
      </c>
      <c r="C46" s="282" t="s">
        <v>295</v>
      </c>
      <c r="D46" s="303">
        <v>1</v>
      </c>
      <c r="E46" s="304"/>
    </row>
    <row r="47" spans="1:5" x14ac:dyDescent="0.25">
      <c r="A47" s="282" t="s">
        <v>281</v>
      </c>
      <c r="B47" s="282" t="s">
        <v>296</v>
      </c>
      <c r="C47" s="282" t="s">
        <v>297</v>
      </c>
      <c r="D47" s="303">
        <v>1</v>
      </c>
      <c r="E47" s="304">
        <v>600</v>
      </c>
    </row>
    <row r="48" spans="1:5" x14ac:dyDescent="0.25">
      <c r="A48" s="282" t="s">
        <v>253</v>
      </c>
      <c r="B48" s="282" t="s">
        <v>298</v>
      </c>
      <c r="C48" s="282" t="s">
        <v>299</v>
      </c>
      <c r="D48" s="303">
        <v>1</v>
      </c>
      <c r="E48" s="304">
        <v>1800</v>
      </c>
    </row>
    <row r="49" spans="1:5" x14ac:dyDescent="0.25">
      <c r="A49" s="282" t="s">
        <v>253</v>
      </c>
      <c r="B49" s="282" t="s">
        <v>300</v>
      </c>
      <c r="C49" s="282" t="s">
        <v>301</v>
      </c>
      <c r="D49" s="303">
        <v>1</v>
      </c>
      <c r="E49" s="304">
        <v>50</v>
      </c>
    </row>
    <row r="50" spans="1:5" x14ac:dyDescent="0.25">
      <c r="A50" s="282" t="s">
        <v>281</v>
      </c>
      <c r="B50" s="282" t="s">
        <v>302</v>
      </c>
      <c r="C50" s="282" t="s">
        <v>303</v>
      </c>
      <c r="D50" s="303">
        <v>1</v>
      </c>
      <c r="E50" s="304">
        <v>50</v>
      </c>
    </row>
    <row r="51" spans="1:5" x14ac:dyDescent="0.25">
      <c r="A51" s="282" t="s">
        <v>281</v>
      </c>
      <c r="B51" s="282" t="s">
        <v>304</v>
      </c>
      <c r="C51" s="282" t="s">
        <v>305</v>
      </c>
      <c r="D51" s="303">
        <v>1</v>
      </c>
      <c r="E51" s="304">
        <v>50</v>
      </c>
    </row>
    <row r="52" spans="1:5" x14ac:dyDescent="0.25">
      <c r="A52" s="282" t="s">
        <v>253</v>
      </c>
      <c r="B52" s="282" t="s">
        <v>306</v>
      </c>
      <c r="C52" s="282" t="s">
        <v>307</v>
      </c>
      <c r="D52" s="303">
        <v>1</v>
      </c>
      <c r="E52" s="304">
        <v>2980.24</v>
      </c>
    </row>
    <row r="53" spans="1:5" x14ac:dyDescent="0.25">
      <c r="A53" s="282" t="s">
        <v>266</v>
      </c>
      <c r="B53" s="282" t="s">
        <v>308</v>
      </c>
      <c r="C53" s="282" t="s">
        <v>309</v>
      </c>
      <c r="D53" s="303">
        <v>1</v>
      </c>
      <c r="E53" s="304">
        <v>294</v>
      </c>
    </row>
    <row r="54" spans="1:5" x14ac:dyDescent="0.25">
      <c r="A54" s="282" t="s">
        <v>281</v>
      </c>
      <c r="B54" s="282" t="s">
        <v>310</v>
      </c>
      <c r="C54" s="282" t="s">
        <v>311</v>
      </c>
      <c r="D54" s="303">
        <v>1</v>
      </c>
      <c r="E54" s="304"/>
    </row>
    <row r="55" spans="1:5" x14ac:dyDescent="0.25">
      <c r="A55" s="282" t="s">
        <v>259</v>
      </c>
      <c r="B55" s="282" t="s">
        <v>279</v>
      </c>
      <c r="C55" s="282" t="s">
        <v>312</v>
      </c>
      <c r="D55" s="303">
        <v>1</v>
      </c>
      <c r="E55" s="304">
        <v>-3190</v>
      </c>
    </row>
    <row r="56" spans="1:5" x14ac:dyDescent="0.25">
      <c r="A56" s="282" t="s">
        <v>281</v>
      </c>
      <c r="B56" s="282" t="s">
        <v>313</v>
      </c>
      <c r="C56" s="282" t="s">
        <v>314</v>
      </c>
      <c r="D56" s="303">
        <v>1</v>
      </c>
      <c r="E56" s="304"/>
    </row>
    <row r="57" spans="1:5" x14ac:dyDescent="0.25">
      <c r="A57" s="282" t="s">
        <v>281</v>
      </c>
      <c r="B57" s="282" t="s">
        <v>315</v>
      </c>
      <c r="C57" s="282" t="s">
        <v>316</v>
      </c>
      <c r="D57" s="303">
        <v>1</v>
      </c>
      <c r="E57" s="304"/>
    </row>
    <row r="58" spans="1:5" x14ac:dyDescent="0.25">
      <c r="A58" s="282" t="s">
        <v>281</v>
      </c>
      <c r="B58" s="282" t="s">
        <v>317</v>
      </c>
      <c r="C58" s="282" t="s">
        <v>318</v>
      </c>
      <c r="D58" s="303">
        <v>1</v>
      </c>
      <c r="E58" s="304"/>
    </row>
    <row r="59" spans="1:5" x14ac:dyDescent="0.25">
      <c r="A59" s="282" t="s">
        <v>281</v>
      </c>
      <c r="B59" s="282" t="s">
        <v>319</v>
      </c>
      <c r="C59" s="282" t="s">
        <v>320</v>
      </c>
      <c r="D59" s="303">
        <v>1</v>
      </c>
      <c r="E59" s="304"/>
    </row>
    <row r="60" spans="1:5" x14ac:dyDescent="0.25">
      <c r="A60" s="282" t="s">
        <v>281</v>
      </c>
      <c r="B60" s="282" t="s">
        <v>321</v>
      </c>
      <c r="C60" s="282" t="s">
        <v>322</v>
      </c>
      <c r="D60" s="303">
        <v>1</v>
      </c>
      <c r="E60" s="304"/>
    </row>
    <row r="61" spans="1:5" x14ac:dyDescent="0.25">
      <c r="A61" s="282" t="s">
        <v>281</v>
      </c>
      <c r="B61" s="282" t="s">
        <v>323</v>
      </c>
      <c r="C61" s="282" t="s">
        <v>324</v>
      </c>
      <c r="D61" s="303">
        <v>1</v>
      </c>
      <c r="E61" s="304"/>
    </row>
    <row r="62" spans="1:5" x14ac:dyDescent="0.25">
      <c r="A62" s="282" t="s">
        <v>281</v>
      </c>
      <c r="B62" s="282" t="s">
        <v>325</v>
      </c>
      <c r="C62" s="282" t="s">
        <v>326</v>
      </c>
      <c r="D62" s="303">
        <v>1</v>
      </c>
      <c r="E62" s="304"/>
    </row>
    <row r="63" spans="1:5" x14ac:dyDescent="0.25">
      <c r="A63" s="282" t="s">
        <v>281</v>
      </c>
      <c r="B63" s="282" t="s">
        <v>327</v>
      </c>
      <c r="C63" s="282" t="s">
        <v>328</v>
      </c>
      <c r="D63" s="303">
        <v>1</v>
      </c>
      <c r="E63" s="304"/>
    </row>
    <row r="64" spans="1:5" x14ac:dyDescent="0.25">
      <c r="A64" s="286" t="s">
        <v>281</v>
      </c>
      <c r="B64" s="286" t="s">
        <v>329</v>
      </c>
      <c r="C64" s="286" t="s">
        <v>330</v>
      </c>
      <c r="D64" s="303">
        <v>1</v>
      </c>
      <c r="E64" s="304"/>
    </row>
    <row r="65" spans="1:5" x14ac:dyDescent="0.25">
      <c r="A65" s="286" t="s">
        <v>281</v>
      </c>
      <c r="B65" s="286" t="s">
        <v>331</v>
      </c>
      <c r="C65" s="286" t="s">
        <v>332</v>
      </c>
      <c r="D65" s="288">
        <v>1</v>
      </c>
      <c r="E65" s="289"/>
    </row>
    <row r="66" spans="1:5" x14ac:dyDescent="0.25">
      <c r="A66" s="286" t="s">
        <v>333</v>
      </c>
      <c r="B66" s="286" t="s">
        <v>334</v>
      </c>
      <c r="C66" s="286" t="s">
        <v>335</v>
      </c>
      <c r="D66" s="303">
        <v>1</v>
      </c>
      <c r="E66" s="304"/>
    </row>
    <row r="67" spans="1:5" x14ac:dyDescent="0.25">
      <c r="A67" s="286" t="s">
        <v>281</v>
      </c>
      <c r="B67" s="286" t="s">
        <v>336</v>
      </c>
      <c r="C67" s="286" t="s">
        <v>337</v>
      </c>
      <c r="D67" s="288">
        <v>1</v>
      </c>
      <c r="E67" s="289"/>
    </row>
    <row r="68" spans="1:5" x14ac:dyDescent="0.25">
      <c r="A68" s="286" t="s">
        <v>333</v>
      </c>
      <c r="B68" s="286" t="s">
        <v>338</v>
      </c>
      <c r="C68" s="286" t="s">
        <v>339</v>
      </c>
      <c r="D68" s="303">
        <v>1</v>
      </c>
      <c r="E68" s="304"/>
    </row>
    <row r="69" spans="1:5" x14ac:dyDescent="0.25">
      <c r="A69" s="286" t="s">
        <v>340</v>
      </c>
      <c r="B69" s="286" t="s">
        <v>341</v>
      </c>
      <c r="C69" s="286" t="s">
        <v>342</v>
      </c>
      <c r="D69" s="288">
        <v>1</v>
      </c>
      <c r="E69" s="289"/>
    </row>
    <row r="70" spans="1:5" x14ac:dyDescent="0.25">
      <c r="A70" s="286" t="s">
        <v>333</v>
      </c>
      <c r="B70" s="286" t="s">
        <v>343</v>
      </c>
      <c r="C70" s="286" t="s">
        <v>344</v>
      </c>
      <c r="D70" s="303">
        <v>1</v>
      </c>
      <c r="E70" s="304"/>
    </row>
    <row r="71" spans="1:5" x14ac:dyDescent="0.25">
      <c r="A71" s="286"/>
      <c r="B71" s="286" t="s">
        <v>345</v>
      </c>
      <c r="C71" s="286" t="s">
        <v>346</v>
      </c>
      <c r="D71" s="288">
        <v>1</v>
      </c>
      <c r="E71" s="289"/>
    </row>
  </sheetData>
  <mergeCells count="4">
    <mergeCell ref="B2:C3"/>
    <mergeCell ref="B6:C7"/>
    <mergeCell ref="B4:C5"/>
    <mergeCell ref="B8:C9"/>
  </mergeCells>
  <phoneticPr fontId="26"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5" tint="0.59999389629810485"/>
    <pageSetUpPr fitToPage="1"/>
  </sheetPr>
  <dimension ref="A1:S207"/>
  <sheetViews>
    <sheetView workbookViewId="0">
      <pane ySplit="4" topLeftCell="A5" activePane="bottomLeft" state="frozen"/>
      <selection activeCell="H28" sqref="H28"/>
      <selection pane="bottomLeft" activeCell="M7" sqref="M7"/>
    </sheetView>
  </sheetViews>
  <sheetFormatPr defaultRowHeight="15" x14ac:dyDescent="0.25"/>
  <cols>
    <col min="1" max="1" width="10.140625" style="74" bestFit="1" customWidth="1"/>
    <col min="2" max="2" width="9.7109375" style="72" bestFit="1" customWidth="1"/>
    <col min="3" max="3" width="18.5703125" style="74" bestFit="1" customWidth="1"/>
    <col min="4" max="4" width="17.7109375" style="74" bestFit="1" customWidth="1"/>
    <col min="5" max="5" width="81.140625" style="74" bestFit="1" customWidth="1"/>
    <col min="6" max="6" width="8.7109375" style="74" bestFit="1" customWidth="1"/>
    <col min="7" max="7" width="14.28515625" style="113" bestFit="1" customWidth="1"/>
    <col min="8" max="8" width="10" style="113" bestFit="1" customWidth="1"/>
    <col min="9" max="9" width="10.28515625" style="285" bestFit="1" customWidth="1"/>
    <col min="10" max="10" width="11.140625" style="72" bestFit="1" customWidth="1"/>
    <col min="11" max="11" width="14.28515625" style="109" bestFit="1" customWidth="1"/>
    <col min="12" max="12" width="9.7109375" style="73" bestFit="1" customWidth="1"/>
    <col min="13" max="13" width="9.42578125" style="72" bestFit="1" customWidth="1"/>
    <col min="14" max="14" width="14.28515625" style="7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33" t="s">
        <v>347</v>
      </c>
      <c r="B1" s="534"/>
      <c r="C1" s="534"/>
      <c r="D1" s="534"/>
      <c r="E1" s="534"/>
      <c r="F1" s="534"/>
      <c r="G1" s="534"/>
      <c r="H1" s="535"/>
      <c r="I1" s="524" t="s">
        <v>348</v>
      </c>
      <c r="J1" s="525"/>
      <c r="K1" s="525"/>
      <c r="L1" s="525"/>
      <c r="M1" s="525"/>
      <c r="N1" s="526"/>
      <c r="P1" s="31" t="s">
        <v>349</v>
      </c>
      <c r="Q1" s="15">
        <v>1</v>
      </c>
      <c r="R1" s="61" t="s">
        <v>350</v>
      </c>
      <c r="S1" s="15">
        <v>4</v>
      </c>
    </row>
    <row r="2" spans="1:19" x14ac:dyDescent="0.25">
      <c r="A2" s="536"/>
      <c r="B2" s="498"/>
      <c r="C2" s="498"/>
      <c r="D2" s="498"/>
      <c r="E2" s="498"/>
      <c r="F2" s="498"/>
      <c r="G2" s="498"/>
      <c r="H2" s="537"/>
      <c r="I2" s="527"/>
      <c r="J2" s="528"/>
      <c r="K2" s="528"/>
      <c r="L2" s="528"/>
      <c r="M2" s="528"/>
      <c r="N2" s="529"/>
      <c r="P2" s="31" t="s">
        <v>351</v>
      </c>
      <c r="Q2" s="15">
        <v>2</v>
      </c>
      <c r="R2" s="31" t="s">
        <v>352</v>
      </c>
      <c r="S2" s="15">
        <v>0</v>
      </c>
    </row>
    <row r="3" spans="1:19" ht="15.75" thickBot="1" x14ac:dyDescent="0.3">
      <c r="A3" s="538"/>
      <c r="B3" s="539"/>
      <c r="C3" s="539"/>
      <c r="D3" s="539"/>
      <c r="E3" s="539"/>
      <c r="F3" s="539"/>
      <c r="G3" s="539"/>
      <c r="H3" s="540"/>
      <c r="I3" s="530"/>
      <c r="J3" s="531"/>
      <c r="K3" s="531"/>
      <c r="L3" s="531"/>
      <c r="M3" s="531"/>
      <c r="N3" s="532"/>
      <c r="P3" s="31" t="s">
        <v>353</v>
      </c>
      <c r="Q3" s="15">
        <v>3</v>
      </c>
      <c r="R3" s="15" t="s">
        <v>354</v>
      </c>
      <c r="S3" s="15">
        <v>5</v>
      </c>
    </row>
    <row r="4" spans="1:19" s="63" customFormat="1" ht="30.75" thickTop="1" x14ac:dyDescent="0.25">
      <c r="A4" s="110" t="s">
        <v>355</v>
      </c>
      <c r="B4" s="111" t="s">
        <v>356</v>
      </c>
      <c r="C4" s="110" t="s">
        <v>357</v>
      </c>
      <c r="D4" s="110" t="s">
        <v>358</v>
      </c>
      <c r="E4" s="110" t="s">
        <v>359</v>
      </c>
      <c r="F4" s="110" t="s">
        <v>241</v>
      </c>
      <c r="G4" s="112" t="s">
        <v>242</v>
      </c>
      <c r="H4" s="112" t="s">
        <v>360</v>
      </c>
      <c r="I4" s="283" t="s">
        <v>361</v>
      </c>
      <c r="J4" s="69" t="s">
        <v>362</v>
      </c>
      <c r="K4" s="298" t="s">
        <v>82</v>
      </c>
      <c r="L4" s="69" t="s">
        <v>363</v>
      </c>
      <c r="M4" s="69" t="s">
        <v>364</v>
      </c>
      <c r="N4" s="69" t="s">
        <v>161</v>
      </c>
    </row>
    <row r="5" spans="1:19" x14ac:dyDescent="0.25">
      <c r="A5" s="74" t="str">
        <f>+IF(FromProposal[[#This Row],[Cost Code]]&lt;&gt;0,+'Gnatt Chart'!$A$2,"")</f>
        <v xml:space="preserve">AvilaCRI </v>
      </c>
      <c r="B5" s="72">
        <v>1</v>
      </c>
      <c r="C5" s="74" t="s">
        <v>243</v>
      </c>
      <c r="D5" s="74" t="s">
        <v>243</v>
      </c>
      <c r="E5" s="74" t="s">
        <v>244</v>
      </c>
      <c r="F5" s="74">
        <v>0</v>
      </c>
      <c r="G5" s="333">
        <v>7016</v>
      </c>
      <c r="H5" s="333">
        <v>0</v>
      </c>
      <c r="I5" s="284" t="s">
        <v>8</v>
      </c>
      <c r="J5" s="70">
        <v>4</v>
      </c>
      <c r="K5" s="302" t="s">
        <v>365</v>
      </c>
      <c r="L5" s="70"/>
      <c r="M5" s="301">
        <v>7016</v>
      </c>
      <c r="N5" s="71"/>
    </row>
    <row r="6" spans="1:19" x14ac:dyDescent="0.25">
      <c r="A6" s="74" t="str">
        <f>+IF(FromProposal[[#This Row],[Cost Code]]&lt;&gt;0,+'Gnatt Chart'!$A$2,"")</f>
        <v xml:space="preserve">AvilaCRI </v>
      </c>
      <c r="B6" s="72">
        <v>2</v>
      </c>
      <c r="C6" s="74" t="s">
        <v>245</v>
      </c>
      <c r="D6" s="74" t="s">
        <v>246</v>
      </c>
      <c r="E6" s="74" t="s">
        <v>247</v>
      </c>
      <c r="F6" s="74">
        <v>0</v>
      </c>
      <c r="G6" s="333">
        <v>10505.74</v>
      </c>
      <c r="H6" s="333">
        <v>0</v>
      </c>
      <c r="I6" s="284" t="s">
        <v>45</v>
      </c>
      <c r="J6" s="70">
        <v>4</v>
      </c>
      <c r="K6" s="302">
        <v>45218</v>
      </c>
      <c r="L6" s="70"/>
      <c r="M6" s="301">
        <v>10505.74</v>
      </c>
      <c r="N6" s="71"/>
    </row>
    <row r="7" spans="1:19" x14ac:dyDescent="0.25">
      <c r="A7" s="74" t="str">
        <f>+IF(FromProposal[[#This Row],[Cost Code]]&lt;&gt;0,+'Gnatt Chart'!$A$2,"")</f>
        <v xml:space="preserve">AvilaCRI </v>
      </c>
      <c r="B7" s="72">
        <v>3</v>
      </c>
      <c r="C7" s="74" t="s">
        <v>245</v>
      </c>
      <c r="D7" s="74" t="s">
        <v>248</v>
      </c>
      <c r="E7" s="74" t="s">
        <v>248</v>
      </c>
      <c r="F7" s="74">
        <v>0</v>
      </c>
      <c r="G7" s="333">
        <v>9940</v>
      </c>
      <c r="H7" s="333">
        <v>0</v>
      </c>
      <c r="I7" s="284"/>
      <c r="J7" s="70">
        <v>4</v>
      </c>
      <c r="K7" s="302">
        <v>45226</v>
      </c>
      <c r="L7" s="70"/>
      <c r="M7" s="301">
        <v>9940</v>
      </c>
      <c r="N7" s="71"/>
    </row>
    <row r="8" spans="1:19" x14ac:dyDescent="0.25">
      <c r="A8" s="74" t="str">
        <f>+IF(FromProposal[[#This Row],[Cost Code]]&lt;&gt;0,+'Gnatt Chart'!$A$2,"")</f>
        <v/>
      </c>
      <c r="B8" s="72">
        <v>4</v>
      </c>
      <c r="D8" s="74" t="s">
        <v>249</v>
      </c>
      <c r="E8" s="74" t="s">
        <v>250</v>
      </c>
      <c r="F8" s="74">
        <v>6</v>
      </c>
      <c r="G8" s="333"/>
      <c r="H8" s="333"/>
      <c r="I8" s="284"/>
      <c r="J8" s="70">
        <v>5</v>
      </c>
      <c r="K8" s="302"/>
      <c r="L8" s="70"/>
      <c r="M8" s="301"/>
      <c r="N8" s="71"/>
    </row>
    <row r="9" spans="1:19" x14ac:dyDescent="0.25">
      <c r="A9" s="74" t="str">
        <f>+IF(FromProposal[[#This Row],[Cost Code]]&lt;&gt;0,+'Gnatt Chart'!$A$2,"")</f>
        <v xml:space="preserve">AvilaCRI </v>
      </c>
      <c r="B9" s="72">
        <v>5</v>
      </c>
      <c r="C9" s="74" t="s">
        <v>251</v>
      </c>
      <c r="D9" s="74" t="s">
        <v>252</v>
      </c>
      <c r="E9" s="74" t="s">
        <v>251</v>
      </c>
      <c r="F9" s="74">
        <v>0</v>
      </c>
      <c r="G9" s="333">
        <v>0</v>
      </c>
      <c r="H9" s="333">
        <v>0</v>
      </c>
      <c r="I9" s="284"/>
      <c r="J9" s="70">
        <v>0</v>
      </c>
      <c r="K9" s="302"/>
      <c r="L9" s="70"/>
      <c r="M9" s="301"/>
      <c r="N9" s="71"/>
    </row>
    <row r="10" spans="1:19" x14ac:dyDescent="0.25">
      <c r="A10" s="74" t="str">
        <f>+IF(FromProposal[[#This Row],[Cost Code]]&lt;&gt;0,+'Gnatt Chart'!$A$2,"")</f>
        <v xml:space="preserve">AvilaCRI </v>
      </c>
      <c r="B10" s="72">
        <v>6</v>
      </c>
      <c r="C10" s="74" t="s">
        <v>253</v>
      </c>
      <c r="D10" s="74" t="s">
        <v>252</v>
      </c>
      <c r="E10" s="74" t="s">
        <v>254</v>
      </c>
      <c r="F10" s="74">
        <v>0</v>
      </c>
      <c r="G10" s="333">
        <v>0</v>
      </c>
      <c r="H10" s="333">
        <v>0</v>
      </c>
      <c r="I10" s="284"/>
      <c r="J10" s="70">
        <v>0</v>
      </c>
      <c r="K10" s="302"/>
      <c r="L10" s="70">
        <v>5</v>
      </c>
      <c r="M10" s="301"/>
      <c r="N10" s="71"/>
    </row>
    <row r="11" spans="1:19" x14ac:dyDescent="0.25">
      <c r="A11" s="74" t="str">
        <f>+IF(FromProposal[[#This Row],[Cost Code]]&lt;&gt;0,+'Gnatt Chart'!$A$2,"")</f>
        <v xml:space="preserve">AvilaCRI </v>
      </c>
      <c r="B11" s="72">
        <v>7</v>
      </c>
      <c r="C11" s="74" t="s">
        <v>255</v>
      </c>
      <c r="D11" s="74" t="s">
        <v>252</v>
      </c>
      <c r="E11" s="74" t="s">
        <v>256</v>
      </c>
      <c r="F11" s="74">
        <v>0</v>
      </c>
      <c r="G11" s="333">
        <v>0</v>
      </c>
      <c r="H11" s="333">
        <v>0</v>
      </c>
      <c r="I11" s="284"/>
      <c r="J11" s="70">
        <v>0</v>
      </c>
      <c r="K11" s="302"/>
      <c r="L11" s="70"/>
      <c r="M11" s="301"/>
      <c r="N11" s="71"/>
    </row>
    <row r="12" spans="1:19" x14ac:dyDescent="0.25">
      <c r="A12" s="74" t="str">
        <f>+IF(FromProposal[[#This Row],[Cost Code]]&lt;&gt;0,+'Gnatt Chart'!$A$2,"")</f>
        <v xml:space="preserve">AvilaCRI </v>
      </c>
      <c r="B12" s="72">
        <v>8</v>
      </c>
      <c r="C12" s="74" t="s">
        <v>257</v>
      </c>
      <c r="D12" s="74" t="s">
        <v>252</v>
      </c>
      <c r="E12" s="74" t="s">
        <v>258</v>
      </c>
      <c r="F12" s="74">
        <v>0</v>
      </c>
      <c r="G12" s="333">
        <v>0</v>
      </c>
      <c r="H12" s="333">
        <v>0</v>
      </c>
      <c r="I12" s="284"/>
      <c r="J12" s="70">
        <v>0</v>
      </c>
      <c r="K12" s="302"/>
      <c r="L12" s="70"/>
      <c r="M12" s="301"/>
      <c r="N12" s="71"/>
    </row>
    <row r="13" spans="1:19" x14ac:dyDescent="0.25">
      <c r="A13" s="74" t="str">
        <f>+IF(FromProposal[[#This Row],[Cost Code]]&lt;&gt;0,+'Gnatt Chart'!$A$2,"")</f>
        <v xml:space="preserve">AvilaCRI </v>
      </c>
      <c r="B13" s="72">
        <v>9</v>
      </c>
      <c r="C13" s="74" t="s">
        <v>259</v>
      </c>
      <c r="D13" s="74" t="s">
        <v>252</v>
      </c>
      <c r="E13" s="74" t="s">
        <v>260</v>
      </c>
      <c r="F13" s="74">
        <v>0</v>
      </c>
      <c r="G13" s="333">
        <v>0</v>
      </c>
      <c r="H13" s="333">
        <v>0</v>
      </c>
      <c r="I13" s="284" t="s">
        <v>45</v>
      </c>
      <c r="J13" s="70">
        <v>0</v>
      </c>
      <c r="K13" s="302"/>
      <c r="L13" s="70"/>
      <c r="M13" s="301"/>
      <c r="N13" s="71"/>
    </row>
    <row r="14" spans="1:19" x14ac:dyDescent="0.25">
      <c r="A14" s="74" t="str">
        <f>+IF(FromProposal[[#This Row],[Cost Code]]&lt;&gt;0,+'Gnatt Chart'!$A$2,"")</f>
        <v xml:space="preserve">AvilaCRI </v>
      </c>
      <c r="B14" s="72">
        <v>10</v>
      </c>
      <c r="C14" s="74" t="s">
        <v>261</v>
      </c>
      <c r="D14" s="74" t="s">
        <v>262</v>
      </c>
      <c r="E14" s="74" t="s">
        <v>263</v>
      </c>
      <c r="F14" s="74">
        <v>1</v>
      </c>
      <c r="G14" s="332">
        <v>3800</v>
      </c>
      <c r="H14" s="332">
        <v>3800</v>
      </c>
      <c r="I14" s="284" t="s">
        <v>45</v>
      </c>
      <c r="J14" s="70">
        <v>1</v>
      </c>
      <c r="K14" s="302">
        <v>45213</v>
      </c>
      <c r="L14" s="70">
        <v>1</v>
      </c>
      <c r="M14" s="301"/>
      <c r="N14" s="71"/>
    </row>
    <row r="15" spans="1:19" x14ac:dyDescent="0.25">
      <c r="A15" s="74" t="str">
        <f>+IF(FromProposal[[#This Row],[Cost Code]]&lt;&gt;0,+'Gnatt Chart'!$A$2,"")</f>
        <v xml:space="preserve">AvilaCRI </v>
      </c>
      <c r="B15" s="72">
        <v>11</v>
      </c>
      <c r="C15" s="74" t="s">
        <v>261</v>
      </c>
      <c r="E15" s="74" t="s">
        <v>264</v>
      </c>
      <c r="F15" s="74">
        <v>0</v>
      </c>
      <c r="G15" s="333"/>
      <c r="H15" s="333"/>
      <c r="I15" s="284" t="s">
        <v>45</v>
      </c>
      <c r="J15" s="70">
        <v>1</v>
      </c>
      <c r="K15" s="302">
        <v>45213</v>
      </c>
      <c r="L15" s="70">
        <v>1</v>
      </c>
      <c r="M15" s="301"/>
      <c r="N15" s="71"/>
    </row>
    <row r="16" spans="1:19" x14ac:dyDescent="0.25">
      <c r="A16" s="74" t="str">
        <f>+IF(FromProposal[[#This Row],[Cost Code]]&lt;&gt;0,+'Gnatt Chart'!$A$2,"")</f>
        <v xml:space="preserve">AvilaCRI </v>
      </c>
      <c r="B16" s="72">
        <v>12</v>
      </c>
      <c r="C16" s="74" t="s">
        <v>261</v>
      </c>
      <c r="E16" s="74" t="s">
        <v>265</v>
      </c>
      <c r="F16" s="74">
        <v>0</v>
      </c>
      <c r="G16" s="333"/>
      <c r="H16" s="333"/>
      <c r="I16" s="284" t="s">
        <v>45</v>
      </c>
      <c r="J16" s="70">
        <v>1</v>
      </c>
      <c r="K16" s="302">
        <v>45213</v>
      </c>
      <c r="L16" s="70">
        <v>1</v>
      </c>
      <c r="M16" s="301"/>
      <c r="N16" s="71"/>
    </row>
    <row r="17" spans="1:14" x14ac:dyDescent="0.25">
      <c r="A17" s="74" t="str">
        <f>+IF(FromProposal[[#This Row],[Cost Code]]&lt;&gt;0,+'Gnatt Chart'!$A$2,"")</f>
        <v xml:space="preserve">AvilaCRI </v>
      </c>
      <c r="B17" s="72">
        <v>13</v>
      </c>
      <c r="C17" s="74" t="s">
        <v>266</v>
      </c>
      <c r="E17" s="74" t="s">
        <v>267</v>
      </c>
      <c r="F17" s="74">
        <v>1</v>
      </c>
      <c r="G17" s="333">
        <v>4950</v>
      </c>
      <c r="H17" s="333">
        <v>4950</v>
      </c>
      <c r="I17" s="284" t="s">
        <v>45</v>
      </c>
      <c r="J17" s="70">
        <v>1</v>
      </c>
      <c r="K17" s="302">
        <v>45216</v>
      </c>
      <c r="L17" s="70">
        <v>7</v>
      </c>
      <c r="M17" s="301"/>
      <c r="N17" s="71"/>
    </row>
    <row r="18" spans="1:14" x14ac:dyDescent="0.25">
      <c r="A18" s="74" t="str">
        <f>+IF(FromProposal[[#This Row],[Cost Code]]&lt;&gt;0,+'Gnatt Chart'!$A$2,"")</f>
        <v xml:space="preserve">AvilaCRI </v>
      </c>
      <c r="B18" s="72">
        <v>14</v>
      </c>
      <c r="C18" s="74" t="s">
        <v>268</v>
      </c>
      <c r="E18" s="74" t="s">
        <v>269</v>
      </c>
      <c r="F18" s="74">
        <v>1</v>
      </c>
      <c r="G18" s="333">
        <v>590</v>
      </c>
      <c r="H18" s="333">
        <v>590</v>
      </c>
      <c r="I18" s="284"/>
      <c r="J18" s="70">
        <v>1</v>
      </c>
      <c r="K18" s="302"/>
      <c r="L18" s="70">
        <v>1</v>
      </c>
      <c r="M18" s="301"/>
      <c r="N18" s="71"/>
    </row>
    <row r="19" spans="1:14" x14ac:dyDescent="0.25">
      <c r="A19" s="74" t="str">
        <f>+IF(FromProposal[[#This Row],[Cost Code]]&lt;&gt;0,+'Gnatt Chart'!$A$2,"")</f>
        <v xml:space="preserve">AvilaCRI </v>
      </c>
      <c r="B19" s="72">
        <v>15</v>
      </c>
      <c r="C19" s="74" t="s">
        <v>253</v>
      </c>
      <c r="D19" s="74" t="s">
        <v>270</v>
      </c>
      <c r="E19" s="74" t="s">
        <v>271</v>
      </c>
      <c r="F19" s="74">
        <v>1</v>
      </c>
      <c r="G19" s="333">
        <v>3790</v>
      </c>
      <c r="H19" s="333">
        <v>3790</v>
      </c>
      <c r="I19" s="284" t="s">
        <v>8</v>
      </c>
      <c r="J19" s="70">
        <v>1</v>
      </c>
      <c r="K19" s="302">
        <v>45226</v>
      </c>
      <c r="L19" s="70">
        <v>2</v>
      </c>
      <c r="M19" s="301"/>
      <c r="N19" s="71"/>
    </row>
    <row r="20" spans="1:14" x14ac:dyDescent="0.25">
      <c r="A20" s="74" t="str">
        <f>+IF(FromProposal[[#This Row],[Cost Code]]&lt;&gt;0,+'Gnatt Chart'!$A$2,"")</f>
        <v xml:space="preserve">AvilaCRI </v>
      </c>
      <c r="B20" s="72">
        <v>16</v>
      </c>
      <c r="C20" s="74" t="s">
        <v>253</v>
      </c>
      <c r="E20" s="74" t="s">
        <v>272</v>
      </c>
      <c r="G20" s="333"/>
      <c r="H20" s="333"/>
      <c r="I20" s="284"/>
      <c r="J20" s="70">
        <v>1</v>
      </c>
      <c r="K20" s="302"/>
      <c r="L20" s="70"/>
      <c r="M20" s="301"/>
      <c r="N20" s="71"/>
    </row>
    <row r="21" spans="1:14" x14ac:dyDescent="0.25">
      <c r="A21" s="74" t="str">
        <f>+IF(FromProposal[[#This Row],[Cost Code]]&lt;&gt;0,+'Gnatt Chart'!$A$2,"")</f>
        <v xml:space="preserve">AvilaCRI </v>
      </c>
      <c r="B21" s="72">
        <v>17</v>
      </c>
      <c r="C21" s="74" t="s">
        <v>253</v>
      </c>
      <c r="E21" s="74" t="s">
        <v>273</v>
      </c>
      <c r="G21" s="333"/>
      <c r="H21" s="333"/>
      <c r="I21" s="284"/>
      <c r="J21" s="70">
        <v>1</v>
      </c>
      <c r="K21" s="302"/>
      <c r="L21" s="70"/>
      <c r="M21" s="301"/>
      <c r="N21" s="71"/>
    </row>
    <row r="22" spans="1:14" x14ac:dyDescent="0.25">
      <c r="A22" s="74" t="str">
        <f>+IF(FromProposal[[#This Row],[Cost Code]]&lt;&gt;0,+'Gnatt Chart'!$A$2,"")</f>
        <v xml:space="preserve">AvilaCRI </v>
      </c>
      <c r="B22" s="72">
        <v>18</v>
      </c>
      <c r="C22" s="74" t="s">
        <v>253</v>
      </c>
      <c r="D22" s="74" t="s">
        <v>274</v>
      </c>
      <c r="E22" s="74" t="s">
        <v>275</v>
      </c>
      <c r="F22" s="74">
        <v>1</v>
      </c>
      <c r="G22" s="333">
        <v>1200</v>
      </c>
      <c r="H22" s="333">
        <v>1200</v>
      </c>
      <c r="I22" s="284" t="s">
        <v>45</v>
      </c>
      <c r="J22" s="70">
        <v>1</v>
      </c>
      <c r="K22" s="302">
        <v>45225</v>
      </c>
      <c r="L22" s="70">
        <v>1</v>
      </c>
      <c r="M22" s="301"/>
      <c r="N22" s="71"/>
    </row>
    <row r="23" spans="1:14" x14ac:dyDescent="0.25">
      <c r="A23" s="74" t="str">
        <f>+IF(FromProposal[[#This Row],[Cost Code]]&lt;&gt;0,+'Gnatt Chart'!$A$2,"")</f>
        <v xml:space="preserve">AvilaCRI </v>
      </c>
      <c r="B23" s="72">
        <v>19</v>
      </c>
      <c r="C23" s="74" t="s">
        <v>259</v>
      </c>
      <c r="D23" s="74" t="s">
        <v>276</v>
      </c>
      <c r="E23" s="74" t="s">
        <v>277</v>
      </c>
      <c r="F23" s="74">
        <v>1</v>
      </c>
      <c r="G23" s="333">
        <v>3190</v>
      </c>
      <c r="H23" s="333">
        <v>3190</v>
      </c>
      <c r="I23" s="284" t="s">
        <v>45</v>
      </c>
      <c r="J23" s="70">
        <v>1</v>
      </c>
      <c r="K23" s="302">
        <v>45219</v>
      </c>
      <c r="L23" s="70">
        <v>1</v>
      </c>
      <c r="M23" s="301"/>
      <c r="N23" s="71" t="s">
        <v>366</v>
      </c>
    </row>
    <row r="24" spans="1:14" x14ac:dyDescent="0.25">
      <c r="A24" s="74" t="str">
        <f>+IF(FromProposal[[#This Row],[Cost Code]]&lt;&gt;0,+'Gnatt Chart'!$A$2,"")</f>
        <v xml:space="preserve">AvilaCRI </v>
      </c>
      <c r="B24" s="72">
        <v>20</v>
      </c>
      <c r="C24" s="74" t="s">
        <v>259</v>
      </c>
      <c r="D24" s="74" t="s">
        <v>276</v>
      </c>
      <c r="E24" s="74" t="s">
        <v>278</v>
      </c>
      <c r="F24" s="74">
        <v>0</v>
      </c>
      <c r="G24" s="333"/>
      <c r="H24" s="333"/>
      <c r="I24" s="284"/>
      <c r="J24" s="70">
        <v>1</v>
      </c>
      <c r="K24" s="302"/>
      <c r="L24" s="70"/>
      <c r="M24" s="301"/>
      <c r="N24" s="71"/>
    </row>
    <row r="25" spans="1:14" x14ac:dyDescent="0.25">
      <c r="A25" s="74" t="str">
        <f>+IF(FromProposal[[#This Row],[Cost Code]]&lt;&gt;0,+'Gnatt Chart'!$A$2,"")</f>
        <v xml:space="preserve">AvilaCRI </v>
      </c>
      <c r="B25" s="72">
        <v>21</v>
      </c>
      <c r="C25" s="74" t="s">
        <v>259</v>
      </c>
      <c r="D25" s="74" t="s">
        <v>279</v>
      </c>
      <c r="E25" s="74" t="s">
        <v>280</v>
      </c>
      <c r="F25" s="74">
        <v>1</v>
      </c>
      <c r="G25" s="333">
        <v>4345</v>
      </c>
      <c r="H25" s="333">
        <v>4345</v>
      </c>
      <c r="I25" s="284" t="s">
        <v>45</v>
      </c>
      <c r="J25" s="70">
        <v>2</v>
      </c>
      <c r="K25" s="302">
        <v>45219</v>
      </c>
      <c r="L25" s="70"/>
      <c r="M25" s="301"/>
      <c r="N25" s="71"/>
    </row>
    <row r="26" spans="1:14" x14ac:dyDescent="0.25">
      <c r="A26" s="74" t="str">
        <f>+IF(FromProposal[[#This Row],[Cost Code]]&lt;&gt;0,+'Gnatt Chart'!$A$2,"")</f>
        <v xml:space="preserve">AvilaCRI </v>
      </c>
      <c r="B26" s="72">
        <v>22</v>
      </c>
      <c r="C26" s="74" t="s">
        <v>281</v>
      </c>
      <c r="D26" s="74" t="s">
        <v>282</v>
      </c>
      <c r="E26" s="316" t="s">
        <v>281</v>
      </c>
      <c r="F26" s="316">
        <v>1</v>
      </c>
      <c r="G26" s="334">
        <v>4252.5</v>
      </c>
      <c r="H26" s="334">
        <v>4252.5</v>
      </c>
      <c r="I26" s="284" t="s">
        <v>45</v>
      </c>
      <c r="J26" s="70">
        <v>1</v>
      </c>
      <c r="K26" s="302">
        <v>45229</v>
      </c>
      <c r="L26" s="70">
        <v>7</v>
      </c>
      <c r="M26" s="301"/>
      <c r="N26" s="71"/>
    </row>
    <row r="27" spans="1:14" x14ac:dyDescent="0.25">
      <c r="A27" s="74" t="str">
        <f>+IF(FromProposal[[#This Row],[Cost Code]]&lt;&gt;0,+'Gnatt Chart'!$A$2,"")</f>
        <v xml:space="preserve">AvilaCRI </v>
      </c>
      <c r="B27" s="72">
        <v>23</v>
      </c>
      <c r="C27" s="74" t="s">
        <v>281</v>
      </c>
      <c r="D27" s="74" t="s">
        <v>282</v>
      </c>
      <c r="E27" s="74" t="s">
        <v>283</v>
      </c>
      <c r="F27" s="74">
        <v>1</v>
      </c>
      <c r="G27" s="333"/>
      <c r="H27" s="333"/>
      <c r="I27" s="284"/>
      <c r="J27" s="70">
        <v>1</v>
      </c>
      <c r="K27" s="302">
        <v>45229</v>
      </c>
      <c r="L27" s="70"/>
      <c r="M27" s="301"/>
      <c r="N27" s="71"/>
    </row>
    <row r="28" spans="1:14" x14ac:dyDescent="0.25">
      <c r="A28" s="74" t="str">
        <f>+IF(FromProposal[[#This Row],[Cost Code]]&lt;&gt;0,+'Gnatt Chart'!$A$2,"")</f>
        <v xml:space="preserve">AvilaCRI </v>
      </c>
      <c r="B28" s="72">
        <v>24</v>
      </c>
      <c r="C28" s="74" t="s">
        <v>281</v>
      </c>
      <c r="D28" s="74" t="s">
        <v>282</v>
      </c>
      <c r="E28" s="74" t="s">
        <v>284</v>
      </c>
      <c r="F28" s="74">
        <v>1</v>
      </c>
      <c r="G28" s="333"/>
      <c r="H28" s="333"/>
      <c r="I28" s="284"/>
      <c r="J28" s="70">
        <v>1</v>
      </c>
      <c r="K28" s="302">
        <v>45229</v>
      </c>
      <c r="L28" s="70"/>
      <c r="M28" s="301"/>
      <c r="N28" s="71"/>
    </row>
    <row r="29" spans="1:14" x14ac:dyDescent="0.25">
      <c r="A29" s="74" t="str">
        <f>+IF(FromProposal[[#This Row],[Cost Code]]&lt;&gt;0,+'Gnatt Chart'!$A$2,"")</f>
        <v xml:space="preserve">AvilaCRI </v>
      </c>
      <c r="B29" s="72">
        <v>25</v>
      </c>
      <c r="C29" s="74" t="s">
        <v>281</v>
      </c>
      <c r="D29" s="74" t="s">
        <v>282</v>
      </c>
      <c r="E29" s="74" t="s">
        <v>285</v>
      </c>
      <c r="F29" s="74">
        <v>1</v>
      </c>
      <c r="G29" s="333"/>
      <c r="H29" s="333"/>
      <c r="I29" s="284"/>
      <c r="J29" s="70">
        <v>1</v>
      </c>
      <c r="K29" s="302">
        <v>45229</v>
      </c>
      <c r="L29" s="70"/>
      <c r="M29" s="301"/>
      <c r="N29" s="71"/>
    </row>
    <row r="30" spans="1:14" x14ac:dyDescent="0.25">
      <c r="A30" s="74" t="str">
        <f>+IF(FromProposal[[#This Row],[Cost Code]]&lt;&gt;0,+'Gnatt Chart'!$A$2,"")</f>
        <v xml:space="preserve">AvilaCRI </v>
      </c>
      <c r="B30" s="72">
        <v>26</v>
      </c>
      <c r="C30" s="74" t="s">
        <v>281</v>
      </c>
      <c r="D30" s="74" t="s">
        <v>282</v>
      </c>
      <c r="E30" s="74" t="s">
        <v>286</v>
      </c>
      <c r="F30" s="74">
        <v>1</v>
      </c>
      <c r="G30" s="333"/>
      <c r="H30" s="333"/>
      <c r="I30" s="284"/>
      <c r="J30" s="70">
        <v>1</v>
      </c>
      <c r="K30" s="302">
        <v>45229</v>
      </c>
      <c r="L30" s="70"/>
      <c r="M30" s="301"/>
      <c r="N30" s="71"/>
    </row>
    <row r="31" spans="1:14" x14ac:dyDescent="0.25">
      <c r="A31" s="74" t="str">
        <f>+IF(FromProposal[[#This Row],[Cost Code]]&lt;&gt;0,+'Gnatt Chart'!$A$2,"")</f>
        <v xml:space="preserve">AvilaCRI </v>
      </c>
      <c r="B31" s="72">
        <v>27</v>
      </c>
      <c r="C31" s="74" t="s">
        <v>281</v>
      </c>
      <c r="D31" s="74" t="s">
        <v>282</v>
      </c>
      <c r="E31" s="74" t="s">
        <v>287</v>
      </c>
      <c r="F31" s="74">
        <v>1</v>
      </c>
      <c r="G31" s="333"/>
      <c r="H31" s="333"/>
      <c r="I31" s="284"/>
      <c r="J31" s="70">
        <v>1</v>
      </c>
      <c r="K31" s="302">
        <v>45229</v>
      </c>
      <c r="L31" s="70"/>
      <c r="M31" s="301"/>
      <c r="N31" s="71"/>
    </row>
    <row r="32" spans="1:14" x14ac:dyDescent="0.25">
      <c r="A32" s="74" t="str">
        <f>+IF(FromProposal[[#This Row],[Cost Code]]&lt;&gt;0,+'Gnatt Chart'!$A$2,"")</f>
        <v xml:space="preserve">AvilaCRI </v>
      </c>
      <c r="B32" s="72">
        <v>28</v>
      </c>
      <c r="C32" s="74" t="s">
        <v>281</v>
      </c>
      <c r="D32" s="74" t="s">
        <v>282</v>
      </c>
      <c r="E32" s="74" t="s">
        <v>288</v>
      </c>
      <c r="F32" s="74">
        <v>1</v>
      </c>
      <c r="G32" s="333"/>
      <c r="H32" s="333"/>
      <c r="I32" s="284"/>
      <c r="J32" s="70">
        <v>1</v>
      </c>
      <c r="K32" s="302">
        <v>45229</v>
      </c>
      <c r="L32" s="70"/>
      <c r="M32" s="301"/>
      <c r="N32" s="71"/>
    </row>
    <row r="33" spans="1:14" x14ac:dyDescent="0.25">
      <c r="A33" s="74" t="str">
        <f>+IF(FromProposal[[#This Row],[Cost Code]]&lt;&gt;0,+'Gnatt Chart'!$A$2,"")</f>
        <v xml:space="preserve">AvilaCRI </v>
      </c>
      <c r="B33" s="72">
        <v>29</v>
      </c>
      <c r="C33" s="74" t="s">
        <v>281</v>
      </c>
      <c r="D33" s="74" t="s">
        <v>282</v>
      </c>
      <c r="E33" s="74" t="s">
        <v>289</v>
      </c>
      <c r="F33" s="74">
        <v>1</v>
      </c>
      <c r="G33" s="333"/>
      <c r="H33" s="333"/>
      <c r="I33" s="284"/>
      <c r="J33" s="70">
        <v>1</v>
      </c>
      <c r="K33" s="302">
        <v>45229</v>
      </c>
      <c r="L33" s="70"/>
      <c r="M33" s="301"/>
      <c r="N33" s="71"/>
    </row>
    <row r="34" spans="1:14" x14ac:dyDescent="0.25">
      <c r="A34" s="74" t="str">
        <f>+IF(FromProposal[[#This Row],[Cost Code]]&lt;&gt;0,+'Gnatt Chart'!$A$2,"")</f>
        <v xml:space="preserve">AvilaCRI </v>
      </c>
      <c r="B34" s="72">
        <v>30</v>
      </c>
      <c r="C34" s="74" t="s">
        <v>281</v>
      </c>
      <c r="D34" s="74" t="s">
        <v>282</v>
      </c>
      <c r="E34" s="74" t="s">
        <v>290</v>
      </c>
      <c r="F34" s="74">
        <v>1</v>
      </c>
      <c r="G34" s="333"/>
      <c r="H34" s="333"/>
      <c r="I34" s="284"/>
      <c r="J34" s="70">
        <v>1</v>
      </c>
      <c r="K34" s="302">
        <v>45229</v>
      </c>
      <c r="L34" s="70"/>
      <c r="M34" s="301"/>
      <c r="N34" s="71"/>
    </row>
    <row r="35" spans="1:14" x14ac:dyDescent="0.25">
      <c r="A35" s="74" t="str">
        <f>+IF(FromProposal[[#This Row],[Cost Code]]&lt;&gt;0,+'Gnatt Chart'!$A$2,"")</f>
        <v xml:space="preserve">AvilaCRI </v>
      </c>
      <c r="B35" s="72">
        <v>31</v>
      </c>
      <c r="C35" s="74" t="s">
        <v>281</v>
      </c>
      <c r="D35" s="74" t="s">
        <v>282</v>
      </c>
      <c r="E35" s="74" t="s">
        <v>291</v>
      </c>
      <c r="F35" s="74">
        <v>1</v>
      </c>
      <c r="G35" s="333"/>
      <c r="H35" s="333"/>
      <c r="I35" s="284"/>
      <c r="J35" s="70">
        <v>1</v>
      </c>
      <c r="K35" s="302">
        <v>45229</v>
      </c>
      <c r="L35" s="70"/>
      <c r="M35" s="301"/>
      <c r="N35" s="71"/>
    </row>
    <row r="36" spans="1:14" x14ac:dyDescent="0.25">
      <c r="A36" s="74" t="str">
        <f>+IF(FromProposal[[#This Row],[Cost Code]]&lt;&gt;0,+'Gnatt Chart'!$A$2,"")</f>
        <v xml:space="preserve">AvilaCRI </v>
      </c>
      <c r="B36" s="72">
        <v>32</v>
      </c>
      <c r="C36" s="74" t="s">
        <v>281</v>
      </c>
      <c r="D36" s="74" t="s">
        <v>282</v>
      </c>
      <c r="E36" s="74" t="s">
        <v>292</v>
      </c>
      <c r="F36" s="74">
        <v>1</v>
      </c>
      <c r="G36" s="333"/>
      <c r="H36" s="333"/>
      <c r="I36" s="284"/>
      <c r="J36" s="70">
        <v>1</v>
      </c>
      <c r="K36" s="302">
        <v>45229</v>
      </c>
      <c r="L36" s="70"/>
      <c r="M36" s="301"/>
      <c r="N36" s="71"/>
    </row>
    <row r="37" spans="1:14" x14ac:dyDescent="0.25">
      <c r="A37" s="74" t="str">
        <f>+IF(FromProposal[[#This Row],[Cost Code]]&lt;&gt;0,+'Gnatt Chart'!$A$2,"")</f>
        <v xml:space="preserve">AvilaCRI </v>
      </c>
      <c r="B37" s="72">
        <v>33</v>
      </c>
      <c r="C37" s="74" t="s">
        <v>281</v>
      </c>
      <c r="D37" s="74" t="s">
        <v>282</v>
      </c>
      <c r="E37" s="74" t="s">
        <v>293</v>
      </c>
      <c r="F37" s="74">
        <v>1</v>
      </c>
      <c r="G37" s="333"/>
      <c r="H37" s="333"/>
      <c r="I37" s="284"/>
      <c r="J37" s="70">
        <v>1</v>
      </c>
      <c r="K37" s="302">
        <v>45229</v>
      </c>
      <c r="L37" s="70"/>
      <c r="M37" s="301"/>
      <c r="N37" s="71"/>
    </row>
    <row r="38" spans="1:14" x14ac:dyDescent="0.25">
      <c r="A38" s="74" t="str">
        <f>+IF(FromProposal[[#This Row],[Cost Code]]&lt;&gt;0,+'Gnatt Chart'!$A$2,"")</f>
        <v xml:space="preserve">AvilaCRI </v>
      </c>
      <c r="B38" s="72">
        <v>34</v>
      </c>
      <c r="C38" s="74" t="s">
        <v>281</v>
      </c>
      <c r="D38" s="74" t="s">
        <v>282</v>
      </c>
      <c r="E38" s="74" t="s">
        <v>294</v>
      </c>
      <c r="F38" s="74">
        <v>1</v>
      </c>
      <c r="G38" s="333"/>
      <c r="H38" s="333"/>
      <c r="I38" s="284"/>
      <c r="J38" s="70">
        <v>1</v>
      </c>
      <c r="K38" s="302">
        <v>45229</v>
      </c>
      <c r="L38" s="70"/>
      <c r="M38" s="301"/>
      <c r="N38" s="71"/>
    </row>
    <row r="39" spans="1:14" x14ac:dyDescent="0.25">
      <c r="A39" s="74" t="str">
        <f>+IF(FromProposal[[#This Row],[Cost Code]]&lt;&gt;0,+'Gnatt Chart'!$A$2,"")</f>
        <v xml:space="preserve">AvilaCRI </v>
      </c>
      <c r="B39" s="72">
        <v>35</v>
      </c>
      <c r="C39" s="74" t="s">
        <v>281</v>
      </c>
      <c r="D39" s="74" t="s">
        <v>282</v>
      </c>
      <c r="E39" s="74" t="s">
        <v>295</v>
      </c>
      <c r="F39" s="74">
        <v>1</v>
      </c>
      <c r="G39" s="333"/>
      <c r="H39" s="333"/>
      <c r="I39" s="284"/>
      <c r="J39" s="70">
        <v>1</v>
      </c>
      <c r="K39" s="302">
        <v>45216</v>
      </c>
      <c r="L39" s="70">
        <v>1</v>
      </c>
      <c r="M39" s="301"/>
      <c r="N39" s="71"/>
    </row>
    <row r="40" spans="1:14" x14ac:dyDescent="0.25">
      <c r="A40" s="74" t="str">
        <f>+IF(FromProposal[[#This Row],[Cost Code]]&lt;&gt;0,+'Gnatt Chart'!$A$2,"")</f>
        <v xml:space="preserve">AvilaCRI </v>
      </c>
      <c r="B40" s="72">
        <v>36</v>
      </c>
      <c r="C40" s="74" t="s">
        <v>281</v>
      </c>
      <c r="D40" s="74" t="s">
        <v>296</v>
      </c>
      <c r="E40" s="74" t="s">
        <v>297</v>
      </c>
      <c r="F40" s="74">
        <v>1</v>
      </c>
      <c r="G40" s="333">
        <v>600</v>
      </c>
      <c r="H40" s="333">
        <v>600</v>
      </c>
      <c r="I40" s="284"/>
      <c r="J40" s="70">
        <v>2</v>
      </c>
      <c r="K40" s="302"/>
      <c r="L40" s="70"/>
      <c r="M40" s="301"/>
      <c r="N40" s="71"/>
    </row>
    <row r="41" spans="1:14" x14ac:dyDescent="0.25">
      <c r="A41" s="74" t="str">
        <f>+IF(FromProposal[[#This Row],[Cost Code]]&lt;&gt;0,+'Gnatt Chart'!$A$2,"")</f>
        <v xml:space="preserve">AvilaCRI </v>
      </c>
      <c r="B41" s="72">
        <v>37</v>
      </c>
      <c r="C41" s="74" t="s">
        <v>253</v>
      </c>
      <c r="D41" s="74" t="s">
        <v>298</v>
      </c>
      <c r="E41" s="74" t="s">
        <v>299</v>
      </c>
      <c r="F41" s="74">
        <v>1</v>
      </c>
      <c r="G41" s="333">
        <v>1800</v>
      </c>
      <c r="H41" s="333">
        <v>1800</v>
      </c>
      <c r="I41" s="284" t="s">
        <v>45</v>
      </c>
      <c r="J41" s="70">
        <v>2</v>
      </c>
      <c r="K41" s="302"/>
      <c r="L41" s="70"/>
      <c r="M41" s="301"/>
      <c r="N41" s="71"/>
    </row>
    <row r="42" spans="1:14" x14ac:dyDescent="0.25">
      <c r="A42" s="74" t="str">
        <f>+IF(FromProposal[[#This Row],[Cost Code]]&lt;&gt;0,+'Gnatt Chart'!$A$2,"")</f>
        <v xml:space="preserve">AvilaCRI </v>
      </c>
      <c r="B42" s="72">
        <v>38</v>
      </c>
      <c r="C42" s="74" t="s">
        <v>253</v>
      </c>
      <c r="D42" s="74" t="s">
        <v>300</v>
      </c>
      <c r="E42" s="74" t="s">
        <v>301</v>
      </c>
      <c r="F42" s="74">
        <v>1</v>
      </c>
      <c r="G42" s="333">
        <v>50</v>
      </c>
      <c r="H42" s="333">
        <v>50</v>
      </c>
      <c r="I42" s="284"/>
      <c r="J42" s="70">
        <v>2</v>
      </c>
      <c r="K42" s="302"/>
      <c r="L42" s="70"/>
      <c r="M42" s="301"/>
      <c r="N42" s="71"/>
    </row>
    <row r="43" spans="1:14" x14ac:dyDescent="0.25">
      <c r="A43" s="74" t="str">
        <f>+IF(FromProposal[[#This Row],[Cost Code]]&lt;&gt;0,+'Gnatt Chart'!$A$2,"")</f>
        <v xml:space="preserve">AvilaCRI </v>
      </c>
      <c r="B43" s="72">
        <v>39</v>
      </c>
      <c r="C43" s="74" t="s">
        <v>281</v>
      </c>
      <c r="D43" s="74" t="s">
        <v>302</v>
      </c>
      <c r="E43" s="74" t="s">
        <v>303</v>
      </c>
      <c r="F43" s="74">
        <v>1</v>
      </c>
      <c r="G43" s="333">
        <v>50</v>
      </c>
      <c r="H43" s="333">
        <v>50</v>
      </c>
      <c r="I43" s="284"/>
      <c r="J43" s="70">
        <v>2</v>
      </c>
      <c r="K43" s="302"/>
      <c r="L43" s="70"/>
      <c r="M43" s="301"/>
      <c r="N43" s="71"/>
    </row>
    <row r="44" spans="1:14" x14ac:dyDescent="0.25">
      <c r="A44" s="74" t="str">
        <f>+IF(FromProposal[[#This Row],[Cost Code]]&lt;&gt;0,+'Gnatt Chart'!$A$2,"")</f>
        <v xml:space="preserve">AvilaCRI </v>
      </c>
      <c r="B44" s="72">
        <v>40</v>
      </c>
      <c r="C44" s="74" t="s">
        <v>281</v>
      </c>
      <c r="D44" s="74" t="s">
        <v>304</v>
      </c>
      <c r="E44" s="74" t="s">
        <v>305</v>
      </c>
      <c r="F44" s="74">
        <v>1</v>
      </c>
      <c r="G44" s="333">
        <v>50</v>
      </c>
      <c r="H44" s="333">
        <v>50</v>
      </c>
      <c r="I44" s="284" t="s">
        <v>8</v>
      </c>
      <c r="J44" s="70">
        <v>2</v>
      </c>
      <c r="K44" s="302"/>
      <c r="L44" s="70"/>
      <c r="M44" s="301"/>
      <c r="N44" s="71"/>
    </row>
    <row r="45" spans="1:14" x14ac:dyDescent="0.25">
      <c r="A45" s="74" t="str">
        <f>+IF(FromProposal[[#This Row],[Cost Code]]&lt;&gt;0,+'Gnatt Chart'!$A$2,"")</f>
        <v xml:space="preserve">AvilaCRI </v>
      </c>
      <c r="B45" s="72">
        <v>41</v>
      </c>
      <c r="C45" s="74" t="s">
        <v>253</v>
      </c>
      <c r="D45" s="74" t="s">
        <v>306</v>
      </c>
      <c r="E45" s="74" t="s">
        <v>307</v>
      </c>
      <c r="F45" s="74">
        <v>1</v>
      </c>
      <c r="G45" s="333">
        <v>2980.24</v>
      </c>
      <c r="H45" s="333">
        <v>2980.24</v>
      </c>
      <c r="I45" s="284" t="s">
        <v>45</v>
      </c>
      <c r="J45" s="70">
        <v>2</v>
      </c>
      <c r="K45" s="302"/>
      <c r="L45" s="70"/>
      <c r="M45" s="301"/>
      <c r="N45" s="71"/>
    </row>
    <row r="46" spans="1:14" x14ac:dyDescent="0.25">
      <c r="A46" s="74" t="str">
        <f>+IF(FromProposal[[#This Row],[Cost Code]]&lt;&gt;0,+'Gnatt Chart'!$A$2,"")</f>
        <v xml:space="preserve">AvilaCRI </v>
      </c>
      <c r="B46" s="72">
        <v>42</v>
      </c>
      <c r="C46" s="74" t="s">
        <v>266</v>
      </c>
      <c r="D46" s="74" t="s">
        <v>308</v>
      </c>
      <c r="E46" s="74" t="s">
        <v>309</v>
      </c>
      <c r="F46" s="74">
        <v>1</v>
      </c>
      <c r="G46" s="333">
        <v>294</v>
      </c>
      <c r="H46" s="333">
        <v>294</v>
      </c>
      <c r="I46" s="284" t="s">
        <v>8</v>
      </c>
      <c r="J46" s="70">
        <v>2</v>
      </c>
      <c r="K46" s="302"/>
      <c r="L46" s="70"/>
      <c r="M46" s="301"/>
      <c r="N46" s="71"/>
    </row>
    <row r="47" spans="1:14" x14ac:dyDescent="0.25">
      <c r="A47" s="74" t="str">
        <f>+IF(FromProposal[[#This Row],[Cost Code]]&lt;&gt;0,+'Gnatt Chart'!$A$2,"")</f>
        <v xml:space="preserve">AvilaCRI </v>
      </c>
      <c r="B47" s="72">
        <v>43</v>
      </c>
      <c r="C47" s="74" t="s">
        <v>281</v>
      </c>
      <c r="D47" s="74" t="s">
        <v>310</v>
      </c>
      <c r="E47" s="74" t="s">
        <v>311</v>
      </c>
      <c r="F47" s="74">
        <v>1</v>
      </c>
      <c r="G47" s="333"/>
      <c r="H47" s="333"/>
      <c r="I47" s="284"/>
      <c r="J47" s="70">
        <v>2</v>
      </c>
      <c r="K47" s="302"/>
      <c r="L47" s="70"/>
      <c r="M47" s="301"/>
      <c r="N47" s="71"/>
    </row>
    <row r="48" spans="1:14" x14ac:dyDescent="0.25">
      <c r="A48" s="74" t="str">
        <f>+IF(FromProposal[[#This Row],[Cost Code]]&lt;&gt;0,+'Gnatt Chart'!$A$2,"")</f>
        <v xml:space="preserve">AvilaCRI </v>
      </c>
      <c r="B48" s="72">
        <v>44</v>
      </c>
      <c r="C48" s="74" t="s">
        <v>259</v>
      </c>
      <c r="D48" s="74" t="s">
        <v>279</v>
      </c>
      <c r="E48" s="74" t="s">
        <v>312</v>
      </c>
      <c r="F48" s="74">
        <v>1</v>
      </c>
      <c r="G48" s="333">
        <v>-3190</v>
      </c>
      <c r="H48" s="333">
        <v>-3190</v>
      </c>
      <c r="I48" s="284" t="s">
        <v>45</v>
      </c>
      <c r="J48" s="70">
        <v>2</v>
      </c>
      <c r="K48" s="302">
        <v>45219</v>
      </c>
      <c r="L48" s="70"/>
      <c r="M48" s="301"/>
      <c r="N48" s="71"/>
    </row>
    <row r="49" spans="1:14" x14ac:dyDescent="0.25">
      <c r="A49" s="74" t="str">
        <f>+IF(FromProposal[[#This Row],[Cost Code]]&lt;&gt;0,+'Gnatt Chart'!$A$2,"")</f>
        <v xml:space="preserve">AvilaCRI </v>
      </c>
      <c r="B49" s="72">
        <v>45</v>
      </c>
      <c r="C49" s="74" t="s">
        <v>281</v>
      </c>
      <c r="D49" s="74" t="s">
        <v>313</v>
      </c>
      <c r="E49" s="74" t="s">
        <v>314</v>
      </c>
      <c r="F49" s="74">
        <v>1</v>
      </c>
      <c r="G49" s="333"/>
      <c r="H49" s="333"/>
      <c r="I49" s="284"/>
      <c r="J49" s="70">
        <v>2</v>
      </c>
      <c r="K49" s="302"/>
      <c r="L49" s="70"/>
      <c r="M49" s="301"/>
      <c r="N49" s="71"/>
    </row>
    <row r="50" spans="1:14" x14ac:dyDescent="0.25">
      <c r="A50" s="74" t="str">
        <f>+IF(FromProposal[[#This Row],[Cost Code]]&lt;&gt;0,+'Gnatt Chart'!$A$2,"")</f>
        <v xml:space="preserve">AvilaCRI </v>
      </c>
      <c r="B50" s="72">
        <v>46</v>
      </c>
      <c r="C50" s="74" t="s">
        <v>281</v>
      </c>
      <c r="D50" s="74" t="s">
        <v>315</v>
      </c>
      <c r="E50" s="74" t="s">
        <v>316</v>
      </c>
      <c r="F50" s="74">
        <v>1</v>
      </c>
      <c r="G50" s="333"/>
      <c r="H50" s="333"/>
      <c r="I50" s="284"/>
      <c r="J50" s="70">
        <v>2</v>
      </c>
      <c r="K50" s="302"/>
      <c r="L50" s="70"/>
      <c r="M50" s="301"/>
      <c r="N50" s="71"/>
    </row>
    <row r="51" spans="1:14" x14ac:dyDescent="0.25">
      <c r="A51" s="74" t="str">
        <f>+IF(FromProposal[[#This Row],[Cost Code]]&lt;&gt;0,+'Gnatt Chart'!$A$2,"")</f>
        <v xml:space="preserve">AvilaCRI </v>
      </c>
      <c r="B51" s="72">
        <v>47</v>
      </c>
      <c r="C51" s="74" t="s">
        <v>281</v>
      </c>
      <c r="D51" s="74" t="s">
        <v>317</v>
      </c>
      <c r="E51" s="74" t="s">
        <v>318</v>
      </c>
      <c r="F51" s="74">
        <v>1</v>
      </c>
      <c r="G51" s="333"/>
      <c r="H51" s="333"/>
      <c r="I51" s="284"/>
      <c r="J51" s="70">
        <v>2</v>
      </c>
      <c r="K51" s="302"/>
      <c r="L51" s="70"/>
      <c r="M51" s="301"/>
      <c r="N51" s="71"/>
    </row>
    <row r="52" spans="1:14" x14ac:dyDescent="0.25">
      <c r="A52" s="74" t="str">
        <f>+IF(FromProposal[[#This Row],[Cost Code]]&lt;&gt;0,+'Gnatt Chart'!$A$2,"")</f>
        <v xml:space="preserve">AvilaCRI </v>
      </c>
      <c r="B52" s="72">
        <v>48</v>
      </c>
      <c r="C52" s="74" t="s">
        <v>281</v>
      </c>
      <c r="D52" s="74" t="s">
        <v>319</v>
      </c>
      <c r="E52" s="74" t="s">
        <v>320</v>
      </c>
      <c r="F52" s="74">
        <v>1</v>
      </c>
      <c r="G52" s="333"/>
      <c r="H52" s="333"/>
      <c r="I52" s="284"/>
      <c r="J52" s="70">
        <v>2</v>
      </c>
      <c r="K52" s="302"/>
      <c r="L52" s="70"/>
      <c r="M52" s="301"/>
      <c r="N52" s="71"/>
    </row>
    <row r="53" spans="1:14" x14ac:dyDescent="0.25">
      <c r="A53" s="74" t="str">
        <f>+IF(FromProposal[[#This Row],[Cost Code]]&lt;&gt;0,+'Gnatt Chart'!$A$2,"")</f>
        <v xml:space="preserve">AvilaCRI </v>
      </c>
      <c r="B53" s="72">
        <v>49</v>
      </c>
      <c r="C53" s="74" t="s">
        <v>281</v>
      </c>
      <c r="D53" s="74" t="s">
        <v>321</v>
      </c>
      <c r="E53" s="74" t="s">
        <v>322</v>
      </c>
      <c r="F53" s="74">
        <v>1</v>
      </c>
      <c r="G53" s="333"/>
      <c r="H53" s="333"/>
      <c r="I53" s="284"/>
      <c r="J53" s="70">
        <v>2</v>
      </c>
      <c r="K53" s="302"/>
      <c r="L53" s="70"/>
      <c r="M53" s="301"/>
      <c r="N53" s="71"/>
    </row>
    <row r="54" spans="1:14" x14ac:dyDescent="0.25">
      <c r="A54" s="74" t="str">
        <f>+IF(FromProposal[[#This Row],[Cost Code]]&lt;&gt;0,+'Gnatt Chart'!$A$2,"")</f>
        <v xml:space="preserve">AvilaCRI </v>
      </c>
      <c r="B54" s="72">
        <v>50</v>
      </c>
      <c r="C54" s="74" t="s">
        <v>281</v>
      </c>
      <c r="D54" s="74" t="s">
        <v>323</v>
      </c>
      <c r="E54" s="74" t="s">
        <v>324</v>
      </c>
      <c r="F54" s="74">
        <v>1</v>
      </c>
      <c r="G54" s="333"/>
      <c r="H54" s="333"/>
      <c r="I54" s="284"/>
      <c r="J54" s="70">
        <v>2</v>
      </c>
      <c r="K54" s="302"/>
      <c r="L54" s="70"/>
      <c r="M54" s="301"/>
      <c r="N54" s="71"/>
    </row>
    <row r="55" spans="1:14" x14ac:dyDescent="0.25">
      <c r="A55" s="74" t="str">
        <f>+IF(FromProposal[[#This Row],[Cost Code]]&lt;&gt;0,+'Gnatt Chart'!$A$2,"")</f>
        <v xml:space="preserve">AvilaCRI </v>
      </c>
      <c r="B55" s="72">
        <v>51</v>
      </c>
      <c r="C55" s="74" t="s">
        <v>281</v>
      </c>
      <c r="D55" s="74" t="s">
        <v>325</v>
      </c>
      <c r="E55" s="74" t="s">
        <v>326</v>
      </c>
      <c r="F55" s="74">
        <v>1</v>
      </c>
      <c r="G55" s="333"/>
      <c r="H55" s="333"/>
      <c r="I55" s="284"/>
      <c r="J55" s="70">
        <v>2</v>
      </c>
      <c r="K55" s="302"/>
      <c r="L55" s="70"/>
      <c r="M55" s="301"/>
      <c r="N55" s="71"/>
    </row>
    <row r="56" spans="1:14" x14ac:dyDescent="0.25">
      <c r="A56" s="74" t="str">
        <f>+IF(FromProposal[[#This Row],[Cost Code]]&lt;&gt;0,+'Gnatt Chart'!$A$2,"")</f>
        <v xml:space="preserve">AvilaCRI </v>
      </c>
      <c r="B56" s="72">
        <v>52</v>
      </c>
      <c r="C56" s="74" t="s">
        <v>281</v>
      </c>
      <c r="D56" s="74" t="s">
        <v>327</v>
      </c>
      <c r="E56" s="74" t="s">
        <v>328</v>
      </c>
      <c r="F56" s="74">
        <v>1</v>
      </c>
      <c r="G56" s="333"/>
      <c r="H56" s="333"/>
      <c r="I56" s="284"/>
      <c r="J56" s="70">
        <v>2</v>
      </c>
      <c r="K56" s="302"/>
      <c r="L56" s="70"/>
      <c r="M56" s="301"/>
      <c r="N56" s="71"/>
    </row>
    <row r="57" spans="1:14" x14ac:dyDescent="0.25">
      <c r="A57" s="74" t="str">
        <f>+IF(FromProposal[[#This Row],[Cost Code]]&lt;&gt;0,+'Gnatt Chart'!$A$2,"")</f>
        <v xml:space="preserve">AvilaCRI </v>
      </c>
      <c r="B57" s="72">
        <v>53</v>
      </c>
      <c r="C57" s="74" t="s">
        <v>281</v>
      </c>
      <c r="D57" s="74" t="s">
        <v>329</v>
      </c>
      <c r="E57" s="74" t="s">
        <v>330</v>
      </c>
      <c r="F57" s="74">
        <v>1</v>
      </c>
      <c r="G57" s="333"/>
      <c r="H57" s="333"/>
      <c r="I57" s="284"/>
      <c r="J57" s="70">
        <v>2</v>
      </c>
      <c r="K57" s="302"/>
      <c r="L57" s="70"/>
      <c r="M57" s="301"/>
      <c r="N57" s="71"/>
    </row>
    <row r="58" spans="1:14" x14ac:dyDescent="0.25">
      <c r="A58" s="74" t="str">
        <f>+IF(FromProposal[[#This Row],[Cost Code]]&lt;&gt;0,+'Gnatt Chart'!$A$2,"")</f>
        <v xml:space="preserve">AvilaCRI </v>
      </c>
      <c r="B58" s="72">
        <v>54</v>
      </c>
      <c r="C58" s="74" t="s">
        <v>281</v>
      </c>
      <c r="D58" s="74" t="s">
        <v>331</v>
      </c>
      <c r="E58" s="74" t="s">
        <v>332</v>
      </c>
      <c r="F58" s="74">
        <v>1</v>
      </c>
      <c r="G58" s="333"/>
      <c r="H58" s="333"/>
      <c r="I58" s="284"/>
      <c r="J58" s="70">
        <v>2</v>
      </c>
      <c r="K58" s="302"/>
      <c r="L58" s="70"/>
      <c r="M58" s="301"/>
      <c r="N58" s="71"/>
    </row>
    <row r="59" spans="1:14" x14ac:dyDescent="0.25">
      <c r="A59" s="74" t="str">
        <f>+IF(FromProposal[[#This Row],[Cost Code]]&lt;&gt;0,+'Gnatt Chart'!$A$2,"")</f>
        <v xml:space="preserve">AvilaCRI </v>
      </c>
      <c r="B59" s="72">
        <v>55</v>
      </c>
      <c r="C59" s="74" t="s">
        <v>333</v>
      </c>
      <c r="D59" s="74" t="s">
        <v>334</v>
      </c>
      <c r="E59" s="74" t="s">
        <v>335</v>
      </c>
      <c r="F59" s="74">
        <v>1</v>
      </c>
      <c r="G59" s="333"/>
      <c r="H59" s="333"/>
      <c r="I59" s="284"/>
      <c r="J59" s="70">
        <v>2</v>
      </c>
      <c r="K59" s="302"/>
      <c r="L59" s="70"/>
      <c r="M59" s="301"/>
      <c r="N59" s="71"/>
    </row>
    <row r="60" spans="1:14" x14ac:dyDescent="0.25">
      <c r="A60" s="74" t="str">
        <f>+IF(FromProposal[[#This Row],[Cost Code]]&lt;&gt;0,+'Gnatt Chart'!$A$2,"")</f>
        <v xml:space="preserve">AvilaCRI </v>
      </c>
      <c r="B60" s="72">
        <v>56</v>
      </c>
      <c r="C60" s="74" t="s">
        <v>281</v>
      </c>
      <c r="D60" s="74" t="s">
        <v>336</v>
      </c>
      <c r="E60" s="74" t="s">
        <v>337</v>
      </c>
      <c r="F60" s="74">
        <v>1</v>
      </c>
      <c r="G60" s="333"/>
      <c r="H60" s="333"/>
      <c r="I60" s="284"/>
      <c r="J60" s="70">
        <v>2</v>
      </c>
      <c r="K60" s="302"/>
      <c r="L60" s="70"/>
      <c r="M60" s="301"/>
      <c r="N60" s="71"/>
    </row>
    <row r="61" spans="1:14" x14ac:dyDescent="0.25">
      <c r="A61" s="74" t="str">
        <f>+IF(FromProposal[[#This Row],[Cost Code]]&lt;&gt;0,+'Gnatt Chart'!$A$2,"")</f>
        <v xml:space="preserve">AvilaCRI </v>
      </c>
      <c r="B61" s="72">
        <v>57</v>
      </c>
      <c r="C61" s="74" t="s">
        <v>333</v>
      </c>
      <c r="D61" s="74" t="s">
        <v>338</v>
      </c>
      <c r="E61" s="74" t="s">
        <v>339</v>
      </c>
      <c r="F61" s="74">
        <v>1</v>
      </c>
      <c r="G61" s="333"/>
      <c r="H61" s="333"/>
      <c r="I61" s="284"/>
      <c r="J61" s="70">
        <v>2</v>
      </c>
      <c r="K61" s="302"/>
      <c r="L61" s="70"/>
      <c r="M61" s="301"/>
      <c r="N61" s="71"/>
    </row>
    <row r="62" spans="1:14" x14ac:dyDescent="0.25">
      <c r="A62" s="74" t="str">
        <f>+IF(FromProposal[[#This Row],[Cost Code]]&lt;&gt;0,+'Gnatt Chart'!$A$2,"")</f>
        <v xml:space="preserve">AvilaCRI </v>
      </c>
      <c r="B62" s="72">
        <v>58</v>
      </c>
      <c r="C62" s="74" t="s">
        <v>340</v>
      </c>
      <c r="D62" s="74" t="s">
        <v>341</v>
      </c>
      <c r="E62" s="74" t="s">
        <v>342</v>
      </c>
      <c r="F62" s="74">
        <v>1</v>
      </c>
      <c r="G62" s="333"/>
      <c r="H62" s="333"/>
      <c r="I62" s="284"/>
      <c r="J62" s="70">
        <v>2</v>
      </c>
      <c r="K62" s="302"/>
      <c r="L62" s="70"/>
      <c r="M62" s="301"/>
      <c r="N62" s="71"/>
    </row>
    <row r="63" spans="1:14" x14ac:dyDescent="0.25">
      <c r="A63" s="74" t="str">
        <f>+IF(FromProposal[[#This Row],[Cost Code]]&lt;&gt;0,+'Gnatt Chart'!$A$2,"")</f>
        <v xml:space="preserve">AvilaCRI </v>
      </c>
      <c r="B63" s="72">
        <v>59</v>
      </c>
      <c r="C63" s="74" t="s">
        <v>333</v>
      </c>
      <c r="D63" s="74" t="s">
        <v>343</v>
      </c>
      <c r="E63" s="74" t="s">
        <v>344</v>
      </c>
      <c r="F63" s="74">
        <v>1</v>
      </c>
      <c r="G63" s="333"/>
      <c r="H63" s="333"/>
      <c r="I63" s="284"/>
      <c r="J63" s="70">
        <v>2</v>
      </c>
      <c r="K63" s="302"/>
      <c r="L63" s="70"/>
      <c r="M63" s="301"/>
      <c r="N63" s="71"/>
    </row>
    <row r="64" spans="1:14" x14ac:dyDescent="0.25">
      <c r="A64" s="74" t="str">
        <f>+IF(FromProposal[[#This Row],[Cost Code]]&lt;&gt;0,+'Gnatt Chart'!$A$2,"")</f>
        <v/>
      </c>
      <c r="B64" s="72">
        <v>60</v>
      </c>
      <c r="D64" s="74" t="s">
        <v>345</v>
      </c>
      <c r="E64" s="74" t="s">
        <v>346</v>
      </c>
      <c r="F64" s="74">
        <v>1</v>
      </c>
      <c r="G64" s="333"/>
      <c r="H64" s="333"/>
      <c r="I64" s="284" t="s">
        <v>162</v>
      </c>
      <c r="J64" s="70">
        <v>2</v>
      </c>
      <c r="K64" s="302" t="s">
        <v>162</v>
      </c>
      <c r="L64" s="70"/>
      <c r="M64" s="301"/>
      <c r="N64" s="71"/>
    </row>
    <row r="65" spans="7:11" x14ac:dyDescent="0.25">
      <c r="G65" s="74"/>
      <c r="H65" s="74"/>
      <c r="K65" s="299"/>
    </row>
    <row r="66" spans="7:11" x14ac:dyDescent="0.25">
      <c r="G66" s="74"/>
      <c r="H66" s="74"/>
      <c r="K66" s="299"/>
    </row>
    <row r="67" spans="7:11" x14ac:dyDescent="0.25">
      <c r="G67" s="74"/>
      <c r="H67" s="74"/>
      <c r="K67" s="299"/>
    </row>
    <row r="68" spans="7:11" x14ac:dyDescent="0.25">
      <c r="G68" s="74"/>
      <c r="H68" s="74"/>
      <c r="K68" s="299"/>
    </row>
    <row r="69" spans="7:11" x14ac:dyDescent="0.25">
      <c r="G69" s="74"/>
      <c r="H69" s="74"/>
      <c r="K69" s="299"/>
    </row>
    <row r="70" spans="7:11" x14ac:dyDescent="0.25">
      <c r="G70" s="74"/>
      <c r="H70" s="74"/>
      <c r="K70" s="299"/>
    </row>
    <row r="71" spans="7:11" x14ac:dyDescent="0.25">
      <c r="G71" s="74"/>
      <c r="H71" s="74"/>
      <c r="K71" s="299"/>
    </row>
    <row r="72" spans="7:11" x14ac:dyDescent="0.25">
      <c r="G72" s="74"/>
      <c r="H72" s="74"/>
      <c r="K72" s="299"/>
    </row>
    <row r="73" spans="7:11" x14ac:dyDescent="0.25">
      <c r="G73" s="74"/>
      <c r="H73" s="74"/>
      <c r="K73" s="299"/>
    </row>
    <row r="74" spans="7:11" x14ac:dyDescent="0.25">
      <c r="G74" s="74"/>
      <c r="H74" s="74"/>
      <c r="K74" s="299"/>
    </row>
    <row r="75" spans="7:11" x14ac:dyDescent="0.25">
      <c r="G75" s="74"/>
      <c r="H75" s="74"/>
      <c r="K75" s="299"/>
    </row>
    <row r="76" spans="7:11" x14ac:dyDescent="0.25">
      <c r="G76" s="74"/>
      <c r="H76" s="74"/>
      <c r="K76" s="299"/>
    </row>
    <row r="77" spans="7:11" x14ac:dyDescent="0.25">
      <c r="G77" s="74"/>
      <c r="H77" s="74"/>
      <c r="K77" s="299"/>
    </row>
    <row r="78" spans="7:11" x14ac:dyDescent="0.25">
      <c r="G78" s="74"/>
      <c r="H78" s="74"/>
      <c r="K78" s="299"/>
    </row>
    <row r="79" spans="7:11" x14ac:dyDescent="0.25">
      <c r="G79" s="74"/>
      <c r="H79" s="74"/>
      <c r="K79" s="299"/>
    </row>
    <row r="80" spans="7:11" x14ac:dyDescent="0.25">
      <c r="G80" s="74"/>
      <c r="H80" s="74"/>
      <c r="K80" s="299"/>
    </row>
    <row r="81" spans="7:11" x14ac:dyDescent="0.25">
      <c r="G81" s="74"/>
      <c r="H81" s="74"/>
      <c r="K81" s="299"/>
    </row>
    <row r="82" spans="7:11" x14ac:dyDescent="0.25">
      <c r="G82" s="74"/>
      <c r="H82" s="74"/>
      <c r="K82" s="299"/>
    </row>
    <row r="83" spans="7:11" x14ac:dyDescent="0.25">
      <c r="G83" s="74"/>
      <c r="H83" s="74"/>
      <c r="K83" s="299"/>
    </row>
    <row r="84" spans="7:11" x14ac:dyDescent="0.25">
      <c r="G84" s="74"/>
      <c r="H84" s="74"/>
      <c r="K84" s="299"/>
    </row>
    <row r="85" spans="7:11" x14ac:dyDescent="0.25">
      <c r="G85" s="74"/>
      <c r="H85" s="74"/>
      <c r="K85" s="299"/>
    </row>
    <row r="86" spans="7:11" x14ac:dyDescent="0.25">
      <c r="G86" s="74"/>
      <c r="H86" s="74"/>
      <c r="K86" s="299"/>
    </row>
    <row r="87" spans="7:11" x14ac:dyDescent="0.25">
      <c r="G87" s="74"/>
      <c r="H87" s="74"/>
      <c r="K87" s="299"/>
    </row>
    <row r="88" spans="7:11" x14ac:dyDescent="0.25">
      <c r="G88" s="74"/>
      <c r="H88" s="74"/>
      <c r="K88" s="299"/>
    </row>
    <row r="89" spans="7:11" x14ac:dyDescent="0.25">
      <c r="G89" s="74"/>
      <c r="H89" s="74"/>
      <c r="K89" s="299"/>
    </row>
    <row r="90" spans="7:11" x14ac:dyDescent="0.25">
      <c r="G90" s="74"/>
      <c r="H90" s="74"/>
      <c r="K90" s="299"/>
    </row>
    <row r="91" spans="7:11" x14ac:dyDescent="0.25">
      <c r="G91" s="74"/>
      <c r="H91" s="74"/>
      <c r="K91" s="299"/>
    </row>
    <row r="92" spans="7:11" x14ac:dyDescent="0.25">
      <c r="G92" s="74"/>
      <c r="H92" s="74"/>
      <c r="K92" s="299"/>
    </row>
    <row r="93" spans="7:11" x14ac:dyDescent="0.25">
      <c r="G93" s="74"/>
      <c r="H93" s="74"/>
      <c r="K93" s="299"/>
    </row>
    <row r="94" spans="7:11" x14ac:dyDescent="0.25">
      <c r="G94" s="74"/>
      <c r="H94" s="74"/>
      <c r="K94" s="299"/>
    </row>
    <row r="95" spans="7:11" x14ac:dyDescent="0.25">
      <c r="G95" s="74"/>
      <c r="H95" s="74"/>
      <c r="K95" s="299"/>
    </row>
    <row r="96" spans="7:11" x14ac:dyDescent="0.25">
      <c r="G96" s="74"/>
      <c r="H96" s="74"/>
      <c r="K96" s="299"/>
    </row>
    <row r="97" spans="7:11" x14ac:dyDescent="0.25">
      <c r="G97" s="74"/>
      <c r="H97" s="74"/>
      <c r="K97" s="299"/>
    </row>
    <row r="98" spans="7:11" x14ac:dyDescent="0.25">
      <c r="G98" s="74"/>
      <c r="H98" s="74"/>
      <c r="K98" s="299"/>
    </row>
    <row r="99" spans="7:11" x14ac:dyDescent="0.25">
      <c r="G99" s="74"/>
      <c r="H99" s="74"/>
      <c r="K99" s="299"/>
    </row>
    <row r="100" spans="7:11" x14ac:dyDescent="0.25">
      <c r="G100" s="74"/>
      <c r="H100" s="74"/>
      <c r="K100" s="299"/>
    </row>
    <row r="101" spans="7:11" x14ac:dyDescent="0.25">
      <c r="G101" s="74"/>
      <c r="H101" s="74"/>
      <c r="K101" s="299"/>
    </row>
    <row r="102" spans="7:11" x14ac:dyDescent="0.25">
      <c r="G102" s="74"/>
      <c r="H102" s="74"/>
      <c r="K102" s="299"/>
    </row>
    <row r="103" spans="7:11" x14ac:dyDescent="0.25">
      <c r="G103" s="74"/>
      <c r="H103" s="74"/>
      <c r="K103" s="299"/>
    </row>
    <row r="104" spans="7:11" x14ac:dyDescent="0.25">
      <c r="G104" s="74"/>
      <c r="H104" s="74"/>
      <c r="K104" s="299"/>
    </row>
    <row r="105" spans="7:11" x14ac:dyDescent="0.25">
      <c r="G105" s="74"/>
      <c r="H105" s="74"/>
      <c r="K105" s="299"/>
    </row>
    <row r="106" spans="7:11" x14ac:dyDescent="0.25">
      <c r="G106" s="74"/>
      <c r="H106" s="74"/>
      <c r="K106" s="299"/>
    </row>
    <row r="107" spans="7:11" x14ac:dyDescent="0.25">
      <c r="K107" s="299"/>
    </row>
    <row r="108" spans="7:11" x14ac:dyDescent="0.25">
      <c r="K108" s="299"/>
    </row>
    <row r="109" spans="7:11" x14ac:dyDescent="0.25">
      <c r="K109" s="299"/>
    </row>
    <row r="110" spans="7:11" x14ac:dyDescent="0.25">
      <c r="K110" s="299"/>
    </row>
    <row r="111" spans="7:11" x14ac:dyDescent="0.25">
      <c r="K111" s="299"/>
    </row>
    <row r="112" spans="7:11" x14ac:dyDescent="0.25">
      <c r="K112" s="299"/>
    </row>
    <row r="113" spans="11:11" x14ac:dyDescent="0.25">
      <c r="K113" s="299"/>
    </row>
    <row r="114" spans="11:11" x14ac:dyDescent="0.25">
      <c r="K114" s="299"/>
    </row>
    <row r="115" spans="11:11" x14ac:dyDescent="0.25">
      <c r="K115" s="299"/>
    </row>
    <row r="116" spans="11:11" x14ac:dyDescent="0.25">
      <c r="K116" s="299"/>
    </row>
    <row r="117" spans="11:11" x14ac:dyDescent="0.25">
      <c r="K117" s="299"/>
    </row>
    <row r="118" spans="11:11" x14ac:dyDescent="0.25">
      <c r="K118" s="299"/>
    </row>
    <row r="119" spans="11:11" x14ac:dyDescent="0.25">
      <c r="K119" s="299"/>
    </row>
    <row r="120" spans="11:11" x14ac:dyDescent="0.25">
      <c r="K120" s="299"/>
    </row>
    <row r="121" spans="11:11" x14ac:dyDescent="0.25">
      <c r="K121" s="299"/>
    </row>
    <row r="122" spans="11:11" x14ac:dyDescent="0.25">
      <c r="K122" s="299"/>
    </row>
    <row r="123" spans="11:11" x14ac:dyDescent="0.25">
      <c r="K123" s="299"/>
    </row>
    <row r="124" spans="11:11" x14ac:dyDescent="0.25">
      <c r="K124" s="299"/>
    </row>
    <row r="125" spans="11:11" x14ac:dyDescent="0.25">
      <c r="K125" s="299"/>
    </row>
    <row r="126" spans="11:11" x14ac:dyDescent="0.25">
      <c r="K126" s="299"/>
    </row>
    <row r="127" spans="11:11" x14ac:dyDescent="0.25">
      <c r="K127" s="299"/>
    </row>
    <row r="128" spans="11:11" x14ac:dyDescent="0.25">
      <c r="K128" s="299"/>
    </row>
    <row r="129" spans="11:11" x14ac:dyDescent="0.25">
      <c r="K129" s="299"/>
    </row>
    <row r="130" spans="11:11" x14ac:dyDescent="0.25">
      <c r="K130" s="299"/>
    </row>
    <row r="131" spans="11:11" x14ac:dyDescent="0.25">
      <c r="K131" s="299"/>
    </row>
    <row r="132" spans="11:11" x14ac:dyDescent="0.25">
      <c r="K132" s="299"/>
    </row>
    <row r="133" spans="11:11" x14ac:dyDescent="0.25">
      <c r="K133" s="299"/>
    </row>
    <row r="134" spans="11:11" x14ac:dyDescent="0.25">
      <c r="K134" s="299"/>
    </row>
    <row r="135" spans="11:11" x14ac:dyDescent="0.25">
      <c r="K135" s="299"/>
    </row>
    <row r="136" spans="11:11" x14ac:dyDescent="0.25">
      <c r="K136" s="299"/>
    </row>
    <row r="137" spans="11:11" x14ac:dyDescent="0.25">
      <c r="K137" s="299"/>
    </row>
    <row r="138" spans="11:11" x14ac:dyDescent="0.25">
      <c r="K138" s="299"/>
    </row>
    <row r="139" spans="11:11" x14ac:dyDescent="0.25">
      <c r="K139" s="299"/>
    </row>
    <row r="140" spans="11:11" x14ac:dyDescent="0.25">
      <c r="K140" s="299"/>
    </row>
    <row r="141" spans="11:11" x14ac:dyDescent="0.25">
      <c r="K141" s="299"/>
    </row>
    <row r="142" spans="11:11" x14ac:dyDescent="0.25">
      <c r="K142" s="299"/>
    </row>
    <row r="143" spans="11:11" x14ac:dyDescent="0.25">
      <c r="K143" s="299"/>
    </row>
    <row r="144" spans="11:11" x14ac:dyDescent="0.25">
      <c r="K144" s="299"/>
    </row>
    <row r="145" spans="11:11" x14ac:dyDescent="0.25">
      <c r="K145" s="299"/>
    </row>
    <row r="146" spans="11:11" x14ac:dyDescent="0.25">
      <c r="K146" s="299"/>
    </row>
    <row r="147" spans="11:11" x14ac:dyDescent="0.25">
      <c r="K147" s="299"/>
    </row>
    <row r="148" spans="11:11" x14ac:dyDescent="0.25">
      <c r="K148" s="299"/>
    </row>
    <row r="149" spans="11:11" x14ac:dyDescent="0.25">
      <c r="K149" s="299"/>
    </row>
    <row r="150" spans="11:11" x14ac:dyDescent="0.25">
      <c r="K150" s="299"/>
    </row>
    <row r="151" spans="11:11" x14ac:dyDescent="0.25">
      <c r="K151" s="299"/>
    </row>
    <row r="152" spans="11:11" x14ac:dyDescent="0.25">
      <c r="K152" s="299"/>
    </row>
    <row r="153" spans="11:11" x14ac:dyDescent="0.25">
      <c r="K153" s="299"/>
    </row>
    <row r="154" spans="11:11" x14ac:dyDescent="0.25">
      <c r="K154" s="299"/>
    </row>
    <row r="155" spans="11:11" x14ac:dyDescent="0.25">
      <c r="K155" s="299"/>
    </row>
    <row r="156" spans="11:11" x14ac:dyDescent="0.25">
      <c r="K156" s="299"/>
    </row>
    <row r="157" spans="11:11" x14ac:dyDescent="0.25">
      <c r="K157" s="299"/>
    </row>
    <row r="158" spans="11:11" x14ac:dyDescent="0.25">
      <c r="K158" s="299"/>
    </row>
    <row r="159" spans="11:11" x14ac:dyDescent="0.25">
      <c r="K159" s="299"/>
    </row>
    <row r="160" spans="11:11" x14ac:dyDescent="0.25">
      <c r="K160" s="299"/>
    </row>
    <row r="161" spans="11:11" x14ac:dyDescent="0.25">
      <c r="K161" s="299"/>
    </row>
    <row r="162" spans="11:11" x14ac:dyDescent="0.25">
      <c r="K162" s="299"/>
    </row>
    <row r="163" spans="11:11" x14ac:dyDescent="0.25">
      <c r="K163" s="299"/>
    </row>
    <row r="164" spans="11:11" x14ac:dyDescent="0.25">
      <c r="K164" s="299"/>
    </row>
    <row r="165" spans="11:11" x14ac:dyDescent="0.25">
      <c r="K165" s="299"/>
    </row>
    <row r="166" spans="11:11" x14ac:dyDescent="0.25">
      <c r="K166" s="299"/>
    </row>
    <row r="167" spans="11:11" x14ac:dyDescent="0.25">
      <c r="K167" s="299"/>
    </row>
    <row r="168" spans="11:11" x14ac:dyDescent="0.25">
      <c r="K168" s="299"/>
    </row>
    <row r="169" spans="11:11" x14ac:dyDescent="0.25">
      <c r="K169" s="299"/>
    </row>
    <row r="170" spans="11:11" x14ac:dyDescent="0.25">
      <c r="K170" s="299"/>
    </row>
    <row r="171" spans="11:11" x14ac:dyDescent="0.25">
      <c r="K171" s="299"/>
    </row>
    <row r="172" spans="11:11" x14ac:dyDescent="0.25">
      <c r="K172" s="299"/>
    </row>
    <row r="173" spans="11:11" x14ac:dyDescent="0.25">
      <c r="K173" s="299"/>
    </row>
    <row r="174" spans="11:11" x14ac:dyDescent="0.25">
      <c r="K174" s="299"/>
    </row>
    <row r="175" spans="11:11" x14ac:dyDescent="0.25">
      <c r="K175" s="299"/>
    </row>
    <row r="176" spans="11:11" x14ac:dyDescent="0.25">
      <c r="K176" s="299"/>
    </row>
    <row r="177" spans="11:11" x14ac:dyDescent="0.25">
      <c r="K177" s="299"/>
    </row>
    <row r="178" spans="11:11" x14ac:dyDescent="0.25">
      <c r="K178" s="299"/>
    </row>
    <row r="179" spans="11:11" x14ac:dyDescent="0.25">
      <c r="K179" s="299"/>
    </row>
    <row r="180" spans="11:11" x14ac:dyDescent="0.25">
      <c r="K180" s="299"/>
    </row>
    <row r="181" spans="11:11" x14ac:dyDescent="0.25">
      <c r="K181" s="299"/>
    </row>
    <row r="182" spans="11:11" x14ac:dyDescent="0.25">
      <c r="K182" s="299"/>
    </row>
    <row r="183" spans="11:11" x14ac:dyDescent="0.25">
      <c r="K183" s="299"/>
    </row>
    <row r="184" spans="11:11" x14ac:dyDescent="0.25">
      <c r="K184" s="299"/>
    </row>
    <row r="185" spans="11:11" x14ac:dyDescent="0.25">
      <c r="K185" s="299"/>
    </row>
    <row r="186" spans="11:11" x14ac:dyDescent="0.25">
      <c r="K186" s="299"/>
    </row>
    <row r="187" spans="11:11" x14ac:dyDescent="0.25">
      <c r="K187" s="299"/>
    </row>
    <row r="188" spans="11:11" x14ac:dyDescent="0.25">
      <c r="K188" s="299"/>
    </row>
    <row r="189" spans="11:11" x14ac:dyDescent="0.25">
      <c r="K189" s="299"/>
    </row>
    <row r="190" spans="11:11" x14ac:dyDescent="0.25">
      <c r="K190" s="299"/>
    </row>
    <row r="191" spans="11:11" x14ac:dyDescent="0.25">
      <c r="K191" s="299"/>
    </row>
    <row r="192" spans="11:11" x14ac:dyDescent="0.25">
      <c r="K192" s="299"/>
    </row>
    <row r="193" spans="11:11" x14ac:dyDescent="0.25">
      <c r="K193" s="299"/>
    </row>
    <row r="194" spans="11:11" x14ac:dyDescent="0.25">
      <c r="K194" s="299"/>
    </row>
    <row r="195" spans="11:11" x14ac:dyDescent="0.25">
      <c r="K195" s="299"/>
    </row>
    <row r="196" spans="11:11" x14ac:dyDescent="0.25">
      <c r="K196" s="299"/>
    </row>
    <row r="197" spans="11:11" x14ac:dyDescent="0.25">
      <c r="K197" s="299"/>
    </row>
    <row r="198" spans="11:11" x14ac:dyDescent="0.25">
      <c r="K198" s="299"/>
    </row>
    <row r="199" spans="11:11" x14ac:dyDescent="0.25">
      <c r="K199" s="299"/>
    </row>
    <row r="200" spans="11:11" x14ac:dyDescent="0.25">
      <c r="K200" s="299"/>
    </row>
    <row r="201" spans="11:11" x14ac:dyDescent="0.25">
      <c r="K201" s="299"/>
    </row>
    <row r="202" spans="11:11" x14ac:dyDescent="0.25">
      <c r="K202" s="299"/>
    </row>
    <row r="203" spans="11:11" x14ac:dyDescent="0.25">
      <c r="K203" s="299"/>
    </row>
    <row r="204" spans="11:11" x14ac:dyDescent="0.25">
      <c r="K204" s="299"/>
    </row>
    <row r="205" spans="11:11" x14ac:dyDescent="0.25">
      <c r="K205" s="299"/>
    </row>
    <row r="206" spans="11:11" x14ac:dyDescent="0.25">
      <c r="K206" s="299"/>
    </row>
    <row r="207" spans="11:11" x14ac:dyDescent="0.25">
      <c r="K207" s="299"/>
    </row>
  </sheetData>
  <mergeCells count="2">
    <mergeCell ref="I1:N3"/>
    <mergeCell ref="A1:H3"/>
  </mergeCells>
  <phoneticPr fontId="26" type="noConversion"/>
  <pageMargins left="0.7" right="0.7" top="0.75" bottom="0.75" header="0.3" footer="0.3"/>
  <pageSetup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5" tint="0.59999389629810485"/>
    <pageSetUpPr fitToPage="1"/>
  </sheetPr>
  <dimension ref="A1:DU96"/>
  <sheetViews>
    <sheetView workbookViewId="0">
      <pane ySplit="7" topLeftCell="A8" activePane="bottomLeft" state="frozen"/>
      <selection activeCell="H28" sqref="H28"/>
      <selection pane="bottomLeft" activeCell="E13" sqref="E13"/>
    </sheetView>
  </sheetViews>
  <sheetFormatPr defaultColWidth="9.140625" defaultRowHeight="18" customHeight="1" x14ac:dyDescent="0.25"/>
  <cols>
    <col min="1" max="1" width="17.28515625" style="75" bestFit="1" customWidth="1"/>
    <col min="2" max="2" width="5.28515625" style="76" customWidth="1"/>
    <col min="3" max="3" width="18.5703125" style="77" bestFit="1" customWidth="1"/>
    <col min="4" max="4" width="21.140625" style="75" customWidth="1"/>
    <col min="5" max="5" width="69.140625" style="25" customWidth="1"/>
    <col min="6" max="6" width="5.5703125" style="36" customWidth="1"/>
    <col min="7" max="7" width="9.140625" style="335" bestFit="1" customWidth="1"/>
    <col min="8" max="8" width="10.140625" style="335" bestFit="1" customWidth="1"/>
    <col min="9" max="9" width="5.5703125" style="36" customWidth="1"/>
    <col min="10" max="10" width="6.28515625" style="36" customWidth="1"/>
    <col min="11" max="11" width="13" style="36" customWidth="1"/>
    <col min="12" max="12" width="5.28515625" style="36" customWidth="1"/>
    <col min="13" max="13" width="9.42578125" style="335" customWidth="1"/>
    <col min="14" max="14" width="9" style="335" customWidth="1"/>
    <col min="15" max="15" width="10.85546875" style="36" bestFit="1"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194"/>
      <c r="B1" s="195"/>
      <c r="C1" s="196"/>
      <c r="D1" s="197"/>
      <c r="E1" s="198"/>
      <c r="F1" s="199"/>
      <c r="G1" s="199"/>
      <c r="H1" s="199"/>
      <c r="I1" s="199"/>
      <c r="J1" s="545" t="s">
        <v>367</v>
      </c>
      <c r="K1" s="545"/>
      <c r="L1" s="199"/>
      <c r="M1" s="541" t="s">
        <v>368</v>
      </c>
      <c r="N1" s="542"/>
      <c r="O1" s="317" t="s">
        <v>369</v>
      </c>
    </row>
    <row r="2" spans="1:125" ht="30" customHeight="1" thickBot="1" x14ac:dyDescent="0.35">
      <c r="A2" s="574" t="s">
        <v>370</v>
      </c>
      <c r="B2" s="575"/>
      <c r="C2" s="572" t="str">
        <f>Profit!E1&amp; " Your Home"</f>
        <v>Buy Your Home</v>
      </c>
      <c r="D2" s="573"/>
      <c r="E2" s="208" t="s">
        <v>371</v>
      </c>
      <c r="F2" s="570">
        <f>+MIN(ProposalToGnatt[Start Date])</f>
        <v>45212</v>
      </c>
      <c r="G2" s="571"/>
      <c r="H2" s="548" t="s">
        <v>372</v>
      </c>
      <c r="I2" s="549"/>
      <c r="J2" s="559">
        <f>+SUM(H8:H22)</f>
        <v>5405.555625</v>
      </c>
      <c r="K2" s="563"/>
      <c r="L2" s="200"/>
      <c r="M2" s="559">
        <f>+SUM(N8:N22)-SUM(M8:M22)</f>
        <v>-2293.2400000000002</v>
      </c>
      <c r="N2" s="555"/>
      <c r="O2" s="318">
        <f>+SUM(H8:H22)-SUM(M8:M22)</f>
        <v>1912.3156249999997</v>
      </c>
      <c r="R2" s="60"/>
      <c r="S2" s="60"/>
      <c r="T2" s="60"/>
      <c r="U2" s="60"/>
      <c r="V2" s="60"/>
      <c r="W2" s="60"/>
      <c r="X2" s="60"/>
      <c r="Y2" s="60"/>
      <c r="Z2" s="60"/>
      <c r="AA2" s="60"/>
      <c r="AB2" s="60"/>
      <c r="AC2" s="60"/>
      <c r="AD2" s="60"/>
      <c r="AE2" s="60"/>
      <c r="AF2" s="60"/>
      <c r="AG2" s="60"/>
      <c r="AH2" s="60"/>
      <c r="AI2" s="60"/>
      <c r="AJ2" s="61"/>
      <c r="AK2" s="61"/>
      <c r="AP2" s="15"/>
      <c r="AQ2" s="15"/>
      <c r="AR2" s="15"/>
    </row>
    <row r="3" spans="1:125" ht="30" customHeight="1" x14ac:dyDescent="0.3">
      <c r="A3" s="560"/>
      <c r="B3" s="561"/>
      <c r="C3" s="561"/>
      <c r="D3" s="561"/>
      <c r="E3" s="209"/>
      <c r="G3" s="36"/>
      <c r="H3" s="550" t="s">
        <v>373</v>
      </c>
      <c r="I3" s="551"/>
      <c r="J3" s="558">
        <f>SUM(H24:H27)</f>
        <v>0</v>
      </c>
      <c r="K3" s="566"/>
      <c r="L3" s="201"/>
      <c r="M3" s="558">
        <f>+J3-SUM(M24:M27)</f>
        <v>0</v>
      </c>
      <c r="N3" s="555"/>
      <c r="O3" s="319">
        <f>+SUM(H24:H27)-SUM(M24:M27)</f>
        <v>0</v>
      </c>
      <c r="AP3" s="15"/>
      <c r="AQ3" s="15"/>
      <c r="AR3" s="15"/>
    </row>
    <row r="4" spans="1:125" ht="30" customHeight="1" x14ac:dyDescent="0.3">
      <c r="A4" s="560" t="str">
        <f>+Profit!B2</f>
        <v>115 Rosebrooks Dr, Cary, NC 27513</v>
      </c>
      <c r="B4" s="561" t="str">
        <f>+Profit!B2</f>
        <v>115 Rosebrooks Dr, Cary, NC 27513</v>
      </c>
      <c r="C4" s="561"/>
      <c r="D4" s="561"/>
      <c r="E4" s="546" t="s">
        <v>374</v>
      </c>
      <c r="F4" s="547"/>
      <c r="G4" s="78">
        <v>1</v>
      </c>
      <c r="H4" s="552" t="str">
        <f>+A2 &amp; "Total:"</f>
        <v>AvilaCRI Total:</v>
      </c>
      <c r="I4" s="553"/>
      <c r="J4" s="554">
        <f>SUM(ProposalToGnatt[Price])</f>
        <v>28751.739999999998</v>
      </c>
      <c r="K4" s="567"/>
      <c r="L4" s="202"/>
      <c r="M4" s="554" cm="1">
        <f t="array" ref="M4">+SUM(ProposalToGnatt[Due]-ProposalToGnatt[Paid])</f>
        <v>-1.8189894035458565E-12</v>
      </c>
      <c r="N4" s="555"/>
      <c r="O4" s="320">
        <f>+SUM(ProposalToGnatt[Price])-SUM(ProposalToGnatt[Paid])</f>
        <v>1290</v>
      </c>
      <c r="AP4" s="15"/>
      <c r="AQ4" s="15"/>
      <c r="AR4" s="15"/>
    </row>
    <row r="5" spans="1:125" ht="18" customHeight="1" thickBot="1" x14ac:dyDescent="0.3">
      <c r="A5" s="203"/>
      <c r="B5" s="204" t="s">
        <v>375</v>
      </c>
      <c r="C5" s="205"/>
      <c r="D5" s="206"/>
      <c r="E5" s="564" t="s">
        <v>376</v>
      </c>
      <c r="F5" s="565"/>
      <c r="G5" s="207">
        <v>2</v>
      </c>
      <c r="H5" s="562" t="s">
        <v>377</v>
      </c>
      <c r="I5" s="562"/>
      <c r="J5" s="568">
        <f>+SUM(J2:K4)</f>
        <v>34157.295624999999</v>
      </c>
      <c r="K5" s="569"/>
      <c r="L5" s="24"/>
      <c r="M5" s="556">
        <f>+SUM(M2:M4)</f>
        <v>-2293.2400000000021</v>
      </c>
      <c r="N5" s="557"/>
      <c r="O5" s="323">
        <f>+SUM(O2:Q4)</f>
        <v>3202.3156249999997</v>
      </c>
      <c r="BB5" s="15"/>
      <c r="BC5" s="15"/>
      <c r="BD5" s="15"/>
    </row>
    <row r="6" spans="1:125" s="22" customFormat="1" ht="30.75" customHeight="1" x14ac:dyDescent="0.35">
      <c r="A6" s="79"/>
      <c r="B6" s="80"/>
      <c r="C6" s="81"/>
      <c r="D6" s="79"/>
      <c r="E6" s="82" t="str">
        <f>Profit!E1&amp;" Your Home Supplied Materials"</f>
        <v>Buy Your Home Supplied Materials</v>
      </c>
      <c r="F6" s="79"/>
      <c r="G6" s="83"/>
      <c r="H6" s="83"/>
      <c r="I6" s="79"/>
      <c r="J6" s="79"/>
      <c r="K6" s="84"/>
      <c r="L6" s="79"/>
      <c r="M6" s="79"/>
      <c r="N6" s="79"/>
      <c r="O6" s="79"/>
      <c r="R6" s="36"/>
      <c r="S6" s="36"/>
      <c r="T6" s="36"/>
      <c r="U6" s="36"/>
      <c r="V6" s="36"/>
      <c r="W6" s="36"/>
      <c r="X6" s="36"/>
      <c r="Y6" s="36"/>
      <c r="Z6" s="36"/>
      <c r="AA6" s="36"/>
      <c r="AB6" s="36"/>
      <c r="AC6" s="36"/>
      <c r="AD6" s="36"/>
      <c r="AE6" s="36"/>
      <c r="AF6" s="36"/>
      <c r="AG6" s="36"/>
      <c r="AH6" s="36"/>
    </row>
    <row r="7" spans="1:125" s="42" customFormat="1" ht="32.25" customHeight="1" x14ac:dyDescent="0.25">
      <c r="A7" s="79" t="s">
        <v>378</v>
      </c>
      <c r="B7" s="80" t="s">
        <v>379</v>
      </c>
      <c r="C7" s="81" t="s">
        <v>357</v>
      </c>
      <c r="D7" s="79" t="s">
        <v>358</v>
      </c>
      <c r="E7" s="79" t="s">
        <v>359</v>
      </c>
      <c r="F7" s="79" t="s">
        <v>241</v>
      </c>
      <c r="G7" s="83" t="s">
        <v>242</v>
      </c>
      <c r="H7" s="83" t="s">
        <v>360</v>
      </c>
      <c r="I7" s="79" t="s">
        <v>361</v>
      </c>
      <c r="J7" s="79" t="s">
        <v>362</v>
      </c>
      <c r="K7" s="84" t="s">
        <v>82</v>
      </c>
      <c r="L7" s="79" t="s">
        <v>363</v>
      </c>
      <c r="M7" s="79" t="s">
        <v>364</v>
      </c>
      <c r="N7" s="79" t="s">
        <v>368</v>
      </c>
      <c r="O7" s="79" t="s">
        <v>161</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85" t="str">
        <f>Profit!$E$1&amp;" Your Home"</f>
        <v>Buy Your Home</v>
      </c>
      <c r="B8" s="86">
        <v>1</v>
      </c>
      <c r="C8" s="87"/>
      <c r="D8" s="85"/>
      <c r="E8" s="85" t="s">
        <v>380</v>
      </c>
      <c r="F8" s="86">
        <v>1</v>
      </c>
      <c r="G8" s="88">
        <f>+'Demo &amp; Trash Haul'!G17</f>
        <v>1200</v>
      </c>
      <c r="H8" s="88">
        <f t="shared" ref="H8:H22" si="0">+F8*G8</f>
        <v>1200</v>
      </c>
      <c r="I8" s="89" t="s">
        <v>45</v>
      </c>
      <c r="J8" s="88"/>
      <c r="K8" s="90"/>
      <c r="L8" s="88"/>
      <c r="M8" s="88">
        <v>800</v>
      </c>
      <c r="N8" s="88">
        <f t="shared" ref="N8:N22" si="1">IF(I8="Yes",H8,0)</f>
        <v>1200</v>
      </c>
      <c r="O8" s="89"/>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85" t="str">
        <f>Profit!$E$1&amp;" Your Home"</f>
        <v>Buy Your Home</v>
      </c>
      <c r="B9" s="86">
        <f>+B8+1</f>
        <v>2</v>
      </c>
      <c r="C9" s="87"/>
      <c r="D9" s="85"/>
      <c r="E9" s="85" t="s">
        <v>381</v>
      </c>
      <c r="F9" s="86">
        <v>1</v>
      </c>
      <c r="G9" s="88">
        <f>+Taxes!E19</f>
        <v>2559</v>
      </c>
      <c r="H9" s="88">
        <f t="shared" si="0"/>
        <v>2559</v>
      </c>
      <c r="I9" s="89"/>
      <c r="J9" s="88"/>
      <c r="K9" s="90"/>
      <c r="L9" s="88"/>
      <c r="M9" s="88"/>
      <c r="N9" s="88">
        <f t="shared" si="1"/>
        <v>0</v>
      </c>
      <c r="O9" s="89"/>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85" t="str">
        <f>Profit!$E$1&amp;" Your Home"</f>
        <v>Buy Your Home</v>
      </c>
      <c r="B10" s="86">
        <f>+B8+1</f>
        <v>2</v>
      </c>
      <c r="C10" s="87"/>
      <c r="D10" s="85"/>
      <c r="E10" s="85" t="s">
        <v>382</v>
      </c>
      <c r="F10" s="86">
        <v>1</v>
      </c>
      <c r="G10" s="88">
        <f>+Appliances!G20</f>
        <v>1646.555625</v>
      </c>
      <c r="H10" s="88">
        <f t="shared" si="0"/>
        <v>1646.555625</v>
      </c>
      <c r="I10" s="89"/>
      <c r="J10" s="88"/>
      <c r="K10" s="90"/>
      <c r="L10" s="88"/>
      <c r="M10" s="88"/>
      <c r="N10" s="88">
        <f t="shared" si="1"/>
        <v>0</v>
      </c>
      <c r="O10" s="89"/>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85" t="str">
        <f>Profit!$E$1&amp;" Your Home"</f>
        <v>Buy Your Home</v>
      </c>
      <c r="B11" s="86">
        <f t="shared" ref="B11:B22" si="2">+B10+1</f>
        <v>3</v>
      </c>
      <c r="C11" s="87"/>
      <c r="D11" s="85"/>
      <c r="E11" s="85" t="s">
        <v>383</v>
      </c>
      <c r="F11" s="86">
        <v>1</v>
      </c>
      <c r="G11" s="88">
        <f>+'Plumbing Fixtures'!G22</f>
        <v>0</v>
      </c>
      <c r="H11" s="88">
        <f t="shared" si="0"/>
        <v>0</v>
      </c>
      <c r="I11" s="89" t="s">
        <v>45</v>
      </c>
      <c r="J11" s="88"/>
      <c r="K11" s="90"/>
      <c r="L11" s="88"/>
      <c r="M11" s="88">
        <v>706.39</v>
      </c>
      <c r="N11" s="88">
        <f t="shared" si="1"/>
        <v>0</v>
      </c>
      <c r="O11" s="89"/>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85" t="str">
        <f>Profit!$E$1&amp;" Your Home"</f>
        <v>Buy Your Home</v>
      </c>
      <c r="B12" s="86">
        <f t="shared" si="2"/>
        <v>4</v>
      </c>
      <c r="C12" s="87"/>
      <c r="D12" s="85"/>
      <c r="E12" s="85" t="s">
        <v>384</v>
      </c>
      <c r="F12" s="86">
        <v>0</v>
      </c>
      <c r="G12" s="88">
        <f>+'Windows &amp; Doors'!F34</f>
        <v>0</v>
      </c>
      <c r="H12" s="88">
        <f t="shared" si="0"/>
        <v>0</v>
      </c>
      <c r="I12" s="89"/>
      <c r="J12" s="88"/>
      <c r="K12" s="90"/>
      <c r="L12" s="88"/>
      <c r="M12" s="88"/>
      <c r="N12" s="88">
        <f t="shared" si="1"/>
        <v>0</v>
      </c>
      <c r="O12" s="89"/>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85" t="str">
        <f>Profit!$E$1&amp;" Your Home"</f>
        <v>Buy Your Home</v>
      </c>
      <c r="B13" s="86">
        <f t="shared" si="2"/>
        <v>5</v>
      </c>
      <c r="C13" s="87"/>
      <c r="D13" s="85"/>
      <c r="E13" s="85" t="s">
        <v>385</v>
      </c>
      <c r="F13" s="86">
        <v>0</v>
      </c>
      <c r="G13" s="88">
        <f>+Cabinets!H44</f>
        <v>0</v>
      </c>
      <c r="H13" s="88">
        <f t="shared" si="0"/>
        <v>0</v>
      </c>
      <c r="I13" s="89"/>
      <c r="J13" s="88"/>
      <c r="K13" s="90"/>
      <c r="L13" s="88"/>
      <c r="M13" s="88"/>
      <c r="N13" s="88">
        <f t="shared" si="1"/>
        <v>0</v>
      </c>
      <c r="O13" s="89"/>
      <c r="AQ13" s="37"/>
    </row>
    <row r="14" spans="1:125" s="42" customFormat="1" ht="20.100000000000001" customHeight="1" x14ac:dyDescent="0.25">
      <c r="A14" s="85" t="str">
        <f>Profit!$E$1&amp;" Your Home"</f>
        <v>Buy Your Home</v>
      </c>
      <c r="B14" s="86">
        <f t="shared" si="2"/>
        <v>6</v>
      </c>
      <c r="C14" s="87"/>
      <c r="D14" s="85"/>
      <c r="E14" s="85" t="s">
        <v>386</v>
      </c>
      <c r="F14" s="86">
        <v>1</v>
      </c>
      <c r="G14" s="88">
        <f>+Paint!I31</f>
        <v>0</v>
      </c>
      <c r="H14" s="88">
        <f t="shared" si="0"/>
        <v>0</v>
      </c>
      <c r="I14" s="89" t="s">
        <v>45</v>
      </c>
      <c r="J14" s="88"/>
      <c r="K14" s="90"/>
      <c r="L14" s="88"/>
      <c r="M14" s="88">
        <v>1519.41</v>
      </c>
      <c r="N14" s="88">
        <f t="shared" si="1"/>
        <v>0</v>
      </c>
      <c r="O14" s="89"/>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85" t="str">
        <f>Profit!$E$1&amp;" Your Home"</f>
        <v>Buy Your Home</v>
      </c>
      <c r="B15" s="86">
        <f t="shared" si="2"/>
        <v>7</v>
      </c>
      <c r="C15" s="87"/>
      <c r="D15" s="85"/>
      <c r="E15" s="85" t="s">
        <v>387</v>
      </c>
      <c r="F15" s="86">
        <v>1</v>
      </c>
      <c r="G15" s="88">
        <f>+Flooring!G10</f>
        <v>0</v>
      </c>
      <c r="H15" s="88">
        <f t="shared" si="0"/>
        <v>0</v>
      </c>
      <c r="I15" s="89"/>
      <c r="J15" s="88"/>
      <c r="K15" s="90"/>
      <c r="L15" s="88"/>
      <c r="M15" s="88"/>
      <c r="N15" s="88">
        <f t="shared" si="1"/>
        <v>0</v>
      </c>
      <c r="O15" s="89"/>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85" t="str">
        <f>Profit!$E$1&amp;" Your Home"</f>
        <v>Buy Your Home</v>
      </c>
      <c r="B16" s="86">
        <f t="shared" si="2"/>
        <v>8</v>
      </c>
      <c r="C16" s="87"/>
      <c r="D16" s="85"/>
      <c r="E16" s="85" t="s">
        <v>388</v>
      </c>
      <c r="F16" s="86">
        <v>1</v>
      </c>
      <c r="G16" s="88">
        <f>+'Electrical Fixtures'!F28</f>
        <v>0</v>
      </c>
      <c r="H16" s="88">
        <f t="shared" si="0"/>
        <v>0</v>
      </c>
      <c r="I16" s="89" t="s">
        <v>45</v>
      </c>
      <c r="J16" s="88"/>
      <c r="K16" s="90"/>
      <c r="L16" s="88"/>
      <c r="M16" s="88">
        <v>417.69</v>
      </c>
      <c r="N16" s="88">
        <f t="shared" si="1"/>
        <v>0</v>
      </c>
      <c r="O16" s="89"/>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85" t="str">
        <f>Profit!$E$1&amp;" Your Home"</f>
        <v>Buy Your Home</v>
      </c>
      <c r="B17" s="86">
        <f t="shared" si="2"/>
        <v>9</v>
      </c>
      <c r="C17" s="87"/>
      <c r="D17" s="85"/>
      <c r="E17" s="85" t="s">
        <v>389</v>
      </c>
      <c r="F17" s="86">
        <v>1</v>
      </c>
      <c r="G17" s="88">
        <f>+Exterior!H19</f>
        <v>0</v>
      </c>
      <c r="H17" s="88">
        <f t="shared" si="0"/>
        <v>0</v>
      </c>
      <c r="I17" s="89" t="s">
        <v>45</v>
      </c>
      <c r="J17" s="88"/>
      <c r="K17" s="90"/>
      <c r="L17" s="88"/>
      <c r="M17" s="88">
        <v>49.75</v>
      </c>
      <c r="N17" s="88">
        <f t="shared" si="1"/>
        <v>0</v>
      </c>
      <c r="O17" s="89"/>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85" t="str">
        <f>Profit!$E$1&amp;" Your Home"</f>
        <v>Buy Your Home</v>
      </c>
      <c r="B18" s="86">
        <f t="shared" si="2"/>
        <v>10</v>
      </c>
      <c r="C18" s="87"/>
      <c r="D18" s="85"/>
      <c r="E18" s="85" t="s">
        <v>390</v>
      </c>
      <c r="F18" s="86">
        <v>1</v>
      </c>
      <c r="G18" s="88">
        <f>+Landscape!G17</f>
        <v>0</v>
      </c>
      <c r="H18" s="88">
        <f>+F18*G18</f>
        <v>0</v>
      </c>
      <c r="I18" s="89"/>
      <c r="J18" s="88"/>
      <c r="K18" s="90"/>
      <c r="L18" s="88"/>
      <c r="M18" s="88"/>
      <c r="N18" s="88">
        <f t="shared" si="1"/>
        <v>0</v>
      </c>
      <c r="O18" s="89"/>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85" t="str">
        <f>Profit!$E$1&amp;" Your Home"</f>
        <v>Buy Your Home</v>
      </c>
      <c r="B19" s="86">
        <f t="shared" si="2"/>
        <v>11</v>
      </c>
      <c r="C19" s="87"/>
      <c r="D19" s="85"/>
      <c r="E19" s="85" t="s">
        <v>391</v>
      </c>
      <c r="F19" s="86">
        <v>0</v>
      </c>
      <c r="G19" s="88">
        <f>+'Demo &amp; Trash Haul'!F29</f>
        <v>0</v>
      </c>
      <c r="H19" s="88">
        <f t="shared" si="0"/>
        <v>0</v>
      </c>
      <c r="I19" s="89"/>
      <c r="J19" s="88"/>
      <c r="K19" s="90"/>
      <c r="L19" s="88"/>
      <c r="M19" s="88"/>
      <c r="N19" s="88">
        <f t="shared" si="1"/>
        <v>0</v>
      </c>
      <c r="O19" s="89"/>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85" t="str">
        <f>Profit!$E$1&amp;" Your Home"</f>
        <v>Buy Your Home</v>
      </c>
      <c r="B20" s="86">
        <f t="shared" si="2"/>
        <v>12</v>
      </c>
      <c r="C20" s="87"/>
      <c r="D20" s="85"/>
      <c r="E20" s="85" t="s">
        <v>392</v>
      </c>
      <c r="F20" s="86">
        <v>0</v>
      </c>
      <c r="G20" s="88">
        <f>+'Demo &amp; Trash Haul'!F30</f>
        <v>0</v>
      </c>
      <c r="H20" s="88">
        <f t="shared" si="0"/>
        <v>0</v>
      </c>
      <c r="I20" s="89"/>
      <c r="J20" s="88"/>
      <c r="K20" s="90"/>
      <c r="L20" s="88"/>
      <c r="M20" s="88"/>
      <c r="N20" s="88">
        <f t="shared" si="1"/>
        <v>0</v>
      </c>
      <c r="O20" s="89"/>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85" t="str">
        <f>Profit!$E$1&amp;" Your Home"</f>
        <v>Buy Your Home</v>
      </c>
      <c r="B21" s="86">
        <f t="shared" si="2"/>
        <v>13</v>
      </c>
      <c r="C21" s="87"/>
      <c r="D21" s="85"/>
      <c r="E21" s="85" t="s">
        <v>393</v>
      </c>
      <c r="F21" s="86">
        <v>0</v>
      </c>
      <c r="G21" s="88">
        <v>0</v>
      </c>
      <c r="H21" s="88">
        <f t="shared" si="0"/>
        <v>0</v>
      </c>
      <c r="I21" s="89"/>
      <c r="J21" s="88"/>
      <c r="K21" s="90"/>
      <c r="L21" s="88"/>
      <c r="M21" s="88"/>
      <c r="N21" s="88">
        <f t="shared" si="1"/>
        <v>0</v>
      </c>
      <c r="O21" s="89"/>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85" t="str">
        <f>Profit!$E$1&amp;" Your Home"</f>
        <v>Buy Your Home</v>
      </c>
      <c r="B22" s="86">
        <f t="shared" si="2"/>
        <v>14</v>
      </c>
      <c r="C22" s="87"/>
      <c r="D22" s="85"/>
      <c r="E22" s="85" t="s">
        <v>394</v>
      </c>
      <c r="F22" s="86">
        <v>0</v>
      </c>
      <c r="G22" s="88">
        <f>+'Demo &amp; Trash Haul'!F32</f>
        <v>0</v>
      </c>
      <c r="H22" s="88">
        <f t="shared" si="0"/>
        <v>0</v>
      </c>
      <c r="I22" s="89"/>
      <c r="J22" s="88"/>
      <c r="K22" s="90"/>
      <c r="L22" s="88"/>
      <c r="M22" s="88"/>
      <c r="N22" s="88">
        <f t="shared" si="1"/>
        <v>0</v>
      </c>
      <c r="O22" s="89"/>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91"/>
      <c r="B23" s="92"/>
      <c r="C23" s="93"/>
      <c r="D23" s="93"/>
      <c r="E23" s="94" t="str">
        <f>Profit!E1&amp;" Your Home's Paid Contractors"</f>
        <v>Buy Your Home's Paid Contractors</v>
      </c>
      <c r="F23" s="95"/>
      <c r="G23" s="93"/>
      <c r="H23" s="93"/>
      <c r="I23" s="93"/>
      <c r="J23" s="93"/>
      <c r="K23" s="96"/>
      <c r="L23" s="93"/>
      <c r="M23" s="93"/>
      <c r="N23" s="93"/>
      <c r="O23" s="9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97" t="s">
        <v>395</v>
      </c>
      <c r="B24" s="98">
        <f>+B22+1</f>
        <v>15</v>
      </c>
      <c r="C24" s="99"/>
      <c r="D24" s="100"/>
      <c r="E24" s="101" t="s">
        <v>396</v>
      </c>
      <c r="F24" s="102">
        <v>1</v>
      </c>
      <c r="G24" s="103">
        <v>0</v>
      </c>
      <c r="H24" s="103">
        <f>+F24*G24</f>
        <v>0</v>
      </c>
      <c r="I24" s="104"/>
      <c r="J24" s="104"/>
      <c r="K24" s="105"/>
      <c r="L24" s="104"/>
      <c r="M24" s="104"/>
      <c r="N24" s="104">
        <f>IF(I24="Yes",H24,0)</f>
        <v>0</v>
      </c>
      <c r="O24" s="104"/>
      <c r="R24" s="44"/>
      <c r="S24" s="44"/>
      <c r="T24" s="44"/>
      <c r="U24" s="44"/>
      <c r="V24" s="44"/>
      <c r="W24" s="44"/>
      <c r="X24" s="44"/>
      <c r="Y24" s="44"/>
      <c r="Z24" s="44"/>
      <c r="AA24" s="543" t="s">
        <v>397</v>
      </c>
      <c r="AB24" s="544"/>
      <c r="AC24" s="544"/>
      <c r="AD24" s="544"/>
      <c r="AE24" s="544"/>
      <c r="AF24" s="544"/>
      <c r="AG24" s="544"/>
      <c r="AH24" s="544"/>
      <c r="AI24" s="43"/>
      <c r="AJ24" s="43"/>
      <c r="AK24" s="43"/>
      <c r="AL24" s="43"/>
      <c r="AM24" s="43"/>
      <c r="AN24" s="43"/>
      <c r="AO24" s="43"/>
      <c r="AP24" s="43"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97" t="s">
        <v>395</v>
      </c>
      <c r="B25" s="98">
        <f>+B24+1</f>
        <v>16</v>
      </c>
      <c r="C25" s="99"/>
      <c r="D25" s="100"/>
      <c r="E25" s="101" t="s">
        <v>396</v>
      </c>
      <c r="F25" s="102">
        <v>0</v>
      </c>
      <c r="G25" s="103">
        <v>400</v>
      </c>
      <c r="H25" s="103">
        <f>+F25*G25</f>
        <v>0</v>
      </c>
      <c r="I25" s="104"/>
      <c r="J25" s="104"/>
      <c r="K25" s="105"/>
      <c r="L25" s="104"/>
      <c r="M25" s="104"/>
      <c r="N25" s="104">
        <f>IF(I25="Yes",H25,0)</f>
        <v>0</v>
      </c>
      <c r="O25" s="104"/>
      <c r="R25" s="44"/>
      <c r="S25" s="44"/>
      <c r="T25" s="44"/>
      <c r="U25" s="44"/>
      <c r="V25" s="44"/>
      <c r="W25" s="44"/>
      <c r="X25" s="44"/>
      <c r="Y25" s="44"/>
      <c r="Z25" s="44"/>
      <c r="AA25" s="544"/>
      <c r="AB25" s="544"/>
      <c r="AC25" s="544"/>
      <c r="AD25" s="544"/>
      <c r="AE25" s="544"/>
      <c r="AF25" s="544"/>
      <c r="AG25" s="544"/>
      <c r="AH25" s="544"/>
      <c r="AI25" s="43"/>
      <c r="AJ25" s="43"/>
      <c r="AK25" s="43"/>
      <c r="AL25" s="43"/>
      <c r="AM25" s="43"/>
      <c r="AN25" s="43"/>
      <c r="AO25" s="43"/>
      <c r="AP25" s="43"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97" t="s">
        <v>398</v>
      </c>
      <c r="B26" s="98">
        <f>+B25+1</f>
        <v>17</v>
      </c>
      <c r="C26" s="99"/>
      <c r="D26" s="100"/>
      <c r="E26" s="101" t="s">
        <v>399</v>
      </c>
      <c r="F26" s="102">
        <v>0</v>
      </c>
      <c r="G26" s="103">
        <f>+HVAC!F13</f>
        <v>0</v>
      </c>
      <c r="H26" s="103">
        <f>+F26*G26</f>
        <v>0</v>
      </c>
      <c r="I26" s="104"/>
      <c r="J26" s="104"/>
      <c r="K26" s="105"/>
      <c r="L26" s="104"/>
      <c r="M26" s="104"/>
      <c r="N26" s="104">
        <f>IF(I26="Yes",H26,0)</f>
        <v>0</v>
      </c>
      <c r="O26" s="104"/>
      <c r="R26" s="44"/>
      <c r="S26" s="44"/>
      <c r="T26" s="44"/>
      <c r="U26" s="44"/>
      <c r="V26" s="44"/>
      <c r="W26" s="44"/>
      <c r="X26" s="44"/>
      <c r="Y26" s="44"/>
      <c r="Z26" s="44"/>
      <c r="AB26" s="68">
        <v>0</v>
      </c>
      <c r="AC26" s="43"/>
      <c r="AD26" s="43"/>
      <c r="AE26" s="43"/>
      <c r="AF26" s="43"/>
      <c r="AG26" s="43"/>
      <c r="AH26" s="43"/>
      <c r="AI26" s="43"/>
      <c r="AJ26" s="43"/>
      <c r="AK26" s="43"/>
      <c r="AL26" s="43"/>
      <c r="AM26" s="43"/>
      <c r="AN26" s="43"/>
      <c r="AO26" s="43"/>
      <c r="AP26" s="43"/>
    </row>
    <row r="27" spans="1:125" s="42" customFormat="1" ht="20.100000000000001" customHeight="1" x14ac:dyDescent="0.25">
      <c r="A27" s="97" t="s">
        <v>398</v>
      </c>
      <c r="B27" s="98">
        <f>+B26+1</f>
        <v>18</v>
      </c>
      <c r="C27" s="99"/>
      <c r="D27" s="100"/>
      <c r="E27" s="101" t="s">
        <v>400</v>
      </c>
      <c r="F27" s="102">
        <v>0</v>
      </c>
      <c r="G27" s="103">
        <v>4598</v>
      </c>
      <c r="H27" s="103">
        <f>+F27*G27</f>
        <v>0</v>
      </c>
      <c r="I27" s="104"/>
      <c r="J27" s="104"/>
      <c r="K27" s="105"/>
      <c r="L27" s="104"/>
      <c r="M27" s="104"/>
      <c r="N27" s="104">
        <f>IF(I27="Yes",H27,0)</f>
        <v>0</v>
      </c>
      <c r="O27" s="104"/>
      <c r="R27" s="44"/>
      <c r="S27" s="44"/>
      <c r="T27" s="44"/>
      <c r="U27" s="44"/>
      <c r="V27" s="44"/>
      <c r="W27" s="44"/>
      <c r="X27" s="44"/>
      <c r="Y27" s="44"/>
      <c r="Z27" s="44"/>
    </row>
    <row r="28" spans="1:125" s="42" customFormat="1" ht="21.75" thickBot="1" x14ac:dyDescent="0.25">
      <c r="A28" s="106"/>
      <c r="B28" s="107"/>
      <c r="C28" s="106"/>
      <c r="D28" s="106"/>
      <c r="E28" s="94" t="str">
        <f>+A2 &amp; "Items (all items should be updated from Proposal or ProposalUpdate tab)"</f>
        <v>AvilaCRI Items (all items should be updated from Proposal or ProposalUpdate tab)</v>
      </c>
      <c r="F28" s="106"/>
      <c r="G28" s="106"/>
      <c r="H28" s="106"/>
      <c r="I28" s="106"/>
      <c r="J28" s="106"/>
      <c r="K28" s="108"/>
      <c r="L28" s="106"/>
      <c r="M28" s="106"/>
      <c r="N28" s="106"/>
      <c r="O28" s="106"/>
      <c r="P28" s="59" t="str">
        <f ca="1">IF(TEXT(Project_Start,"mmmm")=TEXT(P29,"mmmm"),"",TEXT(P29,"mmmm"))</f>
        <v/>
      </c>
      <c r="Q28" s="59" t="str">
        <f t="shared" ref="Q28:AV28" ca="1" si="3">IF(TEXT(P29,"mmmm")=TEXT(Q29,"mmmm"),"",TEXT(Q29,"mmmm"))</f>
        <v/>
      </c>
      <c r="R28" s="59" t="str">
        <f t="shared" ca="1" si="3"/>
        <v/>
      </c>
      <c r="S28" s="59" t="str">
        <f t="shared" ca="1" si="3"/>
        <v/>
      </c>
      <c r="T28" s="59" t="str">
        <f t="shared" ca="1" si="3"/>
        <v/>
      </c>
      <c r="U28" s="59" t="str">
        <f t="shared" ca="1" si="3"/>
        <v/>
      </c>
      <c r="V28" s="59" t="str">
        <f t="shared" ca="1" si="3"/>
        <v/>
      </c>
      <c r="W28" s="59" t="str">
        <f t="shared" ca="1" si="3"/>
        <v/>
      </c>
      <c r="X28" s="59" t="str">
        <f t="shared" ca="1" si="3"/>
        <v/>
      </c>
      <c r="Y28" s="59" t="str">
        <f t="shared" ca="1" si="3"/>
        <v/>
      </c>
      <c r="Z28" s="59" t="str">
        <f t="shared" ca="1" si="3"/>
        <v/>
      </c>
      <c r="AA28" s="59" t="str">
        <f t="shared" ca="1" si="3"/>
        <v/>
      </c>
      <c r="AB28" s="59" t="str">
        <f t="shared" ca="1" si="3"/>
        <v/>
      </c>
      <c r="AC28" s="59" t="str">
        <f t="shared" ca="1" si="3"/>
        <v/>
      </c>
      <c r="AD28" s="59" t="str">
        <f t="shared" ca="1" si="3"/>
        <v/>
      </c>
      <c r="AE28" s="59" t="str">
        <f t="shared" ca="1" si="3"/>
        <v/>
      </c>
      <c r="AF28" s="59" t="str">
        <f t="shared" ca="1" si="3"/>
        <v/>
      </c>
      <c r="AG28" s="59" t="str">
        <f t="shared" ca="1" si="3"/>
        <v/>
      </c>
      <c r="AH28" s="59" t="str">
        <f t="shared" ca="1" si="3"/>
        <v/>
      </c>
      <c r="AI28" s="59" t="str">
        <f t="shared" ca="1" si="3"/>
        <v>November</v>
      </c>
      <c r="AJ28" s="59" t="str">
        <f t="shared" ca="1" si="3"/>
        <v/>
      </c>
      <c r="AK28" s="59" t="str">
        <f t="shared" ca="1" si="3"/>
        <v/>
      </c>
      <c r="AL28" s="59" t="str">
        <f t="shared" ca="1" si="3"/>
        <v/>
      </c>
      <c r="AM28" s="59" t="str">
        <f t="shared" ca="1" si="3"/>
        <v/>
      </c>
      <c r="AN28" s="59" t="str">
        <f t="shared" ca="1" si="3"/>
        <v/>
      </c>
      <c r="AO28" s="59" t="str">
        <f t="shared" ca="1" si="3"/>
        <v/>
      </c>
      <c r="AP28" s="59" t="str">
        <f t="shared" ca="1" si="3"/>
        <v/>
      </c>
      <c r="AQ28" s="59" t="str">
        <f t="shared" ca="1" si="3"/>
        <v/>
      </c>
      <c r="AR28" s="59" t="str">
        <f t="shared" ca="1" si="3"/>
        <v/>
      </c>
      <c r="AS28" s="59" t="str">
        <f t="shared" ca="1" si="3"/>
        <v/>
      </c>
      <c r="AT28" s="59" t="str">
        <f t="shared" ca="1" si="3"/>
        <v/>
      </c>
      <c r="AU28" s="59" t="str">
        <f t="shared" ca="1" si="3"/>
        <v/>
      </c>
      <c r="AV28" s="59" t="str">
        <f t="shared" ca="1" si="3"/>
        <v/>
      </c>
      <c r="AW28" s="59" t="str">
        <f t="shared" ref="AW28:CB28" ca="1" si="4">IF(TEXT(AV29,"mmmm")=TEXT(AW29,"mmmm"),"",TEXT(AW29,"mmmm"))</f>
        <v/>
      </c>
      <c r="AX28" s="59" t="str">
        <f t="shared" ca="1" si="4"/>
        <v/>
      </c>
      <c r="AY28" s="59" t="str">
        <f t="shared" ca="1" si="4"/>
        <v/>
      </c>
      <c r="AZ28" s="59" t="str">
        <f t="shared" ca="1" si="4"/>
        <v/>
      </c>
      <c r="BA28" s="59" t="str">
        <f t="shared" ca="1" si="4"/>
        <v/>
      </c>
      <c r="BB28" s="59" t="str">
        <f t="shared" ca="1" si="4"/>
        <v/>
      </c>
      <c r="BC28" s="59" t="str">
        <f t="shared" ca="1" si="4"/>
        <v/>
      </c>
      <c r="BD28" s="59" t="str">
        <f t="shared" ca="1" si="4"/>
        <v/>
      </c>
      <c r="BE28" s="59" t="str">
        <f t="shared" ca="1" si="4"/>
        <v/>
      </c>
      <c r="BF28" s="59" t="str">
        <f t="shared" ca="1" si="4"/>
        <v/>
      </c>
      <c r="BG28" s="59" t="str">
        <f t="shared" ca="1" si="4"/>
        <v/>
      </c>
      <c r="BH28" s="59" t="str">
        <f t="shared" ca="1" si="4"/>
        <v/>
      </c>
      <c r="BI28" s="59" t="str">
        <f t="shared" ca="1" si="4"/>
        <v/>
      </c>
      <c r="BJ28" s="59" t="str">
        <f t="shared" ca="1" si="4"/>
        <v/>
      </c>
      <c r="BK28" s="59" t="str">
        <f t="shared" ca="1" si="4"/>
        <v/>
      </c>
      <c r="BL28" s="59" t="str">
        <f t="shared" ca="1" si="4"/>
        <v/>
      </c>
      <c r="BM28" s="59" t="str">
        <f t="shared" ca="1" si="4"/>
        <v>December</v>
      </c>
      <c r="BN28" s="59" t="str">
        <f t="shared" ca="1" si="4"/>
        <v/>
      </c>
      <c r="BO28" s="59" t="str">
        <f t="shared" ca="1" si="4"/>
        <v/>
      </c>
      <c r="BP28" s="59" t="str">
        <f t="shared" ca="1" si="4"/>
        <v/>
      </c>
      <c r="BQ28" s="59" t="str">
        <f t="shared" ca="1" si="4"/>
        <v/>
      </c>
      <c r="BR28" s="59" t="str">
        <f t="shared" ca="1" si="4"/>
        <v/>
      </c>
      <c r="BS28" s="59" t="str">
        <f t="shared" ca="1" si="4"/>
        <v/>
      </c>
      <c r="BT28" s="59" t="str">
        <f t="shared" ca="1" si="4"/>
        <v/>
      </c>
      <c r="BU28" s="59" t="str">
        <f t="shared" ca="1" si="4"/>
        <v/>
      </c>
      <c r="BV28" s="59" t="str">
        <f t="shared" ca="1" si="4"/>
        <v/>
      </c>
      <c r="BW28" s="59" t="str">
        <f t="shared" ca="1" si="4"/>
        <v/>
      </c>
      <c r="BX28" s="59" t="str">
        <f t="shared" ca="1" si="4"/>
        <v/>
      </c>
      <c r="BY28" s="59" t="str">
        <f t="shared" ca="1" si="4"/>
        <v/>
      </c>
      <c r="BZ28" s="59" t="str">
        <f t="shared" ca="1" si="4"/>
        <v/>
      </c>
      <c r="CA28" s="59" t="str">
        <f t="shared" ca="1" si="4"/>
        <v/>
      </c>
      <c r="CB28" s="59" t="str">
        <f t="shared" ca="1" si="4"/>
        <v/>
      </c>
      <c r="CC28" s="59" t="str">
        <f t="shared" ref="CC28:CU28" ca="1" si="5">IF(TEXT(CB29,"mmmm")=TEXT(CC29,"mmmm"),"",TEXT(CC29,"mmmm"))</f>
        <v/>
      </c>
      <c r="CD28" s="59" t="str">
        <f t="shared" ca="1" si="5"/>
        <v/>
      </c>
      <c r="CE28" s="59" t="str">
        <f t="shared" ca="1" si="5"/>
        <v/>
      </c>
      <c r="CF28" s="59" t="str">
        <f t="shared" ca="1" si="5"/>
        <v/>
      </c>
      <c r="CG28" s="59" t="str">
        <f t="shared" ca="1" si="5"/>
        <v/>
      </c>
      <c r="CH28" s="59" t="str">
        <f t="shared" ca="1" si="5"/>
        <v/>
      </c>
      <c r="CI28" s="59" t="str">
        <f t="shared" ca="1" si="5"/>
        <v/>
      </c>
      <c r="CJ28" s="59" t="str">
        <f t="shared" ca="1" si="5"/>
        <v/>
      </c>
      <c r="CK28" s="59" t="str">
        <f t="shared" ca="1" si="5"/>
        <v/>
      </c>
      <c r="CL28" s="59" t="str">
        <f t="shared" ca="1" si="5"/>
        <v/>
      </c>
      <c r="CM28" s="59" t="str">
        <f t="shared" ca="1" si="5"/>
        <v/>
      </c>
      <c r="CN28" s="59" t="str">
        <f t="shared" ca="1" si="5"/>
        <v/>
      </c>
      <c r="CO28" s="59" t="str">
        <f t="shared" ca="1" si="5"/>
        <v/>
      </c>
      <c r="CP28" s="59" t="str">
        <f t="shared" ca="1" si="5"/>
        <v/>
      </c>
      <c r="CQ28" s="59" t="str">
        <f t="shared" ca="1" si="5"/>
        <v/>
      </c>
      <c r="CR28" s="59" t="str">
        <f t="shared" ca="1" si="5"/>
        <v>January</v>
      </c>
      <c r="CS28" s="59" t="str">
        <f t="shared" ca="1" si="5"/>
        <v/>
      </c>
      <c r="CT28" s="59" t="str">
        <f t="shared" ca="1" si="5"/>
        <v/>
      </c>
      <c r="CU28" s="59" t="str">
        <f t="shared" ca="1" si="5"/>
        <v/>
      </c>
    </row>
    <row r="29" spans="1:125" s="56" customFormat="1" ht="34.5" customHeight="1" thickTop="1" x14ac:dyDescent="0.25">
      <c r="A29" s="300" t="s">
        <v>355</v>
      </c>
      <c r="B29" s="300" t="s">
        <v>356</v>
      </c>
      <c r="C29" s="300" t="s">
        <v>357</v>
      </c>
      <c r="D29" s="300" t="s">
        <v>358</v>
      </c>
      <c r="E29" s="300" t="s">
        <v>359</v>
      </c>
      <c r="F29" s="300" t="s">
        <v>241</v>
      </c>
      <c r="G29" s="321" t="s">
        <v>242</v>
      </c>
      <c r="H29" s="321" t="s">
        <v>360</v>
      </c>
      <c r="I29" s="300" t="s">
        <v>361</v>
      </c>
      <c r="J29" s="300" t="s">
        <v>362</v>
      </c>
      <c r="K29" s="322" t="s">
        <v>82</v>
      </c>
      <c r="L29" s="300" t="s">
        <v>363</v>
      </c>
      <c r="M29" s="300" t="s">
        <v>364</v>
      </c>
      <c r="N29" s="22" t="s">
        <v>368</v>
      </c>
      <c r="O29" s="22" t="s">
        <v>161</v>
      </c>
      <c r="P29" s="62">
        <f ca="1">IFERROR(Project_Start+Scrolling_Increment,TODAY())</f>
        <v>45212</v>
      </c>
      <c r="Q29" s="62">
        <f t="shared" ref="Q29:AV29" ca="1" si="6">+P29+1</f>
        <v>45213</v>
      </c>
      <c r="R29" s="62">
        <f t="shared" ca="1" si="6"/>
        <v>45214</v>
      </c>
      <c r="S29" s="62">
        <f t="shared" ca="1" si="6"/>
        <v>45215</v>
      </c>
      <c r="T29" s="62">
        <f t="shared" ca="1" si="6"/>
        <v>45216</v>
      </c>
      <c r="U29" s="62">
        <f t="shared" ca="1" si="6"/>
        <v>45217</v>
      </c>
      <c r="V29" s="62">
        <f t="shared" ca="1" si="6"/>
        <v>45218</v>
      </c>
      <c r="W29" s="62">
        <f t="shared" ca="1" si="6"/>
        <v>45219</v>
      </c>
      <c r="X29" s="62">
        <f t="shared" ca="1" si="6"/>
        <v>45220</v>
      </c>
      <c r="Y29" s="62">
        <f t="shared" ca="1" si="6"/>
        <v>45221</v>
      </c>
      <c r="Z29" s="62">
        <f t="shared" ca="1" si="6"/>
        <v>45222</v>
      </c>
      <c r="AA29" s="62">
        <f t="shared" ca="1" si="6"/>
        <v>45223</v>
      </c>
      <c r="AB29" s="62">
        <f t="shared" ca="1" si="6"/>
        <v>45224</v>
      </c>
      <c r="AC29" s="62">
        <f t="shared" ca="1" si="6"/>
        <v>45225</v>
      </c>
      <c r="AD29" s="62">
        <f t="shared" ca="1" si="6"/>
        <v>45226</v>
      </c>
      <c r="AE29" s="62">
        <f t="shared" ca="1" si="6"/>
        <v>45227</v>
      </c>
      <c r="AF29" s="62">
        <f t="shared" ca="1" si="6"/>
        <v>45228</v>
      </c>
      <c r="AG29" s="62">
        <f t="shared" ca="1" si="6"/>
        <v>45229</v>
      </c>
      <c r="AH29" s="62">
        <f t="shared" ca="1" si="6"/>
        <v>45230</v>
      </c>
      <c r="AI29" s="62">
        <f t="shared" ca="1" si="6"/>
        <v>45231</v>
      </c>
      <c r="AJ29" s="62">
        <f t="shared" ca="1" si="6"/>
        <v>45232</v>
      </c>
      <c r="AK29" s="62">
        <f t="shared" ca="1" si="6"/>
        <v>45233</v>
      </c>
      <c r="AL29" s="62">
        <f t="shared" ca="1" si="6"/>
        <v>45234</v>
      </c>
      <c r="AM29" s="62">
        <f t="shared" ca="1" si="6"/>
        <v>45235</v>
      </c>
      <c r="AN29" s="62">
        <f t="shared" ca="1" si="6"/>
        <v>45236</v>
      </c>
      <c r="AO29" s="62">
        <f t="shared" ca="1" si="6"/>
        <v>45237</v>
      </c>
      <c r="AP29" s="62">
        <f t="shared" ca="1" si="6"/>
        <v>45238</v>
      </c>
      <c r="AQ29" s="62">
        <f t="shared" ca="1" si="6"/>
        <v>45239</v>
      </c>
      <c r="AR29" s="62">
        <f t="shared" ca="1" si="6"/>
        <v>45240</v>
      </c>
      <c r="AS29" s="62">
        <f t="shared" ca="1" si="6"/>
        <v>45241</v>
      </c>
      <c r="AT29" s="62">
        <f t="shared" ca="1" si="6"/>
        <v>45242</v>
      </c>
      <c r="AU29" s="62">
        <f t="shared" ca="1" si="6"/>
        <v>45243</v>
      </c>
      <c r="AV29" s="62">
        <f t="shared" ca="1" si="6"/>
        <v>45244</v>
      </c>
      <c r="AW29" s="62">
        <f t="shared" ref="AW29:CB29" ca="1" si="7">+AV29+1</f>
        <v>45245</v>
      </c>
      <c r="AX29" s="62">
        <f t="shared" ca="1" si="7"/>
        <v>45246</v>
      </c>
      <c r="AY29" s="62">
        <f t="shared" ca="1" si="7"/>
        <v>45247</v>
      </c>
      <c r="AZ29" s="62">
        <f t="shared" ca="1" si="7"/>
        <v>45248</v>
      </c>
      <c r="BA29" s="62">
        <f t="shared" ca="1" si="7"/>
        <v>45249</v>
      </c>
      <c r="BB29" s="62">
        <f t="shared" ca="1" si="7"/>
        <v>45250</v>
      </c>
      <c r="BC29" s="62">
        <f t="shared" ca="1" si="7"/>
        <v>45251</v>
      </c>
      <c r="BD29" s="62">
        <f t="shared" ca="1" si="7"/>
        <v>45252</v>
      </c>
      <c r="BE29" s="62">
        <f t="shared" ca="1" si="7"/>
        <v>45253</v>
      </c>
      <c r="BF29" s="62">
        <f t="shared" ca="1" si="7"/>
        <v>45254</v>
      </c>
      <c r="BG29" s="62">
        <f t="shared" ca="1" si="7"/>
        <v>45255</v>
      </c>
      <c r="BH29" s="62">
        <f t="shared" ca="1" si="7"/>
        <v>45256</v>
      </c>
      <c r="BI29" s="62">
        <f t="shared" ca="1" si="7"/>
        <v>45257</v>
      </c>
      <c r="BJ29" s="62">
        <f t="shared" ca="1" si="7"/>
        <v>45258</v>
      </c>
      <c r="BK29" s="62">
        <f t="shared" ca="1" si="7"/>
        <v>45259</v>
      </c>
      <c r="BL29" s="62">
        <f t="shared" ca="1" si="7"/>
        <v>45260</v>
      </c>
      <c r="BM29" s="62">
        <f t="shared" ca="1" si="7"/>
        <v>45261</v>
      </c>
      <c r="BN29" s="62">
        <f t="shared" ca="1" si="7"/>
        <v>45262</v>
      </c>
      <c r="BO29" s="62">
        <f t="shared" ca="1" si="7"/>
        <v>45263</v>
      </c>
      <c r="BP29" s="62">
        <f t="shared" ca="1" si="7"/>
        <v>45264</v>
      </c>
      <c r="BQ29" s="62">
        <f t="shared" ca="1" si="7"/>
        <v>45265</v>
      </c>
      <c r="BR29" s="62">
        <f t="shared" ca="1" si="7"/>
        <v>45266</v>
      </c>
      <c r="BS29" s="62">
        <f t="shared" ca="1" si="7"/>
        <v>45267</v>
      </c>
      <c r="BT29" s="62">
        <f t="shared" ca="1" si="7"/>
        <v>45268</v>
      </c>
      <c r="BU29" s="62">
        <f t="shared" ca="1" si="7"/>
        <v>45269</v>
      </c>
      <c r="BV29" s="62">
        <f t="shared" ca="1" si="7"/>
        <v>45270</v>
      </c>
      <c r="BW29" s="62">
        <f t="shared" ca="1" si="7"/>
        <v>45271</v>
      </c>
      <c r="BX29" s="62">
        <f t="shared" ca="1" si="7"/>
        <v>45272</v>
      </c>
      <c r="BY29" s="62">
        <f t="shared" ca="1" si="7"/>
        <v>45273</v>
      </c>
      <c r="BZ29" s="62">
        <f t="shared" ca="1" si="7"/>
        <v>45274</v>
      </c>
      <c r="CA29" s="62">
        <f t="shared" ca="1" si="7"/>
        <v>45275</v>
      </c>
      <c r="CB29" s="62">
        <f t="shared" ca="1" si="7"/>
        <v>45276</v>
      </c>
      <c r="CC29" s="62">
        <f t="shared" ref="CC29:CU29" ca="1" si="8">+CB29+1</f>
        <v>45277</v>
      </c>
      <c r="CD29" s="62">
        <f t="shared" ca="1" si="8"/>
        <v>45278</v>
      </c>
      <c r="CE29" s="62">
        <f t="shared" ca="1" si="8"/>
        <v>45279</v>
      </c>
      <c r="CF29" s="62">
        <f t="shared" ca="1" si="8"/>
        <v>45280</v>
      </c>
      <c r="CG29" s="62">
        <f t="shared" ca="1" si="8"/>
        <v>45281</v>
      </c>
      <c r="CH29" s="62">
        <f t="shared" ca="1" si="8"/>
        <v>45282</v>
      </c>
      <c r="CI29" s="62">
        <f t="shared" ca="1" si="8"/>
        <v>45283</v>
      </c>
      <c r="CJ29" s="62">
        <f t="shared" ca="1" si="8"/>
        <v>45284</v>
      </c>
      <c r="CK29" s="62">
        <f t="shared" ca="1" si="8"/>
        <v>45285</v>
      </c>
      <c r="CL29" s="62">
        <f t="shared" ca="1" si="8"/>
        <v>45286</v>
      </c>
      <c r="CM29" s="62">
        <f t="shared" ca="1" si="8"/>
        <v>45287</v>
      </c>
      <c r="CN29" s="62">
        <f t="shared" ca="1" si="8"/>
        <v>45288</v>
      </c>
      <c r="CO29" s="62">
        <f t="shared" ca="1" si="8"/>
        <v>45289</v>
      </c>
      <c r="CP29" s="62">
        <f t="shared" ca="1" si="8"/>
        <v>45290</v>
      </c>
      <c r="CQ29" s="62">
        <f t="shared" ca="1" si="8"/>
        <v>45291</v>
      </c>
      <c r="CR29" s="62">
        <f t="shared" ca="1" si="8"/>
        <v>45292</v>
      </c>
      <c r="CS29" s="62">
        <f t="shared" ca="1" si="8"/>
        <v>45293</v>
      </c>
      <c r="CT29" s="62">
        <f t="shared" ca="1" si="8"/>
        <v>45294</v>
      </c>
      <c r="CU29" s="62">
        <f t="shared" ca="1" si="8"/>
        <v>45295</v>
      </c>
    </row>
    <row r="30" spans="1:125" s="42" customFormat="1" ht="20.100000000000001" customHeight="1" x14ac:dyDescent="0.25">
      <c r="A30" t="s">
        <v>370</v>
      </c>
      <c r="B30">
        <v>5</v>
      </c>
      <c r="C30" t="s">
        <v>251</v>
      </c>
      <c r="D30" t="s">
        <v>252</v>
      </c>
      <c r="E30" t="s">
        <v>251</v>
      </c>
      <c r="F30">
        <v>0</v>
      </c>
      <c r="G30" s="14">
        <v>0</v>
      </c>
      <c r="H30" s="14">
        <v>0</v>
      </c>
      <c r="I30"/>
      <c r="J30">
        <v>0</v>
      </c>
      <c r="K30" s="287"/>
      <c r="L30"/>
      <c r="M30" s="14"/>
      <c r="N30" s="336"/>
      <c r="O30" s="324"/>
      <c r="P30" s="37" t="str">
        <f ca="1">IFERROR(+IF(P$29=ProposalToGnatt[[#This Row],[Start Date]],Milestone_Marker,IF(AND(P$29&gt;ProposalToGnatt[[#This Row],[Start Date]],P$29&lt;ProposalToGnatt[[#This Row],[Start Date]]+ProposalToGnatt[[#This Row],[Days]]),$G$5,"")),"")</f>
        <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370</v>
      </c>
      <c r="B31">
        <v>6</v>
      </c>
      <c r="C31" t="s">
        <v>253</v>
      </c>
      <c r="D31" t="s">
        <v>252</v>
      </c>
      <c r="E31" t="s">
        <v>254</v>
      </c>
      <c r="F31">
        <v>0</v>
      </c>
      <c r="G31" s="14">
        <v>0</v>
      </c>
      <c r="H31" s="14">
        <v>0</v>
      </c>
      <c r="I31"/>
      <c r="J31">
        <v>0</v>
      </c>
      <c r="K31" s="287"/>
      <c r="L31">
        <v>5</v>
      </c>
      <c r="M31" s="14"/>
      <c r="N31" s="336"/>
      <c r="O31" s="324"/>
      <c r="P31" s="37" t="str">
        <f ca="1">IFERROR(+IF(P$29=ProposalToGnatt[[#This Row],[Start Date]],Milestone_Marker,IF(AND(P$29&gt;ProposalToGnatt[[#This Row],[Start Date]],P$29&lt;ProposalToGnatt[[#This Row],[Start Date]]+ProposalToGnatt[[#This Row],[Days]]),$G$5,"")),"")</f>
        <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370</v>
      </c>
      <c r="B32">
        <v>7</v>
      </c>
      <c r="C32" t="s">
        <v>255</v>
      </c>
      <c r="D32" t="s">
        <v>252</v>
      </c>
      <c r="E32" t="s">
        <v>256</v>
      </c>
      <c r="F32">
        <v>0</v>
      </c>
      <c r="G32" s="14">
        <v>0</v>
      </c>
      <c r="H32" s="14">
        <v>0</v>
      </c>
      <c r="I32"/>
      <c r="J32">
        <v>0</v>
      </c>
      <c r="K32" s="287"/>
      <c r="L32"/>
      <c r="M32" s="14"/>
      <c r="N32" s="336"/>
      <c r="O32" s="324"/>
      <c r="P32" s="37" t="str">
        <f ca="1">IFERROR(+IF(P$29=ProposalToGnatt[[#This Row],[Start Date]],Milestone_Marker,IF(AND(P$29&gt;ProposalToGnatt[[#This Row],[Start Date]],P$29&lt;ProposalToGnatt[[#This Row],[Start Date]]+ProposalToGnatt[[#This Row],[Days]]),$G$5,"")),"")</f>
        <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370</v>
      </c>
      <c r="B33">
        <v>8</v>
      </c>
      <c r="C33" t="s">
        <v>257</v>
      </c>
      <c r="D33" t="s">
        <v>252</v>
      </c>
      <c r="E33" t="s">
        <v>258</v>
      </c>
      <c r="F33">
        <v>0</v>
      </c>
      <c r="G33" s="14">
        <v>0</v>
      </c>
      <c r="H33" s="14">
        <v>0</v>
      </c>
      <c r="I33"/>
      <c r="J33">
        <v>0</v>
      </c>
      <c r="K33" s="287"/>
      <c r="L33"/>
      <c r="M33" s="14"/>
      <c r="N33" s="336"/>
      <c r="O33" s="324"/>
      <c r="P33" s="37" t="str">
        <f ca="1">IFERROR(+IF(P$29=ProposalToGnatt[[#This Row],[Start Date]],Milestone_Marker,IF(AND(P$29&gt;ProposalToGnatt[[#This Row],[Start Date]],P$29&lt;ProposalToGnatt[[#This Row],[Start Date]]+ProposalToGnatt[[#This Row],[Days]]),$G$5,"")),"")</f>
        <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370</v>
      </c>
      <c r="B34">
        <v>9</v>
      </c>
      <c r="C34" t="s">
        <v>259</v>
      </c>
      <c r="D34" t="s">
        <v>252</v>
      </c>
      <c r="E34" t="s">
        <v>260</v>
      </c>
      <c r="F34">
        <v>0</v>
      </c>
      <c r="G34" s="14">
        <v>0</v>
      </c>
      <c r="H34" s="14">
        <v>0</v>
      </c>
      <c r="I34" t="s">
        <v>45</v>
      </c>
      <c r="J34">
        <v>0</v>
      </c>
      <c r="K34" s="287"/>
      <c r="L34"/>
      <c r="M34" s="14"/>
      <c r="N34" s="336">
        <v>0</v>
      </c>
      <c r="O34" s="324"/>
      <c r="P34" s="37" t="str">
        <f ca="1">IFERROR(+IF(P$29=ProposalToGnatt[[#This Row],[Start Date]],Milestone_Marker,IF(AND(P$29&gt;ProposalToGnatt[[#This Row],[Start Date]],P$29&lt;ProposalToGnatt[[#This Row],[Start Date]]+ProposalToGnatt[[#This Row],[Days]]),$G$5,"")),"")</f>
        <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370</v>
      </c>
      <c r="B35">
        <v>10</v>
      </c>
      <c r="C35" t="s">
        <v>261</v>
      </c>
      <c r="D35" t="s">
        <v>262</v>
      </c>
      <c r="E35" t="s">
        <v>263</v>
      </c>
      <c r="F35">
        <v>1</v>
      </c>
      <c r="G35" s="14">
        <v>3800</v>
      </c>
      <c r="H35" s="14">
        <v>3800</v>
      </c>
      <c r="I35" t="s">
        <v>45</v>
      </c>
      <c r="J35">
        <v>1</v>
      </c>
      <c r="K35" s="287">
        <v>45213</v>
      </c>
      <c r="L35">
        <v>1</v>
      </c>
      <c r="M35" s="14"/>
      <c r="N35" s="336">
        <v>3800</v>
      </c>
      <c r="O35" s="324"/>
      <c r="P35" s="37" t="str">
        <f ca="1">IFERROR(+IF(P$29=ProposalToGnatt[[#This Row],[Start Date]],Milestone_Marker,IF(AND(P$29&gt;ProposalToGnatt[[#This Row],[Start Date]],P$29&lt;ProposalToGnatt[[#This Row],[Start Date]]+ProposalToGnatt[[#This Row],[Days]]),$G$5,"")),"")</f>
        <v/>
      </c>
      <c r="Q35" s="37">
        <f ca="1">IFERROR(+IF(Q$29=ProposalToGnatt[[#This Row],[Start Date]],Milestone_Marker,IF(AND(Q$29&gt;ProposalToGnatt[[#This Row],[Start Date]],Q$29&lt;ProposalToGnatt[[#This Row],[Start Date]]+ProposalToGnatt[[#This Row],[Days]]),$G$5,"")),"")</f>
        <v>1</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370</v>
      </c>
      <c r="B36">
        <v>11</v>
      </c>
      <c r="C36" t="s">
        <v>261</v>
      </c>
      <c r="D36"/>
      <c r="E36" t="s">
        <v>264</v>
      </c>
      <c r="F36">
        <v>0</v>
      </c>
      <c r="G36" s="14"/>
      <c r="H36" s="14"/>
      <c r="I36" t="s">
        <v>45</v>
      </c>
      <c r="J36">
        <v>1</v>
      </c>
      <c r="K36" s="287">
        <v>45213</v>
      </c>
      <c r="L36">
        <v>1</v>
      </c>
      <c r="M36" s="14"/>
      <c r="N36" s="336"/>
      <c r="O36" s="324"/>
      <c r="P36" s="37" t="str">
        <f ca="1">IFERROR(+IF(P$29=ProposalToGnatt[[#This Row],[Start Date]],Milestone_Marker,IF(AND(P$29&gt;ProposalToGnatt[[#This Row],[Start Date]],P$29&lt;ProposalToGnatt[[#This Row],[Start Date]]+ProposalToGnatt[[#This Row],[Days]]),$G$5,"")),"")</f>
        <v/>
      </c>
      <c r="Q36" s="37">
        <f ca="1">IFERROR(+IF(Q$29=ProposalToGnatt[[#This Row],[Start Date]],Milestone_Marker,IF(AND(Q$29&gt;ProposalToGnatt[[#This Row],[Start Date]],Q$29&lt;ProposalToGnatt[[#This Row],[Start Date]]+ProposalToGnatt[[#This Row],[Days]]),$G$5,"")),"")</f>
        <v>1</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370</v>
      </c>
      <c r="B37">
        <v>12</v>
      </c>
      <c r="C37" t="s">
        <v>261</v>
      </c>
      <c r="D37"/>
      <c r="E37" t="s">
        <v>265</v>
      </c>
      <c r="F37">
        <v>0</v>
      </c>
      <c r="G37" s="14"/>
      <c r="H37" s="14"/>
      <c r="I37" t="s">
        <v>45</v>
      </c>
      <c r="J37">
        <v>1</v>
      </c>
      <c r="K37" s="287">
        <v>45213</v>
      </c>
      <c r="L37">
        <v>1</v>
      </c>
      <c r="M37" s="14"/>
      <c r="N37" s="336"/>
      <c r="O37" s="324"/>
      <c r="P37" s="37" t="str">
        <f ca="1">IFERROR(+IF(P$29=ProposalToGnatt[[#This Row],[Start Date]],Milestone_Marker,IF(AND(P$29&gt;ProposalToGnatt[[#This Row],[Start Date]],P$29&lt;ProposalToGnatt[[#This Row],[Start Date]]+ProposalToGnatt[[#This Row],[Days]]),$G$5,"")),"")</f>
        <v/>
      </c>
      <c r="Q37" s="37">
        <f ca="1">IFERROR(+IF(Q$29=ProposalToGnatt[[#This Row],[Start Date]],Milestone_Marker,IF(AND(Q$29&gt;ProposalToGnatt[[#This Row],[Start Date]],Q$29&lt;ProposalToGnatt[[#This Row],[Start Date]]+ProposalToGnatt[[#This Row],[Days]]),$G$5,"")),"")</f>
        <v>1</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370</v>
      </c>
      <c r="B38">
        <v>13</v>
      </c>
      <c r="C38" t="s">
        <v>266</v>
      </c>
      <c r="D38"/>
      <c r="E38" t="s">
        <v>267</v>
      </c>
      <c r="F38">
        <v>1</v>
      </c>
      <c r="G38" s="14">
        <v>4950</v>
      </c>
      <c r="H38" s="14">
        <v>4950</v>
      </c>
      <c r="I38" t="s">
        <v>45</v>
      </c>
      <c r="J38">
        <v>1</v>
      </c>
      <c r="K38" s="287">
        <v>45216</v>
      </c>
      <c r="L38">
        <v>7</v>
      </c>
      <c r="M38" s="14"/>
      <c r="N38" s="336">
        <v>4950</v>
      </c>
      <c r="O38" s="324"/>
      <c r="P38" s="37" t="str">
        <f ca="1">IFERROR(+IF(P$29=ProposalToGnatt[[#This Row],[Start Date]],Milestone_Marker,IF(AND(P$29&gt;ProposalToGnatt[[#This Row],[Start Date]],P$29&lt;ProposalToGnatt[[#This Row],[Start Date]]+ProposalToGnatt[[#This Row],[Days]]),$G$5,"")),"")</f>
        <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f ca="1">IFERROR(+IF(T$29=ProposalToGnatt[[#This Row],[Start Date]],Milestone_Marker,IF(AND(T$29&gt;ProposalToGnatt[[#This Row],[Start Date]],T$29&lt;ProposalToGnatt[[#This Row],[Start Date]]+ProposalToGnatt[[#This Row],[Days]]),$G$5,"")),"")</f>
        <v>1</v>
      </c>
      <c r="U38" s="37">
        <f ca="1">IFERROR(+IF(U$29=ProposalToGnatt[[#This Row],[Start Date]],Milestone_Marker,IF(AND(U$29&gt;ProposalToGnatt[[#This Row],[Start Date]],U$29&lt;ProposalToGnatt[[#This Row],[Start Date]]+ProposalToGnatt[[#This Row],[Days]]),$G$5,"")),"")</f>
        <v>2</v>
      </c>
      <c r="V38" s="37">
        <f ca="1">IFERROR(+IF(V$29=ProposalToGnatt[[#This Row],[Start Date]],Milestone_Marker,IF(AND(V$29&gt;ProposalToGnatt[[#This Row],[Start Date]],V$29&lt;ProposalToGnatt[[#This Row],[Start Date]]+ProposalToGnatt[[#This Row],[Days]]),$G$5,"")),"")</f>
        <v>2</v>
      </c>
      <c r="W38" s="37">
        <f ca="1">IFERROR(+IF(W$29=ProposalToGnatt[[#This Row],[Start Date]],Milestone_Marker,IF(AND(W$29&gt;ProposalToGnatt[[#This Row],[Start Date]],W$29&lt;ProposalToGnatt[[#This Row],[Start Date]]+ProposalToGnatt[[#This Row],[Days]]),$G$5,"")),"")</f>
        <v>2</v>
      </c>
      <c r="X38" s="37">
        <f ca="1">IFERROR(+IF(X$29=ProposalToGnatt[[#This Row],[Start Date]],Milestone_Marker,IF(AND(X$29&gt;ProposalToGnatt[[#This Row],[Start Date]],X$29&lt;ProposalToGnatt[[#This Row],[Start Date]]+ProposalToGnatt[[#This Row],[Days]]),$G$5,"")),"")</f>
        <v>2</v>
      </c>
      <c r="Y38" s="37">
        <f ca="1">IFERROR(+IF(Y$29=ProposalToGnatt[[#This Row],[Start Date]],Milestone_Marker,IF(AND(Y$29&gt;ProposalToGnatt[[#This Row],[Start Date]],Y$29&lt;ProposalToGnatt[[#This Row],[Start Date]]+ProposalToGnatt[[#This Row],[Days]]),$G$5,"")),"")</f>
        <v>2</v>
      </c>
      <c r="Z38" s="37">
        <f ca="1">IFERROR(+IF(Z$29=ProposalToGnatt[[#This Row],[Start Date]],Milestone_Marker,IF(AND(Z$29&gt;ProposalToGnatt[[#This Row],[Start Date]],Z$29&lt;ProposalToGnatt[[#This Row],[Start Date]]+ProposalToGnatt[[#This Row],[Days]]),$G$5,"")),"")</f>
        <v>2</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370</v>
      </c>
      <c r="B39">
        <v>35</v>
      </c>
      <c r="C39" t="s">
        <v>281</v>
      </c>
      <c r="D39" t="s">
        <v>282</v>
      </c>
      <c r="E39" t="s">
        <v>295</v>
      </c>
      <c r="F39">
        <v>1</v>
      </c>
      <c r="G39" s="14"/>
      <c r="H39" s="14"/>
      <c r="I39"/>
      <c r="J39">
        <v>1</v>
      </c>
      <c r="K39" s="287">
        <v>45216</v>
      </c>
      <c r="L39">
        <v>1</v>
      </c>
      <c r="M39" s="14"/>
      <c r="N39" s="336"/>
      <c r="O39" s="324"/>
      <c r="P39" s="37" t="str">
        <f ca="1">IFERROR(+IF(P$29=ProposalToGnatt[[#This Row],[Start Date]],Milestone_Marker,IF(AND(P$29&gt;ProposalToGnatt[[#This Row],[Start Date]],P$29&lt;ProposalToGnatt[[#This Row],[Start Date]]+ProposalToGnatt[[#This Row],[Days]]),$G$5,"")),"")</f>
        <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f ca="1">IFERROR(+IF(T$29=ProposalToGnatt[[#This Row],[Start Date]],Milestone_Marker,IF(AND(T$29&gt;ProposalToGnatt[[#This Row],[Start Date]],T$29&lt;ProposalToGnatt[[#This Row],[Start Date]]+ProposalToGnatt[[#This Row],[Days]]),$G$5,"")),"")</f>
        <v>1</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370</v>
      </c>
      <c r="B40">
        <v>19</v>
      </c>
      <c r="C40" t="s">
        <v>259</v>
      </c>
      <c r="D40" t="s">
        <v>276</v>
      </c>
      <c r="E40" t="s">
        <v>277</v>
      </c>
      <c r="F40">
        <v>1</v>
      </c>
      <c r="G40" s="14">
        <v>3190</v>
      </c>
      <c r="H40" s="14">
        <v>3190</v>
      </c>
      <c r="I40" t="s">
        <v>45</v>
      </c>
      <c r="J40">
        <v>1</v>
      </c>
      <c r="K40" s="287">
        <v>45219</v>
      </c>
      <c r="L40">
        <v>1</v>
      </c>
      <c r="M40" s="14"/>
      <c r="N40" s="336">
        <v>3190</v>
      </c>
      <c r="O40" s="324" t="s">
        <v>366</v>
      </c>
      <c r="P40" s="37" t="str">
        <f ca="1">IFERROR(+IF(P$29=ProposalToGnatt[[#This Row],[Start Date]],Milestone_Marker,IF(AND(P$29&gt;ProposalToGnatt[[#This Row],[Start Date]],P$29&lt;ProposalToGnatt[[#This Row],[Start Date]]+ProposalToGnatt[[#This Row],[Days]]),$G$5,"")),"")</f>
        <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f ca="1">IFERROR(+IF(W$29=ProposalToGnatt[[#This Row],[Start Date]],Milestone_Marker,IF(AND(W$29&gt;ProposalToGnatt[[#This Row],[Start Date]],W$29&lt;ProposalToGnatt[[#This Row],[Start Date]]+ProposalToGnatt[[#This Row],[Days]]),$G$5,"")),"")</f>
        <v>1</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370</v>
      </c>
      <c r="B41">
        <v>18</v>
      </c>
      <c r="C41" t="s">
        <v>253</v>
      </c>
      <c r="D41" t="s">
        <v>274</v>
      </c>
      <c r="E41" t="s">
        <v>275</v>
      </c>
      <c r="F41">
        <v>1</v>
      </c>
      <c r="G41" s="14">
        <v>1200</v>
      </c>
      <c r="H41" s="14">
        <v>1200</v>
      </c>
      <c r="I41" t="s">
        <v>45</v>
      </c>
      <c r="J41">
        <v>1</v>
      </c>
      <c r="K41" s="287">
        <v>45225</v>
      </c>
      <c r="L41">
        <v>1</v>
      </c>
      <c r="M41" s="14"/>
      <c r="N41" s="336">
        <v>1200</v>
      </c>
      <c r="O41" s="324"/>
      <c r="P41" s="37" t="str">
        <f ca="1">IFERROR(+IF(P$29=ProposalToGnatt[[#This Row],[Start Date]],Milestone_Marker,IF(AND(P$29&gt;ProposalToGnatt[[#This Row],[Start Date]],P$29&lt;ProposalToGnatt[[#This Row],[Start Date]]+ProposalToGnatt[[#This Row],[Days]]),$G$5,"")),"")</f>
        <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f ca="1">IFERROR(+IF(AC$29=ProposalToGnatt[[#This Row],[Start Date]],Milestone_Marker,IF(AND(AC$29&gt;ProposalToGnatt[[#This Row],[Start Date]],AC$29&lt;ProposalToGnatt[[#This Row],[Start Date]]+ProposalToGnatt[[#This Row],[Days]]),$G$5,"")),"")</f>
        <v>1</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370</v>
      </c>
      <c r="B42">
        <v>15</v>
      </c>
      <c r="C42" t="s">
        <v>253</v>
      </c>
      <c r="D42" t="s">
        <v>270</v>
      </c>
      <c r="E42" t="s">
        <v>271</v>
      </c>
      <c r="F42">
        <v>1</v>
      </c>
      <c r="G42" s="14">
        <v>3790</v>
      </c>
      <c r="H42" s="14">
        <v>3790</v>
      </c>
      <c r="I42" t="s">
        <v>8</v>
      </c>
      <c r="J42">
        <v>1</v>
      </c>
      <c r="K42" s="287">
        <v>45226</v>
      </c>
      <c r="L42">
        <v>2</v>
      </c>
      <c r="M42" s="14"/>
      <c r="N42" s="336">
        <v>3790</v>
      </c>
      <c r="O42" s="324"/>
      <c r="P42" s="37" t="str">
        <f ca="1">IFERROR(+IF(P$29=ProposalToGnatt[[#This Row],[Start Date]],Milestone_Marker,IF(AND(P$29&gt;ProposalToGnatt[[#This Row],[Start Date]],P$29&lt;ProposalToGnatt[[#This Row],[Start Date]]+ProposalToGnatt[[#This Row],[Days]]),$G$5,"")),"")</f>
        <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f ca="1">IFERROR(+IF(AD$29=ProposalToGnatt[[#This Row],[Start Date]],Milestone_Marker,IF(AND(AD$29&gt;ProposalToGnatt[[#This Row],[Start Date]],AD$29&lt;ProposalToGnatt[[#This Row],[Start Date]]+ProposalToGnatt[[#This Row],[Days]]),$G$5,"")),"")</f>
        <v>1</v>
      </c>
      <c r="AE42" s="37">
        <f ca="1">IFERROR(+IF(AE$29=ProposalToGnatt[[#This Row],[Start Date]],Milestone_Marker,IF(AND(AE$29&gt;ProposalToGnatt[[#This Row],[Start Date]],AE$29&lt;ProposalToGnatt[[#This Row],[Start Date]]+ProposalToGnatt[[#This Row],[Days]]),$G$5,"")),"")</f>
        <v>2</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370</v>
      </c>
      <c r="B43">
        <v>22</v>
      </c>
      <c r="C43" t="s">
        <v>281</v>
      </c>
      <c r="D43" t="s">
        <v>282</v>
      </c>
      <c r="E43" t="s">
        <v>281</v>
      </c>
      <c r="F43">
        <v>1</v>
      </c>
      <c r="G43" s="14">
        <v>4252.5</v>
      </c>
      <c r="H43" s="14">
        <v>4252.5</v>
      </c>
      <c r="I43" t="s">
        <v>45</v>
      </c>
      <c r="J43">
        <v>1</v>
      </c>
      <c r="K43" s="287">
        <v>45229</v>
      </c>
      <c r="L43">
        <v>7</v>
      </c>
      <c r="M43" s="14"/>
      <c r="N43" s="336">
        <v>4252.5</v>
      </c>
      <c r="O43" s="324"/>
      <c r="P43" s="37" t="str">
        <f ca="1">IFERROR(+IF(P$29=ProposalToGnatt[[#This Row],[Start Date]],Milestone_Marker,IF(AND(P$29&gt;ProposalToGnatt[[#This Row],[Start Date]],P$29&lt;ProposalToGnatt[[#This Row],[Start Date]]+ProposalToGnatt[[#This Row],[Days]]),$G$5,"")),"")</f>
        <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f ca="1">IFERROR(+IF(AG$29=ProposalToGnatt[[#This Row],[Start Date]],Milestone_Marker,IF(AND(AG$29&gt;ProposalToGnatt[[#This Row],[Start Date]],AG$29&lt;ProposalToGnatt[[#This Row],[Start Date]]+ProposalToGnatt[[#This Row],[Days]]),$G$5,"")),"")</f>
        <v>1</v>
      </c>
      <c r="AH43" s="37">
        <f ca="1">IFERROR(+IF(AH$29=ProposalToGnatt[[#This Row],[Start Date]],Milestone_Marker,IF(AND(AH$29&gt;ProposalToGnatt[[#This Row],[Start Date]],AH$29&lt;ProposalToGnatt[[#This Row],[Start Date]]+ProposalToGnatt[[#This Row],[Days]]),$G$5,"")),"")</f>
        <v>2</v>
      </c>
      <c r="AI43" s="37">
        <f ca="1">IFERROR(+IF(AI$29=ProposalToGnatt[[#This Row],[Start Date]],Milestone_Marker,IF(AND(AI$29&gt;ProposalToGnatt[[#This Row],[Start Date]],AI$29&lt;ProposalToGnatt[[#This Row],[Start Date]]+ProposalToGnatt[[#This Row],[Days]]),$G$5,"")),"")</f>
        <v>2</v>
      </c>
      <c r="AJ43" s="37">
        <f ca="1">IFERROR(+IF(AJ$29=ProposalToGnatt[[#This Row],[Start Date]],Milestone_Marker,IF(AND(AJ$29&gt;ProposalToGnatt[[#This Row],[Start Date]],AJ$29&lt;ProposalToGnatt[[#This Row],[Start Date]]+ProposalToGnatt[[#This Row],[Days]]),$G$5,"")),"")</f>
        <v>2</v>
      </c>
      <c r="AK43" s="37">
        <f ca="1">IFERROR(+IF(AK$29=ProposalToGnatt[[#This Row],[Start Date]],Milestone_Marker,IF(AND(AK$29&gt;ProposalToGnatt[[#This Row],[Start Date]],AK$29&lt;ProposalToGnatt[[#This Row],[Start Date]]+ProposalToGnatt[[#This Row],[Days]]),$G$5,"")),"")</f>
        <v>2</v>
      </c>
      <c r="AL43" s="37">
        <f ca="1">IFERROR(+IF(AL$29=ProposalToGnatt[[#This Row],[Start Date]],Milestone_Marker,IF(AND(AL$29&gt;ProposalToGnatt[[#This Row],[Start Date]],AL$29&lt;ProposalToGnatt[[#This Row],[Start Date]]+ProposalToGnatt[[#This Row],[Days]]),$G$5,"")),"")</f>
        <v>2</v>
      </c>
      <c r="AM43" s="37">
        <f ca="1">IFERROR(+IF(AM$29=ProposalToGnatt[[#This Row],[Start Date]],Milestone_Marker,IF(AND(AM$29&gt;ProposalToGnatt[[#This Row],[Start Date]],AM$29&lt;ProposalToGnatt[[#This Row],[Start Date]]+ProposalToGnatt[[#This Row],[Days]]),$G$5,"")),"")</f>
        <v>2</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370</v>
      </c>
      <c r="B44">
        <v>23</v>
      </c>
      <c r="C44" t="s">
        <v>281</v>
      </c>
      <c r="D44" t="s">
        <v>282</v>
      </c>
      <c r="E44" t="s">
        <v>283</v>
      </c>
      <c r="F44">
        <v>1</v>
      </c>
      <c r="G44" s="14"/>
      <c r="H44" s="14"/>
      <c r="I44"/>
      <c r="J44">
        <v>1</v>
      </c>
      <c r="K44" s="287">
        <v>45229</v>
      </c>
      <c r="L44"/>
      <c r="M44" s="14"/>
      <c r="N44" s="336"/>
      <c r="O44" s="324"/>
      <c r="P44" s="37" t="str">
        <f ca="1">IFERROR(+IF(P$29=ProposalToGnatt[[#This Row],[Start Date]],Milestone_Marker,IF(AND(P$29&gt;ProposalToGnatt[[#This Row],[Start Date]],P$29&lt;ProposalToGnatt[[#This Row],[Start Date]]+ProposalToGnatt[[#This Row],[Days]]),$G$5,"")),"")</f>
        <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f ca="1">IFERROR(+IF(AG$29=ProposalToGnatt[[#This Row],[Start Date]],Milestone_Marker,IF(AND(AG$29&gt;ProposalToGnatt[[#This Row],[Start Date]],AG$29&lt;ProposalToGnatt[[#This Row],[Start Date]]+ProposalToGnatt[[#This Row],[Days]]),$G$5,"")),"")</f>
        <v>1</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370</v>
      </c>
      <c r="B45">
        <v>24</v>
      </c>
      <c r="C45" t="s">
        <v>281</v>
      </c>
      <c r="D45" t="s">
        <v>282</v>
      </c>
      <c r="E45" t="s">
        <v>284</v>
      </c>
      <c r="F45">
        <v>1</v>
      </c>
      <c r="G45" s="14"/>
      <c r="H45" s="14"/>
      <c r="I45"/>
      <c r="J45">
        <v>1</v>
      </c>
      <c r="K45" s="287">
        <v>45229</v>
      </c>
      <c r="L45"/>
      <c r="M45" s="14"/>
      <c r="N45" s="336"/>
      <c r="O45" s="324"/>
      <c r="P45" s="37" t="str">
        <f ca="1">IFERROR(+IF(P$29=ProposalToGnatt[[#This Row],[Start Date]],Milestone_Marker,IF(AND(P$29&gt;ProposalToGnatt[[#This Row],[Start Date]],P$29&lt;ProposalToGnatt[[#This Row],[Start Date]]+ProposalToGnatt[[#This Row],[Days]]),$G$5,"")),"")</f>
        <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f ca="1">IFERROR(+IF(AG$29=ProposalToGnatt[[#This Row],[Start Date]],Milestone_Marker,IF(AND(AG$29&gt;ProposalToGnatt[[#This Row],[Start Date]],AG$29&lt;ProposalToGnatt[[#This Row],[Start Date]]+ProposalToGnatt[[#This Row],[Days]]),$G$5,"")),"")</f>
        <v>1</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t="s">
        <v>370</v>
      </c>
      <c r="B46">
        <v>25</v>
      </c>
      <c r="C46" t="s">
        <v>281</v>
      </c>
      <c r="D46" t="s">
        <v>282</v>
      </c>
      <c r="E46" t="s">
        <v>285</v>
      </c>
      <c r="F46">
        <v>1</v>
      </c>
      <c r="G46" s="14"/>
      <c r="H46" s="14"/>
      <c r="I46"/>
      <c r="J46">
        <v>1</v>
      </c>
      <c r="K46" s="287">
        <v>45229</v>
      </c>
      <c r="L46"/>
      <c r="M46" s="14"/>
      <c r="N46" s="336"/>
      <c r="O46" s="324"/>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f ca="1">IFERROR(+IF(AG$29=ProposalToGnatt[[#This Row],[Start Date]],Milestone_Marker,IF(AND(AG$29&gt;ProposalToGnatt[[#This Row],[Start Date]],AG$29&lt;ProposalToGnatt[[#This Row],[Start Date]]+ProposalToGnatt[[#This Row],[Days]]),$G$5,"")),"")</f>
        <v>1</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t="s">
        <v>370</v>
      </c>
      <c r="B47">
        <v>26</v>
      </c>
      <c r="C47" t="s">
        <v>281</v>
      </c>
      <c r="D47" t="s">
        <v>282</v>
      </c>
      <c r="E47" t="s">
        <v>286</v>
      </c>
      <c r="F47">
        <v>1</v>
      </c>
      <c r="G47" s="14"/>
      <c r="H47" s="14"/>
      <c r="I47"/>
      <c r="J47">
        <v>1</v>
      </c>
      <c r="K47" s="287">
        <v>45229</v>
      </c>
      <c r="L47"/>
      <c r="M47" s="14"/>
      <c r="N47" s="336"/>
      <c r="O47" s="324"/>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f ca="1">IFERROR(+IF(AG$29=ProposalToGnatt[[#This Row],[Start Date]],Milestone_Marker,IF(AND(AG$29&gt;ProposalToGnatt[[#This Row],[Start Date]],AG$29&lt;ProposalToGnatt[[#This Row],[Start Date]]+ProposalToGnatt[[#This Row],[Days]]),$G$5,"")),"")</f>
        <v>1</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t="s">
        <v>370</v>
      </c>
      <c r="B48">
        <v>27</v>
      </c>
      <c r="C48" t="s">
        <v>281</v>
      </c>
      <c r="D48" t="s">
        <v>282</v>
      </c>
      <c r="E48" t="s">
        <v>287</v>
      </c>
      <c r="F48">
        <v>1</v>
      </c>
      <c r="G48" s="14"/>
      <c r="H48" s="14"/>
      <c r="I48"/>
      <c r="J48">
        <v>1</v>
      </c>
      <c r="K48" s="287">
        <v>45229</v>
      </c>
      <c r="L48"/>
      <c r="M48" s="14"/>
      <c r="N48" s="336"/>
      <c r="O48" s="324"/>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f ca="1">IFERROR(+IF(AG$29=ProposalToGnatt[[#This Row],[Start Date]],Milestone_Marker,IF(AND(AG$29&gt;ProposalToGnatt[[#This Row],[Start Date]],AG$29&lt;ProposalToGnatt[[#This Row],[Start Date]]+ProposalToGnatt[[#This Row],[Days]]),$G$5,"")),"")</f>
        <v>1</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t="s">
        <v>370</v>
      </c>
      <c r="B49">
        <v>28</v>
      </c>
      <c r="C49" t="s">
        <v>281</v>
      </c>
      <c r="D49" t="s">
        <v>282</v>
      </c>
      <c r="E49" t="s">
        <v>288</v>
      </c>
      <c r="F49">
        <v>1</v>
      </c>
      <c r="G49" s="14"/>
      <c r="H49" s="14"/>
      <c r="I49"/>
      <c r="J49">
        <v>1</v>
      </c>
      <c r="K49" s="287">
        <v>45229</v>
      </c>
      <c r="L49"/>
      <c r="M49" s="14"/>
      <c r="N49" s="336"/>
      <c r="O49" s="324"/>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f ca="1">IFERROR(+IF(AG$29=ProposalToGnatt[[#This Row],[Start Date]],Milestone_Marker,IF(AND(AG$29&gt;ProposalToGnatt[[#This Row],[Start Date]],AG$29&lt;ProposalToGnatt[[#This Row],[Start Date]]+ProposalToGnatt[[#This Row],[Days]]),$G$5,"")),"")</f>
        <v>1</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t="s">
        <v>370</v>
      </c>
      <c r="B50">
        <v>29</v>
      </c>
      <c r="C50" t="s">
        <v>281</v>
      </c>
      <c r="D50" t="s">
        <v>282</v>
      </c>
      <c r="E50" t="s">
        <v>289</v>
      </c>
      <c r="F50">
        <v>1</v>
      </c>
      <c r="G50" s="14"/>
      <c r="H50" s="14"/>
      <c r="I50"/>
      <c r="J50">
        <v>1</v>
      </c>
      <c r="K50" s="287">
        <v>45229</v>
      </c>
      <c r="L50"/>
      <c r="M50" s="14"/>
      <c r="N50" s="336"/>
      <c r="O50" s="324"/>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f ca="1">IFERROR(+IF(AG$29=ProposalToGnatt[[#This Row],[Start Date]],Milestone_Marker,IF(AND(AG$29&gt;ProposalToGnatt[[#This Row],[Start Date]],AG$29&lt;ProposalToGnatt[[#This Row],[Start Date]]+ProposalToGnatt[[#This Row],[Days]]),$G$5,"")),"")</f>
        <v>1</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t="s">
        <v>370</v>
      </c>
      <c r="B51">
        <v>30</v>
      </c>
      <c r="C51" t="s">
        <v>281</v>
      </c>
      <c r="D51" t="s">
        <v>282</v>
      </c>
      <c r="E51" t="s">
        <v>290</v>
      </c>
      <c r="F51">
        <v>1</v>
      </c>
      <c r="G51" s="14"/>
      <c r="H51" s="14"/>
      <c r="I51"/>
      <c r="J51">
        <v>1</v>
      </c>
      <c r="K51" s="287">
        <v>45229</v>
      </c>
      <c r="L51"/>
      <c r="M51" s="14"/>
      <c r="N51" s="336"/>
      <c r="O51" s="324"/>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f ca="1">IFERROR(+IF(AG$29=ProposalToGnatt[[#This Row],[Start Date]],Milestone_Marker,IF(AND(AG$29&gt;ProposalToGnatt[[#This Row],[Start Date]],AG$29&lt;ProposalToGnatt[[#This Row],[Start Date]]+ProposalToGnatt[[#This Row],[Days]]),$G$5,"")),"")</f>
        <v>1</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t="s">
        <v>370</v>
      </c>
      <c r="B52">
        <v>31</v>
      </c>
      <c r="C52" t="s">
        <v>281</v>
      </c>
      <c r="D52" t="s">
        <v>282</v>
      </c>
      <c r="E52" t="s">
        <v>291</v>
      </c>
      <c r="F52">
        <v>1</v>
      </c>
      <c r="G52" s="14"/>
      <c r="H52" s="14"/>
      <c r="I52"/>
      <c r="J52">
        <v>1</v>
      </c>
      <c r="K52" s="287">
        <v>45229</v>
      </c>
      <c r="L52"/>
      <c r="M52" s="14"/>
      <c r="N52" s="336"/>
      <c r="O52" s="324"/>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f ca="1">IFERROR(+IF(AG$29=ProposalToGnatt[[#This Row],[Start Date]],Milestone_Marker,IF(AND(AG$29&gt;ProposalToGnatt[[#This Row],[Start Date]],AG$29&lt;ProposalToGnatt[[#This Row],[Start Date]]+ProposalToGnatt[[#This Row],[Days]]),$G$5,"")),"")</f>
        <v>1</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t="s">
        <v>370</v>
      </c>
      <c r="B53">
        <v>32</v>
      </c>
      <c r="C53" t="s">
        <v>281</v>
      </c>
      <c r="D53" t="s">
        <v>282</v>
      </c>
      <c r="E53" t="s">
        <v>292</v>
      </c>
      <c r="F53">
        <v>1</v>
      </c>
      <c r="G53" s="14"/>
      <c r="H53" s="14"/>
      <c r="I53"/>
      <c r="J53">
        <v>1</v>
      </c>
      <c r="K53" s="287">
        <v>45229</v>
      </c>
      <c r="L53"/>
      <c r="M53" s="14"/>
      <c r="N53" s="336"/>
      <c r="O53" s="324"/>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f ca="1">IFERROR(+IF(AG$29=ProposalToGnatt[[#This Row],[Start Date]],Milestone_Marker,IF(AND(AG$29&gt;ProposalToGnatt[[#This Row],[Start Date]],AG$29&lt;ProposalToGnatt[[#This Row],[Start Date]]+ProposalToGnatt[[#This Row],[Days]]),$G$5,"")),"")</f>
        <v>1</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t="s">
        <v>370</v>
      </c>
      <c r="B54">
        <v>33</v>
      </c>
      <c r="C54" t="s">
        <v>281</v>
      </c>
      <c r="D54" t="s">
        <v>282</v>
      </c>
      <c r="E54" t="s">
        <v>293</v>
      </c>
      <c r="F54">
        <v>1</v>
      </c>
      <c r="G54" s="14"/>
      <c r="H54" s="14"/>
      <c r="I54"/>
      <c r="J54">
        <v>1</v>
      </c>
      <c r="K54" s="287">
        <v>45229</v>
      </c>
      <c r="L54"/>
      <c r="M54" s="14"/>
      <c r="N54" s="336"/>
      <c r="O54" s="324"/>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f ca="1">IFERROR(+IF(AG$29=ProposalToGnatt[[#This Row],[Start Date]],Milestone_Marker,IF(AND(AG$29&gt;ProposalToGnatt[[#This Row],[Start Date]],AG$29&lt;ProposalToGnatt[[#This Row],[Start Date]]+ProposalToGnatt[[#This Row],[Days]]),$G$5,"")),"")</f>
        <v>1</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t="s">
        <v>370</v>
      </c>
      <c r="B55">
        <v>34</v>
      </c>
      <c r="C55" t="s">
        <v>281</v>
      </c>
      <c r="D55" t="s">
        <v>282</v>
      </c>
      <c r="E55" t="s">
        <v>294</v>
      </c>
      <c r="F55">
        <v>1</v>
      </c>
      <c r="G55" s="14"/>
      <c r="H55" s="14"/>
      <c r="I55"/>
      <c r="J55">
        <v>1</v>
      </c>
      <c r="K55" s="287">
        <v>45229</v>
      </c>
      <c r="L55"/>
      <c r="M55" s="14"/>
      <c r="N55" s="336"/>
      <c r="O55" s="324"/>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f ca="1">IFERROR(+IF(AG$29=ProposalToGnatt[[#This Row],[Start Date]],Milestone_Marker,IF(AND(AG$29&gt;ProposalToGnatt[[#This Row],[Start Date]],AG$29&lt;ProposalToGnatt[[#This Row],[Start Date]]+ProposalToGnatt[[#This Row],[Days]]),$G$5,"")),"")</f>
        <v>1</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t="s">
        <v>370</v>
      </c>
      <c r="B56">
        <v>14</v>
      </c>
      <c r="C56" t="s">
        <v>268</v>
      </c>
      <c r="D56"/>
      <c r="E56" t="s">
        <v>269</v>
      </c>
      <c r="F56">
        <v>1</v>
      </c>
      <c r="G56" s="14">
        <v>590</v>
      </c>
      <c r="H56" s="14">
        <v>590</v>
      </c>
      <c r="I56"/>
      <c r="J56">
        <v>1</v>
      </c>
      <c r="K56" s="287"/>
      <c r="L56">
        <v>1</v>
      </c>
      <c r="M56" s="14"/>
      <c r="N56" s="336"/>
      <c r="O56" s="324"/>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t="s">
        <v>370</v>
      </c>
      <c r="B57">
        <v>16</v>
      </c>
      <c r="C57" t="s">
        <v>253</v>
      </c>
      <c r="D57"/>
      <c r="E57" t="s">
        <v>272</v>
      </c>
      <c r="F57"/>
      <c r="G57" s="14"/>
      <c r="H57" s="14"/>
      <c r="I57"/>
      <c r="J57">
        <v>1</v>
      </c>
      <c r="K57" s="287"/>
      <c r="L57"/>
      <c r="M57" s="14"/>
      <c r="N57" s="336"/>
      <c r="O57" s="324"/>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t="s">
        <v>370</v>
      </c>
      <c r="B58">
        <v>17</v>
      </c>
      <c r="C58" t="s">
        <v>253</v>
      </c>
      <c r="D58"/>
      <c r="E58" t="s">
        <v>273</v>
      </c>
      <c r="F58"/>
      <c r="G58" s="14"/>
      <c r="H58" s="14"/>
      <c r="I58"/>
      <c r="J58">
        <v>1</v>
      </c>
      <c r="K58" s="287"/>
      <c r="L58"/>
      <c r="M58" s="14"/>
      <c r="N58" s="336"/>
      <c r="O58" s="324"/>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t="s">
        <v>370</v>
      </c>
      <c r="B59">
        <v>20</v>
      </c>
      <c r="C59" t="s">
        <v>259</v>
      </c>
      <c r="D59" t="s">
        <v>276</v>
      </c>
      <c r="E59" t="s">
        <v>278</v>
      </c>
      <c r="F59">
        <v>0</v>
      </c>
      <c r="G59" s="14"/>
      <c r="H59" s="14"/>
      <c r="I59"/>
      <c r="J59">
        <v>1</v>
      </c>
      <c r="K59" s="287"/>
      <c r="L59"/>
      <c r="M59" s="14"/>
      <c r="N59" s="336"/>
      <c r="O59" s="324"/>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t="s">
        <v>370</v>
      </c>
      <c r="B60">
        <v>21</v>
      </c>
      <c r="C60" t="s">
        <v>259</v>
      </c>
      <c r="D60" t="s">
        <v>279</v>
      </c>
      <c r="E60" t="s">
        <v>280</v>
      </c>
      <c r="F60">
        <v>1</v>
      </c>
      <c r="G60" s="14">
        <v>4345</v>
      </c>
      <c r="H60" s="14">
        <v>4345</v>
      </c>
      <c r="I60" t="s">
        <v>45</v>
      </c>
      <c r="J60">
        <v>2</v>
      </c>
      <c r="K60" s="287">
        <v>45219</v>
      </c>
      <c r="L60"/>
      <c r="M60" s="14"/>
      <c r="N60" s="336">
        <v>4345</v>
      </c>
      <c r="O60" s="324"/>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f ca="1">IFERROR(+IF(W$29=ProposalToGnatt[[#This Row],[Start Date]],Milestone_Marker,IF(AND(W$29&gt;ProposalToGnatt[[#This Row],[Start Date]],W$29&lt;ProposalToGnatt[[#This Row],[Start Date]]+ProposalToGnatt[[#This Row],[Days]]),$G$5,"")),"")</f>
        <v>1</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t="s">
        <v>370</v>
      </c>
      <c r="B61">
        <v>44</v>
      </c>
      <c r="C61" t="s">
        <v>259</v>
      </c>
      <c r="D61" t="s">
        <v>279</v>
      </c>
      <c r="E61" t="s">
        <v>312</v>
      </c>
      <c r="F61">
        <v>1</v>
      </c>
      <c r="G61" s="14">
        <v>-3190</v>
      </c>
      <c r="H61" s="14">
        <v>-3190</v>
      </c>
      <c r="I61" t="s">
        <v>45</v>
      </c>
      <c r="J61">
        <v>2</v>
      </c>
      <c r="K61" s="287">
        <v>45219</v>
      </c>
      <c r="L61"/>
      <c r="M61" s="14"/>
      <c r="N61" s="336">
        <v>-3190</v>
      </c>
      <c r="O61" s="324"/>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f ca="1">IFERROR(+IF(W$29=ProposalToGnatt[[#This Row],[Start Date]],Milestone_Marker,IF(AND(W$29&gt;ProposalToGnatt[[#This Row],[Start Date]],W$29&lt;ProposalToGnatt[[#This Row],[Start Date]]+ProposalToGnatt[[#This Row],[Days]]),$G$5,"")),"")</f>
        <v>1</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t="s">
        <v>370</v>
      </c>
      <c r="B62">
        <v>36</v>
      </c>
      <c r="C62" t="s">
        <v>281</v>
      </c>
      <c r="D62" t="s">
        <v>296</v>
      </c>
      <c r="E62" t="s">
        <v>297</v>
      </c>
      <c r="F62">
        <v>1</v>
      </c>
      <c r="G62" s="14">
        <v>600</v>
      </c>
      <c r="H62" s="14">
        <v>600</v>
      </c>
      <c r="I62"/>
      <c r="J62">
        <v>2</v>
      </c>
      <c r="K62" s="287"/>
      <c r="L62"/>
      <c r="M62" s="14"/>
      <c r="N62" s="336"/>
      <c r="O62" s="324"/>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t="s">
        <v>370</v>
      </c>
      <c r="B63">
        <v>37</v>
      </c>
      <c r="C63" t="s">
        <v>253</v>
      </c>
      <c r="D63" t="s">
        <v>298</v>
      </c>
      <c r="E63" t="s">
        <v>299</v>
      </c>
      <c r="F63">
        <v>1</v>
      </c>
      <c r="G63" s="14">
        <v>1800</v>
      </c>
      <c r="H63" s="14">
        <v>1800</v>
      </c>
      <c r="I63" t="s">
        <v>45</v>
      </c>
      <c r="J63">
        <v>2</v>
      </c>
      <c r="K63" s="287"/>
      <c r="L63"/>
      <c r="M63" s="14"/>
      <c r="N63" s="336">
        <v>1800</v>
      </c>
      <c r="O63" s="324"/>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t="s">
        <v>370</v>
      </c>
      <c r="B64">
        <v>38</v>
      </c>
      <c r="C64" t="s">
        <v>253</v>
      </c>
      <c r="D64" t="s">
        <v>300</v>
      </c>
      <c r="E64" t="s">
        <v>301</v>
      </c>
      <c r="F64">
        <v>1</v>
      </c>
      <c r="G64" s="14">
        <v>50</v>
      </c>
      <c r="H64" s="14">
        <v>50</v>
      </c>
      <c r="I64"/>
      <c r="J64">
        <v>2</v>
      </c>
      <c r="K64" s="287"/>
      <c r="L64"/>
      <c r="M64" s="14"/>
      <c r="N64" s="336"/>
      <c r="O64" s="324"/>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t="s">
        <v>370</v>
      </c>
      <c r="B65">
        <v>39</v>
      </c>
      <c r="C65" t="s">
        <v>281</v>
      </c>
      <c r="D65" t="s">
        <v>302</v>
      </c>
      <c r="E65" t="s">
        <v>303</v>
      </c>
      <c r="F65">
        <v>1</v>
      </c>
      <c r="G65" s="14">
        <v>50</v>
      </c>
      <c r="H65" s="14">
        <v>50</v>
      </c>
      <c r="I65"/>
      <c r="J65">
        <v>2</v>
      </c>
      <c r="K65" s="287"/>
      <c r="L65"/>
      <c r="M65" s="14"/>
      <c r="N65" s="336"/>
      <c r="O65" s="324"/>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t="s">
        <v>370</v>
      </c>
      <c r="B66">
        <v>40</v>
      </c>
      <c r="C66" t="s">
        <v>281</v>
      </c>
      <c r="D66" t="s">
        <v>304</v>
      </c>
      <c r="E66" t="s">
        <v>305</v>
      </c>
      <c r="F66">
        <v>1</v>
      </c>
      <c r="G66" s="14">
        <v>50</v>
      </c>
      <c r="H66" s="14">
        <v>50</v>
      </c>
      <c r="I66" t="s">
        <v>8</v>
      </c>
      <c r="J66">
        <v>2</v>
      </c>
      <c r="K66" s="287"/>
      <c r="L66"/>
      <c r="M66" s="14"/>
      <c r="N66" s="336">
        <v>50</v>
      </c>
      <c r="O66" s="324"/>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t="s">
        <v>370</v>
      </c>
      <c r="B67">
        <v>41</v>
      </c>
      <c r="C67" t="s">
        <v>253</v>
      </c>
      <c r="D67" t="s">
        <v>306</v>
      </c>
      <c r="E67" t="s">
        <v>307</v>
      </c>
      <c r="F67">
        <v>1</v>
      </c>
      <c r="G67" s="14">
        <v>2980.24</v>
      </c>
      <c r="H67" s="14">
        <v>2980.24</v>
      </c>
      <c r="I67" t="s">
        <v>45</v>
      </c>
      <c r="J67">
        <v>2</v>
      </c>
      <c r="K67" s="287"/>
      <c r="L67"/>
      <c r="M67" s="14"/>
      <c r="N67" s="336">
        <v>2980.24</v>
      </c>
      <c r="O67" s="324"/>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t="s">
        <v>370</v>
      </c>
      <c r="B68">
        <v>42</v>
      </c>
      <c r="C68" t="s">
        <v>266</v>
      </c>
      <c r="D68" t="s">
        <v>308</v>
      </c>
      <c r="E68" t="s">
        <v>309</v>
      </c>
      <c r="F68">
        <v>1</v>
      </c>
      <c r="G68" s="14">
        <v>294</v>
      </c>
      <c r="H68" s="14">
        <v>294</v>
      </c>
      <c r="I68" t="s">
        <v>8</v>
      </c>
      <c r="J68">
        <v>2</v>
      </c>
      <c r="K68" s="287"/>
      <c r="L68"/>
      <c r="M68" s="14"/>
      <c r="N68" s="336">
        <v>294</v>
      </c>
      <c r="O68" s="324"/>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t="s">
        <v>370</v>
      </c>
      <c r="B69">
        <v>43</v>
      </c>
      <c r="C69" t="s">
        <v>281</v>
      </c>
      <c r="D69" t="s">
        <v>310</v>
      </c>
      <c r="E69" t="s">
        <v>311</v>
      </c>
      <c r="F69">
        <v>1</v>
      </c>
      <c r="G69" s="14"/>
      <c r="H69" s="14"/>
      <c r="I69"/>
      <c r="J69">
        <v>2</v>
      </c>
      <c r="K69" s="287"/>
      <c r="L69"/>
      <c r="M69" s="14"/>
      <c r="N69" s="336"/>
      <c r="O69" s="324"/>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t="s">
        <v>370</v>
      </c>
      <c r="B70">
        <v>45</v>
      </c>
      <c r="C70" t="s">
        <v>281</v>
      </c>
      <c r="D70" t="s">
        <v>313</v>
      </c>
      <c r="E70" t="s">
        <v>314</v>
      </c>
      <c r="F70">
        <v>1</v>
      </c>
      <c r="G70" s="14"/>
      <c r="H70" s="14"/>
      <c r="I70"/>
      <c r="J70">
        <v>2</v>
      </c>
      <c r="K70" s="287"/>
      <c r="L70"/>
      <c r="M70" s="14"/>
      <c r="N70" s="336"/>
      <c r="O70" s="324"/>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t="s">
        <v>370</v>
      </c>
      <c r="B71">
        <v>46</v>
      </c>
      <c r="C71" t="s">
        <v>281</v>
      </c>
      <c r="D71" t="s">
        <v>315</v>
      </c>
      <c r="E71" t="s">
        <v>316</v>
      </c>
      <c r="F71">
        <v>1</v>
      </c>
      <c r="G71" s="14"/>
      <c r="H71" s="14"/>
      <c r="I71"/>
      <c r="J71">
        <v>2</v>
      </c>
      <c r="K71" s="287"/>
      <c r="L71"/>
      <c r="M71" s="14"/>
      <c r="N71" s="336"/>
      <c r="O71" s="324"/>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t="s">
        <v>370</v>
      </c>
      <c r="B72">
        <v>47</v>
      </c>
      <c r="C72" t="s">
        <v>281</v>
      </c>
      <c r="D72" t="s">
        <v>317</v>
      </c>
      <c r="E72" t="s">
        <v>318</v>
      </c>
      <c r="F72">
        <v>1</v>
      </c>
      <c r="G72" s="14"/>
      <c r="H72" s="14"/>
      <c r="I72"/>
      <c r="J72">
        <v>2</v>
      </c>
      <c r="K72" s="287"/>
      <c r="L72"/>
      <c r="M72" s="14"/>
      <c r="N72" s="336"/>
      <c r="O72" s="324"/>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t="s">
        <v>370</v>
      </c>
      <c r="B73">
        <v>48</v>
      </c>
      <c r="C73" t="s">
        <v>281</v>
      </c>
      <c r="D73" t="s">
        <v>319</v>
      </c>
      <c r="E73" t="s">
        <v>320</v>
      </c>
      <c r="F73">
        <v>1</v>
      </c>
      <c r="G73" s="14"/>
      <c r="H73" s="14"/>
      <c r="I73"/>
      <c r="J73">
        <v>2</v>
      </c>
      <c r="K73" s="287"/>
      <c r="L73"/>
      <c r="M73" s="14"/>
      <c r="N73" s="336"/>
      <c r="O73" s="324"/>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t="s">
        <v>370</v>
      </c>
      <c r="B74">
        <v>49</v>
      </c>
      <c r="C74" t="s">
        <v>281</v>
      </c>
      <c r="D74" t="s">
        <v>321</v>
      </c>
      <c r="E74" t="s">
        <v>322</v>
      </c>
      <c r="F74">
        <v>1</v>
      </c>
      <c r="G74" s="14"/>
      <c r="H74" s="14"/>
      <c r="I74"/>
      <c r="J74">
        <v>2</v>
      </c>
      <c r="K74" s="287"/>
      <c r="L74"/>
      <c r="M74" s="14"/>
      <c r="N74" s="336"/>
      <c r="O74" s="324"/>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t="s">
        <v>370</v>
      </c>
      <c r="B75">
        <v>50</v>
      </c>
      <c r="C75" t="s">
        <v>281</v>
      </c>
      <c r="D75" t="s">
        <v>323</v>
      </c>
      <c r="E75" t="s">
        <v>324</v>
      </c>
      <c r="F75">
        <v>1</v>
      </c>
      <c r="G75" s="14"/>
      <c r="H75" s="14"/>
      <c r="I75"/>
      <c r="J75">
        <v>2</v>
      </c>
      <c r="K75" s="287"/>
      <c r="L75"/>
      <c r="M75" s="14"/>
      <c r="N75" s="336"/>
      <c r="O75" s="324"/>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t="s">
        <v>370</v>
      </c>
      <c r="B76">
        <v>51</v>
      </c>
      <c r="C76" t="s">
        <v>281</v>
      </c>
      <c r="D76" t="s">
        <v>325</v>
      </c>
      <c r="E76" t="s">
        <v>326</v>
      </c>
      <c r="F76">
        <v>1</v>
      </c>
      <c r="G76" s="14"/>
      <c r="H76" s="14"/>
      <c r="I76"/>
      <c r="J76">
        <v>2</v>
      </c>
      <c r="K76" s="287"/>
      <c r="L76"/>
      <c r="M76" s="14"/>
      <c r="N76" s="336"/>
      <c r="O76" s="324"/>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t="s">
        <v>370</v>
      </c>
      <c r="B77">
        <v>52</v>
      </c>
      <c r="C77" t="s">
        <v>281</v>
      </c>
      <c r="D77" t="s">
        <v>327</v>
      </c>
      <c r="E77" t="s">
        <v>328</v>
      </c>
      <c r="F77">
        <v>1</v>
      </c>
      <c r="G77" s="14"/>
      <c r="H77" s="14"/>
      <c r="I77"/>
      <c r="J77">
        <v>2</v>
      </c>
      <c r="K77" s="287"/>
      <c r="L77"/>
      <c r="M77" s="14"/>
      <c r="N77" s="336"/>
      <c r="O77" s="324"/>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t="s">
        <v>370</v>
      </c>
      <c r="B78">
        <v>53</v>
      </c>
      <c r="C78" t="s">
        <v>281</v>
      </c>
      <c r="D78" t="s">
        <v>329</v>
      </c>
      <c r="E78" t="s">
        <v>330</v>
      </c>
      <c r="F78">
        <v>1</v>
      </c>
      <c r="G78" s="14"/>
      <c r="H78" s="14"/>
      <c r="I78"/>
      <c r="J78">
        <v>2</v>
      </c>
      <c r="K78" s="287"/>
      <c r="L78"/>
      <c r="M78" s="14"/>
      <c r="N78" s="336"/>
      <c r="O78" s="324"/>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t="s">
        <v>370</v>
      </c>
      <c r="B79">
        <v>54</v>
      </c>
      <c r="C79" t="s">
        <v>281</v>
      </c>
      <c r="D79" t="s">
        <v>331</v>
      </c>
      <c r="E79" t="s">
        <v>332</v>
      </c>
      <c r="F79">
        <v>1</v>
      </c>
      <c r="G79" s="14"/>
      <c r="H79" s="14"/>
      <c r="I79"/>
      <c r="J79">
        <v>2</v>
      </c>
      <c r="K79" s="287"/>
      <c r="L79"/>
      <c r="M79" s="14"/>
      <c r="N79" s="336"/>
      <c r="O79" s="324"/>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t="s">
        <v>370</v>
      </c>
      <c r="B80">
        <v>55</v>
      </c>
      <c r="C80" t="s">
        <v>333</v>
      </c>
      <c r="D80" t="s">
        <v>334</v>
      </c>
      <c r="E80" t="s">
        <v>335</v>
      </c>
      <c r="F80">
        <v>1</v>
      </c>
      <c r="G80" s="14"/>
      <c r="H80" s="14"/>
      <c r="I80"/>
      <c r="J80">
        <v>2</v>
      </c>
      <c r="K80" s="287"/>
      <c r="L80"/>
      <c r="M80" s="14"/>
      <c r="N80" s="336"/>
      <c r="O80" s="324"/>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t="s">
        <v>370</v>
      </c>
      <c r="B81">
        <v>56</v>
      </c>
      <c r="C81" t="s">
        <v>281</v>
      </c>
      <c r="D81" t="s">
        <v>336</v>
      </c>
      <c r="E81" t="s">
        <v>337</v>
      </c>
      <c r="F81">
        <v>1</v>
      </c>
      <c r="G81" s="14"/>
      <c r="H81" s="14"/>
      <c r="I81"/>
      <c r="J81">
        <v>2</v>
      </c>
      <c r="K81" s="287"/>
      <c r="L81"/>
      <c r="M81" s="14"/>
      <c r="N81" s="336"/>
      <c r="O81" s="324"/>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t="s">
        <v>370</v>
      </c>
      <c r="B82">
        <v>57</v>
      </c>
      <c r="C82" t="s">
        <v>333</v>
      </c>
      <c r="D82" t="s">
        <v>338</v>
      </c>
      <c r="E82" t="s">
        <v>339</v>
      </c>
      <c r="F82">
        <v>1</v>
      </c>
      <c r="G82" s="14"/>
      <c r="H82" s="14"/>
      <c r="I82"/>
      <c r="J82">
        <v>2</v>
      </c>
      <c r="K82" s="287"/>
      <c r="L82"/>
      <c r="M82" s="14"/>
      <c r="N82" s="336"/>
      <c r="O82" s="324"/>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t="s">
        <v>370</v>
      </c>
      <c r="B83">
        <v>58</v>
      </c>
      <c r="C83" t="s">
        <v>340</v>
      </c>
      <c r="D83" t="s">
        <v>341</v>
      </c>
      <c r="E83" t="s">
        <v>342</v>
      </c>
      <c r="F83">
        <v>1</v>
      </c>
      <c r="G83" s="14"/>
      <c r="H83" s="14"/>
      <c r="I83"/>
      <c r="J83">
        <v>2</v>
      </c>
      <c r="K83" s="287"/>
      <c r="L83"/>
      <c r="M83" s="14"/>
      <c r="N83" s="336"/>
      <c r="O83" s="324"/>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t="s">
        <v>370</v>
      </c>
      <c r="B84">
        <v>59</v>
      </c>
      <c r="C84" t="s">
        <v>333</v>
      </c>
      <c r="D84" t="s">
        <v>343</v>
      </c>
      <c r="E84" t="s">
        <v>344</v>
      </c>
      <c r="F84">
        <v>1</v>
      </c>
      <c r="G84" s="14"/>
      <c r="H84" s="14"/>
      <c r="I84"/>
      <c r="J84">
        <v>2</v>
      </c>
      <c r="K84" s="287"/>
      <c r="L84"/>
      <c r="M84" s="14"/>
      <c r="N84" s="336"/>
      <c r="O84" s="324"/>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t="s">
        <v>401</v>
      </c>
      <c r="B85">
        <v>60</v>
      </c>
      <c r="C85"/>
      <c r="D85" t="s">
        <v>345</v>
      </c>
      <c r="E85" t="s">
        <v>346</v>
      </c>
      <c r="F85">
        <v>1</v>
      </c>
      <c r="G85" s="14"/>
      <c r="H85" s="14"/>
      <c r="I85" t="s">
        <v>162</v>
      </c>
      <c r="J85">
        <v>2</v>
      </c>
      <c r="K85" s="287"/>
      <c r="L85"/>
      <c r="M85" s="14"/>
      <c r="N85" s="336"/>
      <c r="O85" s="324"/>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t="s">
        <v>370</v>
      </c>
      <c r="B86">
        <v>1</v>
      </c>
      <c r="C86" t="s">
        <v>243</v>
      </c>
      <c r="D86" t="s">
        <v>243</v>
      </c>
      <c r="E86" t="s">
        <v>244</v>
      </c>
      <c r="F86">
        <v>0</v>
      </c>
      <c r="G86" s="14">
        <v>7016</v>
      </c>
      <c r="H86" s="14">
        <v>0</v>
      </c>
      <c r="I86" t="s">
        <v>8</v>
      </c>
      <c r="J86">
        <v>4</v>
      </c>
      <c r="K86" s="287">
        <v>45212</v>
      </c>
      <c r="L86"/>
      <c r="M86" s="14">
        <v>7016</v>
      </c>
      <c r="N86" s="336">
        <v>0</v>
      </c>
      <c r="O86" s="324"/>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t="s">
        <v>370</v>
      </c>
      <c r="B87">
        <v>2</v>
      </c>
      <c r="C87" t="s">
        <v>245</v>
      </c>
      <c r="D87" t="s">
        <v>246</v>
      </c>
      <c r="E87" t="s">
        <v>247</v>
      </c>
      <c r="F87">
        <v>0</v>
      </c>
      <c r="G87" s="14">
        <v>10505.74</v>
      </c>
      <c r="H87" s="14">
        <v>0</v>
      </c>
      <c r="I87" t="s">
        <v>45</v>
      </c>
      <c r="J87">
        <v>4</v>
      </c>
      <c r="K87" s="287">
        <v>45218</v>
      </c>
      <c r="L87"/>
      <c r="M87" s="14">
        <v>10505.74</v>
      </c>
      <c r="N87" s="336">
        <v>0</v>
      </c>
      <c r="O87" s="324"/>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t="s">
        <v>370</v>
      </c>
      <c r="B88">
        <v>3</v>
      </c>
      <c r="C88" t="s">
        <v>245</v>
      </c>
      <c r="D88" t="s">
        <v>248</v>
      </c>
      <c r="E88" t="s">
        <v>248</v>
      </c>
      <c r="F88">
        <v>0</v>
      </c>
      <c r="G88" s="14">
        <v>9940</v>
      </c>
      <c r="H88" s="14">
        <v>0</v>
      </c>
      <c r="I88"/>
      <c r="J88">
        <v>4</v>
      </c>
      <c r="K88" s="287">
        <v>45226</v>
      </c>
      <c r="L88"/>
      <c r="M88" s="14">
        <v>9940</v>
      </c>
      <c r="N88" s="336"/>
      <c r="O88" s="324"/>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15" x14ac:dyDescent="0.25">
      <c r="A89" t="s">
        <v>401</v>
      </c>
      <c r="B89">
        <v>4</v>
      </c>
      <c r="C89"/>
      <c r="D89" t="s">
        <v>249</v>
      </c>
      <c r="E89" t="s">
        <v>250</v>
      </c>
      <c r="F89">
        <v>6</v>
      </c>
      <c r="G89" s="14"/>
      <c r="H89" s="14"/>
      <c r="I89"/>
      <c r="J89">
        <v>5</v>
      </c>
      <c r="K89" s="287"/>
      <c r="L89"/>
      <c r="M89" s="14"/>
      <c r="N89" s="336"/>
      <c r="O89" s="324"/>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18" customHeight="1" x14ac:dyDescent="0.25">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18" customHeight="1" x14ac:dyDescent="0.25">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18" customHeight="1" x14ac:dyDescent="0.25">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18" customHeight="1" x14ac:dyDescent="0.25">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18" customHeight="1" x14ac:dyDescent="0.25">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18" customHeight="1" x14ac:dyDescent="0.25">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18" customHeight="1" x14ac:dyDescent="0.25">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2">
    <mergeCell ref="A3:D3"/>
    <mergeCell ref="A4:D4"/>
    <mergeCell ref="H5:I5"/>
    <mergeCell ref="J2:K2"/>
    <mergeCell ref="E5:F5"/>
    <mergeCell ref="J3:K3"/>
    <mergeCell ref="J4:K4"/>
    <mergeCell ref="J5:K5"/>
    <mergeCell ref="F2:G2"/>
    <mergeCell ref="C2:D2"/>
    <mergeCell ref="A2:B2"/>
    <mergeCell ref="M1:N1"/>
    <mergeCell ref="AA24:AH25"/>
    <mergeCell ref="J1:K1"/>
    <mergeCell ref="E4:F4"/>
    <mergeCell ref="H2:I2"/>
    <mergeCell ref="H3:I3"/>
    <mergeCell ref="H4:I4"/>
    <mergeCell ref="M4:N4"/>
    <mergeCell ref="M5:N5"/>
    <mergeCell ref="M3:N3"/>
    <mergeCell ref="M2:N2"/>
  </mergeCells>
  <phoneticPr fontId="26" type="noConversion"/>
  <conditionalFormatting sqref="P28:CU84 P30:DU36 AA37:DU37 P38:DU78 AP75:DU83 R75:CW84 P75:CT96">
    <cfRule type="expression" dxfId="5" priority="3">
      <formula>#REF!&lt;=Today</formula>
    </cfRule>
  </conditionalFormatting>
  <conditionalFormatting sqref="P29:CU29">
    <cfRule type="expression" dxfId="4" priority="26">
      <formula>P$29&lt;=TODAY()</formula>
    </cfRule>
  </conditionalFormatting>
  <conditionalFormatting sqref="AO7:DT7">
    <cfRule type="expression" dxfId="3" priority="5">
      <formula>#REF!&lt;=Today</formula>
    </cfRule>
  </conditionalFormatting>
  <conditionalFormatting sqref="AP79:DR83">
    <cfRule type="expression" dxfId="2" priority="1">
      <formula>#REF!&lt;=Today</formula>
    </cfRule>
  </conditionalFormatting>
  <conditionalFormatting sqref="AQ8:DU10 AQ11:AQ25 AP15:AP23">
    <cfRule type="expression" dxfId="1" priority="11">
      <formula>#REF!&lt;=Today</formula>
    </cfRule>
  </conditionalFormatting>
  <conditionalFormatting sqref="AR11:DU12 AR14:DU25">
    <cfRule type="expression" dxfId="0" priority="10">
      <formula>#REF!&lt;=Today</formula>
    </cfRule>
  </conditionalFormatting>
  <pageMargins left="0.7" right="0.7" top="0.75" bottom="0.75" header="0.3" footer="0.3"/>
  <pageSetup scale="23"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P30:DU36 AP75:DU83 R75:CW84 P75:CT96 P38:DU78 AA37:DU37 P30:CU84</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P30:DU36 AQ8:DL10 AP7:DK7 AR11:DL12 AR14:DL25 AP15:AQ23 DM15:DU25 R75:CW84 AQ24:AQ25 P75:CT96 P38:DU78 AA37:DU37 P30:CU84</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3CB8-1393-4F62-AB92-7BBF12439437}">
  <sheetPr>
    <tabColor theme="5" tint="0.59999389629810485"/>
  </sheetPr>
  <dimension ref="A1:W47"/>
  <sheetViews>
    <sheetView workbookViewId="0">
      <pane ySplit="4" topLeftCell="A5" activePane="bottomLeft" state="frozen"/>
      <selection pane="bottomLeft" activeCell="A5" sqref="A5"/>
    </sheetView>
  </sheetViews>
  <sheetFormatPr defaultRowHeight="15" x14ac:dyDescent="0.25"/>
  <cols>
    <col min="1" max="1" width="9.7109375" bestFit="1" customWidth="1"/>
    <col min="2" max="2" width="17.85546875" bestFit="1" customWidth="1"/>
    <col min="3" max="3" width="81.140625" bestFit="1" customWidth="1"/>
    <col min="4" max="4" width="10.7109375" bestFit="1" customWidth="1"/>
    <col min="5" max="5" width="14.28515625" style="297" bestFit="1" customWidth="1"/>
    <col min="6" max="6" width="10" style="297" bestFit="1" customWidth="1"/>
    <col min="7" max="8" width="10.28515625" style="297" bestFit="1" customWidth="1"/>
    <col min="9" max="9" width="5.42578125" style="297" customWidth="1"/>
    <col min="10" max="10" width="50.7109375" bestFit="1" customWidth="1"/>
    <col min="11" max="12" width="9.7109375" bestFit="1" customWidth="1"/>
    <col min="13" max="13" width="8.7109375" style="287" customWidth="1"/>
    <col min="14" max="14" width="9.7109375" bestFit="1" customWidth="1"/>
    <col min="15" max="15" width="17.85546875" bestFit="1" customWidth="1"/>
    <col min="16" max="16" width="44.7109375" bestFit="1" customWidth="1"/>
    <col min="17" max="17" width="50.85546875" bestFit="1" customWidth="1"/>
    <col min="18" max="18" width="9.7109375" bestFit="1" customWidth="1"/>
    <col min="19" max="20" width="10.28515625" bestFit="1" customWidth="1"/>
    <col min="21" max="21" width="8" bestFit="1" customWidth="1"/>
    <col min="22" max="22" width="12" bestFit="1" customWidth="1"/>
    <col min="23" max="23" width="12" style="287" bestFit="1" customWidth="1"/>
    <col min="24" max="25" width="14.28515625" bestFit="1" customWidth="1"/>
  </cols>
  <sheetData>
    <row r="1" spans="1:23" x14ac:dyDescent="0.25">
      <c r="A1" s="590" t="s">
        <v>402</v>
      </c>
      <c r="B1" s="591"/>
      <c r="C1" s="563"/>
      <c r="D1" s="563"/>
      <c r="E1" s="563"/>
      <c r="F1" s="563"/>
      <c r="G1" s="498"/>
      <c r="I1" s="586" t="s">
        <v>403</v>
      </c>
      <c r="J1" s="587"/>
      <c r="K1" s="588"/>
      <c r="L1" s="589"/>
      <c r="M1"/>
      <c r="N1" s="576" t="s">
        <v>404</v>
      </c>
      <c r="O1" s="577"/>
      <c r="P1" s="577"/>
      <c r="Q1" s="577"/>
      <c r="R1" s="577"/>
      <c r="S1" s="578"/>
      <c r="W1"/>
    </row>
    <row r="2" spans="1:23" ht="15.75" thickBot="1" x14ac:dyDescent="0.3">
      <c r="A2" s="590" t="s">
        <v>405</v>
      </c>
      <c r="B2" s="591"/>
      <c r="C2" s="563"/>
      <c r="D2" s="563"/>
      <c r="E2" s="563"/>
      <c r="F2" s="563"/>
      <c r="G2" s="498"/>
      <c r="I2" s="582" t="s">
        <v>406</v>
      </c>
      <c r="J2" s="583"/>
      <c r="K2" s="584"/>
      <c r="L2" s="585"/>
      <c r="M2"/>
      <c r="N2" s="579" t="str">
        <f>"Recap Summary Table - " &amp; +Profit!B2</f>
        <v>Recap Summary Table - 115 Rosebrooks Dr, Cary, NC 27513</v>
      </c>
      <c r="O2" s="580"/>
      <c r="P2" s="580"/>
      <c r="Q2" s="580"/>
      <c r="R2" s="580"/>
      <c r="S2" s="581"/>
      <c r="W2"/>
    </row>
    <row r="4" spans="1:23" s="63" customFormat="1" x14ac:dyDescent="0.25">
      <c r="A4" s="63" t="s">
        <v>356</v>
      </c>
      <c r="B4" s="22" t="s">
        <v>358</v>
      </c>
      <c r="C4" s="63" t="s">
        <v>359</v>
      </c>
      <c r="D4" s="3" t="s">
        <v>407</v>
      </c>
      <c r="E4" s="325" t="s">
        <v>82</v>
      </c>
      <c r="F4" s="3" t="s">
        <v>360</v>
      </c>
      <c r="G4" s="63" t="s">
        <v>361</v>
      </c>
      <c r="I4" s="63" t="s">
        <v>356</v>
      </c>
      <c r="J4" s="63" t="s">
        <v>408</v>
      </c>
      <c r="K4" s="326" t="s">
        <v>233</v>
      </c>
      <c r="L4" s="63" t="s">
        <v>361</v>
      </c>
      <c r="N4" s="3" t="s">
        <v>356</v>
      </c>
      <c r="O4" s="22" t="s">
        <v>358</v>
      </c>
      <c r="P4" s="3" t="s">
        <v>359</v>
      </c>
      <c r="Q4" s="3" t="s">
        <v>408</v>
      </c>
      <c r="R4" s="3" t="s">
        <v>233</v>
      </c>
      <c r="S4" s="3" t="s">
        <v>361</v>
      </c>
    </row>
    <row r="5" spans="1:23" x14ac:dyDescent="0.25">
      <c r="A5">
        <v>5</v>
      </c>
      <c r="B5" t="s">
        <v>252</v>
      </c>
      <c r="C5" t="s">
        <v>251</v>
      </c>
      <c r="D5">
        <v>0</v>
      </c>
      <c r="F5" s="327">
        <v>0</v>
      </c>
      <c r="G5"/>
      <c r="H5"/>
      <c r="I5">
        <v>15</v>
      </c>
      <c r="J5" t="s">
        <v>409</v>
      </c>
      <c r="K5" s="287">
        <v>45217</v>
      </c>
      <c r="L5" t="s">
        <v>45</v>
      </c>
      <c r="M5"/>
      <c r="N5">
        <v>33</v>
      </c>
      <c r="O5" t="s">
        <v>282</v>
      </c>
      <c r="P5" t="s">
        <v>293</v>
      </c>
      <c r="Q5" t="s">
        <v>410</v>
      </c>
      <c r="R5" s="287">
        <v>45222</v>
      </c>
      <c r="W5"/>
    </row>
    <row r="6" spans="1:23" x14ac:dyDescent="0.25">
      <c r="A6">
        <v>6</v>
      </c>
      <c r="B6" t="s">
        <v>252</v>
      </c>
      <c r="C6" t="s">
        <v>254</v>
      </c>
      <c r="D6">
        <v>0</v>
      </c>
      <c r="F6" s="327">
        <v>0</v>
      </c>
      <c r="G6"/>
      <c r="H6"/>
      <c r="I6">
        <v>31</v>
      </c>
      <c r="J6" t="s">
        <v>411</v>
      </c>
      <c r="K6" s="287">
        <v>45217</v>
      </c>
      <c r="L6" t="s">
        <v>45</v>
      </c>
      <c r="M6"/>
      <c r="N6">
        <v>31</v>
      </c>
      <c r="O6" t="s">
        <v>282</v>
      </c>
      <c r="P6" t="s">
        <v>291</v>
      </c>
      <c r="Q6" t="s">
        <v>412</v>
      </c>
      <c r="R6" s="287">
        <v>45222</v>
      </c>
      <c r="W6"/>
    </row>
    <row r="7" spans="1:23" x14ac:dyDescent="0.25">
      <c r="A7">
        <v>7</v>
      </c>
      <c r="B7" t="s">
        <v>252</v>
      </c>
      <c r="C7" t="s">
        <v>256</v>
      </c>
      <c r="D7">
        <v>0</v>
      </c>
      <c r="F7" s="327">
        <v>0</v>
      </c>
      <c r="G7"/>
      <c r="H7"/>
      <c r="I7">
        <v>23</v>
      </c>
      <c r="J7" t="s">
        <v>413</v>
      </c>
      <c r="K7" s="287">
        <v>45217</v>
      </c>
      <c r="L7" t="s">
        <v>45</v>
      </c>
      <c r="M7"/>
      <c r="N7">
        <v>32</v>
      </c>
      <c r="O7" t="s">
        <v>282</v>
      </c>
      <c r="P7" t="s">
        <v>292</v>
      </c>
      <c r="Q7" t="s">
        <v>414</v>
      </c>
      <c r="R7" s="287">
        <v>45222</v>
      </c>
      <c r="W7"/>
    </row>
    <row r="8" spans="1:23" x14ac:dyDescent="0.25">
      <c r="A8">
        <v>8</v>
      </c>
      <c r="B8" t="s">
        <v>252</v>
      </c>
      <c r="C8" t="s">
        <v>258</v>
      </c>
      <c r="D8">
        <v>0</v>
      </c>
      <c r="F8" s="327">
        <v>0</v>
      </c>
      <c r="G8"/>
      <c r="H8"/>
      <c r="I8">
        <v>19</v>
      </c>
      <c r="J8" t="s">
        <v>415</v>
      </c>
      <c r="K8" s="287">
        <v>45217</v>
      </c>
      <c r="L8" t="s">
        <v>45</v>
      </c>
      <c r="M8"/>
      <c r="N8">
        <v>30</v>
      </c>
      <c r="O8" t="s">
        <v>282</v>
      </c>
      <c r="P8" t="s">
        <v>290</v>
      </c>
      <c r="Q8" t="s">
        <v>416</v>
      </c>
      <c r="R8" s="287">
        <v>45222</v>
      </c>
      <c r="W8"/>
    </row>
    <row r="9" spans="1:23" x14ac:dyDescent="0.25">
      <c r="A9">
        <v>14</v>
      </c>
      <c r="C9" t="s">
        <v>269</v>
      </c>
      <c r="D9">
        <v>1</v>
      </c>
      <c r="F9" s="327">
        <v>590</v>
      </c>
      <c r="G9"/>
      <c r="H9"/>
      <c r="I9">
        <v>11</v>
      </c>
      <c r="J9" t="s">
        <v>417</v>
      </c>
      <c r="K9" s="287">
        <v>45217</v>
      </c>
      <c r="L9" t="s">
        <v>45</v>
      </c>
      <c r="M9"/>
      <c r="N9">
        <v>27</v>
      </c>
      <c r="O9" t="s">
        <v>282</v>
      </c>
      <c r="P9" t="s">
        <v>287</v>
      </c>
      <c r="Q9" t="s">
        <v>418</v>
      </c>
      <c r="R9" s="287">
        <v>45223</v>
      </c>
      <c r="W9"/>
    </row>
    <row r="10" spans="1:23" x14ac:dyDescent="0.25">
      <c r="A10">
        <v>16</v>
      </c>
      <c r="C10" t="s">
        <v>419</v>
      </c>
      <c r="D10">
        <v>1</v>
      </c>
      <c r="F10" s="327"/>
      <c r="G10"/>
      <c r="H10"/>
      <c r="I10">
        <v>36</v>
      </c>
      <c r="J10" t="s">
        <v>420</v>
      </c>
      <c r="K10" s="287">
        <v>45218</v>
      </c>
      <c r="L10" t="s">
        <v>45</v>
      </c>
      <c r="M10"/>
      <c r="N10">
        <v>39</v>
      </c>
      <c r="O10" t="s">
        <v>302</v>
      </c>
      <c r="P10" t="s">
        <v>303</v>
      </c>
      <c r="Q10" t="s">
        <v>421</v>
      </c>
      <c r="R10" s="287">
        <v>45223</v>
      </c>
      <c r="W10"/>
    </row>
    <row r="11" spans="1:23" x14ac:dyDescent="0.25">
      <c r="A11">
        <v>17</v>
      </c>
      <c r="C11" t="s">
        <v>273</v>
      </c>
      <c r="D11">
        <v>1</v>
      </c>
      <c r="F11" s="327"/>
      <c r="G11"/>
      <c r="H11"/>
      <c r="I11">
        <v>37</v>
      </c>
      <c r="J11" t="s">
        <v>422</v>
      </c>
      <c r="K11" s="287">
        <v>45218</v>
      </c>
      <c r="L11" t="s">
        <v>45</v>
      </c>
      <c r="M11"/>
      <c r="N11">
        <v>48</v>
      </c>
      <c r="O11" t="s">
        <v>319</v>
      </c>
      <c r="P11" t="s">
        <v>320</v>
      </c>
      <c r="Q11" t="s">
        <v>423</v>
      </c>
      <c r="R11" s="287">
        <v>45222</v>
      </c>
      <c r="W11"/>
    </row>
    <row r="12" spans="1:23" x14ac:dyDescent="0.25">
      <c r="A12">
        <v>20</v>
      </c>
      <c r="B12" t="s">
        <v>276</v>
      </c>
      <c r="C12" t="s">
        <v>424</v>
      </c>
      <c r="D12">
        <v>1</v>
      </c>
      <c r="F12" s="327"/>
      <c r="G12"/>
      <c r="H12"/>
      <c r="I12">
        <v>39</v>
      </c>
      <c r="J12" t="s">
        <v>425</v>
      </c>
      <c r="K12" s="287"/>
      <c r="L12" t="s">
        <v>45</v>
      </c>
      <c r="M12"/>
      <c r="N12">
        <v>48</v>
      </c>
      <c r="O12" t="s">
        <v>319</v>
      </c>
      <c r="P12" t="s">
        <v>320</v>
      </c>
      <c r="Q12" t="s">
        <v>426</v>
      </c>
      <c r="R12" s="287">
        <v>45223</v>
      </c>
      <c r="W12"/>
    </row>
    <row r="13" spans="1:23" x14ac:dyDescent="0.25">
      <c r="A13">
        <v>35</v>
      </c>
      <c r="B13" t="s">
        <v>282</v>
      </c>
      <c r="C13" t="s">
        <v>295</v>
      </c>
      <c r="D13">
        <v>1</v>
      </c>
      <c r="E13" s="297">
        <v>45216</v>
      </c>
      <c r="F13" s="327"/>
      <c r="G13"/>
      <c r="H13"/>
      <c r="I13">
        <v>40</v>
      </c>
      <c r="J13" t="s">
        <v>427</v>
      </c>
      <c r="K13" s="287"/>
      <c r="L13" t="s">
        <v>45</v>
      </c>
      <c r="M13"/>
      <c r="N13">
        <v>49</v>
      </c>
      <c r="O13" t="s">
        <v>321</v>
      </c>
      <c r="P13" t="s">
        <v>322</v>
      </c>
      <c r="Q13" t="s">
        <v>428</v>
      </c>
      <c r="R13" s="287">
        <v>45223</v>
      </c>
      <c r="U13" s="287"/>
      <c r="W13"/>
    </row>
    <row r="14" spans="1:23" x14ac:dyDescent="0.25">
      <c r="A14">
        <v>23</v>
      </c>
      <c r="B14" t="s">
        <v>282</v>
      </c>
      <c r="C14" t="s">
        <v>429</v>
      </c>
      <c r="D14">
        <v>1</v>
      </c>
      <c r="E14" s="297">
        <v>45229</v>
      </c>
      <c r="F14" s="327"/>
      <c r="G14"/>
      <c r="H14"/>
      <c r="I14">
        <v>31</v>
      </c>
      <c r="J14" t="s">
        <v>430</v>
      </c>
      <c r="K14" s="287"/>
      <c r="L14" t="s">
        <v>45</v>
      </c>
      <c r="M14"/>
      <c r="N14">
        <v>50</v>
      </c>
      <c r="O14" t="s">
        <v>323</v>
      </c>
      <c r="P14" t="s">
        <v>324</v>
      </c>
      <c r="Q14" t="s">
        <v>431</v>
      </c>
      <c r="R14" s="287">
        <v>45223</v>
      </c>
      <c r="U14" s="287"/>
      <c r="W14"/>
    </row>
    <row r="15" spans="1:23" x14ac:dyDescent="0.25">
      <c r="A15">
        <v>24</v>
      </c>
      <c r="B15" t="s">
        <v>282</v>
      </c>
      <c r="C15" t="s">
        <v>432</v>
      </c>
      <c r="D15">
        <v>1</v>
      </c>
      <c r="E15" s="297">
        <v>45229</v>
      </c>
      <c r="F15" s="327"/>
      <c r="G15"/>
      <c r="H15"/>
      <c r="I15" t="s">
        <v>162</v>
      </c>
      <c r="J15" t="s">
        <v>162</v>
      </c>
      <c r="K15" s="287" t="s">
        <v>162</v>
      </c>
      <c r="M15"/>
      <c r="N15">
        <v>51</v>
      </c>
      <c r="O15" t="s">
        <v>325</v>
      </c>
      <c r="P15" t="s">
        <v>326</v>
      </c>
      <c r="Q15" t="s">
        <v>433</v>
      </c>
      <c r="R15" s="287">
        <v>45223</v>
      </c>
      <c r="U15" s="287"/>
      <c r="W15"/>
    </row>
    <row r="16" spans="1:23" x14ac:dyDescent="0.25">
      <c r="A16">
        <v>25</v>
      </c>
      <c r="B16" t="s">
        <v>282</v>
      </c>
      <c r="C16" t="s">
        <v>434</v>
      </c>
      <c r="D16">
        <v>1</v>
      </c>
      <c r="E16" s="297">
        <v>45229</v>
      </c>
      <c r="F16" s="327"/>
      <c r="G16"/>
      <c r="H16"/>
      <c r="I16">
        <v>33</v>
      </c>
      <c r="J16" t="s">
        <v>410</v>
      </c>
      <c r="K16" s="287">
        <v>45222</v>
      </c>
      <c r="M16"/>
      <c r="N16">
        <v>51</v>
      </c>
      <c r="O16" t="s">
        <v>325</v>
      </c>
      <c r="P16" t="s">
        <v>326</v>
      </c>
      <c r="Q16" t="s">
        <v>431</v>
      </c>
      <c r="R16" s="287">
        <v>45223</v>
      </c>
      <c r="U16" s="287"/>
      <c r="W16"/>
    </row>
    <row r="17" spans="1:23" x14ac:dyDescent="0.25">
      <c r="A17">
        <v>26</v>
      </c>
      <c r="B17" t="s">
        <v>282</v>
      </c>
      <c r="C17" t="s">
        <v>435</v>
      </c>
      <c r="D17">
        <v>1</v>
      </c>
      <c r="E17" s="297">
        <v>45229</v>
      </c>
      <c r="F17" s="327"/>
      <c r="G17"/>
      <c r="H17"/>
      <c r="I17">
        <v>31</v>
      </c>
      <c r="J17" t="s">
        <v>412</v>
      </c>
      <c r="K17" s="287">
        <v>45222</v>
      </c>
      <c r="M17"/>
      <c r="N17">
        <v>52</v>
      </c>
      <c r="O17" t="s">
        <v>327</v>
      </c>
      <c r="P17" t="s">
        <v>328</v>
      </c>
      <c r="Q17" t="s">
        <v>431</v>
      </c>
      <c r="R17" s="287">
        <v>45223</v>
      </c>
      <c r="U17" s="287"/>
      <c r="W17"/>
    </row>
    <row r="18" spans="1:23" x14ac:dyDescent="0.25">
      <c r="A18">
        <v>27</v>
      </c>
      <c r="B18" t="s">
        <v>282</v>
      </c>
      <c r="C18" t="s">
        <v>436</v>
      </c>
      <c r="D18">
        <v>1</v>
      </c>
      <c r="E18" s="297">
        <v>45229</v>
      </c>
      <c r="F18" s="327"/>
      <c r="G18"/>
      <c r="H18"/>
      <c r="I18">
        <v>32</v>
      </c>
      <c r="J18" t="s">
        <v>414</v>
      </c>
      <c r="K18" s="287">
        <v>45222</v>
      </c>
      <c r="M18"/>
      <c r="N18">
        <v>53</v>
      </c>
      <c r="O18" t="s">
        <v>329</v>
      </c>
      <c r="P18" t="s">
        <v>330</v>
      </c>
      <c r="Q18" t="s">
        <v>431</v>
      </c>
      <c r="R18" s="287">
        <v>45223</v>
      </c>
      <c r="U18" s="287"/>
      <c r="W18"/>
    </row>
    <row r="19" spans="1:23" x14ac:dyDescent="0.25">
      <c r="A19">
        <v>28</v>
      </c>
      <c r="B19" t="s">
        <v>282</v>
      </c>
      <c r="C19" t="s">
        <v>437</v>
      </c>
      <c r="D19">
        <v>1</v>
      </c>
      <c r="E19" s="297">
        <v>45229</v>
      </c>
      <c r="F19" s="327"/>
      <c r="G19"/>
      <c r="H19"/>
      <c r="I19">
        <v>30</v>
      </c>
      <c r="J19" t="s">
        <v>416</v>
      </c>
      <c r="K19" s="287">
        <v>45222</v>
      </c>
      <c r="M19"/>
      <c r="N19">
        <v>54</v>
      </c>
      <c r="O19" t="s">
        <v>331</v>
      </c>
      <c r="P19" t="s">
        <v>332</v>
      </c>
      <c r="Q19" t="s">
        <v>431</v>
      </c>
      <c r="R19" s="287">
        <v>45223</v>
      </c>
      <c r="U19" s="287"/>
      <c r="W19"/>
    </row>
    <row r="20" spans="1:23" x14ac:dyDescent="0.25">
      <c r="A20">
        <v>29</v>
      </c>
      <c r="B20" t="s">
        <v>282</v>
      </c>
      <c r="C20" t="s">
        <v>438</v>
      </c>
      <c r="D20">
        <v>1</v>
      </c>
      <c r="E20" s="297">
        <v>45229</v>
      </c>
      <c r="F20" s="327"/>
      <c r="G20"/>
      <c r="H20"/>
      <c r="I20">
        <v>48</v>
      </c>
      <c r="J20" t="s">
        <v>423</v>
      </c>
      <c r="K20" s="287">
        <v>45222</v>
      </c>
      <c r="M20"/>
      <c r="N20">
        <v>55</v>
      </c>
      <c r="O20" t="s">
        <v>334</v>
      </c>
      <c r="P20" t="s">
        <v>335</v>
      </c>
      <c r="Q20" t="s">
        <v>431</v>
      </c>
      <c r="R20" s="287">
        <v>45223</v>
      </c>
      <c r="U20" s="287"/>
      <c r="W20"/>
    </row>
    <row r="21" spans="1:23" x14ac:dyDescent="0.25">
      <c r="A21">
        <v>30</v>
      </c>
      <c r="B21" t="s">
        <v>282</v>
      </c>
      <c r="C21" t="s">
        <v>439</v>
      </c>
      <c r="D21">
        <v>1</v>
      </c>
      <c r="E21" s="297">
        <v>45229</v>
      </c>
      <c r="F21" s="327"/>
      <c r="G21"/>
      <c r="H21"/>
      <c r="I21">
        <v>51</v>
      </c>
      <c r="J21" t="s">
        <v>433</v>
      </c>
      <c r="K21" s="287">
        <v>45223</v>
      </c>
      <c r="M21"/>
      <c r="N21">
        <v>56</v>
      </c>
      <c r="O21" t="s">
        <v>336</v>
      </c>
      <c r="P21" t="s">
        <v>337</v>
      </c>
      <c r="Q21" t="s">
        <v>431</v>
      </c>
      <c r="R21" s="287">
        <v>45223</v>
      </c>
      <c r="U21" s="287"/>
      <c r="W21"/>
    </row>
    <row r="22" spans="1:23" x14ac:dyDescent="0.25">
      <c r="A22">
        <v>31</v>
      </c>
      <c r="B22" t="s">
        <v>282</v>
      </c>
      <c r="C22" t="s">
        <v>440</v>
      </c>
      <c r="D22">
        <v>1</v>
      </c>
      <c r="E22" s="297">
        <v>45229</v>
      </c>
      <c r="F22" s="327"/>
      <c r="G22"/>
      <c r="H22"/>
      <c r="I22">
        <v>48</v>
      </c>
      <c r="J22" t="s">
        <v>426</v>
      </c>
      <c r="K22" s="287">
        <v>45223</v>
      </c>
      <c r="M22"/>
      <c r="N22">
        <v>57</v>
      </c>
      <c r="O22" t="s">
        <v>338</v>
      </c>
      <c r="P22" t="s">
        <v>339</v>
      </c>
      <c r="Q22" t="s">
        <v>431</v>
      </c>
      <c r="R22" s="287">
        <v>45223</v>
      </c>
      <c r="U22" s="287"/>
      <c r="W22"/>
    </row>
    <row r="23" spans="1:23" x14ac:dyDescent="0.25">
      <c r="A23">
        <v>32</v>
      </c>
      <c r="B23" t="s">
        <v>282</v>
      </c>
      <c r="C23" t="s">
        <v>441</v>
      </c>
      <c r="D23">
        <v>1</v>
      </c>
      <c r="E23" s="297">
        <v>45229</v>
      </c>
      <c r="F23" s="327"/>
      <c r="G23"/>
      <c r="H23"/>
      <c r="I23">
        <v>39</v>
      </c>
      <c r="J23" t="s">
        <v>421</v>
      </c>
      <c r="K23" s="287">
        <v>45223</v>
      </c>
      <c r="M23"/>
      <c r="N23">
        <v>58</v>
      </c>
      <c r="O23" t="s">
        <v>341</v>
      </c>
      <c r="P23" t="s">
        <v>342</v>
      </c>
      <c r="Q23" t="s">
        <v>431</v>
      </c>
      <c r="R23" s="287">
        <v>45223</v>
      </c>
      <c r="U23" s="287"/>
      <c r="W23"/>
    </row>
    <row r="24" spans="1:23" x14ac:dyDescent="0.25">
      <c r="A24">
        <v>33</v>
      </c>
      <c r="B24" t="s">
        <v>282</v>
      </c>
      <c r="C24" t="s">
        <v>442</v>
      </c>
      <c r="D24">
        <v>1</v>
      </c>
      <c r="E24" s="297">
        <v>45229</v>
      </c>
      <c r="F24" s="327"/>
      <c r="G24"/>
      <c r="H24"/>
      <c r="I24">
        <v>27</v>
      </c>
      <c r="J24" t="s">
        <v>418</v>
      </c>
      <c r="K24" s="287">
        <v>45223</v>
      </c>
      <c r="L24" s="287"/>
      <c r="M24"/>
      <c r="N24">
        <v>59</v>
      </c>
      <c r="O24" t="s">
        <v>343</v>
      </c>
      <c r="P24" t="s">
        <v>344</v>
      </c>
      <c r="Q24" t="s">
        <v>431</v>
      </c>
      <c r="R24" s="287">
        <v>45223</v>
      </c>
      <c r="U24" s="287"/>
      <c r="W24"/>
    </row>
    <row r="25" spans="1:23" x14ac:dyDescent="0.25">
      <c r="A25">
        <v>34</v>
      </c>
      <c r="B25" t="s">
        <v>282</v>
      </c>
      <c r="C25" t="s">
        <v>443</v>
      </c>
      <c r="D25">
        <v>1</v>
      </c>
      <c r="E25" s="297">
        <v>45229</v>
      </c>
      <c r="F25" s="327"/>
      <c r="G25"/>
      <c r="H25"/>
      <c r="I25">
        <v>49</v>
      </c>
      <c r="J25" t="s">
        <v>428</v>
      </c>
      <c r="K25" s="287">
        <v>45223</v>
      </c>
      <c r="L25" s="287"/>
      <c r="M25"/>
      <c r="N25">
        <v>60</v>
      </c>
      <c r="O25" t="s">
        <v>345</v>
      </c>
      <c r="P25" t="s">
        <v>346</v>
      </c>
      <c r="Q25" t="s">
        <v>431</v>
      </c>
      <c r="R25" s="287">
        <v>45223</v>
      </c>
      <c r="U25" s="287"/>
      <c r="W25"/>
    </row>
    <row r="26" spans="1:23" x14ac:dyDescent="0.25">
      <c r="A26">
        <v>36</v>
      </c>
      <c r="B26" t="s">
        <v>296</v>
      </c>
      <c r="C26" t="s">
        <v>297</v>
      </c>
      <c r="D26">
        <v>2</v>
      </c>
      <c r="F26" s="327">
        <v>600</v>
      </c>
      <c r="G26"/>
      <c r="H26"/>
      <c r="I26">
        <v>50</v>
      </c>
      <c r="J26" t="s">
        <v>431</v>
      </c>
      <c r="K26" s="287">
        <v>45223</v>
      </c>
      <c r="M26"/>
      <c r="U26" s="287"/>
      <c r="W26"/>
    </row>
    <row r="27" spans="1:23" x14ac:dyDescent="0.25">
      <c r="A27">
        <v>38</v>
      </c>
      <c r="B27" t="s">
        <v>300</v>
      </c>
      <c r="C27" t="s">
        <v>301</v>
      </c>
      <c r="D27">
        <v>2</v>
      </c>
      <c r="F27" s="327">
        <v>50</v>
      </c>
      <c r="G27"/>
      <c r="H27"/>
      <c r="I27">
        <v>51</v>
      </c>
      <c r="J27" t="s">
        <v>431</v>
      </c>
      <c r="K27" s="287">
        <v>45223</v>
      </c>
      <c r="M27"/>
      <c r="U27" s="287"/>
      <c r="W27"/>
    </row>
    <row r="28" spans="1:23" x14ac:dyDescent="0.25">
      <c r="A28">
        <v>39</v>
      </c>
      <c r="B28" t="s">
        <v>302</v>
      </c>
      <c r="C28" t="s">
        <v>303</v>
      </c>
      <c r="D28">
        <v>2</v>
      </c>
      <c r="F28" s="327">
        <v>50</v>
      </c>
      <c r="G28"/>
      <c r="H28"/>
      <c r="I28">
        <v>52</v>
      </c>
      <c r="J28" t="s">
        <v>431</v>
      </c>
      <c r="K28" s="287">
        <v>45223</v>
      </c>
      <c r="M28"/>
      <c r="U28" s="287"/>
      <c r="W28"/>
    </row>
    <row r="29" spans="1:23" x14ac:dyDescent="0.25">
      <c r="A29">
        <v>43</v>
      </c>
      <c r="B29" t="s">
        <v>310</v>
      </c>
      <c r="C29" t="s">
        <v>311</v>
      </c>
      <c r="D29">
        <v>2</v>
      </c>
      <c r="F29" s="327"/>
      <c r="G29"/>
      <c r="H29"/>
      <c r="I29">
        <v>53</v>
      </c>
      <c r="J29" t="s">
        <v>431</v>
      </c>
      <c r="K29" s="287">
        <v>45223</v>
      </c>
      <c r="M29"/>
      <c r="U29" s="287"/>
      <c r="W29"/>
    </row>
    <row r="30" spans="1:23" x14ac:dyDescent="0.25">
      <c r="A30">
        <v>45</v>
      </c>
      <c r="B30" t="s">
        <v>313</v>
      </c>
      <c r="C30" t="s">
        <v>314</v>
      </c>
      <c r="D30">
        <v>2</v>
      </c>
      <c r="F30" s="327"/>
      <c r="G30"/>
      <c r="H30"/>
      <c r="I30">
        <v>54</v>
      </c>
      <c r="J30" t="s">
        <v>431</v>
      </c>
      <c r="K30" s="287">
        <v>45223</v>
      </c>
      <c r="M30"/>
      <c r="U30" s="287"/>
      <c r="W30"/>
    </row>
    <row r="31" spans="1:23" x14ac:dyDescent="0.25">
      <c r="A31">
        <v>46</v>
      </c>
      <c r="B31" t="s">
        <v>315</v>
      </c>
      <c r="C31" t="s">
        <v>316</v>
      </c>
      <c r="D31">
        <v>2</v>
      </c>
      <c r="F31" s="327"/>
      <c r="G31"/>
      <c r="H31"/>
      <c r="I31">
        <v>55</v>
      </c>
      <c r="J31" t="s">
        <v>431</v>
      </c>
      <c r="K31" s="287">
        <v>45223</v>
      </c>
      <c r="M31"/>
      <c r="U31" s="287"/>
      <c r="W31"/>
    </row>
    <row r="32" spans="1:23" x14ac:dyDescent="0.25">
      <c r="A32">
        <v>47</v>
      </c>
      <c r="B32" t="s">
        <v>317</v>
      </c>
      <c r="C32" t="s">
        <v>318</v>
      </c>
      <c r="D32">
        <v>2</v>
      </c>
      <c r="F32" s="327"/>
      <c r="G32"/>
      <c r="H32"/>
      <c r="I32">
        <v>56</v>
      </c>
      <c r="J32" t="s">
        <v>431</v>
      </c>
      <c r="K32" s="287">
        <v>45223</v>
      </c>
      <c r="M32"/>
      <c r="U32" s="287"/>
      <c r="W32"/>
    </row>
    <row r="33" spans="1:23" x14ac:dyDescent="0.25">
      <c r="A33">
        <v>48</v>
      </c>
      <c r="B33" t="s">
        <v>319</v>
      </c>
      <c r="C33" t="s">
        <v>320</v>
      </c>
      <c r="D33">
        <v>2</v>
      </c>
      <c r="F33" s="327"/>
      <c r="G33"/>
      <c r="I33">
        <v>57</v>
      </c>
      <c r="J33" t="s">
        <v>431</v>
      </c>
      <c r="K33" s="287">
        <v>45223</v>
      </c>
      <c r="L33" s="287"/>
      <c r="M33"/>
      <c r="V33" s="287"/>
      <c r="W33"/>
    </row>
    <row r="34" spans="1:23" x14ac:dyDescent="0.25">
      <c r="A34">
        <v>49</v>
      </c>
      <c r="B34" t="s">
        <v>321</v>
      </c>
      <c r="C34" t="s">
        <v>322</v>
      </c>
      <c r="D34">
        <v>2</v>
      </c>
      <c r="F34" s="327"/>
      <c r="G34"/>
      <c r="I34">
        <v>58</v>
      </c>
      <c r="J34" t="s">
        <v>431</v>
      </c>
      <c r="K34" s="287">
        <v>45223</v>
      </c>
      <c r="L34" s="287"/>
      <c r="M34"/>
      <c r="V34" s="287"/>
      <c r="W34"/>
    </row>
    <row r="35" spans="1:23" x14ac:dyDescent="0.25">
      <c r="A35">
        <v>50</v>
      </c>
      <c r="B35" t="s">
        <v>323</v>
      </c>
      <c r="C35" t="s">
        <v>324</v>
      </c>
      <c r="D35">
        <v>2</v>
      </c>
      <c r="F35" s="327"/>
      <c r="G35"/>
      <c r="I35">
        <v>59</v>
      </c>
      <c r="J35" t="s">
        <v>431</v>
      </c>
      <c r="K35" s="287">
        <v>45223</v>
      </c>
      <c r="L35" s="287"/>
      <c r="M35"/>
      <c r="V35" s="287"/>
      <c r="W35"/>
    </row>
    <row r="36" spans="1:23" x14ac:dyDescent="0.25">
      <c r="A36">
        <v>51</v>
      </c>
      <c r="B36" t="s">
        <v>325</v>
      </c>
      <c r="C36" t="s">
        <v>326</v>
      </c>
      <c r="D36">
        <v>2</v>
      </c>
      <c r="F36" s="327"/>
      <c r="G36"/>
      <c r="I36">
        <v>60</v>
      </c>
      <c r="J36" t="s">
        <v>431</v>
      </c>
      <c r="K36" s="287">
        <v>45223</v>
      </c>
      <c r="L36" s="287"/>
      <c r="M36"/>
      <c r="V36" s="287"/>
      <c r="W36"/>
    </row>
    <row r="37" spans="1:23" x14ac:dyDescent="0.25">
      <c r="A37">
        <v>52</v>
      </c>
      <c r="B37" t="s">
        <v>327</v>
      </c>
      <c r="C37" t="s">
        <v>328</v>
      </c>
      <c r="D37">
        <v>2</v>
      </c>
      <c r="F37" s="327"/>
      <c r="G37"/>
      <c r="I37"/>
      <c r="L37" s="287"/>
      <c r="M37"/>
      <c r="V37" s="287"/>
      <c r="W37"/>
    </row>
    <row r="38" spans="1:23" x14ac:dyDescent="0.25">
      <c r="A38">
        <v>53</v>
      </c>
      <c r="B38" t="s">
        <v>329</v>
      </c>
      <c r="C38" t="s">
        <v>330</v>
      </c>
      <c r="D38">
        <v>2</v>
      </c>
      <c r="F38" s="327"/>
      <c r="G38"/>
      <c r="I38"/>
      <c r="L38" s="287"/>
      <c r="M38"/>
      <c r="V38" s="287"/>
      <c r="W38"/>
    </row>
    <row r="39" spans="1:23" x14ac:dyDescent="0.25">
      <c r="A39">
        <v>54</v>
      </c>
      <c r="B39" t="s">
        <v>331</v>
      </c>
      <c r="C39" t="s">
        <v>332</v>
      </c>
      <c r="D39">
        <v>2</v>
      </c>
      <c r="F39" s="327"/>
      <c r="G39"/>
      <c r="I39"/>
      <c r="L39" s="287"/>
      <c r="M39"/>
      <c r="V39" s="287"/>
      <c r="W39"/>
    </row>
    <row r="40" spans="1:23" x14ac:dyDescent="0.25">
      <c r="A40">
        <v>55</v>
      </c>
      <c r="B40" t="s">
        <v>334</v>
      </c>
      <c r="C40" t="s">
        <v>335</v>
      </c>
      <c r="D40">
        <v>2</v>
      </c>
      <c r="F40" s="327"/>
      <c r="G40"/>
      <c r="I40"/>
      <c r="L40" s="287"/>
      <c r="M40"/>
      <c r="V40" s="287"/>
      <c r="W40"/>
    </row>
    <row r="41" spans="1:23" x14ac:dyDescent="0.25">
      <c r="A41">
        <v>56</v>
      </c>
      <c r="B41" t="s">
        <v>336</v>
      </c>
      <c r="C41" t="s">
        <v>337</v>
      </c>
      <c r="D41">
        <v>2</v>
      </c>
      <c r="F41" s="327"/>
      <c r="G41"/>
      <c r="I41"/>
      <c r="L41" s="287"/>
      <c r="M41"/>
      <c r="V41" s="287"/>
      <c r="W41"/>
    </row>
    <row r="42" spans="1:23" x14ac:dyDescent="0.25">
      <c r="A42">
        <v>57</v>
      </c>
      <c r="B42" t="s">
        <v>338</v>
      </c>
      <c r="C42" t="s">
        <v>339</v>
      </c>
      <c r="D42">
        <v>2</v>
      </c>
      <c r="F42" s="327"/>
      <c r="G42"/>
      <c r="I42"/>
      <c r="L42" s="287"/>
      <c r="M42"/>
      <c r="V42" s="287"/>
      <c r="W42"/>
    </row>
    <row r="43" spans="1:23" x14ac:dyDescent="0.25">
      <c r="A43">
        <v>58</v>
      </c>
      <c r="B43" t="s">
        <v>341</v>
      </c>
      <c r="C43" t="s">
        <v>342</v>
      </c>
      <c r="D43">
        <v>2</v>
      </c>
      <c r="F43" s="327"/>
      <c r="G43"/>
      <c r="I43"/>
      <c r="L43" s="287"/>
      <c r="M43"/>
      <c r="V43" s="287"/>
      <c r="W43"/>
    </row>
    <row r="44" spans="1:23" x14ac:dyDescent="0.25">
      <c r="A44">
        <v>59</v>
      </c>
      <c r="B44" t="s">
        <v>343</v>
      </c>
      <c r="C44" t="s">
        <v>344</v>
      </c>
      <c r="D44">
        <v>2</v>
      </c>
      <c r="F44" s="327"/>
      <c r="G44"/>
      <c r="I44"/>
      <c r="L44" s="287"/>
      <c r="M44"/>
      <c r="V44" s="287"/>
      <c r="W44"/>
    </row>
    <row r="45" spans="1:23" x14ac:dyDescent="0.25">
      <c r="A45">
        <v>60</v>
      </c>
      <c r="B45" t="s">
        <v>345</v>
      </c>
      <c r="C45" t="s">
        <v>444</v>
      </c>
      <c r="D45">
        <v>2</v>
      </c>
      <c r="F45" s="327"/>
      <c r="G45" t="s">
        <v>401</v>
      </c>
      <c r="I45"/>
      <c r="L45" s="287"/>
      <c r="M45"/>
      <c r="V45" s="287"/>
      <c r="W45"/>
    </row>
    <row r="46" spans="1:23" x14ac:dyDescent="0.25">
      <c r="A46">
        <v>3</v>
      </c>
      <c r="B46" t="s">
        <v>248</v>
      </c>
      <c r="C46" t="s">
        <v>248</v>
      </c>
      <c r="D46">
        <v>4</v>
      </c>
      <c r="E46" s="297">
        <v>45226</v>
      </c>
      <c r="F46" s="327">
        <v>0</v>
      </c>
      <c r="G46"/>
      <c r="I46"/>
      <c r="L46" s="287"/>
      <c r="M46"/>
      <c r="V46" s="287"/>
      <c r="W46"/>
    </row>
    <row r="47" spans="1:23" x14ac:dyDescent="0.25">
      <c r="A47">
        <v>4</v>
      </c>
      <c r="B47" t="s">
        <v>249</v>
      </c>
      <c r="C47" t="s">
        <v>250</v>
      </c>
      <c r="D47">
        <v>5</v>
      </c>
      <c r="F47" s="327"/>
      <c r="G47"/>
      <c r="I47"/>
      <c r="L47" s="287"/>
      <c r="M47"/>
      <c r="V47" s="287"/>
      <c r="W47"/>
    </row>
  </sheetData>
  <mergeCells count="6">
    <mergeCell ref="N1:S1"/>
    <mergeCell ref="N2:S2"/>
    <mergeCell ref="I2:L2"/>
    <mergeCell ref="I1:L1"/>
    <mergeCell ref="A1:G1"/>
    <mergeCell ref="A2:G2"/>
  </mergeCells>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C6" sqref="C6:D7"/>
    </sheetView>
  </sheetViews>
  <sheetFormatPr defaultRowHeight="15" x14ac:dyDescent="0.25"/>
  <cols>
    <col min="1" max="1" width="12.7109375" bestFit="1" customWidth="1"/>
    <col min="2" max="2" width="10.7109375" bestFit="1" customWidth="1"/>
    <col min="3" max="3" width="20.140625" bestFit="1" customWidth="1"/>
  </cols>
  <sheetData>
    <row r="1" spans="1:5" x14ac:dyDescent="0.25">
      <c r="A1" s="498" t="s">
        <v>445</v>
      </c>
      <c r="B1" s="498"/>
      <c r="C1" s="498"/>
      <c r="D1" s="498"/>
      <c r="E1" s="498"/>
    </row>
    <row r="3" spans="1:5" x14ac:dyDescent="0.25">
      <c r="A3" s="3" t="s">
        <v>446</v>
      </c>
      <c r="B3" s="3" t="s">
        <v>233</v>
      </c>
      <c r="C3" s="13" t="s">
        <v>447</v>
      </c>
      <c r="D3" s="13" t="s">
        <v>448</v>
      </c>
      <c r="E3" s="3"/>
    </row>
    <row r="4" spans="1:5" x14ac:dyDescent="0.25">
      <c r="A4" s="2"/>
      <c r="C4" s="14"/>
      <c r="D4" s="14"/>
      <c r="E4" s="14"/>
    </row>
    <row r="5" spans="1:5" x14ac:dyDescent="0.25">
      <c r="A5" s="2" t="s">
        <v>449</v>
      </c>
      <c r="B5" s="12">
        <v>45292</v>
      </c>
      <c r="C5" s="14" t="s">
        <v>450</v>
      </c>
      <c r="D5" s="14">
        <v>853</v>
      </c>
      <c r="E5" s="14"/>
    </row>
    <row r="6" spans="1:5" x14ac:dyDescent="0.25">
      <c r="A6" s="2"/>
      <c r="B6" s="12">
        <v>45658</v>
      </c>
      <c r="C6" s="14" t="s">
        <v>450</v>
      </c>
      <c r="D6" s="14">
        <v>853</v>
      </c>
      <c r="E6" s="14"/>
    </row>
    <row r="7" spans="1:5" x14ac:dyDescent="0.25">
      <c r="A7" s="2"/>
      <c r="B7" s="12">
        <v>46023</v>
      </c>
      <c r="C7" s="14" t="s">
        <v>450</v>
      </c>
      <c r="D7" s="14">
        <v>853</v>
      </c>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2559</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451</v>
      </c>
      <c r="B1" s="7" t="s">
        <v>452</v>
      </c>
    </row>
    <row r="2" spans="1:5" x14ac:dyDescent="0.25">
      <c r="A2" s="3" t="s">
        <v>453</v>
      </c>
      <c r="B2" s="6"/>
      <c r="C2" s="4"/>
    </row>
    <row r="4" spans="1:5" x14ac:dyDescent="0.25">
      <c r="A4" s="2" t="s">
        <v>454</v>
      </c>
      <c r="B4" s="1">
        <v>0</v>
      </c>
      <c r="C4" s="1">
        <v>0</v>
      </c>
    </row>
    <row r="5" spans="1:5" x14ac:dyDescent="0.25">
      <c r="A5" s="2" t="s">
        <v>455</v>
      </c>
      <c r="B5" s="1">
        <v>33</v>
      </c>
      <c r="C5"/>
      <c r="D5" s="1"/>
    </row>
    <row r="6" spans="1:5" ht="15.75" thickBot="1" x14ac:dyDescent="0.3">
      <c r="A6" s="2" t="s">
        <v>456</v>
      </c>
      <c r="B6" s="20">
        <v>0</v>
      </c>
      <c r="C6" s="20">
        <f>B5*B6</f>
        <v>0</v>
      </c>
      <c r="D6" s="30"/>
    </row>
    <row r="7" spans="1:5" x14ac:dyDescent="0.25">
      <c r="C7" s="9" t="s">
        <v>457</v>
      </c>
      <c r="D7" s="1">
        <f>SUM(C4:C6)</f>
        <v>0</v>
      </c>
    </row>
    <row r="8" spans="1:5" x14ac:dyDescent="0.25">
      <c r="D8" s="1"/>
    </row>
    <row r="10" spans="1:5" ht="15.75" thickBot="1" x14ac:dyDescent="0.3">
      <c r="D10" s="30"/>
    </row>
    <row r="11" spans="1:5" x14ac:dyDescent="0.25">
      <c r="D11" s="31" t="s">
        <v>458</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G62"/>
  <sheetViews>
    <sheetView workbookViewId="0">
      <pane ySplit="2" topLeftCell="A42" activePane="bottomLeft" state="frozen"/>
      <selection pane="bottomLeft" activeCell="M59" sqref="M59"/>
    </sheetView>
  </sheetViews>
  <sheetFormatPr defaultColWidth="9.140625" defaultRowHeight="15" x14ac:dyDescent="0.25"/>
  <cols>
    <col min="1" max="1" width="39.7109375" bestFit="1" customWidth="1"/>
    <col min="2" max="2" width="26.85546875" style="2" customWidth="1"/>
    <col min="5" max="5" width="9.28515625" bestFit="1" customWidth="1"/>
    <col min="6" max="6" width="9.28515625" customWidth="1"/>
  </cols>
  <sheetData>
    <row r="1" spans="1:7" x14ac:dyDescent="0.25">
      <c r="A1" s="15" t="s">
        <v>459</v>
      </c>
    </row>
    <row r="2" spans="1:7" s="3" customFormat="1" x14ac:dyDescent="0.25">
      <c r="B2" s="3" t="s">
        <v>460</v>
      </c>
      <c r="C2" s="3" t="s">
        <v>461</v>
      </c>
      <c r="D2" s="8" t="s">
        <v>462</v>
      </c>
      <c r="E2" s="3" t="s">
        <v>463</v>
      </c>
      <c r="F2" s="8" t="s">
        <v>448</v>
      </c>
      <c r="G2" s="3" t="s">
        <v>464</v>
      </c>
    </row>
    <row r="3" spans="1:7" x14ac:dyDescent="0.25">
      <c r="A3" s="223" t="s">
        <v>465</v>
      </c>
      <c r="B3" s="223"/>
      <c r="C3" s="224">
        <v>0</v>
      </c>
      <c r="D3" s="225">
        <v>0</v>
      </c>
      <c r="E3">
        <f>+C3*D3</f>
        <v>0</v>
      </c>
      <c r="F3" s="26">
        <f t="shared" ref="F3:F44" si="0">+E3*0.0725</f>
        <v>0</v>
      </c>
    </row>
    <row r="4" spans="1:7" x14ac:dyDescent="0.25">
      <c r="A4" s="223" t="s">
        <v>466</v>
      </c>
      <c r="B4" s="223"/>
      <c r="C4" s="224">
        <v>0</v>
      </c>
      <c r="D4" s="225">
        <v>0</v>
      </c>
      <c r="E4">
        <f t="shared" ref="E4:E61" si="1">+C4*D4</f>
        <v>0</v>
      </c>
      <c r="F4" s="26">
        <f t="shared" si="0"/>
        <v>0</v>
      </c>
    </row>
    <row r="5" spans="1:7" x14ac:dyDescent="0.25">
      <c r="A5" s="223" t="s">
        <v>467</v>
      </c>
      <c r="B5" s="223"/>
      <c r="C5" s="224">
        <v>0</v>
      </c>
      <c r="D5" s="225">
        <v>0</v>
      </c>
      <c r="E5">
        <f t="shared" si="1"/>
        <v>0</v>
      </c>
      <c r="F5" s="26">
        <f t="shared" si="0"/>
        <v>0</v>
      </c>
    </row>
    <row r="6" spans="1:7" x14ac:dyDescent="0.25">
      <c r="A6" s="223" t="s">
        <v>468</v>
      </c>
      <c r="B6" s="223"/>
      <c r="C6" s="224">
        <v>0</v>
      </c>
      <c r="D6" s="225">
        <v>0</v>
      </c>
      <c r="E6">
        <f t="shared" si="1"/>
        <v>0</v>
      </c>
      <c r="F6" s="26">
        <f t="shared" si="0"/>
        <v>0</v>
      </c>
    </row>
    <row r="7" spans="1:7" x14ac:dyDescent="0.25">
      <c r="A7" s="223" t="s">
        <v>469</v>
      </c>
      <c r="B7" s="223"/>
      <c r="C7" s="224">
        <v>0</v>
      </c>
      <c r="D7" s="225">
        <v>0</v>
      </c>
      <c r="E7">
        <f t="shared" si="1"/>
        <v>0</v>
      </c>
      <c r="F7" s="26">
        <f t="shared" si="0"/>
        <v>0</v>
      </c>
    </row>
    <row r="8" spans="1:7" x14ac:dyDescent="0.25">
      <c r="A8" s="223" t="s">
        <v>470</v>
      </c>
      <c r="B8" s="223"/>
      <c r="C8" s="224">
        <v>0</v>
      </c>
      <c r="D8" s="225">
        <v>0</v>
      </c>
      <c r="E8">
        <f t="shared" si="1"/>
        <v>0</v>
      </c>
      <c r="F8" s="26">
        <f t="shared" si="0"/>
        <v>0</v>
      </c>
    </row>
    <row r="9" spans="1:7" x14ac:dyDescent="0.25">
      <c r="A9" s="223" t="s">
        <v>471</v>
      </c>
      <c r="B9" s="223"/>
      <c r="C9" s="224">
        <v>0</v>
      </c>
      <c r="D9" s="225">
        <v>0</v>
      </c>
      <c r="E9">
        <f t="shared" si="1"/>
        <v>0</v>
      </c>
      <c r="F9" s="26">
        <f t="shared" si="0"/>
        <v>0</v>
      </c>
    </row>
    <row r="10" spans="1:7" x14ac:dyDescent="0.25">
      <c r="A10" s="223" t="s">
        <v>162</v>
      </c>
      <c r="B10" s="223"/>
      <c r="C10" s="224">
        <v>0</v>
      </c>
      <c r="D10" s="225">
        <v>0</v>
      </c>
      <c r="E10">
        <f t="shared" si="1"/>
        <v>0</v>
      </c>
      <c r="F10" s="26">
        <f t="shared" si="0"/>
        <v>0</v>
      </c>
    </row>
    <row r="11" spans="1:7" x14ac:dyDescent="0.25">
      <c r="A11" s="223"/>
      <c r="B11" s="223"/>
      <c r="C11" s="224">
        <v>0</v>
      </c>
      <c r="D11" s="225">
        <v>0</v>
      </c>
      <c r="E11">
        <f t="shared" si="1"/>
        <v>0</v>
      </c>
      <c r="F11" s="26">
        <f t="shared" si="0"/>
        <v>0</v>
      </c>
    </row>
    <row r="12" spans="1:7" x14ac:dyDescent="0.25">
      <c r="A12" s="223" t="s">
        <v>472</v>
      </c>
      <c r="B12" s="223"/>
      <c r="C12" s="224">
        <v>0</v>
      </c>
      <c r="D12" s="225">
        <v>0</v>
      </c>
      <c r="E12">
        <f t="shared" si="1"/>
        <v>0</v>
      </c>
      <c r="F12" s="26">
        <f t="shared" si="0"/>
        <v>0</v>
      </c>
    </row>
    <row r="13" spans="1:7" x14ac:dyDescent="0.25">
      <c r="A13" s="223" t="s">
        <v>473</v>
      </c>
      <c r="B13" s="223"/>
      <c r="C13" s="224">
        <v>0</v>
      </c>
      <c r="D13" s="225">
        <v>0</v>
      </c>
      <c r="E13">
        <f t="shared" si="1"/>
        <v>0</v>
      </c>
      <c r="F13" s="26">
        <f t="shared" si="0"/>
        <v>0</v>
      </c>
    </row>
    <row r="14" spans="1:7" x14ac:dyDescent="0.25">
      <c r="A14" s="223" t="s">
        <v>474</v>
      </c>
      <c r="B14" s="223"/>
      <c r="C14" s="224">
        <v>0</v>
      </c>
      <c r="D14" s="225">
        <v>0</v>
      </c>
      <c r="E14">
        <f t="shared" si="1"/>
        <v>0</v>
      </c>
      <c r="F14" s="26">
        <f t="shared" si="0"/>
        <v>0</v>
      </c>
    </row>
    <row r="15" spans="1:7" x14ac:dyDescent="0.25">
      <c r="A15" s="223" t="s">
        <v>475</v>
      </c>
      <c r="B15" s="223"/>
      <c r="C15" s="224">
        <v>0</v>
      </c>
      <c r="D15" s="225">
        <v>0</v>
      </c>
      <c r="E15">
        <f t="shared" si="1"/>
        <v>0</v>
      </c>
      <c r="F15" s="26">
        <f t="shared" si="0"/>
        <v>0</v>
      </c>
    </row>
    <row r="16" spans="1:7" x14ac:dyDescent="0.25">
      <c r="A16" s="223"/>
      <c r="B16" s="223"/>
      <c r="C16" s="224">
        <v>0</v>
      </c>
      <c r="D16" s="225">
        <v>0</v>
      </c>
      <c r="E16">
        <f t="shared" si="1"/>
        <v>0</v>
      </c>
      <c r="F16" s="26">
        <f t="shared" si="0"/>
        <v>0</v>
      </c>
    </row>
    <row r="17" spans="1:6" x14ac:dyDescent="0.25">
      <c r="A17" s="223" t="s">
        <v>476</v>
      </c>
      <c r="B17" s="223"/>
      <c r="C17" s="224">
        <v>0</v>
      </c>
      <c r="D17" s="225">
        <v>0</v>
      </c>
      <c r="E17">
        <f t="shared" si="1"/>
        <v>0</v>
      </c>
      <c r="F17" s="26">
        <f t="shared" si="0"/>
        <v>0</v>
      </c>
    </row>
    <row r="18" spans="1:6" x14ac:dyDescent="0.25">
      <c r="A18" s="223" t="s">
        <v>477</v>
      </c>
      <c r="B18" s="223"/>
      <c r="C18" s="224">
        <v>0</v>
      </c>
      <c r="D18" s="225">
        <v>0</v>
      </c>
      <c r="E18">
        <f t="shared" si="1"/>
        <v>0</v>
      </c>
      <c r="F18" s="26">
        <f t="shared" si="0"/>
        <v>0</v>
      </c>
    </row>
    <row r="19" spans="1:6" x14ac:dyDescent="0.25">
      <c r="A19" s="223"/>
      <c r="B19" s="223"/>
      <c r="C19" s="224">
        <v>0</v>
      </c>
      <c r="D19" s="225">
        <v>0</v>
      </c>
      <c r="E19">
        <f t="shared" si="1"/>
        <v>0</v>
      </c>
      <c r="F19" s="26">
        <f t="shared" si="0"/>
        <v>0</v>
      </c>
    </row>
    <row r="20" spans="1:6" x14ac:dyDescent="0.25">
      <c r="A20" s="223" t="s">
        <v>478</v>
      </c>
      <c r="B20" s="223"/>
      <c r="C20" s="224">
        <v>0</v>
      </c>
      <c r="D20" s="225">
        <v>0</v>
      </c>
      <c r="E20">
        <f t="shared" si="1"/>
        <v>0</v>
      </c>
      <c r="F20" s="26">
        <f t="shared" si="0"/>
        <v>0</v>
      </c>
    </row>
    <row r="21" spans="1:6" x14ac:dyDescent="0.25">
      <c r="A21" s="223" t="s">
        <v>479</v>
      </c>
      <c r="B21" s="223"/>
      <c r="C21" s="224">
        <v>0</v>
      </c>
      <c r="D21" s="225">
        <v>0</v>
      </c>
      <c r="E21">
        <f t="shared" si="1"/>
        <v>0</v>
      </c>
      <c r="F21" s="26">
        <f t="shared" si="0"/>
        <v>0</v>
      </c>
    </row>
    <row r="22" spans="1:6" x14ac:dyDescent="0.25">
      <c r="A22" s="223"/>
      <c r="B22" s="223"/>
      <c r="C22" s="224">
        <v>0</v>
      </c>
      <c r="D22" s="225">
        <v>0</v>
      </c>
      <c r="E22">
        <f t="shared" si="1"/>
        <v>0</v>
      </c>
      <c r="F22" s="26">
        <f t="shared" si="0"/>
        <v>0</v>
      </c>
    </row>
    <row r="23" spans="1:6" x14ac:dyDescent="0.25">
      <c r="A23" s="223" t="s">
        <v>480</v>
      </c>
      <c r="B23" s="223"/>
      <c r="C23" s="224">
        <v>0</v>
      </c>
      <c r="D23" s="225">
        <v>0</v>
      </c>
      <c r="E23">
        <f t="shared" si="1"/>
        <v>0</v>
      </c>
      <c r="F23" s="26">
        <f t="shared" si="0"/>
        <v>0</v>
      </c>
    </row>
    <row r="24" spans="1:6" x14ac:dyDescent="0.25">
      <c r="A24" s="223"/>
      <c r="B24" s="223"/>
      <c r="C24" s="224">
        <v>0</v>
      </c>
      <c r="D24" s="225">
        <v>0</v>
      </c>
      <c r="E24">
        <f t="shared" si="1"/>
        <v>0</v>
      </c>
      <c r="F24" s="26">
        <f t="shared" si="0"/>
        <v>0</v>
      </c>
    </row>
    <row r="25" spans="1:6" x14ac:dyDescent="0.25">
      <c r="A25" s="223"/>
      <c r="B25" s="223"/>
      <c r="C25" s="224">
        <v>0</v>
      </c>
      <c r="D25" s="225">
        <v>0</v>
      </c>
      <c r="E25">
        <f t="shared" si="1"/>
        <v>0</v>
      </c>
      <c r="F25" s="26">
        <f t="shared" si="0"/>
        <v>0</v>
      </c>
    </row>
    <row r="26" spans="1:6" x14ac:dyDescent="0.25">
      <c r="A26" s="223" t="s">
        <v>481</v>
      </c>
      <c r="B26" s="223"/>
      <c r="C26" s="224">
        <v>0</v>
      </c>
      <c r="D26" s="225">
        <v>0</v>
      </c>
      <c r="E26">
        <f t="shared" si="1"/>
        <v>0</v>
      </c>
      <c r="F26" s="26">
        <f t="shared" si="0"/>
        <v>0</v>
      </c>
    </row>
    <row r="27" spans="1:6" x14ac:dyDescent="0.25">
      <c r="A27" s="223" t="s">
        <v>482</v>
      </c>
      <c r="B27" s="223"/>
      <c r="C27" s="224">
        <v>0</v>
      </c>
      <c r="D27" s="225">
        <v>0</v>
      </c>
      <c r="E27">
        <f t="shared" si="1"/>
        <v>0</v>
      </c>
      <c r="F27" s="26">
        <f t="shared" si="0"/>
        <v>0</v>
      </c>
    </row>
    <row r="28" spans="1:6" x14ac:dyDescent="0.25">
      <c r="A28" s="223" t="s">
        <v>483</v>
      </c>
      <c r="B28" s="223"/>
      <c r="C28" s="224">
        <v>0</v>
      </c>
      <c r="D28" s="225">
        <v>0</v>
      </c>
      <c r="E28">
        <f t="shared" si="1"/>
        <v>0</v>
      </c>
      <c r="F28" s="26">
        <f t="shared" si="0"/>
        <v>0</v>
      </c>
    </row>
    <row r="29" spans="1:6" x14ac:dyDescent="0.25">
      <c r="A29" s="223" t="s">
        <v>484</v>
      </c>
      <c r="B29" s="223"/>
      <c r="C29" s="224">
        <v>0</v>
      </c>
      <c r="D29" s="225">
        <v>0</v>
      </c>
      <c r="E29">
        <f t="shared" si="1"/>
        <v>0</v>
      </c>
      <c r="F29" s="26">
        <f t="shared" si="0"/>
        <v>0</v>
      </c>
    </row>
    <row r="30" spans="1:6" x14ac:dyDescent="0.25">
      <c r="A30" s="223" t="s">
        <v>485</v>
      </c>
      <c r="B30" s="223"/>
      <c r="C30" s="224">
        <v>0</v>
      </c>
      <c r="D30" s="225">
        <v>0</v>
      </c>
      <c r="E30">
        <f t="shared" si="1"/>
        <v>0</v>
      </c>
      <c r="F30" s="26">
        <f t="shared" si="0"/>
        <v>0</v>
      </c>
    </row>
    <row r="31" spans="1:6" x14ac:dyDescent="0.25">
      <c r="A31" s="223" t="s">
        <v>486</v>
      </c>
      <c r="B31" s="223"/>
      <c r="C31" s="224">
        <v>0</v>
      </c>
      <c r="D31" s="225">
        <v>0</v>
      </c>
      <c r="E31">
        <f t="shared" si="1"/>
        <v>0</v>
      </c>
      <c r="F31" s="26">
        <f t="shared" si="0"/>
        <v>0</v>
      </c>
    </row>
    <row r="32" spans="1:6" x14ac:dyDescent="0.25">
      <c r="A32" s="223" t="s">
        <v>487</v>
      </c>
      <c r="B32" s="223"/>
      <c r="C32" s="224">
        <v>0</v>
      </c>
      <c r="D32" s="225">
        <v>0</v>
      </c>
      <c r="E32">
        <f t="shared" si="1"/>
        <v>0</v>
      </c>
      <c r="F32" s="26">
        <f t="shared" si="0"/>
        <v>0</v>
      </c>
    </row>
    <row r="33" spans="1:6" x14ac:dyDescent="0.25">
      <c r="A33" s="223" t="s">
        <v>488</v>
      </c>
      <c r="B33" s="223"/>
      <c r="C33" s="224">
        <v>0</v>
      </c>
      <c r="D33" s="225">
        <v>0</v>
      </c>
      <c r="E33">
        <f t="shared" si="1"/>
        <v>0</v>
      </c>
      <c r="F33" s="26">
        <f t="shared" si="0"/>
        <v>0</v>
      </c>
    </row>
    <row r="34" spans="1:6" x14ac:dyDescent="0.25">
      <c r="A34" s="223" t="s">
        <v>489</v>
      </c>
      <c r="B34" s="223"/>
      <c r="C34" s="224">
        <v>0</v>
      </c>
      <c r="D34" s="225">
        <v>0</v>
      </c>
      <c r="E34">
        <f t="shared" si="1"/>
        <v>0</v>
      </c>
      <c r="F34" s="26">
        <f t="shared" si="0"/>
        <v>0</v>
      </c>
    </row>
    <row r="35" spans="1:6" x14ac:dyDescent="0.25">
      <c r="A35" s="223" t="s">
        <v>490</v>
      </c>
      <c r="B35" s="223"/>
      <c r="C35" s="224">
        <v>0</v>
      </c>
      <c r="D35" s="225">
        <v>0</v>
      </c>
      <c r="E35">
        <f t="shared" si="1"/>
        <v>0</v>
      </c>
      <c r="F35" s="26">
        <f t="shared" si="0"/>
        <v>0</v>
      </c>
    </row>
    <row r="36" spans="1:6" x14ac:dyDescent="0.25">
      <c r="A36" s="223" t="s">
        <v>491</v>
      </c>
      <c r="B36" s="223"/>
      <c r="C36" s="224">
        <v>0</v>
      </c>
      <c r="D36" s="225">
        <v>0</v>
      </c>
      <c r="E36">
        <f t="shared" si="1"/>
        <v>0</v>
      </c>
      <c r="F36" s="26">
        <f t="shared" si="0"/>
        <v>0</v>
      </c>
    </row>
    <row r="37" spans="1:6" x14ac:dyDescent="0.25">
      <c r="A37" s="223"/>
      <c r="B37" s="223"/>
      <c r="C37" s="224">
        <v>0</v>
      </c>
      <c r="D37" s="225">
        <v>0</v>
      </c>
      <c r="E37">
        <f t="shared" si="1"/>
        <v>0</v>
      </c>
      <c r="F37" s="26">
        <f t="shared" si="0"/>
        <v>0</v>
      </c>
    </row>
    <row r="38" spans="1:6" x14ac:dyDescent="0.25">
      <c r="A38" s="223" t="s">
        <v>492</v>
      </c>
      <c r="B38" s="223"/>
      <c r="C38" s="224">
        <v>0</v>
      </c>
      <c r="D38" s="225">
        <v>0</v>
      </c>
      <c r="E38">
        <f t="shared" si="1"/>
        <v>0</v>
      </c>
      <c r="F38" s="26">
        <f t="shared" si="0"/>
        <v>0</v>
      </c>
    </row>
    <row r="39" spans="1:6" x14ac:dyDescent="0.25">
      <c r="A39" s="223" t="s">
        <v>493</v>
      </c>
      <c r="B39" s="223"/>
      <c r="C39" s="224">
        <v>0</v>
      </c>
      <c r="D39" s="225">
        <v>0</v>
      </c>
      <c r="E39">
        <f t="shared" si="1"/>
        <v>0</v>
      </c>
      <c r="F39" s="26">
        <f t="shared" si="0"/>
        <v>0</v>
      </c>
    </row>
    <row r="40" spans="1:6" x14ac:dyDescent="0.25">
      <c r="A40" s="223" t="s">
        <v>494</v>
      </c>
      <c r="B40" s="223"/>
      <c r="C40" s="224">
        <v>0</v>
      </c>
      <c r="D40" s="225">
        <v>0</v>
      </c>
      <c r="E40">
        <f t="shared" si="1"/>
        <v>0</v>
      </c>
      <c r="F40" s="26">
        <f t="shared" si="0"/>
        <v>0</v>
      </c>
    </row>
    <row r="41" spans="1:6" x14ac:dyDescent="0.25">
      <c r="A41" s="223" t="s">
        <v>495</v>
      </c>
      <c r="B41" s="223"/>
      <c r="C41" s="224">
        <v>0</v>
      </c>
      <c r="D41" s="225">
        <v>0</v>
      </c>
      <c r="E41">
        <f t="shared" si="1"/>
        <v>0</v>
      </c>
      <c r="F41" s="26">
        <f t="shared" si="0"/>
        <v>0</v>
      </c>
    </row>
    <row r="42" spans="1:6" x14ac:dyDescent="0.25">
      <c r="A42" s="223"/>
      <c r="B42" s="223"/>
      <c r="C42" s="224">
        <v>0</v>
      </c>
      <c r="D42" s="225">
        <v>0</v>
      </c>
      <c r="E42">
        <f t="shared" si="1"/>
        <v>0</v>
      </c>
      <c r="F42" s="26">
        <f t="shared" si="0"/>
        <v>0</v>
      </c>
    </row>
    <row r="43" spans="1:6" x14ac:dyDescent="0.25">
      <c r="A43" s="223" t="s">
        <v>496</v>
      </c>
      <c r="B43" s="223"/>
      <c r="C43" s="224">
        <v>0</v>
      </c>
      <c r="D43" s="225">
        <v>0</v>
      </c>
      <c r="E43">
        <f t="shared" ref="E43:E57" si="2">+C43*D43</f>
        <v>0</v>
      </c>
      <c r="F43" s="26">
        <f t="shared" si="0"/>
        <v>0</v>
      </c>
    </row>
    <row r="44" spans="1:6" x14ac:dyDescent="0.25">
      <c r="A44" s="223" t="s">
        <v>497</v>
      </c>
      <c r="B44" s="223"/>
      <c r="C44" s="224">
        <v>0</v>
      </c>
      <c r="D44" s="225">
        <v>0</v>
      </c>
      <c r="E44">
        <f t="shared" si="2"/>
        <v>0</v>
      </c>
      <c r="F44" s="26">
        <f t="shared" si="0"/>
        <v>0</v>
      </c>
    </row>
    <row r="45" spans="1:6" x14ac:dyDescent="0.25">
      <c r="A45" s="223" t="s">
        <v>498</v>
      </c>
      <c r="B45" s="223">
        <v>6973242570225</v>
      </c>
      <c r="C45" s="224">
        <v>0</v>
      </c>
      <c r="D45" s="225">
        <v>49.97</v>
      </c>
      <c r="E45">
        <f t="shared" si="2"/>
        <v>0</v>
      </c>
      <c r="F45" s="26">
        <f>+E45*0.0725</f>
        <v>0</v>
      </c>
    </row>
    <row r="46" spans="1:6" x14ac:dyDescent="0.25">
      <c r="A46" s="223" t="s">
        <v>499</v>
      </c>
      <c r="B46" s="223"/>
      <c r="C46" s="224">
        <v>0</v>
      </c>
      <c r="D46" s="225">
        <v>69.989999999999995</v>
      </c>
      <c r="E46">
        <f t="shared" si="2"/>
        <v>0</v>
      </c>
      <c r="F46" s="26">
        <f t="shared" ref="F46:F60" si="3">+E46*0.0725</f>
        <v>0</v>
      </c>
    </row>
    <row r="47" spans="1:6" x14ac:dyDescent="0.25">
      <c r="A47" s="223"/>
      <c r="B47" s="223"/>
      <c r="C47" s="224">
        <v>0</v>
      </c>
      <c r="D47" s="225">
        <v>0</v>
      </c>
      <c r="E47">
        <f t="shared" si="2"/>
        <v>0</v>
      </c>
      <c r="F47" s="26">
        <f t="shared" si="3"/>
        <v>0</v>
      </c>
    </row>
    <row r="48" spans="1:6" x14ac:dyDescent="0.25">
      <c r="A48" s="223"/>
      <c r="B48" s="223"/>
      <c r="C48" s="224">
        <v>0</v>
      </c>
      <c r="D48" s="225">
        <v>0</v>
      </c>
      <c r="E48">
        <f t="shared" si="2"/>
        <v>0</v>
      </c>
      <c r="F48" s="26">
        <f t="shared" si="3"/>
        <v>0</v>
      </c>
    </row>
    <row r="49" spans="1:7" x14ac:dyDescent="0.25">
      <c r="A49" s="223"/>
      <c r="B49" s="223"/>
      <c r="C49" s="224">
        <v>0</v>
      </c>
      <c r="D49" s="225">
        <v>0</v>
      </c>
      <c r="E49">
        <f t="shared" si="2"/>
        <v>0</v>
      </c>
      <c r="F49" s="26">
        <f t="shared" si="3"/>
        <v>0</v>
      </c>
    </row>
    <row r="50" spans="1:7" x14ac:dyDescent="0.25">
      <c r="A50" s="223"/>
      <c r="B50" s="223"/>
      <c r="C50" s="224">
        <v>0</v>
      </c>
      <c r="D50" s="225">
        <v>0</v>
      </c>
      <c r="E50">
        <f t="shared" si="2"/>
        <v>0</v>
      </c>
      <c r="F50" s="26">
        <f t="shared" si="3"/>
        <v>0</v>
      </c>
    </row>
    <row r="51" spans="1:7" x14ac:dyDescent="0.25">
      <c r="A51" s="223"/>
      <c r="B51" s="223"/>
      <c r="C51" s="224">
        <v>0</v>
      </c>
      <c r="D51" s="225">
        <v>0</v>
      </c>
      <c r="E51">
        <f t="shared" si="2"/>
        <v>0</v>
      </c>
      <c r="F51" s="26">
        <f t="shared" si="3"/>
        <v>0</v>
      </c>
    </row>
    <row r="52" spans="1:7" x14ac:dyDescent="0.25">
      <c r="A52" s="223"/>
      <c r="B52" s="223"/>
      <c r="C52" s="224">
        <v>0</v>
      </c>
      <c r="D52" s="225">
        <v>0</v>
      </c>
      <c r="E52">
        <f t="shared" si="2"/>
        <v>0</v>
      </c>
      <c r="F52" s="26">
        <f t="shared" si="3"/>
        <v>0</v>
      </c>
    </row>
    <row r="53" spans="1:7" x14ac:dyDescent="0.25">
      <c r="A53" s="223"/>
      <c r="B53" s="223"/>
      <c r="C53" s="224">
        <v>0</v>
      </c>
      <c r="D53" s="225">
        <v>0</v>
      </c>
      <c r="E53">
        <f t="shared" si="2"/>
        <v>0</v>
      </c>
      <c r="F53" s="26">
        <f t="shared" si="3"/>
        <v>0</v>
      </c>
    </row>
    <row r="54" spans="1:7" x14ac:dyDescent="0.25">
      <c r="A54" s="223"/>
      <c r="B54" s="223"/>
      <c r="C54" s="224">
        <v>0</v>
      </c>
      <c r="D54" s="225">
        <v>0</v>
      </c>
      <c r="E54">
        <f t="shared" si="2"/>
        <v>0</v>
      </c>
      <c r="F54" s="26">
        <f t="shared" si="3"/>
        <v>0</v>
      </c>
    </row>
    <row r="55" spans="1:7" x14ac:dyDescent="0.25">
      <c r="A55" s="223"/>
      <c r="B55" s="223"/>
      <c r="C55" s="224">
        <v>0</v>
      </c>
      <c r="D55" s="225">
        <v>0</v>
      </c>
      <c r="E55">
        <f t="shared" si="2"/>
        <v>0</v>
      </c>
      <c r="F55" s="26">
        <f t="shared" si="3"/>
        <v>0</v>
      </c>
    </row>
    <row r="56" spans="1:7" x14ac:dyDescent="0.25">
      <c r="A56" s="223"/>
      <c r="B56" s="223"/>
      <c r="C56" s="224">
        <v>0</v>
      </c>
      <c r="D56" s="225">
        <v>0</v>
      </c>
      <c r="E56">
        <f t="shared" si="2"/>
        <v>0</v>
      </c>
      <c r="F56" s="26">
        <f t="shared" si="3"/>
        <v>0</v>
      </c>
    </row>
    <row r="57" spans="1:7" x14ac:dyDescent="0.25">
      <c r="A57" s="223"/>
      <c r="B57" s="223"/>
      <c r="C57" s="224">
        <v>0</v>
      </c>
      <c r="D57" s="225">
        <v>0</v>
      </c>
      <c r="E57">
        <f t="shared" si="2"/>
        <v>0</v>
      </c>
      <c r="F57" s="26">
        <f t="shared" si="3"/>
        <v>0</v>
      </c>
    </row>
    <row r="58" spans="1:7" x14ac:dyDescent="0.25">
      <c r="A58" s="223"/>
      <c r="B58" s="223"/>
      <c r="C58" s="224">
        <v>0</v>
      </c>
      <c r="D58" s="225">
        <v>0</v>
      </c>
      <c r="E58">
        <f t="shared" si="1"/>
        <v>0</v>
      </c>
      <c r="F58" s="26">
        <f t="shared" si="3"/>
        <v>0</v>
      </c>
    </row>
    <row r="59" spans="1:7" x14ac:dyDescent="0.25">
      <c r="A59" s="223" t="s">
        <v>500</v>
      </c>
      <c r="B59" s="223"/>
      <c r="C59" s="224">
        <v>0</v>
      </c>
      <c r="D59" s="225">
        <v>0</v>
      </c>
      <c r="E59">
        <f t="shared" si="1"/>
        <v>0</v>
      </c>
      <c r="F59" s="26">
        <f t="shared" si="3"/>
        <v>0</v>
      </c>
    </row>
    <row r="60" spans="1:7" x14ac:dyDescent="0.25">
      <c r="A60" s="222"/>
      <c r="B60" s="223"/>
      <c r="C60" s="224">
        <v>0</v>
      </c>
      <c r="D60" s="225">
        <v>0</v>
      </c>
      <c r="E60">
        <f t="shared" si="1"/>
        <v>0</v>
      </c>
      <c r="F60" s="26">
        <f t="shared" si="3"/>
        <v>0</v>
      </c>
    </row>
    <row r="61" spans="1:7" ht="15.75" thickBot="1" x14ac:dyDescent="0.3">
      <c r="A61" s="222"/>
      <c r="B61" s="223"/>
      <c r="C61" s="224">
        <v>0</v>
      </c>
      <c r="D61" s="225">
        <v>0</v>
      </c>
      <c r="E61">
        <f t="shared" si="1"/>
        <v>0</v>
      </c>
      <c r="G61" s="23"/>
    </row>
    <row r="62" spans="1:7" x14ac:dyDescent="0.25">
      <c r="G62" s="26">
        <f>+SUM(E3:E61)+SUM(F3:F61)</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topLeftCell="A4" workbookViewId="0">
      <selection activeCell="B12" sqref="B12"/>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501</v>
      </c>
      <c r="B1" s="3" t="s">
        <v>233</v>
      </c>
      <c r="C1" s="13" t="s">
        <v>502</v>
      </c>
      <c r="D1" s="3" t="s">
        <v>503</v>
      </c>
      <c r="E1" s="13" t="s">
        <v>504</v>
      </c>
      <c r="F1" s="3" t="s">
        <v>505</v>
      </c>
    </row>
    <row r="2" spans="1:9" x14ac:dyDescent="0.25">
      <c r="B2"/>
      <c r="C2" s="14"/>
      <c r="D2"/>
      <c r="E2" s="14"/>
      <c r="F2" s="14">
        <v>0</v>
      </c>
    </row>
    <row r="3" spans="1:9" s="22" customFormat="1" x14ac:dyDescent="0.25">
      <c r="A3" s="2" t="s">
        <v>506</v>
      </c>
      <c r="B3" s="12">
        <v>45211</v>
      </c>
      <c r="C3" s="14" t="s">
        <v>507</v>
      </c>
      <c r="D3">
        <v>0</v>
      </c>
      <c r="E3" s="14">
        <v>75</v>
      </c>
      <c r="F3" s="14">
        <f>+D3*E3</f>
        <v>0</v>
      </c>
      <c r="G3"/>
      <c r="H3" s="3"/>
      <c r="I3" s="3"/>
    </row>
    <row r="4" spans="1:9" x14ac:dyDescent="0.25">
      <c r="A4" s="2" t="s">
        <v>506</v>
      </c>
      <c r="B4" s="212">
        <v>45211</v>
      </c>
      <c r="C4" s="14" t="s">
        <v>508</v>
      </c>
      <c r="D4">
        <v>0</v>
      </c>
      <c r="E4" s="14">
        <v>325</v>
      </c>
      <c r="F4" s="14">
        <f t="shared" ref="F4:F14" si="0">+D4*E4</f>
        <v>0</v>
      </c>
    </row>
    <row r="5" spans="1:9" x14ac:dyDescent="0.25">
      <c r="A5" s="2" t="s">
        <v>506</v>
      </c>
      <c r="B5"/>
      <c r="C5" s="14" t="s">
        <v>509</v>
      </c>
      <c r="D5">
        <v>0</v>
      </c>
      <c r="E5" s="14">
        <v>104</v>
      </c>
      <c r="F5" s="14">
        <f t="shared" si="0"/>
        <v>0</v>
      </c>
    </row>
    <row r="6" spans="1:9" x14ac:dyDescent="0.25">
      <c r="A6" s="2" t="s">
        <v>506</v>
      </c>
      <c r="B6"/>
      <c r="C6" s="14" t="s">
        <v>510</v>
      </c>
      <c r="D6">
        <v>0</v>
      </c>
      <c r="E6" s="14">
        <f>+(12.13+31.46+41.63)/3</f>
        <v>28.406666666666666</v>
      </c>
      <c r="F6" s="14">
        <f t="shared" si="0"/>
        <v>0</v>
      </c>
    </row>
    <row r="7" spans="1:9" x14ac:dyDescent="0.25">
      <c r="A7" s="2" t="s">
        <v>506</v>
      </c>
      <c r="B7"/>
      <c r="C7" s="14" t="s">
        <v>511</v>
      </c>
      <c r="D7">
        <v>0</v>
      </c>
      <c r="E7" s="14">
        <v>6.35</v>
      </c>
      <c r="F7" s="14">
        <f t="shared" si="0"/>
        <v>0</v>
      </c>
    </row>
    <row r="8" spans="1:9" x14ac:dyDescent="0.25">
      <c r="A8" s="2" t="s">
        <v>506</v>
      </c>
      <c r="B8"/>
      <c r="C8" s="14" t="s">
        <v>512</v>
      </c>
      <c r="D8">
        <v>0</v>
      </c>
      <c r="E8" s="14">
        <v>2.5</v>
      </c>
      <c r="F8" s="14">
        <f t="shared" si="0"/>
        <v>0</v>
      </c>
    </row>
    <row r="9" spans="1:9" x14ac:dyDescent="0.25">
      <c r="A9" s="2" t="s">
        <v>506</v>
      </c>
      <c r="B9"/>
      <c r="C9" s="14" t="s">
        <v>513</v>
      </c>
      <c r="D9">
        <v>0</v>
      </c>
      <c r="E9" s="14">
        <f>(8.5+10+17.34)/3</f>
        <v>11.946666666666667</v>
      </c>
      <c r="F9" s="14">
        <f t="shared" si="0"/>
        <v>0</v>
      </c>
    </row>
    <row r="10" spans="1:9" x14ac:dyDescent="0.25">
      <c r="A10" s="2" t="s">
        <v>506</v>
      </c>
      <c r="B10" s="212"/>
      <c r="C10" s="14" t="s">
        <v>514</v>
      </c>
      <c r="D10">
        <v>0</v>
      </c>
      <c r="E10" s="14">
        <v>73.13</v>
      </c>
      <c r="F10" s="14">
        <f t="shared" si="0"/>
        <v>0</v>
      </c>
    </row>
    <row r="11" spans="1:9" x14ac:dyDescent="0.25">
      <c r="A11" s="2" t="s">
        <v>506</v>
      </c>
      <c r="B11" s="212"/>
      <c r="C11" s="14" t="s">
        <v>515</v>
      </c>
      <c r="D11">
        <v>0</v>
      </c>
      <c r="E11" s="14">
        <v>472</v>
      </c>
      <c r="F11" s="14">
        <f t="shared" si="0"/>
        <v>0</v>
      </c>
    </row>
    <row r="12" spans="1:9" x14ac:dyDescent="0.25">
      <c r="A12" s="2" t="s">
        <v>516</v>
      </c>
      <c r="B12" s="212" t="s">
        <v>162</v>
      </c>
      <c r="C12" s="14"/>
      <c r="D12">
        <v>1</v>
      </c>
      <c r="E12" s="14">
        <v>1200</v>
      </c>
      <c r="F12" s="14">
        <f t="shared" si="0"/>
        <v>1200</v>
      </c>
    </row>
    <row r="13" spans="1:9" x14ac:dyDescent="0.25">
      <c r="A13" s="2" t="s">
        <v>506</v>
      </c>
      <c r="B13"/>
      <c r="C13" s="14"/>
      <c r="D13">
        <v>0</v>
      </c>
      <c r="E13" s="14">
        <v>1716</v>
      </c>
      <c r="F13" s="14">
        <f t="shared" si="0"/>
        <v>0</v>
      </c>
    </row>
    <row r="14" spans="1:9" x14ac:dyDescent="0.25">
      <c r="B14"/>
      <c r="C14" s="14"/>
      <c r="D14">
        <v>0</v>
      </c>
      <c r="E14" s="14">
        <v>0</v>
      </c>
      <c r="F14" s="14">
        <f t="shared" si="0"/>
        <v>0</v>
      </c>
    </row>
    <row r="15" spans="1:9" x14ac:dyDescent="0.25">
      <c r="B15"/>
      <c r="C15" s="14"/>
      <c r="D15"/>
      <c r="E15" s="14"/>
      <c r="I15" s="3" t="s">
        <v>517</v>
      </c>
    </row>
    <row r="16" spans="1:9" ht="15.75" thickBot="1" x14ac:dyDescent="0.3">
      <c r="B16"/>
      <c r="C16" s="14"/>
      <c r="D16"/>
      <c r="E16" s="14"/>
      <c r="F16" s="23"/>
      <c r="G16" s="23"/>
    </row>
    <row r="17" spans="1:10" x14ac:dyDescent="0.25">
      <c r="B17"/>
      <c r="C17" s="14"/>
      <c r="D17"/>
      <c r="E17" s="14"/>
      <c r="F17" s="14"/>
      <c r="G17" s="5">
        <f>IF(Profit!O2="yes",+SUM(F2:F16),I17)</f>
        <v>1200</v>
      </c>
      <c r="I17" s="5">
        <v>0</v>
      </c>
    </row>
    <row r="18" spans="1:10" x14ac:dyDescent="0.25">
      <c r="A18"/>
      <c r="C18" s="11"/>
    </row>
    <row r="19" spans="1:10" x14ac:dyDescent="0.25">
      <c r="A19"/>
      <c r="C19" s="11"/>
    </row>
    <row r="20" spans="1:10" x14ac:dyDescent="0.25">
      <c r="C20" s="26"/>
      <c r="D20" s="26"/>
      <c r="F20" s="26"/>
      <c r="I20" s="2"/>
      <c r="J20" s="12"/>
    </row>
    <row r="21" spans="1:10" x14ac:dyDescent="0.25">
      <c r="C21" s="26"/>
      <c r="D21" s="26"/>
      <c r="F21" s="26"/>
      <c r="I21" s="2"/>
    </row>
    <row r="23" spans="1:10" x14ac:dyDescent="0.25">
      <c r="E23" s="2"/>
      <c r="F23" s="2"/>
    </row>
    <row r="24" spans="1:10" x14ac:dyDescent="0.25">
      <c r="F24" s="4"/>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G20"/>
  <sheetViews>
    <sheetView topLeftCell="A7" workbookViewId="0">
      <selection activeCell="D18" sqref="D18"/>
    </sheetView>
  </sheetViews>
  <sheetFormatPr defaultRowHeight="15" x14ac:dyDescent="0.25"/>
  <cols>
    <col min="1" max="1" width="18" customWidth="1"/>
    <col min="2" max="2" width="11" bestFit="1" customWidth="1"/>
  </cols>
  <sheetData>
    <row r="1" spans="1:7" x14ac:dyDescent="0.25">
      <c r="A1" s="3" t="s">
        <v>518</v>
      </c>
      <c r="B1" s="3"/>
      <c r="D1" s="5"/>
      <c r="E1" s="14"/>
      <c r="F1" s="14"/>
      <c r="G1" s="14"/>
    </row>
    <row r="2" spans="1:7" x14ac:dyDescent="0.25">
      <c r="A2" s="2"/>
      <c r="B2" s="2"/>
      <c r="C2" s="3"/>
      <c r="D2" s="8"/>
      <c r="E2" s="13"/>
      <c r="F2" s="13"/>
      <c r="G2" s="13"/>
    </row>
    <row r="3" spans="1:7" x14ac:dyDescent="0.25">
      <c r="A3" s="3" t="s">
        <v>359</v>
      </c>
      <c r="B3" s="3" t="s">
        <v>519</v>
      </c>
      <c r="C3" s="3" t="s">
        <v>461</v>
      </c>
      <c r="D3" s="8" t="s">
        <v>462</v>
      </c>
      <c r="E3" s="13" t="s">
        <v>463</v>
      </c>
      <c r="F3" s="13" t="s">
        <v>448</v>
      </c>
      <c r="G3" s="13" t="s">
        <v>464</v>
      </c>
    </row>
    <row r="4" spans="1:7" x14ac:dyDescent="0.25">
      <c r="A4" s="184" t="s">
        <v>520</v>
      </c>
      <c r="B4" s="184">
        <v>977057</v>
      </c>
      <c r="C4" s="306">
        <v>0</v>
      </c>
      <c r="D4" s="292">
        <v>149</v>
      </c>
      <c r="E4" s="14">
        <f>+C4*D4</f>
        <v>0</v>
      </c>
      <c r="F4" s="26">
        <f>+E4*0.0725</f>
        <v>0</v>
      </c>
      <c r="G4" s="13"/>
    </row>
    <row r="5" spans="1:7" x14ac:dyDescent="0.25">
      <c r="A5" s="184" t="s">
        <v>521</v>
      </c>
      <c r="B5" s="184"/>
      <c r="C5" s="306">
        <v>0</v>
      </c>
      <c r="D5" s="292">
        <v>400</v>
      </c>
      <c r="E5" s="14">
        <f>+C5*D5</f>
        <v>0</v>
      </c>
      <c r="F5" s="26">
        <f>+E5*0.0725</f>
        <v>0</v>
      </c>
      <c r="G5" s="14"/>
    </row>
    <row r="6" spans="1:7" x14ac:dyDescent="0.25">
      <c r="A6" s="184" t="s">
        <v>522</v>
      </c>
      <c r="B6" s="184">
        <v>1002425336</v>
      </c>
      <c r="C6" s="306">
        <v>0</v>
      </c>
      <c r="D6" s="292">
        <v>348</v>
      </c>
      <c r="E6" s="14">
        <f>+C6*D6</f>
        <v>0</v>
      </c>
      <c r="F6" s="26">
        <f>+E6*0.0725</f>
        <v>0</v>
      </c>
      <c r="G6" s="14"/>
    </row>
    <row r="7" spans="1:7" ht="15.75" thickBot="1" x14ac:dyDescent="0.3">
      <c r="A7" s="184"/>
      <c r="B7" s="184"/>
      <c r="C7" s="306"/>
      <c r="D7" s="292"/>
      <c r="E7" s="21"/>
      <c r="F7" s="21"/>
      <c r="G7" s="21"/>
    </row>
    <row r="8" spans="1:7" x14ac:dyDescent="0.25">
      <c r="A8" s="184"/>
      <c r="B8" s="184"/>
      <c r="C8" s="306"/>
      <c r="D8" s="307" t="s">
        <v>523</v>
      </c>
      <c r="E8" s="14"/>
      <c r="F8" s="14"/>
      <c r="G8" s="14">
        <f>+SUM(E4:E7)</f>
        <v>0</v>
      </c>
    </row>
    <row r="9" spans="1:7" x14ac:dyDescent="0.25">
      <c r="A9" s="184" t="s">
        <v>524</v>
      </c>
      <c r="B9" s="184"/>
      <c r="C9" s="306">
        <v>0</v>
      </c>
      <c r="D9" s="307">
        <v>31.98</v>
      </c>
      <c r="E9" s="14">
        <v>0</v>
      </c>
      <c r="F9" s="26">
        <f>+E9*0.0725</f>
        <v>0</v>
      </c>
      <c r="G9" s="14">
        <v>0</v>
      </c>
    </row>
    <row r="10" spans="1:7" x14ac:dyDescent="0.25">
      <c r="A10" s="184" t="s">
        <v>162</v>
      </c>
      <c r="B10" s="184"/>
      <c r="C10" s="306" t="s">
        <v>162</v>
      </c>
      <c r="D10" s="292" t="s">
        <v>162</v>
      </c>
      <c r="E10" s="14" t="s">
        <v>162</v>
      </c>
      <c r="F10" s="14"/>
      <c r="G10" s="14"/>
    </row>
    <row r="11" spans="1:7" x14ac:dyDescent="0.25">
      <c r="A11" s="184" t="s">
        <v>524</v>
      </c>
      <c r="B11" s="184">
        <v>1630551</v>
      </c>
      <c r="C11" s="306">
        <v>1</v>
      </c>
      <c r="D11" s="292">
        <v>32.979999999999997</v>
      </c>
      <c r="E11" s="14">
        <f>+C11*D11</f>
        <v>32.979999999999997</v>
      </c>
      <c r="F11" s="26">
        <f>+E11*0.0725</f>
        <v>2.3910499999999995</v>
      </c>
      <c r="G11" s="14"/>
    </row>
    <row r="12" spans="1:7" x14ac:dyDescent="0.25">
      <c r="A12" s="184" t="s">
        <v>525</v>
      </c>
      <c r="B12" s="184">
        <v>3648606</v>
      </c>
      <c r="C12" s="306">
        <v>1</v>
      </c>
      <c r="D12" s="292">
        <v>560.30999999999995</v>
      </c>
      <c r="E12" s="14">
        <f>+C12*D12</f>
        <v>560.30999999999995</v>
      </c>
      <c r="F12" s="26">
        <f t="shared" ref="F12:F19" si="0">+E12*0.0725</f>
        <v>40.622474999999994</v>
      </c>
      <c r="G12" s="14"/>
    </row>
    <row r="13" spans="1:7" x14ac:dyDescent="0.25">
      <c r="A13" s="184" t="s">
        <v>526</v>
      </c>
      <c r="B13" s="184">
        <v>1654366</v>
      </c>
      <c r="C13" s="306">
        <v>1</v>
      </c>
      <c r="D13" s="292">
        <v>374.29</v>
      </c>
      <c r="E13" s="14">
        <f>+C13*D13</f>
        <v>374.29</v>
      </c>
      <c r="F13" s="26">
        <f t="shared" si="0"/>
        <v>27.136025</v>
      </c>
      <c r="G13" s="14"/>
    </row>
    <row r="14" spans="1:7" x14ac:dyDescent="0.25">
      <c r="A14" s="184" t="s">
        <v>527</v>
      </c>
      <c r="B14" s="184">
        <v>118694</v>
      </c>
      <c r="C14" s="306">
        <v>1</v>
      </c>
      <c r="D14" s="292">
        <v>39.28</v>
      </c>
      <c r="E14" s="14">
        <f>+C14*D14</f>
        <v>39.28</v>
      </c>
      <c r="F14" s="26">
        <f t="shared" si="0"/>
        <v>2.8477999999999999</v>
      </c>
      <c r="G14" s="14"/>
    </row>
    <row r="15" spans="1:7" x14ac:dyDescent="0.25">
      <c r="A15" s="184" t="s">
        <v>528</v>
      </c>
      <c r="B15" s="308"/>
      <c r="C15" s="306">
        <v>1</v>
      </c>
      <c r="D15" s="292">
        <v>189</v>
      </c>
      <c r="E15" s="14">
        <f>+C15*D15</f>
        <v>189</v>
      </c>
      <c r="F15" s="26">
        <f t="shared" si="0"/>
        <v>13.702499999999999</v>
      </c>
      <c r="G15" s="14"/>
    </row>
    <row r="16" spans="1:7" x14ac:dyDescent="0.25">
      <c r="A16" s="184" t="s">
        <v>162</v>
      </c>
      <c r="B16" s="308"/>
      <c r="C16" s="306" t="s">
        <v>162</v>
      </c>
      <c r="D16" s="292" t="s">
        <v>162</v>
      </c>
      <c r="E16" s="14" t="s">
        <v>162</v>
      </c>
      <c r="F16" s="26"/>
      <c r="G16" s="14"/>
    </row>
    <row r="17" spans="1:7" x14ac:dyDescent="0.25">
      <c r="A17" s="184" t="s">
        <v>529</v>
      </c>
      <c r="B17" s="308"/>
      <c r="C17" s="306">
        <v>1</v>
      </c>
      <c r="D17" s="292">
        <v>169</v>
      </c>
      <c r="E17" s="14">
        <f>+C17*D17</f>
        <v>169</v>
      </c>
      <c r="F17" s="26">
        <f t="shared" si="0"/>
        <v>12.2525</v>
      </c>
      <c r="G17" s="14"/>
    </row>
    <row r="18" spans="1:7" x14ac:dyDescent="0.25">
      <c r="A18" s="308" t="s">
        <v>530</v>
      </c>
      <c r="B18" s="308">
        <v>1692925</v>
      </c>
      <c r="C18" s="306">
        <v>1</v>
      </c>
      <c r="D18" s="292">
        <v>170.39</v>
      </c>
      <c r="E18" s="14">
        <f>+C18*D18</f>
        <v>170.39</v>
      </c>
      <c r="F18" s="26">
        <f t="shared" si="0"/>
        <v>12.353274999999998</v>
      </c>
      <c r="G18" s="14"/>
    </row>
    <row r="19" spans="1:7" ht="15.75" thickBot="1" x14ac:dyDescent="0.3">
      <c r="A19" s="184" t="s">
        <v>531</v>
      </c>
      <c r="B19" s="308"/>
      <c r="C19" s="306">
        <v>0</v>
      </c>
      <c r="D19" s="292">
        <v>400</v>
      </c>
      <c r="E19" s="14">
        <f>+C19*D19</f>
        <v>0</v>
      </c>
      <c r="F19" s="26">
        <f t="shared" si="0"/>
        <v>0</v>
      </c>
      <c r="G19" s="21"/>
    </row>
    <row r="20" spans="1:7" x14ac:dyDescent="0.25">
      <c r="B20" s="2"/>
      <c r="C20" s="592" t="s">
        <v>532</v>
      </c>
      <c r="D20" s="592"/>
      <c r="E20" s="592"/>
      <c r="F20" s="31"/>
      <c r="G20" s="14">
        <f>SUM(E4:E19)+SUM(F4:F19)</f>
        <v>1646.555625</v>
      </c>
    </row>
  </sheetData>
  <mergeCells count="1">
    <mergeCell ref="C20:E20"/>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J28"/>
  <sheetViews>
    <sheetView topLeftCell="A7" workbookViewId="0">
      <selection activeCell="I26" sqref="I26"/>
    </sheetView>
  </sheetViews>
  <sheetFormatPr defaultColWidth="9.140625" defaultRowHeight="15" x14ac:dyDescent="0.25"/>
  <cols>
    <col min="1" max="1" width="28" style="2" bestFit="1" customWidth="1"/>
    <col min="2" max="2" width="23.85546875" style="2" customWidth="1"/>
    <col min="4" max="4" width="10.140625" style="5" bestFit="1" customWidth="1"/>
    <col min="5" max="7" width="9.140625" style="14"/>
  </cols>
  <sheetData>
    <row r="1" spans="1:7" x14ac:dyDescent="0.25">
      <c r="A1" s="3" t="s">
        <v>533</v>
      </c>
      <c r="B1" s="3"/>
    </row>
    <row r="2" spans="1:7" x14ac:dyDescent="0.25">
      <c r="C2" s="3"/>
      <c r="D2" s="8"/>
      <c r="E2" s="13"/>
      <c r="F2" s="13"/>
      <c r="G2" s="13"/>
    </row>
    <row r="3" spans="1:7" x14ac:dyDescent="0.25">
      <c r="A3" s="3" t="s">
        <v>359</v>
      </c>
      <c r="B3" s="3" t="s">
        <v>519</v>
      </c>
      <c r="C3" s="3" t="s">
        <v>461</v>
      </c>
      <c r="D3" s="8" t="s">
        <v>462</v>
      </c>
      <c r="E3" s="13" t="s">
        <v>463</v>
      </c>
      <c r="F3" s="13" t="s">
        <v>448</v>
      </c>
      <c r="G3" s="13" t="s">
        <v>464</v>
      </c>
    </row>
    <row r="4" spans="1:7" x14ac:dyDescent="0.25">
      <c r="A4" s="308"/>
      <c r="B4" s="308"/>
      <c r="C4" s="306">
        <v>0</v>
      </c>
      <c r="D4" s="292">
        <v>107.1</v>
      </c>
      <c r="E4" s="14">
        <f>+C4*D4</f>
        <v>0</v>
      </c>
      <c r="F4" s="26">
        <f t="shared" ref="F4:F21" si="0">+E4*0.0725</f>
        <v>0</v>
      </c>
      <c r="G4" s="13"/>
    </row>
    <row r="5" spans="1:7" x14ac:dyDescent="0.25">
      <c r="A5" s="308" t="s">
        <v>534</v>
      </c>
      <c r="B5" s="308">
        <v>1255143</v>
      </c>
      <c r="C5" s="306">
        <v>0</v>
      </c>
      <c r="D5" s="292">
        <v>107.1</v>
      </c>
      <c r="E5" s="14">
        <f>+C5*D5</f>
        <v>0</v>
      </c>
      <c r="F5" s="26">
        <f t="shared" si="0"/>
        <v>0</v>
      </c>
    </row>
    <row r="6" spans="1:7" x14ac:dyDescent="0.25">
      <c r="A6" s="308" t="s">
        <v>535</v>
      </c>
      <c r="B6" s="308">
        <v>2131173</v>
      </c>
      <c r="C6" s="306">
        <v>0</v>
      </c>
      <c r="D6" s="292">
        <v>53.98</v>
      </c>
      <c r="E6" s="14">
        <f>+C6*D6</f>
        <v>0</v>
      </c>
      <c r="F6" s="26">
        <f t="shared" si="0"/>
        <v>0</v>
      </c>
    </row>
    <row r="7" spans="1:7" x14ac:dyDescent="0.25">
      <c r="A7" s="308" t="s">
        <v>536</v>
      </c>
      <c r="B7" s="308">
        <v>1227792</v>
      </c>
      <c r="C7" s="306">
        <v>0</v>
      </c>
      <c r="D7" s="292">
        <v>15.47</v>
      </c>
      <c r="E7" s="14">
        <f>+C7*D7</f>
        <v>0</v>
      </c>
      <c r="F7" s="26">
        <f t="shared" si="0"/>
        <v>0</v>
      </c>
    </row>
    <row r="8" spans="1:7" x14ac:dyDescent="0.25">
      <c r="A8" s="308" t="s">
        <v>537</v>
      </c>
      <c r="B8" s="308">
        <v>1233228</v>
      </c>
      <c r="C8" s="306">
        <v>0</v>
      </c>
      <c r="D8" s="292">
        <v>39.979999999999997</v>
      </c>
      <c r="E8" s="14">
        <v>0</v>
      </c>
      <c r="F8" s="26">
        <f t="shared" si="0"/>
        <v>0</v>
      </c>
    </row>
    <row r="9" spans="1:7" x14ac:dyDescent="0.25">
      <c r="A9" s="308" t="s">
        <v>538</v>
      </c>
      <c r="B9" s="308" t="s">
        <v>162</v>
      </c>
      <c r="C9" s="306">
        <v>0</v>
      </c>
      <c r="D9" s="292">
        <v>6.99</v>
      </c>
      <c r="E9" s="14">
        <f t="shared" ref="E9:E20" si="1">+C9*D9</f>
        <v>0</v>
      </c>
      <c r="F9" s="26">
        <f t="shared" si="0"/>
        <v>0</v>
      </c>
    </row>
    <row r="10" spans="1:7" x14ac:dyDescent="0.25">
      <c r="A10" s="308" t="s">
        <v>539</v>
      </c>
      <c r="B10" s="308"/>
      <c r="C10" s="306">
        <v>0</v>
      </c>
      <c r="D10" s="292">
        <v>24.4</v>
      </c>
      <c r="E10" s="14">
        <f t="shared" si="1"/>
        <v>0</v>
      </c>
      <c r="F10" s="26">
        <f t="shared" si="0"/>
        <v>0</v>
      </c>
    </row>
    <row r="11" spans="1:7" x14ac:dyDescent="0.25">
      <c r="A11" s="308" t="s">
        <v>540</v>
      </c>
      <c r="B11" s="308"/>
      <c r="C11" s="306">
        <v>0</v>
      </c>
      <c r="D11" s="292">
        <v>99</v>
      </c>
      <c r="E11" s="14">
        <f t="shared" si="1"/>
        <v>0</v>
      </c>
      <c r="F11" s="26">
        <f t="shared" si="0"/>
        <v>0</v>
      </c>
    </row>
    <row r="12" spans="1:7" x14ac:dyDescent="0.25">
      <c r="A12" s="308" t="s">
        <v>541</v>
      </c>
      <c r="B12" s="328">
        <v>26508261804</v>
      </c>
      <c r="C12" s="306">
        <v>0</v>
      </c>
      <c r="D12" s="292">
        <v>114</v>
      </c>
      <c r="E12" s="14">
        <f t="shared" si="1"/>
        <v>0</v>
      </c>
      <c r="F12" s="26">
        <f t="shared" si="0"/>
        <v>0</v>
      </c>
    </row>
    <row r="13" spans="1:7" x14ac:dyDescent="0.25">
      <c r="A13" s="308" t="s">
        <v>484</v>
      </c>
      <c r="B13" s="308">
        <v>6925699939094</v>
      </c>
      <c r="C13" s="306">
        <v>0</v>
      </c>
      <c r="D13" s="292">
        <v>0</v>
      </c>
      <c r="E13" s="14">
        <f t="shared" si="1"/>
        <v>0</v>
      </c>
      <c r="F13" s="26">
        <f t="shared" si="0"/>
        <v>0</v>
      </c>
    </row>
    <row r="14" spans="1:7" x14ac:dyDescent="0.25">
      <c r="A14" s="308" t="s">
        <v>542</v>
      </c>
      <c r="B14" s="308"/>
      <c r="C14" s="306">
        <v>0</v>
      </c>
      <c r="D14" s="292"/>
      <c r="E14" s="14">
        <f t="shared" si="1"/>
        <v>0</v>
      </c>
      <c r="F14" s="26">
        <f t="shared" si="0"/>
        <v>0</v>
      </c>
    </row>
    <row r="15" spans="1:7" x14ac:dyDescent="0.25">
      <c r="A15" s="308" t="s">
        <v>543</v>
      </c>
      <c r="B15" s="308">
        <v>38877656754</v>
      </c>
      <c r="C15" s="306">
        <v>0</v>
      </c>
      <c r="D15" s="292">
        <v>169</v>
      </c>
      <c r="E15" s="14">
        <f t="shared" si="1"/>
        <v>0</v>
      </c>
      <c r="F15" s="26">
        <f t="shared" si="0"/>
        <v>0</v>
      </c>
    </row>
    <row r="16" spans="1:7" x14ac:dyDescent="0.25">
      <c r="A16" s="308" t="s">
        <v>540</v>
      </c>
      <c r="B16" s="308">
        <v>732291231619</v>
      </c>
      <c r="C16" s="306">
        <v>0</v>
      </c>
      <c r="D16" s="292">
        <v>99</v>
      </c>
      <c r="E16" s="14">
        <f t="shared" si="1"/>
        <v>0</v>
      </c>
      <c r="F16" s="26">
        <f t="shared" si="0"/>
        <v>0</v>
      </c>
    </row>
    <row r="17" spans="1:10" x14ac:dyDescent="0.25">
      <c r="A17" s="308" t="s">
        <v>544</v>
      </c>
      <c r="B17" s="308"/>
      <c r="C17" s="306">
        <v>0</v>
      </c>
      <c r="D17" s="292">
        <v>-29.7</v>
      </c>
      <c r="E17" s="14">
        <f t="shared" si="1"/>
        <v>0</v>
      </c>
      <c r="F17" s="26">
        <f t="shared" si="0"/>
        <v>0</v>
      </c>
    </row>
    <row r="18" spans="1:10" x14ac:dyDescent="0.25">
      <c r="A18" s="308"/>
      <c r="B18" s="308"/>
      <c r="C18" s="306"/>
      <c r="D18" s="292"/>
      <c r="E18" s="14">
        <f t="shared" si="1"/>
        <v>0</v>
      </c>
      <c r="F18" s="26">
        <f t="shared" si="0"/>
        <v>0</v>
      </c>
    </row>
    <row r="19" spans="1:10" x14ac:dyDescent="0.25">
      <c r="A19" s="308"/>
      <c r="B19" s="308"/>
      <c r="C19" s="306"/>
      <c r="D19" s="292"/>
      <c r="E19" s="14">
        <f t="shared" si="1"/>
        <v>0</v>
      </c>
      <c r="F19" s="26">
        <f t="shared" si="0"/>
        <v>0</v>
      </c>
    </row>
    <row r="20" spans="1:10" x14ac:dyDescent="0.25">
      <c r="A20" s="308"/>
      <c r="B20" s="308"/>
      <c r="C20" s="306"/>
      <c r="D20" s="292"/>
      <c r="E20" s="14">
        <f t="shared" si="1"/>
        <v>0</v>
      </c>
      <c r="F20" s="26">
        <f t="shared" si="0"/>
        <v>0</v>
      </c>
    </row>
    <row r="21" spans="1:10" ht="15.75" thickBot="1" x14ac:dyDescent="0.3">
      <c r="A21" s="308"/>
      <c r="B21" s="308"/>
      <c r="C21" s="306"/>
      <c r="D21" s="292"/>
      <c r="E21" s="21">
        <f t="shared" ref="E21" si="2">+C21*D21</f>
        <v>0</v>
      </c>
      <c r="F21" s="21">
        <f t="shared" si="0"/>
        <v>0</v>
      </c>
      <c r="G21" s="21"/>
    </row>
    <row r="22" spans="1:10" x14ac:dyDescent="0.25">
      <c r="G22" s="14">
        <f>+SUM(E4:E21)+SUM(F4:F21)</f>
        <v>0</v>
      </c>
      <c r="J22" s="1"/>
    </row>
    <row r="25" spans="1:10" x14ac:dyDescent="0.25">
      <c r="G25"/>
    </row>
    <row r="26" spans="1:10" x14ac:dyDescent="0.25">
      <c r="G26"/>
    </row>
    <row r="27" spans="1:10" x14ac:dyDescent="0.25">
      <c r="G27"/>
    </row>
    <row r="28" spans="1:10" x14ac:dyDescent="0.25">
      <c r="G28"/>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53"/>
  <sheetViews>
    <sheetView topLeftCell="A10" workbookViewId="0">
      <selection activeCell="J36" sqref="J36"/>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6" x14ac:dyDescent="0.25">
      <c r="A1" s="33" t="s">
        <v>545</v>
      </c>
      <c r="B1" s="33"/>
    </row>
    <row r="2" spans="1:6" x14ac:dyDescent="0.25">
      <c r="C2" s="3"/>
      <c r="D2" s="8"/>
      <c r="E2" s="13"/>
      <c r="F2" s="13"/>
    </row>
    <row r="3" spans="1:6" s="22" customFormat="1" ht="14.25" customHeight="1" x14ac:dyDescent="0.25">
      <c r="A3" s="3" t="s">
        <v>359</v>
      </c>
      <c r="B3" s="3" t="s">
        <v>519</v>
      </c>
      <c r="C3" s="3" t="s">
        <v>461</v>
      </c>
      <c r="D3" s="8" t="s">
        <v>462</v>
      </c>
      <c r="E3" s="13" t="s">
        <v>463</v>
      </c>
      <c r="F3" s="13" t="s">
        <v>464</v>
      </c>
    </row>
    <row r="4" spans="1:6" ht="14.25" customHeight="1" x14ac:dyDescent="0.25">
      <c r="A4" s="33" t="s">
        <v>546</v>
      </c>
      <c r="B4" s="33">
        <v>935605</v>
      </c>
      <c r="C4" s="308">
        <v>0</v>
      </c>
      <c r="D4" s="292">
        <v>209</v>
      </c>
      <c r="E4" s="14">
        <f t="shared" ref="E4:E15" si="0">+C4*D4</f>
        <v>0</v>
      </c>
      <c r="F4" s="13"/>
    </row>
    <row r="5" spans="1:6" ht="14.25" customHeight="1" x14ac:dyDescent="0.25">
      <c r="A5" s="33" t="s">
        <v>547</v>
      </c>
      <c r="B5" s="33">
        <v>935604</v>
      </c>
      <c r="C5" s="308">
        <v>0</v>
      </c>
      <c r="D5" s="292">
        <v>209</v>
      </c>
      <c r="E5" s="14">
        <f t="shared" si="0"/>
        <v>0</v>
      </c>
      <c r="F5" s="13"/>
    </row>
    <row r="6" spans="1:6" ht="14.25" customHeight="1" x14ac:dyDescent="0.25">
      <c r="A6" s="33" t="s">
        <v>548</v>
      </c>
      <c r="B6" s="33">
        <v>935599</v>
      </c>
      <c r="C6" s="308">
        <v>0</v>
      </c>
      <c r="D6" s="292">
        <v>198.56</v>
      </c>
      <c r="E6" s="14">
        <f>+C6*D6</f>
        <v>0</v>
      </c>
      <c r="F6" s="13"/>
    </row>
    <row r="7" spans="1:6" ht="14.25" customHeight="1" x14ac:dyDescent="0.25">
      <c r="A7" s="33" t="s">
        <v>549</v>
      </c>
      <c r="B7" s="33">
        <v>14005</v>
      </c>
      <c r="C7" s="306">
        <v>0</v>
      </c>
      <c r="D7" s="292">
        <v>179</v>
      </c>
      <c r="E7" s="14">
        <f t="shared" si="0"/>
        <v>0</v>
      </c>
    </row>
    <row r="8" spans="1:6" ht="14.25" customHeight="1" x14ac:dyDescent="0.25">
      <c r="A8" s="33" t="s">
        <v>550</v>
      </c>
      <c r="B8" s="33">
        <v>14006</v>
      </c>
      <c r="C8" s="306">
        <v>0</v>
      </c>
      <c r="D8" s="292">
        <v>179</v>
      </c>
      <c r="E8" s="14">
        <f t="shared" si="0"/>
        <v>0</v>
      </c>
    </row>
    <row r="9" spans="1:6" ht="14.25" customHeight="1" x14ac:dyDescent="0.25">
      <c r="A9" s="33" t="s">
        <v>551</v>
      </c>
      <c r="B9" s="33">
        <v>935587</v>
      </c>
      <c r="C9" s="306">
        <v>0</v>
      </c>
      <c r="D9" s="292">
        <v>198.55</v>
      </c>
      <c r="E9" s="14">
        <f>+C9*D9</f>
        <v>0</v>
      </c>
    </row>
    <row r="10" spans="1:6" ht="14.25" customHeight="1" x14ac:dyDescent="0.25">
      <c r="A10" s="33" t="s">
        <v>552</v>
      </c>
      <c r="B10" s="33">
        <v>49504</v>
      </c>
      <c r="C10" s="306">
        <v>0</v>
      </c>
      <c r="D10" s="292">
        <v>103</v>
      </c>
      <c r="E10" s="14">
        <f t="shared" si="0"/>
        <v>0</v>
      </c>
    </row>
    <row r="11" spans="1:6" ht="14.25" customHeight="1" x14ac:dyDescent="0.25">
      <c r="A11" s="33" t="s">
        <v>553</v>
      </c>
      <c r="B11" s="33">
        <v>49706</v>
      </c>
      <c r="C11" s="306">
        <v>0</v>
      </c>
      <c r="D11" s="292">
        <v>103</v>
      </c>
      <c r="E11" s="14">
        <f t="shared" si="0"/>
        <v>0</v>
      </c>
    </row>
    <row r="12" spans="1:6" ht="14.25" customHeight="1" x14ac:dyDescent="0.25">
      <c r="A12" s="33" t="s">
        <v>554</v>
      </c>
      <c r="B12" s="33">
        <v>47025</v>
      </c>
      <c r="C12" s="306">
        <v>0</v>
      </c>
      <c r="D12" s="292">
        <v>99</v>
      </c>
      <c r="E12" s="14">
        <f t="shared" si="0"/>
        <v>0</v>
      </c>
    </row>
    <row r="13" spans="1:6" ht="14.25" customHeight="1" x14ac:dyDescent="0.25">
      <c r="A13" s="33" t="s">
        <v>555</v>
      </c>
      <c r="B13" s="33">
        <v>47422</v>
      </c>
      <c r="C13" s="306">
        <v>0</v>
      </c>
      <c r="D13" s="292">
        <v>99</v>
      </c>
      <c r="E13" s="14">
        <f t="shared" si="0"/>
        <v>0</v>
      </c>
    </row>
    <row r="14" spans="1:6" ht="14.25" customHeight="1" x14ac:dyDescent="0.25">
      <c r="A14" s="33" t="s">
        <v>556</v>
      </c>
      <c r="B14" s="33">
        <v>43359</v>
      </c>
      <c r="C14" s="306">
        <v>0</v>
      </c>
      <c r="D14" s="292">
        <v>95</v>
      </c>
      <c r="E14" s="14">
        <f t="shared" si="0"/>
        <v>0</v>
      </c>
    </row>
    <row r="15" spans="1:6" ht="14.25" customHeight="1" x14ac:dyDescent="0.25">
      <c r="A15" s="33" t="s">
        <v>557</v>
      </c>
      <c r="B15" s="33">
        <v>44035</v>
      </c>
      <c r="C15" s="306">
        <v>0</v>
      </c>
      <c r="D15" s="292">
        <v>95</v>
      </c>
      <c r="E15" s="14">
        <f t="shared" si="0"/>
        <v>0</v>
      </c>
    </row>
    <row r="16" spans="1:6" ht="14.25" customHeight="1" x14ac:dyDescent="0.25">
      <c r="A16" s="33" t="s">
        <v>558</v>
      </c>
      <c r="B16" s="33">
        <v>10758</v>
      </c>
      <c r="C16" s="306">
        <v>0</v>
      </c>
      <c r="D16" s="292">
        <v>73</v>
      </c>
      <c r="E16" s="14">
        <f t="shared" ref="E16:E33" si="1">+C16*D16</f>
        <v>0</v>
      </c>
    </row>
    <row r="17" spans="1:6" ht="14.25" customHeight="1" x14ac:dyDescent="0.25">
      <c r="A17" s="33" t="s">
        <v>559</v>
      </c>
      <c r="B17" s="33">
        <v>338797</v>
      </c>
      <c r="C17" s="306">
        <v>0</v>
      </c>
      <c r="D17" s="292">
        <v>196</v>
      </c>
      <c r="E17" s="14">
        <f t="shared" si="1"/>
        <v>0</v>
      </c>
    </row>
    <row r="18" spans="1:6" ht="14.25" customHeight="1" x14ac:dyDescent="0.25">
      <c r="A18" s="33" t="s">
        <v>560</v>
      </c>
      <c r="B18" s="33"/>
      <c r="C18" s="306">
        <v>0</v>
      </c>
      <c r="D18" s="292">
        <v>284.56</v>
      </c>
      <c r="E18" s="14">
        <f t="shared" si="1"/>
        <v>0</v>
      </c>
    </row>
    <row r="19" spans="1:6" ht="14.25" customHeight="1" x14ac:dyDescent="0.25">
      <c r="A19" s="33" t="s">
        <v>561</v>
      </c>
      <c r="B19" s="33">
        <v>72904</v>
      </c>
      <c r="C19" s="306">
        <v>0</v>
      </c>
      <c r="D19" s="292">
        <v>429.62</v>
      </c>
      <c r="E19" s="14">
        <f>+C19*D19</f>
        <v>0</v>
      </c>
    </row>
    <row r="20" spans="1:6" ht="14.25" customHeight="1" x14ac:dyDescent="0.25">
      <c r="A20" s="33" t="s">
        <v>562</v>
      </c>
      <c r="B20" s="33" t="s">
        <v>563</v>
      </c>
      <c r="C20" s="306">
        <v>0</v>
      </c>
      <c r="D20" s="292">
        <v>8.9700000000000006</v>
      </c>
      <c r="E20" s="14">
        <f t="shared" si="1"/>
        <v>0</v>
      </c>
    </row>
    <row r="21" spans="1:6" ht="14.25" customHeight="1" x14ac:dyDescent="0.25">
      <c r="A21" s="33" t="s">
        <v>562</v>
      </c>
      <c r="B21" s="33" t="s">
        <v>564</v>
      </c>
      <c r="C21" s="306">
        <v>0</v>
      </c>
      <c r="D21" s="292">
        <v>9.48</v>
      </c>
      <c r="E21" s="14">
        <f t="shared" si="1"/>
        <v>0</v>
      </c>
    </row>
    <row r="22" spans="1:6" ht="14.25" customHeight="1" x14ac:dyDescent="0.25">
      <c r="A22" s="33" t="s">
        <v>562</v>
      </c>
      <c r="B22" s="33" t="s">
        <v>564</v>
      </c>
      <c r="C22" s="306">
        <v>0</v>
      </c>
      <c r="D22" s="292">
        <v>9.48</v>
      </c>
      <c r="E22" s="14">
        <f t="shared" si="1"/>
        <v>0</v>
      </c>
    </row>
    <row r="23" spans="1:6" ht="14.25" customHeight="1" x14ac:dyDescent="0.25">
      <c r="A23" s="33" t="s">
        <v>565</v>
      </c>
      <c r="B23" s="33" t="s">
        <v>566</v>
      </c>
      <c r="C23" s="306">
        <v>0</v>
      </c>
      <c r="D23" s="292">
        <v>13.47</v>
      </c>
      <c r="E23" s="14">
        <f t="shared" si="1"/>
        <v>0</v>
      </c>
    </row>
    <row r="24" spans="1:6" ht="14.25" customHeight="1" x14ac:dyDescent="0.25">
      <c r="A24" s="33" t="s">
        <v>567</v>
      </c>
      <c r="B24" s="33">
        <v>100619</v>
      </c>
      <c r="C24" s="306">
        <v>0</v>
      </c>
      <c r="D24" s="292">
        <v>79.98</v>
      </c>
      <c r="E24" s="14">
        <f t="shared" si="1"/>
        <v>0</v>
      </c>
    </row>
    <row r="25" spans="1:6" ht="14.25" customHeight="1" x14ac:dyDescent="0.25">
      <c r="A25" s="33" t="s">
        <v>568</v>
      </c>
      <c r="B25" s="33">
        <v>287027</v>
      </c>
      <c r="C25" s="306">
        <v>0</v>
      </c>
      <c r="D25" s="292">
        <v>50.48</v>
      </c>
      <c r="E25" s="14">
        <f t="shared" si="1"/>
        <v>0</v>
      </c>
    </row>
    <row r="26" spans="1:6" ht="14.25" customHeight="1" x14ac:dyDescent="0.25">
      <c r="A26" s="33" t="s">
        <v>569</v>
      </c>
      <c r="B26" s="33"/>
      <c r="C26" s="306">
        <v>0</v>
      </c>
      <c r="D26" s="292">
        <v>69.47</v>
      </c>
      <c r="E26" s="14">
        <f t="shared" si="1"/>
        <v>0</v>
      </c>
    </row>
    <row r="27" spans="1:6" ht="14.25" customHeight="1" x14ac:dyDescent="0.25">
      <c r="A27" s="33" t="s">
        <v>570</v>
      </c>
      <c r="B27" s="33" t="s">
        <v>571</v>
      </c>
      <c r="C27" s="306">
        <v>0</v>
      </c>
      <c r="D27" s="292">
        <v>289</v>
      </c>
      <c r="E27" s="14">
        <f t="shared" si="1"/>
        <v>0</v>
      </c>
    </row>
    <row r="28" spans="1:6" ht="14.25" customHeight="1" x14ac:dyDescent="0.25">
      <c r="A28" s="33" t="s">
        <v>572</v>
      </c>
      <c r="B28" s="33" t="s">
        <v>573</v>
      </c>
      <c r="C28" s="306">
        <v>0</v>
      </c>
      <c r="D28" s="292">
        <v>12.97</v>
      </c>
      <c r="E28" s="14">
        <f t="shared" si="1"/>
        <v>0</v>
      </c>
    </row>
    <row r="29" spans="1:6" ht="14.25" customHeight="1" thickBot="1" x14ac:dyDescent="0.3">
      <c r="A29" s="33" t="s">
        <v>574</v>
      </c>
      <c r="B29" s="33"/>
      <c r="C29" s="306"/>
      <c r="D29" s="292"/>
      <c r="E29" s="14">
        <f t="shared" si="1"/>
        <v>0</v>
      </c>
      <c r="F29" s="21"/>
    </row>
    <row r="30" spans="1:6" ht="14.25" customHeight="1" x14ac:dyDescent="0.25">
      <c r="A30" s="33" t="s">
        <v>575</v>
      </c>
      <c r="B30" s="33">
        <v>30699285174</v>
      </c>
      <c r="C30" s="306">
        <v>0</v>
      </c>
      <c r="D30" s="292">
        <v>12.93</v>
      </c>
      <c r="E30" s="14">
        <f t="shared" si="1"/>
        <v>0</v>
      </c>
    </row>
    <row r="31" spans="1:6" ht="14.25" customHeight="1" x14ac:dyDescent="0.25">
      <c r="A31" s="33" t="s">
        <v>576</v>
      </c>
      <c r="B31" s="329">
        <v>883351469845</v>
      </c>
      <c r="C31" s="306">
        <v>0</v>
      </c>
      <c r="D31" s="292">
        <v>47.97</v>
      </c>
      <c r="E31" s="14">
        <f t="shared" si="1"/>
        <v>0</v>
      </c>
    </row>
    <row r="32" spans="1:6" ht="14.25" customHeight="1" x14ac:dyDescent="0.25">
      <c r="A32" s="33" t="s">
        <v>577</v>
      </c>
      <c r="B32" s="329">
        <v>883351891448</v>
      </c>
      <c r="C32" s="306">
        <v>0</v>
      </c>
      <c r="D32" s="292">
        <v>69.97</v>
      </c>
      <c r="E32" s="14">
        <f t="shared" si="1"/>
        <v>0</v>
      </c>
    </row>
    <row r="33" spans="1:9" ht="14.25" customHeight="1" x14ac:dyDescent="0.25">
      <c r="A33" s="33" t="s">
        <v>578</v>
      </c>
      <c r="B33" s="329">
        <v>883351396332</v>
      </c>
      <c r="C33" s="306">
        <v>0</v>
      </c>
      <c r="D33" s="292">
        <v>139</v>
      </c>
      <c r="E33" s="14">
        <f t="shared" si="1"/>
        <v>0</v>
      </c>
    </row>
    <row r="34" spans="1:9" ht="14.25" customHeight="1" x14ac:dyDescent="0.25">
      <c r="A34" s="33"/>
      <c r="B34" s="329"/>
      <c r="C34" s="331"/>
      <c r="D34" s="330"/>
      <c r="E34" s="14">
        <f>+C34*D34</f>
        <v>0</v>
      </c>
      <c r="F34" s="14">
        <f>SUM(E4:E33)</f>
        <v>0</v>
      </c>
      <c r="I34" s="1"/>
    </row>
    <row r="35" spans="1:9" ht="14.25" customHeight="1" x14ac:dyDescent="0.25">
      <c r="A35" s="33"/>
    </row>
    <row r="36" spans="1:9" x14ac:dyDescent="0.25">
      <c r="A36" s="33"/>
      <c r="B36" s="33"/>
      <c r="C36" s="3"/>
      <c r="D36" s="8"/>
      <c r="E36" s="13"/>
      <c r="F36" s="13"/>
    </row>
    <row r="41" spans="1:9" ht="15.75" thickBot="1" x14ac:dyDescent="0.3">
      <c r="E41" s="21"/>
      <c r="F41" s="21"/>
    </row>
    <row r="44" spans="1:9" x14ac:dyDescent="0.25">
      <c r="A44" s="33"/>
    </row>
    <row r="45" spans="1:9" x14ac:dyDescent="0.25">
      <c r="A45" s="33"/>
      <c r="B45" s="33"/>
      <c r="C45" s="3"/>
      <c r="D45" s="8"/>
      <c r="E45" s="13"/>
      <c r="F45" s="13"/>
    </row>
    <row r="47" spans="1:9" ht="15.75" thickBot="1" x14ac:dyDescent="0.3">
      <c r="F47" s="21"/>
    </row>
    <row r="48" spans="1:9" x14ac:dyDescent="0.25">
      <c r="F48" s="14">
        <f>+SUM(E43:E47)</f>
        <v>0</v>
      </c>
    </row>
    <row r="50" spans="6:7" ht="15.75" thickBot="1" x14ac:dyDescent="0.3">
      <c r="F50" s="21"/>
    </row>
    <row r="52" spans="6:7" ht="15.75" thickBot="1" x14ac:dyDescent="0.3">
      <c r="G52" s="21"/>
    </row>
    <row r="53" spans="6:7" x14ac:dyDescent="0.25">
      <c r="G53" s="14">
        <f>+SUM(F34:F52)</f>
        <v>0</v>
      </c>
    </row>
  </sheetData>
  <printOptions headings="1" gridLines="1"/>
  <pageMargins left="0.7" right="0.7" top="0.75" bottom="0.75" header="0.3" footer="0.3"/>
  <pageSetup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J44"/>
  <sheetViews>
    <sheetView workbookViewId="0">
      <pane ySplit="3" topLeftCell="A19" activePane="bottomLeft" state="frozen"/>
      <selection pane="bottomLeft" activeCell="M43" sqref="M43"/>
    </sheetView>
  </sheetViews>
  <sheetFormatPr defaultRowHeight="15" x14ac:dyDescent="0.25"/>
  <cols>
    <col min="1" max="1" width="32.85546875" style="2" bestFit="1" customWidth="1"/>
    <col min="2" max="2" width="23.85546875" style="2" customWidth="1"/>
    <col min="4" max="4" width="13.85546875" style="5" bestFit="1" customWidth="1"/>
    <col min="5" max="7" width="9.140625" style="14"/>
  </cols>
  <sheetData>
    <row r="1" spans="1:7" x14ac:dyDescent="0.25">
      <c r="A1" s="3" t="s">
        <v>579</v>
      </c>
      <c r="B1" s="3"/>
    </row>
    <row r="2" spans="1:7" x14ac:dyDescent="0.25">
      <c r="C2" s="3"/>
      <c r="D2" s="8"/>
      <c r="E2" s="13"/>
      <c r="F2" s="13"/>
      <c r="G2" s="13"/>
    </row>
    <row r="3" spans="1:7" ht="15.75" thickBot="1" x14ac:dyDescent="0.3">
      <c r="A3" s="32" t="s">
        <v>359</v>
      </c>
      <c r="B3" s="32" t="s">
        <v>519</v>
      </c>
      <c r="C3" s="32" t="s">
        <v>461</v>
      </c>
      <c r="D3" s="313" t="s">
        <v>462</v>
      </c>
      <c r="E3" s="314" t="s">
        <v>463</v>
      </c>
      <c r="F3" s="314" t="s">
        <v>448</v>
      </c>
      <c r="G3" s="314" t="s">
        <v>464</v>
      </c>
    </row>
    <row r="4" spans="1:7" x14ac:dyDescent="0.25">
      <c r="A4" s="311"/>
      <c r="B4" s="311" t="s">
        <v>580</v>
      </c>
      <c r="C4" s="308">
        <v>0</v>
      </c>
      <c r="D4" s="312">
        <v>154</v>
      </c>
      <c r="E4" s="14">
        <f>+C4*D4</f>
        <v>0</v>
      </c>
      <c r="F4" s="26">
        <f t="shared" ref="F4:F22" si="0">+E4*0.0725</f>
        <v>0</v>
      </c>
      <c r="G4" s="13"/>
    </row>
    <row r="5" spans="1:7" x14ac:dyDescent="0.25">
      <c r="A5" s="308" t="s">
        <v>581</v>
      </c>
      <c r="B5" s="308">
        <v>795984</v>
      </c>
      <c r="C5" s="306">
        <v>0</v>
      </c>
      <c r="D5" s="292">
        <v>144</v>
      </c>
      <c r="E5" s="14">
        <f>+C5*D5</f>
        <v>0</v>
      </c>
      <c r="F5" s="26">
        <f t="shared" si="0"/>
        <v>0</v>
      </c>
    </row>
    <row r="6" spans="1:7" x14ac:dyDescent="0.25">
      <c r="A6" s="308" t="s">
        <v>582</v>
      </c>
      <c r="B6" s="308" t="s">
        <v>582</v>
      </c>
      <c r="C6" s="306">
        <v>0</v>
      </c>
      <c r="D6" s="292">
        <v>224</v>
      </c>
      <c r="E6" s="14">
        <f>+C6*D6</f>
        <v>0</v>
      </c>
      <c r="F6" s="26">
        <f t="shared" si="0"/>
        <v>0</v>
      </c>
    </row>
    <row r="7" spans="1:7" x14ac:dyDescent="0.25">
      <c r="A7" s="308" t="s">
        <v>583</v>
      </c>
      <c r="B7" s="308" t="s">
        <v>584</v>
      </c>
      <c r="C7" s="306">
        <v>0</v>
      </c>
      <c r="D7" s="292">
        <v>152</v>
      </c>
      <c r="E7" s="14">
        <f>+C7*D7</f>
        <v>0</v>
      </c>
      <c r="F7" s="26">
        <f t="shared" si="0"/>
        <v>0</v>
      </c>
    </row>
    <row r="8" spans="1:7" x14ac:dyDescent="0.25">
      <c r="A8" s="308" t="s">
        <v>585</v>
      </c>
      <c r="B8" s="308" t="s">
        <v>586</v>
      </c>
      <c r="C8" s="306">
        <v>0</v>
      </c>
      <c r="D8" s="292">
        <v>50</v>
      </c>
      <c r="E8" s="14">
        <f>+C8*D8</f>
        <v>0</v>
      </c>
      <c r="F8" s="26">
        <f t="shared" si="0"/>
        <v>0</v>
      </c>
    </row>
    <row r="9" spans="1:7" x14ac:dyDescent="0.25">
      <c r="A9" s="308" t="s">
        <v>587</v>
      </c>
      <c r="B9" s="308" t="s">
        <v>588</v>
      </c>
      <c r="C9" s="306">
        <v>0</v>
      </c>
      <c r="D9" s="292">
        <v>166</v>
      </c>
      <c r="E9" s="14">
        <f t="shared" ref="E9:E22" si="1">+C9*D9</f>
        <v>0</v>
      </c>
      <c r="F9" s="26">
        <f t="shared" si="0"/>
        <v>0</v>
      </c>
    </row>
    <row r="10" spans="1:7" x14ac:dyDescent="0.25">
      <c r="A10" s="308" t="s">
        <v>589</v>
      </c>
      <c r="B10" s="308" t="s">
        <v>590</v>
      </c>
      <c r="C10" s="306">
        <v>0</v>
      </c>
      <c r="D10" s="292">
        <v>104</v>
      </c>
      <c r="E10" s="14">
        <f t="shared" si="1"/>
        <v>0</v>
      </c>
      <c r="F10" s="26">
        <f t="shared" si="0"/>
        <v>0</v>
      </c>
    </row>
    <row r="11" spans="1:7" x14ac:dyDescent="0.25">
      <c r="A11" s="308" t="s">
        <v>591</v>
      </c>
      <c r="B11" s="308" t="s">
        <v>592</v>
      </c>
      <c r="C11" s="306">
        <v>0</v>
      </c>
      <c r="D11" s="292">
        <v>81.98</v>
      </c>
      <c r="E11" s="14">
        <f t="shared" si="1"/>
        <v>0</v>
      </c>
      <c r="F11" s="26">
        <f t="shared" si="0"/>
        <v>0</v>
      </c>
    </row>
    <row r="12" spans="1:7" x14ac:dyDescent="0.25">
      <c r="A12" s="308" t="s">
        <v>591</v>
      </c>
      <c r="B12" s="308" t="s">
        <v>593</v>
      </c>
      <c r="C12" s="306">
        <v>0</v>
      </c>
      <c r="D12" s="292">
        <v>143</v>
      </c>
      <c r="E12" s="14">
        <f t="shared" si="1"/>
        <v>0</v>
      </c>
      <c r="F12" s="26">
        <f t="shared" si="0"/>
        <v>0</v>
      </c>
    </row>
    <row r="13" spans="1:7" x14ac:dyDescent="0.25">
      <c r="A13" s="308" t="s">
        <v>591</v>
      </c>
      <c r="B13" s="308" t="s">
        <v>594</v>
      </c>
      <c r="C13" s="306">
        <v>0</v>
      </c>
      <c r="D13" s="292">
        <v>98.98</v>
      </c>
      <c r="E13" s="14">
        <f t="shared" si="1"/>
        <v>0</v>
      </c>
      <c r="F13" s="26">
        <f t="shared" si="0"/>
        <v>0</v>
      </c>
    </row>
    <row r="14" spans="1:7" x14ac:dyDescent="0.25">
      <c r="A14" s="308" t="s">
        <v>595</v>
      </c>
      <c r="B14" s="308" t="s">
        <v>596</v>
      </c>
      <c r="C14" s="306">
        <v>0</v>
      </c>
      <c r="D14" s="292">
        <v>165</v>
      </c>
      <c r="E14" s="14">
        <f t="shared" si="1"/>
        <v>0</v>
      </c>
      <c r="F14" s="26">
        <f t="shared" si="0"/>
        <v>0</v>
      </c>
    </row>
    <row r="15" spans="1:7" x14ac:dyDescent="0.25">
      <c r="A15" s="308" t="s">
        <v>597</v>
      </c>
      <c r="B15" s="308">
        <v>795984</v>
      </c>
      <c r="C15" s="306">
        <v>0</v>
      </c>
      <c r="D15" s="292">
        <v>144</v>
      </c>
      <c r="E15" s="14">
        <f t="shared" si="1"/>
        <v>0</v>
      </c>
      <c r="F15" s="26">
        <f t="shared" si="0"/>
        <v>0</v>
      </c>
    </row>
    <row r="16" spans="1:7" x14ac:dyDescent="0.25">
      <c r="A16" s="308"/>
      <c r="B16" s="308" t="s">
        <v>598</v>
      </c>
      <c r="C16" s="306">
        <v>0</v>
      </c>
      <c r="D16" s="292">
        <v>107</v>
      </c>
      <c r="E16" s="14">
        <f t="shared" si="1"/>
        <v>0</v>
      </c>
      <c r="F16" s="26">
        <f t="shared" si="0"/>
        <v>0</v>
      </c>
    </row>
    <row r="17" spans="1:10" x14ac:dyDescent="0.25">
      <c r="A17" s="308" t="s">
        <v>591</v>
      </c>
      <c r="B17" s="308" t="s">
        <v>599</v>
      </c>
      <c r="C17" s="306">
        <v>0</v>
      </c>
      <c r="D17" s="292">
        <v>112</v>
      </c>
      <c r="E17" s="14">
        <f t="shared" si="1"/>
        <v>0</v>
      </c>
      <c r="F17" s="26">
        <f t="shared" si="0"/>
        <v>0</v>
      </c>
    </row>
    <row r="18" spans="1:10" x14ac:dyDescent="0.25">
      <c r="A18" s="308" t="s">
        <v>600</v>
      </c>
      <c r="B18" s="308" t="s">
        <v>600</v>
      </c>
      <c r="C18" s="306">
        <v>0</v>
      </c>
      <c r="D18" s="292">
        <v>40.96</v>
      </c>
      <c r="E18" s="14">
        <f t="shared" si="1"/>
        <v>0</v>
      </c>
      <c r="F18" s="26">
        <f t="shared" si="0"/>
        <v>0</v>
      </c>
    </row>
    <row r="19" spans="1:10" x14ac:dyDescent="0.25">
      <c r="A19" s="308"/>
      <c r="B19" s="308" t="s">
        <v>601</v>
      </c>
      <c r="C19" s="306">
        <v>0</v>
      </c>
      <c r="D19" s="292">
        <v>18.28</v>
      </c>
      <c r="E19" s="14">
        <f t="shared" si="1"/>
        <v>0</v>
      </c>
      <c r="F19" s="26">
        <f t="shared" si="0"/>
        <v>0</v>
      </c>
    </row>
    <row r="20" spans="1:10" x14ac:dyDescent="0.25">
      <c r="A20" s="308"/>
      <c r="B20" s="308" t="s">
        <v>162</v>
      </c>
      <c r="C20" s="306">
        <v>0</v>
      </c>
      <c r="D20" s="292">
        <v>0</v>
      </c>
      <c r="E20" s="14">
        <f t="shared" si="1"/>
        <v>0</v>
      </c>
      <c r="F20" s="26">
        <f t="shared" si="0"/>
        <v>0</v>
      </c>
    </row>
    <row r="21" spans="1:10" x14ac:dyDescent="0.25">
      <c r="A21" s="308" t="s">
        <v>602</v>
      </c>
      <c r="B21" s="308"/>
      <c r="C21" s="306">
        <v>0</v>
      </c>
      <c r="D21" s="292">
        <v>0</v>
      </c>
      <c r="E21" s="14">
        <f t="shared" si="1"/>
        <v>0</v>
      </c>
      <c r="F21" s="26">
        <f t="shared" si="0"/>
        <v>0</v>
      </c>
    </row>
    <row r="22" spans="1:10" ht="15.75" thickBot="1" x14ac:dyDescent="0.3">
      <c r="A22" s="308" t="s">
        <v>603</v>
      </c>
      <c r="B22" s="308"/>
      <c r="C22" s="306">
        <v>0</v>
      </c>
      <c r="D22" s="292">
        <v>935.09</v>
      </c>
      <c r="E22" s="21">
        <f t="shared" si="1"/>
        <v>0</v>
      </c>
      <c r="F22" s="21">
        <f t="shared" si="0"/>
        <v>0</v>
      </c>
      <c r="G22" s="21"/>
    </row>
    <row r="23" spans="1:10" x14ac:dyDescent="0.25">
      <c r="G23" s="14">
        <f>+SUM(E4:E22)+SUM(F4:F22)</f>
        <v>0</v>
      </c>
      <c r="J23" s="1"/>
    </row>
    <row r="24" spans="1:10" x14ac:dyDescent="0.25">
      <c r="A24" s="33" t="s">
        <v>604</v>
      </c>
    </row>
    <row r="25" spans="1:10" x14ac:dyDescent="0.25">
      <c r="A25" s="3" t="s">
        <v>359</v>
      </c>
      <c r="B25" s="3" t="s">
        <v>519</v>
      </c>
      <c r="C25" s="3" t="s">
        <v>461</v>
      </c>
      <c r="D25" s="8" t="s">
        <v>462</v>
      </c>
      <c r="E25" s="13" t="s">
        <v>463</v>
      </c>
      <c r="F25" s="13"/>
      <c r="G25" s="13" t="s">
        <v>464</v>
      </c>
    </row>
    <row r="26" spans="1:10" x14ac:dyDescent="0.25">
      <c r="A26" s="184"/>
      <c r="B26" s="184" t="s">
        <v>605</v>
      </c>
      <c r="C26" s="306">
        <v>0</v>
      </c>
      <c r="D26" s="292">
        <v>0</v>
      </c>
      <c r="E26" s="14">
        <f>+C26*D26</f>
        <v>0</v>
      </c>
      <c r="F26" s="26">
        <f>+E26*0.0725</f>
        <v>0</v>
      </c>
    </row>
    <row r="27" spans="1:10" x14ac:dyDescent="0.25">
      <c r="A27" s="184"/>
      <c r="B27" s="184" t="s">
        <v>606</v>
      </c>
      <c r="C27" s="306">
        <v>0</v>
      </c>
      <c r="D27" s="292">
        <v>0</v>
      </c>
      <c r="E27" s="14">
        <f>+C27*D27</f>
        <v>0</v>
      </c>
      <c r="F27" s="26">
        <f>+E27*0.0725</f>
        <v>0</v>
      </c>
    </row>
    <row r="28" spans="1:10" x14ac:dyDescent="0.25">
      <c r="A28" s="184"/>
      <c r="B28" s="184" t="s">
        <v>607</v>
      </c>
      <c r="C28" s="306">
        <v>0</v>
      </c>
      <c r="D28" s="292">
        <v>0</v>
      </c>
      <c r="E28" s="14">
        <f>+C28*D28</f>
        <v>0</v>
      </c>
      <c r="F28" s="26">
        <f>+E28*0.0725</f>
        <v>0</v>
      </c>
    </row>
    <row r="29" spans="1:10" x14ac:dyDescent="0.25">
      <c r="A29" s="29" t="s">
        <v>608</v>
      </c>
      <c r="B29" s="184"/>
      <c r="C29" s="306">
        <v>0</v>
      </c>
      <c r="D29" s="292">
        <v>4345</v>
      </c>
      <c r="E29" s="14">
        <f>+C29*D29</f>
        <v>0</v>
      </c>
      <c r="F29" s="26">
        <f>+E29*0.0725</f>
        <v>0</v>
      </c>
    </row>
    <row r="30" spans="1:10" x14ac:dyDescent="0.25">
      <c r="A30" s="184"/>
      <c r="B30" s="184"/>
      <c r="C30" s="306">
        <v>0</v>
      </c>
      <c r="D30" s="292">
        <v>0</v>
      </c>
      <c r="E30" s="14">
        <f>+C30*D30</f>
        <v>0</v>
      </c>
      <c r="F30" s="26">
        <f>+E30*0.0725</f>
        <v>0</v>
      </c>
    </row>
    <row r="31" spans="1:10" ht="15.75" thickBot="1" x14ac:dyDescent="0.3">
      <c r="E31" s="21"/>
      <c r="F31" s="21"/>
      <c r="G31" s="21"/>
    </row>
    <row r="32" spans="1:10" x14ac:dyDescent="0.25">
      <c r="G32" s="14">
        <f>+SUM(E26:E31)+SUM(F26:F31)</f>
        <v>0</v>
      </c>
    </row>
    <row r="34" spans="1:10" x14ac:dyDescent="0.25">
      <c r="A34" s="33" t="s">
        <v>609</v>
      </c>
    </row>
    <row r="35" spans="1:10" x14ac:dyDescent="0.25">
      <c r="A35" s="3" t="s">
        <v>359</v>
      </c>
      <c r="B35" s="3" t="s">
        <v>519</v>
      </c>
      <c r="C35" s="3" t="s">
        <v>461</v>
      </c>
      <c r="D35" s="8" t="s">
        <v>462</v>
      </c>
      <c r="E35" s="13" t="s">
        <v>463</v>
      </c>
      <c r="F35" s="13"/>
      <c r="G35" s="13" t="s">
        <v>464</v>
      </c>
    </row>
    <row r="36" spans="1:10" x14ac:dyDescent="0.25">
      <c r="A36" s="311" t="s">
        <v>610</v>
      </c>
      <c r="B36" s="311"/>
      <c r="C36" s="311">
        <v>0</v>
      </c>
      <c r="D36" s="312">
        <v>1100</v>
      </c>
      <c r="E36" s="14">
        <f t="shared" ref="E36:E41" si="2">+C36*D36</f>
        <v>0</v>
      </c>
      <c r="F36" s="26">
        <f t="shared" ref="F36:F41" si="3">+E36*0.0725</f>
        <v>0</v>
      </c>
      <c r="G36" s="13"/>
    </row>
    <row r="37" spans="1:10" x14ac:dyDescent="0.25">
      <c r="A37" s="184" t="s">
        <v>611</v>
      </c>
      <c r="B37" s="184">
        <v>400390</v>
      </c>
      <c r="C37" s="306">
        <v>0</v>
      </c>
      <c r="D37" s="292">
        <v>2.0499999999999998</v>
      </c>
      <c r="E37" s="14">
        <f t="shared" si="2"/>
        <v>0</v>
      </c>
      <c r="F37" s="26">
        <f t="shared" si="3"/>
        <v>0</v>
      </c>
    </row>
    <row r="38" spans="1:10" x14ac:dyDescent="0.25">
      <c r="A38" s="184" t="s">
        <v>612</v>
      </c>
      <c r="B38" s="184">
        <v>376787</v>
      </c>
      <c r="C38" s="306">
        <v>0</v>
      </c>
      <c r="D38" s="292">
        <v>4.9800000000000004</v>
      </c>
      <c r="E38" s="14">
        <f t="shared" si="2"/>
        <v>0</v>
      </c>
      <c r="F38" s="26">
        <f t="shared" si="3"/>
        <v>0</v>
      </c>
    </row>
    <row r="39" spans="1:10" x14ac:dyDescent="0.25">
      <c r="A39" s="184" t="s">
        <v>162</v>
      </c>
      <c r="B39" s="184" t="s">
        <v>162</v>
      </c>
      <c r="C39" s="306">
        <v>0</v>
      </c>
      <c r="D39" s="292">
        <v>0</v>
      </c>
      <c r="E39" s="14">
        <f t="shared" si="2"/>
        <v>0</v>
      </c>
      <c r="F39" s="26">
        <f t="shared" si="3"/>
        <v>0</v>
      </c>
    </row>
    <row r="40" spans="1:10" x14ac:dyDescent="0.25">
      <c r="A40" s="184" t="s">
        <v>613</v>
      </c>
      <c r="B40" s="184">
        <v>2280072</v>
      </c>
      <c r="C40" s="306">
        <v>0</v>
      </c>
      <c r="D40" s="292">
        <v>18.97</v>
      </c>
      <c r="E40" s="14">
        <f t="shared" si="2"/>
        <v>0</v>
      </c>
      <c r="F40" s="26">
        <f t="shared" si="3"/>
        <v>0</v>
      </c>
    </row>
    <row r="41" spans="1:10" ht="15.75" thickBot="1" x14ac:dyDescent="0.3">
      <c r="A41" s="184" t="s">
        <v>614</v>
      </c>
      <c r="B41" s="184">
        <v>1000707539</v>
      </c>
      <c r="C41" s="306">
        <v>0</v>
      </c>
      <c r="D41" s="292">
        <v>1.98</v>
      </c>
      <c r="E41" s="21">
        <f t="shared" si="2"/>
        <v>0</v>
      </c>
      <c r="F41" s="21">
        <f t="shared" si="3"/>
        <v>0</v>
      </c>
      <c r="G41" s="21"/>
    </row>
    <row r="42" spans="1:10" x14ac:dyDescent="0.25">
      <c r="G42" s="14">
        <f>+SUM(E36:E41)+SUM(F36:F41)</f>
        <v>0</v>
      </c>
    </row>
    <row r="43" spans="1:10" ht="15.75" thickBot="1" x14ac:dyDescent="0.3">
      <c r="H43" s="21"/>
      <c r="J43" s="3" t="s">
        <v>517</v>
      </c>
    </row>
    <row r="44" spans="1:10" x14ac:dyDescent="0.25">
      <c r="H44" s="14">
        <f>IF(Profit!O2="yes",+SUM(G23:G42),J44)</f>
        <v>0</v>
      </c>
      <c r="J44" s="14">
        <v>0</v>
      </c>
    </row>
  </sheetData>
  <printOptions headings="1" gridLine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N33"/>
  <sheetViews>
    <sheetView topLeftCell="A10" workbookViewId="0">
      <selection activeCell="K31" sqref="K31"/>
    </sheetView>
  </sheetViews>
  <sheetFormatPr defaultRowHeight="15" x14ac:dyDescent="0.25"/>
  <cols>
    <col min="1" max="1" width="45.28515625" style="2" customWidth="1"/>
    <col min="2" max="2" width="6.28515625" style="2" customWidth="1"/>
    <col min="3" max="3" width="21.5703125" style="2" bestFit="1" customWidth="1"/>
    <col min="4" max="4" width="6.5703125" style="2" customWidth="1"/>
    <col min="5" max="5" width="5.28515625" style="2" bestFit="1" customWidth="1"/>
    <col min="6" max="6" width="9.5703125" bestFit="1" customWidth="1"/>
    <col min="7" max="7" width="9.7109375" style="5" customWidth="1"/>
    <col min="8" max="8" width="9.140625" style="5" customWidth="1"/>
    <col min="9" max="9" width="9.140625" style="1"/>
    <col min="10" max="10" width="12.7109375" bestFit="1" customWidth="1"/>
  </cols>
  <sheetData>
    <row r="1" spans="1:12" x14ac:dyDescent="0.25">
      <c r="A1" s="33" t="s">
        <v>266</v>
      </c>
      <c r="B1" s="33"/>
      <c r="D1" s="494" t="s">
        <v>615</v>
      </c>
      <c r="J1" s="3"/>
    </row>
    <row r="2" spans="1:12" s="3" customFormat="1" x14ac:dyDescent="0.25">
      <c r="A2" s="3" t="s">
        <v>359</v>
      </c>
      <c r="B2" s="3" t="s">
        <v>616</v>
      </c>
      <c r="C2" s="3" t="s">
        <v>379</v>
      </c>
      <c r="D2" s="494"/>
      <c r="E2" s="3" t="s">
        <v>241</v>
      </c>
      <c r="F2" s="8" t="s">
        <v>462</v>
      </c>
      <c r="G2" s="6" t="s">
        <v>463</v>
      </c>
      <c r="H2" s="13" t="s">
        <v>448</v>
      </c>
      <c r="I2" s="3" t="s">
        <v>464</v>
      </c>
      <c r="J2"/>
    </row>
    <row r="3" spans="1:12" s="3" customFormat="1" x14ac:dyDescent="0.25">
      <c r="A3" s="33" t="s">
        <v>617</v>
      </c>
      <c r="B3" s="228">
        <f>+Profit!K8</f>
        <v>1200</v>
      </c>
      <c r="F3" s="8"/>
      <c r="G3" s="6"/>
      <c r="H3" s="26">
        <f t="shared" ref="H3:H16" si="0">+G3*0.0725</f>
        <v>0</v>
      </c>
    </row>
    <row r="4" spans="1:12" x14ac:dyDescent="0.25">
      <c r="A4" s="184" t="s">
        <v>618</v>
      </c>
      <c r="C4" s="184" t="s">
        <v>619</v>
      </c>
      <c r="D4" s="2">
        <f>20/2526</f>
        <v>7.91765637371338E-3</v>
      </c>
      <c r="E4" s="306">
        <v>0</v>
      </c>
      <c r="F4" s="292">
        <v>68.540000000000006</v>
      </c>
      <c r="G4" s="1">
        <f>IF(E4&lt;&gt;"",+E4*F4,F4*D4*$B$3)</f>
        <v>0</v>
      </c>
      <c r="H4" s="26">
        <f t="shared" si="0"/>
        <v>0</v>
      </c>
      <c r="I4"/>
      <c r="L4" s="5"/>
    </row>
    <row r="5" spans="1:12" x14ac:dyDescent="0.25">
      <c r="A5" s="184" t="s">
        <v>618</v>
      </c>
      <c r="C5" s="184" t="s">
        <v>620</v>
      </c>
      <c r="E5" s="306">
        <v>0</v>
      </c>
      <c r="F5" s="292">
        <v>85.89</v>
      </c>
      <c r="G5" s="1">
        <f t="shared" ref="G5:G16" si="1">IF(E5&lt;&gt;"",+E5*F5,F5*D5*$B$3)</f>
        <v>0</v>
      </c>
      <c r="H5" s="26">
        <f t="shared" si="0"/>
        <v>0</v>
      </c>
      <c r="I5"/>
    </row>
    <row r="6" spans="1:12" x14ac:dyDescent="0.25">
      <c r="A6" s="184" t="s">
        <v>621</v>
      </c>
      <c r="C6" s="184" t="s">
        <v>622</v>
      </c>
      <c r="E6" s="306">
        <v>0</v>
      </c>
      <c r="F6" s="292">
        <v>85.89</v>
      </c>
      <c r="G6" s="1">
        <f t="shared" ref="G6" si="2">IF(E6&lt;&gt;"",+E6*F6,F6*D6*$B$3)</f>
        <v>0</v>
      </c>
      <c r="H6" s="26">
        <f t="shared" ref="H6" si="3">+G6*0.0725</f>
        <v>0</v>
      </c>
      <c r="I6"/>
    </row>
    <row r="7" spans="1:12" x14ac:dyDescent="0.25">
      <c r="A7" s="184" t="s">
        <v>623</v>
      </c>
      <c r="C7" s="184" t="s">
        <v>624</v>
      </c>
      <c r="E7" s="306">
        <v>0</v>
      </c>
      <c r="F7" s="292">
        <v>65.64</v>
      </c>
      <c r="G7" s="1">
        <f t="shared" ref="G7" si="4">IF(E7&lt;&gt;"",+E7*F7,F7*D7*$B$3)</f>
        <v>0</v>
      </c>
      <c r="H7" s="26">
        <f t="shared" ref="H7" si="5">+G7*0.0725</f>
        <v>0</v>
      </c>
      <c r="I7"/>
    </row>
    <row r="8" spans="1:12" x14ac:dyDescent="0.25">
      <c r="A8" s="184" t="s">
        <v>625</v>
      </c>
      <c r="C8" s="184">
        <v>185342</v>
      </c>
      <c r="D8" s="2">
        <f>10/2526</f>
        <v>3.95882818685669E-3</v>
      </c>
      <c r="E8" s="306">
        <v>0</v>
      </c>
      <c r="F8" s="306">
        <f>147/5</f>
        <v>29.4</v>
      </c>
      <c r="G8" s="1">
        <f t="shared" si="1"/>
        <v>0</v>
      </c>
      <c r="H8" s="26">
        <f t="shared" si="0"/>
        <v>0</v>
      </c>
      <c r="I8"/>
    </row>
    <row r="9" spans="1:12" x14ac:dyDescent="0.25">
      <c r="A9" s="184" t="s">
        <v>626</v>
      </c>
      <c r="C9" s="184" t="s">
        <v>627</v>
      </c>
      <c r="E9" s="306">
        <v>0</v>
      </c>
      <c r="F9" s="292">
        <v>33.49</v>
      </c>
      <c r="G9" s="1">
        <f t="shared" si="1"/>
        <v>0</v>
      </c>
      <c r="H9" s="26">
        <f t="shared" si="0"/>
        <v>0</v>
      </c>
      <c r="I9"/>
    </row>
    <row r="10" spans="1:12" x14ac:dyDescent="0.25">
      <c r="A10" s="184" t="s">
        <v>628</v>
      </c>
      <c r="C10" s="184">
        <v>389832</v>
      </c>
      <c r="E10" s="306">
        <v>0</v>
      </c>
      <c r="F10" s="292">
        <v>39.979999999999997</v>
      </c>
      <c r="G10" s="1">
        <f t="shared" si="1"/>
        <v>0</v>
      </c>
      <c r="H10" s="26">
        <f t="shared" si="0"/>
        <v>0</v>
      </c>
      <c r="I10"/>
    </row>
    <row r="11" spans="1:12" x14ac:dyDescent="0.25">
      <c r="A11" s="184" t="s">
        <v>629</v>
      </c>
      <c r="C11" s="184">
        <v>985007</v>
      </c>
      <c r="D11" s="2">
        <f>3/2526</f>
        <v>1.1876484560570072E-3</v>
      </c>
      <c r="E11" s="306">
        <v>0</v>
      </c>
      <c r="F11" s="292">
        <v>52.23</v>
      </c>
      <c r="G11" s="1">
        <f t="shared" si="1"/>
        <v>0</v>
      </c>
      <c r="H11" s="26">
        <f t="shared" si="0"/>
        <v>0</v>
      </c>
      <c r="I11"/>
    </row>
    <row r="12" spans="1:12" x14ac:dyDescent="0.25">
      <c r="A12" s="184" t="s">
        <v>630</v>
      </c>
      <c r="C12" s="184">
        <v>814917</v>
      </c>
      <c r="D12" s="2">
        <f>15/2526</f>
        <v>5.9382422802850355E-3</v>
      </c>
      <c r="E12" s="306">
        <v>0</v>
      </c>
      <c r="F12" s="292">
        <f>109/5</f>
        <v>21.8</v>
      </c>
      <c r="G12" s="1">
        <f t="shared" si="1"/>
        <v>0</v>
      </c>
      <c r="H12" s="26">
        <f t="shared" si="0"/>
        <v>0</v>
      </c>
      <c r="I12"/>
    </row>
    <row r="13" spans="1:12" x14ac:dyDescent="0.25">
      <c r="A13" s="184" t="s">
        <v>631</v>
      </c>
      <c r="C13" s="184" t="s">
        <v>632</v>
      </c>
      <c r="E13" s="306">
        <v>0</v>
      </c>
      <c r="F13" s="292">
        <v>40</v>
      </c>
      <c r="G13" s="1">
        <f t="shared" si="1"/>
        <v>0</v>
      </c>
      <c r="H13" s="26">
        <f t="shared" si="0"/>
        <v>0</v>
      </c>
      <c r="I13"/>
    </row>
    <row r="14" spans="1:12" x14ac:dyDescent="0.25">
      <c r="A14" s="2" t="s">
        <v>633</v>
      </c>
      <c r="C14" s="184" t="s">
        <v>634</v>
      </c>
      <c r="E14" s="306">
        <v>0</v>
      </c>
      <c r="F14" s="292">
        <v>50.24</v>
      </c>
      <c r="G14" s="1">
        <f t="shared" si="1"/>
        <v>0</v>
      </c>
      <c r="H14" s="26">
        <f t="shared" si="0"/>
        <v>0</v>
      </c>
    </row>
    <row r="15" spans="1:12" x14ac:dyDescent="0.25">
      <c r="A15" s="33" t="s">
        <v>635</v>
      </c>
      <c r="B15" s="185">
        <v>0</v>
      </c>
      <c r="E15"/>
      <c r="F15" s="5"/>
      <c r="G15" s="1"/>
      <c r="H15" s="1"/>
      <c r="I15"/>
    </row>
    <row r="16" spans="1:12" x14ac:dyDescent="0.25">
      <c r="A16" s="2" t="s">
        <v>636</v>
      </c>
      <c r="E16"/>
      <c r="F16" s="5"/>
      <c r="G16" s="1">
        <f t="shared" si="1"/>
        <v>0</v>
      </c>
      <c r="H16" s="26">
        <f t="shared" si="0"/>
        <v>0</v>
      </c>
      <c r="I16"/>
    </row>
    <row r="17" spans="1:14" x14ac:dyDescent="0.25">
      <c r="B17" s="228">
        <f>+B3</f>
        <v>1200</v>
      </c>
      <c r="E17"/>
      <c r="F17" s="5"/>
      <c r="G17" s="1"/>
      <c r="H17" s="1"/>
      <c r="I17"/>
    </row>
    <row r="18" spans="1:14" x14ac:dyDescent="0.25">
      <c r="A18" s="33" t="s">
        <v>637</v>
      </c>
      <c r="B18" s="185">
        <v>0</v>
      </c>
      <c r="E18"/>
      <c r="F18" s="5"/>
      <c r="G18" s="1"/>
      <c r="H18" s="1"/>
      <c r="I18"/>
    </row>
    <row r="19" spans="1:14" x14ac:dyDescent="0.25">
      <c r="A19" s="184" t="s">
        <v>638</v>
      </c>
      <c r="C19" s="184" t="s">
        <v>639</v>
      </c>
      <c r="E19" s="306">
        <v>0</v>
      </c>
      <c r="F19" s="292">
        <v>93</v>
      </c>
      <c r="G19" s="1">
        <f>IF(E19&lt;&gt;"",+E19*F19,F19*D19*$B$3)</f>
        <v>0</v>
      </c>
      <c r="H19" s="26">
        <f t="shared" ref="H19:H24" si="6">+G19*0.0725</f>
        <v>0</v>
      </c>
      <c r="I19"/>
    </row>
    <row r="20" spans="1:14" x14ac:dyDescent="0.25">
      <c r="A20" s="33" t="s">
        <v>640</v>
      </c>
      <c r="B20" s="185">
        <v>500</v>
      </c>
      <c r="E20" s="306"/>
      <c r="F20" s="292"/>
      <c r="G20" s="1">
        <f>+E20*F20</f>
        <v>0</v>
      </c>
      <c r="H20" s="26">
        <f t="shared" si="6"/>
        <v>0</v>
      </c>
      <c r="I20"/>
    </row>
    <row r="21" spans="1:14" x14ac:dyDescent="0.25">
      <c r="A21" s="184" t="s">
        <v>641</v>
      </c>
      <c r="C21" s="184" t="s">
        <v>642</v>
      </c>
      <c r="E21" s="306">
        <v>0</v>
      </c>
      <c r="F21" s="292">
        <v>47.98</v>
      </c>
      <c r="G21" s="1">
        <f>IF(E21&lt;&gt;"",+E21*F21,F21*D21*$B$3)</f>
        <v>0</v>
      </c>
      <c r="H21" s="26">
        <f t="shared" si="6"/>
        <v>0</v>
      </c>
      <c r="I21"/>
    </row>
    <row r="22" spans="1:14" x14ac:dyDescent="0.25">
      <c r="A22" s="2" t="s">
        <v>643</v>
      </c>
      <c r="C22" s="184" t="s">
        <v>644</v>
      </c>
      <c r="E22" s="306">
        <v>0</v>
      </c>
      <c r="F22" s="292">
        <v>48.98</v>
      </c>
      <c r="G22" s="1">
        <f>IF(E22&lt;&gt;"",+E22*F22,F22*D22*$B$3)</f>
        <v>0</v>
      </c>
      <c r="H22" s="26">
        <f t="shared" si="6"/>
        <v>0</v>
      </c>
      <c r="I22"/>
      <c r="J22" s="2"/>
    </row>
    <row r="23" spans="1:14" x14ac:dyDescent="0.25">
      <c r="E23" s="306">
        <v>0</v>
      </c>
      <c r="F23" s="292"/>
      <c r="G23" s="1">
        <f>IF(E23&lt;&gt;"",+E23*F23,F23*D23*$B$3)</f>
        <v>0</v>
      </c>
      <c r="H23" s="26">
        <f t="shared" si="6"/>
        <v>0</v>
      </c>
      <c r="J23" s="2"/>
    </row>
    <row r="24" spans="1:14" ht="15.75" thickBot="1" x14ac:dyDescent="0.3">
      <c r="E24"/>
      <c r="F24" s="5"/>
      <c r="G24" s="30">
        <f>IF(E24&lt;&gt;"",+E24*F24,F24*D24*$B$3)</f>
        <v>0</v>
      </c>
      <c r="H24" s="310">
        <f t="shared" si="6"/>
        <v>0</v>
      </c>
      <c r="I24" s="30"/>
    </row>
    <row r="25" spans="1:14" x14ac:dyDescent="0.25">
      <c r="E25"/>
      <c r="F25" s="5"/>
      <c r="G25" s="1"/>
      <c r="H25" s="1"/>
      <c r="N25" s="2"/>
    </row>
    <row r="26" spans="1:14" x14ac:dyDescent="0.25">
      <c r="E26" s="593" t="s">
        <v>645</v>
      </c>
      <c r="F26" s="592"/>
      <c r="G26" s="592"/>
      <c r="H26" s="31"/>
      <c r="I26" s="1">
        <f>SUM(G4:G24)+SUM(H4:H24)</f>
        <v>0</v>
      </c>
    </row>
    <row r="27" spans="1:14" x14ac:dyDescent="0.25">
      <c r="A27" s="2" t="s">
        <v>646</v>
      </c>
      <c r="E27"/>
      <c r="F27" s="5"/>
      <c r="G27" s="1">
        <v>0</v>
      </c>
      <c r="H27" s="1"/>
      <c r="I27">
        <v>0</v>
      </c>
    </row>
    <row r="28" spans="1:14" x14ac:dyDescent="0.25">
      <c r="A28" s="184" t="s">
        <v>647</v>
      </c>
      <c r="B28" s="228">
        <f>+$B$3</f>
        <v>1200</v>
      </c>
      <c r="C28" s="184" t="s">
        <v>648</v>
      </c>
      <c r="E28" s="309" t="s">
        <v>109</v>
      </c>
      <c r="F28" s="292">
        <v>2.41</v>
      </c>
      <c r="G28" s="1">
        <f>IF(E28="yes",F28*B28,0)</f>
        <v>0</v>
      </c>
      <c r="H28" s="1"/>
      <c r="I28"/>
    </row>
    <row r="29" spans="1:14" x14ac:dyDescent="0.25">
      <c r="A29" s="184" t="s">
        <v>646</v>
      </c>
      <c r="B29" s="228">
        <f>+$B$3</f>
        <v>1200</v>
      </c>
      <c r="C29" s="184" t="s">
        <v>649</v>
      </c>
      <c r="E29" s="306" t="s">
        <v>14</v>
      </c>
      <c r="F29" s="292">
        <v>3.37</v>
      </c>
      <c r="G29" s="1">
        <f>IF(E29="yes",F29*B29,0)</f>
        <v>0</v>
      </c>
      <c r="H29" s="1"/>
      <c r="I29"/>
    </row>
    <row r="30" spans="1:14" ht="15.75" thickBot="1" x14ac:dyDescent="0.3">
      <c r="A30" s="184" t="s">
        <v>646</v>
      </c>
      <c r="B30" s="228">
        <f>+$B$3</f>
        <v>1200</v>
      </c>
      <c r="C30" s="184" t="s">
        <v>650</v>
      </c>
      <c r="E30" s="306" t="s">
        <v>14</v>
      </c>
      <c r="F30" s="292">
        <v>1</v>
      </c>
      <c r="G30" s="1">
        <f>IF(E30="yes",F30*B30,0)</f>
        <v>0</v>
      </c>
      <c r="H30" s="1"/>
      <c r="I30" s="23"/>
      <c r="K30" s="3" t="s">
        <v>517</v>
      </c>
    </row>
    <row r="31" spans="1:14" x14ac:dyDescent="0.25">
      <c r="E31"/>
      <c r="F31" s="5"/>
      <c r="G31" s="1"/>
      <c r="H31" s="1"/>
      <c r="I31" s="1">
        <f>IF(Profit!O2="yes",+SUM(G28:G30)+I26,K31)</f>
        <v>0</v>
      </c>
      <c r="K31" s="1" t="s">
        <v>162</v>
      </c>
    </row>
    <row r="32" spans="1:14" x14ac:dyDescent="0.25">
      <c r="E32"/>
      <c r="F32" s="5"/>
    </row>
    <row r="33" spans="5:6" x14ac:dyDescent="0.25">
      <c r="E33"/>
      <c r="F33" s="5"/>
    </row>
  </sheetData>
  <mergeCells count="2">
    <mergeCell ref="E26:G26"/>
    <mergeCell ref="D1:D2"/>
  </mergeCells>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J21"/>
  <sheetViews>
    <sheetView workbookViewId="0">
      <selection activeCell="Q18" sqref="Q18"/>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 min="9" max="9" width="12.7109375" bestFit="1" customWidth="1"/>
  </cols>
  <sheetData>
    <row r="1" spans="1:10" x14ac:dyDescent="0.25">
      <c r="A1" s="33" t="s">
        <v>651</v>
      </c>
      <c r="B1" s="33"/>
      <c r="I1" s="3"/>
    </row>
    <row r="2" spans="1:10" s="3" customFormat="1" x14ac:dyDescent="0.25">
      <c r="A2" s="3" t="s">
        <v>359</v>
      </c>
      <c r="B2" s="3" t="s">
        <v>616</v>
      </c>
      <c r="C2" s="3" t="s">
        <v>379</v>
      </c>
      <c r="D2" s="3" t="s">
        <v>241</v>
      </c>
      <c r="E2" s="8" t="s">
        <v>462</v>
      </c>
      <c r="F2" s="6" t="s">
        <v>463</v>
      </c>
      <c r="G2" s="3" t="s">
        <v>464</v>
      </c>
      <c r="I2"/>
    </row>
    <row r="3" spans="1:10" x14ac:dyDescent="0.25">
      <c r="B3" s="228">
        <f>+Profit!K8</f>
        <v>1200</v>
      </c>
      <c r="D3"/>
      <c r="E3" s="5"/>
      <c r="F3" s="1"/>
      <c r="G3"/>
      <c r="I3" s="3"/>
    </row>
    <row r="4" spans="1:10" x14ac:dyDescent="0.25">
      <c r="A4" s="184" t="s">
        <v>652</v>
      </c>
      <c r="B4" s="245">
        <f>+B3/2</f>
        <v>600</v>
      </c>
      <c r="C4" s="184" t="s">
        <v>648</v>
      </c>
      <c r="D4" t="s">
        <v>109</v>
      </c>
      <c r="E4" s="5">
        <f>8146/2526</f>
        <v>3.2248614410134602</v>
      </c>
      <c r="F4" s="1">
        <f>IF(D4="yes",E4*B4,0)</f>
        <v>0</v>
      </c>
      <c r="G4"/>
      <c r="H4" s="296" t="s">
        <v>653</v>
      </c>
    </row>
    <row r="5" spans="1:10" x14ac:dyDescent="0.25">
      <c r="A5" s="184" t="s">
        <v>654</v>
      </c>
      <c r="B5" s="245">
        <f>+B3/2</f>
        <v>600</v>
      </c>
      <c r="C5" s="184"/>
      <c r="D5" t="s">
        <v>109</v>
      </c>
      <c r="E5" s="5">
        <v>2.69</v>
      </c>
      <c r="F5" s="1">
        <f>IF(D5="yes",E5*B5,0)</f>
        <v>0</v>
      </c>
      <c r="G5"/>
    </row>
    <row r="6" spans="1:10" ht="15.75" thickBot="1" x14ac:dyDescent="0.3">
      <c r="A6" s="184" t="s">
        <v>655</v>
      </c>
      <c r="B6" s="245">
        <f>+B3</f>
        <v>1200</v>
      </c>
      <c r="C6" s="184"/>
      <c r="D6" t="s">
        <v>14</v>
      </c>
      <c r="E6" s="5">
        <v>1</v>
      </c>
      <c r="F6" s="1">
        <f>IF(D6="yes",E6*B6,0)</f>
        <v>0</v>
      </c>
      <c r="G6" s="23"/>
      <c r="J6" s="3" t="s">
        <v>517</v>
      </c>
    </row>
    <row r="7" spans="1:10" x14ac:dyDescent="0.25">
      <c r="D7"/>
      <c r="E7" s="5"/>
      <c r="F7" s="1"/>
      <c r="I7" s="2" t="s">
        <v>270</v>
      </c>
      <c r="J7">
        <v>0</v>
      </c>
    </row>
    <row r="8" spans="1:10" x14ac:dyDescent="0.25">
      <c r="A8" s="2" t="s">
        <v>656</v>
      </c>
      <c r="D8"/>
      <c r="F8" s="5">
        <v>0</v>
      </c>
      <c r="I8" s="2" t="s">
        <v>657</v>
      </c>
      <c r="J8">
        <v>0</v>
      </c>
    </row>
    <row r="9" spans="1:10" x14ac:dyDescent="0.25">
      <c r="A9" s="2" t="s">
        <v>162</v>
      </c>
      <c r="D9" t="s">
        <v>162</v>
      </c>
      <c r="E9" s="5" t="s">
        <v>162</v>
      </c>
      <c r="I9" s="2"/>
    </row>
    <row r="10" spans="1:10" x14ac:dyDescent="0.25">
      <c r="G10" s="1">
        <f>IF(Profit!O2="yes",SUM(F4:F8),J10)</f>
        <v>0</v>
      </c>
      <c r="I10" s="2" t="s">
        <v>464</v>
      </c>
      <c r="J10" s="1">
        <f>SUM(J7:J9)</f>
        <v>0</v>
      </c>
    </row>
    <row r="21" spans="9:9" x14ac:dyDescent="0.25">
      <c r="I21" s="2"/>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D4" sqref="D4"/>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251</v>
      </c>
    </row>
    <row r="3" spans="1:14" s="22" customFormat="1" x14ac:dyDescent="0.25">
      <c r="A3" s="3" t="s">
        <v>359</v>
      </c>
      <c r="B3" s="3" t="s">
        <v>658</v>
      </c>
      <c r="C3" s="3" t="s">
        <v>461</v>
      </c>
      <c r="D3" s="8" t="s">
        <v>462</v>
      </c>
      <c r="E3" s="16" t="s">
        <v>505</v>
      </c>
      <c r="F3" s="3" t="s">
        <v>464</v>
      </c>
      <c r="H3" s="3"/>
      <c r="I3" s="3"/>
    </row>
    <row r="4" spans="1:14" x14ac:dyDescent="0.25">
      <c r="A4" t="s">
        <v>659</v>
      </c>
      <c r="B4" s="2" t="s">
        <v>660</v>
      </c>
      <c r="C4" s="11">
        <v>0</v>
      </c>
      <c r="D4" s="5">
        <v>7000</v>
      </c>
      <c r="E4" s="26">
        <f>+C4*D4</f>
        <v>0</v>
      </c>
    </row>
    <row r="5" spans="1:14" x14ac:dyDescent="0.25">
      <c r="A5" t="s">
        <v>661</v>
      </c>
      <c r="B5" s="2" t="s">
        <v>662</v>
      </c>
      <c r="C5" s="11">
        <v>0</v>
      </c>
      <c r="D5" s="5">
        <v>8.98</v>
      </c>
      <c r="E5" s="26">
        <f>+C5*D5</f>
        <v>0</v>
      </c>
    </row>
    <row r="6" spans="1:14" x14ac:dyDescent="0.25">
      <c r="A6" t="s">
        <v>661</v>
      </c>
      <c r="B6" s="2" t="s">
        <v>663</v>
      </c>
      <c r="C6" s="11">
        <v>0</v>
      </c>
      <c r="D6" s="5">
        <v>7.98</v>
      </c>
      <c r="E6" s="26">
        <f t="shared" ref="E6:E11" si="0">+C6*D6</f>
        <v>0</v>
      </c>
    </row>
    <row r="7" spans="1:14" x14ac:dyDescent="0.25">
      <c r="A7" t="s">
        <v>664</v>
      </c>
      <c r="B7" s="2" t="s">
        <v>665</v>
      </c>
      <c r="C7" s="11">
        <v>0</v>
      </c>
      <c r="D7" s="5">
        <v>44.93</v>
      </c>
      <c r="E7" s="26">
        <f t="shared" si="0"/>
        <v>0</v>
      </c>
    </row>
    <row r="8" spans="1:14" x14ac:dyDescent="0.25">
      <c r="A8" t="s">
        <v>666</v>
      </c>
      <c r="B8" s="2" t="s">
        <v>667</v>
      </c>
      <c r="C8" s="11">
        <v>0</v>
      </c>
      <c r="D8" s="5">
        <v>4.47</v>
      </c>
      <c r="E8" s="26">
        <f t="shared" si="0"/>
        <v>0</v>
      </c>
    </row>
    <row r="9" spans="1:14" x14ac:dyDescent="0.25">
      <c r="A9" t="s">
        <v>666</v>
      </c>
      <c r="B9" s="2" t="s">
        <v>668</v>
      </c>
      <c r="C9" s="11">
        <v>0</v>
      </c>
      <c r="D9" s="5">
        <v>4.97</v>
      </c>
      <c r="E9" s="26">
        <f t="shared" si="0"/>
        <v>0</v>
      </c>
      <c r="I9" s="33"/>
      <c r="J9" s="2"/>
      <c r="L9" s="5"/>
      <c r="M9" s="26"/>
    </row>
    <row r="10" spans="1:14" x14ac:dyDescent="0.25">
      <c r="A10" t="s">
        <v>669</v>
      </c>
      <c r="B10" s="2" t="s">
        <v>670</v>
      </c>
      <c r="C10" s="11">
        <v>0</v>
      </c>
      <c r="D10" s="5">
        <v>23</v>
      </c>
      <c r="E10" s="26">
        <f t="shared" si="0"/>
        <v>0</v>
      </c>
      <c r="I10" s="3"/>
      <c r="J10" s="3"/>
      <c r="K10" s="3"/>
      <c r="L10" s="8"/>
      <c r="M10" s="16"/>
      <c r="N10" s="3"/>
    </row>
    <row r="11" spans="1:14" x14ac:dyDescent="0.25">
      <c r="A11"/>
      <c r="C11" s="11"/>
      <c r="E11" s="26">
        <f t="shared" si="0"/>
        <v>0</v>
      </c>
      <c r="J11" s="2"/>
      <c r="K11" s="11"/>
      <c r="L11" s="5"/>
      <c r="M11" s="26"/>
    </row>
    <row r="12" spans="1:14" ht="15.75" thickBot="1" x14ac:dyDescent="0.3">
      <c r="A12" s="2" t="s">
        <v>671</v>
      </c>
      <c r="C12">
        <v>0</v>
      </c>
      <c r="D12" s="5">
        <v>11504</v>
      </c>
      <c r="E12" s="30">
        <f>+C12*D12</f>
        <v>0</v>
      </c>
      <c r="F12" s="30"/>
      <c r="J12" s="2"/>
      <c r="K12" s="11"/>
      <c r="L12" s="5"/>
      <c r="M12" s="26"/>
    </row>
    <row r="13" spans="1:14" x14ac:dyDescent="0.25">
      <c r="C13" s="593"/>
      <c r="D13" s="592"/>
      <c r="E13" s="592"/>
      <c r="F13" s="4">
        <f>+SUM(E4:E12)</f>
        <v>0</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593"/>
      <c r="L20" s="592"/>
      <c r="M20" s="592"/>
      <c r="N20" s="4"/>
    </row>
  </sheetData>
  <mergeCells count="2">
    <mergeCell ref="C13:E13"/>
    <mergeCell ref="K20:M20"/>
  </mergeCells>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34"/>
  <sheetViews>
    <sheetView workbookViewId="0">
      <selection activeCell="O26" sqref="O26"/>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672</v>
      </c>
      <c r="B1" s="3"/>
    </row>
    <row r="2" spans="1:6" x14ac:dyDescent="0.25">
      <c r="C2" s="3"/>
      <c r="D2" s="8"/>
      <c r="E2" s="13"/>
      <c r="F2" s="13"/>
    </row>
    <row r="3" spans="1:6" x14ac:dyDescent="0.25">
      <c r="A3" s="3" t="s">
        <v>359</v>
      </c>
      <c r="B3" s="3" t="s">
        <v>519</v>
      </c>
      <c r="C3" s="3" t="s">
        <v>461</v>
      </c>
      <c r="D3" s="8" t="s">
        <v>462</v>
      </c>
      <c r="E3" s="13" t="s">
        <v>463</v>
      </c>
      <c r="F3" s="13" t="s">
        <v>464</v>
      </c>
    </row>
    <row r="4" spans="1:6" x14ac:dyDescent="0.25">
      <c r="A4" s="3"/>
      <c r="B4" s="3"/>
      <c r="C4" s="31"/>
      <c r="D4" s="8"/>
      <c r="E4" s="14">
        <f>+C4*D4</f>
        <v>0</v>
      </c>
      <c r="F4" s="13"/>
    </row>
    <row r="5" spans="1:6" x14ac:dyDescent="0.25">
      <c r="A5" s="31" t="s">
        <v>673</v>
      </c>
      <c r="B5" s="31">
        <v>2599776</v>
      </c>
      <c r="C5">
        <v>0</v>
      </c>
      <c r="D5" s="5">
        <v>124.98</v>
      </c>
      <c r="E5" s="14">
        <f>+C5*D5</f>
        <v>0</v>
      </c>
    </row>
    <row r="6" spans="1:6" x14ac:dyDescent="0.25">
      <c r="A6" s="31" t="s">
        <v>674</v>
      </c>
      <c r="B6" s="31">
        <v>807421</v>
      </c>
      <c r="C6">
        <v>0</v>
      </c>
      <c r="D6" s="5">
        <v>112.48</v>
      </c>
      <c r="E6" s="14">
        <f>+C6*D6</f>
        <v>0</v>
      </c>
    </row>
    <row r="7" spans="1:6" x14ac:dyDescent="0.25">
      <c r="A7" s="31" t="s">
        <v>675</v>
      </c>
      <c r="B7" s="31">
        <v>321702</v>
      </c>
      <c r="C7">
        <v>0</v>
      </c>
      <c r="D7" s="5">
        <v>89.98</v>
      </c>
      <c r="E7" s="14">
        <f>+C7*D7</f>
        <v>0</v>
      </c>
    </row>
    <row r="8" spans="1:6" x14ac:dyDescent="0.25">
      <c r="A8" s="31" t="s">
        <v>676</v>
      </c>
      <c r="B8" s="31">
        <v>649829</v>
      </c>
      <c r="C8">
        <v>0</v>
      </c>
      <c r="D8" s="5">
        <v>129.97999999999999</v>
      </c>
      <c r="E8" s="14">
        <f>+C8*D8</f>
        <v>0</v>
      </c>
    </row>
    <row r="9" spans="1:6" x14ac:dyDescent="0.25">
      <c r="A9" s="31" t="s">
        <v>677</v>
      </c>
      <c r="B9" s="31">
        <v>2296055</v>
      </c>
      <c r="C9">
        <v>0</v>
      </c>
      <c r="D9" s="5">
        <v>179.98</v>
      </c>
      <c r="E9" s="14">
        <f t="shared" ref="E9:E26" si="0">+C9*D9</f>
        <v>0</v>
      </c>
    </row>
    <row r="10" spans="1:6" x14ac:dyDescent="0.25">
      <c r="A10" s="31" t="s">
        <v>678</v>
      </c>
      <c r="B10" s="31">
        <v>482287</v>
      </c>
      <c r="C10">
        <v>0</v>
      </c>
      <c r="D10" s="5">
        <v>62.98</v>
      </c>
      <c r="E10" s="14">
        <f t="shared" si="0"/>
        <v>0</v>
      </c>
    </row>
    <row r="11" spans="1:6" x14ac:dyDescent="0.25">
      <c r="A11" s="31" t="s">
        <v>679</v>
      </c>
      <c r="B11" s="31">
        <v>2535475</v>
      </c>
      <c r="C11">
        <v>0</v>
      </c>
      <c r="D11" s="5">
        <v>24.98</v>
      </c>
      <c r="E11" s="14">
        <f t="shared" si="0"/>
        <v>0</v>
      </c>
    </row>
    <row r="12" spans="1:6" x14ac:dyDescent="0.25">
      <c r="A12" s="31" t="s">
        <v>680</v>
      </c>
      <c r="B12" s="31" t="s">
        <v>681</v>
      </c>
      <c r="C12">
        <v>0</v>
      </c>
      <c r="D12" s="5">
        <v>10.9</v>
      </c>
      <c r="E12" s="14">
        <f t="shared" si="0"/>
        <v>0</v>
      </c>
    </row>
    <row r="13" spans="1:6" x14ac:dyDescent="0.25">
      <c r="A13" s="31" t="s">
        <v>682</v>
      </c>
      <c r="B13" s="31" t="s">
        <v>683</v>
      </c>
      <c r="C13">
        <v>0</v>
      </c>
      <c r="D13" s="5">
        <v>14.97</v>
      </c>
      <c r="E13" s="14">
        <f t="shared" si="0"/>
        <v>0</v>
      </c>
    </row>
    <row r="14" spans="1:6" x14ac:dyDescent="0.25">
      <c r="A14" s="31" t="s">
        <v>684</v>
      </c>
      <c r="B14" s="31" t="s">
        <v>685</v>
      </c>
      <c r="C14">
        <v>0</v>
      </c>
      <c r="D14" s="5">
        <v>19.97</v>
      </c>
      <c r="E14" s="14">
        <f t="shared" si="0"/>
        <v>0</v>
      </c>
    </row>
    <row r="15" spans="1:6" x14ac:dyDescent="0.25">
      <c r="A15" s="31" t="s">
        <v>686</v>
      </c>
      <c r="B15" s="31" t="s">
        <v>687</v>
      </c>
      <c r="C15">
        <v>0</v>
      </c>
      <c r="D15" s="5">
        <v>17.97</v>
      </c>
      <c r="E15" s="14">
        <f t="shared" si="0"/>
        <v>0</v>
      </c>
    </row>
    <row r="16" spans="1:6" x14ac:dyDescent="0.25">
      <c r="A16" s="31" t="s">
        <v>688</v>
      </c>
      <c r="B16" s="31" t="s">
        <v>689</v>
      </c>
      <c r="C16">
        <v>0</v>
      </c>
      <c r="D16" s="5">
        <v>16.98</v>
      </c>
      <c r="E16" s="14">
        <f t="shared" si="0"/>
        <v>0</v>
      </c>
    </row>
    <row r="17" spans="1:9" x14ac:dyDescent="0.25">
      <c r="A17" s="31" t="s">
        <v>690</v>
      </c>
      <c r="B17" s="31" t="s">
        <v>691</v>
      </c>
      <c r="C17">
        <v>0</v>
      </c>
      <c r="D17" s="5">
        <v>3.27</v>
      </c>
      <c r="E17" s="14">
        <f t="shared" si="0"/>
        <v>0</v>
      </c>
    </row>
    <row r="18" spans="1:9" x14ac:dyDescent="0.25">
      <c r="A18" s="31" t="s">
        <v>692</v>
      </c>
      <c r="B18" s="31" t="s">
        <v>693</v>
      </c>
      <c r="C18">
        <v>0</v>
      </c>
      <c r="D18" s="5">
        <v>39.979999999999997</v>
      </c>
      <c r="E18" s="14">
        <f t="shared" si="0"/>
        <v>0</v>
      </c>
    </row>
    <row r="19" spans="1:9" x14ac:dyDescent="0.25">
      <c r="A19" s="31" t="s">
        <v>694</v>
      </c>
      <c r="B19" s="31" t="s">
        <v>695</v>
      </c>
      <c r="C19">
        <v>0</v>
      </c>
      <c r="D19" s="5">
        <v>19.98</v>
      </c>
      <c r="E19" s="14">
        <f t="shared" si="0"/>
        <v>0</v>
      </c>
    </row>
    <row r="20" spans="1:9" x14ac:dyDescent="0.25">
      <c r="A20" s="31" t="s">
        <v>696</v>
      </c>
      <c r="B20" s="31" t="s">
        <v>697</v>
      </c>
      <c r="C20">
        <v>0</v>
      </c>
      <c r="D20" s="5">
        <v>13.98</v>
      </c>
      <c r="E20" s="14">
        <f t="shared" si="0"/>
        <v>0</v>
      </c>
    </row>
    <row r="21" spans="1:9" x14ac:dyDescent="0.25">
      <c r="A21" s="31" t="s">
        <v>698</v>
      </c>
      <c r="B21" s="31">
        <v>39800072986</v>
      </c>
      <c r="C21">
        <v>0</v>
      </c>
      <c r="D21" s="5">
        <v>17.87</v>
      </c>
      <c r="E21" s="14">
        <f t="shared" si="0"/>
        <v>0</v>
      </c>
    </row>
    <row r="22" spans="1:9" x14ac:dyDescent="0.25">
      <c r="A22" s="31" t="s">
        <v>699</v>
      </c>
      <c r="B22" s="329">
        <v>46335120372</v>
      </c>
      <c r="C22">
        <v>0</v>
      </c>
      <c r="D22" s="5">
        <v>99.97</v>
      </c>
      <c r="E22" s="14">
        <f t="shared" si="0"/>
        <v>0</v>
      </c>
    </row>
    <row r="23" spans="1:9" x14ac:dyDescent="0.25">
      <c r="A23" s="31" t="s">
        <v>700</v>
      </c>
      <c r="B23" s="329">
        <v>792145370178</v>
      </c>
      <c r="C23">
        <v>0</v>
      </c>
      <c r="D23" s="5">
        <v>59.97</v>
      </c>
      <c r="E23" s="14">
        <f t="shared" si="0"/>
        <v>0</v>
      </c>
    </row>
    <row r="24" spans="1:9" ht="15.75" thickBot="1" x14ac:dyDescent="0.3">
      <c r="A24" s="31" t="s">
        <v>701</v>
      </c>
      <c r="B24" s="31">
        <v>82392573331</v>
      </c>
      <c r="C24">
        <v>0</v>
      </c>
      <c r="D24" s="5">
        <v>109</v>
      </c>
      <c r="E24" s="21">
        <f t="shared" si="0"/>
        <v>0</v>
      </c>
      <c r="F24" s="21"/>
    </row>
    <row r="25" spans="1:9" x14ac:dyDescent="0.25">
      <c r="A25" s="31" t="s">
        <v>702</v>
      </c>
      <c r="B25" s="31">
        <v>5190530</v>
      </c>
      <c r="C25">
        <v>0</v>
      </c>
      <c r="D25" s="5">
        <v>18.98</v>
      </c>
      <c r="E25" s="14">
        <f t="shared" si="0"/>
        <v>0</v>
      </c>
    </row>
    <row r="26" spans="1:9" x14ac:dyDescent="0.25">
      <c r="A26" s="31" t="s">
        <v>703</v>
      </c>
      <c r="B26" s="31"/>
      <c r="C26">
        <v>0</v>
      </c>
      <c r="D26" s="5">
        <v>-19.98</v>
      </c>
      <c r="E26" s="14">
        <f t="shared" si="0"/>
        <v>0</v>
      </c>
    </row>
    <row r="27" spans="1:9" x14ac:dyDescent="0.25">
      <c r="A27" s="31"/>
      <c r="B27" s="31"/>
    </row>
    <row r="28" spans="1:9" x14ac:dyDescent="0.25">
      <c r="F28" s="14">
        <f>SUM(E4:E26)</f>
        <v>0</v>
      </c>
      <c r="I28" s="1"/>
    </row>
    <row r="31" spans="1:9" x14ac:dyDescent="0.25">
      <c r="F31"/>
    </row>
    <row r="32" spans="1:9" x14ac:dyDescent="0.25">
      <c r="F32"/>
    </row>
    <row r="33" spans="6:6" x14ac:dyDescent="0.25">
      <c r="F33"/>
    </row>
    <row r="34" spans="6:6" x14ac:dyDescent="0.25">
      <c r="F3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workbookViewId="0">
      <selection activeCell="A16" sqref="A16"/>
    </sheetView>
  </sheetViews>
  <sheetFormatPr defaultRowHeight="15" x14ac:dyDescent="0.2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x14ac:dyDescent="0.25">
      <c r="A1" s="3" t="s">
        <v>392</v>
      </c>
      <c r="B1" s="16"/>
    </row>
    <row r="2" spans="1:7" s="15" customFormat="1" x14ac:dyDescent="0.25">
      <c r="A2" s="3" t="s">
        <v>356</v>
      </c>
      <c r="B2" s="17" t="s">
        <v>704</v>
      </c>
      <c r="C2" s="31" t="s">
        <v>705</v>
      </c>
      <c r="D2" s="3" t="s">
        <v>461</v>
      </c>
      <c r="E2" s="8" t="s">
        <v>706</v>
      </c>
      <c r="F2" s="6" t="s">
        <v>707</v>
      </c>
      <c r="G2" s="15" t="s">
        <v>464</v>
      </c>
    </row>
    <row r="4" spans="1:7" x14ac:dyDescent="0.25">
      <c r="A4" s="2" t="s">
        <v>708</v>
      </c>
      <c r="B4" s="18">
        <v>0.79</v>
      </c>
      <c r="C4" s="2">
        <v>500</v>
      </c>
      <c r="D4">
        <v>0</v>
      </c>
      <c r="E4" s="5">
        <v>60</v>
      </c>
      <c r="F4" s="1">
        <f>+C4*B4*D4</f>
        <v>0</v>
      </c>
    </row>
    <row r="5" spans="1:7" x14ac:dyDescent="0.25">
      <c r="A5" s="2" t="s">
        <v>709</v>
      </c>
      <c r="B5" s="18">
        <v>1</v>
      </c>
      <c r="C5" s="2">
        <f>24*10</f>
        <v>240</v>
      </c>
      <c r="D5">
        <v>0</v>
      </c>
      <c r="E5" s="5">
        <v>60</v>
      </c>
      <c r="F5" s="1">
        <f>+C5*B5*D5</f>
        <v>0</v>
      </c>
    </row>
    <row r="6" spans="1:7" x14ac:dyDescent="0.25">
      <c r="A6" s="2" t="s">
        <v>710</v>
      </c>
      <c r="D6">
        <v>0</v>
      </c>
      <c r="E6" s="5">
        <v>150</v>
      </c>
      <c r="F6" s="1">
        <f t="shared" ref="F6:F11" si="0">+D6*E6</f>
        <v>0</v>
      </c>
    </row>
    <row r="7" spans="1:7" x14ac:dyDescent="0.25">
      <c r="A7" s="2" t="s">
        <v>711</v>
      </c>
      <c r="D7">
        <v>0</v>
      </c>
      <c r="E7" s="5">
        <v>3000</v>
      </c>
      <c r="F7" s="1">
        <f t="shared" si="0"/>
        <v>0</v>
      </c>
    </row>
    <row r="8" spans="1:7" x14ac:dyDescent="0.25">
      <c r="A8" s="2" t="s">
        <v>712</v>
      </c>
      <c r="D8">
        <v>0</v>
      </c>
      <c r="E8" s="5">
        <v>165</v>
      </c>
      <c r="F8" s="1">
        <f t="shared" si="0"/>
        <v>0</v>
      </c>
    </row>
    <row r="9" spans="1:7" x14ac:dyDescent="0.25">
      <c r="A9" s="2" t="s">
        <v>713</v>
      </c>
      <c r="D9">
        <v>0</v>
      </c>
      <c r="E9" s="5">
        <v>29</v>
      </c>
      <c r="F9" s="1">
        <f t="shared" si="0"/>
        <v>0</v>
      </c>
    </row>
    <row r="10" spans="1:7" x14ac:dyDescent="0.25">
      <c r="A10" s="2" t="s">
        <v>714</v>
      </c>
      <c r="D10">
        <v>0</v>
      </c>
      <c r="E10" s="5">
        <v>15</v>
      </c>
      <c r="F10" s="1">
        <f t="shared" si="0"/>
        <v>0</v>
      </c>
    </row>
    <row r="11" spans="1:7" x14ac:dyDescent="0.25">
      <c r="A11" s="2" t="s">
        <v>715</v>
      </c>
      <c r="D11">
        <v>0</v>
      </c>
      <c r="E11" s="5">
        <v>1100</v>
      </c>
      <c r="F11" s="1">
        <f t="shared" si="0"/>
        <v>0</v>
      </c>
    </row>
    <row r="12" spans="1:7" x14ac:dyDescent="0.25">
      <c r="A12" s="2" t="s">
        <v>716</v>
      </c>
      <c r="E12" s="5">
        <v>0</v>
      </c>
      <c r="F12" s="1">
        <f>+D12*E12</f>
        <v>0</v>
      </c>
    </row>
    <row r="13" spans="1:7" x14ac:dyDescent="0.25">
      <c r="A13" s="2" t="s">
        <v>717</v>
      </c>
      <c r="E13" s="5">
        <v>1000</v>
      </c>
      <c r="F13" s="1">
        <f>+D13*E13</f>
        <v>0</v>
      </c>
    </row>
    <row r="14" spans="1:7" x14ac:dyDescent="0.25">
      <c r="A14" s="2" t="s">
        <v>718</v>
      </c>
      <c r="D14">
        <v>0</v>
      </c>
      <c r="E14" s="5">
        <v>60</v>
      </c>
      <c r="F14" s="1">
        <f>+D14*E14</f>
        <v>0</v>
      </c>
    </row>
    <row r="15" spans="1:7" x14ac:dyDescent="0.25">
      <c r="A15" s="2" t="s">
        <v>719</v>
      </c>
      <c r="D15">
        <v>0</v>
      </c>
      <c r="E15" s="5">
        <v>800</v>
      </c>
      <c r="F15" s="1">
        <f>+D15*E15</f>
        <v>0</v>
      </c>
    </row>
    <row r="16" spans="1:7" ht="15.75" thickBot="1" x14ac:dyDescent="0.3">
      <c r="F16" s="30"/>
      <c r="G16" s="23"/>
    </row>
    <row r="17" spans="3:7" x14ac:dyDescent="0.25">
      <c r="C17" s="2">
        <f>+SUM(C4:C16)</f>
        <v>740</v>
      </c>
      <c r="F17" s="15" t="s">
        <v>464</v>
      </c>
      <c r="G17" s="1">
        <f>+SUM(F4:F16)</f>
        <v>0</v>
      </c>
    </row>
  </sheetData>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I24"/>
  <sheetViews>
    <sheetView topLeftCell="A16" workbookViewId="0">
      <selection activeCell="C22" sqref="C22"/>
    </sheetView>
  </sheetViews>
  <sheetFormatPr defaultRowHeight="15" x14ac:dyDescent="0.25"/>
  <cols>
    <col min="1" max="1" width="24.7109375" style="2" bestFit="1" customWidth="1"/>
    <col min="2" max="2" width="24.7109375" style="2" customWidth="1"/>
    <col min="3" max="3" width="15.28515625" style="18" customWidth="1"/>
    <col min="9" max="9" width="12.7109375" bestFit="1" customWidth="1"/>
  </cols>
  <sheetData>
    <row r="1" spans="1:9" s="3" customFormat="1" x14ac:dyDescent="0.25">
      <c r="A1" s="33" t="s">
        <v>720</v>
      </c>
      <c r="B1" s="33"/>
      <c r="C1" s="16"/>
    </row>
    <row r="2" spans="1:9" s="15" customFormat="1" x14ac:dyDescent="0.25">
      <c r="A2" s="3" t="s">
        <v>356</v>
      </c>
      <c r="B2" s="3" t="s">
        <v>241</v>
      </c>
      <c r="C2" s="17" t="s">
        <v>721</v>
      </c>
      <c r="D2" s="15" t="s">
        <v>464</v>
      </c>
      <c r="E2" s="592" t="s">
        <v>722</v>
      </c>
      <c r="F2" s="498"/>
      <c r="G2" s="27">
        <v>20</v>
      </c>
      <c r="I2"/>
    </row>
    <row r="3" spans="1:9" x14ac:dyDescent="0.25">
      <c r="I3" s="3"/>
    </row>
    <row r="4" spans="1:9" x14ac:dyDescent="0.25">
      <c r="A4" s="2" t="s">
        <v>256</v>
      </c>
      <c r="B4" s="2">
        <v>0</v>
      </c>
      <c r="C4" s="18">
        <v>800</v>
      </c>
      <c r="D4" s="5">
        <f>+B4*C4</f>
        <v>0</v>
      </c>
    </row>
    <row r="5" spans="1:9" x14ac:dyDescent="0.25">
      <c r="A5" s="2" t="s">
        <v>723</v>
      </c>
      <c r="B5" s="2">
        <v>0</v>
      </c>
      <c r="C5" s="18">
        <v>28.46</v>
      </c>
      <c r="D5" s="5">
        <f t="shared" ref="D5:D15" si="0">+B5*C5</f>
        <v>0</v>
      </c>
    </row>
    <row r="6" spans="1:9" x14ac:dyDescent="0.25">
      <c r="A6" s="2" t="s">
        <v>724</v>
      </c>
      <c r="B6" s="2">
        <v>0</v>
      </c>
      <c r="C6" s="18">
        <v>32.979999999999997</v>
      </c>
      <c r="D6" s="5">
        <f t="shared" si="0"/>
        <v>0</v>
      </c>
    </row>
    <row r="7" spans="1:9" x14ac:dyDescent="0.25">
      <c r="A7" s="2" t="s">
        <v>725</v>
      </c>
      <c r="B7" s="2">
        <v>0</v>
      </c>
      <c r="C7" s="18">
        <v>28.47</v>
      </c>
      <c r="D7" s="5">
        <f t="shared" si="0"/>
        <v>0</v>
      </c>
    </row>
    <row r="8" spans="1:9" x14ac:dyDescent="0.25">
      <c r="A8" s="2" t="s">
        <v>726</v>
      </c>
      <c r="D8" s="5">
        <f t="shared" si="0"/>
        <v>0</v>
      </c>
    </row>
    <row r="9" spans="1:9" x14ac:dyDescent="0.25">
      <c r="A9" s="2" t="s">
        <v>727</v>
      </c>
      <c r="C9" s="18">
        <v>1000</v>
      </c>
      <c r="D9" s="5">
        <f t="shared" si="0"/>
        <v>0</v>
      </c>
    </row>
    <row r="10" spans="1:9" x14ac:dyDescent="0.25">
      <c r="A10" s="2" t="s">
        <v>728</v>
      </c>
      <c r="D10" s="5">
        <f t="shared" si="0"/>
        <v>0</v>
      </c>
    </row>
    <row r="11" spans="1:9" x14ac:dyDescent="0.25">
      <c r="A11" s="2" t="s">
        <v>728</v>
      </c>
      <c r="D11" s="5">
        <f t="shared" si="0"/>
        <v>0</v>
      </c>
    </row>
    <row r="12" spans="1:9" x14ac:dyDescent="0.25">
      <c r="A12" s="2" t="s">
        <v>729</v>
      </c>
      <c r="B12" s="2">
        <v>0</v>
      </c>
      <c r="C12" s="18">
        <v>5500</v>
      </c>
      <c r="D12" s="5">
        <f t="shared" si="0"/>
        <v>0</v>
      </c>
    </row>
    <row r="13" spans="1:9" x14ac:dyDescent="0.25">
      <c r="A13" s="2" t="s">
        <v>730</v>
      </c>
      <c r="C13" s="18">
        <v>1604326</v>
      </c>
      <c r="D13" s="5">
        <f t="shared" si="0"/>
        <v>0</v>
      </c>
    </row>
    <row r="14" spans="1:9" x14ac:dyDescent="0.25">
      <c r="A14" s="2" t="s">
        <v>731</v>
      </c>
      <c r="C14" s="18">
        <v>228556</v>
      </c>
      <c r="D14" s="5">
        <f t="shared" si="0"/>
        <v>0</v>
      </c>
    </row>
    <row r="15" spans="1:9" x14ac:dyDescent="0.25">
      <c r="A15" s="2" t="s">
        <v>732</v>
      </c>
      <c r="B15" s="2">
        <v>0</v>
      </c>
      <c r="C15" s="18">
        <v>400</v>
      </c>
      <c r="D15" s="5">
        <f t="shared" si="0"/>
        <v>0</v>
      </c>
      <c r="I15" s="3" t="s">
        <v>517</v>
      </c>
    </row>
    <row r="16" spans="1:9" x14ac:dyDescent="0.25">
      <c r="A16" s="2" t="s">
        <v>733</v>
      </c>
      <c r="B16" s="2">
        <v>0</v>
      </c>
      <c r="C16" s="18">
        <v>7.33</v>
      </c>
      <c r="D16" s="5">
        <f>+B16*C16</f>
        <v>0</v>
      </c>
      <c r="I16" s="3"/>
    </row>
    <row r="17" spans="1:9" x14ac:dyDescent="0.25">
      <c r="A17" s="2" t="s">
        <v>734</v>
      </c>
      <c r="B17" s="2">
        <v>0</v>
      </c>
      <c r="C17" s="18">
        <v>9.9700000000000006</v>
      </c>
      <c r="D17" s="5">
        <f>+B17*C17</f>
        <v>0</v>
      </c>
      <c r="I17" s="3"/>
    </row>
    <row r="18" spans="1:9" x14ac:dyDescent="0.25">
      <c r="A18" s="2" t="s">
        <v>735</v>
      </c>
      <c r="B18" s="2">
        <v>0</v>
      </c>
      <c r="C18" s="18">
        <v>3.98</v>
      </c>
      <c r="D18" s="5">
        <f>+B18*C18</f>
        <v>0</v>
      </c>
      <c r="I18" s="3"/>
    </row>
    <row r="19" spans="1:9" x14ac:dyDescent="0.25">
      <c r="H19" s="1">
        <f>IF(Profit!O2="yes",+SUM(D4:D18),I19)</f>
        <v>0</v>
      </c>
      <c r="I19">
        <v>0</v>
      </c>
    </row>
    <row r="23" spans="1:9" x14ac:dyDescent="0.25">
      <c r="I23" s="2"/>
    </row>
    <row r="24" spans="1:9" x14ac:dyDescent="0.25">
      <c r="I24" s="2"/>
    </row>
  </sheetData>
  <mergeCells count="1">
    <mergeCell ref="E2:F2"/>
  </mergeCells>
  <printOptions headings="1" gridLines="1"/>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2983-6C53-4528-BA5B-1CC4772B7707}">
  <dimension ref="A1:H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5" width="12.85546875" customWidth="1"/>
    <col min="6" max="6" width="14.28515625" customWidth="1"/>
    <col min="7" max="7" width="3.140625" customWidth="1"/>
  </cols>
  <sheetData>
    <row r="1" spans="1:8" ht="15.75" thickBot="1" x14ac:dyDescent="0.3"/>
    <row r="2" spans="1:8" s="63" customFormat="1" ht="30.75" thickBot="1" x14ac:dyDescent="0.3">
      <c r="A2"/>
      <c r="B2" s="598" t="s">
        <v>736</v>
      </c>
      <c r="C2" s="599"/>
      <c r="D2" s="339" t="s">
        <v>161</v>
      </c>
      <c r="E2" s="343" t="s">
        <v>737</v>
      </c>
      <c r="F2" s="221" t="s">
        <v>738</v>
      </c>
      <c r="G2" s="191"/>
      <c r="H2" s="188"/>
    </row>
    <row r="3" spans="1:8" ht="15.75" thickBot="1" x14ac:dyDescent="0.3">
      <c r="B3" s="217" t="s">
        <v>163</v>
      </c>
      <c r="C3" s="218">
        <f>+SUM(E3:G3)</f>
        <v>750000</v>
      </c>
      <c r="D3" s="218"/>
      <c r="E3" s="295">
        <v>435000</v>
      </c>
      <c r="F3" s="344">
        <v>315000</v>
      </c>
      <c r="G3" s="293"/>
    </row>
    <row r="4" spans="1:8" x14ac:dyDescent="0.25">
      <c r="B4" s="217" t="s">
        <v>164</v>
      </c>
      <c r="C4" s="218">
        <f>+SUM(E4:$G$4)</f>
        <v>352369</v>
      </c>
      <c r="D4" s="218"/>
      <c r="E4" s="295">
        <v>249869</v>
      </c>
      <c r="F4" s="345">
        <v>102500</v>
      </c>
      <c r="G4" s="293"/>
    </row>
    <row r="5" spans="1:8" x14ac:dyDescent="0.25">
      <c r="B5" s="219" t="s">
        <v>165</v>
      </c>
      <c r="C5" s="220">
        <f>+SUM(E5:G5)</f>
        <v>242267</v>
      </c>
      <c r="D5" s="220"/>
      <c r="E5" s="295">
        <v>98192</v>
      </c>
      <c r="F5" s="345">
        <f>+F3+-F4-F6</f>
        <v>144075</v>
      </c>
      <c r="G5" s="189"/>
    </row>
    <row r="6" spans="1:8" ht="15.75" thickBot="1" x14ac:dyDescent="0.3">
      <c r="B6" s="190" t="s">
        <v>166</v>
      </c>
      <c r="C6" s="186">
        <f>+SUM($E$6:$G$6)</f>
        <v>155363.89666666667</v>
      </c>
      <c r="D6" s="186"/>
      <c r="E6" s="295">
        <v>86938.896666666667</v>
      </c>
      <c r="F6" s="345">
        <v>68425</v>
      </c>
      <c r="G6" s="189"/>
    </row>
    <row r="7" spans="1:8" ht="15.75" thickBot="1" x14ac:dyDescent="0.3">
      <c r="B7" s="190" t="s">
        <v>167</v>
      </c>
      <c r="C7" s="186">
        <f>+SUM($E$7:$G$7)</f>
        <v>0</v>
      </c>
      <c r="D7" s="186"/>
      <c r="E7" s="295"/>
      <c r="F7" s="346"/>
      <c r="G7" s="189"/>
    </row>
    <row r="8" spans="1:8" ht="15.75" thickBot="1" x14ac:dyDescent="0.3">
      <c r="B8" s="190" t="s">
        <v>168</v>
      </c>
      <c r="C8" s="594">
        <f>+AVERAGE(E3:F3)</f>
        <v>375000</v>
      </c>
      <c r="D8" s="373"/>
      <c r="E8" s="600"/>
      <c r="F8" s="498"/>
      <c r="G8" s="473"/>
    </row>
    <row r="9" spans="1:8" ht="15.75" thickBot="1" x14ac:dyDescent="0.3">
      <c r="B9" s="190" t="s">
        <v>169</v>
      </c>
      <c r="C9" s="594">
        <f>+AVERAGE(E4:F4)</f>
        <v>176184.5</v>
      </c>
      <c r="D9" s="373"/>
      <c r="E9" s="474"/>
      <c r="F9" s="401"/>
      <c r="G9" s="475"/>
    </row>
    <row r="10" spans="1:8" ht="15.75" thickBot="1" x14ac:dyDescent="0.3">
      <c r="B10" s="190" t="s">
        <v>170</v>
      </c>
      <c r="C10" s="594">
        <f>+AVERAGE(E5:F5)</f>
        <v>121133.5</v>
      </c>
      <c r="D10" s="373"/>
      <c r="E10" s="601" t="s">
        <v>739</v>
      </c>
      <c r="F10" s="602"/>
      <c r="G10" s="603"/>
    </row>
    <row r="11" spans="1:8" ht="15.75" thickBot="1" x14ac:dyDescent="0.3">
      <c r="B11" s="190" t="s">
        <v>171</v>
      </c>
      <c r="C11" s="594">
        <f>+AVERAGE(E6:F6)</f>
        <v>77681.948333333334</v>
      </c>
      <c r="D11" s="373"/>
      <c r="E11" s="595" t="s">
        <v>740</v>
      </c>
      <c r="F11" s="596"/>
      <c r="G11" s="597"/>
    </row>
  </sheetData>
  <mergeCells count="8">
    <mergeCell ref="C11:D11"/>
    <mergeCell ref="E11:G11"/>
    <mergeCell ref="B2:C2"/>
    <mergeCell ref="C8:D8"/>
    <mergeCell ref="E8:G9"/>
    <mergeCell ref="C9:D9"/>
    <mergeCell ref="C10:D10"/>
    <mergeCell ref="E10:G10"/>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E8B5-81B0-4717-B06D-3972788FDC05}">
  <dimension ref="A1:J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8" width="7.7109375" customWidth="1"/>
    <col min="9" max="9" width="3.140625" customWidth="1"/>
  </cols>
  <sheetData>
    <row r="1" spans="1:10" ht="15.75" thickBot="1" x14ac:dyDescent="0.3"/>
    <row r="2" spans="1:10" s="63" customFormat="1" ht="45.75" thickBot="1" x14ac:dyDescent="0.3">
      <c r="A2" s="192"/>
      <c r="B2" s="598" t="s">
        <v>736</v>
      </c>
      <c r="C2" s="607"/>
      <c r="D2" s="339" t="s">
        <v>161</v>
      </c>
      <c r="E2" s="216" t="s">
        <v>741</v>
      </c>
      <c r="F2" s="216" t="s">
        <v>742</v>
      </c>
      <c r="G2" s="216" t="s">
        <v>743</v>
      </c>
      <c r="H2" s="221" t="s">
        <v>744</v>
      </c>
      <c r="I2" s="191"/>
      <c r="J2" s="188"/>
    </row>
    <row r="3" spans="1:10" ht="15.75" thickBot="1" x14ac:dyDescent="0.3">
      <c r="A3" s="193"/>
      <c r="B3" s="217" t="s">
        <v>163</v>
      </c>
      <c r="C3" s="218">
        <f>+SUM(E3:I3)</f>
        <v>1262529</v>
      </c>
      <c r="D3" s="218"/>
      <c r="E3" s="295">
        <v>210000</v>
      </c>
      <c r="F3" s="295">
        <v>423529</v>
      </c>
      <c r="G3" s="295">
        <v>330000</v>
      </c>
      <c r="H3" s="294">
        <v>299000</v>
      </c>
      <c r="I3" s="293"/>
    </row>
    <row r="4" spans="1:10" x14ac:dyDescent="0.25">
      <c r="A4" s="193"/>
      <c r="B4" s="217" t="s">
        <v>164</v>
      </c>
      <c r="C4" s="218">
        <f>+SUM(E4:$I$4)</f>
        <v>554594.92000000004</v>
      </c>
      <c r="D4" s="218"/>
      <c r="E4" s="295">
        <v>127000</v>
      </c>
      <c r="F4" s="295">
        <v>174585.47</v>
      </c>
      <c r="G4" s="295">
        <v>85975.790000000008</v>
      </c>
      <c r="H4" s="294">
        <v>167033.66</v>
      </c>
      <c r="I4" s="293"/>
    </row>
    <row r="5" spans="1:10" x14ac:dyDescent="0.25">
      <c r="A5" s="193"/>
      <c r="B5" s="219" t="s">
        <v>165</v>
      </c>
      <c r="C5" s="220">
        <f>+SUM(E5:I5)</f>
        <v>148708.10749999998</v>
      </c>
      <c r="D5" s="220"/>
      <c r="E5" s="295">
        <v>15000</v>
      </c>
      <c r="F5" s="295">
        <v>12223</v>
      </c>
      <c r="G5" s="295">
        <v>82805.727499999994</v>
      </c>
      <c r="H5" s="294">
        <v>38679.380000000005</v>
      </c>
      <c r="I5" s="189"/>
    </row>
    <row r="6" spans="1:10" ht="15.75" thickBot="1" x14ac:dyDescent="0.3">
      <c r="A6" s="193"/>
      <c r="B6" s="190" t="s">
        <v>166</v>
      </c>
      <c r="C6" s="186">
        <f>+SUM($E$6:$I$6)</f>
        <v>471212.07700000005</v>
      </c>
      <c r="D6" s="186"/>
      <c r="E6" s="295">
        <v>67485.868000000002</v>
      </c>
      <c r="F6" s="295">
        <v>154708.03800000003</v>
      </c>
      <c r="G6" s="295">
        <v>154490.20250000001</v>
      </c>
      <c r="H6" s="294">
        <v>94527.968499999988</v>
      </c>
      <c r="I6" s="189"/>
    </row>
    <row r="7" spans="1:10" ht="15.75" thickBot="1" x14ac:dyDescent="0.3">
      <c r="A7" s="193"/>
      <c r="B7" s="190" t="s">
        <v>167</v>
      </c>
      <c r="C7" s="186">
        <f>+SUM($E$7:$I$7)</f>
        <v>15470.803800000003</v>
      </c>
      <c r="D7" s="186"/>
      <c r="E7" s="347"/>
      <c r="F7" s="348">
        <v>15470.803800000003</v>
      </c>
      <c r="G7" s="348"/>
      <c r="H7" s="349"/>
      <c r="I7" s="189"/>
    </row>
    <row r="8" spans="1:10" ht="15.75" thickBot="1" x14ac:dyDescent="0.3">
      <c r="A8" s="193"/>
      <c r="B8" s="190" t="s">
        <v>168</v>
      </c>
      <c r="C8" s="594">
        <f>+AVERAGE(E3:H3)</f>
        <v>315632.25</v>
      </c>
      <c r="D8" s="604"/>
      <c r="E8" s="600"/>
      <c r="F8" s="498"/>
      <c r="G8" s="498"/>
      <c r="H8" s="498"/>
      <c r="I8" s="473"/>
    </row>
    <row r="9" spans="1:10" ht="15.75" thickBot="1" x14ac:dyDescent="0.3">
      <c r="A9" s="193"/>
      <c r="B9" s="190" t="s">
        <v>169</v>
      </c>
      <c r="C9" s="594">
        <f>+AVERAGE(E4:H4)</f>
        <v>138648.73000000001</v>
      </c>
      <c r="D9" s="604"/>
      <c r="E9" s="474"/>
      <c r="F9" s="401"/>
      <c r="G9" s="401"/>
      <c r="H9" s="401"/>
      <c r="I9" s="475"/>
    </row>
    <row r="10" spans="1:10" ht="15.75" thickBot="1" x14ac:dyDescent="0.3">
      <c r="A10" s="193"/>
      <c r="B10" s="190" t="s">
        <v>170</v>
      </c>
      <c r="C10" s="594">
        <f>+AVERAGE(E5:H5)</f>
        <v>37177.026874999996</v>
      </c>
      <c r="D10" s="604"/>
      <c r="E10" s="601" t="s">
        <v>739</v>
      </c>
      <c r="F10" s="608"/>
      <c r="G10" s="608"/>
      <c r="H10" s="608"/>
      <c r="I10" s="609"/>
    </row>
    <row r="11" spans="1:10" ht="15.75" thickBot="1" x14ac:dyDescent="0.3">
      <c r="B11" s="190" t="s">
        <v>171</v>
      </c>
      <c r="C11" s="594">
        <f>+AVERAGE(E6:H6)</f>
        <v>117803.01925000001</v>
      </c>
      <c r="D11" s="604"/>
      <c r="E11" s="595" t="s">
        <v>740</v>
      </c>
      <c r="F11" s="605"/>
      <c r="G11" s="605"/>
      <c r="H11" s="605"/>
      <c r="I11" s="606"/>
    </row>
  </sheetData>
  <mergeCells count="8">
    <mergeCell ref="C11:D11"/>
    <mergeCell ref="E11:I11"/>
    <mergeCell ref="B2:C2"/>
    <mergeCell ref="C8:D8"/>
    <mergeCell ref="E8:I9"/>
    <mergeCell ref="C9:D9"/>
    <mergeCell ref="C10:D10"/>
    <mergeCell ref="E10:I10"/>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C860-F4AF-435C-97F3-15EFD1975C5D}">
  <dimension ref="A1:I11"/>
  <sheetViews>
    <sheetView topLeftCell="A8"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6" width="12.85546875" customWidth="1"/>
    <col min="7" max="7" width="14.28515625" customWidth="1"/>
    <col min="8" max="8" width="3.140625" customWidth="1"/>
  </cols>
  <sheetData>
    <row r="1" spans="1:9" ht="15.75" thickBot="1" x14ac:dyDescent="0.3"/>
    <row r="2" spans="1:9" s="63" customFormat="1" ht="30.75" thickBot="1" x14ac:dyDescent="0.3">
      <c r="A2"/>
      <c r="B2" s="598" t="s">
        <v>736</v>
      </c>
      <c r="C2" s="599"/>
      <c r="D2" s="339" t="s">
        <v>161</v>
      </c>
      <c r="E2" s="343" t="s">
        <v>745</v>
      </c>
      <c r="F2" s="343" t="s">
        <v>746</v>
      </c>
      <c r="G2" s="221" t="s">
        <v>747</v>
      </c>
      <c r="H2" s="191"/>
      <c r="I2" s="188"/>
    </row>
    <row r="3" spans="1:9" ht="15.75" thickBot="1" x14ac:dyDescent="0.3">
      <c r="B3" s="217" t="s">
        <v>163</v>
      </c>
      <c r="C3" s="218">
        <f>+SUM(E3:H3)</f>
        <v>811800</v>
      </c>
      <c r="D3" s="218"/>
      <c r="E3" s="295">
        <v>363900</v>
      </c>
      <c r="F3" s="350">
        <v>210000</v>
      </c>
      <c r="G3" s="344">
        <v>237900</v>
      </c>
      <c r="H3" s="293"/>
    </row>
    <row r="4" spans="1:9" x14ac:dyDescent="0.25">
      <c r="B4" s="217" t="s">
        <v>164</v>
      </c>
      <c r="C4" s="218">
        <f>+SUM(E4:$H$4)</f>
        <v>401770.9</v>
      </c>
      <c r="D4" s="218"/>
      <c r="E4" s="295">
        <v>220000</v>
      </c>
      <c r="F4" s="351">
        <v>107061.9</v>
      </c>
      <c r="G4" s="345">
        <v>74709</v>
      </c>
      <c r="H4" s="293"/>
    </row>
    <row r="5" spans="1:9" x14ac:dyDescent="0.25">
      <c r="B5" s="219" t="s">
        <v>165</v>
      </c>
      <c r="C5" s="220">
        <f>+SUM(E5:H5)</f>
        <v>146350.07515412499</v>
      </c>
      <c r="D5" s="220"/>
      <c r="E5" s="295">
        <v>27507.698</v>
      </c>
      <c r="F5" s="351">
        <v>47760.57</v>
      </c>
      <c r="G5" s="345">
        <v>71081.80715412501</v>
      </c>
      <c r="H5" s="189"/>
    </row>
    <row r="6" spans="1:9" ht="15.75" thickBot="1" x14ac:dyDescent="0.3">
      <c r="B6" s="190" t="s">
        <v>166</v>
      </c>
      <c r="C6" s="186">
        <f>+SUM($E$6:$H$6)</f>
        <v>257067.10484587503</v>
      </c>
      <c r="D6" s="186"/>
      <c r="E6" s="295">
        <v>92658.781999999992</v>
      </c>
      <c r="F6" s="351">
        <v>64240.530000000028</v>
      </c>
      <c r="G6" s="345">
        <v>100167.792845875</v>
      </c>
      <c r="H6" s="189"/>
    </row>
    <row r="7" spans="1:9" ht="15.75" thickBot="1" x14ac:dyDescent="0.3">
      <c r="B7" s="190" t="s">
        <v>167</v>
      </c>
      <c r="C7" s="186">
        <f>+SUM($E$7:$H$7)</f>
        <v>0</v>
      </c>
      <c r="D7" s="186"/>
      <c r="E7" s="347"/>
      <c r="F7" s="348"/>
      <c r="G7" s="352"/>
      <c r="H7" s="189"/>
    </row>
    <row r="8" spans="1:9" ht="15.75" thickBot="1" x14ac:dyDescent="0.3">
      <c r="B8" s="190" t="s">
        <v>168</v>
      </c>
      <c r="C8" s="594">
        <f>+AVERAGE(E3:G3)</f>
        <v>270600</v>
      </c>
      <c r="D8" s="373"/>
      <c r="E8" s="600"/>
      <c r="F8" s="610"/>
      <c r="G8" s="498"/>
      <c r="H8" s="473"/>
    </row>
    <row r="9" spans="1:9" ht="15.75" thickBot="1" x14ac:dyDescent="0.3">
      <c r="B9" s="190" t="s">
        <v>169</v>
      </c>
      <c r="C9" s="594">
        <f>+AVERAGE(E4:G4)</f>
        <v>133923.63333333333</v>
      </c>
      <c r="D9" s="373"/>
      <c r="E9" s="474"/>
      <c r="F9" s="401"/>
      <c r="G9" s="401"/>
      <c r="H9" s="475"/>
    </row>
    <row r="10" spans="1:9" ht="15.75" thickBot="1" x14ac:dyDescent="0.3">
      <c r="B10" s="190" t="s">
        <v>170</v>
      </c>
      <c r="C10" s="594">
        <f>+AVERAGE(E5:G5)</f>
        <v>48783.358384708328</v>
      </c>
      <c r="D10" s="373"/>
      <c r="E10" s="601" t="s">
        <v>739</v>
      </c>
      <c r="F10" s="608"/>
      <c r="G10" s="602"/>
      <c r="H10" s="603"/>
    </row>
    <row r="11" spans="1:9" ht="15.75" thickBot="1" x14ac:dyDescent="0.3">
      <c r="B11" s="190" t="s">
        <v>171</v>
      </c>
      <c r="C11" s="594">
        <f>+AVERAGE(E6:G6)</f>
        <v>85689.034948625005</v>
      </c>
      <c r="D11" s="373"/>
      <c r="E11" s="595" t="s">
        <v>740</v>
      </c>
      <c r="F11" s="605"/>
      <c r="G11" s="596"/>
      <c r="H11" s="597"/>
    </row>
  </sheetData>
  <mergeCells count="8">
    <mergeCell ref="C11:D11"/>
    <mergeCell ref="E11:H11"/>
    <mergeCell ref="B2:C2"/>
    <mergeCell ref="C8:D8"/>
    <mergeCell ref="E8:H9"/>
    <mergeCell ref="C9:D9"/>
    <mergeCell ref="C10:D10"/>
    <mergeCell ref="E10:H1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3E369-E028-40CC-9862-01C3D0E7FE57}">
  <dimension ref="A1:I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6" width="12.85546875" customWidth="1"/>
    <col min="7" max="7" width="14.28515625" customWidth="1"/>
    <col min="8" max="8" width="3.140625" customWidth="1"/>
  </cols>
  <sheetData>
    <row r="1" spans="1:9" ht="15.75" thickBot="1" x14ac:dyDescent="0.3"/>
    <row r="2" spans="1:9" s="63" customFormat="1" ht="30.75" thickBot="1" x14ac:dyDescent="0.3">
      <c r="A2"/>
      <c r="B2" s="598" t="s">
        <v>736</v>
      </c>
      <c r="C2" s="599"/>
      <c r="D2" s="339" t="s">
        <v>161</v>
      </c>
      <c r="E2" s="343" t="s">
        <v>748</v>
      </c>
      <c r="F2" s="343" t="s">
        <v>749</v>
      </c>
      <c r="G2" s="221" t="s">
        <v>750</v>
      </c>
      <c r="H2" s="191"/>
      <c r="I2" s="188"/>
    </row>
    <row r="3" spans="1:9" ht="15.75" thickBot="1" x14ac:dyDescent="0.3">
      <c r="B3" s="217" t="s">
        <v>163</v>
      </c>
      <c r="C3" s="218">
        <f>+SUM(E3:H3)</f>
        <v>540000</v>
      </c>
      <c r="D3" s="218"/>
      <c r="E3" s="295">
        <v>150000</v>
      </c>
      <c r="F3" s="350">
        <v>195000</v>
      </c>
      <c r="G3" s="344">
        <v>195000</v>
      </c>
      <c r="H3" s="293"/>
    </row>
    <row r="4" spans="1:9" x14ac:dyDescent="0.25">
      <c r="B4" s="217" t="s">
        <v>164</v>
      </c>
      <c r="C4" s="218">
        <f>+SUM(E4:$H$4)</f>
        <v>310642.71000000002</v>
      </c>
      <c r="D4" s="218"/>
      <c r="E4" s="295">
        <v>71644.86</v>
      </c>
      <c r="F4" s="351">
        <v>110309.86</v>
      </c>
      <c r="G4" s="345">
        <v>128687.99</v>
      </c>
      <c r="H4" s="293"/>
    </row>
    <row r="5" spans="1:9" x14ac:dyDescent="0.25">
      <c r="B5" s="219" t="s">
        <v>165</v>
      </c>
      <c r="C5" s="220">
        <f>+SUM(E5:H5)</f>
        <v>49980.701499999996</v>
      </c>
      <c r="D5" s="220"/>
      <c r="E5" s="295">
        <v>6302.96</v>
      </c>
      <c r="F5" s="351">
        <v>20425.14</v>
      </c>
      <c r="G5" s="345">
        <v>23252.601500000001</v>
      </c>
      <c r="H5" s="189"/>
    </row>
    <row r="6" spans="1:9" ht="15.75" thickBot="1" x14ac:dyDescent="0.3">
      <c r="B6" s="190" t="s">
        <v>166</v>
      </c>
      <c r="C6" s="186">
        <f>+SUM($E$6:$H$6)</f>
        <v>116039.9257777778</v>
      </c>
      <c r="D6" s="186"/>
      <c r="E6" s="295">
        <v>37694.072</v>
      </c>
      <c r="F6" s="351">
        <v>52771.490000000005</v>
      </c>
      <c r="G6" s="345">
        <v>25574.363777777784</v>
      </c>
      <c r="H6" s="189"/>
    </row>
    <row r="7" spans="1:9" ht="15.75" thickBot="1" x14ac:dyDescent="0.3">
      <c r="B7" s="190" t="s">
        <v>167</v>
      </c>
      <c r="C7" s="186">
        <f>+SUM($E$7:$H$7)</f>
        <v>0</v>
      </c>
      <c r="D7" s="186"/>
      <c r="E7" s="347"/>
      <c r="F7" s="348"/>
      <c r="G7" s="352"/>
      <c r="H7" s="189"/>
    </row>
    <row r="8" spans="1:9" ht="15.75" thickBot="1" x14ac:dyDescent="0.3">
      <c r="B8" s="190" t="s">
        <v>168</v>
      </c>
      <c r="C8" s="594">
        <f>+AVERAGE(E3:G3)</f>
        <v>180000</v>
      </c>
      <c r="D8" s="373"/>
      <c r="E8" s="600"/>
      <c r="F8" s="610"/>
      <c r="G8" s="498"/>
      <c r="H8" s="473"/>
    </row>
    <row r="9" spans="1:9" ht="15.75" thickBot="1" x14ac:dyDescent="0.3">
      <c r="B9" s="190" t="s">
        <v>169</v>
      </c>
      <c r="C9" s="594">
        <f>+AVERAGE(E4:G4)</f>
        <v>103547.57</v>
      </c>
      <c r="D9" s="373"/>
      <c r="E9" s="474"/>
      <c r="F9" s="401"/>
      <c r="G9" s="401"/>
      <c r="H9" s="475"/>
    </row>
    <row r="10" spans="1:9" ht="15.75" thickBot="1" x14ac:dyDescent="0.3">
      <c r="B10" s="190" t="s">
        <v>170</v>
      </c>
      <c r="C10" s="594">
        <f>+AVERAGE(E5:G5)</f>
        <v>16660.233833333332</v>
      </c>
      <c r="D10" s="373"/>
      <c r="E10" s="601" t="s">
        <v>739</v>
      </c>
      <c r="F10" s="608"/>
      <c r="G10" s="602"/>
      <c r="H10" s="603"/>
    </row>
    <row r="11" spans="1:9" ht="15.75" thickBot="1" x14ac:dyDescent="0.3">
      <c r="B11" s="190" t="s">
        <v>171</v>
      </c>
      <c r="C11" s="594">
        <f>+AVERAGE(E6:G6)</f>
        <v>38679.975259259263</v>
      </c>
      <c r="D11" s="373"/>
      <c r="E11" s="595" t="s">
        <v>740</v>
      </c>
      <c r="F11" s="605"/>
      <c r="G11" s="596"/>
      <c r="H11" s="597"/>
    </row>
  </sheetData>
  <mergeCells count="8">
    <mergeCell ref="C11:D11"/>
    <mergeCell ref="E11:H11"/>
    <mergeCell ref="B2:C2"/>
    <mergeCell ref="C8:D8"/>
    <mergeCell ref="E8:H9"/>
    <mergeCell ref="C9:D9"/>
    <mergeCell ref="C10:D10"/>
    <mergeCell ref="E10:H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6.xml>��
</file>

<file path=customXml/item7.xml>��
</file>

<file path=customXml/itemProps1.xml><?xml version="1.0" encoding="utf-8"?>
<ds:datastoreItem xmlns:ds="http://schemas.openxmlformats.org/officeDocument/2006/customXml" ds:itemID="{7DAA23DD-9F09-4202-8AAB-AF48A6EB5A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3.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4.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5.xml><?xml version="1.0" encoding="utf-8"?>
<ds:datastoreItem xmlns:ds="http://schemas.openxmlformats.org/officeDocument/2006/customXml" ds:itemID="{98C4DA37-4AFD-4CD2-9A66-0C8B8DF4AF27}">
  <ds:schemaRefs>
    <ds:schemaRef ds:uri="http://purl.org/dc/dcmitype/"/>
    <ds:schemaRef ds:uri="http://schemas.microsoft.com/office/2006/metadata/properties"/>
    <ds:schemaRef ds:uri="http://schemas.microsoft.com/office/2006/documentManagement/types"/>
    <ds:schemaRef ds:uri="http://purl.org/dc/elements/1.1/"/>
    <ds:schemaRef ds:uri="ab9fedca-001d-4cc9-b244-d9c3be5a27d3"/>
    <ds:schemaRef ds:uri="http://schemas.openxmlformats.org/package/2006/metadata/core-properties"/>
    <ds:schemaRef ds:uri="http://schemas.microsoft.com/office/infopath/2007/PartnerControls"/>
    <ds:schemaRef ds:uri="42cc25d9-27fe-4f07-accb-ded05ec47eee"/>
    <ds:schemaRef ds:uri="http://www.w3.org/XML/1998/namespace"/>
    <ds:schemaRef ds:uri="http://purl.org/dc/terms/"/>
  </ds:schemaRefs>
</ds:datastoreItem>
</file>

<file path=customXml/itemProps6.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7.xml><?xml version="1.0" encoding="utf-8"?>
<ds:datastoreItem xmlns:ds="http://schemas.openxmlformats.org/officeDocument/2006/customXml" ds:itemID="{C8DEC3D8-E357-4A8C-AFF9-645AD3C1C0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7</vt:i4>
      </vt:variant>
    </vt:vector>
  </HeadingPairs>
  <TitlesOfParts>
    <vt:vector size="34" baseType="lpstr">
      <vt:lpstr>Profit</vt:lpstr>
      <vt:lpstr>Trade Properties</vt:lpstr>
      <vt:lpstr>MOG</vt:lpstr>
      <vt:lpstr>Contact</vt:lpstr>
      <vt:lpstr>Carrying</vt:lpstr>
      <vt:lpstr>Contract</vt:lpstr>
      <vt:lpstr>UpdateContract</vt:lpstr>
      <vt:lpstr>Gnatt Chart</vt:lpstr>
      <vt:lpstr>Recap</vt:lpstr>
      <vt:lpstr>Taxes</vt:lpstr>
      <vt:lpstr>Seller Advance</vt:lpstr>
      <vt:lpstr>MISC</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2023</vt:lpstr>
      <vt:lpstr>2022</vt:lpstr>
      <vt:lpstr>2021</vt:lpstr>
      <vt:lpstr>2020</vt:lpstr>
      <vt:lpstr>Milestone_Marker</vt:lpstr>
      <vt:lpstr>Project_Start</vt:lpstr>
      <vt:lpstr>Scrolling_Increment</vt:lpstr>
      <vt:lpstr>tradeMonthlyNetSpread</vt:lpstr>
      <vt:lpstr>tradeNetCreditIncluded</vt:lpstr>
      <vt:lpstr>tradePropertyConditionsForDocs</vt:lpstr>
      <vt:lpstr>tradePropertyListForDocs</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dcterms:created xsi:type="dcterms:W3CDTF">2019-07-25T11:32:14Z</dcterms:created>
  <dcterms:modified xsi:type="dcterms:W3CDTF">2026-06-30T17:06:37Z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