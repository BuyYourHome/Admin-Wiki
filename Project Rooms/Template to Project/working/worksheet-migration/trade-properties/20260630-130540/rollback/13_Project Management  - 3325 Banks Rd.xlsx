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31917" documentId="13_ncr:1_{5A205BEF-1DC0-433E-BD9B-E0B8EFB2F08B}" xr6:coauthVersionLast="47" xr6:coauthVersionMax="47" xr10:uidLastSave="{E04E675C-834F-4F2E-BC67-E2E3BDA998C0}"/>
  <bookViews>
    <workbookView xWindow="-120" yWindow="-120" windowWidth="38640" windowHeight="15720" tabRatio="889" activeTab="4" xr2:uid="{00000000-000D-0000-FFFF-FFFF00000000}"/>
  </bookViews>
  <sheets>
    <sheet name="Profit" sheetId="1" r:id="rId1"/>
    <sheet name="MOG" sheetId="33" r:id="rId2"/>
    <sheet name="Todo" sheetId="19" r:id="rId3"/>
    <sheet name="Contact" sheetId="10" r:id="rId4"/>
    <sheet name="Carrying" sheetId="51" r:id="rId5"/>
    <sheet name="Proposal" sheetId="36" r:id="rId6"/>
    <sheet name="ProposalUpdate" sheetId="47" r:id="rId7"/>
    <sheet name="Gnatt Chart" sheetId="37" r:id="rId8"/>
    <sheet name="Taxes" sheetId="48" r:id="rId9"/>
    <sheet name="Financing" sheetId="34" r:id="rId10"/>
    <sheet name="Seller Advance" sheetId="9" r:id="rId11"/>
    <sheet name="MISC 2" sheetId="50" r:id="rId12"/>
    <sheet name="Demo &amp; Trash Haul" sheetId="21" r:id="rId13"/>
    <sheet name="Appliances" sheetId="15" r:id="rId14"/>
    <sheet name="Plumbing Fixtures" sheetId="22" r:id="rId15"/>
    <sheet name="Windows &amp; Doors" sheetId="20" r:id="rId16"/>
    <sheet name="Cabinets" sheetId="6" r:id="rId17"/>
    <sheet name="Paint" sheetId="4" r:id="rId18"/>
    <sheet name="Flooring" sheetId="3" r:id="rId19"/>
    <sheet name="HVAC" sheetId="18" r:id="rId20"/>
    <sheet name="Electrical Fixtures" sheetId="35" r:id="rId21"/>
    <sheet name="Landscape" sheetId="13" r:id="rId22"/>
    <sheet name="Exterior" sheetId="16" r:id="rId23"/>
  </sheets>
  <definedNames>
    <definedName name="_xlnm._FilterDatabase" localSheetId="7" hidden="1">'Gnatt Chart'!$A$1:$DU$28</definedName>
    <definedName name="ExternalData_3" localSheetId="6" hidden="1">ProposalUpdate!$B$4:$H$20</definedName>
    <definedName name="ExternalData_4" localSheetId="7" hidden="1">'Gnatt Chart'!$A$29:$O$45</definedName>
    <definedName name="Milestone_Marker">'Gnatt Chart'!$G$4</definedName>
    <definedName name="Project_Start">'Gnatt Chart'!$F$2</definedName>
    <definedName name="Scrolling_Increment">'Gnatt Chart'!$AB$26</definedName>
    <definedName name="Today" localSheetId="7">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47" l="1"/>
  <c r="A6" i="47"/>
  <c r="A7" i="47"/>
  <c r="A8" i="47"/>
  <c r="A9" i="47"/>
  <c r="A10" i="47"/>
  <c r="A11" i="47"/>
  <c r="A12" i="47"/>
  <c r="A13" i="47"/>
  <c r="A14" i="47"/>
  <c r="A15" i="47"/>
  <c r="A16" i="47"/>
  <c r="A17" i="47"/>
  <c r="A18" i="47"/>
  <c r="A19" i="47"/>
  <c r="A20" i="47"/>
  <c r="F49" i="51" l="1"/>
  <c r="F50" i="51" s="1"/>
  <c r="F51" i="51" s="1"/>
  <c r="F52" i="51" s="1"/>
  <c r="F53" i="51" s="1"/>
  <c r="F54" i="51" s="1"/>
  <c r="F55" i="51" s="1"/>
  <c r="F56" i="51" s="1"/>
  <c r="F57" i="51" s="1"/>
  <c r="F58" i="51" s="1"/>
  <c r="F59" i="51" s="1"/>
  <c r="F60" i="51" s="1"/>
  <c r="F61" i="51" s="1"/>
  <c r="F62" i="51" s="1"/>
  <c r="F63" i="51" s="1"/>
  <c r="F64" i="51" s="1"/>
  <c r="F66" i="51" s="1"/>
  <c r="F67" i="51" s="1"/>
  <c r="F68" i="51" s="1"/>
  <c r="F69" i="51" s="1"/>
  <c r="F70" i="51" s="1"/>
  <c r="F71" i="51" s="1"/>
  <c r="F72" i="51" s="1"/>
  <c r="F73" i="51" s="1"/>
  <c r="F74" i="51" s="1"/>
  <c r="F75" i="51" s="1"/>
  <c r="F76" i="51" s="1"/>
  <c r="F77" i="51" s="1"/>
  <c r="F78" i="51" s="1"/>
  <c r="F79" i="51" s="1"/>
  <c r="F80" i="51" s="1"/>
  <c r="F81" i="51" s="1"/>
  <c r="F82" i="51" s="1"/>
  <c r="F83" i="51" s="1"/>
  <c r="F84" i="51" s="1"/>
  <c r="F85" i="51" s="1"/>
  <c r="F86" i="51" s="1"/>
  <c r="G21" i="51"/>
  <c r="G22" i="51" s="1"/>
  <c r="E47" i="19"/>
  <c r="L88" i="51"/>
  <c r="J31" i="51"/>
  <c r="J32" i="51" s="1"/>
  <c r="J33" i="51" s="1"/>
  <c r="J28" i="51"/>
  <c r="J9" i="51"/>
  <c r="J11" i="51" s="1"/>
  <c r="J12" i="51" s="1"/>
  <c r="J14" i="51" s="1"/>
  <c r="J15" i="51" s="1"/>
  <c r="J16" i="51" s="1"/>
  <c r="J17" i="51" s="1"/>
  <c r="J18" i="51" s="1"/>
  <c r="J19" i="51" s="1"/>
  <c r="J20" i="51" s="1"/>
  <c r="J21" i="51" s="1"/>
  <c r="D88" i="51"/>
  <c r="B8" i="51"/>
  <c r="B9" i="51" s="1"/>
  <c r="B19" i="51" s="1"/>
  <c r="B26" i="51" s="1"/>
  <c r="B6" i="51"/>
  <c r="F15" i="51"/>
  <c r="F18" i="51"/>
  <c r="F17" i="51" s="1"/>
  <c r="F20" i="51"/>
  <c r="F21" i="51" s="1"/>
  <c r="F24" i="51" s="1"/>
  <c r="F25" i="51" s="1"/>
  <c r="F26" i="51" s="1"/>
  <c r="F28" i="51" s="1"/>
  <c r="F29" i="51" s="1"/>
  <c r="F30" i="51" s="1"/>
  <c r="F31" i="51" s="1"/>
  <c r="F32" i="51" s="1"/>
  <c r="F33" i="51" s="1"/>
  <c r="F34" i="51" s="1"/>
  <c r="F35" i="51" s="1"/>
  <c r="F37" i="51" s="1"/>
  <c r="F38" i="51" s="1"/>
  <c r="F39" i="51" s="1"/>
  <c r="F40" i="51" s="1"/>
  <c r="F41" i="51" s="1"/>
  <c r="F42" i="51" s="1"/>
  <c r="F43" i="51" s="1"/>
  <c r="F44" i="51" s="1"/>
  <c r="F45" i="51" s="1"/>
  <c r="F46" i="51" s="1"/>
  <c r="F47" i="51" s="1"/>
  <c r="J57" i="1"/>
  <c r="F57" i="1" s="1"/>
  <c r="B20" i="1" s="1"/>
  <c r="P88" i="51"/>
  <c r="G23" i="51" l="1"/>
  <c r="G24" i="51" s="1"/>
  <c r="G25" i="51" s="1"/>
  <c r="G26" i="51" s="1"/>
  <c r="G27" i="51" s="1"/>
  <c r="G28" i="51" s="1"/>
  <c r="G29" i="51" s="1"/>
  <c r="G30" i="51" s="1"/>
  <c r="G31" i="51" s="1"/>
  <c r="G32" i="51" s="1"/>
  <c r="G33" i="51" s="1"/>
  <c r="G34" i="51" s="1"/>
  <c r="G35" i="51" s="1"/>
  <c r="G36" i="51" s="1"/>
  <c r="G37" i="51" s="1"/>
  <c r="G38" i="51" s="1"/>
  <c r="G39" i="51" s="1"/>
  <c r="G40" i="51" s="1"/>
  <c r="G41" i="51" s="1"/>
  <c r="G43" i="51" s="1"/>
  <c r="G44" i="51" s="1"/>
  <c r="G45" i="51" s="1"/>
  <c r="G46" i="51" s="1"/>
  <c r="G47" i="51" s="1"/>
  <c r="G49" i="51" s="1"/>
  <c r="G50" i="51" s="1"/>
  <c r="G51" i="51" s="1"/>
  <c r="G52" i="51" s="1"/>
  <c r="G53" i="51" s="1"/>
  <c r="G54" i="51" s="1"/>
  <c r="G55" i="51" s="1"/>
  <c r="G56" i="51" s="1"/>
  <c r="G57" i="51" s="1"/>
  <c r="G58" i="51" s="1"/>
  <c r="G59" i="51" s="1"/>
  <c r="G60" i="51" s="1"/>
  <c r="G61" i="51" s="1"/>
  <c r="G62" i="51" s="1"/>
  <c r="G63" i="51" s="1"/>
  <c r="G64" i="51" s="1"/>
  <c r="G66" i="51" s="1"/>
  <c r="G67" i="51" s="1"/>
  <c r="G68" i="51" s="1"/>
  <c r="G69" i="51" s="1"/>
  <c r="G70" i="51" s="1"/>
  <c r="G71" i="51" s="1"/>
  <c r="G72" i="51" s="1"/>
  <c r="G73" i="51" s="1"/>
  <c r="G74" i="51" s="1"/>
  <c r="G75" i="51" s="1"/>
  <c r="G76" i="51" s="1"/>
  <c r="G77" i="51" s="1"/>
  <c r="G78" i="51" s="1"/>
  <c r="G79" i="51" s="1"/>
  <c r="G80" i="51" s="1"/>
  <c r="G81" i="51" s="1"/>
  <c r="G82" i="51" s="1"/>
  <c r="G83" i="51" s="1"/>
  <c r="G84" i="51" s="1"/>
  <c r="G85" i="51" s="1"/>
  <c r="G86" i="51" s="1"/>
  <c r="B25" i="1"/>
  <c r="B23" i="1"/>
  <c r="H88" i="51" l="1"/>
  <c r="B21" i="1" s="1"/>
  <c r="G10" i="13"/>
  <c r="G9" i="13"/>
  <c r="G8" i="13"/>
  <c r="G7" i="13"/>
  <c r="G6" i="13"/>
  <c r="G5" i="13"/>
  <c r="G4" i="13"/>
  <c r="F19" i="21"/>
  <c r="F18" i="21"/>
  <c r="F17" i="21"/>
  <c r="F16" i="21"/>
  <c r="F15" i="21"/>
  <c r="F14" i="21"/>
  <c r="P4" i="1" l="1"/>
  <c r="P26" i="1"/>
  <c r="Q31" i="1" s="1"/>
  <c r="F20" i="4" l="1"/>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F23" i="6" l="1"/>
  <c r="F42" i="6"/>
  <c r="G44" i="6" l="1"/>
  <c r="A57" i="33"/>
  <c r="D12" i="1"/>
  <c r="B37" i="33" l="1"/>
  <c r="I16" i="33"/>
  <c r="C37" i="33" l="1"/>
  <c r="B24" i="33"/>
  <c r="F14" i="33" s="1"/>
  <c r="I52" i="33"/>
  <c r="C38" i="33"/>
  <c r="I61" i="33"/>
  <c r="G7" i="1"/>
  <c r="I1" i="33"/>
  <c r="I74" i="33"/>
  <c r="K27" i="1"/>
  <c r="C14" i="33"/>
  <c r="H19" i="33"/>
  <c r="H25" i="33" s="1"/>
  <c r="D14" i="33" l="1"/>
  <c r="B14" i="33" s="1"/>
  <c r="E45" i="19"/>
  <c r="H32" i="33"/>
  <c r="H41" i="33" l="1"/>
  <c r="F15" i="1" l="1"/>
  <c r="I31" i="33"/>
  <c r="D18" i="1"/>
  <c r="D16" i="1"/>
  <c r="F13" i="1"/>
  <c r="H14" i="1"/>
  <c r="F14" i="1"/>
  <c r="H15" i="1" l="1"/>
  <c r="H7" i="1"/>
  <c r="H42" i="1" l="1"/>
  <c r="D37" i="33"/>
  <c r="G12" i="1"/>
  <c r="B3" i="3"/>
  <c r="B4" i="3" s="1"/>
  <c r="F4" i="3" s="1"/>
  <c r="F27" i="4"/>
  <c r="F26" i="4"/>
  <c r="G7" i="3" l="1"/>
  <c r="B5" i="3"/>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S43" i="19"/>
  <c r="R43" i="19"/>
  <c r="Q43" i="19"/>
  <c r="P43" i="19"/>
  <c r="O43" i="19"/>
  <c r="L43" i="19" l="1"/>
  <c r="E6" i="21"/>
  <c r="E9" i="21"/>
  <c r="N43" i="19" l="1"/>
  <c r="F24" i="33" l="1"/>
  <c r="M43" i="19" l="1"/>
  <c r="K43" i="19"/>
  <c r="F10" i="4" l="1"/>
  <c r="F8" i="4"/>
  <c r="F7" i="4"/>
  <c r="F11" i="4"/>
  <c r="F9" i="4"/>
  <c r="F6" i="4"/>
  <c r="F5" i="4"/>
  <c r="F4" i="4"/>
  <c r="F17" i="4"/>
  <c r="F16" i="4"/>
  <c r="F18" i="4"/>
  <c r="J4" i="4" l="1"/>
  <c r="G15" i="37"/>
  <c r="A18" i="37" l="1"/>
  <c r="A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48" i="19" s="1"/>
  <c r="E6" i="37"/>
  <c r="C48" i="19" l="1"/>
  <c r="E23" i="37"/>
  <c r="F13" i="21"/>
  <c r="F12" i="21"/>
  <c r="F11" i="21"/>
  <c r="F10" i="21"/>
  <c r="F9" i="21"/>
  <c r="F8" i="21"/>
  <c r="F7" i="21"/>
  <c r="F6" i="21"/>
  <c r="F5" i="21"/>
  <c r="F4" i="21"/>
  <c r="F3" i="21"/>
  <c r="M4" i="37" a="1"/>
  <c r="M4" i="37" s="1"/>
  <c r="G21" i="21" l="1"/>
  <c r="G8" i="37" s="1"/>
  <c r="A2" i="37"/>
  <c r="B2" i="36"/>
  <c r="O27" i="37" l="1"/>
  <c r="O24" i="37"/>
  <c r="O26" i="37"/>
  <c r="D14" i="16"/>
  <c r="D13" i="16"/>
  <c r="D12" i="16"/>
  <c r="D11" i="16"/>
  <c r="D10" i="16"/>
  <c r="D9" i="16"/>
  <c r="D8" i="16"/>
  <c r="D7" i="16"/>
  <c r="D5" i="16"/>
  <c r="D4" i="16"/>
  <c r="A4" i="37"/>
  <c r="B4" i="37"/>
  <c r="F2" i="37"/>
  <c r="D16" i="16" l="1"/>
  <c r="G17" i="37" s="1"/>
  <c r="H17" i="37" s="1"/>
  <c r="O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O25" i="37" s="1"/>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F21" i="15" l="1"/>
  <c r="B17" i="37"/>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B18" i="37" l="1"/>
  <c r="B19" i="37" s="1"/>
  <c r="B20" i="37" s="1"/>
  <c r="B21" i="37" s="1"/>
  <c r="B22" i="37" s="1"/>
  <c r="B24" i="37" s="1"/>
  <c r="B25" i="37" s="1"/>
  <c r="B26" i="37" s="1"/>
  <c r="B27" i="37" s="1"/>
  <c r="G10" i="37"/>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D19" i="1"/>
  <c r="F50" i="34" l="1"/>
  <c r="F23" i="35"/>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F23" i="22"/>
  <c r="G11" i="37" s="1"/>
  <c r="H11" i="37" s="1"/>
  <c r="E12" i="18"/>
  <c r="E5" i="18"/>
  <c r="F44" i="20"/>
  <c r="E28" i="20"/>
  <c r="E27" i="20"/>
  <c r="E25" i="20"/>
  <c r="E24" i="20"/>
  <c r="E23" i="20"/>
  <c r="E22" i="20"/>
  <c r="E21" i="20"/>
  <c r="E20" i="20"/>
  <c r="E18" i="20"/>
  <c r="E16" i="20"/>
  <c r="E14" i="20"/>
  <c r="E13" i="20"/>
  <c r="E10" i="20"/>
  <c r="E7" i="20"/>
  <c r="E4" i="20"/>
  <c r="F30" i="20" l="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G12" i="37"/>
  <c r="H12" i="37" s="1"/>
  <c r="O12"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G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21" i="4"/>
  <c r="F19" i="4"/>
  <c r="G14" i="13"/>
  <c r="G13" i="13"/>
  <c r="G12" i="13"/>
  <c r="D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D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G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H17" i="13"/>
  <c r="G18" i="37" s="1"/>
  <c r="H18" i="37" s="1"/>
  <c r="O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M30"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D7" i="1"/>
  <c r="E9" i="1" s="1"/>
  <c r="G14" i="33" l="1"/>
  <c r="I20" i="33" s="1"/>
  <c r="C47" i="19"/>
  <c r="H29" i="1"/>
  <c r="H39" i="1" s="1"/>
  <c r="I42" i="1" s="1"/>
  <c r="F29" i="1"/>
  <c r="E39" i="33"/>
  <c r="E15" i="33"/>
  <c r="E25"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E17" i="33" l="1"/>
  <c r="F34" i="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51" i="19" l="1"/>
  <c r="E27" i="33"/>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4" i="19" l="1"/>
  <c r="C46" i="19"/>
  <c r="C51" i="19" l="1"/>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<sst xmlns="http://schemas.openxmlformats.org/spreadsheetml/2006/main" count="1160" uniqueCount="731">
  <si>
    <t>Flip, Hold or Wholetale:</t>
  </si>
  <si>
    <t>flip</t>
  </si>
  <si>
    <t>Buy</t>
  </si>
  <si>
    <t>Your Home LLC</t>
  </si>
  <si>
    <t>3325 Banks Rd, Raleigh, NC 27603</t>
  </si>
  <si>
    <t>Monthly Cash Flow</t>
  </si>
  <si>
    <t>Hearing Date:</t>
  </si>
  <si>
    <t>Income</t>
  </si>
  <si>
    <t>Immediate</t>
  </si>
  <si>
    <t>Upon Sale</t>
  </si>
  <si>
    <t>CMA:</t>
  </si>
  <si>
    <t>Finalized:</t>
  </si>
  <si>
    <t>No</t>
  </si>
  <si>
    <t>Todays' date:</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</si>
  <si>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</si>
  <si>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</si>
  <si>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</si>
  <si>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</si>
  <si>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</si>
  <si>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</si>
  <si>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</si>
  <si>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</si>
  <si>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</si>
  <si>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</si>
  <si>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</si>
  <si>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</si>
  <si>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</si>
  <si>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</si>
  <si>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</si>
  <si>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</si>
  <si>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</si>
  <si>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</si>
  <si>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</si>
  <si>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</si>
  <si>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</si>
  <si>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</si>
  <si>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</si>
  <si>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</si>
  <si>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</si>
  <si>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</si>
  <si>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</si>
  <si>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</si>
  <si>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1st Mortgage</t>
  </si>
  <si>
    <t>Carrying Cost</t>
  </si>
  <si>
    <t>Purchase  Cost</t>
  </si>
  <si>
    <t>Private Lender</t>
  </si>
  <si>
    <t>Neal Issacs</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</si>
  <si>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</si>
  <si>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</si>
  <si>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</si>
  <si>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</si>
  <si>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</si>
  <si>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</si>
  <si>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</si>
  <si>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</si>
  <si>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</si>
  <si>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</si>
  <si>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</si>
  <si>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</si>
  <si>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</si>
  <si>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</si>
  <si>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</si>
  <si>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</si>
  <si>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</si>
  <si>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</si>
  <si>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</si>
  <si>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</si>
  <si>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</si>
  <si>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</si>
  <si>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</si>
  <si>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</si>
  <si>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</si>
  <si>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</si>
  <si>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</si>
  <si>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</si>
  <si>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</si>
  <si>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</si>
  <si>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</si>
  <si>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</si>
  <si>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</si>
  <si>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</si>
  <si>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</si>
  <si>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</si>
  <si>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</si>
  <si>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</si>
  <si>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</si>
  <si>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</si>
  <si>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</si>
  <si>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</si>
  <si>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</si>
  <si>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</si>
  <si>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</si>
  <si>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</si>
  <si>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</si>
  <si>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</si>
  <si>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</si>
  <si>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</si>
  <si>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</si>
  <si>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</si>
  <si>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</si>
  <si>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</si>
  <si>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</si>
  <si>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</si>
  <si>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</si>
  <si>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</si>
  <si>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</si>
  <si>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</si>
  <si>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</si>
  <si>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</si>
  <si>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</si>
  <si>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</si>
  <si>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</si>
  <si>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</si>
  <si>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</si>
  <si>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</si>
  <si>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</si>
  <si>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</si>
  <si>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</si>
  <si>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</si>
  <si>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</si>
  <si>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</si>
  <si>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</si>
  <si>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</si>
  <si>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</si>
  <si>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</si>
  <si>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</si>
  <si>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</si>
  <si>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</si>
  <si>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</si>
  <si>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</si>
  <si>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</si>
  <si>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</si>
  <si>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</si>
  <si>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</si>
  <si>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</si>
  <si>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</si>
  <si>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</si>
  <si>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</si>
  <si>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</si>
  <si>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</si>
  <si>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</si>
  <si>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</si>
  <si>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</si>
  <si>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</si>
  <si>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</si>
  <si>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</si>
  <si>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</si>
  <si>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</si>
  <si>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</si>
  <si>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</si>
  <si>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</si>
  <si>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</si>
  <si>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</si>
  <si>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</si>
  <si>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</si>
  <si>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</si>
  <si>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</si>
  <si>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</si>
  <si>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</si>
  <si>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</si>
  <si>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</si>
  <si>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</si>
  <si>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6004  Sandy Run</t>
  </si>
  <si>
    <t>Larchmont</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</si>
  <si>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</si>
  <si>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</si>
  <si>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</si>
  <si>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</si>
  <si>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</si>
  <si>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</si>
  <si>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</si>
  <si>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</si>
  <si>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</si>
  <si>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</si>
  <si>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</si>
  <si>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</si>
  <si>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</si>
  <si>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</si>
  <si>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</si>
  <si>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</si>
  <si>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Yes (2)</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</si>
  <si>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</si>
  <si>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</si>
  <si>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</si>
  <si>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</si>
  <si>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</si>
  <si>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</si>
  <si>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</si>
  <si>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</si>
  <si>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</si>
  <si>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</si>
  <si>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</si>
  <si>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</si>
  <si>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</si>
  <si>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In progress</t>
  </si>
  <si>
    <t>Order Dumpster</t>
  </si>
  <si>
    <t>n/a</t>
  </si>
  <si>
    <t>A/C service</t>
  </si>
  <si>
    <t>Establish Mortgage payment</t>
  </si>
  <si>
    <t>Remove PMI</t>
  </si>
  <si>
    <t>Claim Property on Zillow</t>
  </si>
  <si>
    <t xml:space="preserve">yes  </t>
  </si>
  <si>
    <t>Add property to Our Website</t>
  </si>
  <si>
    <t>Make sure deed and agreement are done</t>
  </si>
  <si>
    <t>Change Insurance</t>
  </si>
  <si>
    <t>Get Insurance payments installed</t>
  </si>
  <si>
    <t>Add Private Lender to Insurance</t>
  </si>
  <si>
    <t>In progess Add Scott Moore</t>
  </si>
  <si>
    <t>Probate letters - Notice to Creditors</t>
  </si>
  <si>
    <t>Upon Sales Contract</t>
  </si>
  <si>
    <t>Send Clay contract</t>
  </si>
  <si>
    <t>Get Payoff Letter from Mortgage</t>
  </si>
  <si>
    <t>Respond to Closing Attorney</t>
  </si>
  <si>
    <t>Turn off utilities</t>
  </si>
  <si>
    <t>Alert Private Lenders</t>
  </si>
  <si>
    <t>Upon Closing</t>
  </si>
  <si>
    <t>Documents to send to Clay</t>
  </si>
  <si>
    <t>Send Clay CD/Alta signed by all</t>
  </si>
  <si>
    <t>Drop Insurance</t>
  </si>
  <si>
    <t>Totals Across Projects</t>
  </si>
  <si>
    <t>Total CMA:</t>
  </si>
  <si>
    <t>Total Purchase Cost:</t>
  </si>
  <si>
    <t>Total Rehab Expense:</t>
  </si>
  <si>
    <t>Total Debt</t>
  </si>
  <si>
    <t>Monthly Carring Cost:</t>
  </si>
  <si>
    <t>Monthly Income: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</si>
  <si>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</si>
  <si>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</si>
  <si>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</si>
  <si>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</si>
  <si>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</si>
  <si>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</si>
  <si>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</si>
  <si>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</si>
  <si>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</si>
  <si>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</si>
  <si>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</si>
  <si>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</si>
  <si>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</si>
  <si>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</si>
  <si>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</si>
  <si>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Zola Turner</t>
  </si>
  <si>
    <t>SS#: 404-54-1686</t>
  </si>
  <si>
    <t>Karen Reilly</t>
  </si>
  <si>
    <t>SS#: 244-23-5473</t>
  </si>
  <si>
    <t>Could be SS#: 244-23-5173</t>
  </si>
  <si>
    <t>Scooby Steve Power Wash</t>
  </si>
  <si>
    <t>919-714-9713</t>
  </si>
  <si>
    <t>Steve Simeus</t>
  </si>
  <si>
    <t>Power Wash</t>
  </si>
  <si>
    <t>Mortgagee</t>
  </si>
  <si>
    <t>Additional Insured</t>
  </si>
  <si>
    <t>Loss Payee</t>
  </si>
  <si>
    <t>Lenders Loss Payee</t>
  </si>
  <si>
    <t>Certificate</t>
  </si>
  <si>
    <t>Braswell Realty</t>
  </si>
  <si>
    <t>919-262-6828</t>
  </si>
  <si>
    <t>Brantley Baker</t>
  </si>
  <si>
    <t>brantley@eldridgeandfranklin.com</t>
  </si>
  <si>
    <t>RE Investor - contacts</t>
  </si>
  <si>
    <t>Rushmore Loan Services</t>
  </si>
  <si>
    <t>919 579 8743</t>
  </si>
  <si>
    <t>LaLogallazo@gmail.com</t>
  </si>
  <si>
    <t>Painter</t>
  </si>
  <si>
    <t>Handyman of Hedingham</t>
  </si>
  <si>
    <t>919-819-6201</t>
  </si>
  <si>
    <t>Tim Fleming</t>
  </si>
  <si>
    <t>Handyman</t>
  </si>
  <si>
    <t>Hedingham</t>
  </si>
  <si>
    <t>LoLa Turner</t>
  </si>
  <si>
    <t>The Raleigh Handyman</t>
  </si>
  <si>
    <t>919-210-1525</t>
  </si>
  <si>
    <t>Alan C Thompson</t>
  </si>
  <si>
    <t>ac63yhompson@gmail.com</t>
  </si>
  <si>
    <t>Scott Moore</t>
  </si>
  <si>
    <t>Caliber Flooring, Inc</t>
  </si>
  <si>
    <t>919-977-1153</t>
  </si>
  <si>
    <t>Jennifer Lynn</t>
  </si>
  <si>
    <t xml:space="preserve">Flooring </t>
  </si>
  <si>
    <t>1239 Wicker Drive</t>
  </si>
  <si>
    <t>Referral Sarah Huffman</t>
  </si>
  <si>
    <t>Andy  Carlson</t>
  </si>
  <si>
    <t>(213) 293-7539</t>
  </si>
  <si>
    <t>andycarlson27@yahoo.com</t>
  </si>
  <si>
    <t>True Service Heating and AC</t>
  </si>
  <si>
    <t>919 794 1804</t>
  </si>
  <si>
    <t>Matt Truelove</t>
  </si>
  <si>
    <t>Matt@trueserviceinc.com</t>
  </si>
  <si>
    <t>Walter Brothers</t>
  </si>
  <si>
    <t>919 228 9107</t>
  </si>
  <si>
    <t>Walter@GlasgowDB.com</t>
  </si>
  <si>
    <t>Rushmore Loan Mangement</t>
  </si>
  <si>
    <t>888 504 6700</t>
  </si>
  <si>
    <t>888 504 7200</t>
  </si>
  <si>
    <t>User:WesWill@BuyYourHomeLLC.com</t>
  </si>
  <si>
    <t>PW:w3638B0@</t>
  </si>
  <si>
    <t>New Mortage Info:</t>
  </si>
  <si>
    <t>877 888 4606</t>
  </si>
  <si>
    <t>Loan #708108824</t>
  </si>
  <si>
    <t>https://www.rushmoreservicing.com</t>
  </si>
  <si>
    <t>Rushmore Servicing</t>
  </si>
  <si>
    <t>Att: Payment Processing</t>
  </si>
  <si>
    <t>PO BOX 650783</t>
  </si>
  <si>
    <t>Dallas, TX 75265-0783</t>
  </si>
  <si>
    <t>3rd party authorization</t>
  </si>
  <si>
    <t>Fax 949 341 2242</t>
  </si>
  <si>
    <t>sent on 9/21/21</t>
  </si>
  <si>
    <t>PW:W3638B0@</t>
  </si>
  <si>
    <t>SS# 404 54 1686</t>
  </si>
  <si>
    <t>SS# 244 23 5473</t>
  </si>
  <si>
    <t>NREIG</t>
  </si>
  <si>
    <t>770 734 1523</t>
  </si>
  <si>
    <t>Jennifer Knight</t>
  </si>
  <si>
    <t>NRE8120320</t>
  </si>
  <si>
    <t>https://nreig.com/contact/</t>
  </si>
  <si>
    <t>Insurance National Real Estate Insurance Group LLC</t>
  </si>
  <si>
    <t>Morgagee Clause: Truest Bank ISAOA/ATIMA, PO Box 47047,Atlanta GA, 30362</t>
  </si>
  <si>
    <t>juriscition</t>
  </si>
  <si>
    <t>Wake County</t>
  </si>
  <si>
    <t>Zoning</t>
  </si>
  <si>
    <t>R-30</t>
  </si>
  <si>
    <t>Acres</t>
  </si>
  <si>
    <t>All Utilities</t>
  </si>
  <si>
    <t>Mortgage Payment paid after Reinstatement</t>
  </si>
  <si>
    <t>Insurance Payments</t>
  </si>
  <si>
    <t>Aqua America (Water)</t>
  </si>
  <si>
    <t>Utility</t>
  </si>
  <si>
    <t>Date</t>
  </si>
  <si>
    <t>Tax</t>
  </si>
  <si>
    <t>payment</t>
  </si>
  <si>
    <t>Duke</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</si>
  <si>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</si>
  <si>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</si>
  <si>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</si>
  <si>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</si>
  <si>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</si>
  <si>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</si>
  <si>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</si>
  <si>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</si>
  <si>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</si>
  <si>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</si>
  <si>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</si>
  <si>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</si>
  <si>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</si>
  <si>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</si>
  <si>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</si>
  <si>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</si>
  <si>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</si>
  <si>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</si>
  <si>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</si>
  <si>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</si>
  <si>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</si>
  <si>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</si>
  <si>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</si>
  <si>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</si>
  <si>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</si>
  <si>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</si>
  <si>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Clean out House</t>
  </si>
  <si>
    <t>Contract</t>
  </si>
  <si>
    <t>Deck labor</t>
  </si>
  <si>
    <t>Deck material</t>
  </si>
  <si>
    <t>... Demo</t>
  </si>
  <si>
    <t>Demo labor</t>
  </si>
  <si>
    <t>20 Millwork &amp; Trim</t>
  </si>
  <si>
    <t>22 Specialty</t>
  </si>
  <si>
    <t>Bath Accessories</t>
  </si>
  <si>
    <t>Building Permits</t>
  </si>
  <si>
    <t>Electrical &amp; Lighting</t>
  </si>
  <si>
    <t>Frame labor</t>
  </si>
  <si>
    <t>Frame materials</t>
  </si>
  <si>
    <t>Insulation</t>
  </si>
  <si>
    <t>Landscaping &amp; Paving</t>
  </si>
  <si>
    <t>Miscellaneous</t>
  </si>
  <si>
    <t>Plumbing</t>
  </si>
  <si>
    <t>Siding labor</t>
  </si>
  <si>
    <t>Siding material</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</si>
  <si>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</si>
  <si>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</si>
  <si>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</si>
  <si>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</si>
  <si>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</si>
  <si>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</si>
  <si>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</si>
  <si>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</si>
  <si>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</si>
  <si>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</si>
  <si>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</si>
  <si>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</si>
  <si>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</si>
  <si>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</si>
  <si>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</si>
  <si>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</si>
  <si>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</si>
  <si>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</si>
  <si>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</si>
  <si>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</si>
  <si>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</si>
  <si>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</si>
  <si>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</si>
  <si>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</si>
  <si>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</si>
  <si>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</si>
  <si>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</si>
  <si>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</si>
  <si>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</si>
  <si>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</si>
  <si>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</si>
  <si>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</si>
  <si>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</si>
  <si>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</si>
  <si>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</si>
  <si>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</si>
  <si>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</si>
  <si>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</si>
  <si>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</si>
  <si>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</si>
  <si>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</si>
  <si>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</si>
  <si>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</si>
  <si>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</si>
  <si>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</si>
  <si>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</si>
  <si>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</si>
  <si>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</si>
  <si>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</si>
  <si>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</si>
  <si>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</si>
  <si>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</si>
  <si>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</si>
  <si>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Esitimate on new build</t>
  </si>
  <si>
    <t>Scrolling Increment:</t>
  </si>
  <si>
    <t>Remodeling Solutions</t>
  </si>
  <si>
    <t>Design Plans</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</si>
  <si>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</si>
  <si>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</si>
  <si>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</si>
  <si>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</si>
  <si>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</si>
  <si>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</si>
  <si>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</si>
  <si>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</si>
  <si>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Tax Event</t>
  </si>
  <si>
    <t>19-22</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</si>
  <si>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</si>
  <si>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</si>
  <si>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</si>
  <si>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</si>
  <si>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</si>
  <si>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</si>
  <si>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</si>
  <si>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</si>
  <si>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</si>
  <si>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</si>
  <si>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</si>
  <si>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</si>
  <si>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</si>
  <si>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</si>
  <si>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</si>
  <si>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</si>
  <si>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</si>
  <si>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</si>
  <si>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</si>
  <si>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</si>
  <si>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</si>
  <si>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</si>
  <si>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</si>
  <si>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</si>
  <si>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</si>
  <si>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</si>
  <si>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</si>
  <si>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</si>
  <si>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</si>
  <si>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</si>
  <si>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</si>
  <si>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</si>
  <si>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Appliances</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</si>
  <si>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</si>
  <si>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</si>
  <si>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</si>
  <si>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</si>
  <si>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</si>
  <si>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</si>
  <si>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</si>
  <si>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</si>
  <si>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</si>
  <si>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</si>
  <si>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</si>
  <si>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</si>
  <si>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</si>
  <si>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</si>
  <si>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</si>
  <si>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</si>
  <si>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</si>
  <si>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</si>
  <si>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</si>
  <si>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</si>
  <si>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</si>
  <si>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</si>
  <si>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</si>
  <si>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</si>
  <si>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</si>
  <si>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</si>
  <si>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</si>
  <si>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</si>
  <si>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</si>
  <si>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</si>
  <si>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</si>
  <si>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</si>
  <si>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</si>
  <si>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</si>
  <si>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</si>
  <si>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</si>
  <si>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</si>
  <si>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</si>
  <si>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</si>
  <si>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</si>
  <si>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</si>
  <si>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</si>
  <si>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</si>
  <si>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</si>
  <si>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</si>
  <si>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</si>
  <si>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</si>
  <si>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</si>
  <si>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</si>
  <si>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</si>
  <si>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</si>
  <si>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</si>
  <si>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</si>
  <si>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</si>
  <si>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</si>
  <si>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</si>
  <si>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</si>
  <si>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</si>
  <si>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</si>
  <si>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</si>
  <si>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</si>
  <si>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</si>
  <si>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</si>
  <si>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</si>
  <si>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Carge</t>
  </si>
  <si>
    <t>Sub Total</t>
  </si>
  <si>
    <t>Meridian</t>
  </si>
  <si>
    <t>15 Yrd Delivery</t>
  </si>
  <si>
    <t>15 yard Haul swap</t>
  </si>
  <si>
    <t>C&amp;D Disp</t>
  </si>
  <si>
    <t>Fuel Surcharge</t>
  </si>
  <si>
    <t>Dest Fee</t>
  </si>
  <si>
    <t>Admin Fee</t>
  </si>
  <si>
    <t>Environmental Fee</t>
  </si>
  <si>
    <t>Inv 1</t>
  </si>
  <si>
    <t>inv 2</t>
  </si>
  <si>
    <t>Inv 4816485</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</si>
  <si>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</si>
  <si>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</si>
  <si>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</si>
  <si>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</si>
  <si>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</si>
  <si>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</si>
  <si>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</si>
  <si>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</si>
  <si>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</si>
  <si>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</si>
  <si>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</si>
  <si>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</si>
  <si>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</si>
  <si>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</si>
  <si>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</si>
  <si>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</si>
  <si>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</si>
  <si>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</si>
  <si>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</si>
  <si>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</si>
  <si>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</si>
  <si>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</si>
  <si>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</si>
  <si>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</si>
  <si>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</si>
  <si>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</si>
  <si>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</si>
  <si>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</si>
  <si>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</si>
  <si>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</si>
  <si>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</si>
  <si>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</si>
  <si>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</si>
  <si>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</si>
  <si>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</si>
  <si>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</si>
  <si>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</si>
  <si>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</si>
  <si>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</si>
  <si>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</si>
  <si>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</si>
  <si>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</si>
  <si>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</si>
  <si>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</si>
  <si>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</si>
  <si>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</si>
  <si>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</si>
  <si>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</si>
  <si>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</si>
  <si>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</si>
  <si>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</si>
  <si>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</si>
  <si>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</si>
  <si>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</si>
  <si>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</si>
  <si>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</si>
  <si>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</si>
  <si>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</si>
  <si>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</si>
  <si>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</si>
  <si>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</si>
  <si>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</si>
  <si>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</si>
  <si>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</si>
  <si>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</si>
  <si>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</si>
  <si>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</si>
  <si>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</si>
  <si>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</si>
  <si>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</si>
  <si>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</si>
  <si>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</si>
  <si>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</si>
  <si>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</si>
  <si>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</si>
  <si>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</si>
  <si>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</si>
  <si>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</si>
  <si>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</si>
  <si>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</si>
  <si>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</si>
  <si>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Satin Nick cabinet knob</t>
  </si>
  <si>
    <t>Arched 3" Drawer pull</t>
  </si>
  <si>
    <t>Lowes 10 pk Matte Black Knob</t>
  </si>
  <si>
    <t>HD Satin Nickel Knobs</t>
  </si>
  <si>
    <t>Paint</t>
  </si>
  <si>
    <t>Sq Ft</t>
  </si>
  <si>
    <t>Interior Wall Paint</t>
  </si>
  <si>
    <t xml:space="preserve">SW   </t>
  </si>
  <si>
    <t>6509-48698</t>
  </si>
  <si>
    <t>SW</t>
  </si>
  <si>
    <t>6510-78628</t>
  </si>
  <si>
    <t>5 gal Lowes Kilz</t>
  </si>
  <si>
    <t>6508-68102</t>
  </si>
  <si>
    <t>HD Behr Int/ext black paint</t>
  </si>
  <si>
    <t>HD White Int/ext white paint</t>
  </si>
  <si>
    <t>HD 5 gal Wh Flat Int ceiling</t>
  </si>
  <si>
    <t>Valspar</t>
  </si>
  <si>
    <t>L1028086</t>
  </si>
  <si>
    <t>SW 5galover White</t>
  </si>
  <si>
    <t>6504-06788</t>
  </si>
  <si>
    <t>Kitchen Cabinets</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</si>
  <si>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</si>
  <si>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</si>
  <si>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</si>
  <si>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</si>
  <si>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</si>
  <si>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</si>
  <si>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</si>
  <si>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</si>
  <si>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Ongoing tax</t>
  </si>
  <si>
    <t>Lowes Sub Total for Paint</t>
  </si>
  <si>
    <t>Inside</t>
  </si>
  <si>
    <t>Front Porch</t>
  </si>
  <si>
    <t>Back Porch</t>
  </si>
  <si>
    <t>Floor</t>
  </si>
  <si>
    <t>LVP Floor Installation</t>
  </si>
  <si>
    <t>LVP Floor Repair RediCarpet #2</t>
  </si>
  <si>
    <t>LVP Floor RediCarpet #1</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</si>
  <si>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</si>
  <si>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</si>
  <si>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</si>
  <si>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</si>
  <si>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</si>
  <si>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</si>
  <si>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</si>
  <si>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</si>
  <si>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</si>
  <si>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</si>
  <si>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</si>
  <si>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</si>
  <si>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</si>
  <si>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</si>
  <si>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</si>
  <si>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</si>
  <si>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</si>
  <si>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</si>
  <si>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</si>
  <si>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</si>
  <si>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</si>
  <si>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</si>
  <si>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</si>
  <si>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</si>
  <si>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</si>
  <si>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</si>
  <si>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</si>
  <si>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</si>
  <si>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</si>
  <si>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</si>
  <si>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</si>
  <si>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</si>
  <si>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</si>
  <si>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</si>
  <si>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Cost/sf</t>
  </si>
  <si>
    <t>Square Feet</t>
  </si>
  <si>
    <t>cost/unit</t>
  </si>
  <si>
    <t>SubTotal</t>
  </si>
  <si>
    <t>Andrew</t>
  </si>
  <si>
    <t>6/23/22-11/15/23</t>
  </si>
  <si>
    <t>Grenview Works</t>
  </si>
  <si>
    <t>Mow Grass 8/5/23</t>
  </si>
  <si>
    <t>Mow Grass 10/2/23</t>
  </si>
  <si>
    <t>Mow Grass 11/2/23</t>
  </si>
  <si>
    <t>Mow Grass 4/24/24</t>
  </si>
  <si>
    <t>Mow Grass 5/25/24</t>
  </si>
  <si>
    <t>Cost/item</t>
  </si>
  <si>
    <t>Hourly Rate:</t>
  </si>
  <si>
    <t>Lowes Mailbox</t>
  </si>
  <si>
    <t>Mailbox post</t>
  </si>
  <si>
    <t>HD106052</t>
  </si>
  <si>
    <t>Crawl Plumbing</t>
  </si>
  <si>
    <t>Siding Repair</t>
  </si>
  <si>
    <t>Drainage repair</t>
  </si>
  <si>
    <t>Oil Tank remidation</t>
  </si>
  <si>
    <t>Deck rebuild</t>
  </si>
  <si>
    <t>Masking tape</t>
  </si>
  <si>
    <t>Drop cloths</t>
  </si>
  <si>
    <t>Power wash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</si>
</sst>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s>
  <fonts count="5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sz val="8"/>
      <color rgb="FF222222"/>
      <name val="Courier New"/>
      <family val="3"/>
    </font>
    <font>
      <b/>
      <sz val="10"/>
      <name val="Calibri"/>
      <family val="2"/>
      <scheme val="minor"/>
    </font>
    <font>
      <b/>
      <sz val="10"/>
      <color rgb="FF000000"/>
      <name val="Calibri"/>
      <family val="2"/>
      <scheme val="minor"/>
    </font>
    <font>
      <b/>
      <sz val="11"/>
      <color rgb="FF373A3C"/>
      <name val="Calibri"/>
      <family val="2"/>
      <scheme val="minor"/>
    </font>
    <font>
      <sz val="10"/>
      <name val="Arial"/>
      <family val="2"/>
    </font>
    <font>
      <sz val="11"/>
      <color rgb="FF1F497D"/>
      <name val="Calibri"/>
      <family val="2"/>
      <scheme val="minor"/>
    </font>
  </fonts>
  <fills count="2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s>
  <borders count="80">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s>
  <cellStyleXfs count="15">
    <xf numFmtId="0" fontId="0" fillId="0" borderId="0"/>
    <xf numFmtId="0" fontId="2" fillId="0" borderId="0" applyNumberFormat="0" applyFill="0" applyBorder="0" applyAlignment="0" applyProtection="0"/>
    <xf numFmtId="0" fontId="6" fillId="0" borderId="18" applyNumberFormat="0" applyFill="0" applyAlignment="0" applyProtection="0"/>
    <xf numFmtId="0" fontId="7" fillId="0" borderId="19" applyNumberFormat="0" applyFill="0" applyAlignment="0" applyProtection="0"/>
    <xf numFmtId="0" fontId="7" fillId="0" borderId="0" applyNumberFormat="0" applyFill="0" applyBorder="0" applyAlignment="0" applyProtection="0"/>
    <xf numFmtId="0" fontId="8" fillId="0" borderId="0"/>
    <xf numFmtId="14" fontId="9" fillId="0" borderId="0" applyFill="0" applyBorder="0">
      <alignment horizontal="center" vertical="center"/>
    </xf>
    <xf numFmtId="0" fontId="10" fillId="6" borderId="0" applyNumberFormat="0" applyBorder="0" applyAlignment="0" applyProtection="0"/>
    <xf numFmtId="0" fontId="11" fillId="7" borderId="0" applyNumberFormat="0" applyBorder="0" applyAlignment="0" applyProtection="0"/>
    <xf numFmtId="14" fontId="10" fillId="6" borderId="0" applyBorder="0" applyAlignment="0" applyProtection="0"/>
    <xf numFmtId="0" fontId="11" fillId="7" borderId="0" applyBorder="0" applyAlignment="0" applyProtection="0"/>
    <xf numFmtId="0" fontId="8" fillId="8" borderId="0" applyBorder="0" applyAlignment="0" applyProtection="0"/>
    <xf numFmtId="0" fontId="16" fillId="10" borderId="0" applyNumberFormat="0" applyBorder="0" applyAlignment="0" applyProtection="0"/>
    <xf numFmtId="43" fontId="3" fillId="0" borderId="0" applyFont="0" applyFill="0" applyBorder="0" applyAlignment="0" applyProtection="0"/>
    <xf numFmtId="0" fontId="52" fillId="0" borderId="0"/>
  </cellStyleXfs>
  <cellXfs count="633">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5"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4" fillId="0" borderId="0" xfId="0" applyFont="1"/>
    <xf numFmtId="0" fontId="14" fillId="0" borderId="0" xfId="0" applyFont="1" applyAlignment="1">
      <alignment horizontal="right"/>
    </xf>
    <xf numFmtId="0" fontId="15" fillId="0" borderId="0" xfId="0" applyFont="1" applyAlignment="1">
      <alignment horizontal="right"/>
    </xf>
    <xf numFmtId="0" fontId="0" fillId="0" borderId="0" xfId="0" applyAlignment="1">
      <alignment vertical="center"/>
    </xf>
    <xf numFmtId="0" fontId="20" fillId="11" borderId="23" xfId="0" applyFont="1" applyFill="1" applyBorder="1" applyAlignment="1">
      <alignment horizontal="left" vertical="center"/>
    </xf>
    <xf numFmtId="0" fontId="21" fillId="11" borderId="24" xfId="0" applyFont="1" applyFill="1" applyBorder="1" applyAlignment="1">
      <alignment vertical="top"/>
    </xf>
    <xf numFmtId="0" fontId="22" fillId="0" borderId="0" xfId="0" applyFont="1" applyAlignment="1">
      <alignment vertical="top"/>
    </xf>
    <xf numFmtId="0" fontId="20" fillId="11" borderId="0" xfId="0" applyFont="1" applyFill="1" applyAlignment="1">
      <alignment horizontal="left" vertical="center"/>
    </xf>
    <xf numFmtId="1" fontId="23" fillId="11" borderId="26" xfId="0" applyNumberFormat="1" applyFont="1" applyFill="1" applyBorder="1"/>
    <xf numFmtId="1" fontId="24" fillId="0" borderId="22" xfId="0" applyNumberFormat="1" applyFont="1" applyBorder="1" applyAlignment="1">
      <alignment horizontal="right" vertical="center"/>
    </xf>
    <xf numFmtId="0" fontId="22" fillId="0" borderId="24" xfId="0" applyFont="1" applyBorder="1" applyAlignment="1">
      <alignment vertical="top"/>
    </xf>
    <xf numFmtId="0" fontId="24" fillId="0" borderId="25" xfId="0" applyFont="1" applyBorder="1" applyAlignment="1">
      <alignment horizontal="right" vertical="center"/>
    </xf>
    <xf numFmtId="0" fontId="22" fillId="0" borderId="26" xfId="0" applyFont="1" applyBorder="1" applyAlignment="1">
      <alignment vertical="top"/>
    </xf>
    <xf numFmtId="1" fontId="25" fillId="0" borderId="0" xfId="0" applyNumberFormat="1" applyFont="1" applyAlignment="1">
      <alignment vertical="center"/>
    </xf>
    <xf numFmtId="0" fontId="27" fillId="11" borderId="27" xfId="0" applyFont="1" applyFill="1" applyBorder="1" applyAlignment="1">
      <alignment vertical="center"/>
    </xf>
    <xf numFmtId="1" fontId="28" fillId="11" borderId="30" xfId="0" applyNumberFormat="1" applyFont="1" applyFill="1" applyBorder="1" applyAlignment="1">
      <alignment horizontal="center" vertical="center" wrapText="1"/>
    </xf>
    <xf numFmtId="0" fontId="28" fillId="11" borderId="30" xfId="0" applyFont="1" applyFill="1" applyBorder="1" applyAlignment="1">
      <alignment horizontal="center" vertical="center" wrapText="1"/>
    </xf>
    <xf numFmtId="0" fontId="29" fillId="13" borderId="0" xfId="0" applyFont="1" applyFill="1" applyAlignment="1">
      <alignment vertical="top"/>
    </xf>
    <xf numFmtId="1" fontId="30" fillId="0" borderId="0" xfId="0" applyNumberFormat="1" applyFont="1" applyAlignment="1">
      <alignment horizontal="right" vertical="center"/>
    </xf>
    <xf numFmtId="0" fontId="25" fillId="0" borderId="27" xfId="0" applyFont="1" applyBorder="1" applyAlignment="1">
      <alignment horizontal="center"/>
    </xf>
    <xf numFmtId="44" fontId="25" fillId="0" borderId="30" xfId="0" applyNumberFormat="1" applyFont="1" applyBorder="1" applyAlignment="1">
      <alignment vertical="center"/>
    </xf>
    <xf numFmtId="44" fontId="25" fillId="14" borderId="30" xfId="0" applyNumberFormat="1" applyFont="1" applyFill="1" applyBorder="1" applyAlignment="1">
      <alignment vertical="center"/>
    </xf>
    <xf numFmtId="0" fontId="25" fillId="0" borderId="30" xfId="0" applyFont="1" applyBorder="1" applyAlignment="1">
      <alignment horizontal="left"/>
    </xf>
    <xf numFmtId="44" fontId="25" fillId="0" borderId="29" xfId="0" applyNumberFormat="1" applyFont="1" applyBorder="1" applyAlignment="1">
      <alignment vertical="center"/>
    </xf>
    <xf numFmtId="0" fontId="31" fillId="13" borderId="0" xfId="0" applyFont="1" applyFill="1" applyAlignment="1">
      <alignment vertical="top"/>
    </xf>
    <xf numFmtId="1" fontId="25" fillId="0" borderId="30" xfId="0" applyNumberFormat="1" applyFont="1" applyBorder="1" applyAlignment="1">
      <alignment horizontal="left"/>
    </xf>
    <xf numFmtId="44" fontId="32" fillId="0" borderId="29" xfId="0" applyNumberFormat="1" applyFont="1" applyBorder="1" applyAlignment="1">
      <alignment vertical="center"/>
    </xf>
    <xf numFmtId="0" fontId="25" fillId="0" borderId="28" xfId="0" applyFont="1" applyBorder="1" applyAlignment="1">
      <alignment horizontal="left"/>
    </xf>
    <xf numFmtId="0" fontId="25" fillId="0" borderId="29" xfId="0" applyFont="1" applyBorder="1" applyAlignment="1">
      <alignment horizontal="left"/>
    </xf>
    <xf numFmtId="0" fontId="25" fillId="15" borderId="27" xfId="0" applyFont="1" applyFill="1" applyBorder="1" applyAlignment="1">
      <alignment horizontal="center"/>
    </xf>
    <xf numFmtId="44" fontId="24" fillId="15" borderId="29" xfId="0" applyNumberFormat="1" applyFont="1" applyFill="1" applyBorder="1"/>
    <xf numFmtId="44" fontId="25" fillId="15" borderId="30" xfId="0" applyNumberFormat="1" applyFont="1" applyFill="1" applyBorder="1"/>
    <xf numFmtId="1" fontId="25" fillId="0" borderId="31" xfId="0" applyNumberFormat="1" applyFont="1" applyBorder="1"/>
    <xf numFmtId="44" fontId="24" fillId="0" borderId="34" xfId="0" applyNumberFormat="1" applyFont="1" applyBorder="1"/>
    <xf numFmtId="1" fontId="33" fillId="0" borderId="0" xfId="0" applyNumberFormat="1" applyFont="1"/>
    <xf numFmtId="1" fontId="25" fillId="0" borderId="0" xfId="0" applyNumberFormat="1" applyFont="1"/>
    <xf numFmtId="2" fontId="34" fillId="0" borderId="0" xfId="12" applyNumberFormat="1" applyFont="1" applyFill="1" applyAlignment="1">
      <alignment horizontal="center" vertical="center"/>
    </xf>
    <xf numFmtId="43" fontId="8" fillId="16" borderId="0" xfId="13" applyFont="1" applyFill="1" applyAlignment="1">
      <alignment horizontal="right" vertical="center"/>
    </xf>
    <xf numFmtId="0" fontId="36"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36" fillId="3" borderId="0" xfId="0" applyNumberFormat="1" applyFont="1" applyFill="1" applyAlignment="1">
      <alignment vertical="top"/>
    </xf>
    <xf numFmtId="49" fontId="36" fillId="16" borderId="0" xfId="0" applyNumberFormat="1" applyFont="1" applyFill="1" applyAlignment="1">
      <alignment vertical="top"/>
    </xf>
    <xf numFmtId="1" fontId="36" fillId="16" borderId="0" xfId="0" applyNumberFormat="1" applyFont="1" applyFill="1" applyAlignment="1">
      <alignment vertical="top"/>
    </xf>
    <xf numFmtId="4" fontId="36"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37"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7" fillId="0" borderId="20" xfId="4" applyNumberFormat="1" applyBorder="1" applyAlignment="1">
      <alignment horizontal="center" vertical="top"/>
    </xf>
    <xf numFmtId="0" fontId="1" fillId="0" borderId="0" xfId="0" applyFont="1" applyAlignment="1">
      <alignment horizontal="center" wrapText="1"/>
    </xf>
    <xf numFmtId="1" fontId="36" fillId="19" borderId="0" xfId="0" applyNumberFormat="1" applyFont="1" applyFill="1" applyAlignment="1">
      <alignment vertical="top"/>
    </xf>
    <xf numFmtId="4" fontId="36" fillId="3" borderId="0" xfId="0" applyNumberFormat="1" applyFont="1" applyFill="1" applyAlignment="1">
      <alignment vertical="top"/>
    </xf>
    <xf numFmtId="1" fontId="36" fillId="0" borderId="0" xfId="0" applyNumberFormat="1" applyFont="1" applyAlignment="1">
      <alignment horizontal="center" vertical="top"/>
    </xf>
    <xf numFmtId="4" fontId="36" fillId="0" borderId="0" xfId="0" applyNumberFormat="1" applyFont="1" applyAlignment="1">
      <alignment horizontal="center" vertical="top"/>
    </xf>
    <xf numFmtId="0" fontId="44" fillId="0" borderId="0" xfId="3" applyFont="1" applyBorder="1" applyAlignment="1">
      <alignment horizontal="right" vertical="center" indent="1"/>
    </xf>
    <xf numFmtId="1" fontId="12"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8" fillId="0" borderId="0" xfId="5"/>
    <xf numFmtId="1" fontId="8" fillId="0" borderId="0" xfId="5" applyNumberFormat="1"/>
    <xf numFmtId="0" fontId="17" fillId="0" borderId="0" xfId="5" applyFont="1" applyAlignment="1">
      <alignment horizontal="center"/>
    </xf>
    <xf numFmtId="0" fontId="17" fillId="0" borderId="0" xfId="3" applyFont="1" applyBorder="1" applyAlignment="1" applyProtection="1">
      <alignment horizontal="right" vertical="center" wrapText="1" indent="1"/>
    </xf>
    <xf numFmtId="0" fontId="8" fillId="5" borderId="0" xfId="0" applyFont="1" applyFill="1" applyAlignment="1">
      <alignment horizontal="center" wrapText="1"/>
    </xf>
    <xf numFmtId="1" fontId="8" fillId="5" borderId="0" xfId="0" applyNumberFormat="1" applyFont="1" applyFill="1" applyAlignment="1">
      <alignment horizontal="center" wrapText="1"/>
    </xf>
    <xf numFmtId="0" fontId="17" fillId="5" borderId="0" xfId="0" applyFont="1" applyFill="1" applyAlignment="1">
      <alignment horizontal="center" wrapText="1"/>
    </xf>
    <xf numFmtId="0" fontId="39" fillId="5" borderId="0" xfId="0" applyFont="1" applyFill="1" applyAlignment="1">
      <alignment horizontal="center" wrapText="1"/>
    </xf>
    <xf numFmtId="2" fontId="8" fillId="5" borderId="0" xfId="0" applyNumberFormat="1" applyFont="1" applyFill="1" applyAlignment="1">
      <alignment horizontal="center" wrapText="1"/>
    </xf>
    <xf numFmtId="170" fontId="8"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2"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4" fillId="0" borderId="0" xfId="12" applyNumberFormat="1" applyFont="1" applyFill="1" applyAlignment="1" applyProtection="1">
      <alignment horizontal="left" vertical="center"/>
    </xf>
    <xf numFmtId="2" fontId="34" fillId="0" borderId="0" xfId="12" applyNumberFormat="1" applyFont="1" applyFill="1" applyAlignment="1" applyProtection="1">
      <alignment horizontal="right" vertical="center"/>
    </xf>
    <xf numFmtId="2" fontId="34" fillId="0" borderId="0" xfId="12" applyNumberFormat="1" applyFont="1" applyFill="1" applyAlignment="1" applyProtection="1">
      <alignment horizontal="center" vertical="center"/>
    </xf>
    <xf numFmtId="2" fontId="35" fillId="0" borderId="0" xfId="0" applyNumberFormat="1" applyFont="1" applyAlignment="1">
      <alignment horizontal="center" vertical="center"/>
    </xf>
    <xf numFmtId="1" fontId="34" fillId="0" borderId="0" xfId="12" applyNumberFormat="1" applyFont="1" applyFill="1" applyAlignment="1" applyProtection="1">
      <alignment horizontal="center" vertical="center"/>
    </xf>
    <xf numFmtId="170" fontId="34" fillId="0" borderId="0" xfId="12" applyNumberFormat="1" applyFont="1" applyFill="1" applyAlignment="1" applyProtection="1">
      <alignment horizontal="center" vertical="center"/>
    </xf>
    <xf numFmtId="2" fontId="8" fillId="16" borderId="0" xfId="12" applyNumberFormat="1" applyFont="1" applyFill="1" applyBorder="1" applyAlignment="1" applyProtection="1">
      <alignment horizontal="left" vertical="center"/>
    </xf>
    <xf numFmtId="1" fontId="8" fillId="16" borderId="0" xfId="12" applyNumberFormat="1" applyFont="1" applyFill="1" applyAlignment="1" applyProtection="1">
      <alignment horizontal="right" vertical="center"/>
    </xf>
    <xf numFmtId="2" fontId="17" fillId="16" borderId="0" xfId="12" applyNumberFormat="1" applyFont="1" applyFill="1" applyBorder="1" applyAlignment="1" applyProtection="1">
      <alignment horizontal="center" vertical="center"/>
    </xf>
    <xf numFmtId="2" fontId="8" fillId="16" borderId="0" xfId="12" applyNumberFormat="1" applyFont="1" applyFill="1" applyAlignment="1" applyProtection="1">
      <alignment horizontal="left" vertical="center"/>
    </xf>
    <xf numFmtId="2" fontId="17" fillId="16" borderId="0" xfId="12" applyNumberFormat="1" applyFont="1" applyFill="1" applyAlignment="1" applyProtection="1">
      <alignment horizontal="left" vertical="center"/>
    </xf>
    <xf numFmtId="1" fontId="17" fillId="16" borderId="0" xfId="12" applyNumberFormat="1" applyFont="1" applyFill="1" applyAlignment="1" applyProtection="1">
      <alignment horizontal="right" vertical="center"/>
    </xf>
    <xf numFmtId="2" fontId="8" fillId="16" borderId="0" xfId="13" applyNumberFormat="1" applyFont="1" applyFill="1" applyAlignment="1" applyProtection="1">
      <alignment horizontal="right" vertical="center"/>
    </xf>
    <xf numFmtId="43" fontId="8" fillId="16" borderId="0" xfId="13" applyFont="1" applyFill="1" applyAlignment="1" applyProtection="1">
      <alignment horizontal="right" vertical="center"/>
    </xf>
    <xf numFmtId="170" fontId="8" fillId="16" borderId="0" xfId="13" applyNumberFormat="1" applyFont="1" applyFill="1" applyAlignment="1" applyProtection="1">
      <alignment horizontal="right" vertical="center"/>
    </xf>
    <xf numFmtId="2" fontId="12" fillId="0" borderId="0" xfId="0" applyNumberFormat="1" applyFont="1" applyAlignment="1">
      <alignment horizontal="center" vertical="center"/>
    </xf>
    <xf numFmtId="1" fontId="12" fillId="0" borderId="0" xfId="0" applyNumberFormat="1" applyFont="1" applyAlignment="1">
      <alignment horizontal="center" vertical="center"/>
    </xf>
    <xf numFmtId="170" fontId="12"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2"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2" fillId="0" borderId="0" xfId="0" applyFont="1" applyAlignment="1" applyProtection="1">
      <alignment horizontal="center" wrapText="1"/>
      <protection locked="0"/>
    </xf>
    <xf numFmtId="1" fontId="12" fillId="0" borderId="0" xfId="0" applyNumberFormat="1" applyFont="1" applyAlignment="1" applyProtection="1">
      <alignment horizontal="center" wrapText="1"/>
      <protection locked="0"/>
    </xf>
    <xf numFmtId="2" fontId="12"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4" fillId="0" borderId="0" xfId="0" applyNumberFormat="1" applyFont="1"/>
    <xf numFmtId="164" fontId="15" fillId="0" borderId="2" xfId="0" applyNumberFormat="1" applyFont="1" applyBorder="1" applyAlignment="1">
      <alignment horizontal="left"/>
    </xf>
    <xf numFmtId="0" fontId="14" fillId="0" borderId="10" xfId="0" applyFont="1" applyBorder="1"/>
    <xf numFmtId="0" fontId="15" fillId="0" borderId="6" xfId="0" applyFont="1" applyBorder="1" applyAlignment="1">
      <alignment horizontal="center"/>
    </xf>
    <xf numFmtId="0" fontId="15" fillId="0" borderId="0" xfId="0" applyFont="1" applyAlignment="1">
      <alignment horizontal="center"/>
    </xf>
    <xf numFmtId="0" fontId="14" fillId="0" borderId="9" xfId="0" applyFont="1" applyBorder="1"/>
    <xf numFmtId="164" fontId="14" fillId="0" borderId="1" xfId="0" applyNumberFormat="1" applyFont="1" applyBorder="1"/>
    <xf numFmtId="164" fontId="14" fillId="0" borderId="8" xfId="0" applyNumberFormat="1" applyFont="1" applyBorder="1"/>
    <xf numFmtId="0" fontId="14" fillId="0" borderId="8" xfId="0" applyFont="1" applyBorder="1"/>
    <xf numFmtId="164" fontId="14" fillId="0" borderId="9" xfId="0" applyNumberFormat="1" applyFont="1" applyBorder="1"/>
    <xf numFmtId="164" fontId="15" fillId="0" borderId="0" xfId="0" applyNumberFormat="1" applyFont="1" applyAlignment="1">
      <alignment horizontal="right"/>
    </xf>
    <xf numFmtId="0" fontId="15" fillId="0" borderId="16" xfId="0" applyFont="1" applyBorder="1" applyAlignment="1">
      <alignment horizontal="right"/>
    </xf>
    <xf numFmtId="0" fontId="14" fillId="0" borderId="17" xfId="0" applyFont="1" applyBorder="1"/>
    <xf numFmtId="0" fontId="15" fillId="0" borderId="14" xfId="0" applyFont="1" applyBorder="1" applyAlignment="1">
      <alignment horizontal="center"/>
    </xf>
    <xf numFmtId="164" fontId="14" fillId="0" borderId="14" xfId="0" applyNumberFormat="1" applyFont="1" applyBorder="1"/>
    <xf numFmtId="0" fontId="14" fillId="0" borderId="2" xfId="0" applyFont="1" applyBorder="1"/>
    <xf numFmtId="3" fontId="14" fillId="0" borderId="2" xfId="0" applyNumberFormat="1" applyFont="1" applyBorder="1"/>
    <xf numFmtId="0" fontId="14" fillId="0" borderId="2" xfId="0" applyFont="1" applyBorder="1" applyAlignment="1">
      <alignment horizontal="right"/>
    </xf>
    <xf numFmtId="164" fontId="14" fillId="0" borderId="3" xfId="0" applyNumberFormat="1" applyFont="1" applyBorder="1"/>
    <xf numFmtId="164" fontId="14" fillId="0" borderId="4" xfId="0" applyNumberFormat="1" applyFont="1" applyBorder="1"/>
    <xf numFmtId="0" fontId="14" fillId="0" borderId="5" xfId="0" applyFont="1" applyBorder="1"/>
    <xf numFmtId="3" fontId="14" fillId="0" borderId="4" xfId="0" applyNumberFormat="1" applyFont="1" applyBorder="1"/>
    <xf numFmtId="0" fontId="14" fillId="0" borderId="4" xfId="0" applyFont="1" applyBorder="1" applyAlignment="1">
      <alignment horizontal="right"/>
    </xf>
    <xf numFmtId="164" fontId="14" fillId="0" borderId="5" xfId="0" applyNumberFormat="1" applyFont="1" applyBorder="1"/>
    <xf numFmtId="10" fontId="14" fillId="0" borderId="0" xfId="0" applyNumberFormat="1" applyFont="1"/>
    <xf numFmtId="164" fontId="14" fillId="0" borderId="4" xfId="0" applyNumberFormat="1" applyFont="1" applyBorder="1" applyAlignment="1">
      <alignment horizontal="right"/>
    </xf>
    <xf numFmtId="0" fontId="47" fillId="4" borderId="2" xfId="0" applyFont="1" applyFill="1" applyBorder="1" applyAlignment="1">
      <alignment horizontal="right"/>
    </xf>
    <xf numFmtId="6" fontId="47" fillId="4" borderId="10" xfId="0" applyNumberFormat="1" applyFont="1" applyFill="1" applyBorder="1"/>
    <xf numFmtId="164" fontId="14" fillId="0" borderId="6" xfId="0" applyNumberFormat="1" applyFont="1" applyBorder="1"/>
    <xf numFmtId="164" fontId="14" fillId="0" borderId="7" xfId="0" applyNumberFormat="1" applyFont="1" applyBorder="1"/>
    <xf numFmtId="3" fontId="14" fillId="0" borderId="6" xfId="0" applyNumberFormat="1" applyFont="1" applyBorder="1"/>
    <xf numFmtId="3" fontId="15" fillId="3" borderId="0" xfId="0" applyNumberFormat="1" applyFont="1" applyFill="1"/>
    <xf numFmtId="164" fontId="15" fillId="3" borderId="45" xfId="0" applyNumberFormat="1" applyFont="1" applyFill="1" applyBorder="1"/>
    <xf numFmtId="164" fontId="15" fillId="3" borderId="46" xfId="0" applyNumberFormat="1" applyFont="1" applyFill="1" applyBorder="1"/>
    <xf numFmtId="0" fontId="14" fillId="0" borderId="14" xfId="0" applyFont="1" applyBorder="1" applyAlignment="1">
      <alignment horizontal="right"/>
    </xf>
    <xf numFmtId="164" fontId="15" fillId="3" borderId="7" xfId="0" applyNumberFormat="1" applyFont="1" applyFill="1" applyBorder="1"/>
    <xf numFmtId="9" fontId="14" fillId="2" borderId="44" xfId="0" applyNumberFormat="1" applyFont="1" applyFill="1" applyBorder="1" applyAlignment="1">
      <alignment horizontal="left"/>
    </xf>
    <xf numFmtId="0" fontId="15" fillId="0" borderId="14" xfId="0" applyFont="1" applyBorder="1" applyAlignment="1">
      <alignment horizontal="center" vertical="center"/>
    </xf>
    <xf numFmtId="0" fontId="14" fillId="9" borderId="5" xfId="0" applyFont="1" applyFill="1" applyBorder="1"/>
    <xf numFmtId="164" fontId="15" fillId="3" borderId="15" xfId="0" applyNumberFormat="1" applyFont="1" applyFill="1" applyBorder="1"/>
    <xf numFmtId="1" fontId="15"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46" fillId="2" borderId="46" xfId="0" applyNumberFormat="1" applyFont="1" applyFill="1" applyBorder="1" applyAlignment="1">
      <alignment horizontal="center"/>
    </xf>
    <xf numFmtId="0" fontId="14" fillId="9" borderId="0" xfId="0" applyFont="1" applyFill="1" applyAlignment="1">
      <alignment horizontal="right"/>
    </xf>
    <xf numFmtId="0" fontId="14" fillId="2" borderId="55" xfId="0" applyFont="1" applyFill="1" applyBorder="1"/>
    <xf numFmtId="3" fontId="14" fillId="2" borderId="55" xfId="0" applyNumberFormat="1" applyFont="1" applyFill="1" applyBorder="1"/>
    <xf numFmtId="0" fontId="47" fillId="0" borderId="0" xfId="0" applyFont="1" applyAlignment="1">
      <alignment horizontal="right"/>
    </xf>
    <xf numFmtId="9" fontId="46" fillId="2" borderId="57" xfId="0" applyNumberFormat="1" applyFont="1" applyFill="1" applyBorder="1" applyAlignment="1">
      <alignment horizontal="center"/>
    </xf>
    <xf numFmtId="1" fontId="47" fillId="4" borderId="4" xfId="0" applyNumberFormat="1" applyFont="1" applyFill="1" applyBorder="1" applyAlignment="1">
      <alignment horizontal="right"/>
    </xf>
    <xf numFmtId="165" fontId="47" fillId="4" borderId="0" xfId="0" applyNumberFormat="1" applyFont="1" applyFill="1" applyAlignment="1">
      <alignment horizontal="right"/>
    </xf>
    <xf numFmtId="3" fontId="14" fillId="0" borderId="0" xfId="0" applyNumberFormat="1" applyFont="1"/>
    <xf numFmtId="3" fontId="14" fillId="0" borderId="9" xfId="0" applyNumberFormat="1" applyFont="1" applyBorder="1"/>
    <xf numFmtId="3" fontId="14" fillId="0" borderId="7" xfId="0" applyNumberFormat="1" applyFont="1" applyBorder="1"/>
    <xf numFmtId="164" fontId="15" fillId="3" borderId="0" xfId="0" applyNumberFormat="1" applyFont="1" applyFill="1"/>
    <xf numFmtId="0" fontId="14" fillId="3" borderId="0" xfId="0" applyFont="1" applyFill="1" applyAlignment="1">
      <alignment horizontal="right"/>
    </xf>
    <xf numFmtId="164" fontId="14" fillId="3" borderId="0" xfId="0" applyNumberFormat="1" applyFont="1" applyFill="1"/>
    <xf numFmtId="164" fontId="15" fillId="3" borderId="4" xfId="0" applyNumberFormat="1" applyFont="1" applyFill="1" applyBorder="1"/>
    <xf numFmtId="0" fontId="14" fillId="0" borderId="60" xfId="0" applyFont="1" applyBorder="1"/>
    <xf numFmtId="164" fontId="14" fillId="3" borderId="5" xfId="0" applyNumberFormat="1" applyFont="1" applyFill="1" applyBorder="1"/>
    <xf numFmtId="0" fontId="14" fillId="0" borderId="61" xfId="0" applyFont="1" applyBorder="1"/>
    <xf numFmtId="3" fontId="14" fillId="0" borderId="62" xfId="0" applyNumberFormat="1" applyFont="1" applyBorder="1"/>
    <xf numFmtId="3" fontId="14" fillId="0" borderId="63" xfId="0" applyNumberFormat="1" applyFont="1" applyBorder="1"/>
    <xf numFmtId="0" fontId="14" fillId="0" borderId="62" xfId="0" applyFont="1" applyBorder="1"/>
    <xf numFmtId="0" fontId="14" fillId="0" borderId="63" xfId="0" applyFont="1" applyBorder="1"/>
    <xf numFmtId="164" fontId="14" fillId="0" borderId="61" xfId="0" applyNumberFormat="1" applyFont="1" applyBorder="1"/>
    <xf numFmtId="164" fontId="14" fillId="0" borderId="62" xfId="0" applyNumberFormat="1" applyFont="1" applyBorder="1"/>
    <xf numFmtId="164" fontId="14" fillId="0" borderId="63" xfId="0" applyNumberFormat="1" applyFont="1" applyBorder="1"/>
    <xf numFmtId="0" fontId="42" fillId="0" borderId="0" xfId="0" applyFont="1" applyAlignment="1">
      <alignment horizontal="right"/>
    </xf>
    <xf numFmtId="0" fontId="42" fillId="0" borderId="0" xfId="0" applyFont="1"/>
    <xf numFmtId="3" fontId="14" fillId="0" borderId="4" xfId="0" applyNumberFormat="1" applyFont="1" applyBorder="1" applyAlignment="1">
      <alignment horizontal="center"/>
    </xf>
    <xf numFmtId="3" fontId="14" fillId="23" borderId="44" xfId="0" applyNumberFormat="1" applyFont="1" applyFill="1" applyBorder="1"/>
    <xf numFmtId="3" fontId="0" fillId="0" borderId="0" xfId="0" applyNumberFormat="1"/>
    <xf numFmtId="0" fontId="0" fillId="2" borderId="0" xfId="0" applyFill="1" applyAlignment="1">
      <alignment horizontal="right"/>
    </xf>
    <xf numFmtId="0" fontId="1" fillId="2" borderId="64" xfId="0" applyFont="1" applyFill="1" applyBorder="1" applyAlignment="1">
      <alignment horizontal="right"/>
    </xf>
    <xf numFmtId="164" fontId="1" fillId="23" borderId="1" xfId="0" applyNumberFormat="1" applyFont="1" applyFill="1" applyBorder="1"/>
    <xf numFmtId="0" fontId="14"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5" xfId="0" applyNumberFormat="1" applyBorder="1"/>
    <xf numFmtId="0" fontId="0" fillId="0" borderId="65"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8" fillId="0" borderId="2" xfId="5" applyBorder="1"/>
    <xf numFmtId="1" fontId="8" fillId="0" borderId="10" xfId="5" applyNumberFormat="1" applyBorder="1"/>
    <xf numFmtId="0" fontId="17" fillId="0" borderId="10" xfId="5" applyFont="1" applyBorder="1" applyAlignment="1">
      <alignment horizontal="center"/>
    </xf>
    <xf numFmtId="0" fontId="8"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3"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8" fillId="0" borderId="6" xfId="5" applyBorder="1" applyAlignment="1">
      <alignment wrapText="1"/>
    </xf>
    <xf numFmtId="1" fontId="8" fillId="0" borderId="1" xfId="5" applyNumberFormat="1" applyBorder="1" applyAlignment="1">
      <alignment wrapText="1"/>
    </xf>
    <xf numFmtId="0" fontId="17" fillId="0" borderId="1" xfId="5" applyFont="1" applyBorder="1" applyAlignment="1">
      <alignment horizontal="center" wrapText="1"/>
    </xf>
    <xf numFmtId="0" fontId="8" fillId="0" borderId="1" xfId="5" applyBorder="1" applyAlignment="1">
      <alignment wrapText="1"/>
    </xf>
    <xf numFmtId="0" fontId="17"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6" xfId="0" applyBorder="1"/>
    <xf numFmtId="0" fontId="0" fillId="0" borderId="9" xfId="0" applyBorder="1"/>
    <xf numFmtId="9" fontId="14" fillId="2" borderId="55" xfId="0" applyNumberFormat="1" applyFont="1" applyFill="1" applyBorder="1"/>
    <xf numFmtId="0" fontId="14"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4" fillId="2" borderId="44" xfId="0" applyNumberFormat="1" applyFont="1" applyFill="1" applyBorder="1" applyAlignment="1">
      <alignment horizontal="right"/>
    </xf>
    <xf numFmtId="164" fontId="15" fillId="3" borderId="11" xfId="0" applyNumberFormat="1" applyFont="1" applyFill="1" applyBorder="1"/>
    <xf numFmtId="164" fontId="15" fillId="3" borderId="67"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68" xfId="0" applyFont="1" applyFill="1" applyBorder="1" applyAlignment="1">
      <alignment horizontal="right"/>
    </xf>
    <xf numFmtId="164" fontId="1" fillId="23" borderId="45" xfId="0" applyNumberFormat="1" applyFont="1" applyFill="1" applyBorder="1"/>
    <xf numFmtId="0" fontId="1" fillId="23" borderId="69" xfId="0" applyFont="1" applyFill="1" applyBorder="1" applyAlignment="1">
      <alignment horizontal="right"/>
    </xf>
    <xf numFmtId="164" fontId="1" fillId="23" borderId="70" xfId="0" applyNumberFormat="1" applyFont="1" applyFill="1" applyBorder="1"/>
    <xf numFmtId="164" fontId="1" fillId="23" borderId="69" xfId="0" applyNumberFormat="1" applyFont="1" applyFill="1" applyBorder="1"/>
    <xf numFmtId="164" fontId="1" fillId="23" borderId="6" xfId="0" applyNumberFormat="1" applyFont="1" applyFill="1" applyBorder="1"/>
    <xf numFmtId="49" fontId="17" fillId="16" borderId="53" xfId="0" quotePrefix="1" applyNumberFormat="1" applyFont="1" applyFill="1" applyBorder="1" applyAlignment="1">
      <alignment horizontal="center" wrapText="1"/>
    </xf>
    <xf numFmtId="3" fontId="17" fillId="16" borderId="67" xfId="0" applyNumberFormat="1" applyFont="1" applyFill="1" applyBorder="1"/>
    <xf numFmtId="0" fontId="48" fillId="0" borderId="0" xfId="0" applyFont="1" applyAlignment="1">
      <alignment horizontal="left" vertical="center" indent="2"/>
    </xf>
    <xf numFmtId="3" fontId="17" fillId="16" borderId="1" xfId="0" applyNumberFormat="1" applyFont="1" applyFill="1" applyBorder="1"/>
    <xf numFmtId="0" fontId="4" fillId="2" borderId="71" xfId="0" applyFont="1" applyFill="1" applyBorder="1" applyAlignment="1">
      <alignment horizontal="right"/>
    </xf>
    <xf numFmtId="0" fontId="4" fillId="2" borderId="70" xfId="0" applyFont="1" applyFill="1" applyBorder="1" applyAlignment="1">
      <alignment horizontal="right"/>
    </xf>
    <xf numFmtId="0" fontId="4" fillId="2" borderId="70" xfId="0" applyFont="1" applyFill="1" applyBorder="1"/>
    <xf numFmtId="0" fontId="4" fillId="2" borderId="72" xfId="0" applyFont="1" applyFill="1" applyBorder="1"/>
    <xf numFmtId="3" fontId="14" fillId="2" borderId="4" xfId="0" applyNumberFormat="1" applyFont="1" applyFill="1" applyBorder="1"/>
    <xf numFmtId="3" fontId="14" fillId="2" borderId="5" xfId="0" applyNumberFormat="1" applyFont="1" applyFill="1" applyBorder="1"/>
    <xf numFmtId="3" fontId="1" fillId="9" borderId="64" xfId="0" applyNumberFormat="1" applyFont="1" applyFill="1" applyBorder="1" applyAlignment="1">
      <alignment horizontal="right"/>
    </xf>
    <xf numFmtId="0" fontId="49" fillId="0" borderId="0" xfId="0" applyFont="1" applyAlignment="1">
      <alignment horizontal="right"/>
    </xf>
    <xf numFmtId="1" fontId="47" fillId="24" borderId="51" xfId="0" applyNumberFormat="1" applyFont="1" applyFill="1" applyBorder="1" applyAlignment="1">
      <alignment horizontal="right"/>
    </xf>
    <xf numFmtId="1" fontId="47" fillId="4" borderId="6" xfId="0" applyNumberFormat="1" applyFont="1" applyFill="1" applyBorder="1" applyAlignment="1">
      <alignment horizontal="right"/>
    </xf>
    <xf numFmtId="165" fontId="47" fillId="4" borderId="7" xfId="0" applyNumberFormat="1" applyFont="1" applyFill="1" applyBorder="1" applyAlignment="1">
      <alignment horizontal="right"/>
    </xf>
    <xf numFmtId="0" fontId="50" fillId="0" borderId="0" xfId="0" applyFont="1" applyAlignment="1">
      <alignment horizontal="right"/>
    </xf>
    <xf numFmtId="9" fontId="1" fillId="2" borderId="75" xfId="0" applyNumberFormat="1" applyFont="1" applyFill="1" applyBorder="1"/>
    <xf numFmtId="1" fontId="1" fillId="2" borderId="75"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5" fillId="3" borderId="2" xfId="0" applyNumberFormat="1" applyFont="1" applyFill="1" applyBorder="1"/>
    <xf numFmtId="3" fontId="14" fillId="3" borderId="1" xfId="0" applyNumberFormat="1" applyFont="1" applyFill="1" applyBorder="1"/>
    <xf numFmtId="166" fontId="1" fillId="2" borderId="75" xfId="0" applyNumberFormat="1" applyFont="1" applyFill="1" applyBorder="1"/>
    <xf numFmtId="3" fontId="1" fillId="2" borderId="64" xfId="0" applyNumberFormat="1" applyFont="1" applyFill="1" applyBorder="1" applyAlignment="1">
      <alignment horizontal="right"/>
    </xf>
    <xf numFmtId="164" fontId="1" fillId="23" borderId="76" xfId="0" applyNumberFormat="1" applyFont="1" applyFill="1" applyBorder="1"/>
    <xf numFmtId="3" fontId="1" fillId="23" borderId="11" xfId="0" applyNumberFormat="1" applyFont="1" applyFill="1" applyBorder="1"/>
    <xf numFmtId="3" fontId="17" fillId="16" borderId="11" xfId="0" applyNumberFormat="1" applyFont="1" applyFill="1" applyBorder="1"/>
    <xf numFmtId="3" fontId="1" fillId="3" borderId="11" xfId="0" applyNumberFormat="1" applyFont="1" applyFill="1" applyBorder="1"/>
    <xf numFmtId="3" fontId="17" fillId="16" borderId="77"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7" fillId="16" borderId="54" xfId="0" applyNumberFormat="1" applyFont="1" applyFill="1" applyBorder="1"/>
    <xf numFmtId="3" fontId="1" fillId="3" borderId="54" xfId="0" applyNumberFormat="1" applyFont="1" applyFill="1" applyBorder="1"/>
    <xf numFmtId="3" fontId="17" fillId="16" borderId="53" xfId="0" applyNumberFormat="1" applyFont="1" applyFill="1" applyBorder="1"/>
    <xf numFmtId="165" fontId="1" fillId="2" borderId="75" xfId="0" applyNumberFormat="1" applyFont="1" applyFill="1" applyBorder="1"/>
    <xf numFmtId="3" fontId="15" fillId="0" borderId="9" xfId="0" applyNumberFormat="1" applyFont="1" applyBorder="1"/>
    <xf numFmtId="0" fontId="0" fillId="0" borderId="0" xfId="0" applyAlignment="1">
      <alignment horizontal="left" vertical="top"/>
    </xf>
    <xf numFmtId="164" fontId="14" fillId="0" borderId="78" xfId="0" applyNumberFormat="1" applyFont="1" applyBorder="1"/>
    <xf numFmtId="166" fontId="15" fillId="9" borderId="0" xfId="0" applyNumberFormat="1" applyFont="1" applyFill="1"/>
    <xf numFmtId="9" fontId="46" fillId="2" borderId="4" xfId="0" applyNumberFormat="1" applyFont="1" applyFill="1" applyBorder="1"/>
    <xf numFmtId="164" fontId="46" fillId="2" borderId="5" xfId="0" applyNumberFormat="1" applyFont="1" applyFill="1" applyBorder="1"/>
    <xf numFmtId="1" fontId="50"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4"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5" xfId="0" applyNumberFormat="1" applyFont="1" applyFill="1" applyBorder="1" applyAlignment="1">
      <alignment horizontal="center"/>
    </xf>
    <xf numFmtId="0" fontId="13"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5" xfId="0" applyNumberFormat="1" applyFont="1" applyFill="1" applyBorder="1"/>
    <xf numFmtId="9" fontId="0" fillId="2" borderId="0" xfId="0" applyNumberFormat="1" applyFill="1"/>
    <xf numFmtId="166" fontId="1" fillId="23" borderId="0" xfId="0" applyNumberFormat="1" applyFont="1" applyFill="1"/>
    <xf numFmtId="164" fontId="1" fillId="23" borderId="75" xfId="0" applyNumberFormat="1" applyFont="1" applyFill="1" applyBorder="1"/>
    <xf numFmtId="0" fontId="51" fillId="2" borderId="4" xfId="0" applyFont="1" applyFill="1" applyBorder="1"/>
    <xf numFmtId="0" fontId="1" fillId="2" borderId="3" xfId="0" applyFont="1" applyFill="1" applyBorder="1" applyAlignment="1">
      <alignment horizontal="left"/>
    </xf>
    <xf numFmtId="0" fontId="51" fillId="2" borderId="2" xfId="0" applyFont="1" applyFill="1" applyBorder="1"/>
    <xf numFmtId="0" fontId="1" fillId="2" borderId="5" xfId="0" applyFont="1" applyFill="1" applyBorder="1" applyAlignment="1">
      <alignment horizontal="left"/>
    </xf>
    <xf numFmtId="14" fontId="14" fillId="0" borderId="0" xfId="0" applyNumberFormat="1" applyFont="1"/>
    <xf numFmtId="49" fontId="36" fillId="0" borderId="0" xfId="14" applyNumberFormat="1" applyFont="1" applyAlignment="1">
      <alignment vertical="top"/>
    </xf>
    <xf numFmtId="172" fontId="52" fillId="0" borderId="0" xfId="14" applyNumberFormat="1" applyAlignment="1">
      <alignment vertical="top"/>
    </xf>
    <xf numFmtId="166" fontId="52" fillId="0" borderId="0" xfId="14" applyNumberFormat="1" applyAlignment="1">
      <alignment vertical="top"/>
    </xf>
    <xf numFmtId="170" fontId="12"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36" fillId="0" borderId="0" xfId="0" applyNumberFormat="1" applyFont="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36" fillId="21" borderId="0" xfId="0" applyNumberFormat="1" applyFont="1" applyFill="1" applyAlignment="1">
      <alignment vertical="top"/>
    </xf>
    <xf numFmtId="4" fontId="36" fillId="21" borderId="0" xfId="0" applyNumberFormat="1" applyFont="1" applyFill="1" applyAlignment="1">
      <alignment vertical="top"/>
    </xf>
    <xf numFmtId="164" fontId="1" fillId="23" borderId="54" xfId="0" applyNumberFormat="1" applyFont="1" applyFill="1" applyBorder="1"/>
    <xf numFmtId="0" fontId="0" fillId="0" borderId="53" xfId="0" applyBorder="1" applyAlignment="1">
      <alignment horizontal="center" wrapText="1"/>
    </xf>
    <xf numFmtId="173" fontId="46" fillId="2" borderId="4" xfId="0" applyNumberFormat="1" applyFont="1" applyFill="1" applyBorder="1"/>
    <xf numFmtId="164" fontId="1" fillId="23" borderId="11" xfId="0" applyNumberFormat="1" applyFont="1" applyFill="1" applyBorder="1"/>
    <xf numFmtId="3" fontId="8" fillId="16" borderId="0" xfId="13" applyNumberFormat="1" applyFont="1" applyFill="1" applyAlignment="1" applyProtection="1">
      <alignment horizontal="right" vertical="center"/>
    </xf>
    <xf numFmtId="0" fontId="53" fillId="0" borderId="0" xfId="0" applyFont="1" applyAlignment="1">
      <alignment horizontal="right"/>
    </xf>
    <xf numFmtId="22" fontId="14" fillId="0" borderId="0" xfId="0" applyNumberFormat="1" applyFont="1"/>
    <xf numFmtId="1" fontId="14" fillId="0" borderId="0" xfId="0" applyNumberFormat="1" applyFont="1"/>
    <xf numFmtId="1" fontId="14" fillId="0" borderId="5" xfId="0" applyNumberFormat="1" applyFont="1" applyBorder="1"/>
    <xf numFmtId="0" fontId="15" fillId="0" borderId="3" xfId="0" applyFont="1" applyBorder="1" applyAlignment="1">
      <alignment horizontal="center"/>
    </xf>
    <xf numFmtId="14" fontId="15" fillId="0" borderId="7" xfId="0" applyNumberFormat="1" applyFont="1" applyBorder="1" applyAlignment="1">
      <alignment horizontal="center"/>
    </xf>
    <xf numFmtId="164" fontId="1" fillId="23" borderId="64" xfId="0" applyNumberFormat="1" applyFont="1" applyFill="1" applyBorder="1"/>
    <xf numFmtId="3" fontId="1" fillId="23" borderId="64" xfId="0" applyNumberFormat="1" applyFont="1" applyFill="1" applyBorder="1"/>
    <xf numFmtId="3" fontId="17" fillId="16" borderId="64" xfId="0" applyNumberFormat="1" applyFont="1" applyFill="1" applyBorder="1"/>
    <xf numFmtId="3" fontId="1" fillId="3" borderId="64" xfId="0" applyNumberFormat="1" applyFont="1" applyFill="1" applyBorder="1"/>
    <xf numFmtId="0" fontId="17" fillId="25" borderId="2" xfId="0" applyFont="1" applyFill="1" applyBorder="1" applyAlignment="1">
      <alignment horizontal="right"/>
    </xf>
    <xf numFmtId="164" fontId="17" fillId="25" borderId="70" xfId="0" applyNumberFormat="1" applyFont="1" applyFill="1" applyBorder="1"/>
    <xf numFmtId="0" fontId="15" fillId="9" borderId="2" xfId="0" applyFont="1" applyFill="1" applyBorder="1" applyAlignment="1">
      <alignment horizontal="right" vertical="center" wrapText="1"/>
    </xf>
    <xf numFmtId="0" fontId="14" fillId="9" borderId="6" xfId="0" applyFont="1" applyFill="1" applyBorder="1" applyAlignment="1">
      <alignment horizontal="right" vertical="center" wrapText="1"/>
    </xf>
    <xf numFmtId="0" fontId="14" fillId="2" borderId="56" xfId="0" applyFont="1" applyFill="1" applyBorder="1" applyAlignment="1">
      <alignment horizontal="center" vertical="center"/>
    </xf>
    <xf numFmtId="0" fontId="0" fillId="0" borderId="51" xfId="0" applyBorder="1" applyAlignment="1">
      <alignment horizontal="center" vertical="center"/>
    </xf>
    <xf numFmtId="164" fontId="46" fillId="2" borderId="2" xfId="0" applyNumberFormat="1" applyFont="1" applyFill="1" applyBorder="1"/>
    <xf numFmtId="0" fontId="46" fillId="2" borderId="3" xfId="0" applyFont="1" applyFill="1" applyBorder="1"/>
    <xf numFmtId="164" fontId="14" fillId="2" borderId="6" xfId="0" applyNumberFormat="1" applyFont="1" applyFill="1" applyBorder="1"/>
    <xf numFmtId="0" fontId="0" fillId="2" borderId="7" xfId="0" applyFill="1" applyBorder="1"/>
    <xf numFmtId="164" fontId="14" fillId="3" borderId="10" xfId="0" applyNumberFormat="1" applyFont="1" applyFill="1" applyBorder="1"/>
    <xf numFmtId="0" fontId="14" fillId="3" borderId="3" xfId="0" applyFont="1" applyFill="1" applyBorder="1"/>
    <xf numFmtId="0" fontId="15" fillId="0" borderId="6" xfId="0" applyFont="1" applyBorder="1" applyAlignment="1">
      <alignment horizontal="center"/>
    </xf>
    <xf numFmtId="0" fontId="1" fillId="0" borderId="1" xfId="0" applyFont="1" applyBorder="1" applyAlignment="1">
      <alignment horizontal="center"/>
    </xf>
    <xf numFmtId="0" fontId="15" fillId="0" borderId="2" xfId="0" applyFont="1" applyBorder="1" applyAlignment="1">
      <alignment horizontal="center"/>
    </xf>
    <xf numFmtId="0" fontId="15" fillId="0" borderId="10" xfId="0" applyFont="1" applyBorder="1" applyAlignment="1">
      <alignment horizontal="center"/>
    </xf>
    <xf numFmtId="164" fontId="14" fillId="2" borderId="2" xfId="0" applyNumberFormat="1" applyFont="1" applyFill="1" applyBorder="1"/>
    <xf numFmtId="0" fontId="14" fillId="2" borderId="3" xfId="0" applyFont="1" applyFill="1" applyBorder="1"/>
    <xf numFmtId="164" fontId="14" fillId="9" borderId="0" xfId="0" applyNumberFormat="1" applyFont="1" applyFill="1"/>
    <xf numFmtId="0" fontId="14" fillId="9" borderId="0" xfId="0" applyFont="1" applyFill="1"/>
    <xf numFmtId="3" fontId="14" fillId="0" borderId="0" xfId="0" applyNumberFormat="1" applyFont="1"/>
    <xf numFmtId="164" fontId="14" fillId="22" borderId="52" xfId="0" applyNumberFormat="1" applyFont="1" applyFill="1" applyBorder="1"/>
    <xf numFmtId="164" fontId="14" fillId="22" borderId="53" xfId="0" applyNumberFormat="1" applyFont="1" applyFill="1" applyBorder="1"/>
    <xf numFmtId="3" fontId="14" fillId="0" borderId="1" xfId="0" applyNumberFormat="1" applyFont="1" applyBorder="1"/>
    <xf numFmtId="3" fontId="47" fillId="4" borderId="58" xfId="0" applyNumberFormat="1" applyFont="1" applyFill="1" applyBorder="1" applyAlignment="1">
      <alignment horizontal="right"/>
    </xf>
    <xf numFmtId="3" fontId="14" fillId="0" borderId="59" xfId="0" applyNumberFormat="1" applyFont="1" applyBorder="1" applyAlignment="1">
      <alignment horizontal="right"/>
    </xf>
    <xf numFmtId="3" fontId="14" fillId="23" borderId="2" xfId="0" applyNumberFormat="1" applyFont="1" applyFill="1" applyBorder="1"/>
    <xf numFmtId="0" fontId="14" fillId="23" borderId="3" xfId="0" applyFont="1" applyFill="1" applyBorder="1"/>
    <xf numFmtId="0" fontId="15" fillId="0" borderId="0" xfId="0" applyFont="1" applyAlignment="1">
      <alignment horizontal="right"/>
    </xf>
    <xf numFmtId="0" fontId="14" fillId="0" borderId="0" xfId="0" applyFont="1"/>
    <xf numFmtId="9" fontId="14" fillId="2" borderId="52" xfId="0" applyNumberFormat="1" applyFont="1" applyFill="1" applyBorder="1" applyAlignment="1">
      <alignment horizontal="right"/>
    </xf>
    <xf numFmtId="9" fontId="0" fillId="0" borderId="54" xfId="0" applyNumberFormat="1" applyBorder="1" applyAlignment="1">
      <alignment horizontal="right"/>
    </xf>
    <xf numFmtId="164" fontId="15" fillId="3" borderId="73" xfId="0" applyNumberFormat="1" applyFont="1" applyFill="1" applyBorder="1"/>
    <xf numFmtId="0" fontId="0" fillId="0" borderId="74" xfId="0" applyBorder="1"/>
    <xf numFmtId="9" fontId="0" fillId="0" borderId="53" xfId="0" applyNumberFormat="1" applyBorder="1" applyAlignment="1">
      <alignment horizontal="right"/>
    </xf>
    <xf numFmtId="164" fontId="14" fillId="2" borderId="4" xfId="0" applyNumberFormat="1" applyFont="1" applyFill="1" applyBorder="1"/>
    <xf numFmtId="0" fontId="14" fillId="2" borderId="7" xfId="0" applyFont="1" applyFill="1" applyBorder="1"/>
    <xf numFmtId="3" fontId="14" fillId="2" borderId="4" xfId="0" applyNumberFormat="1" applyFont="1" applyFill="1" applyBorder="1"/>
    <xf numFmtId="3" fontId="14" fillId="2" borderId="5" xfId="0" applyNumberFormat="1" applyFont="1" applyFill="1" applyBorder="1"/>
    <xf numFmtId="164" fontId="14" fillId="23" borderId="2" xfId="0" applyNumberFormat="1" applyFont="1" applyFill="1" applyBorder="1"/>
    <xf numFmtId="9" fontId="14" fillId="2" borderId="56" xfId="0" applyNumberFormat="1" applyFont="1" applyFill="1" applyBorder="1" applyAlignment="1">
      <alignment horizontal="center"/>
    </xf>
    <xf numFmtId="9" fontId="0" fillId="0" borderId="51" xfId="0" applyNumberFormat="1" applyBorder="1" applyAlignment="1">
      <alignment horizontal="center"/>
    </xf>
    <xf numFmtId="0" fontId="15" fillId="3" borderId="3" xfId="0" applyFont="1" applyFill="1" applyBorder="1" applyAlignment="1">
      <alignment horizontal="center" wrapText="1"/>
    </xf>
    <xf numFmtId="0" fontId="15" fillId="3" borderId="5" xfId="0" applyFont="1" applyFill="1" applyBorder="1" applyAlignment="1">
      <alignment horizontal="center" wrapText="1"/>
    </xf>
    <xf numFmtId="0" fontId="15"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5"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0" fontId="15" fillId="0" borderId="0" xfId="0" applyFont="1"/>
    <xf numFmtId="3" fontId="14" fillId="3" borderId="10" xfId="0" applyNumberFormat="1" applyFont="1" applyFill="1" applyBorder="1"/>
    <xf numFmtId="164" fontId="15" fillId="0" borderId="10" xfId="0" applyNumberFormat="1" applyFont="1" applyBorder="1" applyAlignment="1">
      <alignment horizontal="right"/>
    </xf>
    <xf numFmtId="0" fontId="15" fillId="0" borderId="10" xfId="0" applyFont="1" applyBorder="1" applyAlignment="1">
      <alignment horizontal="right"/>
    </xf>
    <xf numFmtId="0" fontId="15" fillId="3" borderId="6" xfId="0" applyFont="1" applyFill="1" applyBorder="1" applyAlignment="1">
      <alignment horizontal="right"/>
    </xf>
    <xf numFmtId="0" fontId="14" fillId="3" borderId="1" xfId="0" applyFont="1" applyFill="1" applyBorder="1"/>
    <xf numFmtId="0" fontId="15" fillId="3" borderId="4" xfId="0" applyFont="1" applyFill="1" applyBorder="1" applyAlignment="1">
      <alignment horizontal="right"/>
    </xf>
    <xf numFmtId="0" fontId="15" fillId="3" borderId="0" xfId="0" applyFont="1" applyFill="1" applyAlignment="1">
      <alignment horizontal="right"/>
    </xf>
    <xf numFmtId="164" fontId="14"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5" fillId="2" borderId="52" xfId="0" applyFont="1" applyFill="1" applyBorder="1" applyAlignment="1">
      <alignment horizontal="center" wrapText="1"/>
    </xf>
    <xf numFmtId="0" fontId="0" fillId="0" borderId="53" xfId="0" applyBorder="1"/>
    <xf numFmtId="3" fontId="14" fillId="2" borderId="47" xfId="0" applyNumberFormat="1" applyFont="1" applyFill="1" applyBorder="1"/>
    <xf numFmtId="3" fontId="14" fillId="2" borderId="48" xfId="0" applyNumberFormat="1" applyFont="1" applyFill="1" applyBorder="1"/>
    <xf numFmtId="164" fontId="14" fillId="0" borderId="1" xfId="0" applyNumberFormat="1" applyFont="1" applyBorder="1"/>
    <xf numFmtId="0" fontId="14" fillId="0" borderId="1" xfId="0" applyFont="1" applyBorder="1"/>
    <xf numFmtId="164" fontId="15" fillId="3" borderId="4" xfId="0" applyNumberFormat="1" applyFont="1" applyFill="1" applyBorder="1" applyAlignment="1">
      <alignment horizontal="right"/>
    </xf>
    <xf numFmtId="0" fontId="14" fillId="3" borderId="0" xfId="0" applyFont="1" applyFill="1" applyAlignment="1">
      <alignment horizontal="right"/>
    </xf>
    <xf numFmtId="0" fontId="15" fillId="0" borderId="10" xfId="0" applyFont="1" applyBorder="1" applyAlignment="1">
      <alignment horizontal="center" wrapText="1"/>
    </xf>
    <xf numFmtId="0" fontId="14" fillId="0" borderId="3" xfId="0" applyFont="1" applyBorder="1"/>
    <xf numFmtId="0" fontId="14" fillId="0" borderId="7" xfId="0" applyFont="1" applyBorder="1"/>
    <xf numFmtId="164" fontId="14" fillId="0" borderId="12" xfId="0" applyNumberFormat="1" applyFont="1" applyBorder="1"/>
    <xf numFmtId="0" fontId="14" fillId="0" borderId="13" xfId="0" applyFont="1" applyBorder="1"/>
    <xf numFmtId="0" fontId="14" fillId="23" borderId="52" xfId="0" applyFont="1" applyFill="1" applyBorder="1" applyAlignment="1">
      <alignment horizontal="left"/>
    </xf>
    <xf numFmtId="0" fontId="0" fillId="0" borderId="53" xfId="0" applyBorder="1" applyAlignment="1">
      <alignment horizontal="left"/>
    </xf>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5" fillId="0" borderId="1" xfId="0" applyFont="1" applyBorder="1" applyAlignment="1">
      <alignment horizontal="center"/>
    </xf>
    <xf numFmtId="0" fontId="15"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4" fillId="23" borderId="6" xfId="0" applyNumberFormat="1" applyFont="1" applyFill="1" applyBorder="1"/>
    <xf numFmtId="0" fontId="14" fillId="23" borderId="7" xfId="0" applyFont="1" applyFill="1" applyBorder="1"/>
    <xf numFmtId="164" fontId="14" fillId="0" borderId="52" xfId="0" applyNumberFormat="1" applyFont="1" applyBorder="1"/>
    <xf numFmtId="0" fontId="14" fillId="0" borderId="53" xfId="0" applyFont="1" applyBorder="1"/>
    <xf numFmtId="164" fontId="14" fillId="0" borderId="6" xfId="0" applyNumberFormat="1" applyFont="1" applyBorder="1"/>
    <xf numFmtId="164" fontId="15" fillId="0" borderId="0" xfId="0" applyNumberFormat="1" applyFont="1" applyAlignment="1">
      <alignment horizontal="right"/>
    </xf>
    <xf numFmtId="0" fontId="14"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5"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4"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4" fillId="2" borderId="56" xfId="0" applyNumberFormat="1" applyFont="1" applyFill="1" applyBorder="1" applyAlignment="1">
      <alignment horizontal="center" vertical="center"/>
    </xf>
    <xf numFmtId="0" fontId="15"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5" fillId="3" borderId="10" xfId="0" applyFont="1" applyFill="1" applyBorder="1" applyAlignment="1">
      <alignment horizontal="center" wrapText="1"/>
    </xf>
    <xf numFmtId="0" fontId="15" fillId="3" borderId="1" xfId="0" applyFont="1" applyFill="1" applyBorder="1" applyAlignment="1">
      <alignment horizontal="center" wrapText="1"/>
    </xf>
    <xf numFmtId="3" fontId="14" fillId="2" borderId="2" xfId="0" applyNumberFormat="1" applyFont="1" applyFill="1" applyBorder="1"/>
    <xf numFmtId="3" fontId="14" fillId="2" borderId="3" xfId="0" applyNumberFormat="1" applyFont="1" applyFill="1" applyBorder="1"/>
    <xf numFmtId="3" fontId="14" fillId="2" borderId="6" xfId="0" applyNumberFormat="1" applyFont="1" applyFill="1" applyBorder="1"/>
    <xf numFmtId="3" fontId="14" fillId="2" borderId="7" xfId="0" applyNumberFormat="1" applyFont="1" applyFill="1" applyBorder="1"/>
    <xf numFmtId="14" fontId="15" fillId="0" borderId="1" xfId="0" applyNumberFormat="1" applyFont="1" applyBorder="1" applyAlignment="1">
      <alignment horizontal="center"/>
    </xf>
    <xf numFmtId="0" fontId="0" fillId="0" borderId="1" xfId="0" applyBorder="1"/>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79"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0" fontId="0" fillId="0" borderId="66" xfId="0" applyBorder="1"/>
    <xf numFmtId="0" fontId="0" fillId="0" borderId="9" xfId="0" applyBorder="1"/>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0" fontId="1" fillId="23" borderId="6" xfId="0" applyFont="1" applyFill="1" applyBorder="1" applyAlignment="1">
      <alignment horizontal="center" vertical="center" wrapText="1"/>
    </xf>
    <xf numFmtId="0" fontId="0" fillId="0" borderId="7" xfId="0" applyBorder="1" applyAlignment="1">
      <alignment horizontal="center" wrapText="1"/>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1" fillId="23" borderId="52" xfId="0" applyFont="1" applyFill="1" applyBorder="1" applyAlignment="1">
      <alignment horizontal="center" vertical="center" wrapText="1"/>
    </xf>
    <xf numFmtId="0" fontId="0" fillId="0" borderId="53" xfId="0" applyBorder="1" applyAlignment="1">
      <alignment horizontal="center" vertical="center" wrapText="1"/>
    </xf>
    <xf numFmtId="164" fontId="1" fillId="23" borderId="54" xfId="0" applyNumberFormat="1" applyFont="1" applyFill="1" applyBorder="1"/>
    <xf numFmtId="0" fontId="0" fillId="0" borderId="54" xfId="0" applyBorder="1" applyAlignment="1">
      <alignment horizontal="center" vertical="center" wrapText="1"/>
    </xf>
    <xf numFmtId="3" fontId="17"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2"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49" fontId="40"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0"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0"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0"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2" fillId="20" borderId="36" xfId="0" applyFont="1" applyFill="1" applyBorder="1" applyAlignment="1" applyProtection="1">
      <alignment horizontal="center" vertical="center" wrapText="1"/>
      <protection locked="0"/>
    </xf>
    <xf numFmtId="0" fontId="45" fillId="0" borderId="37" xfId="0" applyFont="1" applyBorder="1" applyAlignment="1" applyProtection="1">
      <alignment vertical="center" wrapText="1"/>
      <protection locked="0"/>
    </xf>
    <xf numFmtId="0" fontId="45" fillId="0" borderId="38" xfId="0" applyFont="1" applyBorder="1" applyAlignment="1" applyProtection="1">
      <alignment vertical="center" wrapText="1"/>
      <protection locked="0"/>
    </xf>
    <xf numFmtId="0" fontId="42" fillId="20" borderId="42" xfId="0" applyFont="1" applyFill="1" applyBorder="1" applyAlignment="1" applyProtection="1">
      <alignment horizontal="center" vertical="center" wrapText="1"/>
      <protection locked="0"/>
    </xf>
    <xf numFmtId="0" fontId="45" fillId="0" borderId="0" xfId="0" applyFont="1" applyAlignment="1" applyProtection="1">
      <alignment vertical="center" wrapText="1"/>
      <protection locked="0"/>
    </xf>
    <xf numFmtId="0" fontId="45" fillId="0" borderId="43" xfId="0" applyFont="1" applyBorder="1" applyAlignment="1" applyProtection="1">
      <alignment vertical="center" wrapText="1"/>
      <protection locked="0"/>
    </xf>
    <xf numFmtId="0" fontId="45" fillId="0" borderId="39" xfId="0" applyFont="1" applyBorder="1" applyAlignment="1" applyProtection="1">
      <alignment vertical="center" wrapText="1"/>
      <protection locked="0"/>
    </xf>
    <xf numFmtId="0" fontId="45" fillId="0" borderId="40" xfId="0" applyFont="1" applyBorder="1" applyAlignment="1" applyProtection="1">
      <alignment vertical="center" wrapText="1"/>
      <protection locked="0"/>
    </xf>
    <xf numFmtId="0" fontId="45" fillId="0" borderId="41" xfId="0" applyFont="1" applyBorder="1" applyAlignment="1" applyProtection="1">
      <alignment vertical="center" wrapText="1"/>
      <protection locked="0"/>
    </xf>
    <xf numFmtId="0" fontId="42" fillId="18" borderId="36" xfId="0" applyFont="1" applyFill="1" applyBorder="1" applyAlignment="1" applyProtection="1">
      <alignment horizontal="center" vertical="center"/>
      <protection locked="0"/>
    </xf>
    <xf numFmtId="0" fontId="0" fillId="0" borderId="37" xfId="0" applyBorder="1"/>
    <xf numFmtId="0" fontId="0" fillId="0" borderId="38" xfId="0" applyBorder="1"/>
    <xf numFmtId="0" fontId="0" fillId="0" borderId="42" xfId="0" applyBorder="1"/>
    <xf numFmtId="0" fontId="0" fillId="0" borderId="43" xfId="0" applyBorder="1"/>
    <xf numFmtId="0" fontId="0" fillId="0" borderId="39" xfId="0" applyBorder="1"/>
    <xf numFmtId="0" fontId="0" fillId="0" borderId="40" xfId="0" applyBorder="1"/>
    <xf numFmtId="0" fontId="0" fillId="0" borderId="41" xfId="0" applyBorder="1"/>
    <xf numFmtId="0" fontId="41" fillId="0" borderId="4" xfId="5" applyFont="1" applyBorder="1" applyAlignment="1">
      <alignment horizontal="center" wrapText="1"/>
    </xf>
    <xf numFmtId="0" fontId="42"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7" fillId="0" borderId="1" xfId="3" applyFont="1" applyBorder="1" applyAlignment="1" applyProtection="1">
      <alignment horizontal="right" vertical="center" indent="1"/>
    </xf>
    <xf numFmtId="0" fontId="8" fillId="0" borderId="1" xfId="0" applyFont="1" applyBorder="1" applyAlignment="1">
      <alignment horizontal="right" vertical="center" indent="1"/>
    </xf>
    <xf numFmtId="8" fontId="0" fillId="16" borderId="0" xfId="0" applyNumberFormat="1" applyFill="1" applyAlignment="1">
      <alignment horizontal="right"/>
    </xf>
    <xf numFmtId="0" fontId="0" fillId="16" borderId="0" xfId="0" applyFill="1"/>
    <xf numFmtId="8" fontId="0" fillId="17" borderId="0" xfId="0" applyNumberFormat="1" applyFill="1" applyAlignment="1">
      <alignment horizontal="right"/>
    </xf>
    <xf numFmtId="0" fontId="0" fillId="17" borderId="0" xfId="0" applyFill="1"/>
    <xf numFmtId="8" fontId="1" fillId="9" borderId="1" xfId="0" applyNumberFormat="1" applyFont="1" applyFill="1" applyBorder="1" applyAlignment="1">
      <alignment horizontal="right"/>
    </xf>
    <xf numFmtId="0" fontId="1" fillId="0" borderId="1" xfId="0" applyFont="1" applyBorder="1"/>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42" fillId="0" borderId="19" xfId="3" applyFont="1" applyAlignment="1">
      <alignment horizontal="left" vertical="center"/>
    </xf>
    <xf numFmtId="0" fontId="42" fillId="0" borderId="0" xfId="0" applyFont="1" applyAlignment="1">
      <alignment vertical="center"/>
    </xf>
    <xf numFmtId="0" fontId="43" fillId="0" borderId="10" xfId="0" applyFont="1" applyBorder="1" applyAlignment="1">
      <alignment horizontal="center"/>
    </xf>
    <xf numFmtId="0" fontId="17" fillId="0" borderId="0" xfId="3" applyFont="1" applyBorder="1" applyAlignment="1" applyProtection="1">
      <alignment horizontal="right" vertical="center" indent="1"/>
    </xf>
    <xf numFmtId="0" fontId="8"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0" fontId="0" fillId="3" borderId="0" xfId="0" applyFill="1" applyAlignment="1">
      <alignment horizontal="right"/>
    </xf>
    <xf numFmtId="0" fontId="0" fillId="16" borderId="0" xfId="0" applyFill="1" applyAlignment="1">
      <alignment horizontal="right"/>
    </xf>
    <xf numFmtId="8" fontId="0" fillId="9" borderId="1" xfId="0" applyNumberFormat="1" applyFill="1" applyBorder="1" applyAlignment="1">
      <alignment horizontal="right"/>
    </xf>
    <xf numFmtId="1" fontId="25" fillId="0" borderId="0" xfId="0" applyNumberFormat="1" applyFont="1" applyAlignment="1">
      <alignment horizontal="left" vertical="center"/>
    </xf>
    <xf numFmtId="0" fontId="18" fillId="11" borderId="22" xfId="0" applyFont="1" applyFill="1" applyBorder="1" applyAlignment="1">
      <alignment horizontal="left" vertical="center"/>
    </xf>
    <xf numFmtId="0" fontId="19" fillId="12" borderId="23" xfId="0" applyFont="1" applyFill="1" applyBorder="1"/>
    <xf numFmtId="0" fontId="19" fillId="12" borderId="25" xfId="0" applyFont="1" applyFill="1" applyBorder="1"/>
    <xf numFmtId="0" fontId="19" fillId="12" borderId="0" xfId="0" applyFont="1" applyFill="1"/>
    <xf numFmtId="1" fontId="25" fillId="0" borderId="23" xfId="0" applyNumberFormat="1" applyFont="1" applyBorder="1" applyAlignment="1">
      <alignment horizontal="left" vertical="center"/>
    </xf>
    <xf numFmtId="0" fontId="26" fillId="0" borderId="23" xfId="0" applyFont="1" applyBorder="1"/>
    <xf numFmtId="1" fontId="25" fillId="0" borderId="23" xfId="0" applyNumberFormat="1" applyFont="1" applyBorder="1" applyAlignment="1">
      <alignment horizontal="center" vertical="center"/>
    </xf>
    <xf numFmtId="0" fontId="22" fillId="0" borderId="23" xfId="0" applyFont="1" applyBorder="1" applyAlignment="1">
      <alignment horizontal="center" vertical="top"/>
    </xf>
    <xf numFmtId="169" fontId="25" fillId="0" borderId="0" xfId="0" applyNumberFormat="1" applyFont="1" applyAlignment="1">
      <alignment horizontal="left" vertical="center"/>
    </xf>
    <xf numFmtId="0" fontId="25" fillId="0" borderId="28" xfId="0" applyFont="1" applyBorder="1" applyAlignment="1">
      <alignment horizontal="left"/>
    </xf>
    <xf numFmtId="0" fontId="26" fillId="0" borderId="29" xfId="0" applyFont="1" applyBorder="1"/>
    <xf numFmtId="0" fontId="28" fillId="11" borderId="28" xfId="0" applyFont="1" applyFill="1" applyBorder="1" applyAlignment="1">
      <alignment vertical="center"/>
    </xf>
    <xf numFmtId="0" fontId="19" fillId="12" borderId="29" xfId="0" applyFont="1" applyFill="1" applyBorder="1"/>
    <xf numFmtId="0" fontId="32" fillId="0" borderId="28" xfId="0" applyFont="1" applyBorder="1" applyAlignment="1">
      <alignment horizontal="left"/>
    </xf>
    <xf numFmtId="0" fontId="24" fillId="15" borderId="28" xfId="0" applyFont="1" applyFill="1" applyBorder="1" applyAlignment="1">
      <alignment horizontal="left"/>
    </xf>
    <xf numFmtId="0" fontId="24" fillId="0" borderId="32" xfId="0" applyFont="1" applyBorder="1" applyAlignment="1">
      <alignment horizontal="right"/>
    </xf>
    <xf numFmtId="0" fontId="26" fillId="0" borderId="33" xfId="0" applyFont="1" applyBorder="1"/>
    <xf numFmtId="166" fontId="1" fillId="0" borderId="0" xfId="0" applyNumberFormat="1" applyFont="1" applyAlignment="1">
      <alignment horizontal="right"/>
    </xf>
    <xf numFmtId="0" fontId="1" fillId="0" borderId="0" xfId="0" applyFont="1" applyAlignment="1">
      <alignment horizontal="right"/>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2" formatCode="0.00"/>
      <protection locked="1" hidden="0"/>
    </dxf>
    <dxf>
      <numFmt numFmtId="0" formatCode="General"/>
      <protection locked="1" hidden="0"/>
    </dxf>
    <dxf>
      <protection locked="1" hidden="0"/>
    </dxf>
    <dxf>
      <protection locked="1" hidden="0"/>
    </dxf>
    <dxf>
      <numFmt numFmtId="171" formatCode="mm/dd/yy;@"/>
      <protection locked="1" hidden="0"/>
    </dxf>
    <dxf>
      <protection locked="1" hidden="0"/>
    </dxf>
    <dxf>
      <protection locked="1" hidden="0"/>
    </dxf>
    <dxf>
      <numFmt numFmtId="2" formatCode="0.00"/>
      <protection locked="1" hidden="0"/>
    </dxf>
    <dxf>
      <numFmt numFmtId="1" formatCode="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36" Type="http://schemas.openxmlformats.org/officeDocument/2006/relationships/customXml" Target="../customXml/item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8" Type="http://schemas.openxmlformats.org/officeDocument/2006/relationships/worksheet" Target="worksheets/sheet8.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11.png"/><Relationship Id="rId1" Type="http://schemas.openxmlformats.org/officeDocument/2006/relationships/customXml" Target="../ink/ink1.xml"/><Relationship Id="rId6" Type="http://schemas.openxmlformats.org/officeDocument/2006/relationships/image" Target="../media/image13.png"/><Relationship Id="rId5" Type="http://schemas.openxmlformats.org/officeDocument/2006/relationships/customXml" Target="../ink/ink3.xml"/><Relationship Id="rId10" Type="http://schemas.openxmlformats.org/officeDocument/2006/relationships/image" Target="../media/image1.png"/><Relationship Id="rId4" Type="http://schemas.openxmlformats.org/officeDocument/2006/relationships/image" Target="../media/image12.png"/><Relationship Id="rId9" Type="http://schemas.openxmlformats.org/officeDocument/2006/relationships/customXml" Target="../ink/ink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2">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3">
              <a:extLst>
                <a:ext uri="{FF2B5EF4-FFF2-40B4-BE49-F238E27FC236}">
                  <a16:creationId xmlns:a16="http://schemas.microsoft.com/office/drawing/2014/main" id="{00000000-0008-0000-0200-000005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4">
              <a:extLst>
                <a:ext uri="{FF2B5EF4-FFF2-40B4-BE49-F238E27FC236}">
                  <a16:creationId xmlns:a16="http://schemas.microsoft.com/office/drawing/2014/main" id="{00000000-0008-0000-0200-000006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6"/>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45</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 name="Ink 6">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8"/>
            <a:stretch>
              <a:fillRect/>
            </a:stretch>
          </xdr:blipFill>
          <xdr:spPr>
            <a:xfrm>
              <a:off x="4519800" y="8360237"/>
              <a:ext cx="64440" cy="60120"/>
            </a:xfrm>
            <a:prstGeom prst="rect">
              <a:avLst/>
            </a:prstGeom>
          </xdr:spPr>
        </xdr:pic>
      </mc:Fallback>
    </mc:AlternateContent>
    <xdr:clientData/>
  </xdr:oneCellAnchor>
  <xdr:oneCellAnchor>
    <xdr:from>
      <xdr:col>3</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10"/>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39"/>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23:16.44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4:26:18.927"/>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26" dataDxfId="25">
  <sortState xmlns:xlrd2="http://schemas.microsoft.com/office/spreadsheetml/2017/richdata2" ref="A30:O45">
    <sortCondition ref="J30:J83"/>
    <sortCondition ref="K30:K83"/>
  </sortState>
  <tableColumns count="15">
    <tableColumn id="106" xr3:uid="{88C796C4-2105-4C93-8E7A-CCEA28B0DF71}" uniqueName="106" name="Party" queryTableFieldId="1" dataDxfId="24"/>
    <tableColumn id="107" xr3:uid="{541F33A4-C6A3-44C5-81DB-FAA61B7F72AB}" uniqueName="107" name="Item" queryTableFieldId="2" dataDxfId="23"/>
    <tableColumn id="108" xr3:uid="{3AE45ADE-D247-428D-BB07-058C3457BF76}" uniqueName="108" name="Cost Code" queryTableFieldId="3" dataDxfId="22"/>
    <tableColumn id="109" xr3:uid="{B0D5185D-6AD1-4E8D-B845-F1898A9538BA}" uniqueName="109" name="Title" queryTableFieldId="4" dataDxfId="21"/>
    <tableColumn id="110" xr3:uid="{BF5C7BBF-561F-458E-BF23-5B7C697DF8C9}" uniqueName="110" name="Description" queryTableFieldId="5" dataDxfId="20"/>
    <tableColumn id="111" xr3:uid="{F21AE756-8924-4878-8615-262AB0D00519}" uniqueName="111" name="Qty" queryTableFieldId="6" dataDxfId="19"/>
    <tableColumn id="112" xr3:uid="{0CD8A8A4-BACC-44F4-93A1-F713A821F322}" uniqueName="112" name="Unit Price" queryTableFieldId="7" dataDxfId="18"/>
    <tableColumn id="113" xr3:uid="{26C57DEB-9347-43DE-B22B-A524ED52F9F1}" uniqueName="113" name="Price" queryTableFieldId="8" dataDxfId="17"/>
    <tableColumn id="114" xr3:uid="{EBDB1F65-628C-4940-9612-1C3FD8569DC1}" uniqueName="114" name="Done" queryTableFieldId="9" dataDxfId="16"/>
    <tableColumn id="115" xr3:uid="{12EEE598-AD5C-449D-9592-F3BFFA8A06FB}" uniqueName="115" name="Group Order" queryTableFieldId="10" dataDxfId="15"/>
    <tableColumn id="116" xr3:uid="{C6321B43-2488-4F52-A140-04EF16631EAF}" uniqueName="116" name="Start Date" queryTableFieldId="11" dataDxfId="14"/>
    <tableColumn id="117" xr3:uid="{E22A3266-2A40-492B-9764-940B22EBAEF6}" uniqueName="117" name="Days" queryTableFieldId="12" dataDxfId="13"/>
    <tableColumn id="118" xr3:uid="{DA6448B5-75FA-40C7-BF8D-CB99AC089926}" uniqueName="118" name="Paid" queryTableFieldId="13" dataDxfId="12"/>
    <tableColumn id="119" xr3:uid="{A789D139-5429-44E2-8E4C-EFA46ED90A52}" uniqueName="119" name="Notes" queryTableFieldId="14" dataDxfId="11"/>
    <tableColumn id="120" xr3:uid="{F39BD6C0-B0A7-49E7-AFB2-4F7FD09D606F}" uniqueName="120" name="Due" queryTableFieldId="15" dataDxfId="1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rushmoreservicing.com/" TargetMode="External"/><Relationship Id="rId3" Type="http://schemas.openxmlformats.org/officeDocument/2006/relationships/hyperlink" Target="mailto:ac63yhompson@gmail.com" TargetMode="External"/><Relationship Id="rId7" Type="http://schemas.openxmlformats.org/officeDocument/2006/relationships/hyperlink" Target="mailto:andycarlson27@yahoo.com" TargetMode="External"/><Relationship Id="rId2" Type="http://schemas.openxmlformats.org/officeDocument/2006/relationships/hyperlink" Target="mailto:LaLogallazo@gmail.com" TargetMode="External"/><Relationship Id="rId1" Type="http://schemas.openxmlformats.org/officeDocument/2006/relationships/hyperlink" Target="mailto:brantley@eldridgeandfranklin.com" TargetMode="External"/><Relationship Id="rId6" Type="http://schemas.openxmlformats.org/officeDocument/2006/relationships/hyperlink" Target="https://nreig.com/contact/" TargetMode="External"/><Relationship Id="rId5" Type="http://schemas.openxmlformats.org/officeDocument/2006/relationships/hyperlink" Target="mailto:Matt@trueserviceinc.com" TargetMode="External"/><Relationship Id="rId4" Type="http://schemas.openxmlformats.org/officeDocument/2006/relationships/hyperlink" Target="mailto:Walter@GlasgowDB.com" TargetMode="External"/><Relationship Id="rId9"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T108"/>
  <sheetViews>
    <sheetView zoomScaleNormal="100" workbookViewId="0">
      <pane xSplit="1" ySplit="3" topLeftCell="B7" activePane="bottomRight" state="frozen"/>
      <selection pane="topRight" activeCell="B1" sqref="B1"/>
      <selection pane="bottomLeft" activeCell="A3" sqref="A3"/>
      <selection pane="bottomRight" activeCell="E29" sqref="E29"/>
    </sheetView>
  </sheetViews>
  <sheetFormatPr defaultColWidth="9.140625" defaultRowHeight="15" customHeight="1" x14ac:dyDescent="0.2"/>
  <cols>
    <col min="1" max="1" width="24.7109375" style="40" customWidth="1"/>
    <col min="2" max="2" width="6.42578125" style="40" customWidth="1"/>
    <col min="3" max="3" width="8.28515625" style="149" customWidth="1"/>
    <col min="4" max="4" width="9" style="39" customWidth="1"/>
    <col min="5" max="7" width="9.28515625" style="39" bestFit="1" customWidth="1"/>
    <col min="8" max="8" width="10.140625" style="40" customWidth="1"/>
    <col min="9" max="9" width="8.5703125" style="149" bestFit="1" customWidth="1"/>
    <col min="10" max="10" width="11.5703125" style="39" customWidth="1"/>
    <col min="11" max="11" width="9.28515625" style="39" customWidth="1"/>
    <col min="12" max="12" width="5.28515625" style="39" customWidth="1"/>
    <col min="13" max="13" width="8.42578125" style="39" bestFit="1" customWidth="1"/>
    <col min="14" max="14" width="11.28515625" style="39" customWidth="1"/>
    <col min="15" max="15" width="17.140625" style="39" customWidth="1"/>
    <col min="16" max="16" width="21.28515625" style="39" customWidth="1"/>
    <col min="17" max="17" width="13.28515625" style="39" customWidth="1"/>
    <col min="18" max="18" width="17.85546875" style="39" customWidth="1"/>
    <col min="19" max="19" width="10.140625" style="39" bestFit="1" customWidth="1"/>
    <col min="20" max="20" width="18.7109375" style="39" customWidth="1"/>
    <col min="21" max="21" width="11.28515625" style="39" customWidth="1"/>
    <col min="22" max="22" width="11.140625" style="39" bestFit="1" customWidth="1"/>
    <col min="23" max="16384" width="9.140625" style="39"/>
  </cols>
  <sheetData>
    <row r="1" spans="1:20" ht="21" customHeight="1" thickBot="1" x14ac:dyDescent="0.35">
      <c r="A1" s="40" t="s">
        <v>0</v>
      </c>
      <c r="B1" s="450" t="s">
        <v>1</v>
      </c>
      <c r="C1" s="451"/>
      <c r="E1" s="219" t="s">
        <v>2</v>
      </c>
      <c r="F1" s="220" t="s">
        <v>3</v>
      </c>
    </row>
    <row r="2" spans="1:20" ht="16.5" customHeight="1" thickBot="1" x14ac:dyDescent="0.3">
      <c r="A2" s="150"/>
      <c r="B2" s="465" t="s">
        <v>4</v>
      </c>
      <c r="C2" s="466"/>
      <c r="D2" s="466"/>
      <c r="E2" s="466"/>
      <c r="F2" s="467"/>
      <c r="G2" s="151"/>
      <c r="H2" s="458" t="s">
        <v>5</v>
      </c>
      <c r="I2" s="459"/>
      <c r="J2" s="388" t="s">
        <v>6</v>
      </c>
      <c r="K2" s="498"/>
    </row>
    <row r="3" spans="1:20" ht="12" customHeight="1" thickBot="1" x14ac:dyDescent="0.25">
      <c r="A3" s="152" t="s">
        <v>7</v>
      </c>
      <c r="B3" s="153"/>
      <c r="D3" s="468" t="s">
        <v>8</v>
      </c>
      <c r="E3" s="468"/>
      <c r="F3" s="468" t="s">
        <v>9</v>
      </c>
      <c r="G3" s="455"/>
      <c r="H3" s="455"/>
      <c r="I3" s="460"/>
      <c r="J3" s="389"/>
      <c r="K3" s="391"/>
    </row>
    <row r="4" spans="1:20" ht="12" customHeight="1" thickBot="1" x14ac:dyDescent="0.25">
      <c r="A4" s="40" t="s">
        <v>10</v>
      </c>
      <c r="B4" s="402">
        <v>439000</v>
      </c>
      <c r="C4" s="403"/>
      <c r="E4" s="154"/>
      <c r="G4" s="154"/>
      <c r="I4" s="167"/>
      <c r="J4" s="388" t="s">
        <v>11</v>
      </c>
      <c r="K4" s="390" t="s">
        <v>12</v>
      </c>
      <c r="O4" s="40" t="s">
        <v>13</v>
      </c>
      <c r="P4" s="377">
        <f ca="1">NOW()</f>
        <v>46197.349417245372</v>
      </c>
    </row>
    <row r="5" spans="1:20" ht="12" customHeight="1" thickBot="1" x14ac:dyDescent="0.25">
      <c r="A5" s="40" t="s">
        <v>14</v>
      </c>
      <c r="B5" s="276">
        <v>-0.15</v>
      </c>
      <c r="C5" s="276">
        <v>0.1</v>
      </c>
      <c r="E5" s="154"/>
      <c r="G5" s="154"/>
      <c r="I5" s="172"/>
      <c r="J5" s="389"/>
      <c r="K5" s="391"/>
      <c r="N5" s="39" t="s">
        <v>15</v>
      </c>
      <c r="O5" s="355">
        <v>45161</v>
      </c>
      <c r="P5" s="39">
        <v>276600</v>
      </c>
    </row>
    <row r="6" spans="1:20" ht="12" customHeight="1" thickBot="1" x14ac:dyDescent="0.25">
      <c r="A6" s="40" t="s">
        <v>16</v>
      </c>
      <c r="B6" s="404">
        <f>+B4 + IF(B1="Hold",B4*C5,0) + IF(B1="wholetale",B4*B5,0)</f>
        <v>439000</v>
      </c>
      <c r="C6" s="405"/>
      <c r="E6" s="154"/>
      <c r="G6" s="203">
        <f>IF($B$1="hold",$B$4,$B$6)</f>
        <v>439000</v>
      </c>
      <c r="I6" s="172"/>
      <c r="J6" s="388" t="s">
        <v>17</v>
      </c>
      <c r="K6" s="426">
        <v>0.1</v>
      </c>
      <c r="N6" s="149"/>
      <c r="O6" s="355"/>
    </row>
    <row r="7" spans="1:20" ht="12" customHeight="1" thickBot="1" x14ac:dyDescent="0.25">
      <c r="A7" s="40" t="s">
        <v>18</v>
      </c>
      <c r="B7" s="402"/>
      <c r="C7" s="403"/>
      <c r="D7" s="149">
        <f>+B7</f>
        <v>0</v>
      </c>
      <c r="E7" s="154"/>
      <c r="F7" s="149">
        <f>-B7</f>
        <v>0</v>
      </c>
      <c r="G7" s="203">
        <f>+IF($B$1="hold",$K$6,0)*$C$35/12*B4</f>
        <v>0</v>
      </c>
      <c r="H7" s="328" t="str">
        <f>+IF($B$1="hold","&lt;-- Apprication -----------","")</f>
        <v/>
      </c>
      <c r="I7" s="172"/>
      <c r="J7" s="389"/>
      <c r="K7" s="427"/>
    </row>
    <row r="8" spans="1:20" ht="12" customHeight="1" thickBot="1" x14ac:dyDescent="0.25">
      <c r="A8" s="40" t="s">
        <v>19</v>
      </c>
      <c r="B8" s="394">
        <v>2000</v>
      </c>
      <c r="C8" s="422"/>
      <c r="D8" s="155"/>
      <c r="E8" s="156"/>
      <c r="F8" s="155"/>
      <c r="G8" s="157"/>
      <c r="I8" s="204" t="str">
        <f>IF(B1="Hold",+B8,"")</f>
        <v/>
      </c>
      <c r="J8" s="388" t="s">
        <v>20</v>
      </c>
      <c r="K8" s="493">
        <v>1899</v>
      </c>
    </row>
    <row r="9" spans="1:20" ht="12" customHeight="1" thickBot="1" x14ac:dyDescent="0.25">
      <c r="C9" s="484" t="s">
        <v>21</v>
      </c>
      <c r="D9" s="443" t="s">
        <v>21</v>
      </c>
      <c r="E9" s="158">
        <f>SUM(D4:D8)</f>
        <v>0</v>
      </c>
      <c r="F9" s="461">
        <f>+SUM(F4:G8)</f>
        <v>439000</v>
      </c>
      <c r="G9" s="462"/>
      <c r="H9" s="461">
        <f>SUM(H4:I8)</f>
        <v>0</v>
      </c>
      <c r="I9" s="462"/>
      <c r="J9" s="389"/>
      <c r="K9" s="494"/>
    </row>
    <row r="10" spans="1:20" ht="12" customHeight="1" thickBot="1" x14ac:dyDescent="0.25">
      <c r="C10" s="159"/>
      <c r="D10" s="160"/>
      <c r="E10" s="158"/>
      <c r="F10" s="149"/>
      <c r="G10" s="154"/>
      <c r="H10" s="149"/>
      <c r="I10" s="161"/>
    </row>
    <row r="11" spans="1:20" ht="12" customHeight="1" thickTop="1" thickBot="1" x14ac:dyDescent="0.25">
      <c r="A11" s="162" t="s">
        <v>22</v>
      </c>
      <c r="B11" s="162"/>
      <c r="C11" s="163"/>
      <c r="D11" s="164"/>
      <c r="E11" s="211"/>
      <c r="F11" s="165"/>
      <c r="G11" s="211"/>
      <c r="H11" s="166"/>
      <c r="I11" s="216"/>
    </row>
    <row r="12" spans="1:20" ht="11.25" customHeight="1" thickBot="1" x14ac:dyDescent="0.3">
      <c r="A12" s="40" t="s">
        <v>23</v>
      </c>
      <c r="B12" s="392">
        <v>12645</v>
      </c>
      <c r="C12" s="393"/>
      <c r="D12" s="170">
        <f>-B12</f>
        <v>-12645</v>
      </c>
      <c r="E12" s="212"/>
      <c r="F12" s="221"/>
      <c r="G12" s="222" t="str">
        <f>IF(K4="Yes",0.3*B12,"")</f>
        <v/>
      </c>
      <c r="H12" s="463" t="s">
        <v>24</v>
      </c>
      <c r="I12" s="464"/>
      <c r="J12" s="469" t="s">
        <v>25</v>
      </c>
      <c r="K12" s="474"/>
    </row>
    <row r="13" spans="1:20" ht="12" customHeight="1" x14ac:dyDescent="0.2">
      <c r="A13" s="40" t="s">
        <v>26</v>
      </c>
      <c r="B13" s="373">
        <v>3.125E-2</v>
      </c>
      <c r="C13" s="333">
        <v>125037.73</v>
      </c>
      <c r="D13" s="170"/>
      <c r="E13" s="212"/>
      <c r="F13" s="170">
        <f>-C13</f>
        <v>-125037.73</v>
      </c>
      <c r="G13" s="214"/>
      <c r="H13" s="170"/>
      <c r="I13" s="217"/>
      <c r="J13" s="475"/>
      <c r="K13" s="476"/>
      <c r="M13" s="173"/>
    </row>
    <row r="14" spans="1:20" ht="12" customHeight="1" x14ac:dyDescent="0.2">
      <c r="A14" s="40" t="s">
        <v>27</v>
      </c>
      <c r="B14" s="332"/>
      <c r="C14" s="333"/>
      <c r="D14" s="170"/>
      <c r="E14" s="212"/>
      <c r="F14" s="170">
        <f>-+(120-C34)*(C14/120)</f>
        <v>0</v>
      </c>
      <c r="G14" s="214"/>
      <c r="H14" s="170">
        <f>-(C14*B14/12)</f>
        <v>0</v>
      </c>
      <c r="I14" s="217"/>
      <c r="J14" s="475"/>
      <c r="K14" s="476"/>
    </row>
    <row r="15" spans="1:20" ht="12" customHeight="1" thickBot="1" x14ac:dyDescent="0.25">
      <c r="A15" s="40" t="s">
        <v>28</v>
      </c>
      <c r="B15" s="332">
        <v>0.1</v>
      </c>
      <c r="C15" s="333"/>
      <c r="D15" s="168"/>
      <c r="E15" s="212"/>
      <c r="F15" s="170">
        <f>-C15</f>
        <v>0</v>
      </c>
      <c r="G15" s="214"/>
      <c r="H15" s="170">
        <f>-C15/120-(C15*B15/12)</f>
        <v>0</v>
      </c>
      <c r="I15" s="217"/>
      <c r="J15" s="477"/>
      <c r="K15" s="478"/>
      <c r="T15" s="378"/>
    </row>
    <row r="16" spans="1:20" ht="12" customHeight="1" thickBot="1" x14ac:dyDescent="0.25">
      <c r="A16" s="40" t="s">
        <v>29</v>
      </c>
      <c r="B16" s="297"/>
      <c r="C16" s="298"/>
      <c r="D16" s="170">
        <f>-C16</f>
        <v>0</v>
      </c>
      <c r="E16" s="212"/>
      <c r="F16" s="170"/>
      <c r="G16" s="214"/>
      <c r="H16" s="171"/>
      <c r="I16" s="217"/>
      <c r="J16" s="42"/>
      <c r="K16" s="42"/>
    </row>
    <row r="17" spans="1:17" ht="12" customHeight="1" thickBot="1" x14ac:dyDescent="0.25">
      <c r="A17" s="195" t="s">
        <v>30</v>
      </c>
      <c r="B17" s="270">
        <v>0</v>
      </c>
      <c r="C17" s="271"/>
      <c r="D17" s="170"/>
      <c r="E17" s="212"/>
      <c r="F17" s="170"/>
      <c r="G17" s="214"/>
      <c r="H17" s="174"/>
      <c r="I17" s="217"/>
    </row>
    <row r="18" spans="1:17" ht="12" customHeight="1" thickBot="1" x14ac:dyDescent="0.25">
      <c r="A18" s="195" t="s">
        <v>31</v>
      </c>
      <c r="B18" s="421">
        <v>10000</v>
      </c>
      <c r="C18" s="422"/>
      <c r="D18" s="170">
        <f>-B18</f>
        <v>-10000</v>
      </c>
      <c r="E18" s="212"/>
      <c r="F18" s="170"/>
      <c r="G18" s="214"/>
      <c r="H18" s="171"/>
      <c r="I18" s="217"/>
      <c r="J18" s="430" t="s">
        <v>32</v>
      </c>
      <c r="K18" s="431"/>
    </row>
    <row r="19" spans="1:17" ht="12" customHeight="1" thickBot="1" x14ac:dyDescent="0.25">
      <c r="A19" s="195" t="s">
        <v>33</v>
      </c>
      <c r="B19" s="227"/>
      <c r="C19" s="187">
        <v>0</v>
      </c>
      <c r="D19" s="170">
        <f>-B19</f>
        <v>0</v>
      </c>
      <c r="E19" s="212"/>
      <c r="F19" s="170"/>
      <c r="G19" s="214"/>
      <c r="H19" s="171"/>
      <c r="I19" s="217"/>
      <c r="J19" s="432"/>
      <c r="K19" s="433"/>
    </row>
    <row r="20" spans="1:17" ht="12" customHeight="1" x14ac:dyDescent="0.2">
      <c r="A20" s="195" t="s">
        <v>34</v>
      </c>
      <c r="B20" s="197">
        <f ca="1">+F57/30</f>
        <v>60.2</v>
      </c>
      <c r="C20" s="379"/>
      <c r="D20" s="170"/>
      <c r="E20" s="212"/>
      <c r="F20" s="170"/>
      <c r="G20" s="214"/>
      <c r="H20" s="174"/>
      <c r="I20" s="217"/>
      <c r="J20" s="487" t="s">
        <v>35</v>
      </c>
      <c r="K20" s="488"/>
    </row>
    <row r="21" spans="1:17" ht="12" customHeight="1" x14ac:dyDescent="0.2">
      <c r="A21" s="195" t="s">
        <v>36</v>
      </c>
      <c r="B21" s="196">
        <f ca="1">+Carrying!H$88/$B$20</f>
        <v>1158.7292358803993</v>
      </c>
      <c r="C21" s="169"/>
      <c r="D21" s="170"/>
      <c r="E21" s="212"/>
      <c r="F21" s="170"/>
      <c r="G21" s="214"/>
      <c r="H21" s="174" t="str">
        <f>IF(B1="Hold",-B21,"")</f>
        <v/>
      </c>
      <c r="I21" s="217"/>
      <c r="J21" s="489"/>
      <c r="K21" s="490"/>
    </row>
    <row r="22" spans="1:17" ht="12" customHeight="1" x14ac:dyDescent="0.2">
      <c r="A22" s="195" t="s">
        <v>37</v>
      </c>
      <c r="B22" s="196"/>
      <c r="C22" s="169"/>
      <c r="D22" s="170"/>
      <c r="E22" s="212"/>
      <c r="F22" s="170"/>
      <c r="G22" s="214"/>
      <c r="H22" s="174" t="str">
        <f>IF(B1="Hold",-B22,"")</f>
        <v/>
      </c>
      <c r="I22" s="217"/>
      <c r="J22" s="489"/>
      <c r="K22" s="490"/>
    </row>
    <row r="23" spans="1:17" ht="12" customHeight="1" thickBot="1" x14ac:dyDescent="0.25">
      <c r="A23" s="195" t="s">
        <v>38</v>
      </c>
      <c r="B23" s="196">
        <f ca="1">+Carrying!L$88/$B$20</f>
        <v>85.893853820597997</v>
      </c>
      <c r="C23" s="169"/>
      <c r="D23" s="170"/>
      <c r="E23" s="212"/>
      <c r="F23" s="170"/>
      <c r="G23" s="214"/>
      <c r="H23" s="174" t="str">
        <f>IF(B1="Hold",-B23,"")</f>
        <v/>
      </c>
      <c r="I23" s="217"/>
      <c r="J23" s="491"/>
      <c r="K23" s="492"/>
    </row>
    <row r="24" spans="1:17" ht="12" customHeight="1" x14ac:dyDescent="0.2">
      <c r="A24" s="195" t="s">
        <v>39</v>
      </c>
      <c r="B24" s="196"/>
      <c r="C24" s="169"/>
      <c r="D24" s="170"/>
      <c r="E24" s="212"/>
      <c r="F24" s="170"/>
      <c r="G24" s="214"/>
      <c r="H24" s="174" t="str">
        <f>IF(B1="Hold",-B24,"")</f>
        <v/>
      </c>
      <c r="I24" s="217"/>
    </row>
    <row r="25" spans="1:17" ht="12" customHeight="1" x14ac:dyDescent="0.2">
      <c r="A25" s="195" t="s">
        <v>40</v>
      </c>
      <c r="B25" s="196">
        <f ca="1">+Carrying!D$88/$B$20</f>
        <v>12.63039867109635</v>
      </c>
      <c r="C25" s="169"/>
      <c r="D25" s="170"/>
      <c r="E25" s="212"/>
      <c r="F25" s="170"/>
      <c r="G25" s="214"/>
      <c r="H25" s="174"/>
      <c r="I25" s="217"/>
    </row>
    <row r="26" spans="1:17" ht="12" customHeight="1" thickBot="1" x14ac:dyDescent="0.25">
      <c r="A26" s="195" t="s">
        <v>41</v>
      </c>
      <c r="B26" s="196"/>
      <c r="C26" s="178"/>
      <c r="D26" s="170"/>
      <c r="E26" s="212"/>
      <c r="F26" s="170"/>
      <c r="G26" s="214"/>
      <c r="H26" s="174"/>
      <c r="I26" s="217"/>
      <c r="O26" s="40" t="s">
        <v>42</v>
      </c>
      <c r="P26" s="149">
        <f>+C13</f>
        <v>125037.73</v>
      </c>
    </row>
    <row r="27" spans="1:17" ht="12" customHeight="1" thickBot="1" x14ac:dyDescent="0.25">
      <c r="A27" s="40" t="s">
        <v>43</v>
      </c>
      <c r="B27" s="481">
        <f ca="1">+B20*SUM(B21:B26)</f>
        <v>75686.660000000047</v>
      </c>
      <c r="C27" s="482"/>
      <c r="D27" s="170">
        <f ca="1">-B27</f>
        <v>-75686.660000000047</v>
      </c>
      <c r="E27" s="212"/>
      <c r="F27" s="170"/>
      <c r="G27" s="214"/>
      <c r="H27" s="174"/>
      <c r="I27" s="217"/>
      <c r="J27" s="485" t="s">
        <v>44</v>
      </c>
      <c r="K27" s="448">
        <f>+SUM(B12:C16)+B18</f>
        <v>147682.86124999999</v>
      </c>
      <c r="N27" s="39" t="s">
        <v>45</v>
      </c>
      <c r="O27" s="40" t="s">
        <v>46</v>
      </c>
      <c r="P27" s="39">
        <v>75000</v>
      </c>
    </row>
    <row r="28" spans="1:17" ht="12" customHeight="1" thickBot="1" x14ac:dyDescent="0.25">
      <c r="A28" s="300" t="s">
        <v>47</v>
      </c>
      <c r="B28" s="199">
        <v>0.1</v>
      </c>
      <c r="C28" s="194" t="s">
        <v>48</v>
      </c>
      <c r="D28" s="170"/>
      <c r="E28" s="212"/>
      <c r="F28" s="170"/>
      <c r="G28" s="214"/>
      <c r="H28" s="174"/>
      <c r="I28" s="217"/>
      <c r="J28" s="486"/>
      <c r="K28" s="449"/>
      <c r="O28" s="40"/>
    </row>
    <row r="29" spans="1:17" ht="12" customHeight="1" thickBot="1" x14ac:dyDescent="0.25">
      <c r="A29" s="198" t="s">
        <v>49</v>
      </c>
      <c r="B29" s="410">
        <f>IF(C28="NO",0,+(B6*0.75)-(C13+C14+C15))</f>
        <v>204212.27000000002</v>
      </c>
      <c r="C29" s="411"/>
      <c r="D29" s="170"/>
      <c r="E29" s="212">
        <v>75000</v>
      </c>
      <c r="F29" s="170">
        <f ca="1">IF(C28="No","",-E29-(B20*E29*B28/12))</f>
        <v>-112625</v>
      </c>
      <c r="G29" s="214"/>
      <c r="H29" s="174">
        <f>-IF($B$1="Hold",E29*B28/12,0)</f>
        <v>0</v>
      </c>
      <c r="I29" s="330"/>
      <c r="J29" s="485" t="s">
        <v>50</v>
      </c>
      <c r="K29" s="448">
        <f>+B12+C14+C16+B18+B30</f>
        <v>54069.184000000001</v>
      </c>
      <c r="O29" s="40"/>
    </row>
    <row r="30" spans="1:17" ht="12" customHeight="1" thickBot="1" x14ac:dyDescent="0.25">
      <c r="A30" s="40" t="s">
        <v>51</v>
      </c>
      <c r="B30" s="425">
        <f>-D51</f>
        <v>31424.184000000001</v>
      </c>
      <c r="C30" s="413"/>
      <c r="D30" s="170">
        <f>-B30</f>
        <v>-31424.184000000001</v>
      </c>
      <c r="E30" s="212"/>
      <c r="F30" s="170"/>
      <c r="G30" s="214"/>
      <c r="H30" s="171"/>
      <c r="I30" s="330"/>
      <c r="J30" s="486"/>
      <c r="K30" s="449"/>
      <c r="M30" s="149">
        <f>+K27+B30</f>
        <v>179107.04525</v>
      </c>
      <c r="O30" s="40"/>
    </row>
    <row r="31" spans="1:17" ht="12" customHeight="1" thickBot="1" x14ac:dyDescent="0.25">
      <c r="A31" s="40" t="s">
        <v>52</v>
      </c>
      <c r="B31" s="483">
        <v>600</v>
      </c>
      <c r="C31" s="460"/>
      <c r="D31" s="170">
        <f>-B31</f>
        <v>-600</v>
      </c>
      <c r="E31" s="212"/>
      <c r="F31" s="170"/>
      <c r="G31" s="214"/>
      <c r="H31" s="171"/>
      <c r="I31" s="217"/>
      <c r="J31" s="434" t="s">
        <v>53</v>
      </c>
      <c r="K31" s="495"/>
      <c r="Q31" s="149">
        <f>SUM(P26:P30)</f>
        <v>200037.72999999998</v>
      </c>
    </row>
    <row r="32" spans="1:17" ht="12" customHeight="1" thickBot="1" x14ac:dyDescent="0.25">
      <c r="A32" s="198" t="s">
        <v>54</v>
      </c>
      <c r="B32" s="175">
        <v>1</v>
      </c>
      <c r="C32" s="176">
        <f>+B32*399</f>
        <v>399</v>
      </c>
      <c r="D32" s="170"/>
      <c r="E32" s="212"/>
      <c r="F32" s="170">
        <f>-C32</f>
        <v>-399</v>
      </c>
      <c r="G32" s="214"/>
      <c r="H32" s="171"/>
      <c r="I32" s="217"/>
      <c r="J32" s="496"/>
      <c r="K32" s="497"/>
    </row>
    <row r="33" spans="1:15" ht="12" customHeight="1" x14ac:dyDescent="0.2">
      <c r="A33" s="198" t="s">
        <v>55</v>
      </c>
      <c r="B33" s="200">
        <v>0</v>
      </c>
      <c r="C33" s="201">
        <v>2.5999999999999999E-2</v>
      </c>
      <c r="D33" s="170"/>
      <c r="E33" s="212"/>
      <c r="F33" s="170">
        <f>-B33*C33*$F$9</f>
        <v>0</v>
      </c>
      <c r="G33" s="214"/>
      <c r="H33" s="171"/>
      <c r="I33" s="217"/>
    </row>
    <row r="34" spans="1:15" ht="12" customHeight="1" thickBot="1" x14ac:dyDescent="0.25">
      <c r="A34" s="198" t="s">
        <v>56</v>
      </c>
      <c r="B34" s="302">
        <v>1</v>
      </c>
      <c r="C34" s="303">
        <v>2.4E-2</v>
      </c>
      <c r="D34" s="170"/>
      <c r="E34" s="212"/>
      <c r="F34" s="170">
        <f>-B34*C34*$F$9</f>
        <v>-10536</v>
      </c>
      <c r="G34" s="214"/>
      <c r="H34" s="171"/>
      <c r="I34" s="217"/>
    </row>
    <row r="35" spans="1:15" ht="12" customHeight="1" thickBot="1" x14ac:dyDescent="0.25">
      <c r="A35" s="304" t="s">
        <v>57</v>
      </c>
      <c r="B35" s="301"/>
      <c r="C35" s="334">
        <v>12</v>
      </c>
      <c r="D35" s="170"/>
      <c r="E35" s="212"/>
      <c r="F35" s="170"/>
      <c r="G35" s="214"/>
      <c r="H35" s="171"/>
      <c r="I35" s="217"/>
    </row>
    <row r="36" spans="1:15" ht="12" customHeight="1" thickBot="1" x14ac:dyDescent="0.3">
      <c r="A36" s="40" t="s">
        <v>58</v>
      </c>
      <c r="B36" s="394"/>
      <c r="C36" s="395"/>
      <c r="D36" s="202"/>
      <c r="E36" s="212"/>
      <c r="F36" s="170">
        <f>-C36</f>
        <v>0</v>
      </c>
      <c r="G36" s="214"/>
      <c r="H36" s="168"/>
      <c r="I36" s="217"/>
    </row>
    <row r="37" spans="1:15" ht="12" customHeight="1" x14ac:dyDescent="0.2">
      <c r="A37" s="40" t="s">
        <v>59</v>
      </c>
      <c r="B37" s="412">
        <f>+D71</f>
        <v>5998</v>
      </c>
      <c r="C37" s="413"/>
      <c r="D37" s="170">
        <f>-B37</f>
        <v>-5998</v>
      </c>
      <c r="E37" s="212"/>
      <c r="F37" s="170"/>
      <c r="G37" s="214"/>
      <c r="H37" s="168"/>
      <c r="I37" s="217"/>
    </row>
    <row r="38" spans="1:15" ht="12" customHeight="1" thickBot="1" x14ac:dyDescent="0.25">
      <c r="A38" s="40" t="s">
        <v>60</v>
      </c>
      <c r="B38" s="479">
        <f>+D82</f>
        <v>290</v>
      </c>
      <c r="C38" s="480"/>
      <c r="D38" s="179"/>
      <c r="E38" s="213"/>
      <c r="F38" s="179">
        <f>-B38</f>
        <v>-290</v>
      </c>
      <c r="G38" s="215"/>
      <c r="H38" s="177"/>
      <c r="I38" s="218"/>
    </row>
    <row r="39" spans="1:15" ht="12" customHeight="1" thickBot="1" x14ac:dyDescent="0.25">
      <c r="C39" s="442" t="s">
        <v>61</v>
      </c>
      <c r="D39" s="443"/>
      <c r="E39" s="313">
        <f ca="1">+SUM(D12:D38)</f>
        <v>-136353.84400000004</v>
      </c>
      <c r="F39" s="441">
        <f ca="1">+SUM(F12:F38)</f>
        <v>-248887.72999999998</v>
      </c>
      <c r="G39" s="441"/>
      <c r="H39" s="396">
        <f>+SUM(H9:I38)</f>
        <v>0</v>
      </c>
      <c r="I39" s="397"/>
    </row>
    <row r="40" spans="1:15" ht="12" customHeight="1" thickBot="1" x14ac:dyDescent="0.25">
      <c r="A40" s="41"/>
      <c r="B40" s="414" t="s">
        <v>62</v>
      </c>
      <c r="C40" s="415"/>
      <c r="D40" s="415"/>
      <c r="E40" s="208">
        <f ca="1">+SUM(E9:E39)</f>
        <v>-61353.844000000041</v>
      </c>
      <c r="F40" s="441">
        <f ca="1">+SUM(F9:G38)</f>
        <v>190112.27000000002</v>
      </c>
      <c r="G40" s="441"/>
      <c r="H40" s="206"/>
      <c r="I40" s="210"/>
      <c r="O40" s="149"/>
    </row>
    <row r="41" spans="1:15" ht="12" customHeight="1" x14ac:dyDescent="0.2">
      <c r="A41" s="41"/>
      <c r="B41" s="41"/>
      <c r="D41" s="41"/>
      <c r="E41" s="456" t="s">
        <v>63</v>
      </c>
      <c r="F41" s="457"/>
      <c r="G41" s="205">
        <f ca="1">+E40+F40</f>
        <v>128758.42599999998</v>
      </c>
      <c r="H41" s="206"/>
      <c r="I41" s="207"/>
      <c r="J41" s="502" t="s">
        <v>64</v>
      </c>
      <c r="K41" s="428" t="s">
        <v>65</v>
      </c>
      <c r="O41" s="149"/>
    </row>
    <row r="42" spans="1:15" ht="12" customHeight="1" thickBot="1" x14ac:dyDescent="0.25">
      <c r="A42" s="41"/>
      <c r="B42" s="41"/>
      <c r="E42" s="456" t="s">
        <v>66</v>
      </c>
      <c r="F42" s="457"/>
      <c r="G42" s="457"/>
      <c r="H42" s="189">
        <f>IF(B1="Hold",C35,0)</f>
        <v>0</v>
      </c>
      <c r="I42" s="314">
        <f>+H42*H39</f>
        <v>0</v>
      </c>
      <c r="J42" s="503"/>
      <c r="K42" s="429"/>
      <c r="M42" s="40"/>
      <c r="N42" s="149"/>
    </row>
    <row r="43" spans="1:15" ht="12" customHeight="1" thickBot="1" x14ac:dyDescent="0.25">
      <c r="A43" s="41"/>
      <c r="B43" s="41"/>
      <c r="E43" s="209"/>
      <c r="F43" s="444" t="s">
        <v>67</v>
      </c>
      <c r="G43" s="445"/>
      <c r="H43" s="180"/>
      <c r="I43" s="180">
        <f ca="1">+I42+G41</f>
        <v>128758.42599999998</v>
      </c>
      <c r="J43" s="181">
        <f ca="1">$B$17*$I$43</f>
        <v>0</v>
      </c>
      <c r="K43" s="182">
        <f ca="1">+$I$43-J43</f>
        <v>128758.42599999998</v>
      </c>
    </row>
    <row r="44" spans="1:15" ht="12" customHeight="1" thickTop="1" thickBot="1" x14ac:dyDescent="0.3">
      <c r="A44" s="183" t="s">
        <v>68</v>
      </c>
      <c r="B44" s="416">
        <v>0</v>
      </c>
      <c r="C44" s="420"/>
      <c r="D44" s="183"/>
      <c r="E44" s="183"/>
      <c r="H44" s="446" t="s">
        <v>69</v>
      </c>
      <c r="I44" s="447"/>
      <c r="J44" s="277">
        <f ca="1">IF(B44="",0,-$B$44*J43)</f>
        <v>0</v>
      </c>
      <c r="K44" s="278">
        <f ca="1">IF(B44="",0,-$B$44*K43)</f>
        <v>0</v>
      </c>
    </row>
    <row r="45" spans="1:15" ht="12" customHeight="1" thickTop="1" thickBot="1" x14ac:dyDescent="0.3">
      <c r="A45" s="40" t="s">
        <v>70</v>
      </c>
      <c r="B45" s="416">
        <v>0.1</v>
      </c>
      <c r="C45" s="417">
        <v>0.15</v>
      </c>
      <c r="D45" s="418">
        <f ca="1">+K45*B45</f>
        <v>12875.842599999998</v>
      </c>
      <c r="E45" s="419"/>
      <c r="G45" s="41"/>
      <c r="H45" s="444" t="s">
        <v>67</v>
      </c>
      <c r="I45" s="445"/>
      <c r="J45" s="188">
        <f ca="1">+J43+J44</f>
        <v>0</v>
      </c>
      <c r="K45" s="184">
        <f ca="1">+K43+K44</f>
        <v>128758.42599999998</v>
      </c>
    </row>
    <row r="46" spans="1:15" ht="12" customHeight="1" thickBot="1" x14ac:dyDescent="0.25">
      <c r="A46" s="153"/>
      <c r="C46" s="40"/>
      <c r="D46" s="40"/>
      <c r="E46" s="40"/>
    </row>
    <row r="47" spans="1:15" ht="12" customHeight="1" thickTop="1" x14ac:dyDescent="0.2">
      <c r="A47" s="162" t="s">
        <v>71</v>
      </c>
    </row>
    <row r="48" spans="1:15" ht="12" customHeight="1" thickBot="1" x14ac:dyDescent="0.25">
      <c r="A48" s="40" t="s">
        <v>72</v>
      </c>
      <c r="B48" s="406">
        <f>+'Gnatt Chart'!J5</f>
        <v>28567.440000000002</v>
      </c>
      <c r="C48" s="406"/>
      <c r="D48" s="406">
        <f>-B48</f>
        <v>-28567.440000000002</v>
      </c>
      <c r="E48" s="406"/>
      <c r="G48" s="440"/>
      <c r="H48" s="440"/>
      <c r="I48" s="440"/>
    </row>
    <row r="49" spans="1:10" ht="12" customHeight="1" thickBot="1" x14ac:dyDescent="0.25">
      <c r="A49" s="40" t="s">
        <v>73</v>
      </c>
      <c r="B49" s="185">
        <v>0.1</v>
      </c>
      <c r="D49" s="406"/>
      <c r="E49" s="406"/>
      <c r="G49" s="469" t="s">
        <v>74</v>
      </c>
      <c r="H49" s="470"/>
      <c r="I49" s="470"/>
      <c r="J49" s="431"/>
    </row>
    <row r="50" spans="1:10" ht="12" customHeight="1" thickBot="1" x14ac:dyDescent="0.25">
      <c r="A50" s="40" t="s">
        <v>75</v>
      </c>
      <c r="B50" s="409">
        <f>IF(K4&lt;&gt;"Yes",+B49*SUM(B48:C48),0)</f>
        <v>2856.7440000000006</v>
      </c>
      <c r="C50" s="409"/>
      <c r="D50" s="409">
        <f t="shared" ref="D50" si="0">-B50</f>
        <v>-2856.7440000000006</v>
      </c>
      <c r="E50" s="409"/>
      <c r="G50" s="471"/>
      <c r="H50" s="472"/>
      <c r="I50" s="472"/>
      <c r="J50" s="473"/>
    </row>
    <row r="51" spans="1:10" ht="12" customHeight="1" thickBot="1" x14ac:dyDescent="0.25">
      <c r="A51" s="40" t="s">
        <v>76</v>
      </c>
      <c r="D51" s="407">
        <f>+SUM(D48:E50)</f>
        <v>-31424.184000000001</v>
      </c>
      <c r="E51" s="408"/>
      <c r="G51" s="499" t="s">
        <v>77</v>
      </c>
      <c r="H51" s="500"/>
      <c r="I51" s="500"/>
      <c r="J51" s="501"/>
    </row>
    <row r="52" spans="1:10" ht="12" customHeight="1" thickTop="1" thickBot="1" x14ac:dyDescent="0.25">
      <c r="A52" s="186" t="s">
        <v>78</v>
      </c>
      <c r="B52" s="183"/>
      <c r="C52" s="183"/>
      <c r="D52" s="40"/>
      <c r="E52" s="40"/>
      <c r="G52" s="437"/>
      <c r="H52" s="438"/>
      <c r="I52" s="438"/>
      <c r="J52" s="439"/>
    </row>
    <row r="53" spans="1:10" ht="12" customHeight="1" x14ac:dyDescent="0.2">
      <c r="A53" s="40" t="s">
        <v>79</v>
      </c>
      <c r="B53" s="504">
        <v>650</v>
      </c>
      <c r="C53" s="505"/>
      <c r="D53" s="406"/>
      <c r="E53" s="406"/>
    </row>
    <row r="54" spans="1:10" ht="12" customHeight="1" x14ac:dyDescent="0.2">
      <c r="A54" s="40" t="s">
        <v>80</v>
      </c>
      <c r="B54" s="423">
        <v>5000</v>
      </c>
      <c r="C54" s="424"/>
      <c r="D54" s="406"/>
      <c r="E54" s="406"/>
    </row>
    <row r="55" spans="1:10" ht="12" customHeight="1" thickBot="1" x14ac:dyDescent="0.25">
      <c r="A55" s="40" t="s">
        <v>81</v>
      </c>
      <c r="B55" s="423">
        <v>250</v>
      </c>
      <c r="C55" s="424"/>
      <c r="D55" s="406"/>
      <c r="E55" s="406"/>
    </row>
    <row r="56" spans="1:10" ht="12" customHeight="1" x14ac:dyDescent="0.2">
      <c r="A56" s="40" t="s">
        <v>81</v>
      </c>
      <c r="B56" s="423"/>
      <c r="C56" s="424"/>
      <c r="F56" s="400" t="s">
        <v>82</v>
      </c>
      <c r="G56" s="401"/>
      <c r="H56" s="401" t="s">
        <v>83</v>
      </c>
      <c r="I56" s="401"/>
      <c r="J56" s="380" t="s">
        <v>84</v>
      </c>
    </row>
    <row r="57" spans="1:10" ht="12" customHeight="1" thickBot="1" x14ac:dyDescent="0.3">
      <c r="A57" s="40" t="s">
        <v>85</v>
      </c>
      <c r="B57" s="423"/>
      <c r="C57" s="424"/>
      <c r="F57" s="398">
        <f ca="1">_xlfn.DAYS(J57,H57)</f>
        <v>1806</v>
      </c>
      <c r="G57" s="399"/>
      <c r="H57" s="508">
        <v>44391</v>
      </c>
      <c r="I57" s="509"/>
      <c r="J57" s="381">
        <f ca="1">NOW()</f>
        <v>46197.349417245372</v>
      </c>
    </row>
    <row r="58" spans="1:10" ht="12" customHeight="1" x14ac:dyDescent="0.2">
      <c r="A58" s="40" t="s">
        <v>85</v>
      </c>
      <c r="B58" s="423"/>
      <c r="C58" s="424"/>
      <c r="D58" s="406"/>
      <c r="E58" s="406"/>
    </row>
    <row r="59" spans="1:10" ht="12" customHeight="1" x14ac:dyDescent="0.2">
      <c r="A59" s="40" t="s">
        <v>86</v>
      </c>
      <c r="B59" s="423"/>
      <c r="C59" s="424"/>
      <c r="D59" s="406"/>
      <c r="E59" s="406"/>
    </row>
    <row r="60" spans="1:10" ht="12" customHeight="1" x14ac:dyDescent="0.2">
      <c r="A60" s="40" t="s">
        <v>87</v>
      </c>
      <c r="B60" s="423"/>
      <c r="C60" s="424"/>
      <c r="D60" s="406"/>
      <c r="E60" s="406"/>
    </row>
    <row r="61" spans="1:10" ht="12" customHeight="1" x14ac:dyDescent="0.2">
      <c r="A61" s="40" t="s">
        <v>88</v>
      </c>
      <c r="B61" s="423"/>
      <c r="C61" s="424"/>
      <c r="D61" s="406"/>
      <c r="E61" s="406"/>
    </row>
    <row r="62" spans="1:10" ht="12" customHeight="1" x14ac:dyDescent="0.2">
      <c r="A62" s="40" t="s">
        <v>89</v>
      </c>
      <c r="B62" s="423"/>
      <c r="C62" s="424"/>
      <c r="D62" s="406"/>
      <c r="E62" s="406"/>
    </row>
    <row r="63" spans="1:10" ht="12" customHeight="1" x14ac:dyDescent="0.2">
      <c r="A63" s="40" t="s">
        <v>90</v>
      </c>
      <c r="B63" s="423"/>
      <c r="C63" s="424"/>
      <c r="D63" s="406"/>
      <c r="E63" s="406"/>
    </row>
    <row r="64" spans="1:10" ht="12" customHeight="1" x14ac:dyDescent="0.2">
      <c r="A64" s="40" t="s">
        <v>91</v>
      </c>
      <c r="B64" s="423">
        <v>66</v>
      </c>
      <c r="C64" s="424"/>
      <c r="D64" s="406"/>
      <c r="E64" s="406"/>
    </row>
    <row r="65" spans="1:10" ht="12" customHeight="1" x14ac:dyDescent="0.2">
      <c r="A65" s="40" t="s">
        <v>92</v>
      </c>
      <c r="B65" s="423"/>
      <c r="C65" s="424"/>
      <c r="D65" s="406"/>
      <c r="E65" s="406"/>
    </row>
    <row r="66" spans="1:10" ht="12" customHeight="1" x14ac:dyDescent="0.2">
      <c r="A66" s="40" t="s">
        <v>93</v>
      </c>
      <c r="B66" s="423"/>
      <c r="C66" s="424"/>
      <c r="D66" s="406"/>
      <c r="E66" s="406"/>
    </row>
    <row r="67" spans="1:10" ht="12" customHeight="1" x14ac:dyDescent="0.2">
      <c r="A67" s="40" t="s">
        <v>94</v>
      </c>
      <c r="B67" s="423">
        <v>26</v>
      </c>
      <c r="C67" s="424"/>
      <c r="D67" s="406"/>
      <c r="E67" s="406"/>
    </row>
    <row r="68" spans="1:10" ht="12" customHeight="1" x14ac:dyDescent="0.2">
      <c r="A68" s="40" t="s">
        <v>95</v>
      </c>
      <c r="B68" s="423">
        <v>6</v>
      </c>
      <c r="C68" s="424"/>
      <c r="D68" s="406"/>
      <c r="E68" s="406"/>
    </row>
    <row r="69" spans="1:10" ht="12" customHeight="1" x14ac:dyDescent="0.2">
      <c r="A69" s="40" t="s">
        <v>96</v>
      </c>
      <c r="B69" s="423"/>
      <c r="C69" s="424"/>
      <c r="D69" s="406"/>
      <c r="E69" s="406"/>
    </row>
    <row r="70" spans="1:10" ht="12" customHeight="1" thickBot="1" x14ac:dyDescent="0.25">
      <c r="A70" s="40" t="s">
        <v>97</v>
      </c>
      <c r="B70" s="506"/>
      <c r="C70" s="507"/>
      <c r="D70" s="454"/>
      <c r="E70" s="455"/>
    </row>
    <row r="71" spans="1:10" ht="12" customHeight="1" thickBot="1" x14ac:dyDescent="0.25">
      <c r="D71" s="407">
        <f>+SUM(B53:C70)</f>
        <v>5998</v>
      </c>
      <c r="E71" s="408"/>
      <c r="G71" s="434" t="s">
        <v>98</v>
      </c>
      <c r="H71" s="435"/>
      <c r="I71" s="435"/>
      <c r="J71" s="436"/>
    </row>
    <row r="72" spans="1:10" ht="12" customHeight="1" thickBot="1" x14ac:dyDescent="0.25">
      <c r="G72" s="437"/>
      <c r="H72" s="438"/>
      <c r="I72" s="438"/>
      <c r="J72" s="439"/>
    </row>
    <row r="73" spans="1:10" ht="12" customHeight="1" thickTop="1" thickBot="1" x14ac:dyDescent="0.25">
      <c r="A73" s="186" t="s">
        <v>99</v>
      </c>
      <c r="B73" s="183"/>
      <c r="C73" s="183"/>
      <c r="D73" s="183"/>
      <c r="E73" s="183"/>
    </row>
    <row r="74" spans="1:10" ht="12" customHeight="1" x14ac:dyDescent="0.2">
      <c r="A74" s="40" t="s">
        <v>79</v>
      </c>
      <c r="B74" s="504"/>
      <c r="C74" s="505"/>
      <c r="D74" s="406"/>
      <c r="E74" s="406"/>
    </row>
    <row r="75" spans="1:10" ht="12" customHeight="1" x14ac:dyDescent="0.2">
      <c r="A75" s="40" t="s">
        <v>81</v>
      </c>
      <c r="B75" s="423">
        <v>250</v>
      </c>
      <c r="C75" s="424"/>
      <c r="D75" s="406"/>
      <c r="E75" s="406"/>
    </row>
    <row r="76" spans="1:10" ht="12" customHeight="1" x14ac:dyDescent="0.2">
      <c r="A76" s="40" t="s">
        <v>100</v>
      </c>
      <c r="B76" s="423">
        <v>0</v>
      </c>
      <c r="C76" s="424"/>
      <c r="D76" s="406"/>
      <c r="E76" s="406"/>
    </row>
    <row r="77" spans="1:10" ht="12" customHeight="1" x14ac:dyDescent="0.2">
      <c r="A77" s="40" t="s">
        <v>101</v>
      </c>
      <c r="B77" s="423"/>
      <c r="C77" s="424"/>
      <c r="D77" s="406"/>
      <c r="E77" s="406"/>
    </row>
    <row r="78" spans="1:10" ht="12" customHeight="1" x14ac:dyDescent="0.2">
      <c r="A78" s="40" t="s">
        <v>94</v>
      </c>
      <c r="B78" s="423"/>
      <c r="C78" s="424"/>
      <c r="D78" s="406"/>
      <c r="E78" s="406"/>
    </row>
    <row r="79" spans="1:10" ht="12" customHeight="1" x14ac:dyDescent="0.2">
      <c r="A79" s="40" t="s">
        <v>95</v>
      </c>
      <c r="B79" s="423">
        <v>40</v>
      </c>
      <c r="C79" s="424"/>
      <c r="D79" s="406"/>
      <c r="E79" s="406"/>
    </row>
    <row r="80" spans="1:10" ht="12" customHeight="1" x14ac:dyDescent="0.2">
      <c r="A80" s="40" t="s">
        <v>96</v>
      </c>
      <c r="B80" s="423"/>
      <c r="C80" s="424"/>
      <c r="D80" s="406"/>
      <c r="E80" s="406"/>
    </row>
    <row r="81" spans="1:10" ht="12" customHeight="1" thickBot="1" x14ac:dyDescent="0.25">
      <c r="A81" s="40" t="s">
        <v>97</v>
      </c>
      <c r="B81" s="452"/>
      <c r="C81" s="453"/>
      <c r="D81" s="454"/>
      <c r="E81" s="455"/>
    </row>
    <row r="82" spans="1:10" ht="12" customHeight="1" thickTop="1" thickBot="1" x14ac:dyDescent="0.25">
      <c r="D82" s="407">
        <f>+SUM(B74:C81)</f>
        <v>290</v>
      </c>
      <c r="E82" s="408"/>
      <c r="G82" s="434" t="s">
        <v>102</v>
      </c>
      <c r="H82" s="435"/>
      <c r="I82" s="435"/>
      <c r="J82" s="436"/>
    </row>
    <row r="83" spans="1:10" ht="12" customHeight="1" thickBot="1" x14ac:dyDescent="0.25">
      <c r="G83" s="437"/>
      <c r="H83" s="438"/>
      <c r="I83" s="438"/>
      <c r="J83" s="439"/>
    </row>
    <row r="84" spans="1:10" ht="12" customHeight="1" x14ac:dyDescent="0.2"/>
    <row r="85" spans="1:10" ht="12" customHeight="1" x14ac:dyDescent="0.2"/>
    <row r="86" spans="1:10" ht="12" customHeight="1" x14ac:dyDescent="0.2"/>
    <row r="87" spans="1:10" ht="12" customHeight="1" x14ac:dyDescent="0.2"/>
    <row r="88" spans="1:10" ht="12" customHeight="1" x14ac:dyDescent="0.2"/>
    <row r="89" spans="1:10" ht="12" customHeight="1" x14ac:dyDescent="0.2"/>
    <row r="90" spans="1:10" ht="12" customHeight="1" x14ac:dyDescent="0.2"/>
    <row r="91" spans="1:10" ht="12" customHeight="1" x14ac:dyDescent="0.2"/>
    <row r="92" spans="1:10" ht="12" customHeight="1" x14ac:dyDescent="0.2"/>
    <row r="93" spans="1:10" ht="12" customHeight="1" x14ac:dyDescent="0.2"/>
    <row r="94" spans="1:10" ht="12" customHeight="1" x14ac:dyDescent="0.2"/>
    <row r="95" spans="1:10" ht="12" customHeight="1" x14ac:dyDescent="0.2"/>
    <row r="96" spans="1:10" ht="12" customHeight="1" x14ac:dyDescent="0.2"/>
    <row r="97" ht="12" customHeight="1" x14ac:dyDescent="0.2"/>
    <row r="98" ht="12" customHeight="1" x14ac:dyDescent="0.2"/>
    <row r="99" ht="12" customHeight="1" x14ac:dyDescent="0.2"/>
    <row r="100" ht="12" customHeight="1" x14ac:dyDescent="0.2"/>
    <row r="101" ht="12" customHeight="1" x14ac:dyDescent="0.2"/>
    <row r="102" ht="12" customHeight="1" x14ac:dyDescent="0.2"/>
    <row r="103" ht="12" customHeight="1" x14ac:dyDescent="0.2"/>
    <row r="104" ht="12" customHeight="1" x14ac:dyDescent="0.2"/>
    <row r="105" ht="12" customHeight="1" x14ac:dyDescent="0.2"/>
    <row r="106" ht="12" customHeight="1" x14ac:dyDescent="0.2"/>
    <row r="107" ht="12" customHeight="1" x14ac:dyDescent="0.2"/>
    <row r="108" ht="12" customHeight="1" x14ac:dyDescent="0.2"/>
  </sheetData>
  <mergeCells count="120">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 ref="H56:I56"/>
    <mergeCell ref="H57:I57"/>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J2:J3"/>
    <mergeCell ref="J4:J5"/>
    <mergeCell ref="K4:K5"/>
    <mergeCell ref="B12:C12"/>
    <mergeCell ref="B36:C36"/>
    <mergeCell ref="H39:I39"/>
    <mergeCell ref="F57:G57"/>
    <mergeCell ref="F56:G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518" t="s">
        <v>103</v>
      </c>
      <c r="D1" s="519"/>
      <c r="E1" s="511"/>
      <c r="I1" s="510"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20" t="s">
        <v>104</v>
      </c>
      <c r="K1" s="510"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3325 Banks Rd, Raleigh, NC 27603.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$10,000.00
                                Total Value:                      $10,000.00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$120,860.90   *    Expected 10% appreciation per year
                          Expected Value:                    $130,860.90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511"/>
      <c r="J2" s="520"/>
      <c r="K2" s="510"/>
    </row>
    <row r="3" spans="1:11" ht="16.5" customHeight="1" x14ac:dyDescent="0.25">
      <c r="A3" t="s">
        <v>105</v>
      </c>
      <c r="B3" s="353" t="s">
        <v>106</v>
      </c>
      <c r="C3" s="352" t="s">
        <v>107</v>
      </c>
      <c r="D3" s="22"/>
      <c r="I3" s="511"/>
      <c r="J3" s="346" t="s">
        <v>108</v>
      </c>
      <c r="K3" s="510"/>
    </row>
    <row r="4" spans="1:11" x14ac:dyDescent="0.25">
      <c r="A4" t="s">
        <v>109</v>
      </c>
      <c r="B4" s="351"/>
      <c r="C4" s="354"/>
      <c r="D4" s="22"/>
      <c r="I4" s="511"/>
      <c r="K4" s="510"/>
    </row>
    <row r="5" spans="1:11" ht="16.5" x14ac:dyDescent="0.3">
      <c r="A5" t="s">
        <v>110</v>
      </c>
      <c r="B5" s="341"/>
      <c r="C5" s="342"/>
      <c r="D5" s="22"/>
      <c r="I5" s="511"/>
      <c r="K5" s="510"/>
    </row>
    <row r="6" spans="1:11" ht="15" customHeight="1" thickBot="1" x14ac:dyDescent="0.3">
      <c r="A6" t="s">
        <v>111</v>
      </c>
      <c r="B6" s="343"/>
      <c r="C6" s="344"/>
      <c r="D6" s="22"/>
      <c r="I6" s="511"/>
      <c r="K6" s="510"/>
    </row>
    <row r="7" spans="1:11" x14ac:dyDescent="0.25">
      <c r="I7" s="511"/>
      <c r="K7" s="510"/>
    </row>
    <row r="8" spans="1:11" x14ac:dyDescent="0.25">
      <c r="I8" s="511"/>
      <c r="K8" s="510"/>
    </row>
    <row r="9" spans="1:11" x14ac:dyDescent="0.25">
      <c r="A9" s="15" t="s">
        <v>112</v>
      </c>
      <c r="B9" s="15" t="s">
        <v>113</v>
      </c>
      <c r="C9" s="15"/>
      <c r="I9" s="511"/>
      <c r="K9" s="510"/>
    </row>
    <row r="10" spans="1:11" x14ac:dyDescent="0.25">
      <c r="B10" s="521" t="s">
        <v>114</v>
      </c>
      <c r="C10" s="522"/>
      <c r="D10" s="522"/>
      <c r="E10" s="522"/>
      <c r="F10" s="522"/>
      <c r="G10" s="522"/>
      <c r="I10" s="511"/>
      <c r="K10" s="510"/>
    </row>
    <row r="11" spans="1:11" x14ac:dyDescent="0.25">
      <c r="B11" s="511"/>
      <c r="C11" s="511"/>
      <c r="D11" s="511"/>
      <c r="E11" s="511"/>
      <c r="F11" s="511"/>
      <c r="G11" s="511"/>
      <c r="I11" s="511"/>
      <c r="K11" s="510"/>
    </row>
    <row r="12" spans="1:11" x14ac:dyDescent="0.25">
      <c r="F12" s="512" t="s">
        <v>115</v>
      </c>
      <c r="I12" s="511"/>
      <c r="K12" s="510"/>
    </row>
    <row r="13" spans="1:11" ht="15.75" thickBot="1" x14ac:dyDescent="0.3">
      <c r="B13" s="32" t="s">
        <v>116</v>
      </c>
      <c r="C13" s="339" t="s">
        <v>117</v>
      </c>
      <c r="D13" s="32" t="s">
        <v>118</v>
      </c>
      <c r="E13" s="32"/>
      <c r="F13" s="513"/>
      <c r="G13" s="32" t="s">
        <v>119</v>
      </c>
      <c r="I13" s="511"/>
      <c r="K13" s="510"/>
    </row>
    <row r="14" spans="1:11" ht="16.5" thickTop="1" thickBot="1" x14ac:dyDescent="0.3">
      <c r="B14" s="350">
        <f>+D14+F14</f>
        <v>146682.86124999999</v>
      </c>
      <c r="C14" s="1">
        <f>+Profit!B4</f>
        <v>439000</v>
      </c>
      <c r="D14" s="1">
        <f>+Profit!K27-Profit!B18</f>
        <v>137682.86124999999</v>
      </c>
      <c r="F14" s="349">
        <f>+B24-(B24*F16)</f>
        <v>9000</v>
      </c>
      <c r="G14" s="312">
        <f ca="1">+C14-D14-F14+Profit!E39+Profit!B18</f>
        <v>165963.29475</v>
      </c>
      <c r="I14" s="511"/>
      <c r="K14" s="510"/>
    </row>
    <row r="15" spans="1:11" ht="16.5" thickTop="1" thickBot="1" x14ac:dyDescent="0.3">
      <c r="C15" s="307"/>
      <c r="D15" s="308" t="s">
        <v>120</v>
      </c>
      <c r="E15" s="309">
        <f>+Profit!$K$29</f>
        <v>54069.184000000001</v>
      </c>
      <c r="H15" s="340"/>
      <c r="K15" s="510"/>
    </row>
    <row r="16" spans="1:11" ht="16.5" thickTop="1" thickBot="1" x14ac:dyDescent="0.3">
      <c r="C16" s="307"/>
      <c r="D16" s="310" t="s">
        <v>121</v>
      </c>
      <c r="E16" s="311">
        <f ca="1">+G14/E15</f>
        <v>3.0694617982398253</v>
      </c>
      <c r="F16" s="348">
        <v>0.1</v>
      </c>
      <c r="H16" s="340" t="s">
        <v>122</v>
      </c>
      <c r="I16" s="510"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10"/>
    </row>
    <row r="17" spans="1:13" ht="15.75" thickTop="1" x14ac:dyDescent="0.25">
      <c r="C17" s="307"/>
      <c r="D17" s="310" t="s">
        <v>123</v>
      </c>
      <c r="E17" s="311">
        <f ca="1">+G14/(F14+G14)</f>
        <v>0.94856063945949443</v>
      </c>
      <c r="F17" t="s">
        <v>124</v>
      </c>
      <c r="I17" s="510"/>
      <c r="K17" s="510"/>
    </row>
    <row r="18" spans="1:13" x14ac:dyDescent="0.25">
      <c r="I18" s="510"/>
      <c r="K18" s="510"/>
    </row>
    <row r="19" spans="1:13" ht="15.75" thickBot="1" x14ac:dyDescent="0.3">
      <c r="A19" s="15" t="s">
        <v>125</v>
      </c>
      <c r="B19" s="15" t="s">
        <v>126</v>
      </c>
      <c r="D19" s="15" t="s">
        <v>127</v>
      </c>
      <c r="H19">
        <f>IF(H20="X",1,0)</f>
        <v>0</v>
      </c>
      <c r="K19" s="510"/>
    </row>
    <row r="20" spans="1:13" ht="15" customHeight="1" thickTop="1" thickBot="1" x14ac:dyDescent="0.3">
      <c r="B20" t="s">
        <v>128</v>
      </c>
      <c r="H20" s="340"/>
      <c r="I20" s="510"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$146,682.86
                                Total Value:                     $9,000.00</v>
      </c>
      <c r="K20" s="510"/>
    </row>
    <row r="21" spans="1:13" ht="15.75" thickTop="1" x14ac:dyDescent="0.25">
      <c r="B21" t="s">
        <v>129</v>
      </c>
      <c r="I21" s="510"/>
      <c r="J21" s="337"/>
      <c r="K21" s="510"/>
      <c r="L21" s="336"/>
      <c r="M21" s="336"/>
    </row>
    <row r="22" spans="1:13" ht="30" x14ac:dyDescent="0.25">
      <c r="F22" s="93" t="s">
        <v>130</v>
      </c>
      <c r="I22" s="510"/>
      <c r="J22" s="336"/>
      <c r="K22" s="510"/>
      <c r="L22" s="336"/>
      <c r="M22" s="336"/>
    </row>
    <row r="23" spans="1:13" ht="15.75" thickBot="1" x14ac:dyDescent="0.3">
      <c r="B23" s="32" t="s">
        <v>131</v>
      </c>
      <c r="C23" s="514"/>
      <c r="D23" s="515"/>
      <c r="E23" s="515"/>
      <c r="F23" s="515"/>
      <c r="G23" s="32" t="s">
        <v>119</v>
      </c>
      <c r="I23" s="532"/>
      <c r="J23" s="336"/>
      <c r="K23" s="510"/>
      <c r="L23" s="336"/>
      <c r="M23" s="336"/>
    </row>
    <row r="24" spans="1:13" ht="16.5" thickTop="1" thickBot="1" x14ac:dyDescent="0.3">
      <c r="B24" s="347">
        <f>+Profit!B18</f>
        <v>10000</v>
      </c>
      <c r="C24" s="516" t="s">
        <v>132</v>
      </c>
      <c r="D24" s="517"/>
      <c r="E24" s="517"/>
      <c r="F24" s="10">
        <f>+B24</f>
        <v>10000</v>
      </c>
      <c r="G24" s="312">
        <f ca="1">+Profit!K45+Profit!B18-B24</f>
        <v>128758.42599999998</v>
      </c>
      <c r="I24" s="511"/>
      <c r="K24" s="510"/>
    </row>
    <row r="25" spans="1:13" ht="15.4" customHeight="1" thickTop="1" thickBot="1" x14ac:dyDescent="0.3">
      <c r="C25" s="307"/>
      <c r="D25" s="308" t="s">
        <v>120</v>
      </c>
      <c r="E25" s="309">
        <f>+Profit!$K$29</f>
        <v>54069.184000000001</v>
      </c>
      <c r="H25">
        <f>IF(H26="X",1+H19,H19)</f>
        <v>1</v>
      </c>
      <c r="K25" s="510"/>
    </row>
    <row r="26" spans="1:13" ht="15" customHeight="1" thickTop="1" thickBot="1" x14ac:dyDescent="0.3">
      <c r="C26" s="307"/>
      <c r="D26" s="310" t="s">
        <v>121</v>
      </c>
      <c r="E26" s="311">
        <f ca="1">+G24/E25</f>
        <v>2.3813643275992473</v>
      </c>
      <c r="H26" s="340" t="s">
        <v>133</v>
      </c>
      <c r="I26" s="510"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$10,000.00
                                Total Value:                      $10,000.00</v>
      </c>
      <c r="K26" s="510"/>
    </row>
    <row r="27" spans="1:13" ht="15" customHeight="1" thickTop="1" x14ac:dyDescent="0.25">
      <c r="C27" s="307"/>
      <c r="D27" s="310" t="s">
        <v>123</v>
      </c>
      <c r="E27" s="311">
        <f ca="1">+G24/(F24+G24)</f>
        <v>0.92793230444974928</v>
      </c>
      <c r="I27" s="510"/>
      <c r="K27" s="510"/>
    </row>
    <row r="28" spans="1:13" ht="15" customHeight="1" x14ac:dyDescent="0.25">
      <c r="I28" s="510"/>
      <c r="K28" s="510"/>
    </row>
    <row r="29" spans="1:13" x14ac:dyDescent="0.25">
      <c r="A29" s="15"/>
      <c r="B29" s="15"/>
      <c r="I29" s="532"/>
      <c r="K29" s="510"/>
    </row>
    <row r="30" spans="1:13" x14ac:dyDescent="0.25">
      <c r="A30" s="15" t="s">
        <v>134</v>
      </c>
      <c r="B30" s="15" t="s">
        <v>135</v>
      </c>
      <c r="D30" t="s">
        <v>136</v>
      </c>
      <c r="I30" s="511"/>
      <c r="K30" s="510"/>
    </row>
    <row r="31" spans="1:13" ht="25.5" x14ac:dyDescent="0.25">
      <c r="B31" t="s">
        <v>128</v>
      </c>
      <c r="I31" s="337"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10"/>
    </row>
    <row r="32" spans="1:13" ht="15.75" thickBot="1" x14ac:dyDescent="0.3">
      <c r="B32" t="s">
        <v>129</v>
      </c>
      <c r="H32">
        <f>IF(H33="X",H25+1,H25)</f>
        <v>2</v>
      </c>
      <c r="K32" s="510"/>
    </row>
    <row r="33" spans="1:13" ht="15" customHeight="1" thickTop="1" thickBot="1" x14ac:dyDescent="0.3">
      <c r="H33" s="340" t="s">
        <v>133</v>
      </c>
      <c r="I33" s="510"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$2,000.00
                        12 Month Note:                        $28,000.00
                         Interest Earned:                         $2,240.00            $93.33 per month
                                Total Value:                    $32,240.00</v>
      </c>
      <c r="K33" s="510"/>
    </row>
    <row r="34" spans="1:13" ht="16.5" thickTop="1" thickBot="1" x14ac:dyDescent="0.3">
      <c r="C34" s="2" t="s">
        <v>137</v>
      </c>
      <c r="D34" s="3" t="s">
        <v>138</v>
      </c>
      <c r="F34" s="3" t="s">
        <v>139</v>
      </c>
      <c r="I34" s="510"/>
      <c r="K34" s="510"/>
    </row>
    <row r="35" spans="1:13" ht="16.5" thickTop="1" thickBot="1" x14ac:dyDescent="0.3">
      <c r="B35" s="345" t="s">
        <v>140</v>
      </c>
      <c r="C35" s="315">
        <v>20000</v>
      </c>
      <c r="D35" s="306">
        <v>24</v>
      </c>
      <c r="F35" s="512" t="s">
        <v>130</v>
      </c>
      <c r="I35" s="510"/>
      <c r="K35" s="510"/>
    </row>
    <row r="36" spans="1:13" ht="16.5" thickTop="1" thickBot="1" x14ac:dyDescent="0.3">
      <c r="B36" s="32" t="s">
        <v>141</v>
      </c>
      <c r="C36" s="32" t="s">
        <v>142</v>
      </c>
      <c r="D36" s="32" t="s">
        <v>143</v>
      </c>
      <c r="E36" s="32" t="s">
        <v>144</v>
      </c>
      <c r="F36" s="513"/>
      <c r="G36" s="32" t="s">
        <v>119</v>
      </c>
      <c r="I36" s="510"/>
      <c r="K36" s="510"/>
    </row>
    <row r="37" spans="1:13" ht="16.5" thickTop="1" thickBot="1" x14ac:dyDescent="0.3">
      <c r="B37" s="10">
        <f>+(Profit!$B$18)*B38</f>
        <v>2000</v>
      </c>
      <c r="C37" s="10">
        <f>+(Profit!$B$18)-B37+C35</f>
        <v>28000</v>
      </c>
      <c r="D37" s="10">
        <f>+C37*D35/12*E37</f>
        <v>2240</v>
      </c>
      <c r="E37" s="327">
        <v>0.04</v>
      </c>
      <c r="F37" s="10">
        <f>+SUM(B37:D37)</f>
        <v>32240</v>
      </c>
      <c r="G37" s="312">
        <f ca="1">+Profit!$K$45-D37-C35</f>
        <v>106518.42599999998</v>
      </c>
      <c r="I37" s="510"/>
      <c r="K37" s="510"/>
    </row>
    <row r="38" spans="1:13" ht="16.5" thickTop="1" thickBot="1" x14ac:dyDescent="0.3">
      <c r="B38" s="327">
        <v>0.2</v>
      </c>
      <c r="C38" s="335">
        <f>1-B38</f>
        <v>0.8</v>
      </c>
      <c r="D38" s="10"/>
      <c r="E38" s="38"/>
      <c r="F38" s="10"/>
      <c r="G38" s="10"/>
      <c r="I38" s="510"/>
      <c r="K38" s="510"/>
    </row>
    <row r="39" spans="1:13" ht="15.4" customHeight="1" thickTop="1" x14ac:dyDescent="0.25">
      <c r="B39" s="10"/>
      <c r="C39" s="312"/>
      <c r="D39" s="308" t="s">
        <v>120</v>
      </c>
      <c r="E39" s="309">
        <f>+Profit!$K$29-C37+C35</f>
        <v>46069.184000000001</v>
      </c>
      <c r="F39" s="10"/>
      <c r="G39" s="10"/>
      <c r="I39" s="510"/>
      <c r="K39" s="510"/>
    </row>
    <row r="40" spans="1:13" x14ac:dyDescent="0.25">
      <c r="C40" s="307"/>
      <c r="D40" s="310" t="s">
        <v>121</v>
      </c>
      <c r="E40" s="311">
        <f ca="1">+G37/E39</f>
        <v>2.312140497213929</v>
      </c>
      <c r="I40" s="510"/>
      <c r="K40" s="510"/>
    </row>
    <row r="41" spans="1:13" ht="15" customHeight="1" thickBot="1" x14ac:dyDescent="0.3">
      <c r="C41" s="307"/>
      <c r="D41" s="310" t="s">
        <v>123</v>
      </c>
      <c r="E41" s="311">
        <f ca="1">+G37/(F37+G37)</f>
        <v>0.76765374954599153</v>
      </c>
      <c r="H41">
        <f>IF(H42="X",H32+1,H32)</f>
        <v>3</v>
      </c>
      <c r="K41" s="510"/>
    </row>
    <row r="42" spans="1:13" ht="16.5" thickTop="1" thickBot="1" x14ac:dyDescent="0.3">
      <c r="A42" s="15" t="s">
        <v>145</v>
      </c>
      <c r="B42" s="15" t="s">
        <v>146</v>
      </c>
      <c r="H42" s="340" t="s">
        <v>133</v>
      </c>
      <c r="I42" s="510"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$120,860.90   *    Expected 10% appreciation per year
                          Expected Value:                    $130,860.90    ** After 24 months.</v>
      </c>
      <c r="K42" s="510"/>
    </row>
    <row r="43" spans="1:13" ht="15.75" thickTop="1" x14ac:dyDescent="0.25">
      <c r="B43" t="s">
        <v>128</v>
      </c>
      <c r="I43" s="510"/>
      <c r="K43" s="511"/>
      <c r="M43" s="331"/>
    </row>
    <row r="44" spans="1:13" x14ac:dyDescent="0.25">
      <c r="B44" t="s">
        <v>129</v>
      </c>
      <c r="I44" s="510"/>
      <c r="K44" s="511"/>
    </row>
    <row r="45" spans="1:13" ht="15" customHeight="1" x14ac:dyDescent="0.25">
      <c r="B45" t="s">
        <v>147</v>
      </c>
      <c r="I45" s="510"/>
      <c r="K45" s="511"/>
    </row>
    <row r="46" spans="1:13" x14ac:dyDescent="0.25">
      <c r="B46" t="s">
        <v>148</v>
      </c>
      <c r="I46" s="510"/>
      <c r="K46" s="511"/>
    </row>
    <row r="47" spans="1:13" x14ac:dyDescent="0.25">
      <c r="F47" s="3" t="s">
        <v>149</v>
      </c>
      <c r="I47" s="510"/>
      <c r="K47" s="511"/>
    </row>
    <row r="48" spans="1:13" x14ac:dyDescent="0.25">
      <c r="C48" s="512" t="s">
        <v>150</v>
      </c>
      <c r="D48" s="512" t="s">
        <v>151</v>
      </c>
      <c r="E48" s="512" t="s">
        <v>152</v>
      </c>
      <c r="F48" s="512" t="s">
        <v>130</v>
      </c>
      <c r="I48" s="510"/>
      <c r="K48" s="511"/>
    </row>
    <row r="49" spans="1:11" ht="15.75" thickBot="1" x14ac:dyDescent="0.3">
      <c r="B49" s="3" t="s">
        <v>141</v>
      </c>
      <c r="C49" s="513" t="s">
        <v>150</v>
      </c>
      <c r="D49" s="513" t="s">
        <v>151</v>
      </c>
      <c r="E49" s="513" t="s">
        <v>153</v>
      </c>
      <c r="F49" s="513"/>
      <c r="G49" s="32" t="s">
        <v>119</v>
      </c>
      <c r="I49" s="510"/>
      <c r="K49" s="511"/>
    </row>
    <row r="50" spans="1:11" ht="16.5" thickTop="1" thickBot="1" x14ac:dyDescent="0.3">
      <c r="B50" s="315">
        <v>10000</v>
      </c>
      <c r="C50" s="8">
        <f ca="1">+Profit!$K$45+Profit!B18-B50+(Profit!K6*Profit!C35/12*Profit!B4)</f>
        <v>172658.42599999998</v>
      </c>
      <c r="D50" s="305">
        <v>0.7</v>
      </c>
      <c r="E50" s="10">
        <f ca="1">+D50*C50</f>
        <v>120860.89819999998</v>
      </c>
      <c r="F50" s="10">
        <f ca="1">+B50+E50</f>
        <v>130860.89819999998</v>
      </c>
      <c r="G50" s="312">
        <f ca="1">(1-D50)*C50</f>
        <v>51797.527800000003</v>
      </c>
      <c r="I50" s="510"/>
      <c r="K50" s="511"/>
    </row>
    <row r="51" spans="1:11" ht="15.75" thickTop="1" x14ac:dyDescent="0.25">
      <c r="D51" s="15" t="s">
        <v>154</v>
      </c>
      <c r="I51" s="338"/>
      <c r="K51" s="511"/>
    </row>
    <row r="52" spans="1:11" x14ac:dyDescent="0.25">
      <c r="C52" s="307"/>
      <c r="D52" s="308" t="s">
        <v>120</v>
      </c>
      <c r="E52" s="309">
        <f>+Profit!$K$29-B24+B50</f>
        <v>54069.184000000001</v>
      </c>
      <c r="H52" t="s">
        <v>122</v>
      </c>
      <c r="I52" s="510"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11"/>
    </row>
    <row r="53" spans="1:11" ht="15" customHeight="1" x14ac:dyDescent="0.25">
      <c r="C53" s="307"/>
      <c r="D53" s="310" t="s">
        <v>121</v>
      </c>
      <c r="E53" s="311">
        <f ca="1">+G50/E52</f>
        <v>0.95798612015302476</v>
      </c>
      <c r="I53" s="511"/>
      <c r="K53" s="511"/>
    </row>
    <row r="54" spans="1:11" x14ac:dyDescent="0.25">
      <c r="C54" s="307"/>
      <c r="D54" s="310" t="s">
        <v>123</v>
      </c>
      <c r="E54" s="311">
        <f ca="1">+G50/(F50+G50)</f>
        <v>0.28357590139312822</v>
      </c>
      <c r="I54" s="511"/>
      <c r="K54" s="511"/>
    </row>
    <row r="55" spans="1:11" ht="15" customHeight="1" x14ac:dyDescent="0.25">
      <c r="I55" s="511"/>
      <c r="K55" s="511"/>
    </row>
    <row r="56" spans="1:11" ht="15.75" thickBot="1" x14ac:dyDescent="0.3">
      <c r="B56" s="15" t="s">
        <v>155</v>
      </c>
      <c r="D56" t="s">
        <v>156</v>
      </c>
      <c r="I56" s="511"/>
      <c r="K56" s="511"/>
    </row>
    <row r="57" spans="1:11" x14ac:dyDescent="0.25">
      <c r="A57" s="523"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24"/>
      <c r="C57" s="524"/>
      <c r="D57" s="524"/>
      <c r="E57" s="524"/>
      <c r="F57" s="524"/>
      <c r="G57" s="525"/>
      <c r="I57" s="511"/>
      <c r="K57" s="511"/>
    </row>
    <row r="58" spans="1:11" x14ac:dyDescent="0.25">
      <c r="A58" s="526"/>
      <c r="B58" s="527"/>
      <c r="C58" s="527"/>
      <c r="D58" s="527"/>
      <c r="E58" s="527"/>
      <c r="F58" s="527"/>
      <c r="G58" s="528"/>
      <c r="I58" s="511"/>
      <c r="K58" s="511"/>
    </row>
    <row r="59" spans="1:11" x14ac:dyDescent="0.25">
      <c r="A59" s="526"/>
      <c r="B59" s="527"/>
      <c r="C59" s="527"/>
      <c r="D59" s="527"/>
      <c r="E59" s="527"/>
      <c r="F59" s="527"/>
      <c r="G59" s="528"/>
      <c r="K59" s="511"/>
    </row>
    <row r="60" spans="1:11" x14ac:dyDescent="0.25">
      <c r="A60" s="526"/>
      <c r="B60" s="527"/>
      <c r="C60" s="527"/>
      <c r="D60" s="527"/>
      <c r="E60" s="527"/>
      <c r="F60" s="527"/>
      <c r="G60" s="528"/>
      <c r="K60" s="511"/>
    </row>
    <row r="61" spans="1:11" x14ac:dyDescent="0.25">
      <c r="A61" s="526"/>
      <c r="B61" s="527"/>
      <c r="C61" s="527"/>
      <c r="D61" s="527"/>
      <c r="E61" s="527"/>
      <c r="F61" s="527"/>
      <c r="G61" s="528"/>
      <c r="H61" t="s">
        <v>122</v>
      </c>
      <c r="I61" s="510" t="str">
        <f>A57</f>
        <v xml:space="preserve">This offer is based on Zillow's Zestimate of $439,000.00.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11"/>
    </row>
    <row r="62" spans="1:11" x14ac:dyDescent="0.25">
      <c r="A62" s="526"/>
      <c r="B62" s="527"/>
      <c r="C62" s="527"/>
      <c r="D62" s="527"/>
      <c r="E62" s="527"/>
      <c r="F62" s="527"/>
      <c r="G62" s="528"/>
      <c r="I62" s="511"/>
      <c r="K62" s="511"/>
    </row>
    <row r="63" spans="1:11" x14ac:dyDescent="0.25">
      <c r="A63" s="526"/>
      <c r="B63" s="527"/>
      <c r="C63" s="527"/>
      <c r="D63" s="527"/>
      <c r="E63" s="527"/>
      <c r="F63" s="527"/>
      <c r="G63" s="528"/>
      <c r="I63" s="511"/>
      <c r="K63" s="511"/>
    </row>
    <row r="64" spans="1:11" x14ac:dyDescent="0.25">
      <c r="A64" s="526"/>
      <c r="B64" s="527"/>
      <c r="C64" s="527"/>
      <c r="D64" s="527"/>
      <c r="E64" s="527"/>
      <c r="F64" s="527"/>
      <c r="G64" s="528"/>
      <c r="I64" s="511"/>
      <c r="K64" s="511"/>
    </row>
    <row r="65" spans="1:11" x14ac:dyDescent="0.25">
      <c r="A65" s="526"/>
      <c r="B65" s="527"/>
      <c r="C65" s="527"/>
      <c r="D65" s="527"/>
      <c r="E65" s="527"/>
      <c r="F65" s="527"/>
      <c r="G65" s="528"/>
      <c r="I65" s="511"/>
      <c r="K65" s="511"/>
    </row>
    <row r="66" spans="1:11" x14ac:dyDescent="0.25">
      <c r="A66" s="526"/>
      <c r="B66" s="527"/>
      <c r="C66" s="527"/>
      <c r="D66" s="527"/>
      <c r="E66" s="527"/>
      <c r="F66" s="527"/>
      <c r="G66" s="528"/>
      <c r="I66" s="511"/>
      <c r="K66" s="511"/>
    </row>
    <row r="67" spans="1:11" x14ac:dyDescent="0.25">
      <c r="A67" s="526"/>
      <c r="B67" s="527"/>
      <c r="C67" s="527"/>
      <c r="D67" s="527"/>
      <c r="E67" s="527"/>
      <c r="F67" s="527"/>
      <c r="G67" s="528"/>
      <c r="I67" s="511"/>
      <c r="K67" s="511"/>
    </row>
    <row r="68" spans="1:11" x14ac:dyDescent="0.25">
      <c r="A68" s="526"/>
      <c r="B68" s="527"/>
      <c r="C68" s="527"/>
      <c r="D68" s="527"/>
      <c r="E68" s="527"/>
      <c r="F68" s="527"/>
      <c r="G68" s="528"/>
      <c r="I68" s="511"/>
    </row>
    <row r="69" spans="1:11" x14ac:dyDescent="0.25">
      <c r="A69" s="526"/>
      <c r="B69" s="527"/>
      <c r="C69" s="527"/>
      <c r="D69" s="527"/>
      <c r="E69" s="527"/>
      <c r="F69" s="527"/>
      <c r="G69" s="528"/>
      <c r="I69" s="511"/>
    </row>
    <row r="70" spans="1:11" x14ac:dyDescent="0.25">
      <c r="A70" s="526"/>
      <c r="B70" s="527"/>
      <c r="C70" s="527"/>
      <c r="D70" s="527"/>
      <c r="E70" s="527"/>
      <c r="F70" s="527"/>
      <c r="G70" s="528"/>
      <c r="I70" s="511"/>
    </row>
    <row r="71" spans="1:11" x14ac:dyDescent="0.25">
      <c r="A71" s="526"/>
      <c r="B71" s="527"/>
      <c r="C71" s="527"/>
      <c r="D71" s="527"/>
      <c r="E71" s="527"/>
      <c r="F71" s="527"/>
      <c r="G71" s="528"/>
      <c r="I71" s="511"/>
    </row>
    <row r="72" spans="1:11" x14ac:dyDescent="0.25">
      <c r="A72" s="526"/>
      <c r="B72" s="527"/>
      <c r="C72" s="527"/>
      <c r="D72" s="527"/>
      <c r="E72" s="527"/>
      <c r="F72" s="527"/>
      <c r="G72" s="528"/>
      <c r="I72" s="511"/>
    </row>
    <row r="73" spans="1:11" x14ac:dyDescent="0.25">
      <c r="A73" s="526"/>
      <c r="B73" s="527"/>
      <c r="C73" s="527"/>
      <c r="D73" s="527"/>
      <c r="E73" s="527"/>
      <c r="F73" s="527"/>
      <c r="G73" s="528"/>
    </row>
    <row r="74" spans="1:11" x14ac:dyDescent="0.25">
      <c r="A74" s="526"/>
      <c r="B74" s="527"/>
      <c r="C74" s="527"/>
      <c r="D74" s="527"/>
      <c r="E74" s="527"/>
      <c r="F74" s="527"/>
      <c r="G74" s="528"/>
      <c r="H74" t="s">
        <v>122</v>
      </c>
      <c r="I74" s="329" t="str">
        <f>"Sincerely,
Wes Browning"</f>
        <v>Sincerely,
Wes Browning</v>
      </c>
    </row>
    <row r="75" spans="1:11" ht="15" customHeight="1" x14ac:dyDescent="0.25">
      <c r="A75" s="526"/>
      <c r="B75" s="527"/>
      <c r="C75" s="527"/>
      <c r="D75" s="527"/>
      <c r="E75" s="527"/>
      <c r="F75" s="527"/>
      <c r="G75" s="528"/>
      <c r="I75" s="329"/>
    </row>
    <row r="76" spans="1:11" x14ac:dyDescent="0.25">
      <c r="A76" s="526"/>
      <c r="B76" s="527"/>
      <c r="C76" s="527"/>
      <c r="D76" s="527"/>
      <c r="E76" s="527"/>
      <c r="F76" s="527"/>
      <c r="G76" s="528"/>
      <c r="I76" s="329"/>
    </row>
    <row r="77" spans="1:11" x14ac:dyDescent="0.25">
      <c r="A77" s="526"/>
      <c r="B77" s="527"/>
      <c r="C77" s="527"/>
      <c r="D77" s="527"/>
      <c r="E77" s="527"/>
      <c r="F77" s="527"/>
      <c r="G77" s="528"/>
    </row>
    <row r="78" spans="1:11" x14ac:dyDescent="0.25">
      <c r="A78" s="526"/>
      <c r="B78" s="527"/>
      <c r="C78" s="527"/>
      <c r="D78" s="527"/>
      <c r="E78" s="527"/>
      <c r="F78" s="527"/>
      <c r="G78" s="528"/>
    </row>
    <row r="79" spans="1:11" ht="15.75" thickBot="1" x14ac:dyDescent="0.3">
      <c r="A79" s="529"/>
      <c r="B79" s="530"/>
      <c r="C79" s="530"/>
      <c r="D79" s="530"/>
      <c r="E79" s="530"/>
      <c r="F79" s="530"/>
      <c r="G79" s="531"/>
    </row>
    <row r="80" spans="1:11" x14ac:dyDescent="0.25">
      <c r="A80" s="329"/>
      <c r="B80" s="329"/>
      <c r="C80" s="329"/>
      <c r="D80" s="329"/>
      <c r="E80" s="329"/>
      <c r="F80" s="329"/>
      <c r="G80" s="329"/>
    </row>
    <row r="81" spans="1:9" x14ac:dyDescent="0.25">
      <c r="A81" s="329"/>
      <c r="B81" s="329"/>
      <c r="C81" s="329"/>
      <c r="D81" s="329"/>
      <c r="E81" s="329"/>
      <c r="F81" s="329"/>
      <c r="G81" s="2" t="s">
        <v>157</v>
      </c>
      <c r="I81" s="329" t="s">
        <v>158</v>
      </c>
    </row>
    <row r="82" spans="1:9" x14ac:dyDescent="0.25">
      <c r="G82" s="2" t="s">
        <v>159</v>
      </c>
      <c r="H82" t="s">
        <v>122</v>
      </c>
      <c r="I82" s="329" t="s">
        <v>160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U57"/>
  <sheetViews>
    <sheetView workbookViewId="0">
      <pane xSplit="5" ySplit="1" topLeftCell="F23" activePane="bottomRight" state="frozen"/>
      <selection pane="topRight" activeCell="E1" sqref="E1"/>
      <selection pane="bottomLeft" activeCell="A2" sqref="A2"/>
      <selection pane="bottomRight" activeCell="I45" sqref="I45"/>
    </sheetView>
  </sheetViews>
  <sheetFormatPr defaultRowHeight="15" x14ac:dyDescent="0.25"/>
  <cols>
    <col min="1" max="1" width="11" customWidth="1"/>
    <col min="2" max="2" width="38.140625" bestFit="1" customWidth="1"/>
    <col min="3" max="3" width="10.5703125" customWidth="1"/>
    <col min="4" max="4" width="9.28515625" customWidth="1"/>
    <col min="5" max="6" width="29.140625" style="25" customWidth="1"/>
    <col min="7" max="8" width="10" customWidth="1"/>
    <col min="9" max="11" width="9.28515625" style="190" customWidth="1"/>
    <col min="12" max="12" width="8.28515625" style="190" customWidth="1"/>
    <col min="13" max="13" width="8" style="190" customWidth="1"/>
    <col min="14" max="19" width="8.140625" customWidth="1"/>
    <col min="20" max="20" width="3.140625" customWidth="1"/>
  </cols>
  <sheetData>
    <row r="1" spans="1:21" s="93" customFormat="1" ht="45.75" thickBot="1" x14ac:dyDescent="0.3">
      <c r="A1" s="242"/>
      <c r="B1" s="537" t="str">
        <f>+Profit!B2</f>
        <v>3325 Banks Rd, Raleigh, NC 27603</v>
      </c>
      <c r="C1" s="538"/>
      <c r="D1" s="535" t="s">
        <v>161</v>
      </c>
      <c r="E1" s="536"/>
      <c r="F1" s="372"/>
      <c r="G1" s="237" t="s">
        <v>162</v>
      </c>
      <c r="H1" s="237" t="s">
        <v>163</v>
      </c>
      <c r="I1" s="289" t="s">
        <v>164</v>
      </c>
      <c r="J1" s="289" t="s">
        <v>165</v>
      </c>
      <c r="K1" s="279" t="s">
        <v>166</v>
      </c>
      <c r="L1" s="279" t="s">
        <v>167</v>
      </c>
      <c r="M1" s="279" t="s">
        <v>168</v>
      </c>
      <c r="N1" s="289" t="s">
        <v>169</v>
      </c>
      <c r="O1" s="279" t="s">
        <v>170</v>
      </c>
      <c r="P1" s="289" t="s">
        <v>171</v>
      </c>
      <c r="Q1" s="279" t="s">
        <v>172</v>
      </c>
      <c r="R1" s="279" t="s">
        <v>173</v>
      </c>
      <c r="S1" s="289" t="s">
        <v>174</v>
      </c>
      <c r="T1" s="237"/>
      <c r="U1" s="228"/>
    </row>
    <row r="2" spans="1:21" x14ac:dyDescent="0.25">
      <c r="A2" s="243" t="s">
        <v>175</v>
      </c>
      <c r="B2" s="238"/>
      <c r="G2" s="235"/>
      <c r="H2" s="235"/>
      <c r="I2" s="235"/>
      <c r="J2" s="235"/>
      <c r="K2" s="235"/>
      <c r="L2" s="235"/>
      <c r="M2" s="235"/>
      <c r="N2" s="241"/>
      <c r="O2" s="241"/>
      <c r="P2" s="241"/>
      <c r="Q2" s="241"/>
      <c r="R2" s="241"/>
      <c r="S2" s="241"/>
      <c r="T2" s="272"/>
    </row>
    <row r="3" spans="1:21" ht="13.15" customHeight="1" x14ac:dyDescent="0.25">
      <c r="A3" s="244"/>
      <c r="B3" s="239" t="s">
        <v>176</v>
      </c>
      <c r="C3" s="191" t="s">
        <v>177</v>
      </c>
      <c r="D3" s="533" t="s">
        <v>178</v>
      </c>
      <c r="E3" s="534"/>
      <c r="F3" s="269"/>
      <c r="G3" s="236"/>
      <c r="H3" s="236" t="s">
        <v>177</v>
      </c>
      <c r="I3" s="236"/>
      <c r="J3" s="236"/>
      <c r="K3" s="236"/>
      <c r="L3" s="236"/>
      <c r="M3" s="236"/>
      <c r="N3" s="236"/>
      <c r="T3" s="273"/>
    </row>
    <row r="4" spans="1:21" ht="13.15" customHeight="1" x14ac:dyDescent="0.25">
      <c r="A4" s="244"/>
      <c r="B4" s="239" t="s">
        <v>179</v>
      </c>
      <c r="C4" s="192" t="s">
        <v>177</v>
      </c>
      <c r="D4" s="533" t="s">
        <v>178</v>
      </c>
      <c r="E4" s="534"/>
      <c r="F4" s="269"/>
      <c r="G4" s="236"/>
      <c r="H4" s="236" t="s">
        <v>180</v>
      </c>
      <c r="I4" s="236"/>
      <c r="J4" s="236"/>
      <c r="K4" s="236"/>
      <c r="L4" s="236"/>
      <c r="M4" s="236"/>
      <c r="N4" s="236"/>
      <c r="T4" s="273"/>
    </row>
    <row r="5" spans="1:21" ht="13.15" customHeight="1" x14ac:dyDescent="0.25">
      <c r="A5" s="244"/>
      <c r="B5" s="239" t="s">
        <v>181</v>
      </c>
      <c r="C5" s="192" t="s">
        <v>177</v>
      </c>
      <c r="D5" s="533" t="s">
        <v>178</v>
      </c>
      <c r="E5" s="534"/>
      <c r="F5" s="269"/>
      <c r="G5" s="236"/>
      <c r="H5" s="236" t="s">
        <v>180</v>
      </c>
      <c r="I5" s="236"/>
      <c r="J5" s="236"/>
      <c r="K5" s="236"/>
      <c r="L5" s="236"/>
      <c r="M5" s="236"/>
      <c r="N5" s="236"/>
      <c r="T5" s="273"/>
    </row>
    <row r="6" spans="1:21" ht="13.15" customHeight="1" x14ac:dyDescent="0.25">
      <c r="A6" s="244"/>
      <c r="B6" s="239" t="s">
        <v>182</v>
      </c>
      <c r="C6" s="192" t="s">
        <v>177</v>
      </c>
      <c r="D6" s="533" t="s">
        <v>178</v>
      </c>
      <c r="E6" s="534"/>
      <c r="F6" s="269"/>
      <c r="G6" s="236"/>
      <c r="H6" s="236" t="s">
        <v>48</v>
      </c>
      <c r="I6" s="236"/>
      <c r="J6" s="236"/>
      <c r="K6" s="236"/>
      <c r="L6" s="236"/>
      <c r="M6" s="236"/>
      <c r="N6" s="236"/>
      <c r="T6" s="273"/>
    </row>
    <row r="7" spans="1:21" ht="13.15" customHeight="1" x14ac:dyDescent="0.25">
      <c r="A7" s="244"/>
      <c r="B7" s="239" t="s">
        <v>183</v>
      </c>
      <c r="C7" s="192" t="s">
        <v>48</v>
      </c>
      <c r="D7" s="533"/>
      <c r="E7" s="534"/>
      <c r="F7" s="269"/>
      <c r="G7" s="236"/>
      <c r="H7" s="236" t="s">
        <v>48</v>
      </c>
      <c r="I7" s="236"/>
      <c r="J7" s="236"/>
      <c r="K7" s="236"/>
      <c r="L7" s="236"/>
      <c r="M7" s="236"/>
      <c r="N7" s="236"/>
      <c r="T7" s="273"/>
    </row>
    <row r="8" spans="1:21" ht="13.15" customHeight="1" x14ac:dyDescent="0.25">
      <c r="A8" s="244"/>
      <c r="B8" s="239" t="s">
        <v>184</v>
      </c>
      <c r="C8" s="192" t="s">
        <v>48</v>
      </c>
      <c r="D8" s="533"/>
      <c r="E8" s="534"/>
      <c r="F8" s="269"/>
      <c r="G8" s="236"/>
      <c r="H8" s="236" t="s">
        <v>48</v>
      </c>
      <c r="I8" s="236"/>
      <c r="J8" s="236"/>
      <c r="K8" s="236"/>
      <c r="L8" s="236"/>
      <c r="M8" s="236"/>
      <c r="N8" s="236"/>
      <c r="T8" s="273"/>
    </row>
    <row r="9" spans="1:21" ht="13.15" customHeight="1" x14ac:dyDescent="0.25">
      <c r="A9" s="244"/>
      <c r="B9" s="239" t="s">
        <v>185</v>
      </c>
      <c r="C9" s="192" t="s">
        <v>186</v>
      </c>
      <c r="D9" s="533"/>
      <c r="E9" s="534"/>
      <c r="F9" s="269"/>
      <c r="G9" s="236"/>
      <c r="H9" s="236" t="s">
        <v>48</v>
      </c>
      <c r="I9" s="236"/>
      <c r="J9" s="236"/>
      <c r="K9" s="236"/>
      <c r="L9" s="236"/>
      <c r="M9" s="236"/>
      <c r="N9" s="236"/>
      <c r="T9" s="274"/>
    </row>
    <row r="10" spans="1:21" ht="13.15" customHeight="1" x14ac:dyDescent="0.25">
      <c r="A10" s="244"/>
      <c r="B10" s="239" t="s">
        <v>187</v>
      </c>
      <c r="C10" s="192" t="s">
        <v>186</v>
      </c>
      <c r="D10" s="533"/>
      <c r="E10" s="534"/>
      <c r="F10" s="269"/>
      <c r="G10" s="236"/>
      <c r="H10" s="236" t="s">
        <v>48</v>
      </c>
      <c r="I10" s="236"/>
      <c r="J10" s="236"/>
      <c r="K10" s="236"/>
      <c r="L10" s="236"/>
      <c r="M10" s="236"/>
      <c r="N10" s="236"/>
      <c r="T10" s="274"/>
    </row>
    <row r="11" spans="1:21" ht="13.15" customHeight="1" x14ac:dyDescent="0.25">
      <c r="A11" s="244"/>
      <c r="B11" s="239"/>
      <c r="C11" s="192"/>
      <c r="D11" s="533"/>
      <c r="E11" s="534"/>
      <c r="F11" s="269"/>
      <c r="G11" s="236"/>
      <c r="H11" s="236">
        <v>0</v>
      </c>
      <c r="I11" s="236"/>
      <c r="J11" s="236"/>
      <c r="K11" s="236"/>
      <c r="L11" s="236"/>
      <c r="M11" s="236"/>
      <c r="N11" s="236"/>
      <c r="T11" s="274"/>
    </row>
    <row r="12" spans="1:21" ht="13.15" customHeight="1" x14ac:dyDescent="0.25">
      <c r="A12" s="539" t="s">
        <v>188</v>
      </c>
      <c r="B12" s="239"/>
      <c r="C12" s="192"/>
      <c r="D12" s="533"/>
      <c r="E12" s="534"/>
      <c r="F12" s="269"/>
      <c r="G12" s="236"/>
      <c r="H12" s="236">
        <v>0</v>
      </c>
      <c r="I12" s="236"/>
      <c r="J12" s="236"/>
      <c r="K12" s="236"/>
      <c r="L12" s="236"/>
      <c r="M12" s="236"/>
      <c r="N12" s="236"/>
      <c r="T12" s="274"/>
    </row>
    <row r="13" spans="1:21" ht="13.15" customHeight="1" x14ac:dyDescent="0.25">
      <c r="A13" s="540"/>
      <c r="B13" s="239" t="s">
        <v>189</v>
      </c>
      <c r="C13" s="192" t="s">
        <v>186</v>
      </c>
      <c r="D13" s="533"/>
      <c r="E13" s="534"/>
      <c r="F13" s="269"/>
      <c r="G13" s="236"/>
      <c r="H13" s="236" t="s">
        <v>48</v>
      </c>
      <c r="I13" s="236"/>
      <c r="J13" s="236"/>
      <c r="K13" s="236"/>
      <c r="L13" s="236"/>
      <c r="M13" s="236"/>
      <c r="N13" s="236"/>
      <c r="T13" s="274"/>
    </row>
    <row r="14" spans="1:21" ht="13.15" customHeight="1" x14ac:dyDescent="0.25">
      <c r="A14" s="244"/>
      <c r="B14" s="239" t="s">
        <v>190</v>
      </c>
      <c r="C14" s="192" t="s">
        <v>186</v>
      </c>
      <c r="D14" s="533" t="s">
        <v>178</v>
      </c>
      <c r="E14" s="534"/>
      <c r="F14" s="269"/>
      <c r="G14" s="236"/>
      <c r="H14" s="236" t="s">
        <v>48</v>
      </c>
      <c r="I14" s="236"/>
      <c r="J14" s="236"/>
      <c r="K14" s="236"/>
      <c r="L14" s="236"/>
      <c r="M14" s="236"/>
      <c r="N14" s="236"/>
      <c r="T14" s="274"/>
    </row>
    <row r="15" spans="1:21" ht="13.15" customHeight="1" x14ac:dyDescent="0.25">
      <c r="A15" s="244"/>
      <c r="B15" s="239" t="s">
        <v>191</v>
      </c>
      <c r="C15" s="192" t="s">
        <v>186</v>
      </c>
      <c r="D15" s="533" t="s">
        <v>178</v>
      </c>
      <c r="E15" s="534"/>
      <c r="F15" s="269"/>
      <c r="G15" s="236"/>
      <c r="H15" s="236" t="s">
        <v>48</v>
      </c>
      <c r="I15" s="236"/>
      <c r="J15" s="236"/>
      <c r="K15" s="236"/>
      <c r="L15" s="236"/>
      <c r="M15" s="236"/>
      <c r="N15" s="236"/>
      <c r="T15" s="274"/>
    </row>
    <row r="16" spans="1:21" ht="13.15" customHeight="1" x14ac:dyDescent="0.25">
      <c r="A16" s="244"/>
      <c r="B16" s="239" t="s">
        <v>192</v>
      </c>
      <c r="C16" s="192" t="s">
        <v>48</v>
      </c>
      <c r="D16" s="533"/>
      <c r="E16" s="534"/>
      <c r="F16" s="269"/>
      <c r="G16" s="236"/>
      <c r="H16" s="236" t="s">
        <v>48</v>
      </c>
      <c r="I16" s="236"/>
      <c r="J16" s="236"/>
      <c r="K16" s="236"/>
      <c r="L16" s="236"/>
      <c r="M16" s="236"/>
      <c r="N16" s="236"/>
      <c r="T16" s="274"/>
    </row>
    <row r="17" spans="1:20" ht="13.15" customHeight="1" x14ac:dyDescent="0.25">
      <c r="A17" s="244"/>
      <c r="B17" s="239" t="s">
        <v>193</v>
      </c>
      <c r="C17" s="192"/>
      <c r="D17" s="533" t="s">
        <v>194</v>
      </c>
      <c r="E17" s="534"/>
      <c r="F17" s="269"/>
      <c r="G17" s="236"/>
      <c r="H17" s="236" t="s">
        <v>48</v>
      </c>
      <c r="I17" s="236"/>
      <c r="J17" s="236"/>
      <c r="K17" s="236"/>
      <c r="L17" s="236"/>
      <c r="M17" s="236"/>
      <c r="N17" s="236"/>
      <c r="T17" s="274"/>
    </row>
    <row r="18" spans="1:20" ht="13.15" customHeight="1" x14ac:dyDescent="0.25">
      <c r="A18" s="244"/>
      <c r="B18" s="239" t="s">
        <v>195</v>
      </c>
      <c r="C18" s="192" t="s">
        <v>48</v>
      </c>
      <c r="D18" s="533"/>
      <c r="E18" s="534"/>
      <c r="F18" s="269"/>
      <c r="G18" s="236"/>
      <c r="H18" s="236" t="s">
        <v>196</v>
      </c>
      <c r="I18" s="236"/>
      <c r="J18" s="236"/>
      <c r="K18" s="236"/>
      <c r="L18" s="236"/>
      <c r="M18" s="236"/>
      <c r="N18" s="236"/>
      <c r="T18" s="274"/>
    </row>
    <row r="19" spans="1:20" ht="13.15" customHeight="1" x14ac:dyDescent="0.25">
      <c r="A19" s="244"/>
      <c r="B19" s="239" t="s">
        <v>197</v>
      </c>
      <c r="C19" s="192" t="s">
        <v>186</v>
      </c>
      <c r="D19" s="533"/>
      <c r="E19" s="534"/>
      <c r="F19" s="269"/>
      <c r="G19" s="236"/>
      <c r="H19" s="236" t="s">
        <v>48</v>
      </c>
      <c r="I19" s="236"/>
      <c r="J19" s="236"/>
      <c r="K19" s="236"/>
      <c r="L19" s="236"/>
      <c r="M19" s="236"/>
      <c r="N19" s="236"/>
      <c r="T19" s="274"/>
    </row>
    <row r="20" spans="1:20" ht="13.15" customHeight="1" x14ac:dyDescent="0.25">
      <c r="A20" s="244"/>
      <c r="B20" s="239" t="s">
        <v>198</v>
      </c>
      <c r="C20" s="192" t="s">
        <v>48</v>
      </c>
      <c r="D20" s="533" t="s">
        <v>178</v>
      </c>
      <c r="E20" s="534"/>
      <c r="F20" s="269"/>
      <c r="G20" s="236"/>
      <c r="H20" s="236" t="s">
        <v>48</v>
      </c>
      <c r="I20" s="236"/>
      <c r="J20" s="236"/>
      <c r="K20" s="236"/>
      <c r="L20" s="236"/>
      <c r="M20" s="236"/>
      <c r="N20" s="236"/>
      <c r="T20" s="274"/>
    </row>
    <row r="21" spans="1:20" ht="13.15" customHeight="1" x14ac:dyDescent="0.25">
      <c r="A21" s="244"/>
      <c r="B21" s="239" t="s">
        <v>199</v>
      </c>
      <c r="C21" s="192" t="s">
        <v>186</v>
      </c>
      <c r="D21" s="533"/>
      <c r="E21" s="534"/>
      <c r="F21" s="269"/>
      <c r="G21" s="236"/>
      <c r="H21" s="236" t="s">
        <v>48</v>
      </c>
      <c r="I21" s="236"/>
      <c r="J21" s="236"/>
      <c r="K21" s="236"/>
      <c r="L21" s="236"/>
      <c r="M21" s="236"/>
      <c r="N21" s="236"/>
      <c r="T21" s="274"/>
    </row>
    <row r="22" spans="1:20" ht="13.15" customHeight="1" x14ac:dyDescent="0.25">
      <c r="A22" s="244"/>
      <c r="B22" s="239" t="s">
        <v>200</v>
      </c>
      <c r="C22" s="192" t="s">
        <v>48</v>
      </c>
      <c r="D22" s="533"/>
      <c r="E22" s="534"/>
      <c r="F22" s="269"/>
      <c r="G22" s="236"/>
      <c r="H22" s="236" t="s">
        <v>201</v>
      </c>
      <c r="I22" s="236"/>
      <c r="J22" s="236"/>
      <c r="K22" s="236"/>
      <c r="L22" s="236"/>
      <c r="M22" s="236"/>
      <c r="N22" s="236"/>
      <c r="T22" s="274"/>
    </row>
    <row r="23" spans="1:20" ht="13.15" customHeight="1" x14ac:dyDescent="0.25">
      <c r="A23" s="244"/>
      <c r="B23" s="239" t="s">
        <v>202</v>
      </c>
      <c r="C23" s="192" t="s">
        <v>48</v>
      </c>
      <c r="D23" s="533"/>
      <c r="E23" s="534"/>
      <c r="F23" s="269"/>
      <c r="G23" s="236"/>
      <c r="H23" s="236" t="s">
        <v>48</v>
      </c>
      <c r="I23" s="236"/>
      <c r="J23" s="236"/>
      <c r="K23" s="236"/>
      <c r="L23" s="236"/>
      <c r="M23" s="236"/>
      <c r="N23" s="236"/>
      <c r="T23" s="274"/>
    </row>
    <row r="24" spans="1:20" ht="13.15" customHeight="1" x14ac:dyDescent="0.25">
      <c r="A24" s="244"/>
      <c r="B24" s="239" t="s">
        <v>203</v>
      </c>
      <c r="C24" s="192" t="s">
        <v>48</v>
      </c>
      <c r="D24" s="533"/>
      <c r="E24" s="534"/>
      <c r="F24" s="269"/>
      <c r="G24" s="236"/>
      <c r="H24" s="236" t="s">
        <v>48</v>
      </c>
      <c r="I24" s="236"/>
      <c r="J24" s="236"/>
      <c r="K24" s="236"/>
      <c r="L24" s="236"/>
      <c r="M24" s="236"/>
      <c r="N24" s="236"/>
      <c r="T24" s="274"/>
    </row>
    <row r="25" spans="1:20" ht="13.15" customHeight="1" x14ac:dyDescent="0.25">
      <c r="A25" s="245"/>
      <c r="B25" s="239" t="s">
        <v>204</v>
      </c>
      <c r="C25" s="192" t="s">
        <v>48</v>
      </c>
      <c r="D25" s="533"/>
      <c r="E25" s="534"/>
      <c r="F25" s="269"/>
      <c r="G25" s="236"/>
      <c r="H25" s="236" t="s">
        <v>48</v>
      </c>
      <c r="I25" s="236"/>
      <c r="J25" s="236"/>
      <c r="K25" s="236"/>
      <c r="L25" s="236"/>
      <c r="M25" s="236"/>
      <c r="N25" s="236"/>
      <c r="T25" s="274"/>
    </row>
    <row r="26" spans="1:20" ht="13.15" customHeight="1" x14ac:dyDescent="0.25">
      <c r="A26" s="245"/>
      <c r="B26" s="239" t="s">
        <v>205</v>
      </c>
      <c r="C26" s="192" t="s">
        <v>186</v>
      </c>
      <c r="D26" s="533"/>
      <c r="E26" s="534"/>
      <c r="F26" s="269"/>
      <c r="G26" s="236"/>
      <c r="H26" s="236" t="s">
        <v>48</v>
      </c>
      <c r="I26" s="236"/>
      <c r="J26" s="236"/>
      <c r="K26" s="236"/>
      <c r="L26" s="236"/>
      <c r="M26" s="236"/>
      <c r="N26" s="236"/>
      <c r="T26" s="274"/>
    </row>
    <row r="27" spans="1:20" ht="13.15" customHeight="1" x14ac:dyDescent="0.25">
      <c r="A27" s="244"/>
      <c r="B27" s="239" t="s">
        <v>206</v>
      </c>
      <c r="C27" s="193"/>
      <c r="D27" s="533" t="s">
        <v>207</v>
      </c>
      <c r="E27" s="534"/>
      <c r="F27" s="269"/>
      <c r="G27" s="236"/>
      <c r="H27" s="236" t="s">
        <v>48</v>
      </c>
      <c r="I27" s="236"/>
      <c r="J27" s="236"/>
      <c r="K27" s="236"/>
      <c r="L27" s="236"/>
      <c r="M27" s="236"/>
      <c r="N27" s="236"/>
      <c r="T27" s="274"/>
    </row>
    <row r="28" spans="1:20" ht="13.15" customHeight="1" x14ac:dyDescent="0.25">
      <c r="A28" s="244"/>
      <c r="B28" s="239" t="s">
        <v>208</v>
      </c>
      <c r="C28" s="192" t="s">
        <v>186</v>
      </c>
      <c r="D28" s="533"/>
      <c r="E28" s="534"/>
      <c r="F28" s="269"/>
      <c r="G28" s="236"/>
      <c r="H28" s="236" t="s">
        <v>48</v>
      </c>
      <c r="I28" s="236"/>
      <c r="J28" s="236"/>
      <c r="K28" s="236"/>
      <c r="L28" s="236"/>
      <c r="M28" s="236"/>
      <c r="N28" s="236"/>
      <c r="T28" s="274"/>
    </row>
    <row r="29" spans="1:20" ht="13.15" customHeight="1" x14ac:dyDescent="0.25">
      <c r="A29" s="244"/>
      <c r="B29" s="239"/>
      <c r="C29" s="192"/>
      <c r="D29" s="268"/>
      <c r="E29" s="269"/>
      <c r="F29" s="269"/>
      <c r="G29" s="236"/>
      <c r="H29" s="236">
        <v>0</v>
      </c>
      <c r="I29" s="236"/>
      <c r="J29" s="236"/>
      <c r="K29" s="236"/>
      <c r="L29" s="236"/>
      <c r="M29" s="236"/>
      <c r="N29" s="236"/>
      <c r="T29" s="274"/>
    </row>
    <row r="30" spans="1:20" ht="13.15" customHeight="1" x14ac:dyDescent="0.25">
      <c r="A30" s="539" t="s">
        <v>209</v>
      </c>
      <c r="B30" s="239" t="s">
        <v>210</v>
      </c>
      <c r="C30" s="192"/>
      <c r="D30" s="533"/>
      <c r="E30" s="534"/>
      <c r="F30" s="269"/>
      <c r="G30" s="236"/>
      <c r="H30" s="236">
        <v>0</v>
      </c>
      <c r="I30" s="236"/>
      <c r="J30" s="236"/>
      <c r="K30" s="236"/>
      <c r="L30" s="236"/>
      <c r="M30" s="236"/>
      <c r="N30" s="236"/>
      <c r="T30" s="274"/>
    </row>
    <row r="31" spans="1:20" ht="13.15" customHeight="1" x14ac:dyDescent="0.25">
      <c r="A31" s="540"/>
      <c r="B31" s="239" t="s">
        <v>211</v>
      </c>
      <c r="C31" s="192"/>
      <c r="D31" s="268"/>
      <c r="E31" s="269"/>
      <c r="F31" s="269"/>
      <c r="G31" s="236"/>
      <c r="H31" s="236">
        <v>0</v>
      </c>
      <c r="I31" s="236"/>
      <c r="J31" s="236"/>
      <c r="K31" s="236"/>
      <c r="L31" s="236"/>
      <c r="M31" s="236"/>
      <c r="N31" s="236"/>
      <c r="T31" s="274"/>
    </row>
    <row r="32" spans="1:20" ht="13.15" customHeight="1" x14ac:dyDescent="0.25">
      <c r="A32" s="245"/>
      <c r="B32" s="239" t="s">
        <v>212</v>
      </c>
      <c r="C32" s="192"/>
      <c r="D32" s="268"/>
      <c r="E32" s="269"/>
      <c r="F32" s="269"/>
      <c r="G32" s="236"/>
      <c r="H32" s="236">
        <v>0</v>
      </c>
      <c r="I32" s="236"/>
      <c r="J32" s="236"/>
      <c r="K32" s="236"/>
      <c r="L32" s="236"/>
      <c r="M32" s="236"/>
      <c r="N32" s="236"/>
      <c r="T32" s="274"/>
    </row>
    <row r="33" spans="1:20" ht="13.15" customHeight="1" x14ac:dyDescent="0.25">
      <c r="A33" s="245"/>
      <c r="B33" s="239" t="s">
        <v>213</v>
      </c>
      <c r="C33" s="192"/>
      <c r="D33" s="268"/>
      <c r="E33" s="269"/>
      <c r="F33" s="269"/>
      <c r="G33" s="236"/>
      <c r="H33" s="236">
        <v>0</v>
      </c>
      <c r="I33" s="236"/>
      <c r="J33" s="236"/>
      <c r="K33" s="236"/>
      <c r="L33" s="236"/>
      <c r="M33" s="236"/>
      <c r="N33" s="236"/>
      <c r="T33" s="274"/>
    </row>
    <row r="34" spans="1:20" ht="13.15" customHeight="1" x14ac:dyDescent="0.25">
      <c r="A34" s="245"/>
      <c r="B34" s="239" t="s">
        <v>214</v>
      </c>
      <c r="C34" s="192"/>
      <c r="D34" s="533"/>
      <c r="E34" s="534"/>
      <c r="F34" s="269"/>
      <c r="G34" s="236"/>
      <c r="H34" s="236">
        <v>0</v>
      </c>
      <c r="I34" s="236"/>
      <c r="J34" s="236"/>
      <c r="K34" s="236"/>
      <c r="L34" s="236"/>
      <c r="M34" s="236"/>
      <c r="N34" s="236"/>
      <c r="T34" s="274"/>
    </row>
    <row r="35" spans="1:20" ht="13.15" customHeight="1" x14ac:dyDescent="0.25">
      <c r="A35" s="244"/>
      <c r="B35" s="239"/>
      <c r="C35" s="192"/>
      <c r="D35" s="533"/>
      <c r="E35" s="534"/>
      <c r="F35" s="269"/>
      <c r="G35" s="236"/>
      <c r="H35" s="236">
        <v>0</v>
      </c>
      <c r="I35" s="236"/>
      <c r="J35" s="236"/>
      <c r="K35" s="236"/>
      <c r="L35" s="236"/>
      <c r="M35" s="236"/>
      <c r="N35" s="236"/>
      <c r="T35" s="274"/>
    </row>
    <row r="36" spans="1:20" ht="13.15" customHeight="1" x14ac:dyDescent="0.25">
      <c r="A36" s="244"/>
      <c r="B36" s="239"/>
      <c r="C36" s="192"/>
      <c r="D36" s="533"/>
      <c r="E36" s="534"/>
      <c r="F36" s="269"/>
      <c r="G36" s="236"/>
      <c r="H36" s="236">
        <v>0</v>
      </c>
      <c r="I36" s="236"/>
      <c r="J36" s="236"/>
      <c r="K36" s="236"/>
      <c r="L36" s="236"/>
      <c r="M36" s="236"/>
      <c r="N36" s="236"/>
      <c r="T36" s="274"/>
    </row>
    <row r="37" spans="1:20" ht="13.15" customHeight="1" x14ac:dyDescent="0.25">
      <c r="A37" s="244"/>
      <c r="B37" s="239"/>
      <c r="C37" s="192"/>
      <c r="D37" s="533"/>
      <c r="E37" s="534"/>
      <c r="F37" s="269"/>
      <c r="G37" s="236"/>
      <c r="H37" s="236">
        <v>0</v>
      </c>
      <c r="I37" s="236"/>
      <c r="J37" s="236"/>
      <c r="K37" s="236"/>
      <c r="L37" s="236"/>
      <c r="M37" s="236"/>
      <c r="N37" s="236"/>
      <c r="T37" s="274"/>
    </row>
    <row r="38" spans="1:20" ht="13.15" customHeight="1" x14ac:dyDescent="0.25">
      <c r="A38" s="539" t="s">
        <v>215</v>
      </c>
      <c r="B38" s="239" t="s">
        <v>216</v>
      </c>
      <c r="C38" s="192"/>
      <c r="D38" s="533"/>
      <c r="E38" s="534"/>
      <c r="F38" s="269"/>
      <c r="G38" s="236"/>
      <c r="H38" s="236">
        <v>0</v>
      </c>
      <c r="I38" s="236"/>
      <c r="J38" s="236"/>
      <c r="K38" s="236"/>
      <c r="L38" s="236"/>
      <c r="M38" s="236"/>
      <c r="N38" s="236"/>
      <c r="T38" s="274"/>
    </row>
    <row r="39" spans="1:20" ht="13.15" customHeight="1" x14ac:dyDescent="0.25">
      <c r="A39" s="540"/>
      <c r="B39" s="239" t="s">
        <v>214</v>
      </c>
      <c r="C39" s="192"/>
      <c r="D39" s="533"/>
      <c r="E39" s="534"/>
      <c r="F39" s="269"/>
      <c r="G39" s="236"/>
      <c r="H39" s="236">
        <v>0</v>
      </c>
      <c r="I39" s="236"/>
      <c r="J39" s="236"/>
      <c r="K39" s="236"/>
      <c r="L39" s="236"/>
      <c r="M39" s="236"/>
      <c r="N39" s="236"/>
      <c r="T39" s="274"/>
    </row>
    <row r="40" spans="1:20" ht="13.15" customHeight="1" x14ac:dyDescent="0.25">
      <c r="A40" s="244"/>
      <c r="B40" s="239" t="s">
        <v>217</v>
      </c>
      <c r="C40" s="192"/>
      <c r="D40" s="533"/>
      <c r="E40" s="534"/>
      <c r="F40" s="269"/>
      <c r="G40" s="236"/>
      <c r="H40" s="236">
        <v>0</v>
      </c>
      <c r="I40" s="236"/>
      <c r="J40" s="236"/>
      <c r="K40" s="236"/>
      <c r="L40" s="236"/>
      <c r="M40" s="236"/>
      <c r="N40" s="236"/>
      <c r="T40" s="274"/>
    </row>
    <row r="41" spans="1:20" ht="13.15" customHeight="1" x14ac:dyDescent="0.25">
      <c r="A41" s="244"/>
      <c r="B41" s="239" t="s">
        <v>218</v>
      </c>
      <c r="C41" s="192"/>
      <c r="D41" s="533"/>
      <c r="E41" s="534"/>
      <c r="F41" s="269"/>
      <c r="G41" s="236"/>
      <c r="H41" s="236">
        <v>0</v>
      </c>
      <c r="I41" s="236"/>
      <c r="J41" s="236"/>
      <c r="K41" s="236"/>
      <c r="L41" s="236"/>
      <c r="M41" s="236"/>
      <c r="N41" s="236"/>
      <c r="T41" s="274"/>
    </row>
    <row r="42" spans="1:20" ht="13.15" customHeight="1" thickBot="1" x14ac:dyDescent="0.3">
      <c r="A42" s="244"/>
      <c r="B42" s="239"/>
      <c r="C42" s="192"/>
      <c r="D42" s="533"/>
      <c r="E42" s="534"/>
      <c r="F42" s="269"/>
      <c r="G42" s="236"/>
      <c r="H42" s="236"/>
      <c r="I42" s="236"/>
      <c r="J42" s="236"/>
      <c r="K42" s="236"/>
      <c r="L42" s="236"/>
      <c r="M42" s="236"/>
      <c r="N42" s="236"/>
      <c r="T42" s="274"/>
    </row>
    <row r="43" spans="1:20" ht="45.75" thickBot="1" x14ac:dyDescent="0.3">
      <c r="A43" s="245"/>
      <c r="B43" s="240"/>
      <c r="C43" s="541" t="s">
        <v>219</v>
      </c>
      <c r="D43" s="542"/>
      <c r="E43" s="232" t="str">
        <f>+B1</f>
        <v>3325 Banks Rd, Raleigh, NC 27603</v>
      </c>
      <c r="F43" s="232"/>
      <c r="G43" s="234" t="s">
        <v>162</v>
      </c>
      <c r="H43" s="234" t="s">
        <v>163</v>
      </c>
      <c r="I43" s="289" t="s">
        <v>164</v>
      </c>
      <c r="J43" s="289" t="s">
        <v>165</v>
      </c>
      <c r="K43" s="280" t="str">
        <f t="shared" ref="K43:L43" si="0">+K1</f>
        <v>1900 Red Quartz</v>
      </c>
      <c r="L43" s="280" t="str">
        <f t="shared" si="0"/>
        <v>120 Keith</v>
      </c>
      <c r="M43" s="280" t="str">
        <f t="shared" ref="M43:S43" si="1">+M1</f>
        <v>3007 Eric</v>
      </c>
      <c r="N43" s="289" t="str">
        <f t="shared" si="1"/>
        <v>2153 Haig Point</v>
      </c>
      <c r="O43" s="280" t="str">
        <f t="shared" si="1"/>
        <v>178 Patricia</v>
      </c>
      <c r="P43" s="289" t="str">
        <f t="shared" si="1"/>
        <v>1201 Hazelnut</v>
      </c>
      <c r="Q43" s="280" t="str">
        <f t="shared" si="1"/>
        <v>1223 Roffler</v>
      </c>
      <c r="R43" s="280" t="str">
        <f t="shared" si="1"/>
        <v>2025 Metacomet</v>
      </c>
      <c r="S43" s="289" t="str">
        <f t="shared" si="1"/>
        <v xml:space="preserve">5619 Marthonna </v>
      </c>
      <c r="T43" s="274"/>
    </row>
    <row r="44" spans="1:20" ht="15.75" thickBot="1" x14ac:dyDescent="0.3">
      <c r="A44" s="245"/>
      <c r="B44" s="283" t="s">
        <v>220</v>
      </c>
      <c r="C44" s="284">
        <f>+SUM(E44:T44)</f>
        <v>4285329</v>
      </c>
      <c r="D44" s="284"/>
      <c r="E44" s="322">
        <f>+Profit!$B$4</f>
        <v>439000</v>
      </c>
      <c r="F44" s="371"/>
      <c r="G44" s="323">
        <v>285000</v>
      </c>
      <c r="H44" s="323">
        <v>689000</v>
      </c>
      <c r="I44" s="324">
        <v>258000</v>
      </c>
      <c r="J44" s="324">
        <v>210000</v>
      </c>
      <c r="K44" s="325">
        <v>423529</v>
      </c>
      <c r="L44" s="325">
        <v>330000</v>
      </c>
      <c r="M44" s="325">
        <v>299000</v>
      </c>
      <c r="N44" s="324">
        <v>363900</v>
      </c>
      <c r="O44" s="325">
        <v>210000</v>
      </c>
      <c r="P44" s="324">
        <v>237900</v>
      </c>
      <c r="Q44" s="325">
        <v>150000</v>
      </c>
      <c r="R44" s="325">
        <v>195000</v>
      </c>
      <c r="S44" s="326">
        <v>195000</v>
      </c>
      <c r="T44" s="274"/>
    </row>
    <row r="45" spans="1:20" x14ac:dyDescent="0.25">
      <c r="A45" s="245"/>
      <c r="B45" s="283" t="s">
        <v>221</v>
      </c>
      <c r="C45" s="284">
        <f>+SUM(E45:$T$45)</f>
        <v>1182457.5279111112</v>
      </c>
      <c r="D45" s="284"/>
      <c r="E45" s="317">
        <f>+Profit!K27</f>
        <v>147682.86124999999</v>
      </c>
      <c r="F45" s="374"/>
      <c r="G45" s="318">
        <v>0</v>
      </c>
      <c r="H45" s="318">
        <v>-334733.86333888886</v>
      </c>
      <c r="I45" s="319">
        <v>102500</v>
      </c>
      <c r="J45" s="319">
        <v>127000</v>
      </c>
      <c r="K45" s="320">
        <v>174585.47</v>
      </c>
      <c r="L45" s="320">
        <v>85975.790000000008</v>
      </c>
      <c r="M45" s="320">
        <v>167033.66</v>
      </c>
      <c r="N45" s="319">
        <v>220000</v>
      </c>
      <c r="O45" s="320">
        <v>107061.9</v>
      </c>
      <c r="P45" s="319">
        <v>74709</v>
      </c>
      <c r="Q45" s="320">
        <v>71644.86</v>
      </c>
      <c r="R45" s="320">
        <v>110309.86</v>
      </c>
      <c r="S45" s="321">
        <v>128687.99</v>
      </c>
      <c r="T45" s="274"/>
    </row>
    <row r="46" spans="1:20" ht="15.75" thickBot="1" x14ac:dyDescent="0.3">
      <c r="A46" s="245"/>
      <c r="B46" s="285" t="s">
        <v>222</v>
      </c>
      <c r="C46" s="286">
        <f>+SUM(E46:T46)</f>
        <v>717651.49335412495</v>
      </c>
      <c r="D46" s="286"/>
      <c r="E46" s="287">
        <f>+Profit!B30</f>
        <v>31424.184000000001</v>
      </c>
      <c r="F46" s="382"/>
      <c r="G46" s="383">
        <v>94360</v>
      </c>
      <c r="H46" s="383">
        <v>115791.7062</v>
      </c>
      <c r="I46" s="384">
        <v>131036.71900000001</v>
      </c>
      <c r="J46" s="384">
        <v>15000</v>
      </c>
      <c r="K46" s="385">
        <v>12223</v>
      </c>
      <c r="L46" s="385">
        <v>82805.727499999994</v>
      </c>
      <c r="M46" s="385">
        <v>38679.380000000005</v>
      </c>
      <c r="N46" s="384">
        <v>27507.698</v>
      </c>
      <c r="O46" s="385">
        <v>47760.57</v>
      </c>
      <c r="P46" s="384">
        <v>71081.80715412501</v>
      </c>
      <c r="Q46" s="385">
        <v>6302.96</v>
      </c>
      <c r="R46" s="385">
        <v>20425.14</v>
      </c>
      <c r="S46" s="290">
        <v>23252.601500000001</v>
      </c>
      <c r="T46" s="229"/>
    </row>
    <row r="47" spans="1:20" x14ac:dyDescent="0.25">
      <c r="A47" s="245"/>
      <c r="B47" s="386" t="s">
        <v>223</v>
      </c>
      <c r="C47" s="387">
        <f>+SUM(E47:T47)</f>
        <v>200037.72999999998</v>
      </c>
      <c r="D47" s="286"/>
      <c r="E47" s="287">
        <f>+SUM(Profit!C13:C17)+Profit!E29</f>
        <v>200037.72999999998</v>
      </c>
      <c r="F47" s="382"/>
      <c r="G47" s="383"/>
      <c r="H47" s="383"/>
      <c r="I47" s="384"/>
      <c r="J47" s="384"/>
      <c r="K47" s="385"/>
      <c r="L47" s="385"/>
      <c r="M47" s="385"/>
      <c r="N47" s="384"/>
      <c r="O47" s="385"/>
      <c r="P47" s="384"/>
      <c r="Q47" s="385"/>
      <c r="R47" s="385"/>
      <c r="S47" s="290"/>
      <c r="T47" s="229"/>
    </row>
    <row r="48" spans="1:20" x14ac:dyDescent="0.25">
      <c r="A48" s="245"/>
      <c r="B48" s="285" t="s">
        <v>224</v>
      </c>
      <c r="C48" s="286">
        <f ca="1">+SUM(E48:T48)</f>
        <v>1257.3534883720936</v>
      </c>
      <c r="D48" s="286"/>
      <c r="E48" s="287">
        <f ca="1">+Profit!B27/Profit!B20</f>
        <v>1257.2534883720937</v>
      </c>
      <c r="F48" s="382"/>
      <c r="G48" s="383">
        <v>0</v>
      </c>
      <c r="H48" s="383">
        <v>0.1</v>
      </c>
      <c r="I48" s="384"/>
      <c r="J48" s="384"/>
      <c r="K48" s="385"/>
      <c r="L48" s="385"/>
      <c r="M48" s="385"/>
      <c r="N48" s="384"/>
      <c r="O48" s="385"/>
      <c r="P48" s="384"/>
      <c r="Q48" s="385"/>
      <c r="R48" s="385"/>
      <c r="S48" s="290"/>
      <c r="T48" s="229"/>
    </row>
    <row r="49" spans="1:20" x14ac:dyDescent="0.25">
      <c r="A49" s="245"/>
      <c r="B49" s="285" t="s">
        <v>225</v>
      </c>
      <c r="C49" s="286">
        <f>+SUM(E49:N49)</f>
        <v>0</v>
      </c>
      <c r="D49" s="286"/>
      <c r="E49" s="287">
        <f>+Profit!H9</f>
        <v>0</v>
      </c>
      <c r="F49" s="382"/>
      <c r="G49" s="383">
        <v>0</v>
      </c>
      <c r="H49" s="383">
        <v>0</v>
      </c>
      <c r="I49" s="384"/>
      <c r="J49" s="384"/>
      <c r="K49" s="385"/>
      <c r="L49" s="385"/>
      <c r="M49" s="385"/>
      <c r="N49" s="384"/>
      <c r="O49" s="385"/>
      <c r="P49" s="384"/>
      <c r="Q49" s="385"/>
      <c r="R49" s="385"/>
      <c r="S49" s="290"/>
      <c r="T49" s="229"/>
    </row>
    <row r="50" spans="1:20" ht="15.75" thickBot="1" x14ac:dyDescent="0.3">
      <c r="A50" s="245"/>
      <c r="B50" s="233" t="s">
        <v>226</v>
      </c>
      <c r="C50" s="226">
        <f ca="1">+SUM($E$50:$T$50)</f>
        <v>863520.08392912499</v>
      </c>
      <c r="D50" s="226"/>
      <c r="E50" s="288">
        <f ca="1">+Profit!K45</f>
        <v>128758.42599999998</v>
      </c>
      <c r="F50" s="382"/>
      <c r="G50" s="383">
        <v>94360</v>
      </c>
      <c r="H50" s="383">
        <v>164326.054775</v>
      </c>
      <c r="I50" s="384">
        <v>131036.71900000001</v>
      </c>
      <c r="J50" s="384">
        <v>15000</v>
      </c>
      <c r="K50" s="385">
        <v>12223</v>
      </c>
      <c r="L50" s="385">
        <v>82805.727499999994</v>
      </c>
      <c r="M50" s="385">
        <v>38679.380000000005</v>
      </c>
      <c r="N50" s="384">
        <v>27507.698</v>
      </c>
      <c r="O50" s="385">
        <v>47760.57</v>
      </c>
      <c r="P50" s="384">
        <v>71081.80715412501</v>
      </c>
      <c r="Q50" s="385">
        <v>6302.96</v>
      </c>
      <c r="R50" s="385">
        <v>20425.14</v>
      </c>
      <c r="S50" s="290">
        <v>23252.601500000001</v>
      </c>
      <c r="T50" s="229"/>
    </row>
    <row r="51" spans="1:20" ht="15.75" thickBot="1" x14ac:dyDescent="0.3">
      <c r="A51" s="245"/>
      <c r="B51" s="233" t="s">
        <v>227</v>
      </c>
      <c r="C51" s="226">
        <f ca="1">+SUM($E$51:$T$51)</f>
        <v>28346.646400000001</v>
      </c>
      <c r="D51" s="226"/>
      <c r="E51" s="288">
        <f ca="1">+E50*0.1</f>
        <v>12875.842599999998</v>
      </c>
      <c r="F51" s="226"/>
      <c r="G51" s="230"/>
      <c r="H51" s="230"/>
      <c r="I51" s="292"/>
      <c r="J51" s="292"/>
      <c r="K51" s="281">
        <v>15470.803800000003</v>
      </c>
      <c r="L51" s="281"/>
      <c r="M51" s="281"/>
      <c r="N51" s="292"/>
      <c r="O51" s="281"/>
      <c r="P51" s="292"/>
      <c r="Q51" s="281"/>
      <c r="R51" s="281"/>
      <c r="S51" s="292"/>
      <c r="T51" s="229"/>
    </row>
    <row r="52" spans="1:20" ht="15.75" thickBot="1" x14ac:dyDescent="0.3">
      <c r="A52" s="245"/>
      <c r="B52" s="233" t="s">
        <v>228</v>
      </c>
      <c r="C52" s="543">
        <f>+AVERAGE(E44:S44)</f>
        <v>306094.92857142858</v>
      </c>
      <c r="D52" s="451"/>
      <c r="E52" s="282"/>
      <c r="F52" s="226"/>
      <c r="G52" s="230"/>
      <c r="H52" s="230"/>
      <c r="I52" s="230"/>
      <c r="J52" s="230"/>
      <c r="K52" s="230"/>
      <c r="L52" s="230"/>
      <c r="M52" s="230"/>
      <c r="N52" s="230"/>
      <c r="O52" s="230"/>
      <c r="P52" s="230"/>
      <c r="Q52" s="230"/>
      <c r="R52" s="230"/>
      <c r="S52" s="230"/>
      <c r="T52" s="231"/>
    </row>
    <row r="53" spans="1:20" ht="15.75" thickBot="1" x14ac:dyDescent="0.3">
      <c r="A53" s="245"/>
      <c r="B53" s="233" t="s">
        <v>229</v>
      </c>
      <c r="C53" s="543">
        <f>+AVERAGE(E45:S45)</f>
        <v>84461.251993650803</v>
      </c>
      <c r="D53" s="451"/>
      <c r="E53" s="190"/>
      <c r="F53" s="190"/>
      <c r="G53" s="190"/>
      <c r="H53" s="190"/>
      <c r="L53" s="541" t="s">
        <v>230</v>
      </c>
      <c r="M53" s="544"/>
      <c r="N53" s="544"/>
      <c r="O53" s="542"/>
    </row>
    <row r="54" spans="1:20" ht="15.75" thickBot="1" x14ac:dyDescent="0.3">
      <c r="A54" s="245"/>
      <c r="B54" s="233" t="s">
        <v>231</v>
      </c>
      <c r="C54" s="543">
        <f>+AVERAGE(E46:S46)</f>
        <v>51260.820953866067</v>
      </c>
      <c r="D54" s="451"/>
      <c r="L54" s="545" t="s">
        <v>232</v>
      </c>
      <c r="M54" s="546"/>
      <c r="N54" s="546"/>
      <c r="O54" s="547"/>
    </row>
    <row r="55" spans="1:20" ht="15.75" thickBot="1" x14ac:dyDescent="0.3">
      <c r="B55" s="233" t="s">
        <v>233</v>
      </c>
      <c r="C55" s="543">
        <f ca="1">+AVERAGE(D50:S50)</f>
        <v>61680.005994937499</v>
      </c>
      <c r="D55" s="451"/>
      <c r="L55" s="548" t="s">
        <v>234</v>
      </c>
      <c r="M55" s="549"/>
      <c r="N55" s="549"/>
      <c r="O55" s="550"/>
    </row>
    <row r="57" spans="1:20" x14ac:dyDescent="0.25">
      <c r="G57" s="291"/>
      <c r="H57" s="291"/>
    </row>
  </sheetData>
  <mergeCells count="49">
    <mergeCell ref="C55:D55"/>
    <mergeCell ref="L53:O53"/>
    <mergeCell ref="L54:O54"/>
    <mergeCell ref="L55:O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S41"/>
  <sheetViews>
    <sheetView workbookViewId="0">
      <pane ySplit="1" topLeftCell="A2" activePane="bottomLeft" state="frozen"/>
      <selection pane="bottomLeft" activeCell="D20" sqref="D20"/>
    </sheetView>
  </sheetViews>
  <sheetFormatPr defaultRowHeight="15" x14ac:dyDescent="0.25"/>
  <cols>
    <col min="1" max="1" width="47.140625" style="2" bestFit="1" customWidth="1"/>
    <col min="2" max="2" width="25.28515625" style="2" bestFit="1" customWidth="1"/>
    <col min="3" max="3" width="16.42578125" style="25" bestFit="1" customWidth="1"/>
    <col min="4" max="4" width="20.42578125" style="2" bestFit="1" customWidth="1"/>
    <col min="5" max="5" width="36" style="25" customWidth="1"/>
    <col min="6" max="6" width="9.85546875" customWidth="1"/>
    <col min="9" max="9" width="33.140625" bestFit="1" customWidth="1"/>
    <col min="14" max="14" width="22.7109375" bestFit="1" customWidth="1"/>
    <col min="15" max="15" width="10.5703125" bestFit="1" customWidth="1"/>
    <col min="16" max="16" width="17.7109375" bestFit="1" customWidth="1"/>
    <col min="17" max="17" width="10.5703125" bestFit="1" customWidth="1"/>
    <col min="18" max="18" width="18.28515625" bestFit="1" customWidth="1"/>
    <col min="21" max="21" width="34.5703125" bestFit="1" customWidth="1"/>
    <col min="22" max="22" width="4.5703125" bestFit="1" customWidth="1"/>
    <col min="23" max="23" width="10.5703125" bestFit="1" customWidth="1"/>
    <col min="25" max="25" width="5" bestFit="1" customWidth="1"/>
  </cols>
  <sheetData>
    <row r="1" spans="1:19" s="3" customFormat="1" x14ac:dyDescent="0.25">
      <c r="A1" s="3" t="s">
        <v>235</v>
      </c>
      <c r="B1" s="3" t="s">
        <v>236</v>
      </c>
      <c r="C1" s="33" t="s">
        <v>237</v>
      </c>
      <c r="D1" s="31" t="s">
        <v>238</v>
      </c>
      <c r="E1" s="33" t="s">
        <v>239</v>
      </c>
      <c r="F1" s="3" t="s">
        <v>240</v>
      </c>
    </row>
    <row r="2" spans="1:19" s="3" customFormat="1" x14ac:dyDescent="0.25">
      <c r="A2" s="2"/>
      <c r="B2" s="2"/>
      <c r="C2" s="25" t="s">
        <v>241</v>
      </c>
      <c r="D2" s="31" t="s">
        <v>242</v>
      </c>
      <c r="E2" s="25"/>
    </row>
    <row r="3" spans="1:19" s="3" customFormat="1" x14ac:dyDescent="0.25">
      <c r="A3" s="2"/>
      <c r="B3" s="31"/>
      <c r="C3" s="25" t="s">
        <v>243</v>
      </c>
      <c r="D3" s="31" t="s">
        <v>244</v>
      </c>
      <c r="E3" s="33" t="s">
        <v>245</v>
      </c>
    </row>
    <row r="4" spans="1:19" s="3" customFormat="1" x14ac:dyDescent="0.25">
      <c r="A4" s="2"/>
      <c r="B4" s="31"/>
      <c r="C4" s="25"/>
      <c r="D4" s="31"/>
      <c r="E4" s="33"/>
    </row>
    <row r="5" spans="1:19" x14ac:dyDescent="0.25">
      <c r="A5" s="2" t="s">
        <v>246</v>
      </c>
      <c r="B5" s="2" t="s">
        <v>247</v>
      </c>
      <c r="C5" s="25" t="s">
        <v>248</v>
      </c>
      <c r="F5" t="s">
        <v>249</v>
      </c>
      <c r="O5" t="s">
        <v>250</v>
      </c>
      <c r="P5" t="s">
        <v>251</v>
      </c>
      <c r="Q5" t="s">
        <v>252</v>
      </c>
      <c r="R5" t="s">
        <v>253</v>
      </c>
      <c r="S5" t="s">
        <v>254</v>
      </c>
    </row>
    <row r="6" spans="1:19" x14ac:dyDescent="0.25">
      <c r="A6" s="2" t="s">
        <v>255</v>
      </c>
      <c r="B6" s="2" t="s">
        <v>256</v>
      </c>
      <c r="C6" s="25" t="s">
        <v>257</v>
      </c>
      <c r="E6" s="28" t="s">
        <v>258</v>
      </c>
      <c r="F6" t="s">
        <v>259</v>
      </c>
      <c r="N6" t="s">
        <v>260</v>
      </c>
      <c r="O6" t="s">
        <v>122</v>
      </c>
      <c r="P6" t="s">
        <v>122</v>
      </c>
      <c r="R6" t="s">
        <v>122</v>
      </c>
    </row>
    <row r="7" spans="1:19" x14ac:dyDescent="0.25">
      <c r="B7" s="2" t="s">
        <v>261</v>
      </c>
      <c r="E7" s="28" t="s">
        <v>262</v>
      </c>
      <c r="F7" t="s">
        <v>263</v>
      </c>
      <c r="N7" t="s">
        <v>46</v>
      </c>
      <c r="P7" t="s">
        <v>122</v>
      </c>
    </row>
    <row r="8" spans="1:19" x14ac:dyDescent="0.25">
      <c r="A8" s="2" t="s">
        <v>264</v>
      </c>
      <c r="B8" s="2" t="s">
        <v>265</v>
      </c>
      <c r="C8" s="25" t="s">
        <v>266</v>
      </c>
      <c r="F8" t="s">
        <v>267</v>
      </c>
      <c r="I8" t="s">
        <v>268</v>
      </c>
      <c r="N8" t="s">
        <v>269</v>
      </c>
      <c r="P8" t="s">
        <v>122</v>
      </c>
    </row>
    <row r="9" spans="1:19" x14ac:dyDescent="0.25">
      <c r="A9" s="2" t="s">
        <v>270</v>
      </c>
      <c r="B9" s="2" t="s">
        <v>271</v>
      </c>
      <c r="C9" s="25" t="s">
        <v>272</v>
      </c>
      <c r="E9" s="28" t="s">
        <v>273</v>
      </c>
      <c r="F9" t="s">
        <v>267</v>
      </c>
      <c r="I9" t="s">
        <v>268</v>
      </c>
      <c r="N9" t="s">
        <v>274</v>
      </c>
      <c r="P9" t="s">
        <v>122</v>
      </c>
    </row>
    <row r="10" spans="1:19" x14ac:dyDescent="0.25">
      <c r="A10" s="2" t="s">
        <v>275</v>
      </c>
      <c r="B10" s="2" t="s">
        <v>276</v>
      </c>
      <c r="C10" s="25" t="s">
        <v>277</v>
      </c>
      <c r="F10" t="s">
        <v>278</v>
      </c>
      <c r="I10" t="s">
        <v>279</v>
      </c>
      <c r="J10" t="s">
        <v>280</v>
      </c>
      <c r="N10" t="s">
        <v>260</v>
      </c>
      <c r="O10" t="s">
        <v>122</v>
      </c>
      <c r="P10" t="s">
        <v>122</v>
      </c>
      <c r="R10" t="s">
        <v>122</v>
      </c>
    </row>
    <row r="11" spans="1:19" x14ac:dyDescent="0.25">
      <c r="A11" s="2" t="s">
        <v>281</v>
      </c>
      <c r="B11" s="2" t="s">
        <v>282</v>
      </c>
      <c r="C11" s="2"/>
      <c r="D11" s="376"/>
      <c r="E11" s="28" t="s">
        <v>283</v>
      </c>
      <c r="H11" s="25"/>
      <c r="I11" s="25"/>
      <c r="N11" t="s">
        <v>46</v>
      </c>
      <c r="P11" t="s">
        <v>122</v>
      </c>
    </row>
    <row r="12" spans="1:19" x14ac:dyDescent="0.25">
      <c r="N12" t="s">
        <v>269</v>
      </c>
      <c r="P12" t="s">
        <v>122</v>
      </c>
    </row>
    <row r="13" spans="1:19" x14ac:dyDescent="0.25">
      <c r="A13" s="2" t="s">
        <v>284</v>
      </c>
      <c r="B13" s="2" t="s">
        <v>285</v>
      </c>
      <c r="C13" s="25" t="s">
        <v>286</v>
      </c>
      <c r="E13" s="28" t="s">
        <v>287</v>
      </c>
      <c r="N13" t="s">
        <v>274</v>
      </c>
      <c r="P13" t="s">
        <v>122</v>
      </c>
    </row>
    <row r="14" spans="1:19" x14ac:dyDescent="0.25">
      <c r="A14" s="2" t="s">
        <v>288</v>
      </c>
      <c r="B14" s="2" t="s">
        <v>289</v>
      </c>
      <c r="E14" s="28" t="s">
        <v>290</v>
      </c>
      <c r="N14" t="s">
        <v>260</v>
      </c>
      <c r="S14" t="s">
        <v>122</v>
      </c>
    </row>
    <row r="15" spans="1:19" x14ac:dyDescent="0.25">
      <c r="C15" s="29"/>
      <c r="N15" t="s">
        <v>46</v>
      </c>
      <c r="S15" t="s">
        <v>122</v>
      </c>
    </row>
    <row r="16" spans="1:19" x14ac:dyDescent="0.25">
      <c r="A16" s="224"/>
      <c r="C16" s="29"/>
      <c r="N16" t="s">
        <v>269</v>
      </c>
      <c r="S16" t="s">
        <v>122</v>
      </c>
    </row>
    <row r="17" spans="1:19" x14ac:dyDescent="0.25">
      <c r="N17" t="s">
        <v>274</v>
      </c>
      <c r="S17" t="s">
        <v>122</v>
      </c>
    </row>
    <row r="18" spans="1:19" x14ac:dyDescent="0.25">
      <c r="A18" s="2" t="s">
        <v>291</v>
      </c>
      <c r="B18" s="2" t="s">
        <v>292</v>
      </c>
      <c r="E18" s="28"/>
    </row>
    <row r="19" spans="1:19" x14ac:dyDescent="0.25">
      <c r="B19" s="2" t="s">
        <v>293</v>
      </c>
      <c r="E19" s="28" t="s">
        <v>294</v>
      </c>
      <c r="F19" t="s">
        <v>295</v>
      </c>
    </row>
    <row r="20" spans="1:19" x14ac:dyDescent="0.25">
      <c r="A20" s="33" t="s">
        <v>296</v>
      </c>
      <c r="B20" s="2" t="s">
        <v>297</v>
      </c>
      <c r="D20" s="2" t="s">
        <v>298</v>
      </c>
      <c r="E20" s="28" t="s">
        <v>299</v>
      </c>
    </row>
    <row r="21" spans="1:19" x14ac:dyDescent="0.25">
      <c r="E21" s="28" t="s">
        <v>300</v>
      </c>
    </row>
    <row r="22" spans="1:19" x14ac:dyDescent="0.25">
      <c r="E22" s="28" t="s">
        <v>301</v>
      </c>
    </row>
    <row r="23" spans="1:19" x14ac:dyDescent="0.25">
      <c r="E23" s="28" t="s">
        <v>302</v>
      </c>
    </row>
    <row r="24" spans="1:19" x14ac:dyDescent="0.25">
      <c r="E24" s="28" t="s">
        <v>303</v>
      </c>
    </row>
    <row r="25" spans="1:19" x14ac:dyDescent="0.25">
      <c r="E25" s="28"/>
    </row>
    <row r="26" spans="1:19" x14ac:dyDescent="0.25">
      <c r="A26" s="2" t="s">
        <v>304</v>
      </c>
      <c r="B26" s="2" t="s">
        <v>305</v>
      </c>
      <c r="C26" s="25" t="s">
        <v>306</v>
      </c>
      <c r="E26" s="25" t="s">
        <v>307</v>
      </c>
    </row>
    <row r="27" spans="1:19" x14ac:dyDescent="0.25">
      <c r="A27" s="2" t="s">
        <v>241</v>
      </c>
      <c r="D27" s="2" t="s">
        <v>308</v>
      </c>
    </row>
    <row r="28" spans="1:19" x14ac:dyDescent="0.25">
      <c r="A28" s="2" t="s">
        <v>243</v>
      </c>
      <c r="D28" s="2" t="s">
        <v>309</v>
      </c>
    </row>
    <row r="30" spans="1:19" x14ac:dyDescent="0.25">
      <c r="A30" s="2" t="s">
        <v>310</v>
      </c>
      <c r="B30" s="34" t="s">
        <v>311</v>
      </c>
      <c r="C30" s="25" t="s">
        <v>312</v>
      </c>
      <c r="D30" s="2" t="s">
        <v>313</v>
      </c>
      <c r="E30" s="19" t="s">
        <v>314</v>
      </c>
    </row>
    <row r="31" spans="1:19" x14ac:dyDescent="0.25">
      <c r="A31" s="2" t="s">
        <v>315</v>
      </c>
      <c r="E31" s="25" t="s">
        <v>316</v>
      </c>
    </row>
    <row r="33" spans="1:6" x14ac:dyDescent="0.25">
      <c r="A33" s="2" t="s">
        <v>317</v>
      </c>
      <c r="B33" s="2" t="s">
        <v>318</v>
      </c>
      <c r="E33" s="28"/>
      <c r="F33" s="19"/>
    </row>
    <row r="34" spans="1:6" x14ac:dyDescent="0.25">
      <c r="A34" s="2" t="s">
        <v>319</v>
      </c>
      <c r="B34" s="2" t="s">
        <v>320</v>
      </c>
    </row>
    <row r="35" spans="1:6" x14ac:dyDescent="0.25">
      <c r="A35" s="2" t="s">
        <v>321</v>
      </c>
      <c r="B35" s="2">
        <v>1.1200000000000001</v>
      </c>
    </row>
    <row r="41" spans="1:6" x14ac:dyDescent="0.25">
      <c r="A41" s="25"/>
    </row>
  </sheetData>
  <hyperlinks>
    <hyperlink ref="E6" r:id="rId1" xr:uid="{8C83B00F-AC3F-4EEF-89E8-6B47BC3A3BB6}"/>
    <hyperlink ref="E7" r:id="rId2" xr:uid="{6C24B27F-AC8D-4444-9586-E4DF3637ED0E}"/>
    <hyperlink ref="E9" r:id="rId3" xr:uid="{0A0AD2FA-637A-4E14-A51A-A7A4A3383AD0}"/>
    <hyperlink ref="E14" r:id="rId4" xr:uid="{D3FA03CC-F7EB-4151-8F17-7DDF196E1CBC}"/>
    <hyperlink ref="E13" r:id="rId5" xr:uid="{45C5F4A4-880B-42C5-9318-425CF6267ECB}"/>
    <hyperlink ref="E30" r:id="rId6" xr:uid="{AB94FB7C-6245-45BD-AA6A-897D75AF05EE}"/>
    <hyperlink ref="E11" r:id="rId7" xr:uid="{F572C88F-C1CC-4FC3-BD8A-459FEB189139}"/>
    <hyperlink ref="E20" r:id="rId8" xr:uid="{0A8CB5EF-2F49-4B4F-8B3A-574BCFDC7353}"/>
  </hyperlink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23A59-49E8-4164-BF93-A006E514040E}">
  <sheetPr>
    <tabColor rgb="FFFF0000"/>
  </sheetPr>
  <dimension ref="A1:Q88"/>
  <sheetViews>
    <sheetView tabSelected="1" workbookViewId="0">
      <pane ySplit="3" topLeftCell="A28" activePane="bottomLeft" state="frozen"/>
      <selection pane="bottomLeft" activeCell="D49" sqref="D49"/>
    </sheetView>
  </sheetViews>
  <sheetFormatPr defaultRowHeight="15" x14ac:dyDescent="0.25"/>
  <cols>
    <col min="1" max="1" width="12.7109375" bestFit="1" customWidth="1"/>
    <col min="2" max="2" width="10.7109375" bestFit="1" customWidth="1"/>
    <col min="6" max="6" width="10.7109375" bestFit="1" customWidth="1"/>
    <col min="8" max="8" width="10.140625" bestFit="1" customWidth="1"/>
    <col min="10" max="10" width="10.7109375" bestFit="1" customWidth="1"/>
    <col min="14" max="14" width="9.7109375" bestFit="1" customWidth="1"/>
  </cols>
  <sheetData>
    <row r="1" spans="1:17" x14ac:dyDescent="0.25">
      <c r="A1" s="511" t="s">
        <v>322</v>
      </c>
      <c r="B1" s="511"/>
      <c r="C1" s="511"/>
      <c r="D1" s="511"/>
      <c r="E1" s="511" t="s">
        <v>323</v>
      </c>
      <c r="F1" s="511"/>
      <c r="G1" s="511"/>
      <c r="H1" s="511"/>
      <c r="J1" s="511" t="s">
        <v>324</v>
      </c>
      <c r="K1" s="511"/>
      <c r="L1" s="511"/>
      <c r="M1" s="511"/>
      <c r="N1" s="511" t="s">
        <v>325</v>
      </c>
      <c r="O1" s="511"/>
      <c r="P1" s="511"/>
      <c r="Q1" s="511"/>
    </row>
    <row r="3" spans="1:17" x14ac:dyDescent="0.25">
      <c r="A3" s="3" t="s">
        <v>326</v>
      </c>
      <c r="B3" s="3" t="s">
        <v>327</v>
      </c>
      <c r="C3" s="13" t="s">
        <v>328</v>
      </c>
      <c r="D3" s="3"/>
      <c r="E3" s="3"/>
      <c r="F3" s="3" t="s">
        <v>327</v>
      </c>
      <c r="G3" s="13" t="s">
        <v>329</v>
      </c>
      <c r="H3" s="3"/>
      <c r="J3" s="3" t="s">
        <v>327</v>
      </c>
      <c r="K3" s="13" t="s">
        <v>329</v>
      </c>
      <c r="L3" s="3"/>
      <c r="N3" s="3" t="s">
        <v>327</v>
      </c>
      <c r="O3" s="13" t="s">
        <v>329</v>
      </c>
      <c r="P3" s="3"/>
    </row>
    <row r="4" spans="1:17" x14ac:dyDescent="0.25">
      <c r="A4" s="2"/>
      <c r="C4" s="14"/>
      <c r="D4" s="14"/>
      <c r="E4" s="2"/>
      <c r="G4" s="14"/>
      <c r="H4" s="14"/>
      <c r="K4" s="14"/>
      <c r="L4" s="14"/>
      <c r="O4" s="14"/>
      <c r="P4" s="14"/>
    </row>
    <row r="5" spans="1:17" x14ac:dyDescent="0.25">
      <c r="A5" s="2" t="s">
        <v>330</v>
      </c>
      <c r="B5" s="12">
        <v>44482</v>
      </c>
      <c r="C5" s="14">
        <v>114.72</v>
      </c>
      <c r="D5" s="14"/>
      <c r="E5" s="2"/>
      <c r="F5" s="12">
        <v>44405</v>
      </c>
      <c r="G5" s="14">
        <v>724.38</v>
      </c>
      <c r="H5" s="14"/>
      <c r="J5" s="12">
        <v>44565</v>
      </c>
      <c r="K5" s="14">
        <v>149.79</v>
      </c>
      <c r="L5" s="14"/>
      <c r="N5" s="12" t="s">
        <v>178</v>
      </c>
      <c r="O5" s="14"/>
      <c r="P5" s="14"/>
    </row>
    <row r="6" spans="1:17" x14ac:dyDescent="0.25">
      <c r="A6" s="2"/>
      <c r="B6" s="12">
        <f>+B5+30</f>
        <v>44512</v>
      </c>
      <c r="C6" s="14">
        <v>30.06</v>
      </c>
      <c r="D6" s="14"/>
      <c r="E6" s="2"/>
      <c r="F6" s="12">
        <v>44440</v>
      </c>
      <c r="G6" s="14">
        <v>748.17</v>
      </c>
      <c r="H6" s="14"/>
      <c r="J6" s="12">
        <v>44599</v>
      </c>
      <c r="K6" s="14">
        <v>149.79</v>
      </c>
      <c r="L6" s="14"/>
      <c r="N6" s="12"/>
      <c r="O6" s="14"/>
      <c r="P6" s="14"/>
    </row>
    <row r="7" spans="1:17" x14ac:dyDescent="0.25">
      <c r="A7" s="2"/>
      <c r="B7" s="12">
        <v>44571</v>
      </c>
      <c r="C7" s="14">
        <v>30.21</v>
      </c>
      <c r="D7" s="14"/>
      <c r="E7" s="2"/>
      <c r="F7" s="12">
        <v>44461</v>
      </c>
      <c r="G7" s="14">
        <v>748.17</v>
      </c>
      <c r="H7" s="14"/>
      <c r="J7" s="12">
        <v>44627</v>
      </c>
      <c r="K7" s="14">
        <v>149.79</v>
      </c>
      <c r="L7" s="14"/>
      <c r="N7" s="12"/>
      <c r="O7" s="14"/>
      <c r="P7" s="14"/>
    </row>
    <row r="8" spans="1:17" x14ac:dyDescent="0.25">
      <c r="A8" s="2"/>
      <c r="B8" s="12">
        <f t="shared" ref="B8:B26" si="0">+B7+30</f>
        <v>44601</v>
      </c>
      <c r="C8" s="14">
        <v>30.21</v>
      </c>
      <c r="D8" s="14"/>
      <c r="E8" s="2"/>
      <c r="F8" s="12">
        <v>44504</v>
      </c>
      <c r="G8" s="14">
        <v>748.17</v>
      </c>
      <c r="H8" s="14"/>
      <c r="J8" s="12">
        <v>44656</v>
      </c>
      <c r="K8" s="14">
        <v>149.79</v>
      </c>
      <c r="L8" s="14"/>
      <c r="N8" s="12"/>
      <c r="O8" s="14"/>
      <c r="P8" s="14"/>
    </row>
    <row r="9" spans="1:17" x14ac:dyDescent="0.25">
      <c r="A9" s="2"/>
      <c r="B9" s="12">
        <f t="shared" si="0"/>
        <v>44631</v>
      </c>
      <c r="C9" s="14">
        <v>30.39</v>
      </c>
      <c r="D9" s="14"/>
      <c r="E9" s="2"/>
      <c r="F9" s="12">
        <v>44524</v>
      </c>
      <c r="G9" s="14">
        <v>748.17</v>
      </c>
      <c r="H9" s="14"/>
      <c r="J9" s="12">
        <f t="shared" ref="J9:J21" si="1">+J8+30</f>
        <v>44686</v>
      </c>
      <c r="K9" s="14">
        <v>149.79</v>
      </c>
      <c r="L9" s="14"/>
      <c r="N9" s="12"/>
      <c r="O9" s="14"/>
      <c r="P9" s="14"/>
    </row>
    <row r="10" spans="1:17" x14ac:dyDescent="0.25">
      <c r="A10" s="2"/>
      <c r="B10" s="12">
        <v>44648</v>
      </c>
      <c r="C10" s="14">
        <v>30.31</v>
      </c>
      <c r="D10" s="14"/>
      <c r="E10" s="2"/>
      <c r="F10" s="12">
        <v>44546</v>
      </c>
      <c r="G10" s="14">
        <v>748.17</v>
      </c>
      <c r="H10" s="14"/>
      <c r="J10" s="12">
        <v>44713</v>
      </c>
      <c r="K10" s="14">
        <v>149.79</v>
      </c>
      <c r="L10" s="14"/>
      <c r="N10" s="12"/>
      <c r="O10" s="14"/>
      <c r="P10" s="14"/>
    </row>
    <row r="11" spans="1:17" x14ac:dyDescent="0.25">
      <c r="A11" s="2"/>
      <c r="B11" s="12">
        <v>44712</v>
      </c>
      <c r="C11" s="14">
        <v>60.81</v>
      </c>
      <c r="D11" s="14"/>
      <c r="E11" s="2"/>
      <c r="F11" s="12">
        <v>44573</v>
      </c>
      <c r="G11" s="14">
        <v>748.17</v>
      </c>
      <c r="H11" s="14"/>
      <c r="J11" s="12">
        <f t="shared" si="1"/>
        <v>44743</v>
      </c>
      <c r="K11" s="14">
        <v>149.79</v>
      </c>
      <c r="L11" s="14"/>
      <c r="N11" s="12"/>
      <c r="O11" s="14"/>
      <c r="P11" s="14"/>
    </row>
    <row r="12" spans="1:17" x14ac:dyDescent="0.25">
      <c r="A12" s="2"/>
      <c r="B12" s="12">
        <v>44740</v>
      </c>
      <c r="C12" s="14">
        <v>30.39</v>
      </c>
      <c r="D12" s="14"/>
      <c r="E12" s="2"/>
      <c r="F12" s="12">
        <v>44588</v>
      </c>
      <c r="G12" s="14">
        <v>748.17</v>
      </c>
      <c r="H12" s="14"/>
      <c r="J12" s="12">
        <f t="shared" si="1"/>
        <v>44773</v>
      </c>
      <c r="K12" s="14">
        <v>149.79</v>
      </c>
      <c r="L12" s="14"/>
      <c r="N12" s="12"/>
      <c r="O12" s="14"/>
      <c r="P12" s="14"/>
    </row>
    <row r="13" spans="1:17" x14ac:dyDescent="0.25">
      <c r="A13" s="2"/>
      <c r="B13" s="12">
        <v>44776</v>
      </c>
      <c r="C13" s="14">
        <v>30.39</v>
      </c>
      <c r="D13" s="14"/>
      <c r="E13" s="2"/>
      <c r="F13" s="12">
        <v>44648</v>
      </c>
      <c r="G13" s="14">
        <v>748.17</v>
      </c>
      <c r="H13" s="14"/>
      <c r="J13" s="12">
        <v>44809</v>
      </c>
      <c r="K13" s="14">
        <v>149.79</v>
      </c>
      <c r="L13" s="14"/>
      <c r="N13" s="12"/>
      <c r="O13" s="14"/>
      <c r="P13" s="14"/>
    </row>
    <row r="14" spans="1:17" x14ac:dyDescent="0.25">
      <c r="A14" s="2"/>
      <c r="B14" s="12">
        <v>45041</v>
      </c>
      <c r="C14" s="14">
        <v>33.24</v>
      </c>
      <c r="D14" s="14"/>
      <c r="E14" s="2"/>
      <c r="F14" s="12">
        <v>44649</v>
      </c>
      <c r="G14" s="14">
        <v>748.17</v>
      </c>
      <c r="H14" s="14"/>
      <c r="J14" s="12">
        <f t="shared" si="1"/>
        <v>44839</v>
      </c>
      <c r="K14" s="14">
        <v>149.79</v>
      </c>
      <c r="L14" s="14"/>
      <c r="N14" s="12"/>
      <c r="O14" s="14"/>
      <c r="P14" s="14"/>
    </row>
    <row r="15" spans="1:17" x14ac:dyDescent="0.25">
      <c r="A15" s="2"/>
      <c r="B15" s="12">
        <v>45083</v>
      </c>
      <c r="C15" s="14">
        <v>30.61</v>
      </c>
      <c r="D15" s="14"/>
      <c r="E15" s="2"/>
      <c r="F15" s="12">
        <f t="shared" ref="F15:F17" si="2">+F16-30</f>
        <v>44667</v>
      </c>
      <c r="G15" s="14">
        <v>749.94</v>
      </c>
      <c r="H15" s="14"/>
      <c r="J15" s="12">
        <f t="shared" si="1"/>
        <v>44869</v>
      </c>
      <c r="K15" s="14">
        <v>149.79</v>
      </c>
      <c r="L15" s="14"/>
      <c r="N15" s="12"/>
      <c r="O15" s="14"/>
      <c r="P15" s="14"/>
    </row>
    <row r="16" spans="1:17" x14ac:dyDescent="0.25">
      <c r="A16" s="2"/>
      <c r="B16" s="12">
        <v>45135</v>
      </c>
      <c r="C16" s="14">
        <v>7.74</v>
      </c>
      <c r="D16" s="14"/>
      <c r="E16" s="2"/>
      <c r="F16" s="12">
        <v>44697</v>
      </c>
      <c r="G16" s="14">
        <v>749.94</v>
      </c>
      <c r="H16" s="14"/>
      <c r="J16" s="12">
        <f t="shared" si="1"/>
        <v>44899</v>
      </c>
      <c r="K16" s="14">
        <v>149.79</v>
      </c>
      <c r="L16" s="14"/>
      <c r="N16" s="12"/>
      <c r="O16" s="14"/>
      <c r="P16" s="14"/>
    </row>
    <row r="17" spans="1:16" x14ac:dyDescent="0.25">
      <c r="A17" s="2"/>
      <c r="B17" s="12">
        <v>45166</v>
      </c>
      <c r="C17" s="14">
        <v>25.86</v>
      </c>
      <c r="D17" s="14"/>
      <c r="E17" s="2"/>
      <c r="F17" s="12">
        <f t="shared" si="2"/>
        <v>44745</v>
      </c>
      <c r="G17" s="14">
        <v>748.17</v>
      </c>
      <c r="H17" s="14"/>
      <c r="J17" s="12">
        <f t="shared" si="1"/>
        <v>44929</v>
      </c>
      <c r="K17" s="14">
        <v>149.79</v>
      </c>
      <c r="L17" s="14"/>
      <c r="N17" s="12"/>
      <c r="O17" s="14"/>
      <c r="P17" s="14"/>
    </row>
    <row r="18" spans="1:16" x14ac:dyDescent="0.25">
      <c r="A18" s="2"/>
      <c r="B18" s="12">
        <v>45195</v>
      </c>
      <c r="C18" s="14">
        <v>31.48</v>
      </c>
      <c r="D18" s="14"/>
      <c r="E18" s="2"/>
      <c r="F18" s="12">
        <f>+F19-30</f>
        <v>44775</v>
      </c>
      <c r="G18" s="14">
        <v>748.17</v>
      </c>
      <c r="H18" s="14"/>
      <c r="J18" s="12">
        <f t="shared" si="1"/>
        <v>44959</v>
      </c>
      <c r="K18" s="14">
        <v>149.79</v>
      </c>
      <c r="L18" s="14"/>
      <c r="N18" s="12"/>
      <c r="O18" s="14"/>
      <c r="P18" s="14"/>
    </row>
    <row r="19" spans="1:16" x14ac:dyDescent="0.25">
      <c r="A19" s="2"/>
      <c r="B19" s="12">
        <f t="shared" si="0"/>
        <v>45225</v>
      </c>
      <c r="C19" s="14">
        <v>32.119999999999997</v>
      </c>
      <c r="D19" s="14"/>
      <c r="E19" s="2"/>
      <c r="F19" s="12">
        <v>44805</v>
      </c>
      <c r="G19" s="14">
        <v>748.17</v>
      </c>
      <c r="H19" s="14"/>
      <c r="J19" s="12">
        <f t="shared" si="1"/>
        <v>44989</v>
      </c>
      <c r="K19" s="14">
        <v>149.79</v>
      </c>
      <c r="L19" s="14"/>
      <c r="N19" s="12"/>
      <c r="O19" s="14"/>
      <c r="P19" s="14"/>
    </row>
    <row r="20" spans="1:16" x14ac:dyDescent="0.25">
      <c r="A20" s="2"/>
      <c r="B20" s="12">
        <v>45329</v>
      </c>
      <c r="C20" s="14">
        <v>18.739999999999998</v>
      </c>
      <c r="D20" s="14"/>
      <c r="E20" s="2"/>
      <c r="F20" s="12">
        <f>+F5+30</f>
        <v>44435</v>
      </c>
      <c r="G20" s="14">
        <v>751.63</v>
      </c>
      <c r="H20" s="14"/>
      <c r="J20" s="12">
        <f t="shared" si="1"/>
        <v>45019</v>
      </c>
      <c r="K20" s="14">
        <v>149.79</v>
      </c>
      <c r="L20" s="14"/>
      <c r="N20" s="12"/>
      <c r="O20" s="14"/>
      <c r="P20" s="14"/>
    </row>
    <row r="21" spans="1:16" x14ac:dyDescent="0.25">
      <c r="A21" s="2"/>
      <c r="B21" s="12">
        <v>45364</v>
      </c>
      <c r="C21" s="14">
        <v>32.340000000000003</v>
      </c>
      <c r="D21" s="14"/>
      <c r="E21" s="2"/>
      <c r="F21" s="12">
        <f t="shared" ref="F21:F84" si="3">+F20+30</f>
        <v>44465</v>
      </c>
      <c r="G21" s="14">
        <f t="shared" ref="G21:G39" si="4">+G20</f>
        <v>751.63</v>
      </c>
      <c r="H21" s="14"/>
      <c r="J21" s="12">
        <f t="shared" si="1"/>
        <v>45049</v>
      </c>
      <c r="K21" s="14">
        <v>149.79</v>
      </c>
      <c r="L21" s="14"/>
      <c r="N21" s="12"/>
      <c r="O21" s="14"/>
      <c r="P21" s="14"/>
    </row>
    <row r="22" spans="1:16" x14ac:dyDescent="0.25">
      <c r="A22" s="2"/>
      <c r="B22" s="12">
        <v>45379</v>
      </c>
      <c r="C22" s="14">
        <v>32.340000000000003</v>
      </c>
      <c r="D22" s="14"/>
      <c r="E22" s="2"/>
      <c r="F22" s="12">
        <v>44896</v>
      </c>
      <c r="G22" s="14">
        <f t="shared" si="4"/>
        <v>751.63</v>
      </c>
      <c r="H22" s="14"/>
      <c r="J22" s="12">
        <v>45078</v>
      </c>
      <c r="K22" s="14">
        <v>149.79</v>
      </c>
      <c r="L22" s="14"/>
      <c r="N22" s="12"/>
      <c r="O22" s="14"/>
      <c r="P22" s="14"/>
    </row>
    <row r="23" spans="1:16" x14ac:dyDescent="0.25">
      <c r="A23" s="2"/>
      <c r="B23" s="12">
        <v>45400</v>
      </c>
      <c r="C23" s="14">
        <v>32.340000000000003</v>
      </c>
      <c r="D23" s="14"/>
      <c r="E23" s="2"/>
      <c r="F23" s="12">
        <v>44927</v>
      </c>
      <c r="G23" s="14">
        <f t="shared" si="4"/>
        <v>751.63</v>
      </c>
      <c r="H23" s="14"/>
      <c r="J23" s="12">
        <v>45117</v>
      </c>
      <c r="K23" s="14">
        <v>222.97</v>
      </c>
      <c r="L23" s="14"/>
      <c r="N23" s="12"/>
      <c r="O23" s="14"/>
      <c r="P23" s="14"/>
    </row>
    <row r="24" spans="1:16" x14ac:dyDescent="0.25">
      <c r="A24" s="2"/>
      <c r="B24" s="12">
        <v>45433</v>
      </c>
      <c r="C24" s="14">
        <v>32.340000000000003</v>
      </c>
      <c r="D24" s="14"/>
      <c r="E24" s="2"/>
      <c r="F24" s="12">
        <f t="shared" si="3"/>
        <v>44957</v>
      </c>
      <c r="G24" s="14">
        <f t="shared" si="4"/>
        <v>751.63</v>
      </c>
      <c r="H24" s="14"/>
      <c r="J24" s="12">
        <v>45142</v>
      </c>
      <c r="K24" s="14">
        <v>222.97</v>
      </c>
      <c r="L24" s="14"/>
      <c r="N24" s="12"/>
      <c r="O24" s="14"/>
      <c r="P24" s="14"/>
    </row>
    <row r="25" spans="1:16" x14ac:dyDescent="0.25">
      <c r="A25" s="2"/>
      <c r="B25" s="12">
        <v>45462</v>
      </c>
      <c r="C25" s="14">
        <v>32.340000000000003</v>
      </c>
      <c r="D25" s="14"/>
      <c r="E25" s="2"/>
      <c r="F25" s="12">
        <f t="shared" si="3"/>
        <v>44987</v>
      </c>
      <c r="G25" s="14">
        <f t="shared" si="4"/>
        <v>751.63</v>
      </c>
      <c r="J25" s="12">
        <v>45182</v>
      </c>
      <c r="K25" s="14">
        <v>222.97</v>
      </c>
      <c r="N25" s="12"/>
      <c r="O25" s="14"/>
    </row>
    <row r="26" spans="1:16" x14ac:dyDescent="0.25">
      <c r="A26" s="2"/>
      <c r="B26" s="12">
        <f t="shared" si="0"/>
        <v>45492</v>
      </c>
      <c r="C26" s="14">
        <v>32.340000000000003</v>
      </c>
      <c r="D26" s="14"/>
      <c r="E26" s="2"/>
      <c r="F26" s="12">
        <f t="shared" si="3"/>
        <v>45017</v>
      </c>
      <c r="G26" s="14">
        <f t="shared" si="4"/>
        <v>751.63</v>
      </c>
      <c r="J26" s="12">
        <v>45202</v>
      </c>
      <c r="K26" s="14">
        <v>222.97</v>
      </c>
      <c r="N26" s="12"/>
      <c r="O26" s="14"/>
    </row>
    <row r="27" spans="1:16" x14ac:dyDescent="0.25">
      <c r="A27" s="2"/>
      <c r="B27" s="12">
        <v>45524</v>
      </c>
      <c r="C27" s="14">
        <v>-115.05</v>
      </c>
      <c r="D27" s="14"/>
      <c r="E27" s="2"/>
      <c r="F27" s="12">
        <v>45019</v>
      </c>
      <c r="G27" s="14">
        <f t="shared" si="4"/>
        <v>751.63</v>
      </c>
      <c r="J27" s="12">
        <v>45231</v>
      </c>
      <c r="K27" s="14">
        <v>222.97</v>
      </c>
      <c r="O27" s="14"/>
    </row>
    <row r="28" spans="1:16" x14ac:dyDescent="0.25">
      <c r="A28" s="2"/>
      <c r="B28" s="12">
        <v>45554</v>
      </c>
      <c r="C28" s="14">
        <v>-115.05</v>
      </c>
      <c r="D28" s="14"/>
      <c r="E28" s="2"/>
      <c r="F28" s="12">
        <f t="shared" si="3"/>
        <v>45049</v>
      </c>
      <c r="G28" s="14">
        <f t="shared" si="4"/>
        <v>751.63</v>
      </c>
      <c r="J28" s="12">
        <f>+J27+30</f>
        <v>45261</v>
      </c>
      <c r="K28" s="14">
        <v>222.97</v>
      </c>
      <c r="O28" s="14"/>
    </row>
    <row r="29" spans="1:16" x14ac:dyDescent="0.25">
      <c r="A29" s="2"/>
      <c r="B29" s="12">
        <v>45586</v>
      </c>
      <c r="C29" s="14">
        <v>-82.71</v>
      </c>
      <c r="E29" s="2"/>
      <c r="F29" s="12">
        <f t="shared" si="3"/>
        <v>45079</v>
      </c>
      <c r="G29" s="14">
        <f t="shared" si="4"/>
        <v>751.63</v>
      </c>
      <c r="J29" s="12">
        <v>45292</v>
      </c>
      <c r="K29" s="14">
        <v>222.97</v>
      </c>
      <c r="O29" s="14"/>
    </row>
    <row r="30" spans="1:16" x14ac:dyDescent="0.25">
      <c r="A30" s="2"/>
      <c r="B30" s="12">
        <v>45615</v>
      </c>
      <c r="C30" s="14">
        <v>-50.37</v>
      </c>
      <c r="E30" s="2"/>
      <c r="F30" s="12">
        <f t="shared" si="3"/>
        <v>45109</v>
      </c>
      <c r="G30" s="14">
        <f t="shared" si="4"/>
        <v>751.63</v>
      </c>
      <c r="J30" s="12">
        <v>45323</v>
      </c>
      <c r="K30" s="14">
        <v>182.76</v>
      </c>
      <c r="O30" s="14"/>
    </row>
    <row r="31" spans="1:16" x14ac:dyDescent="0.25">
      <c r="A31" s="2"/>
      <c r="B31" s="12">
        <v>45644</v>
      </c>
      <c r="C31" s="14">
        <v>-17.05</v>
      </c>
      <c r="E31" s="2"/>
      <c r="F31" s="12">
        <f t="shared" si="3"/>
        <v>45139</v>
      </c>
      <c r="G31" s="14">
        <f t="shared" si="4"/>
        <v>751.63</v>
      </c>
      <c r="J31" s="12">
        <f t="shared" ref="J31:J33" si="5">+J30+30</f>
        <v>45353</v>
      </c>
      <c r="K31" s="14">
        <v>182.76</v>
      </c>
      <c r="O31" s="14"/>
    </row>
    <row r="32" spans="1:16" x14ac:dyDescent="0.25">
      <c r="A32" s="2"/>
      <c r="B32" s="12">
        <v>45678</v>
      </c>
      <c r="C32" s="14">
        <v>16.39</v>
      </c>
      <c r="E32" s="2"/>
      <c r="F32" s="12">
        <f t="shared" si="3"/>
        <v>45169</v>
      </c>
      <c r="G32" s="14">
        <f t="shared" si="4"/>
        <v>751.63</v>
      </c>
      <c r="J32" s="12">
        <f t="shared" si="5"/>
        <v>45383</v>
      </c>
      <c r="K32" s="14">
        <v>182.76</v>
      </c>
      <c r="O32" s="14"/>
    </row>
    <row r="33" spans="1:15" x14ac:dyDescent="0.25">
      <c r="A33" s="2"/>
      <c r="B33" s="12">
        <v>45708</v>
      </c>
      <c r="C33" s="14">
        <v>-69.17</v>
      </c>
      <c r="E33" s="2"/>
      <c r="F33" s="12">
        <f t="shared" si="3"/>
        <v>45199</v>
      </c>
      <c r="G33" s="14">
        <f t="shared" si="4"/>
        <v>751.63</v>
      </c>
      <c r="J33" s="12">
        <f t="shared" si="5"/>
        <v>45413</v>
      </c>
      <c r="K33" s="14">
        <v>182.76</v>
      </c>
      <c r="O33" s="14"/>
    </row>
    <row r="34" spans="1:15" x14ac:dyDescent="0.25">
      <c r="A34" s="2"/>
      <c r="B34" s="12">
        <v>45736</v>
      </c>
      <c r="C34" s="14">
        <v>-36.46</v>
      </c>
      <c r="E34" s="2"/>
      <c r="F34" s="12">
        <f t="shared" si="3"/>
        <v>45229</v>
      </c>
      <c r="G34" s="14">
        <f t="shared" si="4"/>
        <v>751.63</v>
      </c>
      <c r="K34" s="14">
        <v>182.76</v>
      </c>
      <c r="O34" s="14"/>
    </row>
    <row r="35" spans="1:15" x14ac:dyDescent="0.25">
      <c r="A35" s="2"/>
      <c r="B35" s="12">
        <v>45768</v>
      </c>
      <c r="C35" s="14">
        <v>-3.75</v>
      </c>
      <c r="E35" s="2"/>
      <c r="F35" s="12">
        <f t="shared" si="3"/>
        <v>45259</v>
      </c>
      <c r="G35" s="14">
        <f t="shared" si="4"/>
        <v>751.63</v>
      </c>
      <c r="K35" s="14"/>
      <c r="O35" s="14"/>
    </row>
    <row r="36" spans="1:15" x14ac:dyDescent="0.25">
      <c r="A36" s="2"/>
      <c r="B36" s="12">
        <v>45797</v>
      </c>
      <c r="C36" s="14">
        <v>28.96</v>
      </c>
      <c r="E36" s="2"/>
      <c r="F36" s="12">
        <v>45292</v>
      </c>
      <c r="G36" s="14">
        <f t="shared" si="4"/>
        <v>751.63</v>
      </c>
      <c r="K36" s="14"/>
      <c r="O36" s="14"/>
    </row>
    <row r="37" spans="1:15" x14ac:dyDescent="0.25">
      <c r="A37" s="2"/>
      <c r="B37" s="12">
        <v>45827</v>
      </c>
      <c r="C37" s="14">
        <v>33.29</v>
      </c>
      <c r="E37" s="2"/>
      <c r="F37" s="12">
        <f t="shared" si="3"/>
        <v>45322</v>
      </c>
      <c r="G37" s="14">
        <f t="shared" si="4"/>
        <v>751.63</v>
      </c>
      <c r="K37" s="14"/>
      <c r="O37" s="14"/>
    </row>
    <row r="38" spans="1:15" x14ac:dyDescent="0.25">
      <c r="A38" s="2"/>
      <c r="B38" s="12">
        <v>45859</v>
      </c>
      <c r="C38" s="14">
        <v>32.71</v>
      </c>
      <c r="E38" s="2"/>
      <c r="F38" s="12">
        <f t="shared" si="3"/>
        <v>45352</v>
      </c>
      <c r="G38" s="14">
        <f t="shared" si="4"/>
        <v>751.63</v>
      </c>
      <c r="K38" s="14"/>
      <c r="O38" s="14"/>
    </row>
    <row r="39" spans="1:15" x14ac:dyDescent="0.25">
      <c r="A39" s="2"/>
      <c r="B39" s="12">
        <v>45889</v>
      </c>
      <c r="C39" s="14">
        <v>32.71</v>
      </c>
      <c r="E39" s="2"/>
      <c r="F39" s="12">
        <f t="shared" si="3"/>
        <v>45382</v>
      </c>
      <c r="G39" s="14">
        <f t="shared" si="4"/>
        <v>751.63</v>
      </c>
      <c r="K39" s="14"/>
      <c r="O39" s="14"/>
    </row>
    <row r="40" spans="1:15" x14ac:dyDescent="0.25">
      <c r="A40" s="2"/>
      <c r="B40" s="12">
        <v>45919</v>
      </c>
      <c r="C40" s="14">
        <v>32.71</v>
      </c>
      <c r="E40" s="2"/>
      <c r="F40" s="12">
        <f t="shared" si="3"/>
        <v>45412</v>
      </c>
      <c r="G40" s="14">
        <f>+G39</f>
        <v>751.63</v>
      </c>
      <c r="K40" s="14"/>
      <c r="O40" s="14"/>
    </row>
    <row r="41" spans="1:15" x14ac:dyDescent="0.25">
      <c r="A41" s="2"/>
      <c r="B41" s="12">
        <v>45951</v>
      </c>
      <c r="C41" s="14">
        <v>32.71</v>
      </c>
      <c r="E41" s="2"/>
      <c r="F41" s="12">
        <f t="shared" si="3"/>
        <v>45442</v>
      </c>
      <c r="G41" s="14">
        <f t="shared" ref="G41:G86" si="6">+G40</f>
        <v>751.63</v>
      </c>
      <c r="K41" s="14"/>
      <c r="O41" s="14"/>
    </row>
    <row r="42" spans="1:15" x14ac:dyDescent="0.25">
      <c r="A42" s="2"/>
      <c r="B42" s="12">
        <v>45980</v>
      </c>
      <c r="C42" s="14">
        <v>32.71</v>
      </c>
      <c r="E42" s="2"/>
      <c r="F42" s="12">
        <f t="shared" si="3"/>
        <v>45472</v>
      </c>
      <c r="G42" s="14">
        <v>782.96</v>
      </c>
      <c r="K42" s="14"/>
      <c r="O42" s="14"/>
    </row>
    <row r="43" spans="1:15" x14ac:dyDescent="0.25">
      <c r="A43" s="2"/>
      <c r="B43" s="12">
        <v>46009</v>
      </c>
      <c r="C43" s="14">
        <v>33.75</v>
      </c>
      <c r="E43" s="2"/>
      <c r="F43" s="12">
        <f t="shared" si="3"/>
        <v>45502</v>
      </c>
      <c r="G43" s="14">
        <f t="shared" si="6"/>
        <v>782.96</v>
      </c>
      <c r="K43" s="14"/>
      <c r="O43" s="14"/>
    </row>
    <row r="44" spans="1:15" x14ac:dyDescent="0.25">
      <c r="A44" s="2"/>
      <c r="B44" s="12">
        <v>46043</v>
      </c>
      <c r="C44" s="14">
        <v>35.1</v>
      </c>
      <c r="E44" s="2"/>
      <c r="F44" s="12">
        <f t="shared" si="3"/>
        <v>45532</v>
      </c>
      <c r="G44" s="14">
        <f t="shared" si="6"/>
        <v>782.96</v>
      </c>
      <c r="K44" s="14"/>
      <c r="O44" s="14"/>
    </row>
    <row r="45" spans="1:15" x14ac:dyDescent="0.25">
      <c r="A45" s="2"/>
      <c r="B45" s="12">
        <v>46071</v>
      </c>
      <c r="C45" s="14">
        <v>35.520000000000003</v>
      </c>
      <c r="E45" s="2"/>
      <c r="F45" s="12">
        <f t="shared" si="3"/>
        <v>45562</v>
      </c>
      <c r="G45" s="14">
        <f t="shared" si="6"/>
        <v>782.96</v>
      </c>
      <c r="K45" s="14"/>
      <c r="O45" s="14"/>
    </row>
    <row r="46" spans="1:15" x14ac:dyDescent="0.25">
      <c r="A46" s="2"/>
      <c r="B46" s="12">
        <v>46100</v>
      </c>
      <c r="C46" s="14">
        <v>35.520000000000003</v>
      </c>
      <c r="E46" s="2"/>
      <c r="F46" s="12">
        <f t="shared" si="3"/>
        <v>45592</v>
      </c>
      <c r="G46" s="14">
        <f t="shared" si="6"/>
        <v>782.96</v>
      </c>
      <c r="K46" s="14"/>
      <c r="O46" s="14"/>
    </row>
    <row r="47" spans="1:15" x14ac:dyDescent="0.25">
      <c r="A47" s="2"/>
      <c r="B47" s="12">
        <v>46133</v>
      </c>
      <c r="C47" s="14">
        <v>35.520000000000003</v>
      </c>
      <c r="E47" s="2"/>
      <c r="F47" s="12">
        <f t="shared" si="3"/>
        <v>45622</v>
      </c>
      <c r="G47" s="14">
        <f t="shared" si="6"/>
        <v>782.96</v>
      </c>
      <c r="K47" s="14"/>
      <c r="O47" s="14"/>
    </row>
    <row r="48" spans="1:15" x14ac:dyDescent="0.25">
      <c r="A48" s="2"/>
      <c r="B48" s="12">
        <v>46161</v>
      </c>
      <c r="C48" s="14">
        <v>35.520000000000003</v>
      </c>
      <c r="E48" s="2"/>
      <c r="F48" s="12">
        <v>45657</v>
      </c>
      <c r="G48" s="14">
        <v>966.22</v>
      </c>
      <c r="K48" s="14"/>
      <c r="O48" s="14"/>
    </row>
    <row r="49" spans="1:15" x14ac:dyDescent="0.25">
      <c r="A49" s="2"/>
      <c r="B49" s="12">
        <v>46191</v>
      </c>
      <c r="C49" s="14">
        <v>35.520000000000003</v>
      </c>
      <c r="E49" s="2"/>
      <c r="F49" s="12">
        <f t="shared" si="3"/>
        <v>45687</v>
      </c>
      <c r="G49" s="14">
        <f t="shared" si="6"/>
        <v>966.22</v>
      </c>
      <c r="K49" s="14"/>
      <c r="O49" s="14"/>
    </row>
    <row r="50" spans="1:15" x14ac:dyDescent="0.25">
      <c r="A50" s="2"/>
      <c r="C50" s="14"/>
      <c r="E50" s="2"/>
      <c r="F50" s="12">
        <f t="shared" si="3"/>
        <v>45717</v>
      </c>
      <c r="G50" s="14">
        <f t="shared" si="6"/>
        <v>966.22</v>
      </c>
      <c r="K50" s="14"/>
      <c r="O50" s="14"/>
    </row>
    <row r="51" spans="1:15" x14ac:dyDescent="0.25">
      <c r="A51" s="2"/>
      <c r="C51" s="14"/>
      <c r="E51" s="2"/>
      <c r="F51" s="12">
        <f t="shared" si="3"/>
        <v>45747</v>
      </c>
      <c r="G51" s="14">
        <f t="shared" si="6"/>
        <v>966.22</v>
      </c>
      <c r="K51" s="14"/>
      <c r="O51" s="14"/>
    </row>
    <row r="52" spans="1:15" x14ac:dyDescent="0.25">
      <c r="A52" s="2"/>
      <c r="C52" s="14"/>
      <c r="E52" s="2"/>
      <c r="F52" s="12">
        <f t="shared" si="3"/>
        <v>45777</v>
      </c>
      <c r="G52" s="14">
        <f t="shared" si="6"/>
        <v>966.22</v>
      </c>
      <c r="K52" s="14"/>
      <c r="O52" s="14"/>
    </row>
    <row r="53" spans="1:15" x14ac:dyDescent="0.25">
      <c r="A53" s="2"/>
      <c r="C53" s="14"/>
      <c r="E53" s="2"/>
      <c r="F53" s="12">
        <f t="shared" si="3"/>
        <v>45807</v>
      </c>
      <c r="G53" s="14">
        <f t="shared" si="6"/>
        <v>966.22</v>
      </c>
      <c r="K53" s="14"/>
      <c r="O53" s="14"/>
    </row>
    <row r="54" spans="1:15" x14ac:dyDescent="0.25">
      <c r="A54" s="2"/>
      <c r="C54" s="14"/>
      <c r="E54" s="2"/>
      <c r="F54" s="12">
        <f t="shared" si="3"/>
        <v>45837</v>
      </c>
      <c r="G54" s="14">
        <f t="shared" si="6"/>
        <v>966.22</v>
      </c>
      <c r="K54" s="14"/>
      <c r="O54" s="14"/>
    </row>
    <row r="55" spans="1:15" x14ac:dyDescent="0.25">
      <c r="A55" s="2"/>
      <c r="C55" s="14"/>
      <c r="E55" s="2"/>
      <c r="F55" s="12">
        <f t="shared" si="3"/>
        <v>45867</v>
      </c>
      <c r="G55" s="14">
        <f t="shared" si="6"/>
        <v>966.22</v>
      </c>
      <c r="K55" s="14"/>
      <c r="O55" s="14"/>
    </row>
    <row r="56" spans="1:15" x14ac:dyDescent="0.25">
      <c r="A56" s="2"/>
      <c r="C56" s="14"/>
      <c r="E56" s="2"/>
      <c r="F56" s="12">
        <f t="shared" si="3"/>
        <v>45897</v>
      </c>
      <c r="G56" s="14">
        <f t="shared" si="6"/>
        <v>966.22</v>
      </c>
      <c r="K56" s="14"/>
      <c r="O56" s="14"/>
    </row>
    <row r="57" spans="1:15" x14ac:dyDescent="0.25">
      <c r="A57" s="2"/>
      <c r="C57" s="14"/>
      <c r="E57" s="2"/>
      <c r="F57" s="12">
        <f t="shared" si="3"/>
        <v>45927</v>
      </c>
      <c r="G57" s="14">
        <f t="shared" si="6"/>
        <v>966.22</v>
      </c>
      <c r="K57" s="14"/>
      <c r="O57" s="14"/>
    </row>
    <row r="58" spans="1:15" x14ac:dyDescent="0.25">
      <c r="A58" s="2"/>
      <c r="C58" s="14"/>
      <c r="E58" s="2"/>
      <c r="F58" s="12">
        <f t="shared" si="3"/>
        <v>45957</v>
      </c>
      <c r="G58" s="14">
        <f t="shared" si="6"/>
        <v>966.22</v>
      </c>
      <c r="K58" s="14"/>
      <c r="O58" s="14"/>
    </row>
    <row r="59" spans="1:15" x14ac:dyDescent="0.25">
      <c r="A59" s="2"/>
      <c r="C59" s="14"/>
      <c r="E59" s="2"/>
      <c r="F59" s="12">
        <f t="shared" si="3"/>
        <v>45987</v>
      </c>
      <c r="G59" s="14">
        <f t="shared" si="6"/>
        <v>966.22</v>
      </c>
      <c r="K59" s="14"/>
      <c r="O59" s="14"/>
    </row>
    <row r="60" spans="1:15" x14ac:dyDescent="0.25">
      <c r="A60" s="2"/>
      <c r="C60" s="14"/>
      <c r="E60" s="2"/>
      <c r="F60" s="12">
        <f t="shared" si="3"/>
        <v>46017</v>
      </c>
      <c r="G60" s="14">
        <f t="shared" si="6"/>
        <v>966.22</v>
      </c>
      <c r="K60" s="14"/>
      <c r="O60" s="14"/>
    </row>
    <row r="61" spans="1:15" x14ac:dyDescent="0.25">
      <c r="A61" s="2"/>
      <c r="C61" s="14"/>
      <c r="E61" s="2"/>
      <c r="F61" s="12">
        <f t="shared" si="3"/>
        <v>46047</v>
      </c>
      <c r="G61" s="14">
        <f t="shared" si="6"/>
        <v>966.22</v>
      </c>
      <c r="K61" s="14"/>
      <c r="O61" s="14"/>
    </row>
    <row r="62" spans="1:15" x14ac:dyDescent="0.25">
      <c r="A62" s="2"/>
      <c r="C62" s="14"/>
      <c r="E62" s="2"/>
      <c r="F62" s="12">
        <f t="shared" si="3"/>
        <v>46077</v>
      </c>
      <c r="G62" s="14">
        <f t="shared" si="6"/>
        <v>966.22</v>
      </c>
      <c r="K62" s="14"/>
      <c r="O62" s="14"/>
    </row>
    <row r="63" spans="1:15" x14ac:dyDescent="0.25">
      <c r="A63" s="2"/>
      <c r="C63" s="14"/>
      <c r="E63" s="2"/>
      <c r="F63" s="12">
        <f t="shared" si="3"/>
        <v>46107</v>
      </c>
      <c r="G63" s="14">
        <f t="shared" si="6"/>
        <v>966.22</v>
      </c>
      <c r="K63" s="14"/>
      <c r="O63" s="14"/>
    </row>
    <row r="64" spans="1:15" x14ac:dyDescent="0.25">
      <c r="A64" s="2"/>
      <c r="C64" s="14"/>
      <c r="E64" s="2"/>
      <c r="F64" s="12">
        <f t="shared" si="3"/>
        <v>46137</v>
      </c>
      <c r="G64" s="14">
        <f t="shared" si="6"/>
        <v>966.22</v>
      </c>
      <c r="K64" s="14"/>
      <c r="O64" s="14"/>
    </row>
    <row r="65" spans="1:15" x14ac:dyDescent="0.25">
      <c r="A65" s="2"/>
      <c r="C65" s="14"/>
      <c r="E65" s="2"/>
      <c r="F65" s="12">
        <v>45807</v>
      </c>
      <c r="G65" s="14">
        <v>949.72</v>
      </c>
      <c r="K65" s="14"/>
      <c r="O65" s="14"/>
    </row>
    <row r="66" spans="1:15" x14ac:dyDescent="0.25">
      <c r="A66" s="2"/>
      <c r="C66" s="14"/>
      <c r="E66" s="2"/>
      <c r="F66" s="12">
        <f t="shared" si="3"/>
        <v>45837</v>
      </c>
      <c r="G66" s="14">
        <f t="shared" si="6"/>
        <v>949.72</v>
      </c>
      <c r="K66" s="14"/>
      <c r="O66" s="14"/>
    </row>
    <row r="67" spans="1:15" x14ac:dyDescent="0.25">
      <c r="A67" s="2"/>
      <c r="C67" s="14"/>
      <c r="E67" s="2"/>
      <c r="F67" s="12">
        <f t="shared" si="3"/>
        <v>45867</v>
      </c>
      <c r="G67" s="14">
        <f t="shared" si="6"/>
        <v>949.72</v>
      </c>
      <c r="K67" s="14"/>
      <c r="O67" s="14"/>
    </row>
    <row r="68" spans="1:15" x14ac:dyDescent="0.25">
      <c r="A68" s="2"/>
      <c r="C68" s="14"/>
      <c r="E68" s="2"/>
      <c r="F68" s="12">
        <f t="shared" si="3"/>
        <v>45897</v>
      </c>
      <c r="G68" s="14">
        <f t="shared" si="6"/>
        <v>949.72</v>
      </c>
      <c r="K68" s="14"/>
      <c r="O68" s="14"/>
    </row>
    <row r="69" spans="1:15" x14ac:dyDescent="0.25">
      <c r="A69" s="2"/>
      <c r="C69" s="14"/>
      <c r="E69" s="2"/>
      <c r="F69" s="12">
        <f t="shared" si="3"/>
        <v>45927</v>
      </c>
      <c r="G69" s="14">
        <f t="shared" si="6"/>
        <v>949.72</v>
      </c>
      <c r="K69" s="14"/>
      <c r="O69" s="14"/>
    </row>
    <row r="70" spans="1:15" x14ac:dyDescent="0.25">
      <c r="A70" s="2"/>
      <c r="C70" s="14"/>
      <c r="E70" s="2"/>
      <c r="F70" s="12">
        <f t="shared" si="3"/>
        <v>45957</v>
      </c>
      <c r="G70" s="14">
        <f t="shared" si="6"/>
        <v>949.72</v>
      </c>
      <c r="K70" s="14"/>
      <c r="O70" s="14"/>
    </row>
    <row r="71" spans="1:15" x14ac:dyDescent="0.25">
      <c r="A71" s="2"/>
      <c r="C71" s="14"/>
      <c r="E71" s="2"/>
      <c r="F71" s="12">
        <f t="shared" si="3"/>
        <v>45987</v>
      </c>
      <c r="G71" s="14">
        <f t="shared" si="6"/>
        <v>949.72</v>
      </c>
      <c r="K71" s="14"/>
      <c r="O71" s="14"/>
    </row>
    <row r="72" spans="1:15" x14ac:dyDescent="0.25">
      <c r="A72" s="2"/>
      <c r="C72" s="14"/>
      <c r="E72" s="2"/>
      <c r="F72" s="12">
        <f t="shared" si="3"/>
        <v>46017</v>
      </c>
      <c r="G72" s="14">
        <f t="shared" si="6"/>
        <v>949.72</v>
      </c>
      <c r="K72" s="14"/>
      <c r="O72" s="14"/>
    </row>
    <row r="73" spans="1:15" x14ac:dyDescent="0.25">
      <c r="A73" s="2"/>
      <c r="C73" s="14"/>
      <c r="E73" s="2"/>
      <c r="F73" s="12">
        <f t="shared" si="3"/>
        <v>46047</v>
      </c>
      <c r="G73" s="14">
        <f t="shared" si="6"/>
        <v>949.72</v>
      </c>
      <c r="K73" s="14"/>
      <c r="O73" s="14"/>
    </row>
    <row r="74" spans="1:15" x14ac:dyDescent="0.25">
      <c r="A74" s="2"/>
      <c r="C74" s="14"/>
      <c r="E74" s="2"/>
      <c r="F74" s="12">
        <f t="shared" si="3"/>
        <v>46077</v>
      </c>
      <c r="G74" s="14">
        <f t="shared" si="6"/>
        <v>949.72</v>
      </c>
      <c r="K74" s="14"/>
      <c r="O74" s="14"/>
    </row>
    <row r="75" spans="1:15" x14ac:dyDescent="0.25">
      <c r="A75" s="2"/>
      <c r="C75" s="14"/>
      <c r="E75" s="2"/>
      <c r="F75" s="12">
        <f t="shared" si="3"/>
        <v>46107</v>
      </c>
      <c r="G75" s="14">
        <f t="shared" si="6"/>
        <v>949.72</v>
      </c>
      <c r="K75" s="14"/>
      <c r="O75" s="14"/>
    </row>
    <row r="76" spans="1:15" x14ac:dyDescent="0.25">
      <c r="A76" s="2"/>
      <c r="C76" s="14"/>
      <c r="E76" s="2"/>
      <c r="F76" s="12">
        <f t="shared" si="3"/>
        <v>46137</v>
      </c>
      <c r="G76" s="14">
        <f t="shared" si="6"/>
        <v>949.72</v>
      </c>
      <c r="K76" s="14"/>
      <c r="O76" s="14"/>
    </row>
    <row r="77" spans="1:15" x14ac:dyDescent="0.25">
      <c r="A77" s="2"/>
      <c r="C77" s="14"/>
      <c r="E77" s="2"/>
      <c r="F77" s="12">
        <f t="shared" si="3"/>
        <v>46167</v>
      </c>
      <c r="G77" s="14">
        <f t="shared" si="6"/>
        <v>949.72</v>
      </c>
      <c r="K77" s="14"/>
      <c r="O77" s="14"/>
    </row>
    <row r="78" spans="1:15" x14ac:dyDescent="0.25">
      <c r="A78" s="2"/>
      <c r="C78" s="14"/>
      <c r="E78" s="2"/>
      <c r="F78" s="12">
        <f t="shared" si="3"/>
        <v>46197</v>
      </c>
      <c r="G78" s="14">
        <f t="shared" si="6"/>
        <v>949.72</v>
      </c>
      <c r="K78" s="14"/>
      <c r="O78" s="14"/>
    </row>
    <row r="79" spans="1:15" x14ac:dyDescent="0.25">
      <c r="A79" s="2"/>
      <c r="C79" s="14"/>
      <c r="E79" s="2"/>
      <c r="F79" s="12">
        <f t="shared" si="3"/>
        <v>46227</v>
      </c>
      <c r="G79" s="14">
        <f t="shared" si="6"/>
        <v>949.72</v>
      </c>
      <c r="K79" s="14"/>
      <c r="O79" s="14"/>
    </row>
    <row r="80" spans="1:15" x14ac:dyDescent="0.25">
      <c r="A80" s="2"/>
      <c r="C80" s="14"/>
      <c r="E80" s="2"/>
      <c r="F80" s="12">
        <f t="shared" si="3"/>
        <v>46257</v>
      </c>
      <c r="G80" s="14">
        <f t="shared" si="6"/>
        <v>949.72</v>
      </c>
      <c r="K80" s="14"/>
      <c r="O80" s="14"/>
    </row>
    <row r="81" spans="1:16" x14ac:dyDescent="0.25">
      <c r="A81" s="2"/>
      <c r="C81" s="14"/>
      <c r="E81" s="2"/>
      <c r="F81" s="12">
        <f t="shared" si="3"/>
        <v>46287</v>
      </c>
      <c r="G81" s="14">
        <f t="shared" si="6"/>
        <v>949.72</v>
      </c>
      <c r="K81" s="14"/>
      <c r="O81" s="14"/>
    </row>
    <row r="82" spans="1:16" x14ac:dyDescent="0.25">
      <c r="A82" s="2"/>
      <c r="C82" s="14"/>
      <c r="E82" s="2"/>
      <c r="F82" s="12">
        <f t="shared" si="3"/>
        <v>46317</v>
      </c>
      <c r="G82" s="14">
        <f t="shared" si="6"/>
        <v>949.72</v>
      </c>
      <c r="K82" s="14"/>
      <c r="O82" s="14"/>
    </row>
    <row r="83" spans="1:16" x14ac:dyDescent="0.25">
      <c r="A83" s="2"/>
      <c r="C83" s="14"/>
      <c r="E83" s="2"/>
      <c r="F83" s="12">
        <f t="shared" si="3"/>
        <v>46347</v>
      </c>
      <c r="G83" s="14">
        <f t="shared" si="6"/>
        <v>949.72</v>
      </c>
      <c r="K83" s="14"/>
      <c r="O83" s="14"/>
    </row>
    <row r="84" spans="1:16" x14ac:dyDescent="0.25">
      <c r="A84" s="2"/>
      <c r="C84" s="14"/>
      <c r="E84" s="2"/>
      <c r="F84" s="12">
        <f t="shared" si="3"/>
        <v>46377</v>
      </c>
      <c r="G84" s="14">
        <f t="shared" si="6"/>
        <v>949.72</v>
      </c>
      <c r="K84" s="14"/>
      <c r="O84" s="14"/>
    </row>
    <row r="85" spans="1:16" x14ac:dyDescent="0.25">
      <c r="A85" s="2"/>
      <c r="C85" s="14"/>
      <c r="E85" s="2"/>
      <c r="F85" s="12">
        <f t="shared" ref="F85:F86" si="7">+F84+30</f>
        <v>46407</v>
      </c>
      <c r="G85" s="14">
        <f t="shared" si="6"/>
        <v>949.72</v>
      </c>
      <c r="K85" s="14"/>
      <c r="O85" s="14"/>
    </row>
    <row r="86" spans="1:16" x14ac:dyDescent="0.25">
      <c r="A86" s="2"/>
      <c r="C86" s="14"/>
      <c r="E86" s="2"/>
      <c r="F86" s="12">
        <f t="shared" si="7"/>
        <v>46437</v>
      </c>
      <c r="G86" s="14">
        <f t="shared" si="6"/>
        <v>949.72</v>
      </c>
      <c r="K86" s="14"/>
      <c r="O86" s="14"/>
    </row>
    <row r="87" spans="1:16" ht="15.75" thickBot="1" x14ac:dyDescent="0.3">
      <c r="A87" s="2"/>
      <c r="C87" s="23"/>
      <c r="D87" s="23"/>
      <c r="E87" s="2"/>
      <c r="G87" s="23"/>
      <c r="H87" s="23"/>
      <c r="K87" s="23"/>
      <c r="L87" s="23"/>
      <c r="O87" s="23"/>
      <c r="P87" s="23"/>
    </row>
    <row r="88" spans="1:16" x14ac:dyDescent="0.25">
      <c r="A88" s="2"/>
      <c r="C88" s="14"/>
      <c r="D88" s="5">
        <f>SUM(C4:C87)</f>
        <v>760.35000000000025</v>
      </c>
      <c r="E88" s="2"/>
      <c r="G88" s="14"/>
      <c r="H88" s="5">
        <f>SUM(G4:G87)</f>
        <v>69755.500000000044</v>
      </c>
      <c r="K88" s="14"/>
      <c r="L88" s="5">
        <f>SUM(K4:K87)</f>
        <v>5170.8099999999995</v>
      </c>
      <c r="O88" s="14"/>
      <c r="P88" s="5">
        <f>SUM(O4:O87)</f>
        <v>0</v>
      </c>
    </row>
  </sheetData>
  <mergeCells count="4">
    <mergeCell ref="A1:D1"/>
    <mergeCell ref="E1:H1"/>
    <mergeCell ref="J1:M1"/>
    <mergeCell ref="N1:Q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C38" sqref="C38"/>
    </sheetView>
  </sheetViews>
  <sheetFormatPr defaultRowHeight="15" x14ac:dyDescent="0.25"/>
  <cols>
    <col min="1" max="1" width="35.85546875" style="84" customWidth="1"/>
    <col min="2" max="2" width="35.140625" style="84" bestFit="1" customWidth="1"/>
    <col min="3" max="3" width="118.140625" style="84" customWidth="1"/>
    <col min="4" max="4" width="9.5703125" style="85" bestFit="1" customWidth="1"/>
    <col min="5" max="5" width="16.28515625" style="86" bestFit="1" customWidth="1"/>
    <col min="6" max="6" width="9.140625" style="84"/>
    <col min="7" max="7" width="18.7109375" style="84" bestFit="1" customWidth="1"/>
    <col min="8" max="8" width="27.7109375" style="84" bestFit="1" customWidth="1"/>
    <col min="9" max="9" width="81.140625" style="84" bestFit="1" customWidth="1"/>
    <col min="10" max="10" width="6.28515625" style="84" bestFit="1" customWidth="1"/>
    <col min="11" max="12" width="12" style="84" bestFit="1" customWidth="1"/>
    <col min="13" max="254" width="9.140625" style="84"/>
    <col min="255" max="255" width="21.85546875" style="84" customWidth="1"/>
    <col min="256" max="256" width="35.85546875" style="84" customWidth="1"/>
    <col min="257" max="257" width="97.7109375" style="84" customWidth="1"/>
    <col min="258" max="258" width="31.7109375" style="84" customWidth="1"/>
    <col min="259" max="259" width="13.7109375" style="84" bestFit="1" customWidth="1"/>
    <col min="260" max="510" width="9.140625" style="84"/>
    <col min="511" max="511" width="21.85546875" style="84" customWidth="1"/>
    <col min="512" max="512" width="35.85546875" style="84" customWidth="1"/>
    <col min="513" max="513" width="97.7109375" style="84" customWidth="1"/>
    <col min="514" max="514" width="31.7109375" style="84" customWidth="1"/>
    <col min="515" max="515" width="13.7109375" style="84" bestFit="1" customWidth="1"/>
    <col min="516" max="766" width="9.140625" style="84"/>
    <col min="767" max="767" width="21.85546875" style="84" customWidth="1"/>
    <col min="768" max="768" width="35.85546875" style="84" customWidth="1"/>
    <col min="769" max="769" width="97.7109375" style="84" customWidth="1"/>
    <col min="770" max="770" width="31.7109375" style="84" customWidth="1"/>
    <col min="771" max="771" width="13.7109375" style="84" bestFit="1" customWidth="1"/>
    <col min="772" max="1022" width="9.140625" style="84"/>
    <col min="1023" max="1023" width="21.85546875" style="84" customWidth="1"/>
    <col min="1024" max="1024" width="35.85546875" style="84" customWidth="1"/>
    <col min="1025" max="1025" width="97.7109375" style="84" customWidth="1"/>
    <col min="1026" max="1026" width="31.7109375" style="84" customWidth="1"/>
    <col min="1027" max="1027" width="13.7109375" style="84" bestFit="1" customWidth="1"/>
    <col min="1028" max="1278" width="9.140625" style="84"/>
    <col min="1279" max="1279" width="21.85546875" style="84" customWidth="1"/>
    <col min="1280" max="1280" width="35.85546875" style="84" customWidth="1"/>
    <col min="1281" max="1281" width="97.7109375" style="84" customWidth="1"/>
    <col min="1282" max="1282" width="31.7109375" style="84" customWidth="1"/>
    <col min="1283" max="1283" width="13.7109375" style="84" bestFit="1" customWidth="1"/>
    <col min="1284" max="1534" width="9.140625" style="84"/>
    <col min="1535" max="1535" width="21.85546875" style="84" customWidth="1"/>
    <col min="1536" max="1536" width="35.85546875" style="84" customWidth="1"/>
    <col min="1537" max="1537" width="97.7109375" style="84" customWidth="1"/>
    <col min="1538" max="1538" width="31.7109375" style="84" customWidth="1"/>
    <col min="1539" max="1539" width="13.7109375" style="84" bestFit="1" customWidth="1"/>
    <col min="1540" max="1790" width="9.140625" style="84"/>
    <col min="1791" max="1791" width="21.85546875" style="84" customWidth="1"/>
    <col min="1792" max="1792" width="35.85546875" style="84" customWidth="1"/>
    <col min="1793" max="1793" width="97.7109375" style="84" customWidth="1"/>
    <col min="1794" max="1794" width="31.7109375" style="84" customWidth="1"/>
    <col min="1795" max="1795" width="13.7109375" style="84" bestFit="1" customWidth="1"/>
    <col min="1796" max="2046" width="9.140625" style="84"/>
    <col min="2047" max="2047" width="21.85546875" style="84" customWidth="1"/>
    <col min="2048" max="2048" width="35.85546875" style="84" customWidth="1"/>
    <col min="2049" max="2049" width="97.7109375" style="84" customWidth="1"/>
    <col min="2050" max="2050" width="31.7109375" style="84" customWidth="1"/>
    <col min="2051" max="2051" width="13.7109375" style="84" bestFit="1" customWidth="1"/>
    <col min="2052" max="2302" width="9.140625" style="84"/>
    <col min="2303" max="2303" width="21.85546875" style="84" customWidth="1"/>
    <col min="2304" max="2304" width="35.85546875" style="84" customWidth="1"/>
    <col min="2305" max="2305" width="97.7109375" style="84" customWidth="1"/>
    <col min="2306" max="2306" width="31.7109375" style="84" customWidth="1"/>
    <col min="2307" max="2307" width="13.7109375" style="84" bestFit="1" customWidth="1"/>
    <col min="2308" max="2558" width="9.140625" style="84"/>
    <col min="2559" max="2559" width="21.85546875" style="84" customWidth="1"/>
    <col min="2560" max="2560" width="35.85546875" style="84" customWidth="1"/>
    <col min="2561" max="2561" width="97.7109375" style="84" customWidth="1"/>
    <col min="2562" max="2562" width="31.7109375" style="84" customWidth="1"/>
    <col min="2563" max="2563" width="13.7109375" style="84" bestFit="1" customWidth="1"/>
    <col min="2564" max="2814" width="9.140625" style="84"/>
    <col min="2815" max="2815" width="21.85546875" style="84" customWidth="1"/>
    <col min="2816" max="2816" width="35.85546875" style="84" customWidth="1"/>
    <col min="2817" max="2817" width="97.7109375" style="84" customWidth="1"/>
    <col min="2818" max="2818" width="31.7109375" style="84" customWidth="1"/>
    <col min="2819" max="2819" width="13.7109375" style="84" bestFit="1" customWidth="1"/>
    <col min="2820" max="3070" width="9.140625" style="84"/>
    <col min="3071" max="3071" width="21.85546875" style="84" customWidth="1"/>
    <col min="3072" max="3072" width="35.85546875" style="84" customWidth="1"/>
    <col min="3073" max="3073" width="97.7109375" style="84" customWidth="1"/>
    <col min="3074" max="3074" width="31.7109375" style="84" customWidth="1"/>
    <col min="3075" max="3075" width="13.7109375" style="84" bestFit="1" customWidth="1"/>
    <col min="3076" max="3326" width="9.140625" style="84"/>
    <col min="3327" max="3327" width="21.85546875" style="84" customWidth="1"/>
    <col min="3328" max="3328" width="35.85546875" style="84" customWidth="1"/>
    <col min="3329" max="3329" width="97.7109375" style="84" customWidth="1"/>
    <col min="3330" max="3330" width="31.7109375" style="84" customWidth="1"/>
    <col min="3331" max="3331" width="13.7109375" style="84" bestFit="1" customWidth="1"/>
    <col min="3332" max="3582" width="9.140625" style="84"/>
    <col min="3583" max="3583" width="21.85546875" style="84" customWidth="1"/>
    <col min="3584" max="3584" width="35.85546875" style="84" customWidth="1"/>
    <col min="3585" max="3585" width="97.7109375" style="84" customWidth="1"/>
    <col min="3586" max="3586" width="31.7109375" style="84" customWidth="1"/>
    <col min="3587" max="3587" width="13.7109375" style="84" bestFit="1" customWidth="1"/>
    <col min="3588" max="3838" width="9.140625" style="84"/>
    <col min="3839" max="3839" width="21.85546875" style="84" customWidth="1"/>
    <col min="3840" max="3840" width="35.85546875" style="84" customWidth="1"/>
    <col min="3841" max="3841" width="97.7109375" style="84" customWidth="1"/>
    <col min="3842" max="3842" width="31.7109375" style="84" customWidth="1"/>
    <col min="3843" max="3843" width="13.7109375" style="84" bestFit="1" customWidth="1"/>
    <col min="3844" max="4094" width="9.140625" style="84"/>
    <col min="4095" max="4095" width="21.85546875" style="84" customWidth="1"/>
    <col min="4096" max="4096" width="35.85546875" style="84" customWidth="1"/>
    <col min="4097" max="4097" width="97.7109375" style="84" customWidth="1"/>
    <col min="4098" max="4098" width="31.7109375" style="84" customWidth="1"/>
    <col min="4099" max="4099" width="13.7109375" style="84" bestFit="1" customWidth="1"/>
    <col min="4100" max="4350" width="9.140625" style="84"/>
    <col min="4351" max="4351" width="21.85546875" style="84" customWidth="1"/>
    <col min="4352" max="4352" width="35.85546875" style="84" customWidth="1"/>
    <col min="4353" max="4353" width="97.7109375" style="84" customWidth="1"/>
    <col min="4354" max="4354" width="31.7109375" style="84" customWidth="1"/>
    <col min="4355" max="4355" width="13.7109375" style="84" bestFit="1" customWidth="1"/>
    <col min="4356" max="4606" width="9.140625" style="84"/>
    <col min="4607" max="4607" width="21.85546875" style="84" customWidth="1"/>
    <col min="4608" max="4608" width="35.85546875" style="84" customWidth="1"/>
    <col min="4609" max="4609" width="97.7109375" style="84" customWidth="1"/>
    <col min="4610" max="4610" width="31.7109375" style="84" customWidth="1"/>
    <col min="4611" max="4611" width="13.7109375" style="84" bestFit="1" customWidth="1"/>
    <col min="4612" max="4862" width="9.140625" style="84"/>
    <col min="4863" max="4863" width="21.85546875" style="84" customWidth="1"/>
    <col min="4864" max="4864" width="35.85546875" style="84" customWidth="1"/>
    <col min="4865" max="4865" width="97.7109375" style="84" customWidth="1"/>
    <col min="4866" max="4866" width="31.7109375" style="84" customWidth="1"/>
    <col min="4867" max="4867" width="13.7109375" style="84" bestFit="1" customWidth="1"/>
    <col min="4868" max="5118" width="9.140625" style="84"/>
    <col min="5119" max="5119" width="21.85546875" style="84" customWidth="1"/>
    <col min="5120" max="5120" width="35.85546875" style="84" customWidth="1"/>
    <col min="5121" max="5121" width="97.7109375" style="84" customWidth="1"/>
    <col min="5122" max="5122" width="31.7109375" style="84" customWidth="1"/>
    <col min="5123" max="5123" width="13.7109375" style="84" bestFit="1" customWidth="1"/>
    <col min="5124" max="5374" width="9.140625" style="84"/>
    <col min="5375" max="5375" width="21.85546875" style="84" customWidth="1"/>
    <col min="5376" max="5376" width="35.85546875" style="84" customWidth="1"/>
    <col min="5377" max="5377" width="97.7109375" style="84" customWidth="1"/>
    <col min="5378" max="5378" width="31.7109375" style="84" customWidth="1"/>
    <col min="5379" max="5379" width="13.7109375" style="84" bestFit="1" customWidth="1"/>
    <col min="5380" max="5630" width="9.140625" style="84"/>
    <col min="5631" max="5631" width="21.85546875" style="84" customWidth="1"/>
    <col min="5632" max="5632" width="35.85546875" style="84" customWidth="1"/>
    <col min="5633" max="5633" width="97.7109375" style="84" customWidth="1"/>
    <col min="5634" max="5634" width="31.7109375" style="84" customWidth="1"/>
    <col min="5635" max="5635" width="13.7109375" style="84" bestFit="1" customWidth="1"/>
    <col min="5636" max="5886" width="9.140625" style="84"/>
    <col min="5887" max="5887" width="21.85546875" style="84" customWidth="1"/>
    <col min="5888" max="5888" width="35.85546875" style="84" customWidth="1"/>
    <col min="5889" max="5889" width="97.7109375" style="84" customWidth="1"/>
    <col min="5890" max="5890" width="31.7109375" style="84" customWidth="1"/>
    <col min="5891" max="5891" width="13.7109375" style="84" bestFit="1" customWidth="1"/>
    <col min="5892" max="6142" width="9.140625" style="84"/>
    <col min="6143" max="6143" width="21.85546875" style="84" customWidth="1"/>
    <col min="6144" max="6144" width="35.85546875" style="84" customWidth="1"/>
    <col min="6145" max="6145" width="97.7109375" style="84" customWidth="1"/>
    <col min="6146" max="6146" width="31.7109375" style="84" customWidth="1"/>
    <col min="6147" max="6147" width="13.7109375" style="84" bestFit="1" customWidth="1"/>
    <col min="6148" max="6398" width="9.140625" style="84"/>
    <col min="6399" max="6399" width="21.85546875" style="84" customWidth="1"/>
    <col min="6400" max="6400" width="35.85546875" style="84" customWidth="1"/>
    <col min="6401" max="6401" width="97.7109375" style="84" customWidth="1"/>
    <col min="6402" max="6402" width="31.7109375" style="84" customWidth="1"/>
    <col min="6403" max="6403" width="13.7109375" style="84" bestFit="1" customWidth="1"/>
    <col min="6404" max="6654" width="9.140625" style="84"/>
    <col min="6655" max="6655" width="21.85546875" style="84" customWidth="1"/>
    <col min="6656" max="6656" width="35.85546875" style="84" customWidth="1"/>
    <col min="6657" max="6657" width="97.7109375" style="84" customWidth="1"/>
    <col min="6658" max="6658" width="31.7109375" style="84" customWidth="1"/>
    <col min="6659" max="6659" width="13.7109375" style="84" bestFit="1" customWidth="1"/>
    <col min="6660" max="6910" width="9.140625" style="84"/>
    <col min="6911" max="6911" width="21.85546875" style="84" customWidth="1"/>
    <col min="6912" max="6912" width="35.85546875" style="84" customWidth="1"/>
    <col min="6913" max="6913" width="97.7109375" style="84" customWidth="1"/>
    <col min="6914" max="6914" width="31.7109375" style="84" customWidth="1"/>
    <col min="6915" max="6915" width="13.7109375" style="84" bestFit="1" customWidth="1"/>
    <col min="6916" max="7166" width="9.140625" style="84"/>
    <col min="7167" max="7167" width="21.85546875" style="84" customWidth="1"/>
    <col min="7168" max="7168" width="35.85546875" style="84" customWidth="1"/>
    <col min="7169" max="7169" width="97.7109375" style="84" customWidth="1"/>
    <col min="7170" max="7170" width="31.7109375" style="84" customWidth="1"/>
    <col min="7171" max="7171" width="13.7109375" style="84" bestFit="1" customWidth="1"/>
    <col min="7172" max="7422" width="9.140625" style="84"/>
    <col min="7423" max="7423" width="21.85546875" style="84" customWidth="1"/>
    <col min="7424" max="7424" width="35.85546875" style="84" customWidth="1"/>
    <col min="7425" max="7425" width="97.7109375" style="84" customWidth="1"/>
    <col min="7426" max="7426" width="31.7109375" style="84" customWidth="1"/>
    <col min="7427" max="7427" width="13.7109375" style="84" bestFit="1" customWidth="1"/>
    <col min="7428" max="7678" width="9.140625" style="84"/>
    <col min="7679" max="7679" width="21.85546875" style="84" customWidth="1"/>
    <col min="7680" max="7680" width="35.85546875" style="84" customWidth="1"/>
    <col min="7681" max="7681" width="97.7109375" style="84" customWidth="1"/>
    <col min="7682" max="7682" width="31.7109375" style="84" customWidth="1"/>
    <col min="7683" max="7683" width="13.7109375" style="84" bestFit="1" customWidth="1"/>
    <col min="7684" max="7934" width="9.140625" style="84"/>
    <col min="7935" max="7935" width="21.85546875" style="84" customWidth="1"/>
    <col min="7936" max="7936" width="35.85546875" style="84" customWidth="1"/>
    <col min="7937" max="7937" width="97.7109375" style="84" customWidth="1"/>
    <col min="7938" max="7938" width="31.7109375" style="84" customWidth="1"/>
    <col min="7939" max="7939" width="13.7109375" style="84" bestFit="1" customWidth="1"/>
    <col min="7940" max="8190" width="9.140625" style="84"/>
    <col min="8191" max="8191" width="21.85546875" style="84" customWidth="1"/>
    <col min="8192" max="8192" width="35.85546875" style="84" customWidth="1"/>
    <col min="8193" max="8193" width="97.7109375" style="84" customWidth="1"/>
    <col min="8194" max="8194" width="31.7109375" style="84" customWidth="1"/>
    <col min="8195" max="8195" width="13.7109375" style="84" bestFit="1" customWidth="1"/>
    <col min="8196" max="8446" width="9.140625" style="84"/>
    <col min="8447" max="8447" width="21.85546875" style="84" customWidth="1"/>
    <col min="8448" max="8448" width="35.85546875" style="84" customWidth="1"/>
    <col min="8449" max="8449" width="97.7109375" style="84" customWidth="1"/>
    <col min="8450" max="8450" width="31.7109375" style="84" customWidth="1"/>
    <col min="8451" max="8451" width="13.7109375" style="84" bestFit="1" customWidth="1"/>
    <col min="8452" max="8702" width="9.140625" style="84"/>
    <col min="8703" max="8703" width="21.85546875" style="84" customWidth="1"/>
    <col min="8704" max="8704" width="35.85546875" style="84" customWidth="1"/>
    <col min="8705" max="8705" width="97.7109375" style="84" customWidth="1"/>
    <col min="8706" max="8706" width="31.7109375" style="84" customWidth="1"/>
    <col min="8707" max="8707" width="13.7109375" style="84" bestFit="1" customWidth="1"/>
    <col min="8708" max="8958" width="9.140625" style="84"/>
    <col min="8959" max="8959" width="21.85546875" style="84" customWidth="1"/>
    <col min="8960" max="8960" width="35.85546875" style="84" customWidth="1"/>
    <col min="8961" max="8961" width="97.7109375" style="84" customWidth="1"/>
    <col min="8962" max="8962" width="31.7109375" style="84" customWidth="1"/>
    <col min="8963" max="8963" width="13.7109375" style="84" bestFit="1" customWidth="1"/>
    <col min="8964" max="9214" width="9.140625" style="84"/>
    <col min="9215" max="9215" width="21.85546875" style="84" customWidth="1"/>
    <col min="9216" max="9216" width="35.85546875" style="84" customWidth="1"/>
    <col min="9217" max="9217" width="97.7109375" style="84" customWidth="1"/>
    <col min="9218" max="9218" width="31.7109375" style="84" customWidth="1"/>
    <col min="9219" max="9219" width="13.7109375" style="84" bestFit="1" customWidth="1"/>
    <col min="9220" max="9470" width="9.140625" style="84"/>
    <col min="9471" max="9471" width="21.85546875" style="84" customWidth="1"/>
    <col min="9472" max="9472" width="35.85546875" style="84" customWidth="1"/>
    <col min="9473" max="9473" width="97.7109375" style="84" customWidth="1"/>
    <col min="9474" max="9474" width="31.7109375" style="84" customWidth="1"/>
    <col min="9475" max="9475" width="13.7109375" style="84" bestFit="1" customWidth="1"/>
    <col min="9476" max="9726" width="9.140625" style="84"/>
    <col min="9727" max="9727" width="21.85546875" style="84" customWidth="1"/>
    <col min="9728" max="9728" width="35.85546875" style="84" customWidth="1"/>
    <col min="9729" max="9729" width="97.7109375" style="84" customWidth="1"/>
    <col min="9730" max="9730" width="31.7109375" style="84" customWidth="1"/>
    <col min="9731" max="9731" width="13.7109375" style="84" bestFit="1" customWidth="1"/>
    <col min="9732" max="9982" width="9.140625" style="84"/>
    <col min="9983" max="9983" width="21.85546875" style="84" customWidth="1"/>
    <col min="9984" max="9984" width="35.85546875" style="84" customWidth="1"/>
    <col min="9985" max="9985" width="97.7109375" style="84" customWidth="1"/>
    <col min="9986" max="9986" width="31.7109375" style="84" customWidth="1"/>
    <col min="9987" max="9987" width="13.7109375" style="84" bestFit="1" customWidth="1"/>
    <col min="9988" max="10238" width="9.140625" style="84"/>
    <col min="10239" max="10239" width="21.85546875" style="84" customWidth="1"/>
    <col min="10240" max="10240" width="35.85546875" style="84" customWidth="1"/>
    <col min="10241" max="10241" width="97.7109375" style="84" customWidth="1"/>
    <col min="10242" max="10242" width="31.7109375" style="84" customWidth="1"/>
    <col min="10243" max="10243" width="13.7109375" style="84" bestFit="1" customWidth="1"/>
    <col min="10244" max="10494" width="9.140625" style="84"/>
    <col min="10495" max="10495" width="21.85546875" style="84" customWidth="1"/>
    <col min="10496" max="10496" width="35.85546875" style="84" customWidth="1"/>
    <col min="10497" max="10497" width="97.7109375" style="84" customWidth="1"/>
    <col min="10498" max="10498" width="31.7109375" style="84" customWidth="1"/>
    <col min="10499" max="10499" width="13.7109375" style="84" bestFit="1" customWidth="1"/>
    <col min="10500" max="10750" width="9.140625" style="84"/>
    <col min="10751" max="10751" width="21.85546875" style="84" customWidth="1"/>
    <col min="10752" max="10752" width="35.85546875" style="84" customWidth="1"/>
    <col min="10753" max="10753" width="97.7109375" style="84" customWidth="1"/>
    <col min="10754" max="10754" width="31.7109375" style="84" customWidth="1"/>
    <col min="10755" max="10755" width="13.7109375" style="84" bestFit="1" customWidth="1"/>
    <col min="10756" max="11006" width="9.140625" style="84"/>
    <col min="11007" max="11007" width="21.85546875" style="84" customWidth="1"/>
    <col min="11008" max="11008" width="35.85546875" style="84" customWidth="1"/>
    <col min="11009" max="11009" width="97.7109375" style="84" customWidth="1"/>
    <col min="11010" max="11010" width="31.7109375" style="84" customWidth="1"/>
    <col min="11011" max="11011" width="13.7109375" style="84" bestFit="1" customWidth="1"/>
    <col min="11012" max="11262" width="9.140625" style="84"/>
    <col min="11263" max="11263" width="21.85546875" style="84" customWidth="1"/>
    <col min="11264" max="11264" width="35.85546875" style="84" customWidth="1"/>
    <col min="11265" max="11265" width="97.7109375" style="84" customWidth="1"/>
    <col min="11266" max="11266" width="31.7109375" style="84" customWidth="1"/>
    <col min="11267" max="11267" width="13.7109375" style="84" bestFit="1" customWidth="1"/>
    <col min="11268" max="11518" width="9.140625" style="84"/>
    <col min="11519" max="11519" width="21.85546875" style="84" customWidth="1"/>
    <col min="11520" max="11520" width="35.85546875" style="84" customWidth="1"/>
    <col min="11521" max="11521" width="97.7109375" style="84" customWidth="1"/>
    <col min="11522" max="11522" width="31.7109375" style="84" customWidth="1"/>
    <col min="11523" max="11523" width="13.7109375" style="84" bestFit="1" customWidth="1"/>
    <col min="11524" max="11774" width="9.140625" style="84"/>
    <col min="11775" max="11775" width="21.85546875" style="84" customWidth="1"/>
    <col min="11776" max="11776" width="35.85546875" style="84" customWidth="1"/>
    <col min="11777" max="11777" width="97.7109375" style="84" customWidth="1"/>
    <col min="11778" max="11778" width="31.7109375" style="84" customWidth="1"/>
    <col min="11779" max="11779" width="13.7109375" style="84" bestFit="1" customWidth="1"/>
    <col min="11780" max="12030" width="9.140625" style="84"/>
    <col min="12031" max="12031" width="21.85546875" style="84" customWidth="1"/>
    <col min="12032" max="12032" width="35.85546875" style="84" customWidth="1"/>
    <col min="12033" max="12033" width="97.7109375" style="84" customWidth="1"/>
    <col min="12034" max="12034" width="31.7109375" style="84" customWidth="1"/>
    <col min="12035" max="12035" width="13.7109375" style="84" bestFit="1" customWidth="1"/>
    <col min="12036" max="12286" width="9.140625" style="84"/>
    <col min="12287" max="12287" width="21.85546875" style="84" customWidth="1"/>
    <col min="12288" max="12288" width="35.85546875" style="84" customWidth="1"/>
    <col min="12289" max="12289" width="97.7109375" style="84" customWidth="1"/>
    <col min="12290" max="12290" width="31.7109375" style="84" customWidth="1"/>
    <col min="12291" max="12291" width="13.7109375" style="84" bestFit="1" customWidth="1"/>
    <col min="12292" max="12542" width="9.140625" style="84"/>
    <col min="12543" max="12543" width="21.85546875" style="84" customWidth="1"/>
    <col min="12544" max="12544" width="35.85546875" style="84" customWidth="1"/>
    <col min="12545" max="12545" width="97.7109375" style="84" customWidth="1"/>
    <col min="12546" max="12546" width="31.7109375" style="84" customWidth="1"/>
    <col min="12547" max="12547" width="13.7109375" style="84" bestFit="1" customWidth="1"/>
    <col min="12548" max="12798" width="9.140625" style="84"/>
    <col min="12799" max="12799" width="21.85546875" style="84" customWidth="1"/>
    <col min="12800" max="12800" width="35.85546875" style="84" customWidth="1"/>
    <col min="12801" max="12801" width="97.7109375" style="84" customWidth="1"/>
    <col min="12802" max="12802" width="31.7109375" style="84" customWidth="1"/>
    <col min="12803" max="12803" width="13.7109375" style="84" bestFit="1" customWidth="1"/>
    <col min="12804" max="13054" width="9.140625" style="84"/>
    <col min="13055" max="13055" width="21.85546875" style="84" customWidth="1"/>
    <col min="13056" max="13056" width="35.85546875" style="84" customWidth="1"/>
    <col min="13057" max="13057" width="97.7109375" style="84" customWidth="1"/>
    <col min="13058" max="13058" width="31.7109375" style="84" customWidth="1"/>
    <col min="13059" max="13059" width="13.7109375" style="84" bestFit="1" customWidth="1"/>
    <col min="13060" max="13310" width="9.140625" style="84"/>
    <col min="13311" max="13311" width="21.85546875" style="84" customWidth="1"/>
    <col min="13312" max="13312" width="35.85546875" style="84" customWidth="1"/>
    <col min="13313" max="13313" width="97.7109375" style="84" customWidth="1"/>
    <col min="13314" max="13314" width="31.7109375" style="84" customWidth="1"/>
    <col min="13315" max="13315" width="13.7109375" style="84" bestFit="1" customWidth="1"/>
    <col min="13316" max="13566" width="9.140625" style="84"/>
    <col min="13567" max="13567" width="21.85546875" style="84" customWidth="1"/>
    <col min="13568" max="13568" width="35.85546875" style="84" customWidth="1"/>
    <col min="13569" max="13569" width="97.7109375" style="84" customWidth="1"/>
    <col min="13570" max="13570" width="31.7109375" style="84" customWidth="1"/>
    <col min="13571" max="13571" width="13.7109375" style="84" bestFit="1" customWidth="1"/>
    <col min="13572" max="13822" width="9.140625" style="84"/>
    <col min="13823" max="13823" width="21.85546875" style="84" customWidth="1"/>
    <col min="13824" max="13824" width="35.85546875" style="84" customWidth="1"/>
    <col min="13825" max="13825" width="97.7109375" style="84" customWidth="1"/>
    <col min="13826" max="13826" width="31.7109375" style="84" customWidth="1"/>
    <col min="13827" max="13827" width="13.7109375" style="84" bestFit="1" customWidth="1"/>
    <col min="13828" max="14078" width="9.140625" style="84"/>
    <col min="14079" max="14079" width="21.85546875" style="84" customWidth="1"/>
    <col min="14080" max="14080" width="35.85546875" style="84" customWidth="1"/>
    <col min="14081" max="14081" width="97.7109375" style="84" customWidth="1"/>
    <col min="14082" max="14082" width="31.7109375" style="84" customWidth="1"/>
    <col min="14083" max="14083" width="13.7109375" style="84" bestFit="1" customWidth="1"/>
    <col min="14084" max="14334" width="9.140625" style="84"/>
    <col min="14335" max="14335" width="21.85546875" style="84" customWidth="1"/>
    <col min="14336" max="14336" width="35.85546875" style="84" customWidth="1"/>
    <col min="14337" max="14337" width="97.7109375" style="84" customWidth="1"/>
    <col min="14338" max="14338" width="31.7109375" style="84" customWidth="1"/>
    <col min="14339" max="14339" width="13.7109375" style="84" bestFit="1" customWidth="1"/>
    <col min="14340" max="14590" width="9.140625" style="84"/>
    <col min="14591" max="14591" width="21.85546875" style="84" customWidth="1"/>
    <col min="14592" max="14592" width="35.85546875" style="84" customWidth="1"/>
    <col min="14593" max="14593" width="97.7109375" style="84" customWidth="1"/>
    <col min="14594" max="14594" width="31.7109375" style="84" customWidth="1"/>
    <col min="14595" max="14595" width="13.7109375" style="84" bestFit="1" customWidth="1"/>
    <col min="14596" max="14846" width="9.140625" style="84"/>
    <col min="14847" max="14847" width="21.85546875" style="84" customWidth="1"/>
    <col min="14848" max="14848" width="35.85546875" style="84" customWidth="1"/>
    <col min="14849" max="14849" width="97.7109375" style="84" customWidth="1"/>
    <col min="14850" max="14850" width="31.7109375" style="84" customWidth="1"/>
    <col min="14851" max="14851" width="13.7109375" style="84" bestFit="1" customWidth="1"/>
    <col min="14852" max="15102" width="9.140625" style="84"/>
    <col min="15103" max="15103" width="21.85546875" style="84" customWidth="1"/>
    <col min="15104" max="15104" width="35.85546875" style="84" customWidth="1"/>
    <col min="15105" max="15105" width="97.7109375" style="84" customWidth="1"/>
    <col min="15106" max="15106" width="31.7109375" style="84" customWidth="1"/>
    <col min="15107" max="15107" width="13.7109375" style="84" bestFit="1" customWidth="1"/>
    <col min="15108" max="15358" width="9.140625" style="84"/>
    <col min="15359" max="15359" width="21.85546875" style="84" customWidth="1"/>
    <col min="15360" max="15360" width="35.85546875" style="84" customWidth="1"/>
    <col min="15361" max="15361" width="97.7109375" style="84" customWidth="1"/>
    <col min="15362" max="15362" width="31.7109375" style="84" customWidth="1"/>
    <col min="15363" max="15363" width="13.7109375" style="84" bestFit="1" customWidth="1"/>
    <col min="15364" max="15614" width="9.140625" style="84"/>
    <col min="15615" max="15615" width="21.85546875" style="84" customWidth="1"/>
    <col min="15616" max="15616" width="35.85546875" style="84" customWidth="1"/>
    <col min="15617" max="15617" width="97.7109375" style="84" customWidth="1"/>
    <col min="15618" max="15618" width="31.7109375" style="84" customWidth="1"/>
    <col min="15619" max="15619" width="13.7109375" style="84" bestFit="1" customWidth="1"/>
    <col min="15620" max="15870" width="9.140625" style="84"/>
    <col min="15871" max="15871" width="21.85546875" style="84" customWidth="1"/>
    <col min="15872" max="15872" width="35.85546875" style="84" customWidth="1"/>
    <col min="15873" max="15873" width="97.7109375" style="84" customWidth="1"/>
    <col min="15874" max="15874" width="31.7109375" style="84" customWidth="1"/>
    <col min="15875" max="15875" width="13.7109375" style="84" bestFit="1" customWidth="1"/>
    <col min="15876" max="16126" width="9.140625" style="84"/>
    <col min="16127" max="16127" width="21.85546875" style="84" customWidth="1"/>
    <col min="16128" max="16128" width="35.85546875" style="84" customWidth="1"/>
    <col min="16129" max="16129" width="97.7109375" style="84" customWidth="1"/>
    <col min="16130" max="16130" width="31.7109375" style="84" customWidth="1"/>
    <col min="16131" max="16131" width="13.7109375" style="84" bestFit="1" customWidth="1"/>
    <col min="16132" max="16384" width="9.140625" style="84"/>
  </cols>
  <sheetData>
    <row r="1" spans="1:13" ht="15.75" thickBot="1" x14ac:dyDescent="0.3"/>
    <row r="2" spans="1:13" x14ac:dyDescent="0.25">
      <c r="B2" s="551" t="str">
        <f>"Preassigned Rows Indicating Payment or Scheduling by " &amp;Profit!E1&amp;" Your Home"</f>
        <v>Preassigned Rows Indicating Payment or Scheduling by Buy Your Home</v>
      </c>
      <c r="C2" s="552"/>
      <c r="E2" s="84"/>
    </row>
    <row r="3" spans="1:13" ht="15.75" thickBot="1" x14ac:dyDescent="0.3">
      <c r="B3" s="553"/>
      <c r="C3" s="554"/>
      <c r="E3" s="84"/>
    </row>
    <row r="4" spans="1:13" x14ac:dyDescent="0.25">
      <c r="B4" s="559" t="s">
        <v>331</v>
      </c>
      <c r="C4" s="560"/>
      <c r="E4" s="84"/>
    </row>
    <row r="5" spans="1:13" ht="15.75" thickBot="1" x14ac:dyDescent="0.3">
      <c r="B5" s="561"/>
      <c r="C5" s="562"/>
      <c r="E5" s="84"/>
    </row>
    <row r="6" spans="1:13" x14ac:dyDescent="0.25">
      <c r="B6" s="555" t="s">
        <v>332</v>
      </c>
      <c r="C6" s="556"/>
      <c r="E6" s="84"/>
    </row>
    <row r="7" spans="1:13" ht="15.75" thickBot="1" x14ac:dyDescent="0.3">
      <c r="B7" s="557"/>
      <c r="C7" s="558"/>
    </row>
    <row r="8" spans="1:13" x14ac:dyDescent="0.25">
      <c r="B8" s="563" t="s">
        <v>333</v>
      </c>
      <c r="C8" s="564"/>
    </row>
    <row r="9" spans="1:13" ht="15.75" thickBot="1" x14ac:dyDescent="0.3">
      <c r="B9" s="565"/>
      <c r="C9" s="566"/>
    </row>
    <row r="11" spans="1:13" s="78" customFormat="1" ht="15.75" thickBot="1" x14ac:dyDescent="0.3">
      <c r="A11" s="77" t="s">
        <v>334</v>
      </c>
      <c r="B11" s="77" t="s">
        <v>335</v>
      </c>
      <c r="C11" s="77" t="s">
        <v>336</v>
      </c>
      <c r="D11" s="96" t="s">
        <v>337</v>
      </c>
      <c r="E11" s="97" t="s">
        <v>338</v>
      </c>
      <c r="G11" s="84"/>
      <c r="H11" s="84"/>
      <c r="I11" s="84"/>
      <c r="J11" s="84"/>
      <c r="K11" s="84"/>
      <c r="L11" s="84"/>
      <c r="M11" s="84"/>
    </row>
    <row r="12" spans="1:13" s="78" customFormat="1" ht="15.75" thickTop="1" x14ac:dyDescent="0.25">
      <c r="A12" s="80" t="s">
        <v>339</v>
      </c>
      <c r="B12" s="80" t="s">
        <v>339</v>
      </c>
      <c r="C12" s="80" t="s">
        <v>340</v>
      </c>
      <c r="D12" s="94">
        <v>0</v>
      </c>
      <c r="E12" s="95"/>
      <c r="G12" s="84"/>
      <c r="H12" s="84"/>
      <c r="I12" s="84"/>
      <c r="J12" s="84"/>
      <c r="K12" s="84"/>
      <c r="L12" s="84"/>
      <c r="M12" s="84"/>
    </row>
    <row r="13" spans="1:13" s="78" customFormat="1" x14ac:dyDescent="0.25">
      <c r="A13" s="80" t="s">
        <v>341</v>
      </c>
      <c r="B13" s="80" t="s">
        <v>342</v>
      </c>
      <c r="C13" s="80" t="s">
        <v>343</v>
      </c>
      <c r="D13" s="94">
        <v>0</v>
      </c>
      <c r="E13" s="95"/>
      <c r="G13" s="84"/>
      <c r="H13" s="84"/>
      <c r="I13" s="84"/>
      <c r="J13" s="84"/>
      <c r="K13" s="84"/>
      <c r="L13" s="84"/>
      <c r="M13" s="84"/>
    </row>
    <row r="14" spans="1:13" s="78" customFormat="1" x14ac:dyDescent="0.25">
      <c r="A14" s="80" t="s">
        <v>341</v>
      </c>
      <c r="B14" s="80" t="s">
        <v>344</v>
      </c>
      <c r="C14" s="80" t="s">
        <v>344</v>
      </c>
      <c r="D14" s="94">
        <v>0</v>
      </c>
      <c r="E14" s="95"/>
      <c r="G14" s="84"/>
      <c r="H14" s="84"/>
      <c r="I14" s="84"/>
      <c r="J14" s="84"/>
      <c r="K14" s="84"/>
      <c r="L14" s="84"/>
      <c r="M14" s="84"/>
    </row>
    <row r="15" spans="1:13" s="78" customFormat="1" x14ac:dyDescent="0.25">
      <c r="A15" s="80"/>
      <c r="B15" s="80" t="s">
        <v>345</v>
      </c>
      <c r="C15" s="80" t="s">
        <v>346</v>
      </c>
      <c r="D15" s="94">
        <v>6</v>
      </c>
      <c r="E15" s="95"/>
      <c r="G15" s="84"/>
      <c r="H15" s="84"/>
      <c r="I15" s="84"/>
      <c r="J15" s="84"/>
      <c r="K15" s="84"/>
      <c r="L15" s="84"/>
      <c r="M15" s="84"/>
    </row>
    <row r="16" spans="1:13" s="78" customFormat="1" x14ac:dyDescent="0.25">
      <c r="A16" s="81" t="s">
        <v>347</v>
      </c>
      <c r="B16" s="81" t="s">
        <v>348</v>
      </c>
      <c r="C16" s="81" t="s">
        <v>347</v>
      </c>
      <c r="D16" s="82">
        <v>0</v>
      </c>
      <c r="E16" s="83">
        <v>0</v>
      </c>
      <c r="G16" s="84"/>
      <c r="H16" s="84"/>
      <c r="I16" s="84"/>
      <c r="J16" s="84"/>
      <c r="K16" s="84"/>
      <c r="L16" s="84"/>
      <c r="M16" s="84"/>
    </row>
    <row r="17" spans="1:13" s="78" customFormat="1" x14ac:dyDescent="0.25">
      <c r="A17" s="81" t="s">
        <v>349</v>
      </c>
      <c r="B17" s="81" t="s">
        <v>348</v>
      </c>
      <c r="C17" s="81" t="s">
        <v>350</v>
      </c>
      <c r="D17" s="82">
        <v>0</v>
      </c>
      <c r="E17" s="83">
        <v>200</v>
      </c>
      <c r="G17" s="84"/>
      <c r="H17" s="84"/>
      <c r="I17" s="84"/>
      <c r="J17" s="84"/>
      <c r="K17" s="84"/>
      <c r="L17" s="84"/>
      <c r="M17" s="84"/>
    </row>
    <row r="18" spans="1:13" s="78" customFormat="1" x14ac:dyDescent="0.25">
      <c r="A18" s="81" t="s">
        <v>351</v>
      </c>
      <c r="B18" s="81" t="s">
        <v>348</v>
      </c>
      <c r="C18" s="81" t="s">
        <v>352</v>
      </c>
      <c r="D18" s="82">
        <v>0</v>
      </c>
      <c r="E18" s="83">
        <v>200</v>
      </c>
      <c r="G18" s="84"/>
      <c r="H18" s="84"/>
      <c r="I18" s="84"/>
      <c r="J18" s="84"/>
      <c r="K18" s="84"/>
      <c r="L18" s="84"/>
      <c r="M18" s="84"/>
    </row>
    <row r="19" spans="1:13" s="78" customFormat="1" x14ac:dyDescent="0.25">
      <c r="A19" s="81" t="s">
        <v>353</v>
      </c>
      <c r="B19" s="81" t="s">
        <v>348</v>
      </c>
      <c r="C19" s="81" t="s">
        <v>354</v>
      </c>
      <c r="D19" s="82">
        <v>0</v>
      </c>
      <c r="E19" s="83">
        <v>200</v>
      </c>
      <c r="G19" s="84"/>
      <c r="H19" s="84"/>
      <c r="I19" s="84"/>
      <c r="J19" s="84"/>
      <c r="K19" s="84"/>
      <c r="L19" s="84"/>
      <c r="M19" s="84"/>
    </row>
    <row r="20" spans="1:13" s="78" customFormat="1" x14ac:dyDescent="0.25">
      <c r="A20" s="81" t="s">
        <v>355</v>
      </c>
      <c r="B20" s="81" t="s">
        <v>348</v>
      </c>
      <c r="C20" s="81" t="s">
        <v>356</v>
      </c>
      <c r="D20" s="82">
        <v>0</v>
      </c>
      <c r="E20" s="83">
        <v>135</v>
      </c>
      <c r="G20" s="79"/>
    </row>
    <row r="21" spans="1:13" x14ac:dyDescent="0.25">
      <c r="A21" s="362"/>
      <c r="B21" s="362"/>
      <c r="C21" s="362" t="s">
        <v>357</v>
      </c>
      <c r="D21" s="369">
        <v>1</v>
      </c>
      <c r="E21" s="358">
        <v>0</v>
      </c>
    </row>
    <row r="22" spans="1:13" x14ac:dyDescent="0.25">
      <c r="A22" s="362"/>
      <c r="B22" s="362"/>
      <c r="C22" s="362" t="s">
        <v>358</v>
      </c>
      <c r="D22" s="369">
        <v>0</v>
      </c>
      <c r="E22" s="370">
        <v>0</v>
      </c>
    </row>
    <row r="23" spans="1:13" x14ac:dyDescent="0.25">
      <c r="A23" s="356" t="s">
        <v>359</v>
      </c>
      <c r="B23" s="356"/>
      <c r="C23" s="356"/>
      <c r="D23" s="357"/>
      <c r="E23" s="358"/>
    </row>
    <row r="24" spans="1:13" x14ac:dyDescent="0.25">
      <c r="A24" s="356" t="s">
        <v>359</v>
      </c>
      <c r="B24" s="356"/>
      <c r="C24" s="356"/>
      <c r="D24" s="357"/>
      <c r="E24" s="358"/>
    </row>
    <row r="25" spans="1:13" x14ac:dyDescent="0.25">
      <c r="A25" s="356" t="s">
        <v>360</v>
      </c>
      <c r="B25" s="356"/>
      <c r="C25" s="356"/>
      <c r="D25" s="357"/>
      <c r="E25" s="358"/>
    </row>
    <row r="26" spans="1:13" x14ac:dyDescent="0.25">
      <c r="A26" s="356" t="s">
        <v>361</v>
      </c>
      <c r="B26" s="356"/>
      <c r="C26" s="356"/>
      <c r="D26" s="357"/>
      <c r="E26" s="358"/>
    </row>
    <row r="27" spans="1:13" x14ac:dyDescent="0.25">
      <c r="A27" s="356" t="s">
        <v>361</v>
      </c>
      <c r="B27" s="356"/>
      <c r="C27" s="356"/>
      <c r="D27" s="357"/>
      <c r="E27" s="358"/>
    </row>
    <row r="28" spans="1:13" x14ac:dyDescent="0.25">
      <c r="A28" s="356" t="s">
        <v>361</v>
      </c>
      <c r="B28" s="356"/>
      <c r="C28" s="356"/>
      <c r="D28" s="357"/>
      <c r="E28" s="358"/>
    </row>
    <row r="29" spans="1:13" x14ac:dyDescent="0.25">
      <c r="A29" s="356" t="s">
        <v>361</v>
      </c>
      <c r="B29" s="356"/>
      <c r="C29" s="356"/>
      <c r="D29" s="357"/>
      <c r="E29" s="358"/>
    </row>
    <row r="30" spans="1:13" x14ac:dyDescent="0.25">
      <c r="A30" s="356" t="s">
        <v>362</v>
      </c>
      <c r="B30" s="356"/>
      <c r="C30" s="356"/>
      <c r="D30" s="357"/>
      <c r="E30" s="358"/>
    </row>
    <row r="31" spans="1:13" x14ac:dyDescent="0.25">
      <c r="A31" s="356" t="s">
        <v>363</v>
      </c>
      <c r="B31" s="356"/>
      <c r="C31" s="356"/>
      <c r="D31" s="357"/>
      <c r="E31" s="358"/>
    </row>
    <row r="32" spans="1:13" x14ac:dyDescent="0.25">
      <c r="A32" s="356" t="s">
        <v>363</v>
      </c>
      <c r="B32" s="356"/>
      <c r="C32" s="356"/>
      <c r="D32" s="357"/>
      <c r="E32" s="358"/>
    </row>
    <row r="33" spans="1:7" x14ac:dyDescent="0.25">
      <c r="A33" s="356" t="s">
        <v>363</v>
      </c>
      <c r="B33" s="356"/>
      <c r="C33" s="356"/>
      <c r="D33" s="357"/>
      <c r="E33" s="358"/>
    </row>
    <row r="34" spans="1:7" x14ac:dyDescent="0.25">
      <c r="A34" s="356" t="s">
        <v>364</v>
      </c>
      <c r="B34" s="356"/>
      <c r="C34" s="356"/>
      <c r="D34" s="357"/>
      <c r="E34" s="358"/>
    </row>
    <row r="35" spans="1:7" x14ac:dyDescent="0.25">
      <c r="A35" s="356" t="s">
        <v>364</v>
      </c>
      <c r="B35" s="356"/>
      <c r="C35" s="356"/>
      <c r="D35" s="357"/>
      <c r="E35" s="358"/>
    </row>
    <row r="36" spans="1:7" x14ac:dyDescent="0.25">
      <c r="A36" s="356" t="s">
        <v>364</v>
      </c>
      <c r="B36" s="356"/>
      <c r="C36" s="356"/>
      <c r="D36" s="357"/>
      <c r="E36" s="358"/>
    </row>
    <row r="37" spans="1:7" x14ac:dyDescent="0.25">
      <c r="A37" s="356" t="s">
        <v>365</v>
      </c>
      <c r="B37" s="356"/>
      <c r="C37" s="356"/>
      <c r="D37" s="357"/>
      <c r="E37" s="358"/>
    </row>
    <row r="38" spans="1:7" x14ac:dyDescent="0.25">
      <c r="A38" s="356" t="s">
        <v>366</v>
      </c>
      <c r="B38" s="356"/>
      <c r="C38" s="356"/>
      <c r="D38" s="357"/>
      <c r="E38" s="358"/>
      <c r="G38" s="84">
        <v>1160</v>
      </c>
    </row>
    <row r="39" spans="1:7" x14ac:dyDescent="0.25">
      <c r="A39" s="356" t="s">
        <v>353</v>
      </c>
      <c r="B39" s="356"/>
      <c r="C39" s="356"/>
      <c r="D39" s="357"/>
      <c r="E39" s="358"/>
    </row>
    <row r="40" spans="1:7" x14ac:dyDescent="0.25">
      <c r="A40" s="356" t="s">
        <v>367</v>
      </c>
      <c r="B40" s="356"/>
      <c r="C40" s="356"/>
      <c r="D40" s="357"/>
      <c r="E40" s="358"/>
    </row>
    <row r="41" spans="1:7" x14ac:dyDescent="0.25">
      <c r="A41" s="356" t="s">
        <v>368</v>
      </c>
      <c r="B41" s="356"/>
      <c r="C41" s="356"/>
      <c r="D41" s="357"/>
      <c r="E41" s="358"/>
    </row>
    <row r="42" spans="1:7" x14ac:dyDescent="0.25">
      <c r="A42" s="356" t="s">
        <v>368</v>
      </c>
      <c r="B42" s="356"/>
      <c r="C42" s="356"/>
      <c r="D42" s="357"/>
      <c r="E42" s="358"/>
    </row>
    <row r="43" spans="1:7" x14ac:dyDescent="0.25">
      <c r="A43" s="356" t="s">
        <v>368</v>
      </c>
      <c r="B43" s="356"/>
      <c r="C43" s="356"/>
      <c r="D43" s="357"/>
      <c r="E43" s="358"/>
    </row>
    <row r="44" spans="1:7" x14ac:dyDescent="0.25">
      <c r="A44" s="356" t="s">
        <v>368</v>
      </c>
      <c r="B44" s="356"/>
      <c r="C44" s="356"/>
      <c r="D44" s="357"/>
      <c r="E44" s="358"/>
    </row>
    <row r="45" spans="1:7" x14ac:dyDescent="0.25">
      <c r="A45" s="356" t="s">
        <v>369</v>
      </c>
      <c r="B45" s="356"/>
      <c r="C45" s="356"/>
      <c r="D45" s="357"/>
      <c r="E45" s="358"/>
    </row>
    <row r="46" spans="1:7" x14ac:dyDescent="0.25">
      <c r="A46" s="356" t="s">
        <v>369</v>
      </c>
      <c r="B46" s="356"/>
      <c r="C46" s="356"/>
      <c r="D46" s="357"/>
      <c r="E46" s="358"/>
    </row>
    <row r="47" spans="1:7" x14ac:dyDescent="0.25">
      <c r="A47" s="356" t="s">
        <v>369</v>
      </c>
      <c r="B47" s="356"/>
      <c r="C47" s="356"/>
      <c r="D47" s="357"/>
      <c r="E47" s="358"/>
    </row>
    <row r="48" spans="1:7" x14ac:dyDescent="0.25">
      <c r="A48" s="356" t="s">
        <v>347</v>
      </c>
      <c r="B48" s="356"/>
      <c r="C48" s="356"/>
      <c r="D48" s="357"/>
      <c r="E48" s="358"/>
    </row>
    <row r="49" spans="1:5" x14ac:dyDescent="0.25">
      <c r="A49" s="356" t="s">
        <v>370</v>
      </c>
      <c r="B49" s="356"/>
      <c r="C49" s="356"/>
      <c r="D49" s="357"/>
      <c r="E49" s="358"/>
    </row>
    <row r="50" spans="1:5" x14ac:dyDescent="0.25">
      <c r="A50" s="356" t="s">
        <v>370</v>
      </c>
      <c r="B50" s="356"/>
      <c r="C50" s="356"/>
      <c r="D50" s="357"/>
      <c r="E50" s="358"/>
    </row>
    <row r="51" spans="1:5" x14ac:dyDescent="0.25">
      <c r="A51" s="356" t="s">
        <v>371</v>
      </c>
      <c r="B51" s="356"/>
      <c r="C51" s="356"/>
      <c r="D51" s="357"/>
      <c r="E51" s="358"/>
    </row>
    <row r="52" spans="1:5" x14ac:dyDescent="0.25">
      <c r="A52" s="356" t="s">
        <v>372</v>
      </c>
      <c r="B52" s="356"/>
      <c r="C52" s="356"/>
      <c r="D52" s="357"/>
      <c r="E52" s="358"/>
    </row>
    <row r="53" spans="1:5" x14ac:dyDescent="0.25">
      <c r="A53" s="356" t="s">
        <v>372</v>
      </c>
      <c r="B53" s="356"/>
      <c r="C53" s="356"/>
      <c r="D53" s="357"/>
      <c r="E53" s="358"/>
    </row>
    <row r="54" spans="1:5" x14ac:dyDescent="0.25">
      <c r="A54" s="356" t="s">
        <v>372</v>
      </c>
      <c r="B54" s="356"/>
      <c r="C54" s="356"/>
      <c r="D54" s="357"/>
      <c r="E54" s="358"/>
    </row>
    <row r="55" spans="1:5" x14ac:dyDescent="0.25">
      <c r="A55" s="356" t="s">
        <v>372</v>
      </c>
      <c r="B55" s="356"/>
      <c r="C55" s="356"/>
      <c r="D55" s="357"/>
      <c r="E55" s="358"/>
    </row>
    <row r="56" spans="1:5" x14ac:dyDescent="0.25">
      <c r="A56" s="356" t="s">
        <v>373</v>
      </c>
      <c r="B56" s="356"/>
      <c r="C56" s="356"/>
      <c r="D56" s="357"/>
      <c r="E56" s="358"/>
    </row>
    <row r="57" spans="1:5" x14ac:dyDescent="0.25">
      <c r="A57" s="356" t="s">
        <v>374</v>
      </c>
      <c r="B57" s="356"/>
      <c r="C57" s="356"/>
      <c r="D57" s="357"/>
      <c r="E57" s="358"/>
    </row>
    <row r="58" spans="1:5" x14ac:dyDescent="0.25">
      <c r="A58" s="356" t="s">
        <v>374</v>
      </c>
      <c r="B58" s="356"/>
      <c r="C58" s="356"/>
      <c r="D58" s="357"/>
      <c r="E58" s="358"/>
    </row>
    <row r="59" spans="1:5" x14ac:dyDescent="0.25">
      <c r="A59" s="356" t="s">
        <v>375</v>
      </c>
      <c r="B59" s="356"/>
      <c r="C59" s="356"/>
      <c r="D59" s="357"/>
      <c r="E59" s="358"/>
    </row>
    <row r="60" spans="1:5" x14ac:dyDescent="0.25">
      <c r="A60" s="356" t="s">
        <v>375</v>
      </c>
      <c r="B60" s="356"/>
      <c r="C60" s="356"/>
      <c r="D60" s="357"/>
      <c r="E60" s="358"/>
    </row>
    <row r="61" spans="1:5" x14ac:dyDescent="0.25">
      <c r="A61" s="356" t="s">
        <v>376</v>
      </c>
      <c r="B61" s="356"/>
      <c r="C61" s="356"/>
      <c r="D61" s="357"/>
      <c r="E61" s="358"/>
    </row>
    <row r="62" spans="1:5" x14ac:dyDescent="0.25">
      <c r="A62" s="356" t="s">
        <v>376</v>
      </c>
      <c r="B62" s="356"/>
      <c r="C62" s="356"/>
      <c r="D62" s="357"/>
      <c r="E62" s="358"/>
    </row>
    <row r="63" spans="1:5" x14ac:dyDescent="0.25">
      <c r="A63" s="356" t="s">
        <v>377</v>
      </c>
      <c r="B63" s="356"/>
      <c r="C63" s="356"/>
      <c r="D63" s="357"/>
      <c r="E63" s="358"/>
    </row>
    <row r="64" spans="1:5" x14ac:dyDescent="0.25">
      <c r="A64" s="362" t="s">
        <v>367</v>
      </c>
      <c r="B64" s="362"/>
      <c r="C64" s="362"/>
      <c r="D64" s="357"/>
      <c r="E64" s="358"/>
    </row>
    <row r="65" spans="1:5" x14ac:dyDescent="0.25">
      <c r="A65" s="362" t="s">
        <v>378</v>
      </c>
      <c r="B65" s="362"/>
      <c r="C65" s="362"/>
      <c r="D65" s="369"/>
      <c r="E65" s="370"/>
    </row>
    <row r="66" spans="1:5" x14ac:dyDescent="0.25">
      <c r="A66" s="362" t="s">
        <v>370</v>
      </c>
      <c r="B66" s="362"/>
      <c r="C66" s="362"/>
      <c r="D66" s="357"/>
      <c r="E66" s="358"/>
    </row>
    <row r="67" spans="1:5" x14ac:dyDescent="0.25">
      <c r="A67" s="362" t="s">
        <v>379</v>
      </c>
      <c r="B67" s="362"/>
      <c r="C67" s="362"/>
      <c r="D67" s="369"/>
      <c r="E67" s="370"/>
    </row>
    <row r="68" spans="1:5" x14ac:dyDescent="0.25">
      <c r="A68" s="362" t="s">
        <v>380</v>
      </c>
      <c r="B68" s="362"/>
      <c r="C68" s="362"/>
      <c r="D68" s="357"/>
      <c r="E68" s="358"/>
    </row>
    <row r="69" spans="1:5" x14ac:dyDescent="0.25">
      <c r="A69" s="362" t="s">
        <v>377</v>
      </c>
      <c r="B69" s="362"/>
      <c r="C69" s="362"/>
      <c r="D69" s="369"/>
      <c r="E69" s="370"/>
    </row>
    <row r="70" spans="1:5" x14ac:dyDescent="0.25">
      <c r="A70" s="362" t="s">
        <v>359</v>
      </c>
      <c r="B70" s="362"/>
      <c r="C70" s="362"/>
      <c r="D70" s="357"/>
      <c r="E70" s="358"/>
    </row>
  </sheetData>
  <mergeCells count="4">
    <mergeCell ref="B2:C3"/>
    <mergeCell ref="B6:C7"/>
    <mergeCell ref="B4:C5"/>
    <mergeCell ref="B8:C9"/>
  </mergeCells>
  <phoneticPr fontId="38"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G39" sqref="G39"/>
    </sheetView>
  </sheetViews>
  <sheetFormatPr defaultRowHeight="15" x14ac:dyDescent="0.25"/>
  <cols>
    <col min="1" max="1" width="10.140625" style="104" bestFit="1" customWidth="1"/>
    <col min="2" max="2" width="9.7109375" style="102" bestFit="1" customWidth="1"/>
    <col min="3" max="3" width="18.5703125" style="104" bestFit="1" customWidth="1"/>
    <col min="4" max="4" width="13.5703125" style="104" bestFit="1" customWidth="1"/>
    <col min="5" max="5" width="56.28515625" style="104" bestFit="1" customWidth="1"/>
    <col min="6" max="6" width="8.7109375" style="104" bestFit="1" customWidth="1"/>
    <col min="7" max="7" width="14.28515625" style="147" bestFit="1" customWidth="1"/>
    <col min="8" max="8" width="10" style="147" bestFit="1" customWidth="1"/>
    <col min="9" max="9" width="10.28515625" style="361" bestFit="1" customWidth="1"/>
    <col min="10" max="10" width="11.140625" style="102" bestFit="1" customWidth="1"/>
    <col min="11" max="11" width="14.28515625" style="143" bestFit="1" customWidth="1"/>
    <col min="12" max="12" width="9.7109375" style="103" bestFit="1" customWidth="1"/>
    <col min="13" max="13" width="9.42578125" style="102" bestFit="1" customWidth="1"/>
    <col min="14" max="14" width="10.85546875" style="10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76" t="s">
        <v>381</v>
      </c>
      <c r="B1" s="577"/>
      <c r="C1" s="577"/>
      <c r="D1" s="577"/>
      <c r="E1" s="577"/>
      <c r="F1" s="577"/>
      <c r="G1" s="577"/>
      <c r="H1" s="578"/>
      <c r="I1" s="567" t="s">
        <v>382</v>
      </c>
      <c r="J1" s="568"/>
      <c r="K1" s="568"/>
      <c r="L1" s="568"/>
      <c r="M1" s="568"/>
      <c r="N1" s="569"/>
      <c r="P1" s="31" t="s">
        <v>383</v>
      </c>
      <c r="Q1" s="15">
        <v>1</v>
      </c>
      <c r="R1" s="90" t="s">
        <v>384</v>
      </c>
      <c r="S1" s="15">
        <v>4</v>
      </c>
    </row>
    <row r="2" spans="1:19" x14ac:dyDescent="0.25">
      <c r="A2" s="579"/>
      <c r="B2" s="511"/>
      <c r="C2" s="511"/>
      <c r="D2" s="511"/>
      <c r="E2" s="511"/>
      <c r="F2" s="511"/>
      <c r="G2" s="511"/>
      <c r="H2" s="580"/>
      <c r="I2" s="570"/>
      <c r="J2" s="571"/>
      <c r="K2" s="571"/>
      <c r="L2" s="571"/>
      <c r="M2" s="571"/>
      <c r="N2" s="572"/>
      <c r="P2" s="31" t="s">
        <v>385</v>
      </c>
      <c r="Q2" s="15">
        <v>2</v>
      </c>
      <c r="R2" s="31" t="s">
        <v>386</v>
      </c>
      <c r="S2" s="15">
        <v>0</v>
      </c>
    </row>
    <row r="3" spans="1:19" ht="15.75" thickBot="1" x14ac:dyDescent="0.3">
      <c r="A3" s="581"/>
      <c r="B3" s="582"/>
      <c r="C3" s="582"/>
      <c r="D3" s="582"/>
      <c r="E3" s="582"/>
      <c r="F3" s="582"/>
      <c r="G3" s="582"/>
      <c r="H3" s="583"/>
      <c r="I3" s="573"/>
      <c r="J3" s="574"/>
      <c r="K3" s="574"/>
      <c r="L3" s="574"/>
      <c r="M3" s="574"/>
      <c r="N3" s="575"/>
      <c r="P3" s="31" t="s">
        <v>387</v>
      </c>
      <c r="Q3" s="15">
        <v>3</v>
      </c>
      <c r="R3" s="15" t="s">
        <v>388</v>
      </c>
      <c r="S3" s="15">
        <v>5</v>
      </c>
    </row>
    <row r="4" spans="1:19" s="93" customFormat="1" ht="30.75" thickTop="1" x14ac:dyDescent="0.25">
      <c r="A4" s="144" t="s">
        <v>389</v>
      </c>
      <c r="B4" s="145" t="s">
        <v>390</v>
      </c>
      <c r="C4" s="144" t="s">
        <v>391</v>
      </c>
      <c r="D4" s="144" t="s">
        <v>392</v>
      </c>
      <c r="E4" s="144" t="s">
        <v>393</v>
      </c>
      <c r="F4" s="144" t="s">
        <v>337</v>
      </c>
      <c r="G4" s="146" t="s">
        <v>338</v>
      </c>
      <c r="H4" s="146" t="s">
        <v>394</v>
      </c>
      <c r="I4" s="359" t="s">
        <v>395</v>
      </c>
      <c r="J4" s="99" t="s">
        <v>396</v>
      </c>
      <c r="K4" s="142" t="s">
        <v>83</v>
      </c>
      <c r="L4" s="99" t="s">
        <v>397</v>
      </c>
      <c r="M4" s="99" t="s">
        <v>398</v>
      </c>
      <c r="N4" s="99" t="s">
        <v>161</v>
      </c>
    </row>
    <row r="5" spans="1:19" x14ac:dyDescent="0.25">
      <c r="A5" s="104" t="str">
        <f>+IF(FromProposal[[#This Row],[Cost Code]]&lt;&gt;0,"Glasgow","")</f>
        <v>Glasgow</v>
      </c>
      <c r="B5" s="102">
        <v>1</v>
      </c>
      <c r="C5" s="104" t="s">
        <v>339</v>
      </c>
      <c r="D5" s="104" t="s">
        <v>339</v>
      </c>
      <c r="E5" s="104" t="s">
        <v>340</v>
      </c>
      <c r="F5" s="104">
        <v>0</v>
      </c>
      <c r="I5" s="360"/>
      <c r="J5" s="100"/>
      <c r="K5" s="148"/>
      <c r="L5" s="100"/>
      <c r="M5" s="101"/>
      <c r="N5" s="101"/>
    </row>
    <row r="6" spans="1:19" x14ac:dyDescent="0.25">
      <c r="A6" s="104" t="str">
        <f>+IF(FromProposal[[#This Row],[Cost Code]]&lt;&gt;0,"Glasgow","")</f>
        <v>Glasgow</v>
      </c>
      <c r="B6" s="102">
        <v>2</v>
      </c>
      <c r="C6" s="104" t="s">
        <v>341</v>
      </c>
      <c r="D6" s="104" t="s">
        <v>342</v>
      </c>
      <c r="E6" s="104" t="s">
        <v>343</v>
      </c>
      <c r="F6" s="104">
        <v>0</v>
      </c>
      <c r="I6" s="360"/>
      <c r="J6" s="100"/>
      <c r="K6" s="148"/>
      <c r="L6" s="100"/>
      <c r="M6" s="101"/>
      <c r="N6" s="101"/>
    </row>
    <row r="7" spans="1:19" x14ac:dyDescent="0.25">
      <c r="A7" s="104" t="str">
        <f>+IF(FromProposal[[#This Row],[Cost Code]]&lt;&gt;0,"Glasgow","")</f>
        <v>Glasgow</v>
      </c>
      <c r="B7" s="102">
        <v>3</v>
      </c>
      <c r="C7" s="104" t="s">
        <v>341</v>
      </c>
      <c r="D7" s="104" t="s">
        <v>344</v>
      </c>
      <c r="E7" s="104" t="s">
        <v>344</v>
      </c>
      <c r="F7" s="104">
        <v>0</v>
      </c>
      <c r="I7" s="360"/>
      <c r="J7" s="100"/>
      <c r="K7" s="148"/>
      <c r="L7" s="100"/>
      <c r="M7" s="101"/>
      <c r="N7" s="101"/>
    </row>
    <row r="8" spans="1:19" x14ac:dyDescent="0.25">
      <c r="A8" s="104" t="str">
        <f>+IF(FromProposal[[#This Row],[Cost Code]]&lt;&gt;0,"Glasgow","")</f>
        <v/>
      </c>
      <c r="B8" s="102">
        <v>4</v>
      </c>
      <c r="D8" s="104" t="s">
        <v>345</v>
      </c>
      <c r="E8" s="104" t="s">
        <v>346</v>
      </c>
      <c r="F8" s="104">
        <v>6</v>
      </c>
      <c r="I8" s="360"/>
      <c r="J8" s="100"/>
      <c r="K8" s="148"/>
      <c r="L8" s="100"/>
      <c r="M8" s="101"/>
      <c r="N8" s="101"/>
    </row>
    <row r="9" spans="1:19" x14ac:dyDescent="0.25">
      <c r="A9" s="104" t="str">
        <f>+IF(FromProposal[[#This Row],[Cost Code]]&lt;&gt;0,"Glasgow","")</f>
        <v>Glasgow</v>
      </c>
      <c r="B9" s="102">
        <v>5</v>
      </c>
      <c r="C9" s="104" t="s">
        <v>347</v>
      </c>
      <c r="D9" s="104" t="s">
        <v>348</v>
      </c>
      <c r="E9" s="104" t="s">
        <v>347</v>
      </c>
      <c r="F9" s="104">
        <v>0</v>
      </c>
      <c r="G9" s="147">
        <v>0</v>
      </c>
      <c r="H9" s="147">
        <v>0</v>
      </c>
      <c r="I9" s="360"/>
      <c r="J9" s="100"/>
      <c r="K9" s="148"/>
      <c r="L9" s="100"/>
      <c r="M9" s="101"/>
      <c r="N9" s="101"/>
    </row>
    <row r="10" spans="1:19" x14ac:dyDescent="0.25">
      <c r="A10" s="104" t="str">
        <f>+IF(FromProposal[[#This Row],[Cost Code]]&lt;&gt;0,"Glasgow","")</f>
        <v>Glasgow</v>
      </c>
      <c r="B10" s="102">
        <v>6</v>
      </c>
      <c r="C10" s="104" t="s">
        <v>349</v>
      </c>
      <c r="D10" s="104" t="s">
        <v>348</v>
      </c>
      <c r="E10" s="104" t="s">
        <v>350</v>
      </c>
      <c r="F10" s="104">
        <v>0</v>
      </c>
      <c r="G10" s="147">
        <v>200</v>
      </c>
      <c r="H10" s="147">
        <v>0</v>
      </c>
      <c r="I10" s="360"/>
      <c r="J10" s="100"/>
      <c r="K10" s="148"/>
      <c r="L10" s="100"/>
      <c r="M10" s="101"/>
      <c r="N10" s="101"/>
    </row>
    <row r="11" spans="1:19" x14ac:dyDescent="0.25">
      <c r="A11" s="104" t="str">
        <f>+IF(FromProposal[[#This Row],[Cost Code]]&lt;&gt;0,"Glasgow","")</f>
        <v>Glasgow</v>
      </c>
      <c r="B11" s="102">
        <v>7</v>
      </c>
      <c r="C11" s="104" t="s">
        <v>351</v>
      </c>
      <c r="D11" s="104" t="s">
        <v>348</v>
      </c>
      <c r="E11" s="104" t="s">
        <v>352</v>
      </c>
      <c r="F11" s="104">
        <v>0</v>
      </c>
      <c r="G11" s="147">
        <v>200</v>
      </c>
      <c r="H11" s="147">
        <v>0</v>
      </c>
      <c r="I11" s="360"/>
      <c r="J11" s="100"/>
      <c r="K11" s="148"/>
      <c r="L11" s="100"/>
      <c r="M11" s="101"/>
      <c r="N11" s="101"/>
    </row>
    <row r="12" spans="1:19" x14ac:dyDescent="0.25">
      <c r="A12" s="104" t="str">
        <f>+IF(FromProposal[[#This Row],[Cost Code]]&lt;&gt;0,"Glasgow","")</f>
        <v>Glasgow</v>
      </c>
      <c r="B12" s="102">
        <v>8</v>
      </c>
      <c r="C12" s="104" t="s">
        <v>353</v>
      </c>
      <c r="D12" s="104" t="s">
        <v>348</v>
      </c>
      <c r="E12" s="104" t="s">
        <v>354</v>
      </c>
      <c r="F12" s="104">
        <v>0</v>
      </c>
      <c r="G12" s="147">
        <v>200</v>
      </c>
      <c r="H12" s="147">
        <v>0</v>
      </c>
      <c r="I12" s="360"/>
      <c r="J12" s="100"/>
      <c r="K12" s="148"/>
      <c r="L12" s="100"/>
      <c r="M12" s="101"/>
      <c r="N12" s="101"/>
    </row>
    <row r="13" spans="1:19" x14ac:dyDescent="0.25">
      <c r="A13" s="104" t="str">
        <f>+IF(FromProposal[[#This Row],[Cost Code]]&lt;&gt;0,"Glasgow","")</f>
        <v>Glasgow</v>
      </c>
      <c r="B13" s="102">
        <v>9</v>
      </c>
      <c r="C13" s="104" t="s">
        <v>355</v>
      </c>
      <c r="D13" s="104" t="s">
        <v>348</v>
      </c>
      <c r="E13" s="104" t="s">
        <v>356</v>
      </c>
      <c r="F13" s="104">
        <v>0</v>
      </c>
      <c r="G13" s="147">
        <v>135</v>
      </c>
      <c r="H13" s="147">
        <v>0</v>
      </c>
      <c r="I13" s="360"/>
      <c r="J13" s="100"/>
      <c r="K13" s="148"/>
      <c r="L13" s="100"/>
      <c r="M13" s="101"/>
      <c r="N13" s="101"/>
    </row>
    <row r="14" spans="1:19" x14ac:dyDescent="0.25">
      <c r="A14" s="104" t="str">
        <f>+IF(FromProposal[[#This Row],[Cost Code]]&lt;&gt;0,"Glasgow","")</f>
        <v/>
      </c>
      <c r="B14" s="102">
        <v>10</v>
      </c>
      <c r="E14" s="104" t="s">
        <v>357</v>
      </c>
      <c r="F14" s="104">
        <v>1</v>
      </c>
      <c r="G14" s="147">
        <v>0</v>
      </c>
      <c r="H14" s="147">
        <v>0</v>
      </c>
      <c r="I14" s="360"/>
      <c r="J14" s="100"/>
      <c r="K14" s="148"/>
      <c r="L14" s="100"/>
      <c r="M14" s="101"/>
      <c r="N14" s="101"/>
    </row>
    <row r="15" spans="1:19" x14ac:dyDescent="0.25">
      <c r="A15" s="104" t="str">
        <f>+IF(FromProposal[[#This Row],[Cost Code]]&lt;&gt;0,"Glasgow","")</f>
        <v/>
      </c>
      <c r="B15" s="102">
        <v>11</v>
      </c>
      <c r="E15" s="104" t="s">
        <v>358</v>
      </c>
      <c r="F15" s="104">
        <v>0</v>
      </c>
      <c r="G15" s="147">
        <v>0</v>
      </c>
      <c r="H15" s="147">
        <v>0</v>
      </c>
      <c r="I15" s="360"/>
      <c r="J15" s="100"/>
      <c r="K15" s="148"/>
      <c r="L15" s="100"/>
      <c r="M15" s="101"/>
      <c r="N15" s="101"/>
    </row>
    <row r="16" spans="1:19" x14ac:dyDescent="0.25">
      <c r="A16" s="104" t="str">
        <f>+IF(FromProposal[[#This Row],[Cost Code]]&lt;&gt;0,"Glasgow","")</f>
        <v>Glasgow</v>
      </c>
      <c r="B16" s="102">
        <v>12</v>
      </c>
      <c r="C16" s="104" t="s">
        <v>359</v>
      </c>
      <c r="I16" s="360"/>
      <c r="J16" s="100"/>
      <c r="K16" s="148"/>
      <c r="L16" s="100"/>
      <c r="M16" s="101"/>
      <c r="N16" s="101"/>
    </row>
    <row r="17" spans="1:14" x14ac:dyDescent="0.25">
      <c r="A17" s="104" t="str">
        <f>+IF(FromProposal[[#This Row],[Cost Code]]&lt;&gt;0,"Glasgow","")</f>
        <v>Glasgow</v>
      </c>
      <c r="B17" s="102">
        <v>13</v>
      </c>
      <c r="C17" s="104" t="s">
        <v>359</v>
      </c>
      <c r="I17" s="360"/>
      <c r="J17" s="100"/>
      <c r="K17" s="148"/>
      <c r="L17" s="100"/>
      <c r="M17" s="101"/>
      <c r="N17" s="101"/>
    </row>
    <row r="18" spans="1:14" x14ac:dyDescent="0.25">
      <c r="A18" s="104" t="str">
        <f>+IF(FromProposal[[#This Row],[Cost Code]]&lt;&gt;0,"Glasgow","")</f>
        <v>Glasgow</v>
      </c>
      <c r="B18" s="102">
        <v>14</v>
      </c>
      <c r="C18" s="104" t="s">
        <v>360</v>
      </c>
      <c r="I18" s="360"/>
      <c r="J18" s="100"/>
      <c r="K18" s="148"/>
      <c r="L18" s="100"/>
      <c r="M18" s="101"/>
      <c r="N18" s="101"/>
    </row>
    <row r="19" spans="1:14" x14ac:dyDescent="0.25">
      <c r="A19" s="104" t="str">
        <f>+IF(FromProposal[[#This Row],[Cost Code]]&lt;&gt;0,"Glasgow","")</f>
        <v>Glasgow</v>
      </c>
      <c r="B19" s="102">
        <v>15</v>
      </c>
      <c r="C19" s="104" t="s">
        <v>361</v>
      </c>
      <c r="I19" s="360"/>
      <c r="J19" s="100"/>
      <c r="K19" s="148"/>
      <c r="L19" s="100"/>
      <c r="M19" s="101"/>
      <c r="N19" s="101"/>
    </row>
    <row r="20" spans="1:14" x14ac:dyDescent="0.25">
      <c r="A20" s="104" t="str">
        <f>+IF(FromProposal[[#This Row],[Cost Code]]&lt;&gt;0,"Glasgow","")</f>
        <v>Glasgow</v>
      </c>
      <c r="B20" s="102">
        <v>16</v>
      </c>
      <c r="C20" s="104" t="s">
        <v>361</v>
      </c>
      <c r="I20" s="360"/>
      <c r="J20" s="100"/>
      <c r="K20" s="148"/>
      <c r="L20" s="100"/>
      <c r="M20" s="101"/>
      <c r="N20" s="101"/>
    </row>
    <row r="21" spans="1:14" x14ac:dyDescent="0.25">
      <c r="G21" s="104"/>
      <c r="H21" s="104"/>
    </row>
    <row r="22" spans="1:14" x14ac:dyDescent="0.25">
      <c r="G22" s="104"/>
      <c r="H22" s="104"/>
    </row>
    <row r="23" spans="1:14" x14ac:dyDescent="0.25">
      <c r="G23" s="104"/>
      <c r="H23" s="104"/>
    </row>
    <row r="24" spans="1:14" x14ac:dyDescent="0.25">
      <c r="G24" s="104"/>
      <c r="H24" s="104"/>
    </row>
    <row r="25" spans="1:14" x14ac:dyDescent="0.25">
      <c r="G25" s="104"/>
      <c r="H25" s="104"/>
    </row>
    <row r="26" spans="1:14" x14ac:dyDescent="0.25">
      <c r="G26" s="104"/>
      <c r="H26" s="104"/>
    </row>
    <row r="27" spans="1:14" x14ac:dyDescent="0.25">
      <c r="G27" s="104"/>
      <c r="H27" s="104"/>
    </row>
    <row r="28" spans="1:14" x14ac:dyDescent="0.25">
      <c r="G28" s="104"/>
      <c r="H28" s="104"/>
    </row>
    <row r="29" spans="1:14" x14ac:dyDescent="0.25">
      <c r="G29" s="104"/>
      <c r="H29" s="104"/>
    </row>
    <row r="30" spans="1:14" x14ac:dyDescent="0.25">
      <c r="G30" s="104"/>
      <c r="H30" s="104"/>
    </row>
    <row r="31" spans="1:14" x14ac:dyDescent="0.25">
      <c r="G31" s="104"/>
      <c r="H31" s="104"/>
    </row>
    <row r="32" spans="1:14" x14ac:dyDescent="0.25">
      <c r="G32" s="104"/>
      <c r="H32" s="104"/>
    </row>
    <row r="33" spans="7:8" x14ac:dyDescent="0.25">
      <c r="G33" s="104"/>
      <c r="H33" s="104"/>
    </row>
    <row r="34" spans="7:8" x14ac:dyDescent="0.25">
      <c r="G34" s="104"/>
      <c r="H34" s="104"/>
    </row>
    <row r="35" spans="7:8" x14ac:dyDescent="0.25">
      <c r="G35" s="104"/>
      <c r="H35" s="104"/>
    </row>
    <row r="36" spans="7:8" x14ac:dyDescent="0.25">
      <c r="G36" s="104"/>
      <c r="H36" s="104"/>
    </row>
    <row r="37" spans="7:8" x14ac:dyDescent="0.25">
      <c r="G37" s="104"/>
      <c r="H37" s="104"/>
    </row>
    <row r="38" spans="7:8" x14ac:dyDescent="0.25">
      <c r="G38" s="104"/>
      <c r="H38" s="104"/>
    </row>
    <row r="39" spans="7:8" x14ac:dyDescent="0.25">
      <c r="G39" s="104"/>
      <c r="H39" s="104"/>
    </row>
    <row r="40" spans="7:8" x14ac:dyDescent="0.25">
      <c r="G40" s="104"/>
      <c r="H40" s="104"/>
    </row>
    <row r="41" spans="7:8" x14ac:dyDescent="0.25">
      <c r="G41" s="104"/>
      <c r="H41" s="104"/>
    </row>
    <row r="42" spans="7:8" x14ac:dyDescent="0.25">
      <c r="G42" s="104"/>
      <c r="H42" s="104"/>
    </row>
    <row r="43" spans="7:8" x14ac:dyDescent="0.25">
      <c r="G43" s="104"/>
      <c r="H43" s="104"/>
    </row>
    <row r="44" spans="7:8" x14ac:dyDescent="0.25">
      <c r="G44" s="104"/>
      <c r="H44" s="104"/>
    </row>
    <row r="45" spans="7:8" x14ac:dyDescent="0.25">
      <c r="G45" s="104"/>
      <c r="H45" s="104"/>
    </row>
    <row r="46" spans="7:8" x14ac:dyDescent="0.25">
      <c r="G46" s="104"/>
      <c r="H46" s="104"/>
    </row>
    <row r="47" spans="7:8" x14ac:dyDescent="0.25">
      <c r="G47" s="104"/>
      <c r="H47" s="104"/>
    </row>
    <row r="48" spans="7:8" x14ac:dyDescent="0.25">
      <c r="G48" s="104"/>
      <c r="H48" s="104"/>
    </row>
    <row r="49" spans="7:8" x14ac:dyDescent="0.25">
      <c r="G49" s="104"/>
      <c r="H49" s="104"/>
    </row>
    <row r="50" spans="7:8" x14ac:dyDescent="0.25">
      <c r="G50" s="104"/>
      <c r="H50" s="104"/>
    </row>
    <row r="51" spans="7:8" x14ac:dyDescent="0.25">
      <c r="G51" s="104"/>
      <c r="H51" s="104"/>
    </row>
    <row r="52" spans="7:8" x14ac:dyDescent="0.25">
      <c r="G52" s="104"/>
      <c r="H52" s="104"/>
    </row>
    <row r="53" spans="7:8" x14ac:dyDescent="0.25">
      <c r="G53" s="104"/>
      <c r="H53" s="104"/>
    </row>
    <row r="54" spans="7:8" x14ac:dyDescent="0.25">
      <c r="G54" s="104"/>
      <c r="H54" s="104"/>
    </row>
    <row r="55" spans="7:8" x14ac:dyDescent="0.25">
      <c r="G55" s="104"/>
      <c r="H55" s="104"/>
    </row>
    <row r="56" spans="7:8" x14ac:dyDescent="0.25">
      <c r="G56" s="104"/>
      <c r="H56" s="104"/>
    </row>
    <row r="57" spans="7:8" x14ac:dyDescent="0.25">
      <c r="G57" s="104"/>
      <c r="H57" s="104"/>
    </row>
    <row r="58" spans="7:8" x14ac:dyDescent="0.25">
      <c r="G58" s="104"/>
      <c r="H58" s="104"/>
    </row>
    <row r="59" spans="7:8" x14ac:dyDescent="0.25">
      <c r="G59" s="104"/>
      <c r="H59" s="104"/>
    </row>
    <row r="60" spans="7:8" x14ac:dyDescent="0.25">
      <c r="G60" s="104"/>
      <c r="H60" s="104"/>
    </row>
    <row r="61" spans="7:8" x14ac:dyDescent="0.25">
      <c r="G61" s="104"/>
      <c r="H61" s="104"/>
    </row>
    <row r="62" spans="7:8" x14ac:dyDescent="0.25">
      <c r="G62" s="104"/>
      <c r="H62" s="104"/>
    </row>
    <row r="63" spans="7:8" x14ac:dyDescent="0.25">
      <c r="G63" s="104"/>
      <c r="H63" s="104"/>
    </row>
    <row r="64" spans="7:8" x14ac:dyDescent="0.25">
      <c r="G64" s="104"/>
      <c r="H64" s="104"/>
    </row>
  </sheetData>
  <mergeCells count="2">
    <mergeCell ref="I1:N3"/>
    <mergeCell ref="A1:H3"/>
  </mergeCells>
  <phoneticPr fontId="38"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I26" sqref="I26"/>
    </sheetView>
  </sheetViews>
  <sheetFormatPr defaultColWidth="9.140625" defaultRowHeight="30" customHeight="1" x14ac:dyDescent="0.25"/>
  <cols>
    <col min="1" max="1" width="17.28515625" style="105" bestFit="1" customWidth="1"/>
    <col min="2" max="2" width="5.28515625" style="106" customWidth="1"/>
    <col min="3" max="3" width="18.5703125" style="107" bestFit="1" customWidth="1"/>
    <col min="4" max="4" width="21.140625" style="105" customWidth="1"/>
    <col min="5" max="5" width="69.140625" style="25" customWidth="1"/>
    <col min="6" max="6" width="5.5703125" style="36" customWidth="1"/>
    <col min="7" max="7" width="9.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246"/>
      <c r="B1" s="247"/>
      <c r="C1" s="248"/>
      <c r="D1" s="249"/>
      <c r="E1" s="250"/>
      <c r="F1" s="251"/>
      <c r="G1" s="251"/>
      <c r="H1" s="251"/>
      <c r="I1" s="251"/>
      <c r="J1" s="601" t="s">
        <v>399</v>
      </c>
      <c r="K1" s="601"/>
      <c r="L1" s="251"/>
      <c r="M1" s="251"/>
      <c r="N1" s="252" t="s">
        <v>400</v>
      </c>
      <c r="O1" s="253"/>
    </row>
    <row r="2" spans="1:125" ht="30" customHeight="1" thickBot="1" x14ac:dyDescent="0.35">
      <c r="A2" s="584" t="str">
        <f>"Glasgow Design Build for "&amp;Profit!E1&amp; " Your Home"</f>
        <v>Glasgow Design Build for Buy Your Home</v>
      </c>
      <c r="B2" s="585"/>
      <c r="C2" s="585"/>
      <c r="D2" s="585"/>
      <c r="E2" s="266" t="s">
        <v>401</v>
      </c>
      <c r="F2" s="597">
        <f>+MIN(ProposalToGnatt[Start Date])</f>
        <v>0</v>
      </c>
      <c r="G2" s="598"/>
      <c r="H2" s="604" t="s">
        <v>402</v>
      </c>
      <c r="I2" s="605"/>
      <c r="J2" s="587">
        <f>+SUM(H8:H22)</f>
        <v>27817.440000000002</v>
      </c>
      <c r="K2" s="588"/>
      <c r="L2" s="254"/>
      <c r="M2" s="587">
        <f>+SUM(O8:O22)-SUM(M8:M22)</f>
        <v>1070</v>
      </c>
      <c r="N2" s="610"/>
      <c r="O2" s="255"/>
      <c r="P2" s="91"/>
      <c r="R2" s="89"/>
      <c r="S2" s="89"/>
      <c r="T2" s="89"/>
      <c r="U2" s="89"/>
      <c r="V2" s="89"/>
      <c r="W2" s="89"/>
      <c r="X2" s="89"/>
      <c r="Y2" s="89"/>
      <c r="Z2" s="89"/>
      <c r="AA2" s="89"/>
      <c r="AB2" s="89"/>
      <c r="AC2" s="89"/>
      <c r="AD2" s="89"/>
      <c r="AE2" s="89"/>
      <c r="AF2" s="89"/>
      <c r="AG2" s="89"/>
      <c r="AH2" s="89"/>
      <c r="AI2" s="89"/>
      <c r="AJ2" s="90"/>
      <c r="AK2" s="90"/>
      <c r="AP2" s="15"/>
      <c r="AQ2" s="15"/>
      <c r="AR2" s="15"/>
    </row>
    <row r="3" spans="1:125" ht="30" customHeight="1" x14ac:dyDescent="0.3">
      <c r="A3" s="584" t="s">
        <v>403</v>
      </c>
      <c r="B3" s="585" t="s">
        <v>403</v>
      </c>
      <c r="C3" s="585"/>
      <c r="D3" s="585"/>
      <c r="E3" s="267"/>
      <c r="H3" s="606" t="s">
        <v>404</v>
      </c>
      <c r="I3" s="607"/>
      <c r="J3" s="591">
        <f>SUM(H24:H27)</f>
        <v>750</v>
      </c>
      <c r="K3" s="592"/>
      <c r="L3" s="256"/>
      <c r="M3" s="591">
        <f>+J3-SUM(M24:M27)</f>
        <v>0</v>
      </c>
      <c r="N3" s="611"/>
      <c r="O3" s="257"/>
      <c r="P3" s="91"/>
      <c r="AP3" s="15"/>
      <c r="AQ3" s="15"/>
      <c r="AR3" s="15"/>
    </row>
    <row r="4" spans="1:125" ht="30" customHeight="1" x14ac:dyDescent="0.3">
      <c r="A4" s="584" t="str">
        <f>+Profit!B2</f>
        <v>3325 Banks Rd, Raleigh, NC 27603</v>
      </c>
      <c r="B4" s="585" t="str">
        <f>+Profit!B2</f>
        <v>3325 Banks Rd, Raleigh, NC 27603</v>
      </c>
      <c r="C4" s="585"/>
      <c r="D4" s="585"/>
      <c r="E4" s="602" t="s">
        <v>405</v>
      </c>
      <c r="F4" s="603"/>
      <c r="G4" s="108">
        <v>1</v>
      </c>
      <c r="H4" s="608" t="s">
        <v>406</v>
      </c>
      <c r="I4" s="609"/>
      <c r="J4" s="593">
        <f>SUM(ProposalToGnatt[Price])</f>
        <v>0</v>
      </c>
      <c r="K4" s="594"/>
      <c r="L4" s="258"/>
      <c r="M4" s="593" cm="1">
        <f t="array" ref="M4">+SUM(ProposalToGnatt[Due]-ProposalToGnatt[Paid])</f>
        <v>0</v>
      </c>
      <c r="N4" s="594"/>
      <c r="O4" s="259"/>
      <c r="P4" s="91"/>
      <c r="AP4" s="15"/>
      <c r="AQ4" s="15"/>
      <c r="AR4" s="15"/>
    </row>
    <row r="5" spans="1:125" ht="18" customHeight="1" thickBot="1" x14ac:dyDescent="0.3">
      <c r="A5" s="260"/>
      <c r="B5" s="261" t="s">
        <v>407</v>
      </c>
      <c r="C5" s="262"/>
      <c r="D5" s="263"/>
      <c r="E5" s="589" t="s">
        <v>408</v>
      </c>
      <c r="F5" s="590"/>
      <c r="G5" s="264">
        <v>2</v>
      </c>
      <c r="H5" s="586" t="s">
        <v>409</v>
      </c>
      <c r="I5" s="586"/>
      <c r="J5" s="595">
        <f>+SUM(J2:K4)</f>
        <v>28567.440000000002</v>
      </c>
      <c r="K5" s="596"/>
      <c r="L5" s="24"/>
      <c r="M5" s="612">
        <f>+SUM(M2:N4)</f>
        <v>1070</v>
      </c>
      <c r="N5" s="509"/>
      <c r="O5" s="265"/>
      <c r="P5" s="87"/>
      <c r="BB5" s="15"/>
      <c r="BC5" s="15"/>
      <c r="BD5" s="15"/>
    </row>
    <row r="6" spans="1:125" s="22" customFormat="1" ht="30.75" customHeight="1" x14ac:dyDescent="0.35">
      <c r="A6" s="109"/>
      <c r="B6" s="110"/>
      <c r="C6" s="111"/>
      <c r="D6" s="109"/>
      <c r="E6" s="112" t="str">
        <f>Profit!E1&amp;" Your Home Supplied Materials"</f>
        <v>Buy Your Home Supplied Materials</v>
      </c>
      <c r="F6" s="109"/>
      <c r="G6" s="113"/>
      <c r="H6" s="113"/>
      <c r="I6" s="109"/>
      <c r="J6" s="109"/>
      <c r="K6" s="114"/>
      <c r="L6" s="109"/>
      <c r="M6" s="109"/>
      <c r="N6" s="109"/>
      <c r="O6" s="109"/>
      <c r="R6" s="36"/>
      <c r="S6" s="36"/>
      <c r="T6" s="36"/>
      <c r="U6" s="36"/>
      <c r="V6" s="36"/>
      <c r="W6" s="36"/>
      <c r="X6" s="36"/>
      <c r="Y6" s="36"/>
      <c r="Z6" s="36"/>
      <c r="AA6" s="36"/>
      <c r="AB6" s="36"/>
      <c r="AC6" s="36"/>
      <c r="AD6" s="36"/>
      <c r="AE6" s="36"/>
      <c r="AF6" s="36"/>
      <c r="AG6" s="36"/>
      <c r="AH6" s="36"/>
    </row>
    <row r="7" spans="1:125" s="42" customFormat="1" ht="32.25" customHeight="1" x14ac:dyDescent="0.25">
      <c r="A7" s="109" t="s">
        <v>410</v>
      </c>
      <c r="B7" s="110" t="s">
        <v>411</v>
      </c>
      <c r="C7" s="111" t="s">
        <v>391</v>
      </c>
      <c r="D7" s="109" t="s">
        <v>392</v>
      </c>
      <c r="E7" s="109" t="s">
        <v>393</v>
      </c>
      <c r="F7" s="109" t="s">
        <v>337</v>
      </c>
      <c r="G7" s="113" t="s">
        <v>338</v>
      </c>
      <c r="H7" s="113" t="s">
        <v>394</v>
      </c>
      <c r="I7" s="109" t="s">
        <v>395</v>
      </c>
      <c r="J7" s="109" t="s">
        <v>396</v>
      </c>
      <c r="K7" s="114" t="s">
        <v>83</v>
      </c>
      <c r="L7" s="109" t="s">
        <v>397</v>
      </c>
      <c r="M7" s="109" t="s">
        <v>398</v>
      </c>
      <c r="N7" s="109" t="s">
        <v>161</v>
      </c>
      <c r="O7" s="109" t="s">
        <v>412</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115" t="str">
        <f>Profit!$E$1&amp;" Your Home"</f>
        <v>Buy Your Home</v>
      </c>
      <c r="B8" s="116">
        <v>1</v>
      </c>
      <c r="C8" s="117"/>
      <c r="D8" s="115"/>
      <c r="E8" s="115" t="s">
        <v>413</v>
      </c>
      <c r="F8" s="116">
        <v>1</v>
      </c>
      <c r="G8" s="118">
        <f>+'Demo &amp; Trash Haul'!G21</f>
        <v>5322.49</v>
      </c>
      <c r="H8" s="118">
        <f t="shared" ref="H8:H22" si="0">+F8*G8</f>
        <v>5322.49</v>
      </c>
      <c r="I8" s="119" t="s">
        <v>177</v>
      </c>
      <c r="J8" s="118"/>
      <c r="K8" s="120"/>
      <c r="L8" s="118"/>
      <c r="M8" s="118">
        <v>4672.49</v>
      </c>
      <c r="N8" s="119"/>
      <c r="O8" s="118">
        <f t="shared" ref="O8:O22" si="1">IF(I8="Yes",H8,0)</f>
        <v>5322.49</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115" t="str">
        <f>Profit!$E$1&amp;" Your Home"</f>
        <v>Buy Your Home</v>
      </c>
      <c r="B9" s="116">
        <f t="shared" ref="B9" si="2">+B8+1</f>
        <v>2</v>
      </c>
      <c r="C9" s="117"/>
      <c r="D9" s="115"/>
      <c r="E9" s="115" t="s">
        <v>414</v>
      </c>
      <c r="F9" s="116">
        <v>0</v>
      </c>
      <c r="G9" s="118">
        <f>+Taxes!E19</f>
        <v>0</v>
      </c>
      <c r="H9" s="118">
        <f t="shared" si="0"/>
        <v>0</v>
      </c>
      <c r="I9" s="119"/>
      <c r="J9" s="118"/>
      <c r="K9" s="120"/>
      <c r="L9" s="118"/>
      <c r="M9" s="118"/>
      <c r="N9" s="119"/>
      <c r="O9" s="118">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115" t="str">
        <f>Profit!$E$1&amp;" Your Home"</f>
        <v>Buy Your Home</v>
      </c>
      <c r="B10" s="116">
        <f>+B8+1</f>
        <v>2</v>
      </c>
      <c r="C10" s="117"/>
      <c r="D10" s="115"/>
      <c r="E10" s="115" t="s">
        <v>415</v>
      </c>
      <c r="F10" s="116">
        <v>0</v>
      </c>
      <c r="G10" s="118">
        <f>+Appliances!F21</f>
        <v>1269.1600000000001</v>
      </c>
      <c r="H10" s="118">
        <f t="shared" si="0"/>
        <v>0</v>
      </c>
      <c r="I10" s="119"/>
      <c r="J10" s="118"/>
      <c r="K10" s="120"/>
      <c r="L10" s="118"/>
      <c r="M10" s="118"/>
      <c r="N10" s="119"/>
      <c r="O10" s="118">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115" t="str">
        <f>Profit!$E$1&amp;" Your Home"</f>
        <v>Buy Your Home</v>
      </c>
      <c r="B11" s="116">
        <f t="shared" ref="B11:B22" si="3">+B10+1</f>
        <v>3</v>
      </c>
      <c r="C11" s="117"/>
      <c r="D11" s="115"/>
      <c r="E11" s="115" t="s">
        <v>416</v>
      </c>
      <c r="F11" s="116">
        <v>0</v>
      </c>
      <c r="G11" s="118">
        <f>+'Plumbing Fixtures'!F23</f>
        <v>433.46</v>
      </c>
      <c r="H11" s="118">
        <f t="shared" si="0"/>
        <v>0</v>
      </c>
      <c r="I11" s="119"/>
      <c r="J11" s="118"/>
      <c r="K11" s="120"/>
      <c r="L11" s="118"/>
      <c r="M11" s="118"/>
      <c r="N11" s="119"/>
      <c r="O11" s="118">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115" t="str">
        <f>Profit!$E$1&amp;" Your Home"</f>
        <v>Buy Your Home</v>
      </c>
      <c r="B12" s="116">
        <f t="shared" si="3"/>
        <v>4</v>
      </c>
      <c r="C12" s="117"/>
      <c r="D12" s="115"/>
      <c r="E12" s="115" t="s">
        <v>417</v>
      </c>
      <c r="F12" s="116">
        <v>0</v>
      </c>
      <c r="G12" s="118">
        <f>+'Windows &amp; Doors'!F30</f>
        <v>749.65000000000009</v>
      </c>
      <c r="H12" s="118">
        <f t="shared" si="0"/>
        <v>0</v>
      </c>
      <c r="I12" s="119"/>
      <c r="J12" s="118"/>
      <c r="K12" s="120"/>
      <c r="L12" s="118"/>
      <c r="M12" s="118"/>
      <c r="N12" s="119"/>
      <c r="O12" s="118">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115" t="str">
        <f>Profit!$E$1&amp;" Your Home"</f>
        <v>Buy Your Home</v>
      </c>
      <c r="B13" s="116">
        <f t="shared" si="3"/>
        <v>5</v>
      </c>
      <c r="C13" s="117"/>
      <c r="D13" s="115"/>
      <c r="E13" s="115" t="s">
        <v>418</v>
      </c>
      <c r="F13" s="116">
        <v>0</v>
      </c>
      <c r="G13" s="118">
        <f>+Cabinets!G44</f>
        <v>4165.3999999999996</v>
      </c>
      <c r="H13" s="118">
        <f t="shared" si="0"/>
        <v>0</v>
      </c>
      <c r="I13" s="119"/>
      <c r="J13" s="118"/>
      <c r="K13" s="120"/>
      <c r="L13" s="118"/>
      <c r="M13" s="118"/>
      <c r="N13" s="119"/>
      <c r="O13" s="118">
        <f t="shared" si="1"/>
        <v>0</v>
      </c>
      <c r="AQ13" s="37"/>
    </row>
    <row r="14" spans="1:125" s="42" customFormat="1" ht="20.100000000000001" customHeight="1" x14ac:dyDescent="0.25">
      <c r="A14" s="115" t="str">
        <f>Profit!$E$1&amp;" Your Home"</f>
        <v>Buy Your Home</v>
      </c>
      <c r="B14" s="116">
        <f t="shared" si="3"/>
        <v>6</v>
      </c>
      <c r="C14" s="117"/>
      <c r="D14" s="115"/>
      <c r="E14" s="115" t="s">
        <v>419</v>
      </c>
      <c r="F14" s="116">
        <v>0</v>
      </c>
      <c r="G14" s="118">
        <f>+Paint!G28</f>
        <v>1332.94</v>
      </c>
      <c r="H14" s="118">
        <f t="shared" si="0"/>
        <v>0</v>
      </c>
      <c r="I14" s="119"/>
      <c r="J14" s="118"/>
      <c r="K14" s="120"/>
      <c r="L14" s="118"/>
      <c r="M14" s="118"/>
      <c r="N14" s="119"/>
      <c r="O14" s="118">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115" t="str">
        <f>Profit!$E$1&amp;" Your Home"</f>
        <v>Buy Your Home</v>
      </c>
      <c r="B15" s="116">
        <f t="shared" si="3"/>
        <v>7</v>
      </c>
      <c r="C15" s="117"/>
      <c r="D15" s="115"/>
      <c r="E15" s="115" t="s">
        <v>420</v>
      </c>
      <c r="F15" s="116">
        <v>0</v>
      </c>
      <c r="G15" s="118">
        <f>+Flooring!G7</f>
        <v>5098.8</v>
      </c>
      <c r="H15" s="118">
        <f t="shared" si="0"/>
        <v>0</v>
      </c>
      <c r="I15" s="119"/>
      <c r="J15" s="118"/>
      <c r="K15" s="120"/>
      <c r="L15" s="118"/>
      <c r="M15" s="118"/>
      <c r="N15" s="119"/>
      <c r="O15" s="118">
        <f t="shared" si="1"/>
        <v>0</v>
      </c>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115" t="str">
        <f>Profit!$E$1&amp;" Your Home"</f>
        <v>Buy Your Home</v>
      </c>
      <c r="B16" s="116">
        <f t="shared" si="3"/>
        <v>8</v>
      </c>
      <c r="C16" s="117"/>
      <c r="D16" s="115"/>
      <c r="E16" s="115" t="s">
        <v>421</v>
      </c>
      <c r="F16" s="116">
        <v>0</v>
      </c>
      <c r="G16" s="118">
        <f>+'Electrical Fixtures'!F23</f>
        <v>1357.2</v>
      </c>
      <c r="H16" s="118">
        <f t="shared" si="0"/>
        <v>0</v>
      </c>
      <c r="I16" s="119"/>
      <c r="J16" s="118"/>
      <c r="K16" s="120"/>
      <c r="L16" s="118"/>
      <c r="M16" s="118"/>
      <c r="N16" s="119"/>
      <c r="O16" s="118">
        <f t="shared" si="1"/>
        <v>0</v>
      </c>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115" t="str">
        <f>Profit!$E$1&amp;" Your Home"</f>
        <v>Buy Your Home</v>
      </c>
      <c r="B17" s="116">
        <f t="shared" si="3"/>
        <v>9</v>
      </c>
      <c r="C17" s="117"/>
      <c r="D17" s="115"/>
      <c r="E17" s="115" t="s">
        <v>422</v>
      </c>
      <c r="F17" s="116">
        <v>1</v>
      </c>
      <c r="G17" s="118">
        <f>+Exterior!D16</f>
        <v>19189.95</v>
      </c>
      <c r="H17" s="118">
        <f t="shared" si="0"/>
        <v>19189.95</v>
      </c>
      <c r="I17" s="119" t="s">
        <v>177</v>
      </c>
      <c r="J17" s="118"/>
      <c r="K17" s="120"/>
      <c r="L17" s="118"/>
      <c r="M17" s="118">
        <v>19189.95</v>
      </c>
      <c r="N17" s="119"/>
      <c r="O17" s="118">
        <f t="shared" ref="O17" si="4">IF(I17="Yes",H17,0)</f>
        <v>19189.95</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115" t="str">
        <f>Profit!$E$1&amp;" Your Home"</f>
        <v>Buy Your Home</v>
      </c>
      <c r="B18" s="116">
        <f t="shared" si="3"/>
        <v>10</v>
      </c>
      <c r="C18" s="117"/>
      <c r="D18" s="115"/>
      <c r="E18" s="115" t="s">
        <v>423</v>
      </c>
      <c r="F18" s="116">
        <v>1</v>
      </c>
      <c r="G18" s="118">
        <f>+Landscape!H17</f>
        <v>3305</v>
      </c>
      <c r="H18" s="118">
        <f t="shared" ref="H18" si="5">+F18*G18</f>
        <v>3305</v>
      </c>
      <c r="I18" s="119" t="s">
        <v>177</v>
      </c>
      <c r="J18" s="118"/>
      <c r="K18" s="120"/>
      <c r="L18" s="118"/>
      <c r="M18" s="118">
        <v>2885</v>
      </c>
      <c r="N18" s="119"/>
      <c r="O18" s="118">
        <f t="shared" ref="O18" si="6">IF(I18="Yes",H18,0)</f>
        <v>3305</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115" t="str">
        <f>Profit!$E$1&amp;" Your Home"</f>
        <v>Buy Your Home</v>
      </c>
      <c r="B19" s="116">
        <f t="shared" si="3"/>
        <v>11</v>
      </c>
      <c r="C19" s="117"/>
      <c r="D19" s="115"/>
      <c r="E19" s="115" t="s">
        <v>424</v>
      </c>
      <c r="F19" s="116">
        <v>0</v>
      </c>
      <c r="G19" s="118">
        <f>+'Demo &amp; Trash Haul'!F33</f>
        <v>0</v>
      </c>
      <c r="H19" s="118">
        <f t="shared" si="0"/>
        <v>0</v>
      </c>
      <c r="I19" s="119"/>
      <c r="J19" s="118"/>
      <c r="K19" s="120"/>
      <c r="L19" s="118"/>
      <c r="M19" s="118"/>
      <c r="N19" s="119"/>
      <c r="O19" s="118">
        <f t="shared" si="1"/>
        <v>0</v>
      </c>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115" t="str">
        <f>Profit!$E$1&amp;" Your Home"</f>
        <v>Buy Your Home</v>
      </c>
      <c r="B20" s="116">
        <f t="shared" si="3"/>
        <v>12</v>
      </c>
      <c r="C20" s="117"/>
      <c r="D20" s="115"/>
      <c r="E20" s="115" t="s">
        <v>425</v>
      </c>
      <c r="F20" s="116">
        <v>0</v>
      </c>
      <c r="G20" s="118">
        <f>+'Demo &amp; Trash Haul'!F34</f>
        <v>0</v>
      </c>
      <c r="H20" s="118">
        <f t="shared" si="0"/>
        <v>0</v>
      </c>
      <c r="I20" s="119"/>
      <c r="J20" s="118"/>
      <c r="K20" s="120"/>
      <c r="L20" s="118"/>
      <c r="M20" s="118"/>
      <c r="N20" s="119"/>
      <c r="O20" s="118">
        <f t="shared" si="1"/>
        <v>0</v>
      </c>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115" t="str">
        <f>Profit!$E$1&amp;" Your Home"</f>
        <v>Buy Your Home</v>
      </c>
      <c r="B21" s="116">
        <f t="shared" si="3"/>
        <v>13</v>
      </c>
      <c r="C21" s="117"/>
      <c r="D21" s="115"/>
      <c r="E21" s="115" t="s">
        <v>426</v>
      </c>
      <c r="F21" s="116">
        <v>0</v>
      </c>
      <c r="G21" s="118">
        <v>0</v>
      </c>
      <c r="H21" s="118">
        <f t="shared" si="0"/>
        <v>0</v>
      </c>
      <c r="I21" s="119"/>
      <c r="J21" s="118"/>
      <c r="K21" s="120"/>
      <c r="L21" s="118"/>
      <c r="M21" s="118"/>
      <c r="N21" s="119"/>
      <c r="O21" s="118">
        <f t="shared" si="1"/>
        <v>0</v>
      </c>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115" t="str">
        <f>Profit!$E$1&amp;" Your Home"</f>
        <v>Buy Your Home</v>
      </c>
      <c r="B22" s="116">
        <f t="shared" si="3"/>
        <v>14</v>
      </c>
      <c r="C22" s="117"/>
      <c r="D22" s="115"/>
      <c r="E22" s="115" t="s">
        <v>427</v>
      </c>
      <c r="F22" s="116">
        <v>0</v>
      </c>
      <c r="G22" s="118">
        <f>+'Demo &amp; Trash Haul'!F36</f>
        <v>0</v>
      </c>
      <c r="H22" s="118">
        <f t="shared" si="0"/>
        <v>0</v>
      </c>
      <c r="I22" s="119"/>
      <c r="J22" s="118"/>
      <c r="K22" s="120"/>
      <c r="L22" s="118"/>
      <c r="M22" s="118"/>
      <c r="N22" s="119"/>
      <c r="O22" s="118">
        <f t="shared" si="1"/>
        <v>0</v>
      </c>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121"/>
      <c r="B23" s="122"/>
      <c r="C23" s="123"/>
      <c r="D23" s="123"/>
      <c r="E23" s="124" t="str">
        <f>Profit!E1&amp;" Your Home's Paid Contractors"</f>
        <v>Buy Your Home's Paid Contractors</v>
      </c>
      <c r="F23" s="125"/>
      <c r="G23" s="123"/>
      <c r="H23" s="123"/>
      <c r="I23" s="123"/>
      <c r="J23" s="123"/>
      <c r="K23" s="126"/>
      <c r="L23" s="123"/>
      <c r="M23" s="123"/>
      <c r="N23" s="123"/>
      <c r="O23" s="123"/>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127" t="s">
        <v>428</v>
      </c>
      <c r="B24" s="128">
        <f>+B22+1</f>
        <v>15</v>
      </c>
      <c r="C24" s="129"/>
      <c r="D24" s="130"/>
      <c r="E24" s="131" t="s">
        <v>429</v>
      </c>
      <c r="F24" s="132">
        <v>0</v>
      </c>
      <c r="G24" s="133">
        <v>300000</v>
      </c>
      <c r="H24" s="133">
        <f>+F24*G24</f>
        <v>0</v>
      </c>
      <c r="I24" s="134"/>
      <c r="J24" s="134"/>
      <c r="K24" s="135"/>
      <c r="L24" s="134"/>
      <c r="M24" s="134"/>
      <c r="N24" s="134"/>
      <c r="O24" s="134">
        <f t="shared" ref="O24:O27" si="7">IF(I24="Yes",H24,0)</f>
        <v>0</v>
      </c>
      <c r="R24" s="76"/>
      <c r="S24" s="76"/>
      <c r="T24" s="76"/>
      <c r="U24" s="76"/>
      <c r="V24" s="76"/>
      <c r="W24" s="76"/>
      <c r="X24" s="76"/>
      <c r="Y24" s="76"/>
      <c r="Z24" s="76"/>
      <c r="AA24" s="599" t="s">
        <v>430</v>
      </c>
      <c r="AB24" s="600"/>
      <c r="AC24" s="600"/>
      <c r="AD24" s="600"/>
      <c r="AE24" s="600"/>
      <c r="AF24" s="600"/>
      <c r="AG24" s="600"/>
      <c r="AH24" s="600"/>
      <c r="AI24" s="75"/>
      <c r="AJ24" s="75"/>
      <c r="AK24" s="75"/>
      <c r="AL24" s="75"/>
      <c r="AM24" s="75"/>
      <c r="AN24" s="75"/>
      <c r="AO24" s="75"/>
      <c r="AP24" s="75"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127" t="s">
        <v>431</v>
      </c>
      <c r="B25" s="128">
        <f>+B24+1</f>
        <v>16</v>
      </c>
      <c r="C25" s="129"/>
      <c r="D25" s="130"/>
      <c r="E25" s="131" t="s">
        <v>432</v>
      </c>
      <c r="F25" s="132">
        <v>1</v>
      </c>
      <c r="G25" s="375">
        <v>750</v>
      </c>
      <c r="H25" s="133">
        <f>+F25*G25</f>
        <v>750</v>
      </c>
      <c r="I25" s="134" t="s">
        <v>177</v>
      </c>
      <c r="J25" s="134"/>
      <c r="K25" s="135"/>
      <c r="L25" s="134"/>
      <c r="M25" s="134">
        <v>750</v>
      </c>
      <c r="N25" s="134"/>
      <c r="O25" s="134">
        <f t="shared" si="7"/>
        <v>750</v>
      </c>
      <c r="R25" s="76"/>
      <c r="S25" s="76"/>
      <c r="T25" s="76"/>
      <c r="U25" s="76"/>
      <c r="V25" s="76"/>
      <c r="W25" s="76"/>
      <c r="X25" s="76"/>
      <c r="Y25" s="76"/>
      <c r="Z25" s="76"/>
      <c r="AA25" s="600"/>
      <c r="AB25" s="600"/>
      <c r="AC25" s="600"/>
      <c r="AD25" s="600"/>
      <c r="AE25" s="600"/>
      <c r="AF25" s="600"/>
      <c r="AG25" s="600"/>
      <c r="AH25" s="600"/>
      <c r="AI25" s="75"/>
      <c r="AJ25" s="75"/>
      <c r="AK25" s="75"/>
      <c r="AL25" s="75"/>
      <c r="AM25" s="75"/>
      <c r="AN25" s="75"/>
      <c r="AO25" s="75"/>
      <c r="AP25" s="75"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127" t="s">
        <v>433</v>
      </c>
      <c r="B26" s="128">
        <f>+B25+1</f>
        <v>17</v>
      </c>
      <c r="C26" s="129"/>
      <c r="D26" s="130"/>
      <c r="E26" s="131" t="s">
        <v>434</v>
      </c>
      <c r="F26" s="132">
        <v>0</v>
      </c>
      <c r="G26" s="133">
        <f>+HVAC!F13</f>
        <v>13062</v>
      </c>
      <c r="H26" s="133">
        <f>+F26*G26</f>
        <v>0</v>
      </c>
      <c r="I26" s="134"/>
      <c r="J26" s="134"/>
      <c r="K26" s="135"/>
      <c r="L26" s="134"/>
      <c r="M26" s="134"/>
      <c r="N26" s="134"/>
      <c r="O26" s="134">
        <f t="shared" si="7"/>
        <v>0</v>
      </c>
      <c r="R26" s="76"/>
      <c r="S26" s="76"/>
      <c r="T26" s="76"/>
      <c r="U26" s="76"/>
      <c r="V26" s="76"/>
      <c r="W26" s="76"/>
      <c r="X26" s="76"/>
      <c r="Y26" s="76"/>
      <c r="Z26" s="76"/>
      <c r="AB26" s="98">
        <v>0</v>
      </c>
      <c r="AC26" s="75"/>
      <c r="AD26" s="75"/>
      <c r="AE26" s="75"/>
      <c r="AF26" s="75"/>
      <c r="AG26" s="75"/>
      <c r="AH26" s="75"/>
      <c r="AI26" s="75"/>
      <c r="AJ26" s="75"/>
      <c r="AK26" s="75"/>
      <c r="AL26" s="75"/>
      <c r="AM26" s="75"/>
      <c r="AN26" s="75"/>
      <c r="AO26" s="75"/>
      <c r="AP26" s="75"/>
    </row>
    <row r="27" spans="1:125" s="42" customFormat="1" ht="20.100000000000001" customHeight="1" x14ac:dyDescent="0.25">
      <c r="A27" s="127" t="s">
        <v>433</v>
      </c>
      <c r="B27" s="128">
        <f>+B26+1</f>
        <v>18</v>
      </c>
      <c r="C27" s="129"/>
      <c r="D27" s="130"/>
      <c r="E27" s="131" t="s">
        <v>435</v>
      </c>
      <c r="F27" s="132">
        <v>0</v>
      </c>
      <c r="G27" s="133">
        <v>4598</v>
      </c>
      <c r="H27" s="133">
        <f>+F27*G27</f>
        <v>0</v>
      </c>
      <c r="I27" s="134"/>
      <c r="J27" s="134"/>
      <c r="K27" s="135"/>
      <c r="L27" s="134"/>
      <c r="M27" s="134"/>
      <c r="N27" s="134"/>
      <c r="O27" s="134">
        <f t="shared" si="7"/>
        <v>0</v>
      </c>
      <c r="R27" s="76"/>
      <c r="S27" s="76"/>
      <c r="T27" s="76"/>
      <c r="U27" s="76"/>
      <c r="V27" s="76"/>
      <c r="W27" s="76"/>
      <c r="X27" s="76"/>
      <c r="Y27" s="76"/>
      <c r="Z27" s="76"/>
    </row>
    <row r="28" spans="1:125" s="42" customFormat="1" ht="21.75" thickBot="1" x14ac:dyDescent="0.25">
      <c r="A28" s="136"/>
      <c r="B28" s="137"/>
      <c r="C28" s="136"/>
      <c r="D28" s="136"/>
      <c r="E28" s="124" t="s">
        <v>436</v>
      </c>
      <c r="F28" s="136"/>
      <c r="G28" s="136"/>
      <c r="H28" s="136"/>
      <c r="I28" s="136"/>
      <c r="J28" s="136"/>
      <c r="K28" s="138"/>
      <c r="L28" s="136"/>
      <c r="M28" s="136"/>
      <c r="N28" s="136"/>
      <c r="O28" s="136"/>
      <c r="P28" s="88" t="str">
        <f ca="1">IF(TEXT(Project_Start,"mmmm")=TEXT(P29,"mmmm"),"",TEXT(P29,"mmmm"))</f>
        <v/>
      </c>
      <c r="Q28" s="88" t="str">
        <f t="shared" ref="Q28:AV28" ca="1" si="8">IF(TEXT(P29,"mmmm")=TEXT(Q29,"mmmm"),"",TEXT(Q29,"mmmm"))</f>
        <v/>
      </c>
      <c r="R28" s="88" t="str">
        <f t="shared" ca="1" si="8"/>
        <v/>
      </c>
      <c r="S28" s="88" t="str">
        <f t="shared" ca="1" si="8"/>
        <v/>
      </c>
      <c r="T28" s="88" t="str">
        <f t="shared" ca="1" si="8"/>
        <v/>
      </c>
      <c r="U28" s="88" t="str">
        <f t="shared" ca="1" si="8"/>
        <v/>
      </c>
      <c r="V28" s="88" t="str">
        <f t="shared" ca="1" si="8"/>
        <v/>
      </c>
      <c r="W28" s="88" t="str">
        <f t="shared" ca="1" si="8"/>
        <v/>
      </c>
      <c r="X28" s="88" t="str">
        <f t="shared" ca="1" si="8"/>
        <v/>
      </c>
      <c r="Y28" s="88" t="str">
        <f t="shared" ca="1" si="8"/>
        <v/>
      </c>
      <c r="Z28" s="88" t="str">
        <f t="shared" ca="1" si="8"/>
        <v/>
      </c>
      <c r="AA28" s="88" t="str">
        <f t="shared" ca="1" si="8"/>
        <v/>
      </c>
      <c r="AB28" s="88" t="str">
        <f t="shared" ca="1" si="8"/>
        <v/>
      </c>
      <c r="AC28" s="88" t="str">
        <f t="shared" ca="1" si="8"/>
        <v/>
      </c>
      <c r="AD28" s="88" t="str">
        <f t="shared" ca="1" si="8"/>
        <v/>
      </c>
      <c r="AE28" s="88" t="str">
        <f t="shared" ca="1" si="8"/>
        <v/>
      </c>
      <c r="AF28" s="88" t="str">
        <f t="shared" ca="1" si="8"/>
        <v/>
      </c>
      <c r="AG28" s="88" t="str">
        <f t="shared" ca="1" si="8"/>
        <v/>
      </c>
      <c r="AH28" s="88" t="str">
        <f t="shared" ca="1" si="8"/>
        <v/>
      </c>
      <c r="AI28" s="88" t="str">
        <f t="shared" ca="1" si="8"/>
        <v/>
      </c>
      <c r="AJ28" s="88" t="str">
        <f t="shared" ca="1" si="8"/>
        <v/>
      </c>
      <c r="AK28" s="88" t="str">
        <f t="shared" ca="1" si="8"/>
        <v/>
      </c>
      <c r="AL28" s="88" t="str">
        <f t="shared" ca="1" si="8"/>
        <v/>
      </c>
      <c r="AM28" s="88" t="str">
        <f t="shared" ca="1" si="8"/>
        <v/>
      </c>
      <c r="AN28" s="88" t="str">
        <f t="shared" ca="1" si="8"/>
        <v/>
      </c>
      <c r="AO28" s="88" t="str">
        <f t="shared" ca="1" si="8"/>
        <v/>
      </c>
      <c r="AP28" s="88" t="str">
        <f t="shared" ca="1" si="8"/>
        <v/>
      </c>
      <c r="AQ28" s="88" t="str">
        <f t="shared" ca="1" si="8"/>
        <v/>
      </c>
      <c r="AR28" s="88" t="str">
        <f t="shared" ca="1" si="8"/>
        <v/>
      </c>
      <c r="AS28" s="88" t="str">
        <f t="shared" ca="1" si="8"/>
        <v/>
      </c>
      <c r="AT28" s="88" t="str">
        <f t="shared" ca="1" si="8"/>
        <v/>
      </c>
      <c r="AU28" s="88" t="str">
        <f t="shared" ca="1" si="8"/>
        <v/>
      </c>
      <c r="AV28" s="88" t="str">
        <f t="shared" ca="1" si="8"/>
        <v>February</v>
      </c>
      <c r="AW28" s="88" t="str">
        <f t="shared" ref="AW28:CB28" ca="1" si="9">IF(TEXT(AV29,"mmmm")=TEXT(AW29,"mmmm"),"",TEXT(AW29,"mmmm"))</f>
        <v/>
      </c>
      <c r="AX28" s="88" t="str">
        <f t="shared" ca="1" si="9"/>
        <v/>
      </c>
      <c r="AY28" s="88" t="str">
        <f t="shared" ca="1" si="9"/>
        <v/>
      </c>
      <c r="AZ28" s="88" t="str">
        <f t="shared" ca="1" si="9"/>
        <v/>
      </c>
      <c r="BA28" s="88" t="str">
        <f t="shared" ca="1" si="9"/>
        <v/>
      </c>
      <c r="BB28" s="88" t="str">
        <f t="shared" ca="1" si="9"/>
        <v/>
      </c>
      <c r="BC28" s="88" t="str">
        <f t="shared" ca="1" si="9"/>
        <v/>
      </c>
      <c r="BD28" s="88" t="str">
        <f t="shared" ca="1" si="9"/>
        <v/>
      </c>
      <c r="BE28" s="88" t="str">
        <f t="shared" ca="1" si="9"/>
        <v/>
      </c>
      <c r="BF28" s="88" t="str">
        <f t="shared" ca="1" si="9"/>
        <v/>
      </c>
      <c r="BG28" s="88" t="str">
        <f t="shared" ca="1" si="9"/>
        <v/>
      </c>
      <c r="BH28" s="88" t="str">
        <f t="shared" ca="1" si="9"/>
        <v/>
      </c>
      <c r="BI28" s="88" t="str">
        <f t="shared" ca="1" si="9"/>
        <v/>
      </c>
      <c r="BJ28" s="88" t="str">
        <f t="shared" ca="1" si="9"/>
        <v/>
      </c>
      <c r="BK28" s="88" t="str">
        <f t="shared" ca="1" si="9"/>
        <v/>
      </c>
      <c r="BL28" s="88" t="str">
        <f t="shared" ca="1" si="9"/>
        <v/>
      </c>
      <c r="BM28" s="88" t="str">
        <f t="shared" ca="1" si="9"/>
        <v/>
      </c>
      <c r="BN28" s="88" t="str">
        <f t="shared" ca="1" si="9"/>
        <v/>
      </c>
      <c r="BO28" s="88" t="str">
        <f t="shared" ca="1" si="9"/>
        <v/>
      </c>
      <c r="BP28" s="88" t="str">
        <f t="shared" ca="1" si="9"/>
        <v/>
      </c>
      <c r="BQ28" s="88" t="str">
        <f t="shared" ca="1" si="9"/>
        <v/>
      </c>
      <c r="BR28" s="88" t="str">
        <f t="shared" ca="1" si="9"/>
        <v/>
      </c>
      <c r="BS28" s="88" t="str">
        <f t="shared" ca="1" si="9"/>
        <v/>
      </c>
      <c r="BT28" s="88" t="str">
        <f t="shared" ca="1" si="9"/>
        <v/>
      </c>
      <c r="BU28" s="88" t="str">
        <f t="shared" ca="1" si="9"/>
        <v/>
      </c>
      <c r="BV28" s="88" t="str">
        <f t="shared" ca="1" si="9"/>
        <v/>
      </c>
      <c r="BW28" s="88" t="str">
        <f t="shared" ca="1" si="9"/>
        <v/>
      </c>
      <c r="BX28" s="88" t="str">
        <f t="shared" ca="1" si="9"/>
        <v/>
      </c>
      <c r="BY28" s="88" t="str">
        <f t="shared" ca="1" si="9"/>
        <v>March</v>
      </c>
      <c r="BZ28" s="88" t="str">
        <f t="shared" ca="1" si="9"/>
        <v/>
      </c>
      <c r="CA28" s="88" t="str">
        <f t="shared" ca="1" si="9"/>
        <v/>
      </c>
      <c r="CB28" s="88" t="str">
        <f t="shared" ca="1" si="9"/>
        <v/>
      </c>
      <c r="CC28" s="88" t="str">
        <f t="shared" ref="CC28:CU28" ca="1" si="10">IF(TEXT(CB29,"mmmm")=TEXT(CC29,"mmmm"),"",TEXT(CC29,"mmmm"))</f>
        <v/>
      </c>
      <c r="CD28" s="88" t="str">
        <f t="shared" ca="1" si="10"/>
        <v/>
      </c>
      <c r="CE28" s="88" t="str">
        <f t="shared" ca="1" si="10"/>
        <v/>
      </c>
      <c r="CF28" s="88" t="str">
        <f t="shared" ca="1" si="10"/>
        <v/>
      </c>
      <c r="CG28" s="88" t="str">
        <f t="shared" ca="1" si="10"/>
        <v/>
      </c>
      <c r="CH28" s="88" t="str">
        <f t="shared" ca="1" si="10"/>
        <v/>
      </c>
      <c r="CI28" s="88" t="str">
        <f t="shared" ca="1" si="10"/>
        <v/>
      </c>
      <c r="CJ28" s="88" t="str">
        <f t="shared" ca="1" si="10"/>
        <v/>
      </c>
      <c r="CK28" s="88" t="str">
        <f t="shared" ca="1" si="10"/>
        <v/>
      </c>
      <c r="CL28" s="88" t="str">
        <f t="shared" ca="1" si="10"/>
        <v/>
      </c>
      <c r="CM28" s="88" t="str">
        <f t="shared" ca="1" si="10"/>
        <v/>
      </c>
      <c r="CN28" s="88" t="str">
        <f t="shared" ca="1" si="10"/>
        <v/>
      </c>
      <c r="CO28" s="88" t="str">
        <f t="shared" ca="1" si="10"/>
        <v/>
      </c>
      <c r="CP28" s="88" t="str">
        <f t="shared" ca="1" si="10"/>
        <v/>
      </c>
      <c r="CQ28" s="88" t="str">
        <f t="shared" ca="1" si="10"/>
        <v/>
      </c>
      <c r="CR28" s="88" t="str">
        <f t="shared" ca="1" si="10"/>
        <v/>
      </c>
      <c r="CS28" s="88" t="str">
        <f t="shared" ca="1" si="10"/>
        <v/>
      </c>
      <c r="CT28" s="88" t="str">
        <f t="shared" ca="1" si="10"/>
        <v/>
      </c>
      <c r="CU28" s="88" t="str">
        <f t="shared" ca="1" si="10"/>
        <v/>
      </c>
    </row>
    <row r="29" spans="1:125" s="84" customFormat="1" ht="34.5" customHeight="1" thickTop="1" x14ac:dyDescent="0.25">
      <c r="A29" s="139" t="s">
        <v>389</v>
      </c>
      <c r="B29" s="139" t="s">
        <v>390</v>
      </c>
      <c r="C29" s="139" t="s">
        <v>391</v>
      </c>
      <c r="D29" s="139" t="s">
        <v>392</v>
      </c>
      <c r="E29" s="139" t="s">
        <v>393</v>
      </c>
      <c r="F29" s="139" t="s">
        <v>337</v>
      </c>
      <c r="G29" s="140" t="s">
        <v>338</v>
      </c>
      <c r="H29" s="140" t="s">
        <v>394</v>
      </c>
      <c r="I29" s="139" t="s">
        <v>395</v>
      </c>
      <c r="J29" s="139" t="s">
        <v>396</v>
      </c>
      <c r="K29" s="141" t="s">
        <v>83</v>
      </c>
      <c r="L29" s="139" t="s">
        <v>397</v>
      </c>
      <c r="M29" s="139" t="s">
        <v>398</v>
      </c>
      <c r="N29" s="139" t="s">
        <v>161</v>
      </c>
      <c r="O29" s="139" t="s">
        <v>412</v>
      </c>
      <c r="P29" s="92">
        <f ca="1">IFERROR(Project_Start+Scrolling_Increment,TODAY())</f>
        <v>0</v>
      </c>
      <c r="Q29" s="92">
        <f t="shared" ref="Q29:AV29" ca="1" si="11">+P29+1</f>
        <v>1</v>
      </c>
      <c r="R29" s="92">
        <f t="shared" ca="1" si="11"/>
        <v>2</v>
      </c>
      <c r="S29" s="92">
        <f t="shared" ca="1" si="11"/>
        <v>3</v>
      </c>
      <c r="T29" s="92">
        <f t="shared" ca="1" si="11"/>
        <v>4</v>
      </c>
      <c r="U29" s="92">
        <f t="shared" ca="1" si="11"/>
        <v>5</v>
      </c>
      <c r="V29" s="92">
        <f t="shared" ca="1" si="11"/>
        <v>6</v>
      </c>
      <c r="W29" s="92">
        <f t="shared" ca="1" si="11"/>
        <v>7</v>
      </c>
      <c r="X29" s="92">
        <f t="shared" ca="1" si="11"/>
        <v>8</v>
      </c>
      <c r="Y29" s="92">
        <f t="shared" ca="1" si="11"/>
        <v>9</v>
      </c>
      <c r="Z29" s="92">
        <f t="shared" ca="1" si="11"/>
        <v>10</v>
      </c>
      <c r="AA29" s="92">
        <f t="shared" ca="1" si="11"/>
        <v>11</v>
      </c>
      <c r="AB29" s="92">
        <f t="shared" ca="1" si="11"/>
        <v>12</v>
      </c>
      <c r="AC29" s="92">
        <f t="shared" ca="1" si="11"/>
        <v>13</v>
      </c>
      <c r="AD29" s="92">
        <f t="shared" ca="1" si="11"/>
        <v>14</v>
      </c>
      <c r="AE29" s="92">
        <f t="shared" ca="1" si="11"/>
        <v>15</v>
      </c>
      <c r="AF29" s="92">
        <f t="shared" ca="1" si="11"/>
        <v>16</v>
      </c>
      <c r="AG29" s="92">
        <f t="shared" ca="1" si="11"/>
        <v>17</v>
      </c>
      <c r="AH29" s="92">
        <f t="shared" ca="1" si="11"/>
        <v>18</v>
      </c>
      <c r="AI29" s="92">
        <f t="shared" ca="1" si="11"/>
        <v>19</v>
      </c>
      <c r="AJ29" s="92">
        <f t="shared" ca="1" si="11"/>
        <v>20</v>
      </c>
      <c r="AK29" s="92">
        <f t="shared" ca="1" si="11"/>
        <v>21</v>
      </c>
      <c r="AL29" s="92">
        <f t="shared" ca="1" si="11"/>
        <v>22</v>
      </c>
      <c r="AM29" s="92">
        <f t="shared" ca="1" si="11"/>
        <v>23</v>
      </c>
      <c r="AN29" s="92">
        <f t="shared" ca="1" si="11"/>
        <v>24</v>
      </c>
      <c r="AO29" s="92">
        <f t="shared" ca="1" si="11"/>
        <v>25</v>
      </c>
      <c r="AP29" s="92">
        <f t="shared" ca="1" si="11"/>
        <v>26</v>
      </c>
      <c r="AQ29" s="92">
        <f t="shared" ca="1" si="11"/>
        <v>27</v>
      </c>
      <c r="AR29" s="92">
        <f t="shared" ca="1" si="11"/>
        <v>28</v>
      </c>
      <c r="AS29" s="92">
        <f t="shared" ca="1" si="11"/>
        <v>29</v>
      </c>
      <c r="AT29" s="92">
        <f t="shared" ca="1" si="11"/>
        <v>30</v>
      </c>
      <c r="AU29" s="92">
        <f t="shared" ca="1" si="11"/>
        <v>31</v>
      </c>
      <c r="AV29" s="92">
        <f t="shared" ca="1" si="11"/>
        <v>32</v>
      </c>
      <c r="AW29" s="92">
        <f t="shared" ref="AW29:CB29" ca="1" si="12">+AV29+1</f>
        <v>33</v>
      </c>
      <c r="AX29" s="92">
        <f t="shared" ca="1" si="12"/>
        <v>34</v>
      </c>
      <c r="AY29" s="92">
        <f t="shared" ca="1" si="12"/>
        <v>35</v>
      </c>
      <c r="AZ29" s="92">
        <f t="shared" ca="1" si="12"/>
        <v>36</v>
      </c>
      <c r="BA29" s="92">
        <f t="shared" ca="1" si="12"/>
        <v>37</v>
      </c>
      <c r="BB29" s="92">
        <f t="shared" ca="1" si="12"/>
        <v>38</v>
      </c>
      <c r="BC29" s="92">
        <f t="shared" ca="1" si="12"/>
        <v>39</v>
      </c>
      <c r="BD29" s="92">
        <f t="shared" ca="1" si="12"/>
        <v>40</v>
      </c>
      <c r="BE29" s="92">
        <f t="shared" ca="1" si="12"/>
        <v>41</v>
      </c>
      <c r="BF29" s="92">
        <f t="shared" ca="1" si="12"/>
        <v>42</v>
      </c>
      <c r="BG29" s="92">
        <f t="shared" ca="1" si="12"/>
        <v>43</v>
      </c>
      <c r="BH29" s="92">
        <f t="shared" ca="1" si="12"/>
        <v>44</v>
      </c>
      <c r="BI29" s="92">
        <f t="shared" ca="1" si="12"/>
        <v>45</v>
      </c>
      <c r="BJ29" s="92">
        <f t="shared" ca="1" si="12"/>
        <v>46</v>
      </c>
      <c r="BK29" s="92">
        <f t="shared" ca="1" si="12"/>
        <v>47</v>
      </c>
      <c r="BL29" s="92">
        <f t="shared" ca="1" si="12"/>
        <v>48</v>
      </c>
      <c r="BM29" s="92">
        <f t="shared" ca="1" si="12"/>
        <v>49</v>
      </c>
      <c r="BN29" s="92">
        <f t="shared" ca="1" si="12"/>
        <v>50</v>
      </c>
      <c r="BO29" s="92">
        <f t="shared" ca="1" si="12"/>
        <v>51</v>
      </c>
      <c r="BP29" s="92">
        <f t="shared" ca="1" si="12"/>
        <v>52</v>
      </c>
      <c r="BQ29" s="92">
        <f t="shared" ca="1" si="12"/>
        <v>53</v>
      </c>
      <c r="BR29" s="92">
        <f t="shared" ca="1" si="12"/>
        <v>54</v>
      </c>
      <c r="BS29" s="92">
        <f t="shared" ca="1" si="12"/>
        <v>55</v>
      </c>
      <c r="BT29" s="92">
        <f t="shared" ca="1" si="12"/>
        <v>56</v>
      </c>
      <c r="BU29" s="92">
        <f t="shared" ca="1" si="12"/>
        <v>57</v>
      </c>
      <c r="BV29" s="92">
        <f t="shared" ca="1" si="12"/>
        <v>58</v>
      </c>
      <c r="BW29" s="92">
        <f t="shared" ca="1" si="12"/>
        <v>59</v>
      </c>
      <c r="BX29" s="92">
        <f t="shared" ca="1" si="12"/>
        <v>60</v>
      </c>
      <c r="BY29" s="92">
        <f t="shared" ca="1" si="12"/>
        <v>61</v>
      </c>
      <c r="BZ29" s="92">
        <f t="shared" ca="1" si="12"/>
        <v>62</v>
      </c>
      <c r="CA29" s="92">
        <f t="shared" ca="1" si="12"/>
        <v>63</v>
      </c>
      <c r="CB29" s="92">
        <f t="shared" ca="1" si="12"/>
        <v>64</v>
      </c>
      <c r="CC29" s="92">
        <f t="shared" ref="CC29:CU29" ca="1" si="13">+CB29+1</f>
        <v>65</v>
      </c>
      <c r="CD29" s="92">
        <f t="shared" ca="1" si="13"/>
        <v>66</v>
      </c>
      <c r="CE29" s="92">
        <f t="shared" ca="1" si="13"/>
        <v>67</v>
      </c>
      <c r="CF29" s="92">
        <f t="shared" ca="1" si="13"/>
        <v>68</v>
      </c>
      <c r="CG29" s="92">
        <f t="shared" ca="1" si="13"/>
        <v>69</v>
      </c>
      <c r="CH29" s="92">
        <f t="shared" ca="1" si="13"/>
        <v>70</v>
      </c>
      <c r="CI29" s="92">
        <f t="shared" ca="1" si="13"/>
        <v>71</v>
      </c>
      <c r="CJ29" s="92">
        <f t="shared" ca="1" si="13"/>
        <v>72</v>
      </c>
      <c r="CK29" s="92">
        <f t="shared" ca="1" si="13"/>
        <v>73</v>
      </c>
      <c r="CL29" s="92">
        <f t="shared" ca="1" si="13"/>
        <v>74</v>
      </c>
      <c r="CM29" s="92">
        <f t="shared" ca="1" si="13"/>
        <v>75</v>
      </c>
      <c r="CN29" s="92">
        <f t="shared" ca="1" si="13"/>
        <v>76</v>
      </c>
      <c r="CO29" s="92">
        <f t="shared" ca="1" si="13"/>
        <v>77</v>
      </c>
      <c r="CP29" s="92">
        <f t="shared" ca="1" si="13"/>
        <v>78</v>
      </c>
      <c r="CQ29" s="92">
        <f t="shared" ca="1" si="13"/>
        <v>79</v>
      </c>
      <c r="CR29" s="92">
        <f t="shared" ca="1" si="13"/>
        <v>80</v>
      </c>
      <c r="CS29" s="92">
        <f t="shared" ca="1" si="13"/>
        <v>81</v>
      </c>
      <c r="CT29" s="92">
        <f t="shared" ca="1" si="13"/>
        <v>82</v>
      </c>
      <c r="CU29" s="92">
        <f t="shared" ca="1" si="13"/>
        <v>83</v>
      </c>
    </row>
    <row r="30" spans="1:125" s="42" customFormat="1" ht="20.100000000000001" customHeight="1" x14ac:dyDescent="0.25">
      <c r="A30" t="s">
        <v>437</v>
      </c>
      <c r="B30">
        <v>1</v>
      </c>
      <c r="C30" t="s">
        <v>339</v>
      </c>
      <c r="D30" t="s">
        <v>339</v>
      </c>
      <c r="E30" t="s">
        <v>340</v>
      </c>
      <c r="F30">
        <v>0</v>
      </c>
      <c r="G30" s="11"/>
      <c r="H30" s="26"/>
      <c r="I30"/>
      <c r="J30"/>
      <c r="K30" s="363"/>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437</v>
      </c>
      <c r="B31">
        <v>2</v>
      </c>
      <c r="C31" t="s">
        <v>341</v>
      </c>
      <c r="D31" t="s">
        <v>342</v>
      </c>
      <c r="E31" t="s">
        <v>343</v>
      </c>
      <c r="F31">
        <v>0</v>
      </c>
      <c r="G31" s="11"/>
      <c r="H31" s="26"/>
      <c r="I31"/>
      <c r="J31"/>
      <c r="K31" s="363"/>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437</v>
      </c>
      <c r="B32">
        <v>3</v>
      </c>
      <c r="C32" t="s">
        <v>341</v>
      </c>
      <c r="D32" t="s">
        <v>344</v>
      </c>
      <c r="E32" t="s">
        <v>344</v>
      </c>
      <c r="F32">
        <v>0</v>
      </c>
      <c r="G32" s="11"/>
      <c r="H32" s="26"/>
      <c r="I32"/>
      <c r="J32"/>
      <c r="K32" s="363"/>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438</v>
      </c>
      <c r="B33">
        <v>4</v>
      </c>
      <c r="C33"/>
      <c r="D33" t="s">
        <v>345</v>
      </c>
      <c r="E33" t="s">
        <v>346</v>
      </c>
      <c r="F33">
        <v>6</v>
      </c>
      <c r="G33" s="11"/>
      <c r="H33" s="26"/>
      <c r="I33"/>
      <c r="J33"/>
      <c r="K33" s="363"/>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437</v>
      </c>
      <c r="B34">
        <v>5</v>
      </c>
      <c r="C34" t="s">
        <v>347</v>
      </c>
      <c r="D34" t="s">
        <v>348</v>
      </c>
      <c r="E34" t="s">
        <v>347</v>
      </c>
      <c r="F34">
        <v>0</v>
      </c>
      <c r="G34" s="11">
        <v>0</v>
      </c>
      <c r="H34" s="26">
        <v>0</v>
      </c>
      <c r="I34"/>
      <c r="J34"/>
      <c r="K34" s="363"/>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437</v>
      </c>
      <c r="B35">
        <v>6</v>
      </c>
      <c r="C35" t="s">
        <v>349</v>
      </c>
      <c r="D35" t="s">
        <v>348</v>
      </c>
      <c r="E35" t="s">
        <v>350</v>
      </c>
      <c r="F35">
        <v>0</v>
      </c>
      <c r="G35" s="11">
        <v>200</v>
      </c>
      <c r="H35" s="26">
        <v>0</v>
      </c>
      <c r="I35"/>
      <c r="J35"/>
      <c r="K35" s="363"/>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437</v>
      </c>
      <c r="B36">
        <v>7</v>
      </c>
      <c r="C36" t="s">
        <v>351</v>
      </c>
      <c r="D36" t="s">
        <v>348</v>
      </c>
      <c r="E36" t="s">
        <v>352</v>
      </c>
      <c r="F36">
        <v>0</v>
      </c>
      <c r="G36" s="11">
        <v>200</v>
      </c>
      <c r="H36" s="26">
        <v>0</v>
      </c>
      <c r="I36"/>
      <c r="J36"/>
      <c r="K36" s="363"/>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437</v>
      </c>
      <c r="B37">
        <v>8</v>
      </c>
      <c r="C37" t="s">
        <v>353</v>
      </c>
      <c r="D37" t="s">
        <v>348</v>
      </c>
      <c r="E37" t="s">
        <v>354</v>
      </c>
      <c r="F37">
        <v>0</v>
      </c>
      <c r="G37" s="11">
        <v>200</v>
      </c>
      <c r="H37" s="26">
        <v>0</v>
      </c>
      <c r="I37"/>
      <c r="J37"/>
      <c r="K37" s="363"/>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437</v>
      </c>
      <c r="B38">
        <v>9</v>
      </c>
      <c r="C38" t="s">
        <v>355</v>
      </c>
      <c r="D38" t="s">
        <v>348</v>
      </c>
      <c r="E38" t="s">
        <v>356</v>
      </c>
      <c r="F38">
        <v>0</v>
      </c>
      <c r="G38" s="11">
        <v>135</v>
      </c>
      <c r="H38" s="26">
        <v>0</v>
      </c>
      <c r="I38"/>
      <c r="J38"/>
      <c r="K38" s="363"/>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438</v>
      </c>
      <c r="B39">
        <v>10</v>
      </c>
      <c r="C39"/>
      <c r="D39"/>
      <c r="E39" t="s">
        <v>357</v>
      </c>
      <c r="F39">
        <v>1</v>
      </c>
      <c r="G39" s="11">
        <v>0</v>
      </c>
      <c r="H39" s="26">
        <v>0</v>
      </c>
      <c r="I39"/>
      <c r="J39"/>
      <c r="K39" s="363"/>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438</v>
      </c>
      <c r="B40">
        <v>11</v>
      </c>
      <c r="C40"/>
      <c r="D40"/>
      <c r="E40" t="s">
        <v>358</v>
      </c>
      <c r="F40">
        <v>0</v>
      </c>
      <c r="G40" s="11">
        <v>0</v>
      </c>
      <c r="H40" s="26">
        <v>0</v>
      </c>
      <c r="I40"/>
      <c r="J40"/>
      <c r="K40" s="363"/>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437</v>
      </c>
      <c r="B41">
        <v>12</v>
      </c>
      <c r="C41" t="s">
        <v>359</v>
      </c>
      <c r="D41"/>
      <c r="E41"/>
      <c r="F41"/>
      <c r="G41" s="11"/>
      <c r="H41" s="26"/>
      <c r="I41"/>
      <c r="J41"/>
      <c r="K41" s="363"/>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437</v>
      </c>
      <c r="B42">
        <v>13</v>
      </c>
      <c r="C42" t="s">
        <v>359</v>
      </c>
      <c r="D42"/>
      <c r="E42"/>
      <c r="F42"/>
      <c r="G42" s="11"/>
      <c r="H42" s="26"/>
      <c r="I42"/>
      <c r="J42"/>
      <c r="K42" s="363"/>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437</v>
      </c>
      <c r="B43">
        <v>14</v>
      </c>
      <c r="C43" t="s">
        <v>360</v>
      </c>
      <c r="D43"/>
      <c r="E43"/>
      <c r="F43"/>
      <c r="G43" s="11"/>
      <c r="H43" s="26"/>
      <c r="I43"/>
      <c r="J43"/>
      <c r="K43" s="363"/>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437</v>
      </c>
      <c r="B44">
        <v>15</v>
      </c>
      <c r="C44" t="s">
        <v>361</v>
      </c>
      <c r="D44"/>
      <c r="E44"/>
      <c r="F44"/>
      <c r="G44" s="11"/>
      <c r="H44" s="26"/>
      <c r="I44"/>
      <c r="J44"/>
      <c r="K44" s="363"/>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437</v>
      </c>
      <c r="B45">
        <v>16</v>
      </c>
      <c r="C45" t="s">
        <v>361</v>
      </c>
      <c r="D45"/>
      <c r="E45"/>
      <c r="F45"/>
      <c r="G45" s="11"/>
      <c r="H45" s="26"/>
      <c r="I45" s="367"/>
      <c r="J45"/>
      <c r="K45" s="363"/>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c r="B46"/>
      <c r="C46"/>
      <c r="D46"/>
      <c r="E46"/>
      <c r="F46"/>
      <c r="G46" s="11"/>
      <c r="H46" s="26"/>
      <c r="I46"/>
      <c r="J46"/>
      <c r="K46" s="363"/>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c r="B47"/>
      <c r="C47"/>
      <c r="D47"/>
      <c r="E47"/>
      <c r="F47"/>
      <c r="G47" s="11"/>
      <c r="H47" s="26"/>
      <c r="I47"/>
      <c r="J47"/>
      <c r="K47" s="363"/>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c r="B48"/>
      <c r="C48"/>
      <c r="D48"/>
      <c r="E48"/>
      <c r="F48"/>
      <c r="G48" s="11"/>
      <c r="H48" s="26"/>
      <c r="I48"/>
      <c r="J48"/>
      <c r="K48" s="363"/>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c r="B49"/>
      <c r="C49"/>
      <c r="D49"/>
      <c r="E49"/>
      <c r="F49"/>
      <c r="G49" s="11"/>
      <c r="H49" s="26"/>
      <c r="I49"/>
      <c r="J49"/>
      <c r="K49" s="363"/>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c r="B50"/>
      <c r="C50"/>
      <c r="D50"/>
      <c r="E50"/>
      <c r="F50"/>
      <c r="G50" s="11"/>
      <c r="H50" s="26"/>
      <c r="I50"/>
      <c r="J50"/>
      <c r="K50" s="363"/>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c r="B51"/>
      <c r="C51"/>
      <c r="D51"/>
      <c r="E51"/>
      <c r="F51"/>
      <c r="G51" s="11"/>
      <c r="H51" s="26"/>
      <c r="I51"/>
      <c r="J51"/>
      <c r="K51" s="363"/>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c r="B52"/>
      <c r="C52"/>
      <c r="D52"/>
      <c r="E52"/>
      <c r="F52"/>
      <c r="G52" s="11"/>
      <c r="H52" s="26"/>
      <c r="I52"/>
      <c r="J52"/>
      <c r="K52" s="363"/>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c r="B53"/>
      <c r="C53"/>
      <c r="D53"/>
      <c r="E53"/>
      <c r="F53"/>
      <c r="G53" s="11"/>
      <c r="H53" s="26"/>
      <c r="I53"/>
      <c r="J53"/>
      <c r="K53" s="363"/>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c r="B54"/>
      <c r="C54"/>
      <c r="D54"/>
      <c r="E54"/>
      <c r="F54"/>
      <c r="G54" s="11"/>
      <c r="H54" s="26"/>
      <c r="I54"/>
      <c r="J54"/>
      <c r="K54" s="363"/>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c r="B55"/>
      <c r="C55"/>
      <c r="D55"/>
      <c r="E55"/>
      <c r="F55"/>
      <c r="G55" s="11"/>
      <c r="H55" s="26"/>
      <c r="I55"/>
      <c r="J55"/>
      <c r="K55" s="363"/>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c r="B56"/>
      <c r="C56"/>
      <c r="D56"/>
      <c r="E56"/>
      <c r="F56"/>
      <c r="G56" s="11"/>
      <c r="H56" s="26"/>
      <c r="I56"/>
      <c r="J56"/>
      <c r="K56" s="363"/>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c r="B57"/>
      <c r="C57"/>
      <c r="D57"/>
      <c r="E57"/>
      <c r="F57"/>
      <c r="G57" s="11"/>
      <c r="H57" s="26"/>
      <c r="I57"/>
      <c r="J57"/>
      <c r="K57" s="363"/>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c r="B58"/>
      <c r="C58"/>
      <c r="D58"/>
      <c r="E58"/>
      <c r="F58"/>
      <c r="G58" s="11"/>
      <c r="H58" s="26"/>
      <c r="I58"/>
      <c r="J58"/>
      <c r="K58" s="363"/>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c r="B59"/>
      <c r="C59"/>
      <c r="D59"/>
      <c r="E59"/>
      <c r="F59"/>
      <c r="G59" s="11"/>
      <c r="H59" s="26"/>
      <c r="I59" s="366"/>
      <c r="J59"/>
      <c r="K59" s="363"/>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c r="B60"/>
      <c r="C60"/>
      <c r="D60"/>
      <c r="E60"/>
      <c r="F60"/>
      <c r="G60" s="11"/>
      <c r="H60" s="26"/>
      <c r="I60"/>
      <c r="J60"/>
      <c r="K60" s="363"/>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s="105"/>
      <c r="B61" s="106"/>
      <c r="C61" s="107"/>
      <c r="D61" s="105"/>
      <c r="E61" s="25"/>
      <c r="F61" s="36"/>
      <c r="G61" s="364"/>
      <c r="H61" s="365"/>
      <c r="I61"/>
      <c r="J61" s="36"/>
      <c r="K61" s="368"/>
      <c r="L61" s="36"/>
      <c r="M61" s="36"/>
      <c r="N61" s="36"/>
      <c r="O61" s="365"/>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c r="B62"/>
      <c r="C62"/>
      <c r="D62"/>
      <c r="E62"/>
      <c r="F62"/>
      <c r="G62" s="11"/>
      <c r="H62" s="26"/>
      <c r="I62"/>
      <c r="J62"/>
      <c r="K62" s="363"/>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c r="B63"/>
      <c r="C63"/>
      <c r="D63"/>
      <c r="E63"/>
      <c r="F63"/>
      <c r="G63" s="11"/>
      <c r="H63" s="26"/>
      <c r="I63"/>
      <c r="J63"/>
      <c r="K63" s="363"/>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c r="B64"/>
      <c r="C64"/>
      <c r="D64"/>
      <c r="E64"/>
      <c r="F64"/>
      <c r="G64" s="11"/>
      <c r="H64" s="26"/>
      <c r="I64"/>
      <c r="J64"/>
      <c r="K64" s="363"/>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c r="B65"/>
      <c r="C65"/>
      <c r="D65"/>
      <c r="E65"/>
      <c r="F65"/>
      <c r="G65" s="11"/>
      <c r="H65" s="26"/>
      <c r="I65"/>
      <c r="J65"/>
      <c r="K65" s="363"/>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c r="B66"/>
      <c r="C66"/>
      <c r="D66"/>
      <c r="E66"/>
      <c r="F66"/>
      <c r="G66" s="11"/>
      <c r="H66" s="26"/>
      <c r="I66"/>
      <c r="J66"/>
      <c r="K66" s="363"/>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c r="B67"/>
      <c r="C67"/>
      <c r="D67"/>
      <c r="E67"/>
      <c r="F67"/>
      <c r="G67" s="11"/>
      <c r="H67" s="26"/>
      <c r="I67"/>
      <c r="J67"/>
      <c r="K67" s="363"/>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c r="B68"/>
      <c r="C68"/>
      <c r="D68"/>
      <c r="E68"/>
      <c r="F68"/>
      <c r="G68" s="11"/>
      <c r="H68" s="26"/>
      <c r="I68"/>
      <c r="J68"/>
      <c r="K68" s="363"/>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c r="B69"/>
      <c r="C69"/>
      <c r="D69"/>
      <c r="E69"/>
      <c r="F69"/>
      <c r="G69" s="11"/>
      <c r="H69" s="26"/>
      <c r="I69"/>
      <c r="J69"/>
      <c r="K69" s="363"/>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c r="B70"/>
      <c r="C70"/>
      <c r="D70"/>
      <c r="E70"/>
      <c r="F70"/>
      <c r="G70" s="11"/>
      <c r="H70" s="26"/>
      <c r="I70"/>
      <c r="J70"/>
      <c r="K70" s="363"/>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c r="B71"/>
      <c r="C71"/>
      <c r="D71"/>
      <c r="E71"/>
      <c r="F71"/>
      <c r="G71" s="11"/>
      <c r="H71" s="26"/>
      <c r="I71"/>
      <c r="J71"/>
      <c r="K71" s="363"/>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c r="B72"/>
      <c r="C72"/>
      <c r="D72"/>
      <c r="E72"/>
      <c r="F72"/>
      <c r="G72" s="11"/>
      <c r="H72" s="26"/>
      <c r="I72"/>
      <c r="J72"/>
      <c r="K72" s="363"/>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c r="B73"/>
      <c r="C73"/>
      <c r="D73"/>
      <c r="E73"/>
      <c r="F73"/>
      <c r="G73" s="11"/>
      <c r="H73" s="26"/>
      <c r="I73"/>
      <c r="J73"/>
      <c r="K73" s="363"/>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c r="B74"/>
      <c r="C74"/>
      <c r="D74"/>
      <c r="E74"/>
      <c r="F74"/>
      <c r="G74" s="11"/>
      <c r="H74" s="26"/>
      <c r="I74"/>
      <c r="J74"/>
      <c r="K74" s="363"/>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c r="B75"/>
      <c r="C75"/>
      <c r="D75"/>
      <c r="E75"/>
      <c r="F75"/>
      <c r="G75" s="11"/>
      <c r="H75" s="26"/>
      <c r="I75"/>
      <c r="J75"/>
      <c r="K75" s="363"/>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c r="B76"/>
      <c r="C76"/>
      <c r="D76"/>
      <c r="E76"/>
      <c r="F76"/>
      <c r="G76" s="11"/>
      <c r="H76" s="26"/>
      <c r="I76"/>
      <c r="J76"/>
      <c r="K76" s="363"/>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c r="B77"/>
      <c r="C77"/>
      <c r="D77"/>
      <c r="E77"/>
      <c r="F77"/>
      <c r="G77" s="11"/>
      <c r="H77" s="26"/>
      <c r="I77"/>
      <c r="J77"/>
      <c r="K77" s="363"/>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c r="B78"/>
      <c r="C78"/>
      <c r="D78"/>
      <c r="E78"/>
      <c r="F78"/>
      <c r="G78" s="11"/>
      <c r="H78" s="26"/>
      <c r="I78"/>
      <c r="J78"/>
      <c r="K78" s="363"/>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c r="B79"/>
      <c r="C79"/>
      <c r="D79"/>
      <c r="E79"/>
      <c r="F79"/>
      <c r="G79" s="11"/>
      <c r="H79" s="26"/>
      <c r="I79"/>
      <c r="J79"/>
      <c r="K79" s="363"/>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c r="B80"/>
      <c r="C80"/>
      <c r="D80"/>
      <c r="E80"/>
      <c r="F80"/>
      <c r="G80" s="11"/>
      <c r="H80" s="26"/>
      <c r="I80"/>
      <c r="J80"/>
      <c r="K80" s="363"/>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c r="B81"/>
      <c r="C81"/>
      <c r="D81"/>
      <c r="E81"/>
      <c r="F81"/>
      <c r="G81" s="11"/>
      <c r="H81" s="26"/>
      <c r="I81"/>
      <c r="J81"/>
      <c r="K81" s="363"/>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c r="B82"/>
      <c r="C82"/>
      <c r="D82"/>
      <c r="E82"/>
      <c r="F82"/>
      <c r="G82" s="11"/>
      <c r="H82" s="26"/>
      <c r="I82"/>
      <c r="J82"/>
      <c r="K82" s="363"/>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c r="B83"/>
      <c r="C83"/>
      <c r="D83"/>
      <c r="E83"/>
      <c r="F83"/>
      <c r="G83" s="11"/>
      <c r="H83" s="26"/>
      <c r="I83"/>
      <c r="J83"/>
      <c r="K83" s="363"/>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c r="B84"/>
      <c r="C84"/>
      <c r="D84"/>
      <c r="E84"/>
      <c r="F84"/>
      <c r="G84" s="11"/>
      <c r="H84" s="26"/>
      <c r="I84"/>
      <c r="J84"/>
      <c r="K84" s="363"/>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c r="B85"/>
      <c r="C85"/>
      <c r="D85"/>
      <c r="E85"/>
      <c r="F85"/>
      <c r="G85" s="11"/>
      <c r="H85" s="26"/>
      <c r="I85"/>
      <c r="J85"/>
      <c r="K85" s="363"/>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c r="B86"/>
      <c r="C86"/>
      <c r="D86"/>
      <c r="E86"/>
      <c r="F86"/>
      <c r="G86" s="11"/>
      <c r="H86" s="26"/>
      <c r="I86"/>
      <c r="J86"/>
      <c r="K86" s="363"/>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c r="B87"/>
      <c r="C87"/>
      <c r="D87"/>
      <c r="E87"/>
      <c r="F87"/>
      <c r="G87" s="11"/>
      <c r="H87" s="26"/>
      <c r="I87"/>
      <c r="J87"/>
      <c r="K87" s="363"/>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c r="B88"/>
      <c r="C88"/>
      <c r="D88"/>
      <c r="E88"/>
      <c r="F88"/>
      <c r="G88" s="11"/>
      <c r="H88" s="26"/>
      <c r="I88"/>
      <c r="J88"/>
      <c r="K88" s="363"/>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x14ac:dyDescent="0.25">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x14ac:dyDescent="0.25">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x14ac:dyDescent="0.25">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x14ac:dyDescent="0.25">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x14ac:dyDescent="0.25">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x14ac:dyDescent="0.25">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x14ac:dyDescent="0.25">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x14ac:dyDescent="0.25">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A24:AH25"/>
    <mergeCell ref="J1:K1"/>
    <mergeCell ref="E4:F4"/>
    <mergeCell ref="H2:I2"/>
    <mergeCell ref="H3:I3"/>
    <mergeCell ref="H4:I4"/>
    <mergeCell ref="M2:N2"/>
    <mergeCell ref="M3:N3"/>
    <mergeCell ref="M4:N4"/>
    <mergeCell ref="M5:N5"/>
    <mergeCell ref="A2:D2"/>
    <mergeCell ref="A3:D3"/>
    <mergeCell ref="A4:D4"/>
    <mergeCell ref="H5:I5"/>
    <mergeCell ref="J2:K2"/>
    <mergeCell ref="E5:F5"/>
    <mergeCell ref="J3:K3"/>
    <mergeCell ref="J4:K4"/>
    <mergeCell ref="J5:K5"/>
    <mergeCell ref="F2:G2"/>
  </mergeCells>
  <phoneticPr fontId="38" type="noConversion"/>
  <conditionalFormatting sqref="P28:CU84 P30:DU36 AA37:DU37 P38:DU78 R75:CW84 P75:CT96 AQ8:DU10 AQ11:AQ25 AP15:AP23">
    <cfRule type="expression" dxfId="9" priority="11">
      <formula>#REF!&lt;=Today</formula>
    </cfRule>
  </conditionalFormatting>
  <conditionalFormatting sqref="P29:CU29">
    <cfRule type="expression" dxfId="8" priority="26">
      <formula>P$29&lt;=TODAY()</formula>
    </cfRule>
  </conditionalFormatting>
  <conditionalFormatting sqref="P30:CU84 AP75:DU83 R75:CW84 P75:CT96 P30:DU36 AA37:DU37 P38:DU78">
    <cfRule type="expression" dxfId="7" priority="3">
      <formula>#REF!&lt;=Today</formula>
    </cfRule>
  </conditionalFormatting>
  <conditionalFormatting sqref="P30:DU36 P30:CU84 AA37:DU37 P38:DU78 AP75:DU83 R75:CW84 P75:CT96">
    <cfRule type="expression" dxfId="6" priority="4" stopIfTrue="1">
      <formula>AND(#REF!&gt;=#REF!+1,#REF!&lt;=#REF!+#REF!-2)</formula>
    </cfRule>
  </conditionalFormatting>
  <conditionalFormatting sqref="AO7:DT7">
    <cfRule type="expression" dxfId="5" priority="5">
      <formula>#REF!&lt;=Today</formula>
    </cfRule>
  </conditionalFormatting>
  <conditionalFormatting sqref="AP79:DR83">
    <cfRule type="expression" dxfId="4" priority="1">
      <formula>#REF!&lt;=Today</formula>
    </cfRule>
    <cfRule type="expression" dxfId="3" priority="2" stopIfTrue="1">
      <formula>AND(#REF!&gt;=#REF!+1,#REF!&lt;=#REF!+#REF!-2)</formula>
    </cfRule>
  </conditionalFormatting>
  <conditionalFormatting sqref="AQ11:AQ25 AQ8:DU10 AP15:AP23 AO7:DT7">
    <cfRule type="expression" dxfId="2" priority="14" stopIfTrue="1">
      <formula>AND(#REF!&gt;=#REF!+1,#REF!&lt;=#REF!+#REF!-2)</formula>
    </cfRule>
  </conditionalFormatting>
  <conditionalFormatting sqref="AR11:DU12 AR14:DU25">
    <cfRule type="expression" dxfId="1" priority="10">
      <formula>#REF!&lt;=Today</formula>
    </cfRule>
    <cfRule type="expression" dxfId="0"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topLeftCell="A4" workbookViewId="0">
      <selection activeCell="E5" sqref="E5"/>
    </sheetView>
  </sheetViews>
  <sheetFormatPr defaultRowHeight="15" x14ac:dyDescent="0.25"/>
  <cols>
    <col min="1" max="1" width="12.7109375" bestFit="1" customWidth="1"/>
    <col min="2" max="2" width="10.7109375" bestFit="1" customWidth="1"/>
  </cols>
  <sheetData>
    <row r="1" spans="1:5" x14ac:dyDescent="0.25">
      <c r="A1" s="511" t="s">
        <v>439</v>
      </c>
      <c r="B1" s="511"/>
      <c r="C1" s="511"/>
      <c r="D1" s="511"/>
      <c r="E1" s="511"/>
    </row>
    <row r="3" spans="1:5" x14ac:dyDescent="0.25">
      <c r="A3" s="3" t="s">
        <v>440</v>
      </c>
      <c r="B3" s="3" t="s">
        <v>327</v>
      </c>
      <c r="C3" s="13" t="s">
        <v>441</v>
      </c>
      <c r="D3" s="13" t="s">
        <v>328</v>
      </c>
      <c r="E3" s="3"/>
    </row>
    <row r="4" spans="1:5" x14ac:dyDescent="0.25">
      <c r="A4" s="2"/>
      <c r="C4" s="14"/>
      <c r="D4" s="14"/>
      <c r="E4" s="14"/>
    </row>
    <row r="5" spans="1:5" x14ac:dyDescent="0.25">
      <c r="A5" s="2" t="s">
        <v>318</v>
      </c>
      <c r="B5" s="12" t="s">
        <v>442</v>
      </c>
      <c r="C5" s="14" t="s">
        <v>443</v>
      </c>
      <c r="D5" s="14">
        <v>0</v>
      </c>
      <c r="E5" s="14"/>
    </row>
    <row r="6" spans="1:5" x14ac:dyDescent="0.25">
      <c r="A6" s="2"/>
      <c r="C6" s="14"/>
      <c r="D6" s="14"/>
      <c r="E6" s="14"/>
    </row>
    <row r="7" spans="1:5" x14ac:dyDescent="0.25">
      <c r="A7" s="2"/>
      <c r="C7" s="14"/>
      <c r="D7" s="14"/>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0</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17" workbookViewId="0">
      <selection activeCell="G12" sqref="G12"/>
    </sheetView>
  </sheetViews>
  <sheetFormatPr defaultColWidth="16" defaultRowHeight="15" x14ac:dyDescent="0.2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x14ac:dyDescent="0.25">
      <c r="A1" s="614" t="s">
        <v>444</v>
      </c>
      <c r="B1" s="615"/>
      <c r="C1" s="615"/>
      <c r="D1" s="615"/>
      <c r="E1" s="43"/>
      <c r="F1" s="44"/>
      <c r="G1" s="45"/>
      <c r="H1" s="45"/>
      <c r="I1" s="45"/>
      <c r="J1" s="45"/>
      <c r="K1" s="45"/>
      <c r="L1" s="45"/>
      <c r="M1" s="45"/>
      <c r="N1" s="45"/>
      <c r="O1" s="45"/>
      <c r="P1" s="45"/>
      <c r="Q1" s="45"/>
      <c r="R1" s="45"/>
      <c r="S1" s="45"/>
      <c r="T1" s="45"/>
      <c r="U1" s="45"/>
      <c r="V1" s="45"/>
      <c r="W1" s="45"/>
      <c r="X1" s="45"/>
      <c r="Y1" s="45"/>
      <c r="Z1" s="45"/>
    </row>
    <row r="2" spans="1:26" ht="11.25" customHeight="1" x14ac:dyDescent="0.25">
      <c r="A2" s="616"/>
      <c r="B2" s="617"/>
      <c r="C2" s="617"/>
      <c r="D2" s="617"/>
      <c r="E2" s="46"/>
      <c r="F2" s="47"/>
      <c r="G2" s="45"/>
      <c r="H2" s="45"/>
      <c r="I2" s="45"/>
      <c r="J2" s="45"/>
      <c r="K2" s="45"/>
      <c r="L2" s="45"/>
      <c r="M2" s="45"/>
      <c r="N2" s="45"/>
      <c r="O2" s="45"/>
      <c r="P2" s="45"/>
      <c r="Q2" s="45"/>
      <c r="R2" s="45"/>
      <c r="S2" s="45"/>
      <c r="T2" s="45"/>
      <c r="U2" s="45"/>
      <c r="V2" s="45"/>
      <c r="W2" s="45"/>
      <c r="X2" s="45"/>
      <c r="Y2" s="45"/>
      <c r="Z2" s="45"/>
    </row>
    <row r="3" spans="1:26" ht="18" customHeight="1" x14ac:dyDescent="0.25">
      <c r="A3" s="48" t="s">
        <v>445</v>
      </c>
      <c r="B3" s="618" t="s">
        <v>446</v>
      </c>
      <c r="C3" s="619"/>
      <c r="D3" s="620"/>
      <c r="E3" s="621"/>
      <c r="F3" s="49"/>
      <c r="G3" s="45"/>
      <c r="H3" s="45"/>
      <c r="I3" s="45"/>
      <c r="J3" s="45"/>
      <c r="K3" s="45"/>
      <c r="L3" s="45"/>
      <c r="M3" s="45"/>
      <c r="N3" s="45"/>
      <c r="O3" s="45"/>
      <c r="P3" s="45"/>
      <c r="Q3" s="45"/>
      <c r="R3" s="45"/>
      <c r="S3" s="45"/>
      <c r="T3" s="45"/>
      <c r="U3" s="45"/>
      <c r="V3" s="45"/>
      <c r="W3" s="45"/>
      <c r="X3" s="45"/>
      <c r="Y3" s="45"/>
      <c r="Z3" s="45"/>
    </row>
    <row r="4" spans="1:26" ht="13.5" customHeight="1" x14ac:dyDescent="0.25">
      <c r="A4" s="50" t="s">
        <v>447</v>
      </c>
      <c r="B4" s="622" t="s">
        <v>446</v>
      </c>
      <c r="C4" s="511"/>
      <c r="D4" s="511"/>
      <c r="E4" s="511"/>
      <c r="F4" s="51"/>
      <c r="G4" s="45"/>
      <c r="H4" s="45"/>
      <c r="I4" s="45"/>
      <c r="J4" s="45"/>
      <c r="K4" s="45"/>
      <c r="L4" s="45"/>
      <c r="M4" s="45"/>
      <c r="N4" s="45"/>
      <c r="O4" s="45"/>
      <c r="P4" s="45"/>
      <c r="Q4" s="45"/>
      <c r="R4" s="45"/>
      <c r="S4" s="45"/>
      <c r="T4" s="45"/>
      <c r="U4" s="45"/>
      <c r="V4" s="45"/>
      <c r="W4" s="45"/>
      <c r="X4" s="45"/>
      <c r="Y4" s="45"/>
      <c r="Z4" s="45"/>
    </row>
    <row r="5" spans="1:26" ht="15.75" customHeight="1" x14ac:dyDescent="0.25">
      <c r="A5" s="50" t="s">
        <v>448</v>
      </c>
      <c r="B5" s="613" t="s">
        <v>446</v>
      </c>
      <c r="C5" s="511"/>
      <c r="D5" s="52"/>
      <c r="E5" s="45"/>
      <c r="F5" s="51"/>
      <c r="G5" s="45"/>
      <c r="H5" s="45"/>
      <c r="I5" s="45"/>
      <c r="J5" s="45"/>
      <c r="K5" s="45"/>
      <c r="L5" s="45"/>
      <c r="M5" s="45"/>
      <c r="N5" s="45"/>
      <c r="O5" s="45"/>
      <c r="P5" s="45"/>
      <c r="Q5" s="45"/>
      <c r="R5" s="45"/>
      <c r="S5" s="45"/>
      <c r="T5" s="45"/>
      <c r="U5" s="45"/>
      <c r="V5" s="45"/>
      <c r="W5" s="45"/>
      <c r="X5" s="45"/>
      <c r="Y5" s="45"/>
      <c r="Z5" s="45"/>
    </row>
    <row r="6" spans="1:26" ht="41.25" customHeight="1" x14ac:dyDescent="0.25">
      <c r="A6" s="53"/>
      <c r="B6" s="625" t="s">
        <v>449</v>
      </c>
      <c r="C6" s="626"/>
      <c r="D6" s="54" t="s">
        <v>450</v>
      </c>
      <c r="E6" s="54" t="s">
        <v>451</v>
      </c>
      <c r="F6" s="55" t="s">
        <v>452</v>
      </c>
      <c r="G6" s="56"/>
      <c r="H6" s="45"/>
      <c r="I6" s="45"/>
      <c r="J6" s="45"/>
      <c r="K6" s="45"/>
      <c r="L6" s="45"/>
      <c r="M6" s="45"/>
      <c r="N6" s="45"/>
      <c r="O6" s="57"/>
      <c r="P6" s="45"/>
      <c r="Q6" s="45"/>
      <c r="R6" s="45"/>
      <c r="S6" s="45"/>
      <c r="T6" s="45"/>
      <c r="U6" s="45"/>
      <c r="V6" s="45"/>
      <c r="W6" s="45"/>
      <c r="X6" s="45"/>
      <c r="Y6" s="45"/>
      <c r="Z6" s="45"/>
    </row>
    <row r="7" spans="1:26" ht="13.5" customHeight="1" x14ac:dyDescent="0.25">
      <c r="A7" s="58">
        <v>100</v>
      </c>
      <c r="B7" s="623" t="s">
        <v>453</v>
      </c>
      <c r="C7" s="624"/>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x14ac:dyDescent="0.25">
      <c r="A8" s="58">
        <v>1000</v>
      </c>
      <c r="B8" s="623" t="s">
        <v>454</v>
      </c>
      <c r="C8" s="624"/>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x14ac:dyDescent="0.25">
      <c r="A9" s="58">
        <v>2000</v>
      </c>
      <c r="B9" s="623" t="s">
        <v>455</v>
      </c>
      <c r="C9" s="624"/>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x14ac:dyDescent="0.25">
      <c r="A10" s="58">
        <v>3000</v>
      </c>
      <c r="B10" s="623" t="s">
        <v>456</v>
      </c>
      <c r="C10" s="624"/>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x14ac:dyDescent="0.25">
      <c r="A11" s="58">
        <v>4000</v>
      </c>
      <c r="B11" s="623" t="s">
        <v>457</v>
      </c>
      <c r="C11" s="624"/>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x14ac:dyDescent="0.25">
      <c r="A12" s="58">
        <v>5000</v>
      </c>
      <c r="B12" s="61" t="s">
        <v>458</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x14ac:dyDescent="0.25">
      <c r="A13" s="58">
        <v>6000</v>
      </c>
      <c r="B13" s="61" t="s">
        <v>459</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x14ac:dyDescent="0.25">
      <c r="A14" s="58">
        <v>7000</v>
      </c>
      <c r="B14" s="61" t="s">
        <v>460</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x14ac:dyDescent="0.25">
      <c r="A15" s="58">
        <v>8000</v>
      </c>
      <c r="B15" s="61" t="s">
        <v>461</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x14ac:dyDescent="0.25">
      <c r="A16" s="58">
        <v>9000</v>
      </c>
      <c r="B16" s="623" t="s">
        <v>462</v>
      </c>
      <c r="C16" s="624"/>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x14ac:dyDescent="0.25">
      <c r="A17" s="58">
        <v>10000</v>
      </c>
      <c r="B17" s="623" t="s">
        <v>463</v>
      </c>
      <c r="C17" s="624"/>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x14ac:dyDescent="0.25">
      <c r="A18" s="58">
        <v>11000</v>
      </c>
      <c r="B18" s="623" t="s">
        <v>464</v>
      </c>
      <c r="C18" s="624"/>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x14ac:dyDescent="0.25">
      <c r="A19" s="58">
        <v>12000</v>
      </c>
      <c r="B19" s="623" t="s">
        <v>465</v>
      </c>
      <c r="C19" s="624"/>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x14ac:dyDescent="0.25">
      <c r="A20" s="58">
        <v>13000</v>
      </c>
      <c r="B20" s="623" t="s">
        <v>370</v>
      </c>
      <c r="C20" s="624"/>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x14ac:dyDescent="0.25">
      <c r="A21" s="58">
        <v>14000</v>
      </c>
      <c r="B21" s="623" t="s">
        <v>466</v>
      </c>
      <c r="C21" s="624"/>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x14ac:dyDescent="0.25">
      <c r="A22" s="58">
        <v>15000</v>
      </c>
      <c r="B22" s="623" t="s">
        <v>467</v>
      </c>
      <c r="C22" s="624"/>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x14ac:dyDescent="0.25">
      <c r="A23" s="58">
        <v>16000</v>
      </c>
      <c r="B23" s="623" t="s">
        <v>468</v>
      </c>
      <c r="C23" s="624"/>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x14ac:dyDescent="0.25">
      <c r="A24" s="58">
        <v>17000</v>
      </c>
      <c r="B24" s="623" t="s">
        <v>469</v>
      </c>
      <c r="C24" s="624"/>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x14ac:dyDescent="0.25">
      <c r="A25" s="58">
        <v>18000</v>
      </c>
      <c r="B25" s="623" t="s">
        <v>470</v>
      </c>
      <c r="C25" s="624"/>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x14ac:dyDescent="0.25">
      <c r="A26" s="58">
        <v>19000</v>
      </c>
      <c r="B26" s="623" t="s">
        <v>471</v>
      </c>
      <c r="C26" s="624"/>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x14ac:dyDescent="0.25">
      <c r="A27" s="58">
        <v>20000</v>
      </c>
      <c r="B27" s="623" t="s">
        <v>472</v>
      </c>
      <c r="C27" s="624"/>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x14ac:dyDescent="0.25">
      <c r="A28" s="58">
        <v>21000</v>
      </c>
      <c r="B28" s="623" t="s">
        <v>420</v>
      </c>
      <c r="C28" s="624"/>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x14ac:dyDescent="0.25">
      <c r="A29" s="58">
        <v>22000</v>
      </c>
      <c r="B29" s="623" t="s">
        <v>473</v>
      </c>
      <c r="C29" s="624"/>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x14ac:dyDescent="0.25">
      <c r="A30" s="58">
        <v>23000</v>
      </c>
      <c r="B30" s="623" t="s">
        <v>474</v>
      </c>
      <c r="C30" s="624"/>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x14ac:dyDescent="0.25">
      <c r="A31" s="58">
        <v>24000</v>
      </c>
      <c r="B31" s="61" t="s">
        <v>475</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x14ac:dyDescent="0.25">
      <c r="A32" s="58">
        <v>25000</v>
      </c>
      <c r="B32" s="61" t="s">
        <v>476</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x14ac:dyDescent="0.25">
      <c r="A33" s="58">
        <v>26000</v>
      </c>
      <c r="B33" s="61" t="s">
        <v>372</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x14ac:dyDescent="0.25">
      <c r="A34" s="58">
        <v>27000</v>
      </c>
      <c r="B34" s="61" t="s">
        <v>477</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x14ac:dyDescent="0.25">
      <c r="A35" s="58">
        <v>28000</v>
      </c>
      <c r="B35" s="61" t="s">
        <v>478</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x14ac:dyDescent="0.25">
      <c r="A36" s="58">
        <v>29000</v>
      </c>
      <c r="B36" s="61" t="s">
        <v>479</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x14ac:dyDescent="0.25">
      <c r="A37" s="58">
        <v>30000</v>
      </c>
      <c r="B37" s="623" t="s">
        <v>480</v>
      </c>
      <c r="C37" s="624"/>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x14ac:dyDescent="0.25">
      <c r="A38" s="58">
        <v>31000</v>
      </c>
      <c r="B38" s="61" t="s">
        <v>481</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x14ac:dyDescent="0.25">
      <c r="A39" s="58">
        <v>32000</v>
      </c>
      <c r="B39" s="627" t="s">
        <v>482</v>
      </c>
      <c r="C39" s="624"/>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x14ac:dyDescent="0.25">
      <c r="A40" s="58">
        <v>33000</v>
      </c>
      <c r="B40" s="627" t="s">
        <v>483</v>
      </c>
      <c r="C40" s="624"/>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x14ac:dyDescent="0.25">
      <c r="A41" s="58">
        <v>34000</v>
      </c>
      <c r="B41" s="627" t="s">
        <v>484</v>
      </c>
      <c r="C41" s="624"/>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x14ac:dyDescent="0.25">
      <c r="A42" s="58">
        <v>35000</v>
      </c>
      <c r="B42" s="627" t="s">
        <v>485</v>
      </c>
      <c r="C42" s="624"/>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x14ac:dyDescent="0.25">
      <c r="A43" s="58">
        <v>36000</v>
      </c>
      <c r="B43" s="627" t="s">
        <v>486</v>
      </c>
      <c r="C43" s="624"/>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x14ac:dyDescent="0.25">
      <c r="A44" s="58">
        <v>37000</v>
      </c>
      <c r="B44" s="627" t="s">
        <v>486</v>
      </c>
      <c r="C44" s="624"/>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x14ac:dyDescent="0.25">
      <c r="A45" s="58">
        <v>38000</v>
      </c>
      <c r="B45" s="627" t="s">
        <v>486</v>
      </c>
      <c r="C45" s="624"/>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x14ac:dyDescent="0.25">
      <c r="A46" s="58">
        <v>39000</v>
      </c>
      <c r="B46" s="61" t="s">
        <v>487</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x14ac:dyDescent="0.25">
      <c r="A47" s="58">
        <v>40000</v>
      </c>
      <c r="B47" s="623" t="s">
        <v>488</v>
      </c>
      <c r="C47" s="624"/>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x14ac:dyDescent="0.25">
      <c r="A48" s="58">
        <v>41000</v>
      </c>
      <c r="B48" s="66" t="s">
        <v>489</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x14ac:dyDescent="0.25">
      <c r="A49" s="68"/>
      <c r="B49" s="628"/>
      <c r="C49" s="624"/>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x14ac:dyDescent="0.3">
      <c r="A50" s="71"/>
      <c r="B50" s="629" t="s">
        <v>490</v>
      </c>
      <c r="C50" s="630"/>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x14ac:dyDescent="0.25">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x14ac:dyDescent="0.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x14ac:dyDescent="0.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x14ac:dyDescent="0.25">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x14ac:dyDescent="0.25">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x14ac:dyDescent="0.25">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x14ac:dyDescent="0.25">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x14ac:dyDescent="0.25">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x14ac:dyDescent="0.25">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x14ac:dyDescent="0.25">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x14ac:dyDescent="0.25">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x14ac:dyDescent="0.25">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x14ac:dyDescent="0.25">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x14ac:dyDescent="0.25">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x14ac:dyDescent="0.25">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x14ac:dyDescent="0.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x14ac:dyDescent="0.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x14ac:dyDescent="0.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x14ac:dyDescent="0.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x14ac:dyDescent="0.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x14ac:dyDescent="0.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x14ac:dyDescent="0.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x14ac:dyDescent="0.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x14ac:dyDescent="0.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x14ac:dyDescent="0.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x14ac:dyDescent="0.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x14ac:dyDescent="0.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x14ac:dyDescent="0.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x14ac:dyDescent="0.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x14ac:dyDescent="0.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x14ac:dyDescent="0.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x14ac:dyDescent="0.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x14ac:dyDescent="0.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x14ac:dyDescent="0.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x14ac:dyDescent="0.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x14ac:dyDescent="0.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x14ac:dyDescent="0.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x14ac:dyDescent="0.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x14ac:dyDescent="0.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x14ac:dyDescent="0.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x14ac:dyDescent="0.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x14ac:dyDescent="0.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x14ac:dyDescent="0.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x14ac:dyDescent="0.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x14ac:dyDescent="0.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x14ac:dyDescent="0.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x14ac:dyDescent="0.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x14ac:dyDescent="0.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x14ac:dyDescent="0.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x14ac:dyDescent="0.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x14ac:dyDescent="0.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x14ac:dyDescent="0.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x14ac:dyDescent="0.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x14ac:dyDescent="0.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x14ac:dyDescent="0.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x14ac:dyDescent="0.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x14ac:dyDescent="0.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x14ac:dyDescent="0.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x14ac:dyDescent="0.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x14ac:dyDescent="0.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x14ac:dyDescent="0.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x14ac:dyDescent="0.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x14ac:dyDescent="0.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x14ac:dyDescent="0.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x14ac:dyDescent="0.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x14ac:dyDescent="0.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x14ac:dyDescent="0.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x14ac:dyDescent="0.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x14ac:dyDescent="0.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x14ac:dyDescent="0.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x14ac:dyDescent="0.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x14ac:dyDescent="0.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x14ac:dyDescent="0.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x14ac:dyDescent="0.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x14ac:dyDescent="0.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x14ac:dyDescent="0.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x14ac:dyDescent="0.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x14ac:dyDescent="0.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x14ac:dyDescent="0.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x14ac:dyDescent="0.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x14ac:dyDescent="0.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x14ac:dyDescent="0.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x14ac:dyDescent="0.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x14ac:dyDescent="0.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x14ac:dyDescent="0.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x14ac:dyDescent="0.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x14ac:dyDescent="0.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x14ac:dyDescent="0.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x14ac:dyDescent="0.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x14ac:dyDescent="0.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x14ac:dyDescent="0.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x14ac:dyDescent="0.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x14ac:dyDescent="0.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x14ac:dyDescent="0.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x14ac:dyDescent="0.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x14ac:dyDescent="0.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x14ac:dyDescent="0.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x14ac:dyDescent="0.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x14ac:dyDescent="0.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x14ac:dyDescent="0.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x14ac:dyDescent="0.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x14ac:dyDescent="0.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x14ac:dyDescent="0.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x14ac:dyDescent="0.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x14ac:dyDescent="0.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x14ac:dyDescent="0.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x14ac:dyDescent="0.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x14ac:dyDescent="0.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x14ac:dyDescent="0.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x14ac:dyDescent="0.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x14ac:dyDescent="0.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x14ac:dyDescent="0.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x14ac:dyDescent="0.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x14ac:dyDescent="0.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x14ac:dyDescent="0.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x14ac:dyDescent="0.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x14ac:dyDescent="0.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x14ac:dyDescent="0.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x14ac:dyDescent="0.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x14ac:dyDescent="0.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x14ac:dyDescent="0.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x14ac:dyDescent="0.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x14ac:dyDescent="0.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x14ac:dyDescent="0.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x14ac:dyDescent="0.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x14ac:dyDescent="0.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x14ac:dyDescent="0.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x14ac:dyDescent="0.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x14ac:dyDescent="0.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x14ac:dyDescent="0.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x14ac:dyDescent="0.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x14ac:dyDescent="0.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x14ac:dyDescent="0.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x14ac:dyDescent="0.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x14ac:dyDescent="0.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x14ac:dyDescent="0.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x14ac:dyDescent="0.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x14ac:dyDescent="0.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x14ac:dyDescent="0.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x14ac:dyDescent="0.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x14ac:dyDescent="0.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x14ac:dyDescent="0.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x14ac:dyDescent="0.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x14ac:dyDescent="0.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x14ac:dyDescent="0.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x14ac:dyDescent="0.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x14ac:dyDescent="0.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x14ac:dyDescent="0.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x14ac:dyDescent="0.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x14ac:dyDescent="0.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x14ac:dyDescent="0.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x14ac:dyDescent="0.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x14ac:dyDescent="0.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x14ac:dyDescent="0.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x14ac:dyDescent="0.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x14ac:dyDescent="0.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x14ac:dyDescent="0.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x14ac:dyDescent="0.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x14ac:dyDescent="0.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x14ac:dyDescent="0.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x14ac:dyDescent="0.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x14ac:dyDescent="0.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x14ac:dyDescent="0.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x14ac:dyDescent="0.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x14ac:dyDescent="0.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x14ac:dyDescent="0.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x14ac:dyDescent="0.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x14ac:dyDescent="0.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x14ac:dyDescent="0.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x14ac:dyDescent="0.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x14ac:dyDescent="0.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x14ac:dyDescent="0.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x14ac:dyDescent="0.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x14ac:dyDescent="0.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x14ac:dyDescent="0.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x14ac:dyDescent="0.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x14ac:dyDescent="0.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x14ac:dyDescent="0.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x14ac:dyDescent="0.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x14ac:dyDescent="0.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x14ac:dyDescent="0.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x14ac:dyDescent="0.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x14ac:dyDescent="0.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x14ac:dyDescent="0.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x14ac:dyDescent="0.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x14ac:dyDescent="0.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x14ac:dyDescent="0.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x14ac:dyDescent="0.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x14ac:dyDescent="0.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x14ac:dyDescent="0.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x14ac:dyDescent="0.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x14ac:dyDescent="0.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x14ac:dyDescent="0.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x14ac:dyDescent="0.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x14ac:dyDescent="0.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x14ac:dyDescent="0.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x14ac:dyDescent="0.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x14ac:dyDescent="0.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x14ac:dyDescent="0.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x14ac:dyDescent="0.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x14ac:dyDescent="0.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x14ac:dyDescent="0.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x14ac:dyDescent="0.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x14ac:dyDescent="0.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x14ac:dyDescent="0.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x14ac:dyDescent="0.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x14ac:dyDescent="0.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x14ac:dyDescent="0.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x14ac:dyDescent="0.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x14ac:dyDescent="0.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x14ac:dyDescent="0.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x14ac:dyDescent="0.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x14ac:dyDescent="0.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x14ac:dyDescent="0.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x14ac:dyDescent="0.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x14ac:dyDescent="0.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x14ac:dyDescent="0.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x14ac:dyDescent="0.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x14ac:dyDescent="0.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x14ac:dyDescent="0.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x14ac:dyDescent="0.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x14ac:dyDescent="0.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x14ac:dyDescent="0.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x14ac:dyDescent="0.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x14ac:dyDescent="0.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x14ac:dyDescent="0.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x14ac:dyDescent="0.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x14ac:dyDescent="0.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x14ac:dyDescent="0.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x14ac:dyDescent="0.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x14ac:dyDescent="0.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x14ac:dyDescent="0.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x14ac:dyDescent="0.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x14ac:dyDescent="0.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x14ac:dyDescent="0.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x14ac:dyDescent="0.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x14ac:dyDescent="0.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x14ac:dyDescent="0.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x14ac:dyDescent="0.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x14ac:dyDescent="0.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x14ac:dyDescent="0.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x14ac:dyDescent="0.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x14ac:dyDescent="0.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x14ac:dyDescent="0.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x14ac:dyDescent="0.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x14ac:dyDescent="0.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x14ac:dyDescent="0.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x14ac:dyDescent="0.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x14ac:dyDescent="0.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x14ac:dyDescent="0.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x14ac:dyDescent="0.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x14ac:dyDescent="0.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x14ac:dyDescent="0.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x14ac:dyDescent="0.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x14ac:dyDescent="0.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x14ac:dyDescent="0.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x14ac:dyDescent="0.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x14ac:dyDescent="0.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x14ac:dyDescent="0.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x14ac:dyDescent="0.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x14ac:dyDescent="0.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x14ac:dyDescent="0.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x14ac:dyDescent="0.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x14ac:dyDescent="0.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x14ac:dyDescent="0.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x14ac:dyDescent="0.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x14ac:dyDescent="0.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x14ac:dyDescent="0.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x14ac:dyDescent="0.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x14ac:dyDescent="0.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x14ac:dyDescent="0.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x14ac:dyDescent="0.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x14ac:dyDescent="0.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x14ac:dyDescent="0.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x14ac:dyDescent="0.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x14ac:dyDescent="0.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x14ac:dyDescent="0.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x14ac:dyDescent="0.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x14ac:dyDescent="0.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x14ac:dyDescent="0.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x14ac:dyDescent="0.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x14ac:dyDescent="0.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x14ac:dyDescent="0.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x14ac:dyDescent="0.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x14ac:dyDescent="0.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x14ac:dyDescent="0.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x14ac:dyDescent="0.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x14ac:dyDescent="0.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x14ac:dyDescent="0.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x14ac:dyDescent="0.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x14ac:dyDescent="0.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x14ac:dyDescent="0.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x14ac:dyDescent="0.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x14ac:dyDescent="0.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x14ac:dyDescent="0.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x14ac:dyDescent="0.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x14ac:dyDescent="0.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x14ac:dyDescent="0.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x14ac:dyDescent="0.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x14ac:dyDescent="0.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x14ac:dyDescent="0.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x14ac:dyDescent="0.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x14ac:dyDescent="0.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x14ac:dyDescent="0.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x14ac:dyDescent="0.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x14ac:dyDescent="0.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x14ac:dyDescent="0.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x14ac:dyDescent="0.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x14ac:dyDescent="0.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x14ac:dyDescent="0.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x14ac:dyDescent="0.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x14ac:dyDescent="0.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x14ac:dyDescent="0.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x14ac:dyDescent="0.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x14ac:dyDescent="0.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x14ac:dyDescent="0.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x14ac:dyDescent="0.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x14ac:dyDescent="0.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x14ac:dyDescent="0.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x14ac:dyDescent="0.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x14ac:dyDescent="0.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x14ac:dyDescent="0.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x14ac:dyDescent="0.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x14ac:dyDescent="0.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x14ac:dyDescent="0.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x14ac:dyDescent="0.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x14ac:dyDescent="0.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x14ac:dyDescent="0.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x14ac:dyDescent="0.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x14ac:dyDescent="0.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x14ac:dyDescent="0.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x14ac:dyDescent="0.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x14ac:dyDescent="0.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x14ac:dyDescent="0.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x14ac:dyDescent="0.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x14ac:dyDescent="0.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x14ac:dyDescent="0.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x14ac:dyDescent="0.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x14ac:dyDescent="0.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x14ac:dyDescent="0.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x14ac:dyDescent="0.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x14ac:dyDescent="0.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x14ac:dyDescent="0.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x14ac:dyDescent="0.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x14ac:dyDescent="0.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x14ac:dyDescent="0.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x14ac:dyDescent="0.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x14ac:dyDescent="0.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x14ac:dyDescent="0.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x14ac:dyDescent="0.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x14ac:dyDescent="0.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x14ac:dyDescent="0.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x14ac:dyDescent="0.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x14ac:dyDescent="0.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x14ac:dyDescent="0.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x14ac:dyDescent="0.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x14ac:dyDescent="0.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x14ac:dyDescent="0.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x14ac:dyDescent="0.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x14ac:dyDescent="0.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x14ac:dyDescent="0.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x14ac:dyDescent="0.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x14ac:dyDescent="0.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x14ac:dyDescent="0.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x14ac:dyDescent="0.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x14ac:dyDescent="0.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x14ac:dyDescent="0.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x14ac:dyDescent="0.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x14ac:dyDescent="0.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x14ac:dyDescent="0.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x14ac:dyDescent="0.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x14ac:dyDescent="0.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x14ac:dyDescent="0.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x14ac:dyDescent="0.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x14ac:dyDescent="0.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x14ac:dyDescent="0.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x14ac:dyDescent="0.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x14ac:dyDescent="0.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x14ac:dyDescent="0.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x14ac:dyDescent="0.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x14ac:dyDescent="0.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x14ac:dyDescent="0.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x14ac:dyDescent="0.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x14ac:dyDescent="0.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x14ac:dyDescent="0.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x14ac:dyDescent="0.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x14ac:dyDescent="0.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x14ac:dyDescent="0.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x14ac:dyDescent="0.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x14ac:dyDescent="0.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x14ac:dyDescent="0.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x14ac:dyDescent="0.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x14ac:dyDescent="0.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x14ac:dyDescent="0.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x14ac:dyDescent="0.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x14ac:dyDescent="0.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x14ac:dyDescent="0.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x14ac:dyDescent="0.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x14ac:dyDescent="0.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x14ac:dyDescent="0.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x14ac:dyDescent="0.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x14ac:dyDescent="0.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x14ac:dyDescent="0.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x14ac:dyDescent="0.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x14ac:dyDescent="0.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x14ac:dyDescent="0.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x14ac:dyDescent="0.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x14ac:dyDescent="0.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x14ac:dyDescent="0.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x14ac:dyDescent="0.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x14ac:dyDescent="0.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x14ac:dyDescent="0.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x14ac:dyDescent="0.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x14ac:dyDescent="0.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x14ac:dyDescent="0.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x14ac:dyDescent="0.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x14ac:dyDescent="0.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x14ac:dyDescent="0.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x14ac:dyDescent="0.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x14ac:dyDescent="0.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x14ac:dyDescent="0.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x14ac:dyDescent="0.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x14ac:dyDescent="0.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x14ac:dyDescent="0.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x14ac:dyDescent="0.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x14ac:dyDescent="0.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x14ac:dyDescent="0.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x14ac:dyDescent="0.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x14ac:dyDescent="0.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x14ac:dyDescent="0.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x14ac:dyDescent="0.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x14ac:dyDescent="0.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x14ac:dyDescent="0.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x14ac:dyDescent="0.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x14ac:dyDescent="0.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x14ac:dyDescent="0.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x14ac:dyDescent="0.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x14ac:dyDescent="0.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x14ac:dyDescent="0.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x14ac:dyDescent="0.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x14ac:dyDescent="0.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x14ac:dyDescent="0.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x14ac:dyDescent="0.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x14ac:dyDescent="0.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x14ac:dyDescent="0.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x14ac:dyDescent="0.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x14ac:dyDescent="0.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x14ac:dyDescent="0.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x14ac:dyDescent="0.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x14ac:dyDescent="0.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x14ac:dyDescent="0.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x14ac:dyDescent="0.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x14ac:dyDescent="0.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x14ac:dyDescent="0.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x14ac:dyDescent="0.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x14ac:dyDescent="0.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x14ac:dyDescent="0.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x14ac:dyDescent="0.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x14ac:dyDescent="0.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x14ac:dyDescent="0.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x14ac:dyDescent="0.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x14ac:dyDescent="0.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x14ac:dyDescent="0.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x14ac:dyDescent="0.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x14ac:dyDescent="0.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x14ac:dyDescent="0.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x14ac:dyDescent="0.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x14ac:dyDescent="0.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x14ac:dyDescent="0.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x14ac:dyDescent="0.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x14ac:dyDescent="0.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x14ac:dyDescent="0.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x14ac:dyDescent="0.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x14ac:dyDescent="0.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x14ac:dyDescent="0.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x14ac:dyDescent="0.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x14ac:dyDescent="0.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x14ac:dyDescent="0.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x14ac:dyDescent="0.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x14ac:dyDescent="0.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x14ac:dyDescent="0.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x14ac:dyDescent="0.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x14ac:dyDescent="0.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x14ac:dyDescent="0.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x14ac:dyDescent="0.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x14ac:dyDescent="0.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x14ac:dyDescent="0.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x14ac:dyDescent="0.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x14ac:dyDescent="0.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x14ac:dyDescent="0.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x14ac:dyDescent="0.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x14ac:dyDescent="0.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x14ac:dyDescent="0.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x14ac:dyDescent="0.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x14ac:dyDescent="0.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x14ac:dyDescent="0.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x14ac:dyDescent="0.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x14ac:dyDescent="0.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x14ac:dyDescent="0.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x14ac:dyDescent="0.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x14ac:dyDescent="0.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x14ac:dyDescent="0.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x14ac:dyDescent="0.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x14ac:dyDescent="0.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x14ac:dyDescent="0.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x14ac:dyDescent="0.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x14ac:dyDescent="0.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x14ac:dyDescent="0.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x14ac:dyDescent="0.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x14ac:dyDescent="0.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x14ac:dyDescent="0.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x14ac:dyDescent="0.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x14ac:dyDescent="0.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x14ac:dyDescent="0.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x14ac:dyDescent="0.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x14ac:dyDescent="0.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x14ac:dyDescent="0.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x14ac:dyDescent="0.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x14ac:dyDescent="0.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x14ac:dyDescent="0.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x14ac:dyDescent="0.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x14ac:dyDescent="0.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x14ac:dyDescent="0.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x14ac:dyDescent="0.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x14ac:dyDescent="0.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x14ac:dyDescent="0.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x14ac:dyDescent="0.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x14ac:dyDescent="0.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x14ac:dyDescent="0.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x14ac:dyDescent="0.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x14ac:dyDescent="0.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x14ac:dyDescent="0.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x14ac:dyDescent="0.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x14ac:dyDescent="0.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x14ac:dyDescent="0.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x14ac:dyDescent="0.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x14ac:dyDescent="0.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x14ac:dyDescent="0.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x14ac:dyDescent="0.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x14ac:dyDescent="0.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x14ac:dyDescent="0.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x14ac:dyDescent="0.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x14ac:dyDescent="0.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x14ac:dyDescent="0.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x14ac:dyDescent="0.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x14ac:dyDescent="0.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x14ac:dyDescent="0.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x14ac:dyDescent="0.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x14ac:dyDescent="0.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x14ac:dyDescent="0.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x14ac:dyDescent="0.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x14ac:dyDescent="0.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x14ac:dyDescent="0.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x14ac:dyDescent="0.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x14ac:dyDescent="0.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x14ac:dyDescent="0.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x14ac:dyDescent="0.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x14ac:dyDescent="0.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x14ac:dyDescent="0.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x14ac:dyDescent="0.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x14ac:dyDescent="0.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x14ac:dyDescent="0.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x14ac:dyDescent="0.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x14ac:dyDescent="0.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x14ac:dyDescent="0.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x14ac:dyDescent="0.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x14ac:dyDescent="0.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x14ac:dyDescent="0.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x14ac:dyDescent="0.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x14ac:dyDescent="0.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x14ac:dyDescent="0.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x14ac:dyDescent="0.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x14ac:dyDescent="0.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x14ac:dyDescent="0.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x14ac:dyDescent="0.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x14ac:dyDescent="0.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x14ac:dyDescent="0.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x14ac:dyDescent="0.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x14ac:dyDescent="0.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x14ac:dyDescent="0.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x14ac:dyDescent="0.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x14ac:dyDescent="0.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x14ac:dyDescent="0.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x14ac:dyDescent="0.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x14ac:dyDescent="0.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x14ac:dyDescent="0.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x14ac:dyDescent="0.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x14ac:dyDescent="0.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x14ac:dyDescent="0.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x14ac:dyDescent="0.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x14ac:dyDescent="0.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x14ac:dyDescent="0.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x14ac:dyDescent="0.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x14ac:dyDescent="0.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x14ac:dyDescent="0.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x14ac:dyDescent="0.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x14ac:dyDescent="0.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x14ac:dyDescent="0.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x14ac:dyDescent="0.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x14ac:dyDescent="0.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x14ac:dyDescent="0.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x14ac:dyDescent="0.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x14ac:dyDescent="0.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x14ac:dyDescent="0.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x14ac:dyDescent="0.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x14ac:dyDescent="0.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x14ac:dyDescent="0.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x14ac:dyDescent="0.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x14ac:dyDescent="0.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x14ac:dyDescent="0.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x14ac:dyDescent="0.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x14ac:dyDescent="0.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x14ac:dyDescent="0.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x14ac:dyDescent="0.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x14ac:dyDescent="0.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x14ac:dyDescent="0.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x14ac:dyDescent="0.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x14ac:dyDescent="0.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x14ac:dyDescent="0.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x14ac:dyDescent="0.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x14ac:dyDescent="0.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x14ac:dyDescent="0.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x14ac:dyDescent="0.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x14ac:dyDescent="0.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x14ac:dyDescent="0.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x14ac:dyDescent="0.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x14ac:dyDescent="0.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x14ac:dyDescent="0.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x14ac:dyDescent="0.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x14ac:dyDescent="0.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x14ac:dyDescent="0.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x14ac:dyDescent="0.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x14ac:dyDescent="0.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x14ac:dyDescent="0.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x14ac:dyDescent="0.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x14ac:dyDescent="0.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x14ac:dyDescent="0.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x14ac:dyDescent="0.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x14ac:dyDescent="0.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x14ac:dyDescent="0.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x14ac:dyDescent="0.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x14ac:dyDescent="0.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x14ac:dyDescent="0.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x14ac:dyDescent="0.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x14ac:dyDescent="0.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x14ac:dyDescent="0.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x14ac:dyDescent="0.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x14ac:dyDescent="0.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x14ac:dyDescent="0.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x14ac:dyDescent="0.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x14ac:dyDescent="0.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x14ac:dyDescent="0.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x14ac:dyDescent="0.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x14ac:dyDescent="0.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x14ac:dyDescent="0.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x14ac:dyDescent="0.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x14ac:dyDescent="0.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x14ac:dyDescent="0.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x14ac:dyDescent="0.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x14ac:dyDescent="0.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x14ac:dyDescent="0.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x14ac:dyDescent="0.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x14ac:dyDescent="0.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x14ac:dyDescent="0.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x14ac:dyDescent="0.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x14ac:dyDescent="0.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x14ac:dyDescent="0.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x14ac:dyDescent="0.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x14ac:dyDescent="0.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x14ac:dyDescent="0.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x14ac:dyDescent="0.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x14ac:dyDescent="0.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x14ac:dyDescent="0.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x14ac:dyDescent="0.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x14ac:dyDescent="0.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x14ac:dyDescent="0.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x14ac:dyDescent="0.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x14ac:dyDescent="0.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x14ac:dyDescent="0.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x14ac:dyDescent="0.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x14ac:dyDescent="0.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x14ac:dyDescent="0.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x14ac:dyDescent="0.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x14ac:dyDescent="0.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x14ac:dyDescent="0.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x14ac:dyDescent="0.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x14ac:dyDescent="0.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x14ac:dyDescent="0.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x14ac:dyDescent="0.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x14ac:dyDescent="0.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x14ac:dyDescent="0.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x14ac:dyDescent="0.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x14ac:dyDescent="0.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x14ac:dyDescent="0.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x14ac:dyDescent="0.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x14ac:dyDescent="0.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x14ac:dyDescent="0.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x14ac:dyDescent="0.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x14ac:dyDescent="0.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x14ac:dyDescent="0.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x14ac:dyDescent="0.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x14ac:dyDescent="0.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x14ac:dyDescent="0.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x14ac:dyDescent="0.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x14ac:dyDescent="0.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x14ac:dyDescent="0.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x14ac:dyDescent="0.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x14ac:dyDescent="0.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x14ac:dyDescent="0.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x14ac:dyDescent="0.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x14ac:dyDescent="0.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x14ac:dyDescent="0.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x14ac:dyDescent="0.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x14ac:dyDescent="0.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x14ac:dyDescent="0.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x14ac:dyDescent="0.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x14ac:dyDescent="0.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x14ac:dyDescent="0.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x14ac:dyDescent="0.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x14ac:dyDescent="0.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x14ac:dyDescent="0.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x14ac:dyDescent="0.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x14ac:dyDescent="0.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x14ac:dyDescent="0.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x14ac:dyDescent="0.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x14ac:dyDescent="0.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x14ac:dyDescent="0.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x14ac:dyDescent="0.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x14ac:dyDescent="0.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x14ac:dyDescent="0.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x14ac:dyDescent="0.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x14ac:dyDescent="0.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x14ac:dyDescent="0.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x14ac:dyDescent="0.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x14ac:dyDescent="0.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x14ac:dyDescent="0.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x14ac:dyDescent="0.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x14ac:dyDescent="0.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x14ac:dyDescent="0.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x14ac:dyDescent="0.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x14ac:dyDescent="0.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x14ac:dyDescent="0.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x14ac:dyDescent="0.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x14ac:dyDescent="0.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x14ac:dyDescent="0.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x14ac:dyDescent="0.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x14ac:dyDescent="0.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x14ac:dyDescent="0.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x14ac:dyDescent="0.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x14ac:dyDescent="0.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x14ac:dyDescent="0.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x14ac:dyDescent="0.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x14ac:dyDescent="0.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x14ac:dyDescent="0.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x14ac:dyDescent="0.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x14ac:dyDescent="0.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x14ac:dyDescent="0.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x14ac:dyDescent="0.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x14ac:dyDescent="0.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x14ac:dyDescent="0.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x14ac:dyDescent="0.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x14ac:dyDescent="0.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x14ac:dyDescent="0.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x14ac:dyDescent="0.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x14ac:dyDescent="0.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x14ac:dyDescent="0.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x14ac:dyDescent="0.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x14ac:dyDescent="0.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x14ac:dyDescent="0.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x14ac:dyDescent="0.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x14ac:dyDescent="0.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x14ac:dyDescent="0.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x14ac:dyDescent="0.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x14ac:dyDescent="0.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x14ac:dyDescent="0.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x14ac:dyDescent="0.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x14ac:dyDescent="0.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x14ac:dyDescent="0.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x14ac:dyDescent="0.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x14ac:dyDescent="0.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x14ac:dyDescent="0.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x14ac:dyDescent="0.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x14ac:dyDescent="0.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x14ac:dyDescent="0.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x14ac:dyDescent="0.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x14ac:dyDescent="0.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x14ac:dyDescent="0.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x14ac:dyDescent="0.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x14ac:dyDescent="0.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x14ac:dyDescent="0.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x14ac:dyDescent="0.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x14ac:dyDescent="0.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x14ac:dyDescent="0.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x14ac:dyDescent="0.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x14ac:dyDescent="0.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x14ac:dyDescent="0.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x14ac:dyDescent="0.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x14ac:dyDescent="0.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x14ac:dyDescent="0.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x14ac:dyDescent="0.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x14ac:dyDescent="0.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x14ac:dyDescent="0.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x14ac:dyDescent="0.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x14ac:dyDescent="0.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x14ac:dyDescent="0.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x14ac:dyDescent="0.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x14ac:dyDescent="0.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x14ac:dyDescent="0.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x14ac:dyDescent="0.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x14ac:dyDescent="0.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x14ac:dyDescent="0.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x14ac:dyDescent="0.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x14ac:dyDescent="0.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x14ac:dyDescent="0.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x14ac:dyDescent="0.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x14ac:dyDescent="0.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x14ac:dyDescent="0.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x14ac:dyDescent="0.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x14ac:dyDescent="0.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x14ac:dyDescent="0.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x14ac:dyDescent="0.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x14ac:dyDescent="0.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x14ac:dyDescent="0.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x14ac:dyDescent="0.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x14ac:dyDescent="0.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x14ac:dyDescent="0.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x14ac:dyDescent="0.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x14ac:dyDescent="0.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x14ac:dyDescent="0.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x14ac:dyDescent="0.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x14ac:dyDescent="0.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x14ac:dyDescent="0.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x14ac:dyDescent="0.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x14ac:dyDescent="0.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x14ac:dyDescent="0.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x14ac:dyDescent="0.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x14ac:dyDescent="0.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x14ac:dyDescent="0.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x14ac:dyDescent="0.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x14ac:dyDescent="0.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x14ac:dyDescent="0.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x14ac:dyDescent="0.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x14ac:dyDescent="0.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x14ac:dyDescent="0.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x14ac:dyDescent="0.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x14ac:dyDescent="0.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x14ac:dyDescent="0.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x14ac:dyDescent="0.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x14ac:dyDescent="0.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x14ac:dyDescent="0.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x14ac:dyDescent="0.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x14ac:dyDescent="0.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x14ac:dyDescent="0.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x14ac:dyDescent="0.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x14ac:dyDescent="0.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x14ac:dyDescent="0.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x14ac:dyDescent="0.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x14ac:dyDescent="0.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x14ac:dyDescent="0.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x14ac:dyDescent="0.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x14ac:dyDescent="0.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x14ac:dyDescent="0.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x14ac:dyDescent="0.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x14ac:dyDescent="0.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x14ac:dyDescent="0.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x14ac:dyDescent="0.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x14ac:dyDescent="0.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x14ac:dyDescent="0.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x14ac:dyDescent="0.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x14ac:dyDescent="0.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x14ac:dyDescent="0.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x14ac:dyDescent="0.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x14ac:dyDescent="0.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x14ac:dyDescent="0.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x14ac:dyDescent="0.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x14ac:dyDescent="0.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x14ac:dyDescent="0.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x14ac:dyDescent="0.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x14ac:dyDescent="0.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x14ac:dyDescent="0.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x14ac:dyDescent="0.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x14ac:dyDescent="0.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x14ac:dyDescent="0.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x14ac:dyDescent="0.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x14ac:dyDescent="0.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x14ac:dyDescent="0.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x14ac:dyDescent="0.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x14ac:dyDescent="0.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x14ac:dyDescent="0.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x14ac:dyDescent="0.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x14ac:dyDescent="0.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x14ac:dyDescent="0.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x14ac:dyDescent="0.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x14ac:dyDescent="0.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x14ac:dyDescent="0.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x14ac:dyDescent="0.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x14ac:dyDescent="0.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x14ac:dyDescent="0.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x14ac:dyDescent="0.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x14ac:dyDescent="0.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x14ac:dyDescent="0.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x14ac:dyDescent="0.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x14ac:dyDescent="0.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x14ac:dyDescent="0.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x14ac:dyDescent="0.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x14ac:dyDescent="0.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x14ac:dyDescent="0.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x14ac:dyDescent="0.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x14ac:dyDescent="0.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x14ac:dyDescent="0.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x14ac:dyDescent="0.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x14ac:dyDescent="0.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x14ac:dyDescent="0.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x14ac:dyDescent="0.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x14ac:dyDescent="0.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x14ac:dyDescent="0.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x14ac:dyDescent="0.2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x14ac:dyDescent="0.2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x14ac:dyDescent="0.2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x14ac:dyDescent="0.2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x14ac:dyDescent="0.2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x14ac:dyDescent="0.2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x14ac:dyDescent="0.2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x14ac:dyDescent="0.2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x14ac:dyDescent="0.2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x14ac:dyDescent="0.25">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x14ac:dyDescent="0.25">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x14ac:dyDescent="0.25">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x14ac:dyDescent="0.25">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x14ac:dyDescent="0.25">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49:C49"/>
    <mergeCell ref="B50:C50"/>
    <mergeCell ref="B41:C41"/>
    <mergeCell ref="B42:C42"/>
    <mergeCell ref="B43:C43"/>
    <mergeCell ref="B44:C44"/>
    <mergeCell ref="B45:C45"/>
    <mergeCell ref="B47:C47"/>
    <mergeCell ref="B40:C40"/>
    <mergeCell ref="B22:C22"/>
    <mergeCell ref="B23:C23"/>
    <mergeCell ref="B24:C24"/>
    <mergeCell ref="B25:C25"/>
    <mergeCell ref="B26:C26"/>
    <mergeCell ref="B27:C27"/>
    <mergeCell ref="B28:C28"/>
    <mergeCell ref="B29:C29"/>
    <mergeCell ref="B30:C30"/>
    <mergeCell ref="B37:C37"/>
    <mergeCell ref="B39:C39"/>
    <mergeCell ref="B21:C21"/>
    <mergeCell ref="B6:C6"/>
    <mergeCell ref="B7:C7"/>
    <mergeCell ref="B8:C8"/>
    <mergeCell ref="B9:C9"/>
    <mergeCell ref="B10:C10"/>
    <mergeCell ref="B11:C11"/>
    <mergeCell ref="B16:C16"/>
    <mergeCell ref="B17:C17"/>
    <mergeCell ref="B18:C18"/>
    <mergeCell ref="B19:C19"/>
    <mergeCell ref="B20:C20"/>
    <mergeCell ref="B5:C5"/>
    <mergeCell ref="A1:D2"/>
    <mergeCell ref="B3:C3"/>
    <mergeCell ref="D3:D4"/>
    <mergeCell ref="E3:E4"/>
    <mergeCell ref="B4:C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491</v>
      </c>
      <c r="B1" s="7" t="s">
        <v>492</v>
      </c>
    </row>
    <row r="2" spans="1:5" x14ac:dyDescent="0.25">
      <c r="A2" s="3" t="s">
        <v>493</v>
      </c>
      <c r="B2" s="6"/>
      <c r="C2" s="4"/>
    </row>
    <row r="4" spans="1:5" x14ac:dyDescent="0.25">
      <c r="A4" s="2" t="s">
        <v>494</v>
      </c>
      <c r="B4" s="1">
        <v>0</v>
      </c>
      <c r="C4" s="1">
        <v>0</v>
      </c>
    </row>
    <row r="5" spans="1:5" x14ac:dyDescent="0.25">
      <c r="A5" s="2" t="s">
        <v>495</v>
      </c>
      <c r="B5" s="1">
        <v>33</v>
      </c>
      <c r="C5"/>
      <c r="D5" s="1"/>
    </row>
    <row r="6" spans="1:5" ht="15.75" thickBot="1" x14ac:dyDescent="0.3">
      <c r="A6" s="2" t="s">
        <v>496</v>
      </c>
      <c r="B6" s="20">
        <v>0</v>
      </c>
      <c r="C6" s="20">
        <f>B5*B6</f>
        <v>0</v>
      </c>
      <c r="D6" s="30"/>
    </row>
    <row r="7" spans="1:5" x14ac:dyDescent="0.25">
      <c r="C7" s="9" t="s">
        <v>497</v>
      </c>
      <c r="D7" s="1">
        <f>SUM(C4:C6)</f>
        <v>0</v>
      </c>
    </row>
    <row r="8" spans="1:5" x14ac:dyDescent="0.25">
      <c r="D8" s="1"/>
    </row>
    <row r="10" spans="1:5" ht="15.75" thickBot="1" x14ac:dyDescent="0.3">
      <c r="D10" s="30"/>
    </row>
    <row r="11" spans="1:5" x14ac:dyDescent="0.25">
      <c r="D11" s="31" t="s">
        <v>498</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x14ac:dyDescent="0.25"/>
  <cols>
    <col min="1" max="1" width="39.7109375" bestFit="1" customWidth="1"/>
    <col min="2" max="2" width="26.85546875" style="2" customWidth="1"/>
    <col min="5" max="5" width="9.28515625" bestFit="1" customWidth="1"/>
  </cols>
  <sheetData>
    <row r="1" spans="1:6" x14ac:dyDescent="0.25">
      <c r="A1" s="15" t="s">
        <v>499</v>
      </c>
    </row>
    <row r="2" spans="1:6" s="3" customFormat="1" x14ac:dyDescent="0.25">
      <c r="B2" s="3" t="s">
        <v>500</v>
      </c>
      <c r="C2" s="3" t="s">
        <v>501</v>
      </c>
      <c r="D2" s="8" t="s">
        <v>502</v>
      </c>
      <c r="E2" s="3" t="s">
        <v>503</v>
      </c>
      <c r="F2" s="3" t="s">
        <v>504</v>
      </c>
    </row>
    <row r="3" spans="1:6" x14ac:dyDescent="0.25">
      <c r="A3" s="294" t="s">
        <v>505</v>
      </c>
      <c r="B3" s="294"/>
      <c r="C3" s="295">
        <v>0</v>
      </c>
      <c r="D3" s="296">
        <v>0</v>
      </c>
      <c r="E3">
        <f>+C3*D3</f>
        <v>0</v>
      </c>
    </row>
    <row r="4" spans="1:6" x14ac:dyDescent="0.25">
      <c r="A4" s="294" t="s">
        <v>506</v>
      </c>
      <c r="B4" s="294"/>
      <c r="C4" s="295">
        <v>0</v>
      </c>
      <c r="D4" s="296">
        <v>0</v>
      </c>
      <c r="E4">
        <f t="shared" ref="E4:E61" si="0">+C4*D4</f>
        <v>0</v>
      </c>
    </row>
    <row r="5" spans="1:6" x14ac:dyDescent="0.25">
      <c r="A5" s="294" t="s">
        <v>507</v>
      </c>
      <c r="B5" s="294"/>
      <c r="C5" s="295">
        <v>0</v>
      </c>
      <c r="D5" s="296">
        <v>0</v>
      </c>
      <c r="E5">
        <f t="shared" si="0"/>
        <v>0</v>
      </c>
    </row>
    <row r="6" spans="1:6" x14ac:dyDescent="0.25">
      <c r="A6" s="294" t="s">
        <v>508</v>
      </c>
      <c r="B6" s="294"/>
      <c r="C6" s="295">
        <v>0</v>
      </c>
      <c r="D6" s="296">
        <v>0</v>
      </c>
      <c r="E6">
        <f t="shared" si="0"/>
        <v>0</v>
      </c>
    </row>
    <row r="7" spans="1:6" x14ac:dyDescent="0.25">
      <c r="A7" s="294" t="s">
        <v>509</v>
      </c>
      <c r="B7" s="294"/>
      <c r="C7" s="295">
        <v>0</v>
      </c>
      <c r="D7" s="296">
        <v>0</v>
      </c>
      <c r="E7">
        <f t="shared" si="0"/>
        <v>0</v>
      </c>
    </row>
    <row r="8" spans="1:6" x14ac:dyDescent="0.25">
      <c r="A8" s="294" t="s">
        <v>510</v>
      </c>
      <c r="B8" s="294"/>
      <c r="C8" s="295">
        <v>0</v>
      </c>
      <c r="D8" s="296">
        <v>0</v>
      </c>
      <c r="E8">
        <f t="shared" si="0"/>
        <v>0</v>
      </c>
    </row>
    <row r="9" spans="1:6" x14ac:dyDescent="0.25">
      <c r="A9" s="294" t="s">
        <v>511</v>
      </c>
      <c r="B9" s="294"/>
      <c r="C9" s="295">
        <v>0</v>
      </c>
      <c r="D9" s="296">
        <v>0</v>
      </c>
      <c r="E9">
        <f t="shared" si="0"/>
        <v>0</v>
      </c>
    </row>
    <row r="10" spans="1:6" x14ac:dyDescent="0.25">
      <c r="A10" s="294" t="s">
        <v>178</v>
      </c>
      <c r="B10" s="294"/>
      <c r="C10" s="295">
        <v>0</v>
      </c>
      <c r="D10" s="296">
        <v>0</v>
      </c>
      <c r="E10">
        <f t="shared" si="0"/>
        <v>0</v>
      </c>
    </row>
    <row r="11" spans="1:6" x14ac:dyDescent="0.25">
      <c r="A11" s="294"/>
      <c r="B11" s="294"/>
      <c r="C11" s="295">
        <v>0</v>
      </c>
      <c r="D11" s="296">
        <v>0</v>
      </c>
      <c r="E11">
        <f t="shared" si="0"/>
        <v>0</v>
      </c>
    </row>
    <row r="12" spans="1:6" x14ac:dyDescent="0.25">
      <c r="A12" s="294" t="s">
        <v>512</v>
      </c>
      <c r="B12" s="294"/>
      <c r="C12" s="295">
        <v>0</v>
      </c>
      <c r="D12" s="296">
        <v>0</v>
      </c>
      <c r="E12">
        <f t="shared" si="0"/>
        <v>0</v>
      </c>
    </row>
    <row r="13" spans="1:6" x14ac:dyDescent="0.25">
      <c r="A13" s="294" t="s">
        <v>513</v>
      </c>
      <c r="B13" s="294"/>
      <c r="C13" s="295">
        <v>0</v>
      </c>
      <c r="D13" s="296">
        <v>0</v>
      </c>
      <c r="E13">
        <f t="shared" si="0"/>
        <v>0</v>
      </c>
    </row>
    <row r="14" spans="1:6" x14ac:dyDescent="0.25">
      <c r="A14" s="294" t="s">
        <v>514</v>
      </c>
      <c r="B14" s="294"/>
      <c r="C14" s="295">
        <v>0</v>
      </c>
      <c r="D14" s="296">
        <v>0</v>
      </c>
      <c r="E14">
        <f t="shared" si="0"/>
        <v>0</v>
      </c>
    </row>
    <row r="15" spans="1:6" x14ac:dyDescent="0.25">
      <c r="A15" s="294" t="s">
        <v>515</v>
      </c>
      <c r="B15" s="294"/>
      <c r="C15" s="295">
        <v>0</v>
      </c>
      <c r="D15" s="296">
        <v>0</v>
      </c>
      <c r="E15">
        <f t="shared" si="0"/>
        <v>0</v>
      </c>
    </row>
    <row r="16" spans="1:6" x14ac:dyDescent="0.25">
      <c r="A16" s="294"/>
      <c r="B16" s="294"/>
      <c r="C16" s="295">
        <v>0</v>
      </c>
      <c r="D16" s="296">
        <v>0</v>
      </c>
      <c r="E16">
        <f t="shared" si="0"/>
        <v>0</v>
      </c>
    </row>
    <row r="17" spans="1:5" x14ac:dyDescent="0.25">
      <c r="A17" s="294" t="s">
        <v>516</v>
      </c>
      <c r="B17" s="294"/>
      <c r="C17" s="295">
        <v>0</v>
      </c>
      <c r="D17" s="296">
        <v>0</v>
      </c>
      <c r="E17">
        <f t="shared" si="0"/>
        <v>0</v>
      </c>
    </row>
    <row r="18" spans="1:5" x14ac:dyDescent="0.25">
      <c r="A18" s="294" t="s">
        <v>517</v>
      </c>
      <c r="B18" s="294"/>
      <c r="C18" s="295">
        <v>0</v>
      </c>
      <c r="D18" s="296">
        <v>0</v>
      </c>
      <c r="E18">
        <f t="shared" si="0"/>
        <v>0</v>
      </c>
    </row>
    <row r="19" spans="1:5" x14ac:dyDescent="0.25">
      <c r="A19" s="294"/>
      <c r="B19" s="294"/>
      <c r="C19" s="295">
        <v>0</v>
      </c>
      <c r="D19" s="296">
        <v>0</v>
      </c>
      <c r="E19">
        <f t="shared" si="0"/>
        <v>0</v>
      </c>
    </row>
    <row r="20" spans="1:5" x14ac:dyDescent="0.25">
      <c r="A20" s="294" t="s">
        <v>518</v>
      </c>
      <c r="B20" s="294"/>
      <c r="C20" s="295">
        <v>0</v>
      </c>
      <c r="D20" s="296">
        <v>0</v>
      </c>
      <c r="E20">
        <f t="shared" si="0"/>
        <v>0</v>
      </c>
    </row>
    <row r="21" spans="1:5" x14ac:dyDescent="0.25">
      <c r="A21" s="294" t="s">
        <v>519</v>
      </c>
      <c r="B21" s="294"/>
      <c r="C21" s="295">
        <v>0</v>
      </c>
      <c r="D21" s="296">
        <v>0</v>
      </c>
      <c r="E21">
        <f t="shared" si="0"/>
        <v>0</v>
      </c>
    </row>
    <row r="22" spans="1:5" x14ac:dyDescent="0.25">
      <c r="A22" s="294"/>
      <c r="B22" s="294"/>
      <c r="C22" s="295">
        <v>0</v>
      </c>
      <c r="D22" s="296">
        <v>0</v>
      </c>
      <c r="E22">
        <f t="shared" si="0"/>
        <v>0</v>
      </c>
    </row>
    <row r="23" spans="1:5" x14ac:dyDescent="0.25">
      <c r="A23" s="294" t="s">
        <v>520</v>
      </c>
      <c r="B23" s="294"/>
      <c r="C23" s="295">
        <v>0</v>
      </c>
      <c r="D23" s="296">
        <v>0</v>
      </c>
      <c r="E23">
        <f t="shared" si="0"/>
        <v>0</v>
      </c>
    </row>
    <row r="24" spans="1:5" x14ac:dyDescent="0.25">
      <c r="A24" s="294"/>
      <c r="B24" s="294"/>
      <c r="C24" s="295">
        <v>0</v>
      </c>
      <c r="D24" s="296">
        <v>0</v>
      </c>
      <c r="E24">
        <f t="shared" si="0"/>
        <v>0</v>
      </c>
    </row>
    <row r="25" spans="1:5" x14ac:dyDescent="0.25">
      <c r="A25" s="294"/>
      <c r="B25" s="294"/>
      <c r="C25" s="295">
        <v>0</v>
      </c>
      <c r="D25" s="296">
        <v>0</v>
      </c>
      <c r="E25">
        <f t="shared" si="0"/>
        <v>0</v>
      </c>
    </row>
    <row r="26" spans="1:5" x14ac:dyDescent="0.25">
      <c r="A26" s="294" t="s">
        <v>521</v>
      </c>
      <c r="B26" s="294"/>
      <c r="C26" s="295">
        <v>0</v>
      </c>
      <c r="D26" s="296">
        <v>0</v>
      </c>
      <c r="E26">
        <f t="shared" si="0"/>
        <v>0</v>
      </c>
    </row>
    <row r="27" spans="1:5" x14ac:dyDescent="0.25">
      <c r="A27" s="294" t="s">
        <v>522</v>
      </c>
      <c r="B27" s="294"/>
      <c r="C27" s="295">
        <v>0</v>
      </c>
      <c r="D27" s="296">
        <v>0</v>
      </c>
      <c r="E27">
        <f t="shared" si="0"/>
        <v>0</v>
      </c>
    </row>
    <row r="28" spans="1:5" x14ac:dyDescent="0.25">
      <c r="A28" s="294" t="s">
        <v>523</v>
      </c>
      <c r="B28" s="294"/>
      <c r="C28" s="295">
        <v>0</v>
      </c>
      <c r="D28" s="296">
        <v>0</v>
      </c>
      <c r="E28">
        <f t="shared" si="0"/>
        <v>0</v>
      </c>
    </row>
    <row r="29" spans="1:5" x14ac:dyDescent="0.25">
      <c r="A29" s="294" t="s">
        <v>524</v>
      </c>
      <c r="B29" s="294"/>
      <c r="C29" s="295">
        <v>0</v>
      </c>
      <c r="D29" s="296">
        <v>0</v>
      </c>
      <c r="E29">
        <f t="shared" si="0"/>
        <v>0</v>
      </c>
    </row>
    <row r="30" spans="1:5" x14ac:dyDescent="0.25">
      <c r="A30" s="294" t="s">
        <v>525</v>
      </c>
      <c r="B30" s="294"/>
      <c r="C30" s="295">
        <v>0</v>
      </c>
      <c r="D30" s="296">
        <v>0</v>
      </c>
      <c r="E30">
        <f t="shared" si="0"/>
        <v>0</v>
      </c>
    </row>
    <row r="31" spans="1:5" x14ac:dyDescent="0.25">
      <c r="A31" s="294" t="s">
        <v>526</v>
      </c>
      <c r="B31" s="294"/>
      <c r="C31" s="295">
        <v>0</v>
      </c>
      <c r="D31" s="296">
        <v>0</v>
      </c>
      <c r="E31">
        <f t="shared" si="0"/>
        <v>0</v>
      </c>
    </row>
    <row r="32" spans="1:5" x14ac:dyDescent="0.25">
      <c r="A32" s="294" t="s">
        <v>527</v>
      </c>
      <c r="B32" s="294"/>
      <c r="C32" s="295">
        <v>0</v>
      </c>
      <c r="D32" s="296">
        <v>0</v>
      </c>
      <c r="E32">
        <f t="shared" si="0"/>
        <v>0</v>
      </c>
    </row>
    <row r="33" spans="1:5" x14ac:dyDescent="0.25">
      <c r="A33" s="294" t="s">
        <v>528</v>
      </c>
      <c r="B33" s="294"/>
      <c r="C33" s="295">
        <v>0</v>
      </c>
      <c r="D33" s="296">
        <v>0</v>
      </c>
      <c r="E33">
        <f t="shared" si="0"/>
        <v>0</v>
      </c>
    </row>
    <row r="34" spans="1:5" x14ac:dyDescent="0.25">
      <c r="A34" s="294" t="s">
        <v>529</v>
      </c>
      <c r="B34" s="294"/>
      <c r="C34" s="295">
        <v>0</v>
      </c>
      <c r="D34" s="296">
        <v>0</v>
      </c>
      <c r="E34">
        <f t="shared" si="0"/>
        <v>0</v>
      </c>
    </row>
    <row r="35" spans="1:5" x14ac:dyDescent="0.25">
      <c r="A35" s="294" t="s">
        <v>530</v>
      </c>
      <c r="B35" s="294"/>
      <c r="C35" s="295">
        <v>0</v>
      </c>
      <c r="D35" s="296">
        <v>0</v>
      </c>
      <c r="E35">
        <f t="shared" si="0"/>
        <v>0</v>
      </c>
    </row>
    <row r="36" spans="1:5" x14ac:dyDescent="0.25">
      <c r="A36" s="294" t="s">
        <v>531</v>
      </c>
      <c r="B36" s="294"/>
      <c r="C36" s="295">
        <v>0</v>
      </c>
      <c r="D36" s="296">
        <v>0</v>
      </c>
      <c r="E36">
        <f t="shared" si="0"/>
        <v>0</v>
      </c>
    </row>
    <row r="37" spans="1:5" x14ac:dyDescent="0.25">
      <c r="A37" s="294"/>
      <c r="B37" s="294"/>
      <c r="C37" s="295">
        <v>0</v>
      </c>
      <c r="D37" s="296">
        <v>0</v>
      </c>
      <c r="E37">
        <f t="shared" si="0"/>
        <v>0</v>
      </c>
    </row>
    <row r="38" spans="1:5" x14ac:dyDescent="0.25">
      <c r="A38" s="294" t="s">
        <v>532</v>
      </c>
      <c r="B38" s="294"/>
      <c r="C38" s="295">
        <v>0</v>
      </c>
      <c r="D38" s="296">
        <v>0</v>
      </c>
      <c r="E38">
        <f t="shared" si="0"/>
        <v>0</v>
      </c>
    </row>
    <row r="39" spans="1:5" x14ac:dyDescent="0.25">
      <c r="A39" s="294" t="s">
        <v>533</v>
      </c>
      <c r="B39" s="294"/>
      <c r="C39" s="295">
        <v>0</v>
      </c>
      <c r="D39" s="296">
        <v>0</v>
      </c>
      <c r="E39">
        <f t="shared" si="0"/>
        <v>0</v>
      </c>
    </row>
    <row r="40" spans="1:5" x14ac:dyDescent="0.25">
      <c r="A40" s="294" t="s">
        <v>534</v>
      </c>
      <c r="B40" s="294"/>
      <c r="C40" s="295">
        <v>0</v>
      </c>
      <c r="D40" s="296">
        <v>0</v>
      </c>
      <c r="E40">
        <f t="shared" si="0"/>
        <v>0</v>
      </c>
    </row>
    <row r="41" spans="1:5" x14ac:dyDescent="0.25">
      <c r="A41" s="294" t="s">
        <v>535</v>
      </c>
      <c r="B41" s="294"/>
      <c r="C41" s="295">
        <v>0</v>
      </c>
      <c r="D41" s="296">
        <v>0</v>
      </c>
      <c r="E41">
        <f t="shared" si="0"/>
        <v>0</v>
      </c>
    </row>
    <row r="42" spans="1:5" x14ac:dyDescent="0.25">
      <c r="A42" s="294"/>
      <c r="B42" s="294"/>
      <c r="C42" s="295">
        <v>0</v>
      </c>
      <c r="D42" s="296">
        <v>0</v>
      </c>
      <c r="E42">
        <f t="shared" si="0"/>
        <v>0</v>
      </c>
    </row>
    <row r="43" spans="1:5" x14ac:dyDescent="0.25">
      <c r="A43" s="294"/>
      <c r="B43" s="294"/>
      <c r="C43" s="295">
        <v>0</v>
      </c>
      <c r="D43" s="296">
        <v>0</v>
      </c>
      <c r="E43">
        <f t="shared" ref="E43:E57" si="1">+C43*D43</f>
        <v>0</v>
      </c>
    </row>
    <row r="44" spans="1:5" x14ac:dyDescent="0.25">
      <c r="A44" s="294"/>
      <c r="B44" s="294"/>
      <c r="C44" s="295">
        <v>0</v>
      </c>
      <c r="D44" s="296">
        <v>0</v>
      </c>
      <c r="E44">
        <f t="shared" si="1"/>
        <v>0</v>
      </c>
    </row>
    <row r="45" spans="1:5" x14ac:dyDescent="0.25">
      <c r="A45" s="294"/>
      <c r="B45" s="294"/>
      <c r="C45" s="295">
        <v>0</v>
      </c>
      <c r="D45" s="296">
        <v>0</v>
      </c>
      <c r="E45">
        <f t="shared" si="1"/>
        <v>0</v>
      </c>
    </row>
    <row r="46" spans="1:5" x14ac:dyDescent="0.25">
      <c r="A46" s="294"/>
      <c r="B46" s="294"/>
      <c r="C46" s="295">
        <v>0</v>
      </c>
      <c r="D46" s="296">
        <v>0</v>
      </c>
      <c r="E46">
        <f t="shared" si="1"/>
        <v>0</v>
      </c>
    </row>
    <row r="47" spans="1:5" x14ac:dyDescent="0.25">
      <c r="A47" s="294"/>
      <c r="B47" s="294"/>
      <c r="C47" s="295">
        <v>0</v>
      </c>
      <c r="D47" s="296">
        <v>0</v>
      </c>
      <c r="E47">
        <f t="shared" si="1"/>
        <v>0</v>
      </c>
    </row>
    <row r="48" spans="1:5" x14ac:dyDescent="0.25">
      <c r="A48" s="294"/>
      <c r="B48" s="294"/>
      <c r="C48" s="295">
        <v>0</v>
      </c>
      <c r="D48" s="296">
        <v>0</v>
      </c>
      <c r="E48">
        <f t="shared" si="1"/>
        <v>0</v>
      </c>
    </row>
    <row r="49" spans="1:6" x14ac:dyDescent="0.25">
      <c r="A49" s="294"/>
      <c r="B49" s="294"/>
      <c r="C49" s="295">
        <v>0</v>
      </c>
      <c r="D49" s="296">
        <v>0</v>
      </c>
      <c r="E49">
        <f t="shared" si="1"/>
        <v>0</v>
      </c>
    </row>
    <row r="50" spans="1:6" x14ac:dyDescent="0.25">
      <c r="A50" s="294"/>
      <c r="B50" s="294"/>
      <c r="C50" s="295">
        <v>0</v>
      </c>
      <c r="D50" s="296">
        <v>0</v>
      </c>
      <c r="E50">
        <f t="shared" si="1"/>
        <v>0</v>
      </c>
    </row>
    <row r="51" spans="1:6" x14ac:dyDescent="0.25">
      <c r="A51" s="294"/>
      <c r="B51" s="294"/>
      <c r="C51" s="295">
        <v>0</v>
      </c>
      <c r="D51" s="296">
        <v>0</v>
      </c>
      <c r="E51">
        <f t="shared" si="1"/>
        <v>0</v>
      </c>
    </row>
    <row r="52" spans="1:6" x14ac:dyDescent="0.25">
      <c r="A52" s="294"/>
      <c r="B52" s="294"/>
      <c r="C52" s="295">
        <v>0</v>
      </c>
      <c r="D52" s="296">
        <v>0</v>
      </c>
      <c r="E52">
        <f t="shared" si="1"/>
        <v>0</v>
      </c>
    </row>
    <row r="53" spans="1:6" x14ac:dyDescent="0.25">
      <c r="A53" s="294"/>
      <c r="B53" s="294"/>
      <c r="C53" s="295">
        <v>0</v>
      </c>
      <c r="D53" s="296">
        <v>0</v>
      </c>
      <c r="E53">
        <f t="shared" si="1"/>
        <v>0</v>
      </c>
    </row>
    <row r="54" spans="1:6" x14ac:dyDescent="0.25">
      <c r="A54" s="294"/>
      <c r="B54" s="294"/>
      <c r="C54" s="295">
        <v>0</v>
      </c>
      <c r="D54" s="296">
        <v>0</v>
      </c>
      <c r="E54">
        <f t="shared" si="1"/>
        <v>0</v>
      </c>
    </row>
    <row r="55" spans="1:6" x14ac:dyDescent="0.25">
      <c r="A55" s="294"/>
      <c r="B55" s="294"/>
      <c r="C55" s="295">
        <v>0</v>
      </c>
      <c r="D55" s="296">
        <v>0</v>
      </c>
      <c r="E55">
        <f t="shared" si="1"/>
        <v>0</v>
      </c>
    </row>
    <row r="56" spans="1:6" x14ac:dyDescent="0.25">
      <c r="A56" s="294"/>
      <c r="B56" s="294"/>
      <c r="C56" s="295">
        <v>0</v>
      </c>
      <c r="D56" s="296">
        <v>0</v>
      </c>
      <c r="E56">
        <f t="shared" si="1"/>
        <v>0</v>
      </c>
    </row>
    <row r="57" spans="1:6" x14ac:dyDescent="0.25">
      <c r="A57" s="294"/>
      <c r="B57" s="294"/>
      <c r="C57" s="295">
        <v>0</v>
      </c>
      <c r="D57" s="296">
        <v>0</v>
      </c>
      <c r="E57">
        <f t="shared" si="1"/>
        <v>0</v>
      </c>
    </row>
    <row r="58" spans="1:6" x14ac:dyDescent="0.25">
      <c r="A58" s="294"/>
      <c r="B58" s="294"/>
      <c r="C58" s="295">
        <v>0</v>
      </c>
      <c r="D58" s="296">
        <v>0</v>
      </c>
      <c r="E58">
        <f t="shared" si="0"/>
        <v>0</v>
      </c>
    </row>
    <row r="59" spans="1:6" x14ac:dyDescent="0.25">
      <c r="A59" s="294" t="s">
        <v>536</v>
      </c>
      <c r="B59" s="294"/>
      <c r="C59" s="295">
        <v>0</v>
      </c>
      <c r="D59" s="296">
        <v>0</v>
      </c>
      <c r="E59">
        <f t="shared" si="0"/>
        <v>0</v>
      </c>
    </row>
    <row r="60" spans="1:6" x14ac:dyDescent="0.25">
      <c r="A60" s="293"/>
      <c r="B60" s="294"/>
      <c r="C60" s="295">
        <v>0</v>
      </c>
      <c r="D60" s="296">
        <v>0</v>
      </c>
      <c r="E60">
        <f t="shared" si="0"/>
        <v>0</v>
      </c>
    </row>
    <row r="61" spans="1:6" ht="15.75" thickBot="1" x14ac:dyDescent="0.3">
      <c r="A61" s="293"/>
      <c r="B61" s="294"/>
      <c r="C61" s="295">
        <v>0</v>
      </c>
      <c r="D61" s="296">
        <v>0</v>
      </c>
      <c r="E61">
        <f t="shared" si="0"/>
        <v>0</v>
      </c>
      <c r="F61" s="23"/>
    </row>
    <row r="62" spans="1:6" x14ac:dyDescent="0.25">
      <c r="F62">
        <f>+SUM(E3:E61)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8"/>
  <sheetViews>
    <sheetView workbookViewId="0">
      <selection activeCell="F18" sqref="F18"/>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537</v>
      </c>
      <c r="B1" s="3" t="s">
        <v>327</v>
      </c>
      <c r="C1" s="13" t="s">
        <v>538</v>
      </c>
      <c r="D1" s="3" t="s">
        <v>539</v>
      </c>
      <c r="E1" s="13" t="s">
        <v>540</v>
      </c>
      <c r="F1" s="3" t="s">
        <v>541</v>
      </c>
    </row>
    <row r="2" spans="1:9" x14ac:dyDescent="0.25">
      <c r="B2"/>
      <c r="C2" s="14"/>
      <c r="D2"/>
      <c r="E2" s="14"/>
      <c r="F2" s="14">
        <v>0</v>
      </c>
    </row>
    <row r="3" spans="1:9" s="22" customFormat="1" x14ac:dyDescent="0.25">
      <c r="A3" s="2" t="s">
        <v>542</v>
      </c>
      <c r="B3" s="12"/>
      <c r="C3" s="14" t="s">
        <v>543</v>
      </c>
      <c r="D3">
        <v>0</v>
      </c>
      <c r="E3" s="14">
        <v>50</v>
      </c>
      <c r="F3" s="14">
        <f>+D3*E3</f>
        <v>0</v>
      </c>
      <c r="G3"/>
      <c r="H3" s="3"/>
      <c r="I3" s="3"/>
    </row>
    <row r="4" spans="1:9" x14ac:dyDescent="0.25">
      <c r="A4" s="2" t="s">
        <v>542</v>
      </c>
      <c r="B4"/>
      <c r="C4" s="14" t="s">
        <v>544</v>
      </c>
      <c r="D4">
        <v>0</v>
      </c>
      <c r="E4" s="14">
        <v>150</v>
      </c>
      <c r="F4" s="14">
        <f t="shared" ref="F4:F19" si="0">+D4*E4</f>
        <v>0</v>
      </c>
    </row>
    <row r="5" spans="1:9" x14ac:dyDescent="0.25">
      <c r="A5" s="2" t="s">
        <v>542</v>
      </c>
      <c r="B5"/>
      <c r="C5" s="14" t="s">
        <v>545</v>
      </c>
      <c r="D5">
        <v>0</v>
      </c>
      <c r="E5" s="14">
        <v>104</v>
      </c>
      <c r="F5" s="14">
        <f t="shared" si="0"/>
        <v>0</v>
      </c>
    </row>
    <row r="6" spans="1:9" x14ac:dyDescent="0.25">
      <c r="A6" s="2" t="s">
        <v>542</v>
      </c>
      <c r="B6"/>
      <c r="C6" s="14" t="s">
        <v>546</v>
      </c>
      <c r="D6">
        <v>0</v>
      </c>
      <c r="E6" s="14">
        <f>+(12.13+31.46+41.63)/3</f>
        <v>28.406666666666666</v>
      </c>
      <c r="F6" s="14">
        <f t="shared" si="0"/>
        <v>0</v>
      </c>
    </row>
    <row r="7" spans="1:9" x14ac:dyDescent="0.25">
      <c r="A7" s="2" t="s">
        <v>542</v>
      </c>
      <c r="B7"/>
      <c r="C7" s="14" t="s">
        <v>547</v>
      </c>
      <c r="D7">
        <v>0</v>
      </c>
      <c r="E7" s="14">
        <v>6.35</v>
      </c>
      <c r="F7" s="14">
        <f t="shared" si="0"/>
        <v>0</v>
      </c>
    </row>
    <row r="8" spans="1:9" x14ac:dyDescent="0.25">
      <c r="A8" s="2" t="s">
        <v>542</v>
      </c>
      <c r="B8"/>
      <c r="C8" s="14" t="s">
        <v>548</v>
      </c>
      <c r="D8">
        <v>0</v>
      </c>
      <c r="E8" s="14">
        <v>2.5</v>
      </c>
      <c r="F8" s="14">
        <f t="shared" si="0"/>
        <v>0</v>
      </c>
    </row>
    <row r="9" spans="1:9" x14ac:dyDescent="0.25">
      <c r="A9" s="2" t="s">
        <v>542</v>
      </c>
      <c r="B9"/>
      <c r="C9" s="14" t="s">
        <v>549</v>
      </c>
      <c r="D9">
        <v>0</v>
      </c>
      <c r="E9" s="14">
        <f>(8.5+10+17.34)/3</f>
        <v>11.946666666666667</v>
      </c>
      <c r="F9" s="14">
        <f t="shared" si="0"/>
        <v>0</v>
      </c>
    </row>
    <row r="10" spans="1:9" x14ac:dyDescent="0.25">
      <c r="A10" s="2" t="s">
        <v>542</v>
      </c>
      <c r="B10" s="275"/>
      <c r="C10" s="14" t="s">
        <v>550</v>
      </c>
      <c r="D10">
        <v>0</v>
      </c>
      <c r="E10" s="14">
        <v>0</v>
      </c>
      <c r="F10" s="14">
        <f t="shared" si="0"/>
        <v>0</v>
      </c>
    </row>
    <row r="11" spans="1:9" x14ac:dyDescent="0.25">
      <c r="A11" s="2" t="s">
        <v>542</v>
      </c>
      <c r="B11" s="275"/>
      <c r="C11" s="14" t="s">
        <v>551</v>
      </c>
      <c r="D11">
        <v>0</v>
      </c>
      <c r="E11" s="14">
        <v>0</v>
      </c>
      <c r="F11" s="14">
        <f t="shared" si="0"/>
        <v>0</v>
      </c>
    </row>
    <row r="12" spans="1:9" x14ac:dyDescent="0.25">
      <c r="A12" s="2" t="s">
        <v>542</v>
      </c>
      <c r="B12" s="275">
        <v>44666</v>
      </c>
      <c r="C12" s="14"/>
      <c r="D12">
        <v>0</v>
      </c>
      <c r="E12" s="14">
        <v>599.75</v>
      </c>
      <c r="F12" s="14">
        <f t="shared" si="0"/>
        <v>0</v>
      </c>
    </row>
    <row r="13" spans="1:9" x14ac:dyDescent="0.25">
      <c r="A13" s="2" t="s">
        <v>542</v>
      </c>
      <c r="B13" s="12">
        <v>44638</v>
      </c>
      <c r="C13" s="14"/>
      <c r="D13">
        <v>1</v>
      </c>
      <c r="E13" s="14">
        <v>1311.18</v>
      </c>
      <c r="F13" s="14">
        <f t="shared" si="0"/>
        <v>1311.18</v>
      </c>
    </row>
    <row r="14" spans="1:9" x14ac:dyDescent="0.25">
      <c r="A14" s="2" t="s">
        <v>542</v>
      </c>
      <c r="B14" s="12">
        <v>44638</v>
      </c>
      <c r="C14" s="14"/>
      <c r="D14">
        <v>1</v>
      </c>
      <c r="E14" s="14">
        <v>661.31</v>
      </c>
      <c r="F14" s="14">
        <f t="shared" si="0"/>
        <v>661.31</v>
      </c>
    </row>
    <row r="15" spans="1:9" x14ac:dyDescent="0.25">
      <c r="A15" s="2" t="s">
        <v>437</v>
      </c>
      <c r="B15" s="12">
        <v>44634</v>
      </c>
      <c r="C15" s="14"/>
      <c r="D15">
        <v>1</v>
      </c>
      <c r="E15" s="14">
        <v>2700</v>
      </c>
      <c r="F15" s="14">
        <f t="shared" si="0"/>
        <v>2700</v>
      </c>
    </row>
    <row r="16" spans="1:9" x14ac:dyDescent="0.25">
      <c r="A16" s="2" t="s">
        <v>437</v>
      </c>
      <c r="B16" s="12"/>
      <c r="C16" s="14"/>
      <c r="D16">
        <v>0</v>
      </c>
      <c r="E16" s="14"/>
      <c r="F16" s="14">
        <f t="shared" si="0"/>
        <v>0</v>
      </c>
    </row>
    <row r="17" spans="1:10" x14ac:dyDescent="0.25">
      <c r="A17" s="2" t="s">
        <v>437</v>
      </c>
      <c r="B17" s="12"/>
      <c r="C17" s="14"/>
      <c r="D17"/>
      <c r="E17" s="14"/>
      <c r="F17" s="14">
        <f t="shared" si="0"/>
        <v>0</v>
      </c>
    </row>
    <row r="18" spans="1:10" x14ac:dyDescent="0.25">
      <c r="A18" s="2" t="s">
        <v>542</v>
      </c>
      <c r="B18" s="12">
        <v>45516</v>
      </c>
      <c r="C18" s="14" t="s">
        <v>552</v>
      </c>
      <c r="D18">
        <v>1</v>
      </c>
      <c r="E18" s="14">
        <v>650</v>
      </c>
      <c r="F18" s="14">
        <f t="shared" si="0"/>
        <v>650</v>
      </c>
    </row>
    <row r="19" spans="1:10" x14ac:dyDescent="0.25">
      <c r="B19" s="12"/>
      <c r="C19" s="14"/>
      <c r="D19">
        <v>1</v>
      </c>
      <c r="E19" s="14"/>
      <c r="F19" s="14">
        <f t="shared" si="0"/>
        <v>0</v>
      </c>
    </row>
    <row r="20" spans="1:10" ht="15.75" thickBot="1" x14ac:dyDescent="0.3">
      <c r="B20"/>
      <c r="C20" s="14"/>
      <c r="D20"/>
      <c r="E20" s="14"/>
      <c r="F20" s="23"/>
      <c r="G20" s="23"/>
    </row>
    <row r="21" spans="1:10" x14ac:dyDescent="0.25">
      <c r="B21"/>
      <c r="C21" s="14"/>
      <c r="D21"/>
      <c r="E21" s="14"/>
      <c r="F21" s="14"/>
      <c r="G21" s="5">
        <f>SUM(F2:F20)</f>
        <v>5322.49</v>
      </c>
    </row>
    <row r="22" spans="1:10" x14ac:dyDescent="0.25">
      <c r="A22"/>
      <c r="C22" s="11"/>
    </row>
    <row r="23" spans="1:10" x14ac:dyDescent="0.25">
      <c r="A23"/>
      <c r="C23" s="11"/>
    </row>
    <row r="24" spans="1:10" ht="15.75" thickBot="1" x14ac:dyDescent="0.3">
      <c r="C24" s="11"/>
      <c r="E24" s="30"/>
      <c r="F24" s="30"/>
      <c r="I24" s="2"/>
      <c r="J24" s="12"/>
    </row>
    <row r="25" spans="1:10" x14ac:dyDescent="0.25">
      <c r="C25" s="631"/>
      <c r="D25" s="632"/>
      <c r="E25" s="632"/>
      <c r="F25" s="4"/>
      <c r="I25" s="2"/>
    </row>
    <row r="27" spans="1:10" x14ac:dyDescent="0.25">
      <c r="E27" s="2"/>
      <c r="F27" s="2"/>
    </row>
    <row r="28" spans="1:10" x14ac:dyDescent="0.25">
      <c r="F28" s="4"/>
    </row>
  </sheetData>
  <mergeCells count="1">
    <mergeCell ref="C25:E25"/>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workbookViewId="0">
      <selection activeCell="E11" sqref="E11"/>
    </sheetView>
  </sheetViews>
  <sheetFormatPr defaultRowHeight="15" x14ac:dyDescent="0.25"/>
  <cols>
    <col min="1" max="1" width="18" customWidth="1"/>
    <col min="2" max="2" width="11" bestFit="1" customWidth="1"/>
  </cols>
  <sheetData>
    <row r="1" spans="1:6" x14ac:dyDescent="0.25">
      <c r="A1" s="3" t="s">
        <v>475</v>
      </c>
      <c r="B1" s="3"/>
      <c r="D1" s="5"/>
      <c r="E1" s="14"/>
      <c r="F1" s="14"/>
    </row>
    <row r="2" spans="1:6" x14ac:dyDescent="0.25">
      <c r="A2" s="2"/>
      <c r="B2" s="2"/>
      <c r="C2" s="3"/>
      <c r="D2" s="8"/>
      <c r="E2" s="13"/>
      <c r="F2" s="13"/>
    </row>
    <row r="3" spans="1:6" x14ac:dyDescent="0.25">
      <c r="A3" s="3" t="s">
        <v>393</v>
      </c>
      <c r="B3" s="3" t="s">
        <v>553</v>
      </c>
      <c r="C3" s="3" t="s">
        <v>501</v>
      </c>
      <c r="D3" s="8" t="s">
        <v>502</v>
      </c>
      <c r="E3" s="13" t="s">
        <v>503</v>
      </c>
      <c r="F3" s="13" t="s">
        <v>504</v>
      </c>
    </row>
    <row r="4" spans="1:6" x14ac:dyDescent="0.25">
      <c r="A4" s="2" t="s">
        <v>554</v>
      </c>
      <c r="B4" s="2">
        <v>977057</v>
      </c>
      <c r="C4">
        <v>0</v>
      </c>
      <c r="D4" s="5">
        <v>149</v>
      </c>
      <c r="E4" s="14">
        <f t="shared" ref="E4:E6" si="0">+C4*D4</f>
        <v>0</v>
      </c>
      <c r="F4" s="13"/>
    </row>
    <row r="5" spans="1:6" x14ac:dyDescent="0.25">
      <c r="A5" s="2" t="s">
        <v>555</v>
      </c>
      <c r="B5" s="2"/>
      <c r="C5">
        <v>0</v>
      </c>
      <c r="D5" s="5">
        <v>400</v>
      </c>
      <c r="E5" s="14">
        <f t="shared" si="0"/>
        <v>0</v>
      </c>
      <c r="F5" s="14"/>
    </row>
    <row r="6" spans="1:6" x14ac:dyDescent="0.25">
      <c r="A6" s="2" t="s">
        <v>556</v>
      </c>
      <c r="B6" s="2">
        <v>1002425336</v>
      </c>
      <c r="C6">
        <v>0</v>
      </c>
      <c r="D6" s="5">
        <v>348</v>
      </c>
      <c r="E6" s="14">
        <f t="shared" si="0"/>
        <v>0</v>
      </c>
      <c r="F6" s="14"/>
    </row>
    <row r="7" spans="1:6" ht="15.75" thickBot="1" x14ac:dyDescent="0.3">
      <c r="A7" s="2"/>
      <c r="B7" s="2"/>
      <c r="D7" s="5"/>
      <c r="E7" s="21"/>
      <c r="F7" s="21"/>
    </row>
    <row r="8" spans="1:6" x14ac:dyDescent="0.25">
      <c r="A8" s="2"/>
      <c r="B8" s="2"/>
      <c r="D8" s="10" t="s">
        <v>557</v>
      </c>
      <c r="E8" s="14"/>
      <c r="F8" s="14">
        <f>+SUM(E4:E7)</f>
        <v>0</v>
      </c>
    </row>
    <row r="9" spans="1:6" x14ac:dyDescent="0.25">
      <c r="A9" s="2" t="s">
        <v>558</v>
      </c>
      <c r="B9" s="2"/>
      <c r="C9">
        <v>0</v>
      </c>
      <c r="D9" s="10">
        <v>31.98</v>
      </c>
      <c r="E9" s="14">
        <v>0</v>
      </c>
      <c r="F9" s="14">
        <v>0</v>
      </c>
    </row>
    <row r="10" spans="1:6" x14ac:dyDescent="0.25">
      <c r="A10" s="2" t="s">
        <v>178</v>
      </c>
      <c r="B10" s="2"/>
      <c r="C10" t="s">
        <v>178</v>
      </c>
      <c r="D10" s="5" t="s">
        <v>178</v>
      </c>
      <c r="E10" s="14" t="s">
        <v>178</v>
      </c>
      <c r="F10" s="14"/>
    </row>
    <row r="11" spans="1:6" x14ac:dyDescent="0.25">
      <c r="A11" s="2" t="s">
        <v>558</v>
      </c>
      <c r="B11" s="2">
        <v>1630551</v>
      </c>
      <c r="C11">
        <v>1</v>
      </c>
      <c r="D11" s="5">
        <v>32.979999999999997</v>
      </c>
      <c r="E11" s="14">
        <f>+C11*D11</f>
        <v>32.979999999999997</v>
      </c>
      <c r="F11" s="14"/>
    </row>
    <row r="12" spans="1:6" x14ac:dyDescent="0.25">
      <c r="A12" s="2" t="s">
        <v>559</v>
      </c>
      <c r="B12" s="2">
        <v>3648606</v>
      </c>
      <c r="C12">
        <v>1</v>
      </c>
      <c r="D12" s="5">
        <v>560.30999999999995</v>
      </c>
      <c r="E12" s="14">
        <f t="shared" ref="E12" si="1">+C12*D12</f>
        <v>560.30999999999995</v>
      </c>
      <c r="F12" s="14"/>
    </row>
    <row r="13" spans="1:6" x14ac:dyDescent="0.25">
      <c r="A13" s="2" t="s">
        <v>560</v>
      </c>
      <c r="B13" s="2">
        <v>1654366</v>
      </c>
      <c r="C13">
        <v>1</v>
      </c>
      <c r="D13" s="5">
        <v>374.29</v>
      </c>
      <c r="E13" s="14">
        <v>374.29</v>
      </c>
      <c r="F13" s="14"/>
    </row>
    <row r="14" spans="1:6" x14ac:dyDescent="0.25">
      <c r="A14" s="2" t="s">
        <v>561</v>
      </c>
      <c r="B14" s="2">
        <v>118694</v>
      </c>
      <c r="C14">
        <v>1</v>
      </c>
      <c r="D14" s="5">
        <v>39.28</v>
      </c>
      <c r="E14" s="14">
        <v>39.28</v>
      </c>
      <c r="F14" s="14"/>
    </row>
    <row r="15" spans="1:6" x14ac:dyDescent="0.25">
      <c r="A15" s="2" t="s">
        <v>562</v>
      </c>
      <c r="B15" s="31"/>
      <c r="C15">
        <v>0</v>
      </c>
      <c r="D15" s="5">
        <v>189</v>
      </c>
      <c r="E15" s="14">
        <f>+C15*D15</f>
        <v>0</v>
      </c>
      <c r="F15" s="14"/>
    </row>
    <row r="16" spans="1:6" x14ac:dyDescent="0.25">
      <c r="A16" s="2" t="s">
        <v>178</v>
      </c>
      <c r="B16" s="31"/>
      <c r="C16" t="s">
        <v>178</v>
      </c>
      <c r="D16" s="5" t="s">
        <v>178</v>
      </c>
      <c r="E16" s="14" t="s">
        <v>178</v>
      </c>
      <c r="F16" s="14"/>
    </row>
    <row r="17" spans="1:6" x14ac:dyDescent="0.25">
      <c r="A17" s="2" t="s">
        <v>563</v>
      </c>
      <c r="B17" s="31"/>
      <c r="C17">
        <v>0</v>
      </c>
      <c r="D17" s="5">
        <v>169</v>
      </c>
      <c r="E17" s="14">
        <f t="shared" ref="E17:E20" si="2">+C17*D17</f>
        <v>0</v>
      </c>
      <c r="F17" s="14"/>
    </row>
    <row r="18" spans="1:6" x14ac:dyDescent="0.25">
      <c r="A18" s="31" t="s">
        <v>564</v>
      </c>
      <c r="B18" s="31">
        <v>1692925</v>
      </c>
      <c r="C18">
        <v>1</v>
      </c>
      <c r="D18" s="5">
        <v>170.39</v>
      </c>
      <c r="E18" s="14">
        <f t="shared" si="2"/>
        <v>170.39</v>
      </c>
      <c r="F18" s="14"/>
    </row>
    <row r="19" spans="1:6" x14ac:dyDescent="0.25">
      <c r="A19" s="31" t="s">
        <v>565</v>
      </c>
      <c r="B19" s="31"/>
      <c r="C19">
        <v>1</v>
      </c>
      <c r="D19" s="5">
        <v>90.91</v>
      </c>
      <c r="E19" s="14">
        <v>91.91</v>
      </c>
      <c r="F19" s="14"/>
    </row>
    <row r="20" spans="1:6" ht="15.75" thickBot="1" x14ac:dyDescent="0.3">
      <c r="A20" s="2" t="s">
        <v>566</v>
      </c>
      <c r="B20" s="31"/>
      <c r="C20">
        <v>0</v>
      </c>
      <c r="D20" s="5">
        <v>400</v>
      </c>
      <c r="E20" s="14">
        <f t="shared" si="2"/>
        <v>0</v>
      </c>
      <c r="F20" s="21"/>
    </row>
    <row r="21" spans="1:6" x14ac:dyDescent="0.25">
      <c r="B21" s="2"/>
      <c r="C21" s="632" t="s">
        <v>567</v>
      </c>
      <c r="D21" s="632"/>
      <c r="E21" s="632"/>
      <c r="F21" s="14">
        <f>SUM(E9:E20)</f>
        <v>1269.1600000000001</v>
      </c>
    </row>
  </sheetData>
  <mergeCells count="1">
    <mergeCell ref="C21:E21"/>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1" sqref="F21"/>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373</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c r="C4" s="31"/>
      <c r="D4" s="8"/>
      <c r="E4" s="14">
        <f>+C4*D4</f>
        <v>0</v>
      </c>
      <c r="F4" s="13"/>
    </row>
    <row r="5" spans="1:6" x14ac:dyDescent="0.25">
      <c r="A5" s="31" t="s">
        <v>568</v>
      </c>
      <c r="B5" s="31">
        <v>1255143</v>
      </c>
      <c r="C5">
        <v>1</v>
      </c>
      <c r="D5" s="5">
        <v>107.1</v>
      </c>
      <c r="E5" s="14">
        <f>+C5*D5</f>
        <v>107.1</v>
      </c>
    </row>
    <row r="6" spans="1:6" x14ac:dyDescent="0.25">
      <c r="A6" s="31" t="s">
        <v>569</v>
      </c>
      <c r="B6" s="31">
        <v>2131173</v>
      </c>
      <c r="C6">
        <v>2</v>
      </c>
      <c r="D6" s="5">
        <v>53.98</v>
      </c>
      <c r="E6" s="14">
        <f>+C6*D6</f>
        <v>107.96</v>
      </c>
    </row>
    <row r="7" spans="1:6" x14ac:dyDescent="0.25">
      <c r="A7" s="31" t="s">
        <v>570</v>
      </c>
      <c r="B7" s="31">
        <v>1227792</v>
      </c>
      <c r="C7">
        <v>2</v>
      </c>
      <c r="D7" s="5">
        <v>15.47</v>
      </c>
      <c r="E7" s="14">
        <f>+C7*D7</f>
        <v>30.94</v>
      </c>
    </row>
    <row r="8" spans="1:6" x14ac:dyDescent="0.25">
      <c r="A8" s="31" t="s">
        <v>571</v>
      </c>
      <c r="B8" s="31">
        <v>1233228</v>
      </c>
      <c r="C8">
        <v>2</v>
      </c>
      <c r="D8" s="5">
        <v>39.979999999999997</v>
      </c>
      <c r="E8" s="14">
        <f>+C8*D8</f>
        <v>79.959999999999994</v>
      </c>
    </row>
    <row r="9" spans="1:6" x14ac:dyDescent="0.25">
      <c r="A9" s="31" t="s">
        <v>178</v>
      </c>
      <c r="B9" s="31" t="s">
        <v>178</v>
      </c>
      <c r="C9">
        <v>0</v>
      </c>
      <c r="D9" s="5">
        <v>0</v>
      </c>
      <c r="E9" s="14">
        <f t="shared" ref="E9:E22" si="0">+C9*D9</f>
        <v>0</v>
      </c>
    </row>
    <row r="10" spans="1:6" x14ac:dyDescent="0.25">
      <c r="A10" s="31" t="s">
        <v>178</v>
      </c>
      <c r="B10" s="31"/>
      <c r="C10">
        <v>0</v>
      </c>
      <c r="D10" s="5" t="s">
        <v>178</v>
      </c>
      <c r="E10" s="14">
        <v>0</v>
      </c>
    </row>
    <row r="11" spans="1:6" x14ac:dyDescent="0.25">
      <c r="A11" s="31" t="s">
        <v>572</v>
      </c>
      <c r="B11" s="31"/>
      <c r="C11">
        <v>0</v>
      </c>
      <c r="D11" s="5">
        <v>0</v>
      </c>
      <c r="E11" s="14">
        <f t="shared" si="0"/>
        <v>0</v>
      </c>
    </row>
    <row r="12" spans="1:6" x14ac:dyDescent="0.25">
      <c r="A12" s="31" t="s">
        <v>178</v>
      </c>
      <c r="B12" s="31"/>
      <c r="C12">
        <v>0</v>
      </c>
      <c r="D12" s="5">
        <v>0</v>
      </c>
      <c r="E12" s="14">
        <f t="shared" si="0"/>
        <v>0</v>
      </c>
    </row>
    <row r="13" spans="1:6" x14ac:dyDescent="0.25">
      <c r="A13" s="31"/>
      <c r="B13" s="31"/>
      <c r="E13" s="14">
        <f t="shared" si="0"/>
        <v>0</v>
      </c>
    </row>
    <row r="14" spans="1:6" x14ac:dyDescent="0.25">
      <c r="A14" s="31" t="s">
        <v>573</v>
      </c>
      <c r="B14" s="31"/>
      <c r="C14">
        <v>0</v>
      </c>
      <c r="E14" s="14">
        <f t="shared" si="0"/>
        <v>0</v>
      </c>
    </row>
    <row r="15" spans="1:6" x14ac:dyDescent="0.25">
      <c r="A15" s="31"/>
      <c r="B15" s="31"/>
      <c r="E15" s="14">
        <f t="shared" si="0"/>
        <v>0</v>
      </c>
    </row>
    <row r="16" spans="1:6" x14ac:dyDescent="0.25">
      <c r="A16" s="31"/>
      <c r="B16" s="31"/>
      <c r="E16" s="14">
        <f t="shared" si="0"/>
        <v>0</v>
      </c>
    </row>
    <row r="17" spans="1:9" x14ac:dyDescent="0.25">
      <c r="A17" s="31"/>
      <c r="B17" s="31"/>
      <c r="E17" s="14">
        <f t="shared" si="0"/>
        <v>0</v>
      </c>
    </row>
    <row r="18" spans="1:9" x14ac:dyDescent="0.25">
      <c r="A18" s="31"/>
      <c r="B18" s="31"/>
      <c r="E18" s="14">
        <f t="shared" si="0"/>
        <v>0</v>
      </c>
    </row>
    <row r="19" spans="1:9" x14ac:dyDescent="0.25">
      <c r="A19" s="31"/>
      <c r="B19" s="31"/>
      <c r="E19" s="14">
        <f t="shared" si="0"/>
        <v>0</v>
      </c>
    </row>
    <row r="20" spans="1:9" x14ac:dyDescent="0.25">
      <c r="A20" s="31"/>
      <c r="B20" s="31"/>
      <c r="E20" s="14">
        <f t="shared" si="0"/>
        <v>0</v>
      </c>
    </row>
    <row r="21" spans="1:9" x14ac:dyDescent="0.25">
      <c r="A21" s="31" t="s">
        <v>565</v>
      </c>
      <c r="B21" s="31"/>
      <c r="E21" s="14">
        <v>107.5</v>
      </c>
    </row>
    <row r="22" spans="1:9" ht="15.75" thickBot="1" x14ac:dyDescent="0.3">
      <c r="A22" s="31"/>
      <c r="B22" s="31"/>
      <c r="E22" s="21">
        <f t="shared" si="0"/>
        <v>0</v>
      </c>
      <c r="F22" s="21"/>
    </row>
    <row r="23" spans="1:9" x14ac:dyDescent="0.25">
      <c r="F23" s="14">
        <f>+SUM(E4:E22)</f>
        <v>433.46</v>
      </c>
      <c r="I23" s="1"/>
    </row>
    <row r="26" spans="1:9" x14ac:dyDescent="0.25">
      <c r="F26"/>
    </row>
    <row r="27" spans="1:9" x14ac:dyDescent="0.25">
      <c r="F27"/>
    </row>
    <row r="28" spans="1:9" x14ac:dyDescent="0.25">
      <c r="F28"/>
    </row>
    <row r="29" spans="1:9" x14ac:dyDescent="0.25">
      <c r="F29"/>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E23" sqref="E23"/>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x14ac:dyDescent="0.25">
      <c r="A1" s="33" t="s">
        <v>574</v>
      </c>
      <c r="B1" s="33"/>
    </row>
    <row r="2" spans="1:6" x14ac:dyDescent="0.25">
      <c r="C2" s="3"/>
      <c r="D2" s="8"/>
      <c r="E2" s="13"/>
      <c r="F2" s="13"/>
    </row>
    <row r="3" spans="1:6" s="22" customFormat="1" ht="14.25" customHeight="1" x14ac:dyDescent="0.25">
      <c r="A3" s="3" t="s">
        <v>393</v>
      </c>
      <c r="B3" s="3" t="s">
        <v>553</v>
      </c>
      <c r="C3" s="3" t="s">
        <v>501</v>
      </c>
      <c r="D3" s="8" t="s">
        <v>502</v>
      </c>
      <c r="E3" s="13" t="s">
        <v>503</v>
      </c>
      <c r="F3" s="13" t="s">
        <v>504</v>
      </c>
    </row>
    <row r="4" spans="1:6" ht="14.25" customHeight="1" x14ac:dyDescent="0.25">
      <c r="A4" s="33" t="s">
        <v>575</v>
      </c>
      <c r="B4" s="33">
        <v>935605</v>
      </c>
      <c r="C4" s="31">
        <v>0</v>
      </c>
      <c r="D4" s="5">
        <v>209</v>
      </c>
      <c r="E4" s="14">
        <f t="shared" ref="E4:E15" si="0">+C4*D4</f>
        <v>0</v>
      </c>
      <c r="F4" s="13"/>
    </row>
    <row r="5" spans="1:6" ht="14.25" customHeight="1" x14ac:dyDescent="0.25">
      <c r="A5" s="33" t="s">
        <v>576</v>
      </c>
      <c r="B5" s="33">
        <v>935604</v>
      </c>
      <c r="C5" s="31">
        <v>0</v>
      </c>
      <c r="D5" s="5">
        <v>209</v>
      </c>
      <c r="E5" s="14">
        <f t="shared" si="0"/>
        <v>0</v>
      </c>
      <c r="F5" s="13"/>
    </row>
    <row r="6" spans="1:6" ht="14.25" customHeight="1" x14ac:dyDescent="0.25">
      <c r="A6" s="33" t="s">
        <v>577</v>
      </c>
      <c r="B6" s="33">
        <v>935599</v>
      </c>
      <c r="C6" s="31">
        <v>0</v>
      </c>
      <c r="D6" s="5">
        <v>198.56</v>
      </c>
      <c r="E6" s="14">
        <f t="shared" ref="E6" si="1">+C6*D6</f>
        <v>0</v>
      </c>
      <c r="F6" s="13"/>
    </row>
    <row r="7" spans="1:6" ht="14.25" customHeight="1" x14ac:dyDescent="0.25">
      <c r="A7" s="33" t="s">
        <v>578</v>
      </c>
      <c r="B7" s="33">
        <v>14005</v>
      </c>
      <c r="C7">
        <v>0</v>
      </c>
      <c r="D7" s="5">
        <v>179</v>
      </c>
      <c r="E7" s="14">
        <f t="shared" si="0"/>
        <v>0</v>
      </c>
    </row>
    <row r="8" spans="1:6" ht="14.25" customHeight="1" x14ac:dyDescent="0.25">
      <c r="A8" s="33" t="s">
        <v>579</v>
      </c>
      <c r="B8" s="33">
        <v>14006</v>
      </c>
      <c r="C8">
        <v>0</v>
      </c>
      <c r="D8" s="5">
        <v>179</v>
      </c>
      <c r="E8" s="14">
        <f t="shared" si="0"/>
        <v>0</v>
      </c>
    </row>
    <row r="9" spans="1:6" ht="14.25" customHeight="1" x14ac:dyDescent="0.25">
      <c r="A9" s="33" t="s">
        <v>580</v>
      </c>
      <c r="B9" s="33">
        <v>935587</v>
      </c>
      <c r="C9">
        <v>0</v>
      </c>
      <c r="D9" s="5">
        <v>198.55</v>
      </c>
      <c r="E9" s="14">
        <f t="shared" ref="E9" si="2">+C9*D9</f>
        <v>0</v>
      </c>
    </row>
    <row r="10" spans="1:6" ht="14.25" customHeight="1" x14ac:dyDescent="0.25">
      <c r="A10" s="33" t="s">
        <v>581</v>
      </c>
      <c r="B10" s="33">
        <v>49504</v>
      </c>
      <c r="C10">
        <v>0</v>
      </c>
      <c r="D10" s="5">
        <v>103</v>
      </c>
      <c r="E10" s="14">
        <f t="shared" si="0"/>
        <v>0</v>
      </c>
    </row>
    <row r="11" spans="1:6" ht="14.25" customHeight="1" x14ac:dyDescent="0.25">
      <c r="A11" s="33" t="s">
        <v>582</v>
      </c>
      <c r="B11" s="33">
        <v>49706</v>
      </c>
      <c r="C11">
        <v>0</v>
      </c>
      <c r="D11" s="5">
        <v>103</v>
      </c>
      <c r="E11" s="14">
        <f t="shared" si="0"/>
        <v>0</v>
      </c>
    </row>
    <row r="12" spans="1:6" ht="14.25" customHeight="1" x14ac:dyDescent="0.25">
      <c r="A12" s="33" t="s">
        <v>583</v>
      </c>
      <c r="B12" s="33">
        <v>47025</v>
      </c>
      <c r="C12">
        <v>0</v>
      </c>
      <c r="D12" s="5">
        <v>99</v>
      </c>
      <c r="E12" s="14">
        <f t="shared" si="0"/>
        <v>0</v>
      </c>
    </row>
    <row r="13" spans="1:6" ht="14.25" customHeight="1" x14ac:dyDescent="0.25">
      <c r="A13" s="33" t="s">
        <v>584</v>
      </c>
      <c r="B13" s="33">
        <v>47422</v>
      </c>
      <c r="C13">
        <v>0</v>
      </c>
      <c r="D13" s="5">
        <v>99</v>
      </c>
      <c r="E13" s="14">
        <f t="shared" si="0"/>
        <v>0</v>
      </c>
    </row>
    <row r="14" spans="1:6" ht="14.25" customHeight="1" x14ac:dyDescent="0.25">
      <c r="A14" s="33" t="s">
        <v>585</v>
      </c>
      <c r="B14" s="33">
        <v>43359</v>
      </c>
      <c r="C14">
        <v>0</v>
      </c>
      <c r="D14" s="5">
        <v>95</v>
      </c>
      <c r="E14" s="14">
        <f t="shared" si="0"/>
        <v>0</v>
      </c>
    </row>
    <row r="15" spans="1:6" ht="14.25" customHeight="1" x14ac:dyDescent="0.25">
      <c r="A15" s="33" t="s">
        <v>586</v>
      </c>
      <c r="B15" s="33">
        <v>44035</v>
      </c>
      <c r="C15">
        <v>0</v>
      </c>
      <c r="D15" s="5">
        <v>95</v>
      </c>
      <c r="E15" s="14">
        <f t="shared" si="0"/>
        <v>0</v>
      </c>
    </row>
    <row r="16" spans="1:6" ht="14.25" customHeight="1" x14ac:dyDescent="0.25">
      <c r="A16" s="33" t="s">
        <v>587</v>
      </c>
      <c r="B16" s="33">
        <v>10758</v>
      </c>
      <c r="C16">
        <v>0</v>
      </c>
      <c r="D16" s="5">
        <v>73</v>
      </c>
      <c r="E16" s="14">
        <f t="shared" ref="E16:E28" si="3">+C16*D16</f>
        <v>0</v>
      </c>
    </row>
    <row r="17" spans="1:9" ht="14.25" customHeight="1" x14ac:dyDescent="0.25">
      <c r="A17" s="33" t="s">
        <v>588</v>
      </c>
      <c r="B17" s="33">
        <v>338797</v>
      </c>
      <c r="C17">
        <v>0</v>
      </c>
      <c r="D17" s="5">
        <v>196</v>
      </c>
      <c r="E17" s="14">
        <f t="shared" si="3"/>
        <v>0</v>
      </c>
    </row>
    <row r="18" spans="1:9" ht="14.25" customHeight="1" x14ac:dyDescent="0.25">
      <c r="A18" s="33" t="s">
        <v>589</v>
      </c>
      <c r="B18" s="33"/>
      <c r="C18">
        <v>0</v>
      </c>
      <c r="D18" s="5">
        <v>284.56</v>
      </c>
      <c r="E18" s="14">
        <f t="shared" si="3"/>
        <v>0</v>
      </c>
    </row>
    <row r="19" spans="1:9" ht="14.25" customHeight="1" x14ac:dyDescent="0.25">
      <c r="A19" s="33" t="s">
        <v>590</v>
      </c>
      <c r="B19" s="33">
        <v>72904</v>
      </c>
      <c r="C19">
        <v>0</v>
      </c>
      <c r="D19" s="5">
        <v>429.62</v>
      </c>
      <c r="E19" s="14">
        <f t="shared" ref="E19" si="4">+C19*D19</f>
        <v>0</v>
      </c>
    </row>
    <row r="20" spans="1:9" ht="14.25" customHeight="1" x14ac:dyDescent="0.25">
      <c r="A20" s="33" t="s">
        <v>591</v>
      </c>
      <c r="B20" s="33" t="s">
        <v>592</v>
      </c>
      <c r="C20">
        <v>4</v>
      </c>
      <c r="D20" s="5">
        <v>8.9700000000000006</v>
      </c>
      <c r="E20" s="14">
        <f t="shared" si="3"/>
        <v>35.880000000000003</v>
      </c>
    </row>
    <row r="21" spans="1:9" ht="14.25" customHeight="1" x14ac:dyDescent="0.25">
      <c r="A21" s="33" t="s">
        <v>591</v>
      </c>
      <c r="B21" s="33" t="s">
        <v>593</v>
      </c>
      <c r="C21">
        <v>3</v>
      </c>
      <c r="D21" s="5">
        <v>9.48</v>
      </c>
      <c r="E21" s="14">
        <f t="shared" si="3"/>
        <v>28.44</v>
      </c>
    </row>
    <row r="22" spans="1:9" ht="14.25" customHeight="1" x14ac:dyDescent="0.25">
      <c r="A22" s="33" t="s">
        <v>591</v>
      </c>
      <c r="B22" s="33" t="s">
        <v>593</v>
      </c>
      <c r="C22">
        <v>1</v>
      </c>
      <c r="D22" s="5">
        <v>9.48</v>
      </c>
      <c r="E22" s="14">
        <f t="shared" si="3"/>
        <v>9.48</v>
      </c>
    </row>
    <row r="23" spans="1:9" ht="14.25" customHeight="1" x14ac:dyDescent="0.25">
      <c r="A23" s="33" t="s">
        <v>594</v>
      </c>
      <c r="B23" s="33" t="s">
        <v>595</v>
      </c>
      <c r="C23">
        <v>5</v>
      </c>
      <c r="D23" s="5">
        <v>13.47</v>
      </c>
      <c r="E23" s="14">
        <f t="shared" si="3"/>
        <v>67.350000000000009</v>
      </c>
    </row>
    <row r="24" spans="1:9" ht="14.25" customHeight="1" x14ac:dyDescent="0.25">
      <c r="A24" s="33" t="s">
        <v>596</v>
      </c>
      <c r="B24" s="33">
        <v>100619</v>
      </c>
      <c r="C24">
        <v>1</v>
      </c>
      <c r="D24" s="5">
        <v>79.98</v>
      </c>
      <c r="E24" s="14">
        <f t="shared" si="3"/>
        <v>79.98</v>
      </c>
    </row>
    <row r="25" spans="1:9" ht="14.25" customHeight="1" x14ac:dyDescent="0.25">
      <c r="A25" s="33" t="s">
        <v>597</v>
      </c>
      <c r="B25" s="33">
        <v>287027</v>
      </c>
      <c r="C25">
        <v>1</v>
      </c>
      <c r="D25" s="5">
        <v>50.48</v>
      </c>
      <c r="E25" s="14">
        <f t="shared" si="3"/>
        <v>50.48</v>
      </c>
    </row>
    <row r="26" spans="1:9" ht="14.25" customHeight="1" x14ac:dyDescent="0.25">
      <c r="A26" s="33" t="s">
        <v>598</v>
      </c>
      <c r="B26" s="33"/>
      <c r="C26">
        <v>1</v>
      </c>
      <c r="D26" s="5">
        <v>69.47</v>
      </c>
      <c r="E26" s="14">
        <v>69.47</v>
      </c>
    </row>
    <row r="27" spans="1:9" ht="14.25" customHeight="1" x14ac:dyDescent="0.25">
      <c r="A27" s="33" t="s">
        <v>599</v>
      </c>
      <c r="B27" s="33" t="s">
        <v>600</v>
      </c>
      <c r="C27">
        <v>1</v>
      </c>
      <c r="D27" s="5">
        <v>289</v>
      </c>
      <c r="E27" s="14">
        <f t="shared" si="3"/>
        <v>289</v>
      </c>
    </row>
    <row r="28" spans="1:9" ht="14.25" customHeight="1" x14ac:dyDescent="0.25">
      <c r="A28" s="33" t="s">
        <v>601</v>
      </c>
      <c r="B28" s="33" t="s">
        <v>602</v>
      </c>
      <c r="C28">
        <v>4</v>
      </c>
      <c r="D28" s="5">
        <v>12.97</v>
      </c>
      <c r="E28" s="14">
        <f t="shared" si="3"/>
        <v>51.88</v>
      </c>
    </row>
    <row r="29" spans="1:9" ht="14.25" customHeight="1" thickBot="1" x14ac:dyDescent="0.3">
      <c r="A29" s="33" t="s">
        <v>565</v>
      </c>
      <c r="B29" s="33"/>
      <c r="E29" s="21">
        <v>67.69</v>
      </c>
      <c r="F29" s="21"/>
    </row>
    <row r="30" spans="1:9" ht="14.25" customHeight="1" x14ac:dyDescent="0.25">
      <c r="F30" s="14">
        <f>SUM(E4:E29)</f>
        <v>749.65000000000009</v>
      </c>
      <c r="I30" s="1"/>
    </row>
    <row r="31" spans="1:9" ht="14.25" customHeight="1" x14ac:dyDescent="0.25">
      <c r="A31" s="33"/>
    </row>
    <row r="32" spans="1:9" x14ac:dyDescent="0.25">
      <c r="A32" s="33"/>
      <c r="B32" s="33"/>
      <c r="C32" s="3"/>
      <c r="D32" s="8"/>
      <c r="E32" s="13"/>
      <c r="F32" s="13"/>
    </row>
    <row r="37" spans="1:7" ht="15.75" thickBot="1" x14ac:dyDescent="0.3">
      <c r="E37" s="21"/>
      <c r="F37" s="21"/>
    </row>
    <row r="40" spans="1:7" x14ac:dyDescent="0.25">
      <c r="A40" s="33"/>
    </row>
    <row r="41" spans="1:7" x14ac:dyDescent="0.25">
      <c r="A41" s="33"/>
      <c r="B41" s="33"/>
      <c r="C41" s="3"/>
      <c r="D41" s="8"/>
      <c r="E41" s="13"/>
      <c r="F41" s="13"/>
    </row>
    <row r="43" spans="1:7" ht="15.75" thickBot="1" x14ac:dyDescent="0.3">
      <c r="F43" s="21"/>
    </row>
    <row r="44" spans="1:7" x14ac:dyDescent="0.25">
      <c r="F44" s="14">
        <f>+SUM(E39:E43)</f>
        <v>0</v>
      </c>
    </row>
    <row r="46" spans="1:7" ht="15.75" thickBot="1" x14ac:dyDescent="0.3">
      <c r="F46" s="21"/>
    </row>
    <row r="48" spans="1:7" ht="15.75" thickBot="1" x14ac:dyDescent="0.3">
      <c r="G48" s="21"/>
    </row>
    <row r="49" spans="7:7" x14ac:dyDescent="0.25">
      <c r="G49" s="14">
        <f>+SUM(F30:F48)</f>
        <v>749.65000000000009</v>
      </c>
    </row>
  </sheetData>
  <printOptions headings="1" gridLines="1"/>
  <pageMargins left="0.7" right="0.7" top="0.75" bottom="0.75" header="0.3" footer="0.3"/>
  <pageSetup fitToHeight="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6" workbookViewId="0">
      <selection activeCell="F33" sqref="F33"/>
    </sheetView>
  </sheetViews>
  <sheetFormatPr defaultRowHeight="15" x14ac:dyDescent="0.25"/>
  <cols>
    <col min="1" max="1" width="32.85546875" style="2" bestFit="1" customWidth="1"/>
    <col min="2" max="2" width="23.85546875" style="2" customWidth="1"/>
    <col min="4" max="4" width="13.85546875" style="5" bestFit="1" customWidth="1"/>
    <col min="5" max="6" width="9.140625" style="14"/>
  </cols>
  <sheetData>
    <row r="1" spans="1:6" x14ac:dyDescent="0.25">
      <c r="A1" s="3" t="s">
        <v>482</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t="s">
        <v>603</v>
      </c>
      <c r="C4" s="31">
        <v>0</v>
      </c>
      <c r="D4" s="8">
        <v>154</v>
      </c>
      <c r="E4" s="14">
        <f>+C4*D4</f>
        <v>0</v>
      </c>
      <c r="F4" s="13"/>
    </row>
    <row r="5" spans="1:6" x14ac:dyDescent="0.25">
      <c r="A5" s="31" t="s">
        <v>604</v>
      </c>
      <c r="B5" s="31">
        <v>795984</v>
      </c>
      <c r="C5">
        <v>0</v>
      </c>
      <c r="D5" s="5">
        <v>144</v>
      </c>
      <c r="E5" s="14">
        <f>+C5*D5</f>
        <v>0</v>
      </c>
    </row>
    <row r="6" spans="1:6" x14ac:dyDescent="0.25">
      <c r="A6" s="31" t="s">
        <v>605</v>
      </c>
      <c r="B6" s="31" t="s">
        <v>605</v>
      </c>
      <c r="C6">
        <v>0</v>
      </c>
      <c r="D6" s="5">
        <v>224</v>
      </c>
      <c r="E6" s="14">
        <f>+C6*D6</f>
        <v>0</v>
      </c>
    </row>
    <row r="7" spans="1:6" x14ac:dyDescent="0.25">
      <c r="A7" s="31" t="s">
        <v>606</v>
      </c>
      <c r="B7" s="31" t="s">
        <v>607</v>
      </c>
      <c r="C7">
        <v>0</v>
      </c>
      <c r="D7" s="5">
        <v>152</v>
      </c>
      <c r="E7" s="14">
        <f>+C7*D7</f>
        <v>0</v>
      </c>
    </row>
    <row r="8" spans="1:6" x14ac:dyDescent="0.25">
      <c r="A8" s="31" t="s">
        <v>608</v>
      </c>
      <c r="B8" s="31" t="s">
        <v>609</v>
      </c>
      <c r="C8">
        <v>0</v>
      </c>
      <c r="D8" s="5">
        <v>50</v>
      </c>
      <c r="E8" s="14">
        <f>+C8*D8</f>
        <v>0</v>
      </c>
    </row>
    <row r="9" spans="1:6" x14ac:dyDescent="0.25">
      <c r="A9" s="31" t="s">
        <v>610</v>
      </c>
      <c r="B9" s="31" t="s">
        <v>611</v>
      </c>
      <c r="C9">
        <v>0</v>
      </c>
      <c r="D9" s="5">
        <v>166</v>
      </c>
      <c r="E9" s="14">
        <f t="shared" ref="E9:E22" si="0">+C9*D9</f>
        <v>0</v>
      </c>
    </row>
    <row r="10" spans="1:6" x14ac:dyDescent="0.25">
      <c r="A10" s="31" t="s">
        <v>612</v>
      </c>
      <c r="B10" s="31" t="s">
        <v>613</v>
      </c>
      <c r="C10">
        <v>0</v>
      </c>
      <c r="D10" s="5">
        <v>104</v>
      </c>
      <c r="E10" s="14">
        <f t="shared" si="0"/>
        <v>0</v>
      </c>
    </row>
    <row r="11" spans="1:6" x14ac:dyDescent="0.25">
      <c r="A11" s="31" t="s">
        <v>614</v>
      </c>
      <c r="B11" s="31" t="s">
        <v>615</v>
      </c>
      <c r="C11">
        <v>0</v>
      </c>
      <c r="D11" s="5">
        <v>81.98</v>
      </c>
      <c r="E11" s="14">
        <f t="shared" si="0"/>
        <v>0</v>
      </c>
    </row>
    <row r="12" spans="1:6" x14ac:dyDescent="0.25">
      <c r="A12" s="31" t="s">
        <v>614</v>
      </c>
      <c r="B12" s="31" t="s">
        <v>616</v>
      </c>
      <c r="C12">
        <v>0</v>
      </c>
      <c r="D12" s="5">
        <v>143</v>
      </c>
      <c r="E12" s="14">
        <f t="shared" si="0"/>
        <v>0</v>
      </c>
    </row>
    <row r="13" spans="1:6" x14ac:dyDescent="0.25">
      <c r="A13" s="31" t="s">
        <v>614</v>
      </c>
      <c r="B13" s="31" t="s">
        <v>617</v>
      </c>
      <c r="C13">
        <v>0</v>
      </c>
      <c r="D13" s="5">
        <v>98.98</v>
      </c>
      <c r="E13" s="14">
        <f t="shared" si="0"/>
        <v>0</v>
      </c>
    </row>
    <row r="14" spans="1:6" x14ac:dyDescent="0.25">
      <c r="A14" s="31" t="s">
        <v>618</v>
      </c>
      <c r="B14" s="31" t="s">
        <v>619</v>
      </c>
      <c r="C14">
        <v>0</v>
      </c>
      <c r="D14" s="5">
        <v>165</v>
      </c>
      <c r="E14" s="14">
        <f t="shared" si="0"/>
        <v>0</v>
      </c>
    </row>
    <row r="15" spans="1:6" x14ac:dyDescent="0.25">
      <c r="A15" s="31" t="s">
        <v>620</v>
      </c>
      <c r="B15" s="31">
        <v>795984</v>
      </c>
      <c r="C15">
        <v>0</v>
      </c>
      <c r="D15" s="5">
        <v>144</v>
      </c>
      <c r="E15" s="14">
        <f t="shared" si="0"/>
        <v>0</v>
      </c>
    </row>
    <row r="16" spans="1:6" x14ac:dyDescent="0.25">
      <c r="A16" s="31"/>
      <c r="B16" s="31" t="s">
        <v>621</v>
      </c>
      <c r="C16">
        <v>0</v>
      </c>
      <c r="D16" s="5">
        <v>107</v>
      </c>
      <c r="E16" s="14">
        <f t="shared" si="0"/>
        <v>0</v>
      </c>
    </row>
    <row r="17" spans="1:9" x14ac:dyDescent="0.25">
      <c r="A17" s="31" t="s">
        <v>614</v>
      </c>
      <c r="B17" s="31" t="s">
        <v>622</v>
      </c>
      <c r="C17">
        <v>0</v>
      </c>
      <c r="D17" s="5">
        <v>112</v>
      </c>
      <c r="E17" s="14">
        <f t="shared" si="0"/>
        <v>0</v>
      </c>
    </row>
    <row r="18" spans="1:9" x14ac:dyDescent="0.25">
      <c r="A18" s="31" t="s">
        <v>623</v>
      </c>
      <c r="B18" s="31" t="s">
        <v>623</v>
      </c>
      <c r="C18">
        <v>0</v>
      </c>
      <c r="D18" s="5">
        <v>40.96</v>
      </c>
      <c r="E18" s="14">
        <f t="shared" si="0"/>
        <v>0</v>
      </c>
    </row>
    <row r="19" spans="1:9" x14ac:dyDescent="0.25">
      <c r="A19" s="31"/>
      <c r="B19" s="31" t="s">
        <v>624</v>
      </c>
      <c r="C19">
        <v>0</v>
      </c>
      <c r="D19" s="5">
        <v>18.28</v>
      </c>
      <c r="E19" s="14">
        <f t="shared" si="0"/>
        <v>0</v>
      </c>
    </row>
    <row r="20" spans="1:9" x14ac:dyDescent="0.25">
      <c r="A20" s="31"/>
      <c r="B20" s="31" t="s">
        <v>178</v>
      </c>
      <c r="C20">
        <v>0</v>
      </c>
      <c r="D20" s="5">
        <v>0</v>
      </c>
      <c r="E20" s="14">
        <f t="shared" si="0"/>
        <v>0</v>
      </c>
    </row>
    <row r="21" spans="1:9" x14ac:dyDescent="0.25">
      <c r="A21" s="31" t="s">
        <v>625</v>
      </c>
      <c r="B21" s="31"/>
      <c r="C21">
        <v>0</v>
      </c>
      <c r="D21" s="5">
        <v>0</v>
      </c>
      <c r="E21" s="14">
        <f t="shared" si="0"/>
        <v>0</v>
      </c>
    </row>
    <row r="22" spans="1:9" ht="15.75" thickBot="1" x14ac:dyDescent="0.3">
      <c r="A22" s="31" t="s">
        <v>626</v>
      </c>
      <c r="B22" s="31"/>
      <c r="C22">
        <v>1</v>
      </c>
      <c r="D22" s="5">
        <v>935.09</v>
      </c>
      <c r="E22" s="21">
        <f t="shared" si="0"/>
        <v>935.09</v>
      </c>
      <c r="F22" s="21"/>
    </row>
    <row r="23" spans="1:9" x14ac:dyDescent="0.25">
      <c r="F23" s="14">
        <f>+SUM(E4:E22)</f>
        <v>935.09</v>
      </c>
      <c r="I23" s="1"/>
    </row>
    <row r="24" spans="1:9" x14ac:dyDescent="0.25">
      <c r="A24" s="33" t="s">
        <v>627</v>
      </c>
    </row>
    <row r="25" spans="1:9" x14ac:dyDescent="0.25">
      <c r="A25" s="3" t="s">
        <v>393</v>
      </c>
      <c r="B25" s="3" t="s">
        <v>553</v>
      </c>
      <c r="C25" s="3" t="s">
        <v>501</v>
      </c>
      <c r="D25" s="8" t="s">
        <v>502</v>
      </c>
      <c r="E25" s="13" t="s">
        <v>503</v>
      </c>
      <c r="F25" s="13" t="s">
        <v>504</v>
      </c>
    </row>
    <row r="26" spans="1:9" x14ac:dyDescent="0.25">
      <c r="B26" s="2" t="s">
        <v>628</v>
      </c>
      <c r="C26">
        <v>0</v>
      </c>
      <c r="D26" s="5">
        <v>0</v>
      </c>
      <c r="E26" s="14">
        <f t="shared" ref="E26:E30" si="1">+C26*D26</f>
        <v>0</v>
      </c>
    </row>
    <row r="27" spans="1:9" x14ac:dyDescent="0.25">
      <c r="B27" s="2" t="s">
        <v>629</v>
      </c>
      <c r="C27">
        <v>0</v>
      </c>
      <c r="D27" s="5">
        <v>0</v>
      </c>
      <c r="E27" s="14">
        <f t="shared" si="1"/>
        <v>0</v>
      </c>
    </row>
    <row r="28" spans="1:9" x14ac:dyDescent="0.25">
      <c r="B28" s="2" t="s">
        <v>630</v>
      </c>
      <c r="C28">
        <v>0</v>
      </c>
      <c r="D28" s="5">
        <v>0</v>
      </c>
      <c r="E28" s="14">
        <f t="shared" si="1"/>
        <v>0</v>
      </c>
    </row>
    <row r="29" spans="1:9" x14ac:dyDescent="0.25">
      <c r="A29" s="25" t="s">
        <v>631</v>
      </c>
      <c r="C29">
        <v>1</v>
      </c>
      <c r="D29" s="5">
        <v>3142.43</v>
      </c>
      <c r="E29" s="14">
        <v>3142.43</v>
      </c>
    </row>
    <row r="30" spans="1:9" x14ac:dyDescent="0.25">
      <c r="C30">
        <v>0</v>
      </c>
      <c r="D30" s="5">
        <v>0</v>
      </c>
      <c r="E30" s="14">
        <f t="shared" si="1"/>
        <v>0</v>
      </c>
    </row>
    <row r="31" spans="1:9" ht="15.75" thickBot="1" x14ac:dyDescent="0.3">
      <c r="E31" s="21"/>
      <c r="F31" s="21"/>
    </row>
    <row r="32" spans="1:9" x14ac:dyDescent="0.25">
      <c r="F32" s="14">
        <v>3142.43</v>
      </c>
    </row>
    <row r="34" spans="1:7" x14ac:dyDescent="0.25">
      <c r="A34" s="33" t="s">
        <v>632</v>
      </c>
    </row>
    <row r="35" spans="1:7" x14ac:dyDescent="0.25">
      <c r="A35" s="3" t="s">
        <v>393</v>
      </c>
      <c r="B35" s="3" t="s">
        <v>553</v>
      </c>
      <c r="C35" s="3" t="s">
        <v>501</v>
      </c>
      <c r="D35" s="8" t="s">
        <v>502</v>
      </c>
      <c r="E35" s="13" t="s">
        <v>503</v>
      </c>
      <c r="F35" s="13" t="s">
        <v>504</v>
      </c>
    </row>
    <row r="36" spans="1:7" x14ac:dyDescent="0.25">
      <c r="A36" s="3" t="s">
        <v>633</v>
      </c>
      <c r="B36" s="3"/>
      <c r="C36" s="3">
        <v>0</v>
      </c>
      <c r="D36" s="8">
        <v>1100</v>
      </c>
      <c r="E36" s="14">
        <f t="shared" ref="E36:E41" si="2">+C36*D36</f>
        <v>0</v>
      </c>
      <c r="F36" s="13"/>
    </row>
    <row r="37" spans="1:7" x14ac:dyDescent="0.25">
      <c r="A37" s="2" t="s">
        <v>634</v>
      </c>
      <c r="B37" s="2">
        <v>400390</v>
      </c>
      <c r="C37">
        <v>4</v>
      </c>
      <c r="D37" s="5">
        <v>2.0499999999999998</v>
      </c>
      <c r="E37" s="14">
        <f t="shared" si="2"/>
        <v>8.1999999999999993</v>
      </c>
    </row>
    <row r="38" spans="1:7" x14ac:dyDescent="0.25">
      <c r="A38" s="2" t="s">
        <v>635</v>
      </c>
      <c r="B38" s="2">
        <v>376787</v>
      </c>
      <c r="C38">
        <v>16</v>
      </c>
      <c r="D38" s="5">
        <v>4.9800000000000004</v>
      </c>
      <c r="E38" s="14">
        <f t="shared" si="2"/>
        <v>79.680000000000007</v>
      </c>
    </row>
    <row r="39" spans="1:7" x14ac:dyDescent="0.25">
      <c r="A39" s="2" t="s">
        <v>178</v>
      </c>
      <c r="B39" s="2" t="s">
        <v>178</v>
      </c>
      <c r="C39">
        <v>0</v>
      </c>
      <c r="D39" s="5">
        <v>0</v>
      </c>
      <c r="E39" s="14">
        <f t="shared" si="2"/>
        <v>0</v>
      </c>
    </row>
    <row r="40" spans="1:7" x14ac:dyDescent="0.25">
      <c r="A40" s="2" t="s">
        <v>636</v>
      </c>
      <c r="B40" s="2">
        <v>2280072</v>
      </c>
      <c r="C40">
        <v>0</v>
      </c>
      <c r="D40" s="5">
        <v>18.97</v>
      </c>
      <c r="E40" s="14">
        <f t="shared" si="2"/>
        <v>0</v>
      </c>
    </row>
    <row r="41" spans="1:7" ht="15.75" thickBot="1" x14ac:dyDescent="0.3">
      <c r="A41" s="2" t="s">
        <v>637</v>
      </c>
      <c r="B41" s="2">
        <v>1000707539</v>
      </c>
      <c r="C41">
        <v>0</v>
      </c>
      <c r="D41" s="5">
        <v>1.98</v>
      </c>
      <c r="E41" s="14">
        <f t="shared" si="2"/>
        <v>0</v>
      </c>
      <c r="F41" s="21"/>
    </row>
    <row r="42" spans="1:7" x14ac:dyDescent="0.25">
      <c r="F42" s="14">
        <f>+SUM(E36:E41)</f>
        <v>87.88000000000001</v>
      </c>
    </row>
    <row r="43" spans="1:7" ht="15.75" thickBot="1" x14ac:dyDescent="0.3">
      <c r="G43" s="21"/>
    </row>
    <row r="44" spans="1:7" x14ac:dyDescent="0.25">
      <c r="G44" s="14">
        <f>+SUM(F23:F43)</f>
        <v>4165.3999999999996</v>
      </c>
    </row>
  </sheetData>
  <printOptions headings="1" gridLines="1"/>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F20" sqref="F20"/>
    </sheetView>
  </sheetViews>
  <sheetFormatPr defaultRowHeight="15" x14ac:dyDescent="0.2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x14ac:dyDescent="0.25">
      <c r="A1" s="33" t="s">
        <v>638</v>
      </c>
      <c r="B1" s="33"/>
    </row>
    <row r="2" spans="1:10" s="3" customFormat="1" x14ac:dyDescent="0.25">
      <c r="A2" s="3" t="s">
        <v>393</v>
      </c>
      <c r="B2" s="3" t="s">
        <v>639</v>
      </c>
      <c r="C2" s="3" t="s">
        <v>411</v>
      </c>
      <c r="D2" s="3" t="s">
        <v>337</v>
      </c>
      <c r="E2" s="8" t="s">
        <v>502</v>
      </c>
      <c r="F2" s="6" t="s">
        <v>503</v>
      </c>
      <c r="G2" s="3" t="s">
        <v>504</v>
      </c>
    </row>
    <row r="3" spans="1:10" s="3" customFormat="1" x14ac:dyDescent="0.25">
      <c r="A3" s="33" t="s">
        <v>640</v>
      </c>
      <c r="B3" s="299">
        <f>+Profit!K8</f>
        <v>1899</v>
      </c>
      <c r="E3" s="8"/>
      <c r="F3" s="6"/>
    </row>
    <row r="4" spans="1:10" x14ac:dyDescent="0.25">
      <c r="A4" s="224" t="s">
        <v>641</v>
      </c>
      <c r="C4" s="224" t="s">
        <v>642</v>
      </c>
      <c r="D4">
        <v>1</v>
      </c>
      <c r="E4" s="5">
        <v>68.540000000000006</v>
      </c>
      <c r="F4" s="1">
        <f t="shared" ref="F4:F12" si="0">+D4*E4</f>
        <v>68.540000000000006</v>
      </c>
      <c r="G4"/>
      <c r="J4" s="5">
        <f>SUM(F4:F11)/28</f>
        <v>17.547857142857143</v>
      </c>
    </row>
    <row r="5" spans="1:10" x14ac:dyDescent="0.25">
      <c r="A5" s="224" t="s">
        <v>643</v>
      </c>
      <c r="C5" s="224" t="s">
        <v>644</v>
      </c>
      <c r="D5">
        <v>1</v>
      </c>
      <c r="E5" s="5">
        <v>85.89</v>
      </c>
      <c r="F5" s="1">
        <f t="shared" si="0"/>
        <v>85.89</v>
      </c>
      <c r="G5"/>
    </row>
    <row r="6" spans="1:10" x14ac:dyDescent="0.25">
      <c r="A6" s="224" t="s">
        <v>645</v>
      </c>
      <c r="C6" s="224">
        <v>185342</v>
      </c>
      <c r="D6">
        <v>1</v>
      </c>
      <c r="E6">
        <v>147</v>
      </c>
      <c r="F6" s="1">
        <f t="shared" si="0"/>
        <v>147</v>
      </c>
      <c r="G6"/>
    </row>
    <row r="7" spans="1:10" x14ac:dyDescent="0.25">
      <c r="A7" s="224" t="s">
        <v>643</v>
      </c>
      <c r="C7" s="224" t="s">
        <v>646</v>
      </c>
      <c r="D7">
        <v>5</v>
      </c>
      <c r="E7" s="5">
        <v>21.99</v>
      </c>
      <c r="F7" s="1">
        <f t="shared" si="0"/>
        <v>109.94999999999999</v>
      </c>
      <c r="G7"/>
    </row>
    <row r="8" spans="1:10" x14ac:dyDescent="0.25">
      <c r="A8" s="224" t="s">
        <v>647</v>
      </c>
      <c r="C8" s="224">
        <v>389832</v>
      </c>
      <c r="D8">
        <v>1</v>
      </c>
      <c r="E8" s="5">
        <v>39.979999999999997</v>
      </c>
      <c r="F8" s="1">
        <f t="shared" si="0"/>
        <v>39.979999999999997</v>
      </c>
      <c r="G8"/>
    </row>
    <row r="9" spans="1:10" x14ac:dyDescent="0.25">
      <c r="A9" s="224" t="s">
        <v>648</v>
      </c>
      <c r="C9" s="224">
        <v>985007</v>
      </c>
      <c r="D9">
        <v>1</v>
      </c>
      <c r="E9" s="5">
        <v>39.979999999999997</v>
      </c>
      <c r="F9" s="1">
        <f t="shared" si="0"/>
        <v>39.979999999999997</v>
      </c>
      <c r="G9"/>
    </row>
    <row r="10" spans="1:10" x14ac:dyDescent="0.25">
      <c r="A10" s="224" t="s">
        <v>649</v>
      </c>
      <c r="C10" s="224">
        <v>814917</v>
      </c>
      <c r="D10">
        <v>0</v>
      </c>
      <c r="E10" s="5">
        <v>60.98</v>
      </c>
      <c r="F10" s="1">
        <f t="shared" si="0"/>
        <v>0</v>
      </c>
      <c r="G10"/>
    </row>
    <row r="11" spans="1:10" x14ac:dyDescent="0.25">
      <c r="A11" s="224" t="s">
        <v>650</v>
      </c>
      <c r="C11" s="224" t="s">
        <v>651</v>
      </c>
      <c r="D11">
        <v>0</v>
      </c>
      <c r="E11" s="5">
        <v>40</v>
      </c>
      <c r="F11" s="1">
        <f t="shared" si="0"/>
        <v>0</v>
      </c>
      <c r="G11"/>
    </row>
    <row r="12" spans="1:10" x14ac:dyDescent="0.25">
      <c r="A12" s="2" t="s">
        <v>652</v>
      </c>
      <c r="B12" s="2">
        <v>10</v>
      </c>
      <c r="C12" s="2" t="s">
        <v>653</v>
      </c>
      <c r="D12">
        <v>10</v>
      </c>
      <c r="E12" s="5">
        <v>50.24</v>
      </c>
      <c r="F12" s="1">
        <f t="shared" si="0"/>
        <v>502.40000000000003</v>
      </c>
    </row>
    <row r="13" spans="1:10" x14ac:dyDescent="0.25">
      <c r="A13" s="33" t="s">
        <v>654</v>
      </c>
      <c r="B13" s="225">
        <v>0</v>
      </c>
      <c r="D13"/>
      <c r="E13" s="5"/>
      <c r="F13" s="1"/>
      <c r="G13"/>
    </row>
    <row r="14" spans="1:10" x14ac:dyDescent="0.25">
      <c r="A14" s="2" t="s">
        <v>652</v>
      </c>
      <c r="D14"/>
      <c r="E14" s="5"/>
      <c r="F14" s="1"/>
      <c r="G14"/>
    </row>
    <row r="15" spans="1:10" x14ac:dyDescent="0.25">
      <c r="A15" s="33" t="s">
        <v>655</v>
      </c>
      <c r="B15" s="225">
        <v>0</v>
      </c>
      <c r="D15"/>
      <c r="E15" s="5"/>
      <c r="F15" s="1"/>
      <c r="G15"/>
    </row>
    <row r="16" spans="1:10" x14ac:dyDescent="0.25">
      <c r="A16" s="224" t="s">
        <v>656</v>
      </c>
      <c r="C16" s="224" t="s">
        <v>657</v>
      </c>
      <c r="D16">
        <v>0</v>
      </c>
      <c r="E16" s="5">
        <v>93</v>
      </c>
      <c r="F16" s="1">
        <f t="shared" ref="F16:F17" si="1">+D16*E16</f>
        <v>0</v>
      </c>
      <c r="G16"/>
    </row>
    <row r="17" spans="1:12" x14ac:dyDescent="0.25">
      <c r="A17" s="33" t="s">
        <v>658</v>
      </c>
      <c r="B17" s="225">
        <v>500</v>
      </c>
      <c r="D17"/>
      <c r="E17" s="5"/>
      <c r="F17" s="1">
        <f t="shared" si="1"/>
        <v>0</v>
      </c>
      <c r="G17"/>
    </row>
    <row r="18" spans="1:12" x14ac:dyDescent="0.25">
      <c r="A18" s="224" t="s">
        <v>659</v>
      </c>
      <c r="C18" s="224" t="s">
        <v>660</v>
      </c>
      <c r="D18">
        <v>2</v>
      </c>
      <c r="E18" s="5">
        <v>47.98</v>
      </c>
      <c r="F18" s="1">
        <f>+D18*E18</f>
        <v>95.96</v>
      </c>
      <c r="G18"/>
    </row>
    <row r="19" spans="1:12" x14ac:dyDescent="0.25">
      <c r="A19" s="2" t="s">
        <v>661</v>
      </c>
      <c r="C19" s="2" t="s">
        <v>662</v>
      </c>
      <c r="D19">
        <v>1</v>
      </c>
      <c r="E19" s="5">
        <v>48.98</v>
      </c>
      <c r="F19" s="1">
        <f t="shared" ref="F19:F20" si="2">+D19*E19</f>
        <v>48.98</v>
      </c>
      <c r="G19"/>
    </row>
    <row r="20" spans="1:12" x14ac:dyDescent="0.25">
      <c r="A20" s="2" t="s">
        <v>663</v>
      </c>
      <c r="D20">
        <v>1</v>
      </c>
      <c r="E20" s="5">
        <v>97.13</v>
      </c>
      <c r="F20" s="5">
        <f t="shared" si="2"/>
        <v>97.13</v>
      </c>
    </row>
    <row r="21" spans="1:12" ht="15.75" thickBot="1" x14ac:dyDescent="0.3">
      <c r="D21"/>
      <c r="E21" s="5"/>
      <c r="F21" s="30">
        <f>+D20*E20</f>
        <v>97.13</v>
      </c>
      <c r="G21" s="30"/>
    </row>
    <row r="22" spans="1:12" x14ac:dyDescent="0.25">
      <c r="D22"/>
      <c r="E22" s="5"/>
      <c r="F22" s="1"/>
      <c r="L22" s="2"/>
    </row>
    <row r="23" spans="1:12" x14ac:dyDescent="0.25">
      <c r="D23" s="631" t="s">
        <v>664</v>
      </c>
      <c r="E23" s="632"/>
      <c r="F23" s="632"/>
      <c r="G23" s="1">
        <f>SUM(F4:F21)</f>
        <v>1332.94</v>
      </c>
    </row>
    <row r="24" spans="1:12" x14ac:dyDescent="0.25">
      <c r="A24" s="2" t="s">
        <v>263</v>
      </c>
      <c r="D24"/>
      <c r="E24" s="5"/>
      <c r="F24" s="1">
        <v>0</v>
      </c>
      <c r="G24">
        <v>0</v>
      </c>
    </row>
    <row r="25" spans="1:12" x14ac:dyDescent="0.25">
      <c r="A25" s="224" t="s">
        <v>263</v>
      </c>
      <c r="B25" s="299">
        <f>+$B$3</f>
        <v>1899</v>
      </c>
      <c r="C25" s="224" t="s">
        <v>665</v>
      </c>
      <c r="D25" s="223" t="s">
        <v>177</v>
      </c>
      <c r="E25" s="5">
        <v>2.04</v>
      </c>
      <c r="F25" s="1">
        <v>0</v>
      </c>
      <c r="G25"/>
    </row>
    <row r="26" spans="1:12" x14ac:dyDescent="0.25">
      <c r="A26" s="224" t="s">
        <v>263</v>
      </c>
      <c r="B26" s="299">
        <f t="shared" ref="B26:B27" si="3">+$B$3</f>
        <v>1899</v>
      </c>
      <c r="C26" s="224" t="s">
        <v>666</v>
      </c>
      <c r="D26" t="s">
        <v>12</v>
      </c>
      <c r="E26" s="5">
        <v>1</v>
      </c>
      <c r="F26" s="1">
        <f t="shared" ref="F26:F27" si="4">IF(D26="yes",E26*B26,0)</f>
        <v>0</v>
      </c>
      <c r="G26"/>
    </row>
    <row r="27" spans="1:12" ht="15.75" thickBot="1" x14ac:dyDescent="0.3">
      <c r="A27" s="224" t="s">
        <v>263</v>
      </c>
      <c r="B27" s="299">
        <f t="shared" si="3"/>
        <v>1899</v>
      </c>
      <c r="C27" s="224" t="s">
        <v>667</v>
      </c>
      <c r="D27" t="s">
        <v>12</v>
      </c>
      <c r="E27" s="5">
        <v>1</v>
      </c>
      <c r="F27" s="1">
        <f t="shared" si="4"/>
        <v>0</v>
      </c>
      <c r="G27" s="23"/>
    </row>
    <row r="28" spans="1:12" x14ac:dyDescent="0.25">
      <c r="D28"/>
      <c r="E28" s="5"/>
      <c r="F28" s="1"/>
      <c r="G28" s="1">
        <f>+SUM(F25:F27)+G23</f>
        <v>1332.94</v>
      </c>
    </row>
    <row r="29" spans="1:12" x14ac:dyDescent="0.25">
      <c r="D29"/>
      <c r="E29" s="5"/>
    </row>
    <row r="30" spans="1:12" x14ac:dyDescent="0.25">
      <c r="D30"/>
      <c r="E30" s="5"/>
    </row>
  </sheetData>
  <mergeCells count="1">
    <mergeCell ref="D23:F23"/>
  </mergeCells>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E9" sqref="E9"/>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x14ac:dyDescent="0.25">
      <c r="A1" s="33" t="s">
        <v>668</v>
      </c>
      <c r="B1" s="33"/>
    </row>
    <row r="2" spans="1:7" s="3" customFormat="1" x14ac:dyDescent="0.25">
      <c r="A2" s="3" t="s">
        <v>393</v>
      </c>
      <c r="B2" s="3" t="s">
        <v>639</v>
      </c>
      <c r="C2" s="3" t="s">
        <v>411</v>
      </c>
      <c r="D2" s="3" t="s">
        <v>337</v>
      </c>
      <c r="E2" s="8" t="s">
        <v>502</v>
      </c>
      <c r="F2" s="6" t="s">
        <v>503</v>
      </c>
      <c r="G2" s="3" t="s">
        <v>504</v>
      </c>
    </row>
    <row r="3" spans="1:7" x14ac:dyDescent="0.25">
      <c r="B3" s="299">
        <f>+Profit!K8</f>
        <v>1899</v>
      </c>
      <c r="D3"/>
      <c r="E3" s="5"/>
      <c r="F3" s="1"/>
      <c r="G3"/>
    </row>
    <row r="4" spans="1:7" x14ac:dyDescent="0.25">
      <c r="A4" s="224" t="s">
        <v>669</v>
      </c>
      <c r="B4" s="316">
        <f>+B3</f>
        <v>1899</v>
      </c>
      <c r="C4" s="224" t="s">
        <v>665</v>
      </c>
      <c r="D4" t="s">
        <v>108</v>
      </c>
      <c r="E4" s="5">
        <v>6.5</v>
      </c>
      <c r="F4" s="1">
        <f>IF(D4="yes",E4*B4,0)</f>
        <v>0</v>
      </c>
      <c r="G4"/>
    </row>
    <row r="5" spans="1:7" x14ac:dyDescent="0.25">
      <c r="A5" s="224" t="s">
        <v>670</v>
      </c>
      <c r="B5" s="316">
        <f>+B3</f>
        <v>1899</v>
      </c>
      <c r="C5" s="224"/>
      <c r="D5" t="s">
        <v>12</v>
      </c>
      <c r="E5" s="5">
        <v>1</v>
      </c>
      <c r="F5" s="1">
        <v>571.79999999999995</v>
      </c>
      <c r="G5"/>
    </row>
    <row r="6" spans="1:7" ht="15.75" thickBot="1" x14ac:dyDescent="0.3">
      <c r="A6" s="224" t="s">
        <v>671</v>
      </c>
      <c r="B6" s="316">
        <f>+B3</f>
        <v>1899</v>
      </c>
      <c r="C6" s="224"/>
      <c r="D6" t="s">
        <v>12</v>
      </c>
      <c r="E6" s="5">
        <v>1</v>
      </c>
      <c r="F6" s="1">
        <v>4527</v>
      </c>
      <c r="G6" s="23">
        <v>3191.7</v>
      </c>
    </row>
    <row r="7" spans="1:7" x14ac:dyDescent="0.25">
      <c r="D7"/>
      <c r="E7" s="5"/>
      <c r="F7" s="1"/>
      <c r="G7" s="1">
        <f>SUM(F4:F6)</f>
        <v>5098.8</v>
      </c>
    </row>
    <row r="8" spans="1:7" x14ac:dyDescent="0.25">
      <c r="D8"/>
      <c r="E8" s="5"/>
    </row>
    <row r="9" spans="1:7" x14ac:dyDescent="0.25">
      <c r="A9" s="2" t="s">
        <v>178</v>
      </c>
      <c r="D9" t="s">
        <v>178</v>
      </c>
      <c r="E9" s="5" t="s">
        <v>178</v>
      </c>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E5" sqref="E5"/>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347</v>
      </c>
    </row>
    <row r="3" spans="1:14" s="22" customFormat="1" x14ac:dyDescent="0.25">
      <c r="A3" s="3" t="s">
        <v>393</v>
      </c>
      <c r="B3" s="3" t="s">
        <v>672</v>
      </c>
      <c r="C3" s="3" t="s">
        <v>501</v>
      </c>
      <c r="D3" s="8" t="s">
        <v>502</v>
      </c>
      <c r="E3" s="16" t="s">
        <v>541</v>
      </c>
      <c r="F3" s="3" t="s">
        <v>504</v>
      </c>
      <c r="H3" s="3"/>
      <c r="I3" s="3"/>
    </row>
    <row r="4" spans="1:14" x14ac:dyDescent="0.25">
      <c r="A4" t="s">
        <v>673</v>
      </c>
      <c r="B4" s="2" t="s">
        <v>674</v>
      </c>
      <c r="C4" s="11">
        <v>1</v>
      </c>
      <c r="D4" s="5">
        <v>13062</v>
      </c>
      <c r="E4" s="26">
        <f>+C4*D4</f>
        <v>13062</v>
      </c>
    </row>
    <row r="5" spans="1:14" x14ac:dyDescent="0.25">
      <c r="A5" t="s">
        <v>675</v>
      </c>
      <c r="B5" s="2" t="s">
        <v>676</v>
      </c>
      <c r="C5" s="11">
        <v>0</v>
      </c>
      <c r="D5" s="5">
        <v>8.98</v>
      </c>
      <c r="E5" s="26">
        <f t="shared" ref="E5:E12" si="0">+C5*D5</f>
        <v>0</v>
      </c>
    </row>
    <row r="6" spans="1:14" x14ac:dyDescent="0.25">
      <c r="A6" t="s">
        <v>675</v>
      </c>
      <c r="B6" s="2" t="s">
        <v>677</v>
      </c>
      <c r="C6" s="11">
        <v>0</v>
      </c>
      <c r="D6" s="5">
        <v>7.98</v>
      </c>
      <c r="E6" s="26">
        <f t="shared" ref="E6:E11" si="1">+C6*D6</f>
        <v>0</v>
      </c>
    </row>
    <row r="7" spans="1:14" x14ac:dyDescent="0.25">
      <c r="A7" t="s">
        <v>678</v>
      </c>
      <c r="B7" s="2" t="s">
        <v>679</v>
      </c>
      <c r="C7" s="11">
        <v>0</v>
      </c>
      <c r="D7" s="5">
        <v>44.93</v>
      </c>
      <c r="E7" s="26">
        <f t="shared" si="1"/>
        <v>0</v>
      </c>
    </row>
    <row r="8" spans="1:14" x14ac:dyDescent="0.25">
      <c r="A8" t="s">
        <v>680</v>
      </c>
      <c r="B8" s="2" t="s">
        <v>681</v>
      </c>
      <c r="C8" s="11">
        <v>0</v>
      </c>
      <c r="D8" s="5">
        <v>4.47</v>
      </c>
      <c r="E8" s="26">
        <f t="shared" si="1"/>
        <v>0</v>
      </c>
    </row>
    <row r="9" spans="1:14" x14ac:dyDescent="0.25">
      <c r="A9" t="s">
        <v>680</v>
      </c>
      <c r="B9" s="2" t="s">
        <v>682</v>
      </c>
      <c r="C9" s="11">
        <v>0</v>
      </c>
      <c r="D9" s="5">
        <v>4.97</v>
      </c>
      <c r="E9" s="26">
        <f t="shared" si="1"/>
        <v>0</v>
      </c>
      <c r="I9" s="33"/>
      <c r="J9" s="2"/>
      <c r="L9" s="5"/>
      <c r="M9" s="26"/>
    </row>
    <row r="10" spans="1:14" x14ac:dyDescent="0.25">
      <c r="A10" t="s">
        <v>683</v>
      </c>
      <c r="B10" s="2" t="s">
        <v>684</v>
      </c>
      <c r="C10" s="11">
        <v>0</v>
      </c>
      <c r="D10" s="5">
        <v>23</v>
      </c>
      <c r="E10" s="26">
        <f t="shared" si="1"/>
        <v>0</v>
      </c>
      <c r="I10" s="3"/>
      <c r="J10" s="3"/>
      <c r="K10" s="3"/>
      <c r="L10" s="8"/>
      <c r="M10" s="16"/>
      <c r="N10" s="3"/>
    </row>
    <row r="11" spans="1:14" x14ac:dyDescent="0.25">
      <c r="A11"/>
      <c r="C11" s="11"/>
      <c r="E11" s="26">
        <f t="shared" si="1"/>
        <v>0</v>
      </c>
      <c r="J11" s="2"/>
      <c r="K11" s="11"/>
      <c r="L11" s="5"/>
      <c r="M11" s="26"/>
    </row>
    <row r="12" spans="1:14" ht="15.75" thickBot="1" x14ac:dyDescent="0.3">
      <c r="A12" s="2" t="s">
        <v>685</v>
      </c>
      <c r="C12">
        <v>0</v>
      </c>
      <c r="D12" s="5">
        <v>11504</v>
      </c>
      <c r="E12" s="30">
        <f t="shared" si="0"/>
        <v>0</v>
      </c>
      <c r="F12" s="30"/>
      <c r="J12" s="2"/>
      <c r="K12" s="11"/>
      <c r="L12" s="5"/>
      <c r="M12" s="26"/>
    </row>
    <row r="13" spans="1:14" x14ac:dyDescent="0.25">
      <c r="C13" s="631"/>
      <c r="D13" s="632"/>
      <c r="E13" s="632"/>
      <c r="F13" s="4">
        <f>+SUM(E4:E12)</f>
        <v>13062</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631"/>
      <c r="L20" s="632"/>
      <c r="M20" s="632"/>
      <c r="N20" s="4"/>
    </row>
  </sheetData>
  <mergeCells count="2">
    <mergeCell ref="C13:E13"/>
    <mergeCell ref="K20:M20"/>
  </mergeCells>
  <printOptions headings="1" gridLines="1"/>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A18" sqref="A18"/>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686</v>
      </c>
      <c r="B1" s="3"/>
    </row>
    <row r="2" spans="1:6" x14ac:dyDescent="0.25">
      <c r="C2" s="3"/>
      <c r="D2" s="8"/>
      <c r="E2" s="13"/>
      <c r="F2" s="13"/>
    </row>
    <row r="3" spans="1:6" x14ac:dyDescent="0.25">
      <c r="A3" s="3" t="s">
        <v>393</v>
      </c>
      <c r="B3" s="3" t="s">
        <v>553</v>
      </c>
      <c r="C3" s="3" t="s">
        <v>501</v>
      </c>
      <c r="D3" s="8" t="s">
        <v>502</v>
      </c>
      <c r="E3" s="13" t="s">
        <v>503</v>
      </c>
      <c r="F3" s="13" t="s">
        <v>504</v>
      </c>
    </row>
    <row r="4" spans="1:6" x14ac:dyDescent="0.25">
      <c r="A4" s="3"/>
      <c r="B4" s="3"/>
      <c r="C4" s="31"/>
      <c r="D4" s="8"/>
      <c r="E4" s="14">
        <f>+C4*D4</f>
        <v>0</v>
      </c>
      <c r="F4" s="13"/>
    </row>
    <row r="5" spans="1:6" x14ac:dyDescent="0.25">
      <c r="A5" s="31" t="s">
        <v>687</v>
      </c>
      <c r="B5" s="31">
        <v>2599776</v>
      </c>
      <c r="C5">
        <v>3</v>
      </c>
      <c r="D5" s="5">
        <v>124.98</v>
      </c>
      <c r="E5" s="14">
        <f>+C5*D5</f>
        <v>374.94</v>
      </c>
    </row>
    <row r="6" spans="1:6" x14ac:dyDescent="0.25">
      <c r="A6" s="31" t="s">
        <v>688</v>
      </c>
      <c r="B6" s="31">
        <v>807421</v>
      </c>
      <c r="C6">
        <v>1</v>
      </c>
      <c r="D6" s="5">
        <v>112.48</v>
      </c>
      <c r="E6" s="14">
        <f>+C6*D6</f>
        <v>112.48</v>
      </c>
    </row>
    <row r="7" spans="1:6" x14ac:dyDescent="0.25">
      <c r="A7" s="31" t="s">
        <v>689</v>
      </c>
      <c r="B7" s="31">
        <v>321702</v>
      </c>
      <c r="C7">
        <v>2</v>
      </c>
      <c r="D7" s="5">
        <v>89.98</v>
      </c>
      <c r="E7" s="14">
        <f>+C7*D7</f>
        <v>179.96</v>
      </c>
    </row>
    <row r="8" spans="1:6" x14ac:dyDescent="0.25">
      <c r="A8" s="31" t="s">
        <v>690</v>
      </c>
      <c r="B8" s="31">
        <v>649829</v>
      </c>
      <c r="C8">
        <v>1</v>
      </c>
      <c r="D8" s="5">
        <v>129.97999999999999</v>
      </c>
      <c r="E8" s="14">
        <f>+C8*D8</f>
        <v>129.97999999999999</v>
      </c>
    </row>
    <row r="9" spans="1:6" x14ac:dyDescent="0.25">
      <c r="A9" s="31" t="s">
        <v>691</v>
      </c>
      <c r="B9" s="31">
        <v>2296055</v>
      </c>
      <c r="C9">
        <v>1</v>
      </c>
      <c r="D9" s="5">
        <v>179.98</v>
      </c>
      <c r="E9" s="14">
        <f t="shared" ref="E9:E22" si="0">+C9*D9</f>
        <v>179.98</v>
      </c>
    </row>
    <row r="10" spans="1:6" x14ac:dyDescent="0.25">
      <c r="A10" s="31" t="s">
        <v>692</v>
      </c>
      <c r="B10" s="31">
        <v>482287</v>
      </c>
      <c r="C10">
        <v>2</v>
      </c>
      <c r="D10" s="5">
        <v>62.98</v>
      </c>
      <c r="E10" s="14">
        <f t="shared" si="0"/>
        <v>125.96</v>
      </c>
    </row>
    <row r="11" spans="1:6" x14ac:dyDescent="0.25">
      <c r="A11" s="31" t="s">
        <v>693</v>
      </c>
      <c r="B11" s="31">
        <v>2535475</v>
      </c>
      <c r="C11">
        <v>1</v>
      </c>
      <c r="D11" s="5">
        <v>24.98</v>
      </c>
      <c r="E11" s="14">
        <f t="shared" si="0"/>
        <v>24.98</v>
      </c>
    </row>
    <row r="12" spans="1:6" x14ac:dyDescent="0.25">
      <c r="A12" s="31" t="s">
        <v>694</v>
      </c>
      <c r="B12" s="31" t="s">
        <v>695</v>
      </c>
      <c r="C12">
        <v>10</v>
      </c>
      <c r="D12" s="5">
        <v>10.9</v>
      </c>
      <c r="E12" s="14">
        <f t="shared" si="0"/>
        <v>109</v>
      </c>
    </row>
    <row r="13" spans="1:6" x14ac:dyDescent="0.25">
      <c r="A13" s="31" t="s">
        <v>696</v>
      </c>
      <c r="B13" s="31" t="s">
        <v>697</v>
      </c>
      <c r="C13">
        <v>1</v>
      </c>
      <c r="D13" s="5">
        <v>14.97</v>
      </c>
      <c r="E13" s="14">
        <f t="shared" si="0"/>
        <v>14.97</v>
      </c>
    </row>
    <row r="14" spans="1:6" x14ac:dyDescent="0.25">
      <c r="A14" s="31" t="s">
        <v>698</v>
      </c>
      <c r="B14" s="31" t="s">
        <v>699</v>
      </c>
      <c r="C14">
        <v>2</v>
      </c>
      <c r="D14" s="5">
        <v>19.97</v>
      </c>
      <c r="E14" s="14">
        <f t="shared" si="0"/>
        <v>39.94</v>
      </c>
    </row>
    <row r="15" spans="1:6" x14ac:dyDescent="0.25">
      <c r="A15" s="31" t="s">
        <v>700</v>
      </c>
      <c r="B15" s="31" t="s">
        <v>701</v>
      </c>
      <c r="C15">
        <v>1</v>
      </c>
      <c r="D15" s="5">
        <v>17.97</v>
      </c>
      <c r="E15" s="14">
        <f t="shared" si="0"/>
        <v>17.97</v>
      </c>
    </row>
    <row r="16" spans="1:6" x14ac:dyDescent="0.25">
      <c r="A16" s="31" t="s">
        <v>702</v>
      </c>
      <c r="B16" s="31" t="s">
        <v>703</v>
      </c>
      <c r="C16">
        <v>2</v>
      </c>
      <c r="D16" s="5">
        <v>16.98</v>
      </c>
      <c r="E16" s="14">
        <f t="shared" si="0"/>
        <v>33.96</v>
      </c>
    </row>
    <row r="17" spans="1:9" x14ac:dyDescent="0.25">
      <c r="A17" s="31" t="s">
        <v>704</v>
      </c>
      <c r="B17" s="31" t="s">
        <v>705</v>
      </c>
      <c r="C17">
        <v>4</v>
      </c>
      <c r="D17" s="5">
        <v>3.27</v>
      </c>
      <c r="E17" s="14">
        <f t="shared" si="0"/>
        <v>13.08</v>
      </c>
    </row>
    <row r="18" spans="1:9" x14ac:dyDescent="0.25">
      <c r="A18" s="31"/>
      <c r="B18" s="31"/>
      <c r="E18" s="14">
        <f t="shared" si="0"/>
        <v>0</v>
      </c>
    </row>
    <row r="19" spans="1:9" x14ac:dyDescent="0.25">
      <c r="A19" s="31"/>
      <c r="B19" s="31"/>
      <c r="E19" s="14">
        <f t="shared" si="0"/>
        <v>0</v>
      </c>
    </row>
    <row r="20" spans="1:9" x14ac:dyDescent="0.25">
      <c r="A20" s="31"/>
      <c r="B20" s="31" t="s">
        <v>499</v>
      </c>
      <c r="C20">
        <v>0</v>
      </c>
      <c r="D20" s="5">
        <v>700</v>
      </c>
      <c r="E20" s="14">
        <f t="shared" si="0"/>
        <v>0</v>
      </c>
    </row>
    <row r="21" spans="1:9" x14ac:dyDescent="0.25">
      <c r="A21" s="31"/>
      <c r="B21" s="31"/>
      <c r="E21" s="14">
        <f t="shared" si="0"/>
        <v>0</v>
      </c>
    </row>
    <row r="22" spans="1:9" ht="15.75" thickBot="1" x14ac:dyDescent="0.3">
      <c r="A22" s="31"/>
      <c r="B22" s="31"/>
      <c r="E22" s="21">
        <f t="shared" si="0"/>
        <v>0</v>
      </c>
      <c r="F22" s="21"/>
    </row>
    <row r="23" spans="1:9" x14ac:dyDescent="0.25">
      <c r="F23" s="14">
        <f>SUM(E4:E22)</f>
        <v>1357.2</v>
      </c>
      <c r="I23" s="1"/>
    </row>
    <row r="26" spans="1:9" x14ac:dyDescent="0.25">
      <c r="F26"/>
    </row>
    <row r="27" spans="1:9" x14ac:dyDescent="0.25">
      <c r="F27"/>
    </row>
    <row r="28" spans="1:9" x14ac:dyDescent="0.25">
      <c r="F28"/>
    </row>
    <row r="29" spans="1:9" x14ac:dyDescent="0.25">
      <c r="F2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H17"/>
  <sheetViews>
    <sheetView workbookViewId="0">
      <selection activeCell="L12" sqref="L12"/>
    </sheetView>
  </sheetViews>
  <sheetFormatPr defaultRowHeight="15" x14ac:dyDescent="0.25"/>
  <cols>
    <col min="1" max="1" width="16.28515625" bestFit="1" customWidth="1"/>
    <col min="2" max="2" width="24.7109375" style="2" bestFit="1" customWidth="1"/>
    <col min="3" max="3" width="15.28515625" style="18" customWidth="1"/>
    <col min="4" max="4" width="15.28515625" style="2" customWidth="1"/>
    <col min="6" max="6" width="9.140625" style="5"/>
    <col min="7" max="7" width="9.140625" style="1"/>
  </cols>
  <sheetData>
    <row r="1" spans="1:8" s="3" customFormat="1" x14ac:dyDescent="0.25">
      <c r="B1" s="3" t="s">
        <v>425</v>
      </c>
      <c r="C1" s="16"/>
    </row>
    <row r="2" spans="1:8" s="15" customFormat="1" x14ac:dyDescent="0.25">
      <c r="A2" s="15" t="s">
        <v>327</v>
      </c>
      <c r="B2" s="3" t="s">
        <v>390</v>
      </c>
      <c r="C2" s="17" t="s">
        <v>706</v>
      </c>
      <c r="D2" s="31" t="s">
        <v>707</v>
      </c>
      <c r="E2" s="3" t="s">
        <v>501</v>
      </c>
      <c r="F2" s="8" t="s">
        <v>708</v>
      </c>
      <c r="G2" s="6" t="s">
        <v>709</v>
      </c>
      <c r="H2" s="15" t="s">
        <v>504</v>
      </c>
    </row>
    <row r="4" spans="1:8" x14ac:dyDescent="0.25">
      <c r="A4" s="12">
        <v>44355</v>
      </c>
      <c r="B4" s="2" t="s">
        <v>710</v>
      </c>
      <c r="C4" s="18">
        <v>0.79</v>
      </c>
      <c r="D4" s="2">
        <v>500</v>
      </c>
      <c r="E4">
        <v>1</v>
      </c>
      <c r="F4" s="5">
        <v>110</v>
      </c>
      <c r="G4" s="1">
        <f>+E4*F4</f>
        <v>110</v>
      </c>
    </row>
    <row r="5" spans="1:8" x14ac:dyDescent="0.25">
      <c r="A5" s="12">
        <v>44407</v>
      </c>
      <c r="B5" s="2" t="s">
        <v>710</v>
      </c>
      <c r="C5" s="18">
        <v>1</v>
      </c>
      <c r="D5" s="2">
        <f>24*10</f>
        <v>240</v>
      </c>
      <c r="E5">
        <v>1</v>
      </c>
      <c r="F5" s="5">
        <v>890</v>
      </c>
      <c r="G5" s="1">
        <f t="shared" ref="G5:G10" si="0">+E5*F5</f>
        <v>890</v>
      </c>
    </row>
    <row r="6" spans="1:8" x14ac:dyDescent="0.25">
      <c r="A6" s="12">
        <v>44435</v>
      </c>
      <c r="B6" s="2" t="s">
        <v>710</v>
      </c>
      <c r="E6">
        <v>1</v>
      </c>
      <c r="F6" s="5">
        <v>200</v>
      </c>
      <c r="G6" s="1">
        <f t="shared" si="0"/>
        <v>200</v>
      </c>
    </row>
    <row r="7" spans="1:8" x14ac:dyDescent="0.25">
      <c r="A7" s="12">
        <v>44454</v>
      </c>
      <c r="B7" s="2" t="s">
        <v>710</v>
      </c>
      <c r="E7">
        <v>1</v>
      </c>
      <c r="F7" s="5">
        <v>200</v>
      </c>
      <c r="G7" s="1">
        <f t="shared" si="0"/>
        <v>200</v>
      </c>
    </row>
    <row r="8" spans="1:8" x14ac:dyDescent="0.25">
      <c r="A8" t="s">
        <v>711</v>
      </c>
      <c r="B8" s="2" t="s">
        <v>712</v>
      </c>
      <c r="E8">
        <v>1</v>
      </c>
      <c r="F8" s="5">
        <v>1485</v>
      </c>
      <c r="G8" s="1">
        <f t="shared" si="0"/>
        <v>1485</v>
      </c>
    </row>
    <row r="9" spans="1:8" x14ac:dyDescent="0.25">
      <c r="B9" s="2" t="s">
        <v>713</v>
      </c>
      <c r="E9">
        <v>1</v>
      </c>
      <c r="F9" s="5">
        <v>140</v>
      </c>
      <c r="G9" s="1">
        <f t="shared" si="0"/>
        <v>140</v>
      </c>
    </row>
    <row r="10" spans="1:8" x14ac:dyDescent="0.25">
      <c r="B10" s="2" t="s">
        <v>714</v>
      </c>
      <c r="E10">
        <v>1</v>
      </c>
      <c r="F10" s="5">
        <v>70</v>
      </c>
      <c r="G10" s="1">
        <f t="shared" si="0"/>
        <v>70</v>
      </c>
    </row>
    <row r="11" spans="1:8" x14ac:dyDescent="0.25">
      <c r="B11" s="2" t="s">
        <v>715</v>
      </c>
      <c r="E11">
        <v>1</v>
      </c>
      <c r="F11" s="5">
        <v>70</v>
      </c>
      <c r="G11" s="1">
        <f t="shared" ref="G11" si="1">+E11*F11</f>
        <v>70</v>
      </c>
    </row>
    <row r="12" spans="1:8" x14ac:dyDescent="0.25">
      <c r="B12" s="2" t="s">
        <v>716</v>
      </c>
      <c r="E12">
        <v>1</v>
      </c>
      <c r="F12" s="5">
        <v>70</v>
      </c>
      <c r="G12" s="1">
        <f t="shared" ref="G12:G15" si="2">+E12*F12</f>
        <v>70</v>
      </c>
    </row>
    <row r="13" spans="1:8" x14ac:dyDescent="0.25">
      <c r="B13" s="2" t="s">
        <v>717</v>
      </c>
      <c r="E13">
        <v>1</v>
      </c>
      <c r="F13" s="5">
        <v>70</v>
      </c>
      <c r="G13" s="1">
        <f t="shared" si="2"/>
        <v>70</v>
      </c>
    </row>
    <row r="14" spans="1:8" x14ac:dyDescent="0.25">
      <c r="B14" s="2" t="s">
        <v>178</v>
      </c>
      <c r="C14" s="18" t="s">
        <v>178</v>
      </c>
      <c r="E14">
        <v>0</v>
      </c>
      <c r="F14" s="5">
        <v>0</v>
      </c>
      <c r="G14" s="1">
        <f t="shared" si="2"/>
        <v>0</v>
      </c>
    </row>
    <row r="15" spans="1:8" x14ac:dyDescent="0.25">
      <c r="B15" s="2" t="s">
        <v>178</v>
      </c>
      <c r="E15">
        <v>0</v>
      </c>
      <c r="F15" s="5">
        <v>0</v>
      </c>
      <c r="G15" s="1">
        <f t="shared" si="2"/>
        <v>0</v>
      </c>
    </row>
    <row r="16" spans="1:8" ht="15.75" thickBot="1" x14ac:dyDescent="0.3">
      <c r="G16" s="30"/>
      <c r="H16" s="23"/>
    </row>
    <row r="17" spans="4:8" x14ac:dyDescent="0.25">
      <c r="D17" s="2">
        <f>+SUM(D4:D16)</f>
        <v>740</v>
      </c>
      <c r="G17" s="15" t="s">
        <v>504</v>
      </c>
      <c r="H17" s="1">
        <f>+SUM(G4:G16)</f>
        <v>3305</v>
      </c>
    </row>
  </sheetData>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B6" sqref="B6"/>
    </sheetView>
  </sheetViews>
  <sheetFormatPr defaultRowHeight="15" x14ac:dyDescent="0.25"/>
  <cols>
    <col min="1" max="1" width="24.7109375" style="2" bestFit="1" customWidth="1"/>
    <col min="2" max="2" width="24.7109375" style="2" customWidth="1"/>
    <col min="3" max="3" width="15.28515625" style="18" customWidth="1"/>
    <col min="4" max="4" width="10.140625" bestFit="1" customWidth="1"/>
  </cols>
  <sheetData>
    <row r="1" spans="1:7" s="3" customFormat="1" x14ac:dyDescent="0.25">
      <c r="A1" s="33" t="s">
        <v>464</v>
      </c>
      <c r="B1" s="33"/>
      <c r="C1" s="16"/>
    </row>
    <row r="2" spans="1:7" s="15" customFormat="1" x14ac:dyDescent="0.25">
      <c r="A2" s="3" t="s">
        <v>390</v>
      </c>
      <c r="B2" s="3" t="s">
        <v>337</v>
      </c>
      <c r="C2" s="17" t="s">
        <v>718</v>
      </c>
      <c r="D2" s="15" t="s">
        <v>504</v>
      </c>
      <c r="E2" s="632" t="s">
        <v>719</v>
      </c>
      <c r="F2" s="511"/>
      <c r="G2" s="27">
        <v>20</v>
      </c>
    </row>
    <row r="4" spans="1:7" x14ac:dyDescent="0.25">
      <c r="A4" s="2" t="s">
        <v>352</v>
      </c>
      <c r="B4" s="2">
        <v>0</v>
      </c>
      <c r="C4" s="18">
        <v>800</v>
      </c>
      <c r="D4" s="5">
        <f>+B4*C4</f>
        <v>0</v>
      </c>
    </row>
    <row r="5" spans="1:7" x14ac:dyDescent="0.25">
      <c r="A5" s="2" t="s">
        <v>720</v>
      </c>
      <c r="B5" s="2">
        <v>0</v>
      </c>
      <c r="C5" s="18">
        <v>28.46</v>
      </c>
      <c r="D5" s="5">
        <f t="shared" ref="D5:D14" si="0">+B5*C5</f>
        <v>0</v>
      </c>
    </row>
    <row r="6" spans="1:7" x14ac:dyDescent="0.25">
      <c r="A6" s="2" t="s">
        <v>721</v>
      </c>
      <c r="B6" s="2" t="s">
        <v>722</v>
      </c>
      <c r="C6" s="18">
        <v>1</v>
      </c>
      <c r="D6" s="5">
        <v>32.979999999999997</v>
      </c>
    </row>
    <row r="7" spans="1:7" x14ac:dyDescent="0.25">
      <c r="A7" s="2" t="s">
        <v>723</v>
      </c>
      <c r="D7" s="5">
        <f t="shared" si="0"/>
        <v>0</v>
      </c>
    </row>
    <row r="8" spans="1:7" x14ac:dyDescent="0.25">
      <c r="A8" s="2" t="s">
        <v>723</v>
      </c>
      <c r="D8" s="5">
        <f t="shared" si="0"/>
        <v>0</v>
      </c>
    </row>
    <row r="9" spans="1:7" x14ac:dyDescent="0.25">
      <c r="A9" s="2" t="s">
        <v>724</v>
      </c>
      <c r="C9" s="18">
        <v>1000</v>
      </c>
      <c r="D9" s="5">
        <f t="shared" si="0"/>
        <v>0</v>
      </c>
    </row>
    <row r="10" spans="1:7" x14ac:dyDescent="0.25">
      <c r="A10" s="2" t="s">
        <v>725</v>
      </c>
      <c r="D10" s="5">
        <f t="shared" si="0"/>
        <v>0</v>
      </c>
    </row>
    <row r="11" spans="1:7" x14ac:dyDescent="0.25">
      <c r="A11" s="2" t="s">
        <v>726</v>
      </c>
      <c r="B11" s="2">
        <v>1</v>
      </c>
      <c r="C11" s="18">
        <v>19156.97</v>
      </c>
      <c r="D11" s="5">
        <f t="shared" si="0"/>
        <v>19156.97</v>
      </c>
    </row>
    <row r="12" spans="1:7" x14ac:dyDescent="0.25">
      <c r="A12" s="2" t="s">
        <v>727</v>
      </c>
      <c r="B12" s="2">
        <v>0</v>
      </c>
      <c r="C12" s="18">
        <v>5500</v>
      </c>
      <c r="D12" s="5">
        <f t="shared" si="0"/>
        <v>0</v>
      </c>
    </row>
    <row r="13" spans="1:7" x14ac:dyDescent="0.25">
      <c r="A13" s="2" t="s">
        <v>728</v>
      </c>
      <c r="C13" s="18">
        <v>1604326</v>
      </c>
      <c r="D13" s="5">
        <f t="shared" si="0"/>
        <v>0</v>
      </c>
    </row>
    <row r="14" spans="1:7" x14ac:dyDescent="0.25">
      <c r="A14" s="2" t="s">
        <v>729</v>
      </c>
      <c r="C14" s="18">
        <v>228556</v>
      </c>
      <c r="D14" s="5">
        <f t="shared" si="0"/>
        <v>0</v>
      </c>
    </row>
    <row r="15" spans="1:7" ht="15.75" thickBot="1" x14ac:dyDescent="0.3">
      <c r="A15" s="2" t="s">
        <v>730</v>
      </c>
      <c r="B15" s="2">
        <v>0</v>
      </c>
      <c r="C15" s="18">
        <v>400</v>
      </c>
      <c r="D15" s="23">
        <v>0</v>
      </c>
    </row>
    <row r="16" spans="1:7" x14ac:dyDescent="0.25">
      <c r="D16" s="1">
        <f>SUM(D4:D15)</f>
        <v>19189.95</v>
      </c>
    </row>
  </sheetData>
  <mergeCells count="1">
    <mergeCell ref="E2:F2"/>
  </mergeCells>
  <printOptions headings="1" gridLine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7.xml>��
</file>

<file path=customXml/itemProps1.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2.xml><?xml version="1.0" encoding="utf-8"?>
<ds:datastoreItem xmlns:ds="http://schemas.openxmlformats.org/officeDocument/2006/customXml" ds:itemID="{C8DEC3D8-E357-4A8C-AFF9-645AD3C1C068}">
  <ds:schemaRefs>
    <ds:schemaRef ds:uri="http://schemas.microsoft.com/DataMashup"/>
  </ds:schemaRefs>
</ds:datastoreItem>
</file>

<file path=customXml/itemProps3.xml><?xml version="1.0" encoding="utf-8"?>
<ds:datastoreItem xmlns:ds="http://schemas.openxmlformats.org/officeDocument/2006/customXml" ds:itemID="{17F5EC78-4FFD-486F-8437-514CC02DB5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5.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6.xml><?xml version="1.0" encoding="utf-8"?>
<ds:datastoreItem xmlns:ds="http://schemas.openxmlformats.org/officeDocument/2006/customXml" ds:itemID="{98C4DA37-4AFD-4CD2-9A66-0C8B8DF4AF27}">
  <ds:schemaRefs>
    <ds:schemaRef ds:uri="http://schemas.microsoft.com/office/2006/metadata/properties"/>
    <ds:schemaRef ds:uri="http://schemas.microsoft.com/office/infopath/2007/PartnerControls"/>
    <ds:schemaRef ds:uri="42cc25d9-27fe-4f07-accb-ded05ec47eee"/>
    <ds:schemaRef ds:uri="ab9fedca-001d-4cc9-b244-d9c3be5a27d3"/>
  </ds:schemaRefs>
</ds:datastoreItem>
</file>

<file path=customXml/itemProps7.xml><?xml version="1.0" encoding="utf-8"?>
<ds:datastoreItem xmlns:ds="http://schemas.openxmlformats.org/officeDocument/2006/customXml" ds:itemID="{5C886D52-C60B-4622-9743-EA10E7087D96}">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Profit</vt:lpstr>
      <vt:lpstr>MOG</vt:lpstr>
      <vt:lpstr>Todo</vt:lpstr>
      <vt:lpstr>Contact</vt:lpstr>
      <vt:lpstr>Carrying</vt:lpstr>
      <vt:lpstr>Proposal</vt:lpstr>
      <vt:lpstr>ProposalUpdate</vt:lpstr>
      <vt:lpstr>Gnatt Chart</vt:lpstr>
      <vt:lpstr>Taxes</vt:lpstr>
      <vt:lpstr>Financing</vt:lpstr>
      <vt:lpstr>Seller Advance</vt:lpstr>
      <vt:lpstr>MISC 2</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Jenny Hollinger</cp:lastModifiedBy>
  <cp:revision/>
  <dcterms:created xsi:type="dcterms:W3CDTF">2019-07-25T11:32:14Z</dcterms:created>
  <dcterms:modified xsi:type="dcterms:W3CDTF">2026-06-24T12:23:14Z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